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worksheets/sheet19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KARTLAR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RAPOR" sheetId="15" state="visible" r:id="rId15"/>
    <sheet xmlns:r="http://schemas.openxmlformats.org/officeDocument/2006/relationships" name="KONTROLLER" sheetId="16" state="visible" r:id="rId16"/>
    <sheet xmlns:r="http://schemas.openxmlformats.org/officeDocument/2006/relationships" name="ORNEK_VER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raporTarihi">AYARLAR!$B$6</definedName>
    <definedName name="zincirTolerans">AYARLAR!$B$7</definedName>
    <definedName name="trv_esikGecikmeGun">AYARLAR!$B$8</definedName>
    <definedName name="trv_esikGeciken">AYARLAR!$B$9</definedName>
    <definedName name="trv_kovaEsik1">AYARLAR!$B$10</definedName>
    <definedName name="trv_kovaEsik2">AYARLAR!$B$11</definedName>
    <definedName name="trv_kovaEsik3">AYARLAR!$B$12</definedName>
    <definedName name="trv_olasilikK1">AYARLAR!$B$13</definedName>
    <definedName name="trv_olasilikK2">AYARLAR!$B$14</definedName>
    <definedName name="trv_olasilikK3">AYARLAR!$B$15</definedName>
    <definedName name="trv_olasilikK4">AYARLAR!$B$16</definedName>
    <definedName name="trv_riskTaban">AYARLAR!$B$17</definedName>
    <definedName name="trv_senaryoTemkinli">AYARLAR!$B$18</definedName>
    <definedName name="trv_senaryoBaz">AYARLAR!$B$19</definedName>
    <definedName name="trv_senaryoIyimser">AYARLAR!$B$20</definedName>
    <definedName name="trv_tornadoOran">AYARLAR!$B$21</definedName>
    <definedName name="trv_yuzdelikOran">AYARLAR!$B$22</definedName>
    <definedName name="trv_olcekHedef">AYARLAR!$B$23</definedName>
    <definedName name="trv_azamiTutar">AYARLAR!$B$24</definedName>
    <definedName name="trv_durumHaritasi">AYARLAR!$B$25</definedName>
    <definedName name="trv_kuyrukOzeti_metin">AYARLAR!$B$26</definedName>
    <definedName name="trv_kapaliDusum_metin">AYARLAR!$B$27</definedName>
    <definedName name="trv_kanitRaporu_metin">AYARLAR!$B$28</definedName>
    <definedName name="trv_dosyaSurumu">AYARLAR!$B$29</definedName>
    <definedName name="trv_firmaUnvan">AYARLAR!$B$30</definedName>
    <definedName name="trv_acikAdet">AYARLAR!$I$44</definedName>
    <definedName name="trv_acikTutar">AYARLAR!$I$45</definedName>
    <definedName name="trv_gecikenAdet">AYARLAR!$I$46</definedName>
    <definedName name="trv_beklenenKayip">AYARLAR!$I$47</definedName>
    <definedName name="trv_yetimKayit">AYARLAR!$I$48</definedName>
    <definedName name="trv_gecersizGecis">AYARLAR!$I$49</definedName>
    <definedName name="trv_zincirKirik">AYARLAR!$I$50</definedName>
    <definedName name="trv_icraHazirlik">AYARLAR!$I$51</definedName>
    <definedName name="trv_yasKova">AYARLAR!$I$52</definedName>
    <definedName name="trv_tahsilatOrt">AYARLAR!$I$53</definedName>
    <definedName name="trv_tahsilatSapma">AYARLAR!$I$54</definedName>
    <definedName name="trv_tahminAralik">AYARLAR!$I$55</definedName>
    <definedName name="trv_senaryoKarsilastirma">AYARLAR!$I$56</definedName>
    <definedName name="trv_tornadoZirve">AYARLAR!$I$57</definedName>
    <definedName name="trv_hhi">AYARLAR!$I$58</definedName>
    <definedName name="trv_kaliteSkor">AYARLAR!$I$59</definedName>
    <definedName name="trv_yuzdelikP90">AYARLAR!$I$60</definedName>
    <definedName name="trv_senaryoMotor">AYARLAR!$I$61</definedName>
    <definedName name="trv_kapaliDusum">AYARLAR!$I$62</definedName>
    <definedName name="trv_kuyrukOzeti">AYARLAR!$I$63</definedName>
    <definedName name="trv_kanitRaporu">AYARLAR!$I$64</definedName>
    <definedName name="trv_sonrakiKimlik">AYARLAR!$I$65</definedName>
    <definedName name="trv_yorumYas">AYARLAR!$I$68</definedName>
    <definedName name="trv_yorumTahsilatOrt">AYARLAR!$I$69</definedName>
    <definedName name="trv_yorumSapma">AYARLAR!$I$70</definedName>
    <definedName name="trv_yorumTornado">AYARLAR!$I$71</definedName>
    <definedName name="trv_yorumSenaryo">AYARLAR!$I$72</definedName>
    <definedName name="trv_yorumHhi">AYARLAR!$I$73</definedName>
    <definedName name="trv_yorumKalite">AYARLAR!$I$74</definedName>
    <definedName name="trv_yorumSenMotor">AYARLAR!$I$75</definedName>
    <definedName name="trv_yorumTahmin">AYARLAR!$I$76</definedName>
    <definedName name="trv_yorumP90">AYARLAR!$I$77</definedName>
    <definedName name="ListeDurumlar">LISTELER!$A$7:$A$11</definedName>
    <definedName name="ListeIzinliGecis">LISTELER!$C$7:$C$11</definedName>
    <definedName name="ListeEvetHayir">LISTELER!$E$7:$E$8</definedName>
    <definedName name="ListeYorumAB">LISTELER!$G$7:$G$8</definedName>
    <definedName name="_xlnm.Print_Area" localSheetId="14">'RAPOR'!$A$1:$H$26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₺ #,##0;[Red](₺ #,##0);-"/>
    <numFmt numFmtId="166" formatCode="0.0%;[Red](0.0%);-"/>
    <numFmt numFmtId="167" formatCode="0&quot; gün&quot;"/>
    <numFmt numFmtId="168" formatCode="#,##0 &quot;TL&quot;"/>
    <numFmt numFmtId="169" formatCode="0.0%"/>
    <numFmt numFmtId="170" formatCode="₺#,##0"/>
    <numFmt numFmtId="171" formatCode="0.00&quot;x&quot;"/>
  </numFmts>
  <fonts count="8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7" fontId="14" fillId="0" borderId="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170" fontId="22" fillId="0" borderId="3" pivotButton="0" quotePrefix="0" xfId="0"/>
    <xf numFmtId="170" fontId="43" fillId="0" borderId="4" pivotButton="0" quotePrefix="0" xfId="0"/>
    <xf numFmtId="170" fontId="46" fillId="0" borderId="2" pivotButton="0" quotePrefix="0" xfId="0"/>
    <xf numFmtId="170" fontId="47" fillId="0" borderId="2" pivotButton="0" quotePrefix="0" xfId="0"/>
    <xf numFmtId="170" fontId="50" fillId="7" borderId="0" pivotButton="0" quotePrefix="0" xfId="0"/>
    <xf numFmtId="170" fontId="51" fillId="7" borderId="0" pivotButton="0" quotePrefix="0" xfId="0"/>
    <xf numFmtId="170" fontId="69" fillId="9" borderId="2" applyAlignment="1" pivotButton="0" quotePrefix="0" xfId="0">
      <alignment horizontal="right"/>
    </xf>
    <xf numFmtId="170" fontId="39" fillId="0" borderId="2" applyAlignment="1" pivotButton="0" quotePrefix="0" xfId="0">
      <alignment horizontal="right"/>
    </xf>
    <xf numFmtId="170" fontId="66" fillId="0" borderId="2" applyAlignment="1" pivotButton="0" quotePrefix="0" xfId="0">
      <alignment horizontal="right"/>
    </xf>
    <xf numFmtId="171" fontId="66" fillId="0" borderId="2" applyAlignment="1" pivotButton="0" quotePrefix="0" xfId="0">
      <alignment horizontal="right"/>
    </xf>
    <xf numFmtId="0" fontId="84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5" fillId="2" borderId="0" applyAlignment="1" pivotButton="0" quotePrefix="0" xfId="0">
      <alignment horizontal="left" vertical="center"/>
    </xf>
    <xf numFmtId="0" fontId="85" fillId="3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MUS-00009 | Risk: Elle çakışma</t>
      </text>
    </comment>
    <comment ref="A6" authorId="0" shapeId="0">
      <text>
        <t>Tanım: Kart Kimliği | Neden önemli: Tahsilat kuyruğu ve kararı etkiler | Doğru kullanım: MUS-##### formatında | Örnek: hücredeki örnek değere bakın | Risk: Yanlış giriş hatalı karar üretir</t>
      </text>
    </comment>
    <comment ref="B6" authorId="0" shapeId="0">
      <text>
        <t>Tanım: Unvan | Neden önemli: Tahsilat kuyruğu ve kararı etkiler | Doğru kullanım: Müşteri unvanı | Örnek: hücredeki örnek değere bakın | Risk: Yanlış giriş hatalı karar üretir</t>
      </text>
    </comment>
    <comment ref="C6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D6" authorId="0" shapeId="0">
      <text>
        <t>Tanım: Şehir | Neden önemli: Tahsilat kuyruğu ve kararı etkiler | Doğru kullanım: Şehir | Örnek: hücredeki örnek değere bakın | Risk: Yanlış giriş hatalı karar üretir</t>
      </text>
    </comment>
    <comment ref="E6" authorId="0" shapeId="0">
      <text>
        <t>Tanım: Limit | Neden önemli: Tahsilat kuyruğu ve kararı etkiler | Doğru kullanım: Risk limiti TL | Örnek: hücredeki örnek değere bakın | Risk: Yanlış giriş hatalı karar üretir</t>
      </text>
    </comment>
    <comment ref="F6" authorId="0" shapeId="0">
      <text>
        <t>Tanım: Risk Notu | Neden önemli: Tahsilat kuyruğu ve kararı etkiler | Doğru kullanım: Kısa risk notu | Örnek: hücredeki örnek değere bakın | Risk: Yanlış giriş hatalı karar üretir</t>
      </text>
    </comment>
    <comment ref="G6" authorId="0" shapeId="0">
      <text>
        <t>Tanım: Aktif | Neden önemli: Tahsilat kuyruğu ve kararı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Tahsilat kuyruğu ve kararı etkiler | Doğru kullanım: MUS-##### formatında | Örnek: hücredeki örnek değere bakın | Risk: Yanlış giriş hatalı karar üretir</t>
      </text>
    </comment>
    <comment ref="B7" authorId="0" shapeId="0">
      <text>
        <t>Tanım: Unvan | Neden önemli: Tahsilat kuyruğu ve kararı etkiler | Doğru kullanım: Müşteri unvanı | Örnek: hücredeki örnek değere bakın | Risk: Yanlış giriş hatalı karar üretir</t>
      </text>
    </comment>
    <comment ref="C7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D7" authorId="0" shapeId="0">
      <text>
        <t>Tanım: Şehir | Neden önemli: Tahsilat kuyruğu ve kararı etkiler | Doğru kullanım: Şehir | Örnek: hücredeki örnek değere bakın | Risk: Yanlış giriş hatalı karar üretir</t>
      </text>
    </comment>
    <comment ref="E7" authorId="0" shapeId="0">
      <text>
        <t>Tanım: Limit | Neden önemli: Tahsilat kuyruğu ve kararı etkiler | Doğru kullanım: Risk limiti TL | Örnek: hücredeki örnek değere bakın | Risk: Yanlış giriş hatalı karar üretir</t>
      </text>
    </comment>
    <comment ref="F7" authorId="0" shapeId="0">
      <text>
        <t>Tanım: Risk Notu | Neden önemli: Tahsilat kuyruğu ve kararı etkiler | Doğru kullanım: Kısa risk notu | Örnek: hücredeki örnek değere bakın | Risk: Yanlış giriş hatalı karar üretir</t>
      </text>
    </comment>
    <comment ref="G7" authorId="0" shapeId="0">
      <text>
        <t>Tanım: Aktif | Neden önemli: Tahsilat kuyruğu ve kararı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Tahsilat kuyruğu ve kararı etkiler | Doğru kullanım: MUS-##### formatında | Örnek: hücredeki örnek değere bakın | Risk: Yanlış giriş hatalı karar üretir</t>
      </text>
    </comment>
    <comment ref="B8" authorId="0" shapeId="0">
      <text>
        <t>Tanım: Unvan | Neden önemli: Tahsilat kuyruğu ve kararı etkiler | Doğru kullanım: Müşteri unvanı | Örnek: hücredeki örnek değere bakın | Risk: Yanlış giriş hatalı karar üretir</t>
      </text>
    </comment>
    <comment ref="C8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D8" authorId="0" shapeId="0">
      <text>
        <t>Tanım: Şehir | Neden önemli: Tahsilat kuyruğu ve kararı etkiler | Doğru kullanım: Şehir | Örnek: hücredeki örnek değere bakın | Risk: Yanlış giriş hatalı karar üretir</t>
      </text>
    </comment>
    <comment ref="E8" authorId="0" shapeId="0">
      <text>
        <t>Tanım: Limit | Neden önemli: Tahsilat kuyruğu ve kararı etkiler | Doğru kullanım: Risk limiti TL | Örnek: hücredeki örnek değere bakın | Risk: Yanlış giriş hatalı karar üretir</t>
      </text>
    </comment>
    <comment ref="F8" authorId="0" shapeId="0">
      <text>
        <t>Tanım: Risk Notu | Neden önemli: Tahsilat kuyruğu ve kararı etkiler | Doğru kullanım: Kısa risk notu | Örnek: hücredeki örnek değere bakın | Risk: Yanlış giriş hatalı karar üretir</t>
      </text>
    </comment>
    <comment ref="G8" authorId="0" shapeId="0">
      <text>
        <t>Tanım: Aktif | Neden önemli: Tahsilat kuyruğu ve kararı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Tahsilat kuyruğu ve kararı etkiler | Doğru kullanım: MUS-##### formatında | Örnek: hücredeki örnek değere bakın | Risk: Yanlış giriş hatalı karar üretir</t>
      </text>
    </comment>
    <comment ref="B9" authorId="0" shapeId="0">
      <text>
        <t>Tanım: Unvan | Neden önemli: Tahsilat kuyruğu ve kararı etkiler | Doğru kullanım: Müşteri unvanı | Örnek: hücredeki örnek değere bakın | Risk: Yanlış giriş hatalı karar üretir</t>
      </text>
    </comment>
    <comment ref="C9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D9" authorId="0" shapeId="0">
      <text>
        <t>Tanım: Şehir | Neden önemli: Tahsilat kuyruğu ve kararı etkiler | Doğru kullanım: Şehir | Örnek: hücredeki örnek değere bakın | Risk: Yanlış giriş hatalı karar üretir</t>
      </text>
    </comment>
    <comment ref="E9" authorId="0" shapeId="0">
      <text>
        <t>Tanım: Limit | Neden önemli: Tahsilat kuyruğu ve kararı etkiler | Doğru kullanım: Risk limiti TL | Örnek: hücredeki örnek değere bakın | Risk: Yanlış giriş hatalı karar üretir</t>
      </text>
    </comment>
    <comment ref="F9" authorId="0" shapeId="0">
      <text>
        <t>Tanım: Risk Notu | Neden önemli: Tahsilat kuyruğu ve kararı etkiler | Doğru kullanım: Kısa risk notu | Örnek: hücredeki örnek değere bakın | Risk: Yanlış giriş hatalı karar üretir</t>
      </text>
    </comment>
    <comment ref="G9" authorId="0" shapeId="0">
      <text>
        <t>Tanım: Aktif | Neden önemli: Tahsilat kuyruğu ve kararı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Tahsilat kuyruğu ve kararı etkiler | Doğru kullanım: MUS-##### formatında | Örnek: hücredeki örnek değere bakın | Risk: Yanlış giriş hatalı karar üretir</t>
      </text>
    </comment>
    <comment ref="B10" authorId="0" shapeId="0">
      <text>
        <t>Tanım: Unvan | Neden önemli: Tahsilat kuyruğu ve kararı etkiler | Doğru kullanım: Müşteri unvanı | Örnek: hücredeki örnek değere bakın | Risk: Yanlış giriş hatalı karar üretir</t>
      </text>
    </comment>
    <comment ref="C10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D10" authorId="0" shapeId="0">
      <text>
        <t>Tanım: Şehir | Neden önemli: Tahsilat kuyruğu ve kararı etkiler | Doğru kullanım: Şehir | Örnek: hücredeki örnek değere bakın | Risk: Yanlış giriş hatalı karar üretir</t>
      </text>
    </comment>
    <comment ref="E10" authorId="0" shapeId="0">
      <text>
        <t>Tanım: Limit | Neden önemli: Tahsilat kuyruğu ve kararı etkiler | Doğru kullanım: Risk limiti TL | Örnek: hücredeki örnek değere bakın | Risk: Yanlış giriş hatalı karar üretir</t>
      </text>
    </comment>
    <comment ref="F10" authorId="0" shapeId="0">
      <text>
        <t>Tanım: Risk Notu | Neden önemli: Tahsilat kuyruğu ve kararı etkiler | Doğru kullanım: Kısa risk notu | Örnek: hücredeki örnek değere bakın | Risk: Yanlış giriş hatalı karar üretir</t>
      </text>
    </comment>
    <comment ref="G10" authorId="0" shapeId="0">
      <text>
        <t>Tanım: Aktif | Neden önemli: Tahsilat kuyruğu ve kararı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Tahsilat kuyruğu ve kararı etkiler | Doğru kullanım: MUS-##### formatında | Örnek: hücredeki örnek değere bakın | Risk: Yanlış giriş hatalı karar üretir</t>
      </text>
    </comment>
    <comment ref="B11" authorId="0" shapeId="0">
      <text>
        <t>Tanım: Unvan | Neden önemli: Tahsilat kuyruğu ve kararı etkiler | Doğru kullanım: Müşteri unvanı | Örnek: hücredeki örnek değere bakın | Risk: Yanlış giriş hatalı karar üretir</t>
      </text>
    </comment>
    <comment ref="C11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D11" authorId="0" shapeId="0">
      <text>
        <t>Tanım: Şehir | Neden önemli: Tahsilat kuyruğu ve kararı etkiler | Doğru kullanım: Şehir | Örnek: hücredeki örnek değere bakın | Risk: Yanlış giriş hatalı karar üretir</t>
      </text>
    </comment>
    <comment ref="E11" authorId="0" shapeId="0">
      <text>
        <t>Tanım: Limit | Neden önemli: Tahsilat kuyruğu ve kararı etkiler | Doğru kullanım: Risk limiti TL | Örnek: hücredeki örnek değere bakın | Risk: Yanlış giriş hatalı karar üretir</t>
      </text>
    </comment>
    <comment ref="F11" authorId="0" shapeId="0">
      <text>
        <t>Tanım: Risk Notu | Neden önemli: Tahsilat kuyruğu ve kararı etkiler | Doğru kullanım: Kısa risk notu | Örnek: hücredeki örnek değere bakın | Risk: Yanlış giriş hatalı karar üretir</t>
      </text>
    </comment>
    <comment ref="G11" authorId="0" shapeId="0">
      <text>
        <t>Tanım: Aktif | Neden önemli: Tahsilat kuyruğu ve kararı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Tahsilat kuyruğu ve kararı etkiler | Doğru kullanım: MUS-##### formatında | Örnek: hücredeki örnek değere bakın | Risk: Yanlış giriş hatalı karar üretir</t>
      </text>
    </comment>
    <comment ref="B12" authorId="0" shapeId="0">
      <text>
        <t>Tanım: Unvan | Neden önemli: Tahsilat kuyruğu ve kararı etkiler | Doğru kullanım: Müşteri unvanı | Örnek: hücredeki örnek değere bakın | Risk: Yanlış giriş hatalı karar üretir</t>
      </text>
    </comment>
    <comment ref="C12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D12" authorId="0" shapeId="0">
      <text>
        <t>Tanım: Şehir | Neden önemli: Tahsilat kuyruğu ve kararı etkiler | Doğru kullanım: Şehir | Örnek: hücredeki örnek değere bakın | Risk: Yanlış giriş hatalı karar üretir</t>
      </text>
    </comment>
    <comment ref="E12" authorId="0" shapeId="0">
      <text>
        <t>Tanım: Limit | Neden önemli: Tahsilat kuyruğu ve kararı etkiler | Doğru kullanım: Risk limiti TL | Örnek: hücredeki örnek değere bakın | Risk: Yanlış giriş hatalı karar üretir</t>
      </text>
    </comment>
    <comment ref="F12" authorId="0" shapeId="0">
      <text>
        <t>Tanım: Risk Notu | Neden önemli: Tahsilat kuyruğu ve kararı etkiler | Doğru kullanım: Kısa risk notu | Örnek: hücredeki örnek değere bakın | Risk: Yanlış giriş hatalı karar üretir</t>
      </text>
    </comment>
    <comment ref="G12" authorId="0" shapeId="0">
      <text>
        <t>Tanım: Aktif | Neden önemli: Tahsilat kuyruğu ve kararı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Tahsilat kuyruğu ve kararı etkiler | Doğru kullanım: MUS-##### formatında | Örnek: hücredeki örnek değere bakın | Risk: Yanlış giriş hatalı karar üretir</t>
      </text>
    </comment>
    <comment ref="B13" authorId="0" shapeId="0">
      <text>
        <t>Tanım: Unvan | Neden önemli: Tahsilat kuyruğu ve kararı etkiler | Doğru kullanım: Müşteri unvanı | Örnek: hücredeki örnek değere bakın | Risk: Yanlış giriş hatalı karar üretir</t>
      </text>
    </comment>
    <comment ref="C13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D13" authorId="0" shapeId="0">
      <text>
        <t>Tanım: Şehir | Neden önemli: Tahsilat kuyruğu ve kararı etkiler | Doğru kullanım: Şehir | Örnek: hücredeki örnek değere bakın | Risk: Yanlış giriş hatalı karar üretir</t>
      </text>
    </comment>
    <comment ref="E13" authorId="0" shapeId="0">
      <text>
        <t>Tanım: Limit | Neden önemli: Tahsilat kuyruğu ve kararı etkiler | Doğru kullanım: Risk limiti TL | Örnek: hücredeki örnek değere bakın | Risk: Yanlış giriş hatalı karar üretir</t>
      </text>
    </comment>
    <comment ref="F13" authorId="0" shapeId="0">
      <text>
        <t>Tanım: Risk Notu | Neden önemli: Tahsilat kuyruğu ve kararı etkiler | Doğru kullanım: Kısa risk notu | Örnek: hücredeki örnek değere bakın | Risk: Yanlış giriş hatalı karar üretir</t>
      </text>
    </comment>
    <comment ref="G13" authorId="0" shapeId="0">
      <text>
        <t>Tanım: Aktif | Neden önemli: Tahsilat kuyruğu ve kararı etkiler | Doğru kullanım: EVET veya HAYIR | Örnek: hücredeki örnek değere bakın | Risk: Yanlış giriş hatalı karar üretir</t>
      </text>
    </comment>
    <comment ref="A1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3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3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3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3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3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3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3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3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3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3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3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3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3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3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3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3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3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3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3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3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3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3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3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3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3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3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3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3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3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3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3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3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3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3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3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3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3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3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3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3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3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3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3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3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3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3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3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3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3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3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3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3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3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3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3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3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3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3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3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3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3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3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3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3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3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3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3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3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3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3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4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4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4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4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4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4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4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4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4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4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4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4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4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4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4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4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4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4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4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4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4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4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4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4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4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4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4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4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4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4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4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4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4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4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4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4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4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4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4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4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4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4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4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4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4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4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4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4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4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4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4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4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4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4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4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4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4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4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4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4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4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4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4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4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4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4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4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4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4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4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5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5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5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5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5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5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5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5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5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5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5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5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5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5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5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5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5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5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5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5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5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5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5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5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5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5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5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5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5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5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5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5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5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5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5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5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5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5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5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5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5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5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5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5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5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5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5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5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5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5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5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5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5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5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5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5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5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5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5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5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5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5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5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5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5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5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5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5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5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5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6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6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6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6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6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6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6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6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6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6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6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6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6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6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6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6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6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6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6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6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6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6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6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6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6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6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6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6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6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6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6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6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6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6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6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6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6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6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6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6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6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6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6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6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6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6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6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6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6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6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6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6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6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6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6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6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6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6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6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6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6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6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6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6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6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6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6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6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6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6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7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7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7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7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7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7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7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7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7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7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7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7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7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7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7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7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7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7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7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7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7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7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7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7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7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7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7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7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7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7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7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7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7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7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7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7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7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7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7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7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7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7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7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7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7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7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7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7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7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7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7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7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7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7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7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7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7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7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7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7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7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7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7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7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7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7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7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7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7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7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8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8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8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8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8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8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8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8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8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8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8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8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8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8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8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8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8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8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8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8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8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8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8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8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8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8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8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8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8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8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8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8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8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8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8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8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8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8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8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8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8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8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8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8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8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8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8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8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8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8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8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8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8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8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8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8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8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8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8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8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8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8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8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8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8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8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8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8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8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8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9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9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9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9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9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9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9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9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9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9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9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9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9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9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9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9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9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9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9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9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9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9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9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9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9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9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9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9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9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9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9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9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9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9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9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9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9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9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9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9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9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9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9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9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9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9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9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9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9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9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9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9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9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9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9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9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9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9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9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9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9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9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9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9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9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9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9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9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9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9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0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0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0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0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0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0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0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0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0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0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0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0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0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0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0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0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0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0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0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0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0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0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0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0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0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0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0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0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0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0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0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0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0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0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0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0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0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0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0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0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0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0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0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0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0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0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0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0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0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0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0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0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0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0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0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0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0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0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0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0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0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0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0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0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0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0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0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0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0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0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1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1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1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1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1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1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1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1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1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1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1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1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1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1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1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1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1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1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1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1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1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1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1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1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1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1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1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1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1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1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1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1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1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1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1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1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1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1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1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1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1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1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1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1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1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1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1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1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1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1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1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1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1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1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1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1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1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1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1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1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1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1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1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1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1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1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1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1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1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1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2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2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2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2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2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2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2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2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2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2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2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2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2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2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2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2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2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2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2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2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2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2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2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2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2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2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2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2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2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2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2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2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2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2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2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2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2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2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2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2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2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2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2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2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2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2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2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2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2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2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2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2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2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2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2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2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2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2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2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2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2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2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2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2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2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2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2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2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2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2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3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3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3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3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3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3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3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3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3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3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3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3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3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3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3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3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3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3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3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3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3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3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3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3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3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3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3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3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3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3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3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3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3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3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3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3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3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3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3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3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3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3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3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3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3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3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3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3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3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3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3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3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3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3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3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3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3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3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3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3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3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3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3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3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3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3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3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3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3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3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4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4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4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4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4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4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4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4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4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4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4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4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4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4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4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4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5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5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5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5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5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5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5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6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6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6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6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6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6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6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7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7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7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7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7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7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7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8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8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8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8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8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8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8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19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19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19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19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19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19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19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0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0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0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0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0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0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0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1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1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1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1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1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1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1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2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2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2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2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2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2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2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3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3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3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3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3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3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3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5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6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6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6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6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6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6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7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7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7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7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7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7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8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8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8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8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8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8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49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49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4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49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49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49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49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50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50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5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50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50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50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50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51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51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5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51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51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51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51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52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52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5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52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52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52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52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53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53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5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53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53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53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53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54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54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5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54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54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54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54" authorId="0" shapeId="0">
      <text>
        <t>Tanım: Aktif | Neden önemli: Tahsilat kuyruğu ve kararı etkiler | Doğru kullanım: Manuel giriş | Örnek: hücredeki örnek değere bakın | Risk: Yanlış giriş hatalı karar üretir</t>
      </text>
    </comment>
    <comment ref="A255" authorId="0" shapeId="0">
      <text>
        <t>Tanım: KartId | Neden önemli: Tahsilat kuyruğu ve kararı etkiler | Doğru kullanım: Manuel giriş | Örnek: hücredeki örnek değere bakın | Risk: Yanlış giriş hatalı karar üretir</t>
      </text>
    </comment>
    <comment ref="B255" authorId="0" shapeId="0">
      <text>
        <t>Tanım: Unvan | Neden önemli: Tahsilat kuyruğu ve kararı etkiler | Doğru kullanım: Manuel giriş | Örnek: hücredeki örnek değere bakın | Risk: Yanlış giriş hatalı karar üretir</t>
      </text>
    </comment>
    <comment ref="C25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D255" authorId="0" shapeId="0">
      <text>
        <t>Tanım: Sehir | Neden önemli: Tahsilat kuyruğu ve kararı etkiler | Doğru kullanım: Manuel giriş | Örnek: hücredeki örnek değere bakın | Risk: Yanlış giriş hatalı karar üretir</t>
      </text>
    </comment>
    <comment ref="E255" authorId="0" shapeId="0">
      <text>
        <t>Tanım: LimitTl | Neden önemli: Tahsilat kuyruğu ve kararı etkiler | Doğru kullanım: Manuel giriş | Örnek: hücredeki örnek değere bakın | Risk: Yanlış giriş hatalı karar üretir</t>
      </text>
    </comment>
    <comment ref="F255" authorId="0" shapeId="0">
      <text>
        <t>Tanım: RiskNotu | Neden önemli: Tahsilat kuyruğu ve kararı etkiler | Doğru kullanım: Manuel giriş | Örnek: hücredeki örnek değere bakın | Risk: Yanlış giriş hatalı karar üretir</t>
      </text>
    </comment>
    <comment ref="G255" authorId="0" shapeId="0">
      <text>
        <t>Tanım: Aktif | Neden önemli: Tahsilat kuyruğu ve kararı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6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6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6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6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6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6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6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6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6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6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6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6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6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7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7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7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7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7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7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7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7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7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7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7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7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7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7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8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8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8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8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8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8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8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8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8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8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8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8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8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8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9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9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9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9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9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9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9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9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9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9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9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9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9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9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10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10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10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10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10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10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10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10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10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10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10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10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10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10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11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11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11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11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11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11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11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11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11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11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11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11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11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11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12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12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12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12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12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12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12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12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12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12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12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12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12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12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13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13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13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13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13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13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13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13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13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13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13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13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13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13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14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14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14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14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14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14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14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14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14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14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14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14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14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14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15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15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15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15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15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15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15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15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15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15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15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15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15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15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16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16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16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16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16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16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16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16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16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16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16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16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16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16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17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17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17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17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17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17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17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17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17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17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17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17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17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17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18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18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18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18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18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18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18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18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18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18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18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18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18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18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19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19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19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19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19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19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19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19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19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19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19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19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19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19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20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20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20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20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20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20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20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20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20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20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20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20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20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20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21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21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21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21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21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21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21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21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21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21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21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21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21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21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22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22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22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22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22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22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22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22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22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22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22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22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22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22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23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23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23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23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23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23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23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23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23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23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23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23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23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23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24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24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24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24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24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24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24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24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24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24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24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24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24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24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25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25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25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25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25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25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25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25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25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25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25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25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25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25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26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26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26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26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26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26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26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26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26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26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26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26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26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26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27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27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27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27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27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27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27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27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27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27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27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27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27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27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28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28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28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28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28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28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28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28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28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28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28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28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28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28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29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29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29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29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29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29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29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29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29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29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29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29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29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29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30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30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30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30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30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30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30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30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30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30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30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30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30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30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31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31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31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31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31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31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31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31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31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31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31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31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31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31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32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32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32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32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32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32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32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32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32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32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32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32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32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32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33" authorId="0" shapeId="0">
      <text>
        <t>Tanım: İşlem Kimliği | Neden önemli: Tahsilat kuyruğu ve kararı etkiler | Doğru kullanım: FAT-##### | Örnek: hücredeki örnek değere bakın | Risk: Yanlış giriş hatalı karar üretir</t>
      </text>
    </comment>
    <comment ref="B33" authorId="0" shapeId="0">
      <text>
        <t>Tanım: Kaynak Kart | Neden önemli: Tahsilat kuyruğu ve kararı etkiler | Doğru kullanım: KARTLAR'daki KartId | Örnek: hücredeki örnek değere bakın | Risk: Yanlış giriş hatalı karar üretir</t>
      </text>
    </comment>
    <comment ref="C33" authorId="0" shapeId="0">
      <text>
        <t>Tanım: Fatura No | Neden önemli: Tahsilat kuyruğu ve kararı etkiler | Doğru kullanım: Fatura numarası | Örnek: hücredeki örnek değere bakın | Risk: Yanlış giriş hatalı karar üretir</t>
      </text>
    </comment>
    <comment ref="D33" authorId="0" shapeId="0">
      <text>
        <t>Tanım: Vade Tarihi | Neden önemli: Tahsilat kuyruğu ve kararı etkiler | Doğru kullanım: Vade tarihi | Örnek: hücredeki örnek değere bakın | Risk: Yanlış giriş hatalı karar üretir</t>
      </text>
    </comment>
    <comment ref="E33" authorId="0" shapeId="0">
      <text>
        <t>Tanım: Ödeme Tarihi | Neden önemli: Tahsilat kuyruğu ve kararı etkiler | Doğru kullanım: Ödeme tarihi (boş = ödenmedi) | Örnek: hücredeki örnek değere bakın | Risk: Yanlış giriş hatalı karar üretir</t>
      </text>
    </comment>
    <comment ref="F33" authorId="0" shapeId="0">
      <text>
        <t>Tanım: Önceki Durum | Neden önemli: Tahsilat kuyruğu ve kararı etkiler | Doğru kullanım: Önceki durum_id | Örnek: hücredeki örnek değere bakın | Risk: Yanlış giriş hatalı karar üretir</t>
      </text>
    </comment>
    <comment ref="G33" authorId="0" shapeId="0">
      <text>
        <t>Tanım: Durum | Neden önemli: Tahsilat kuyruğu ve kararı etkiler | Doğru kullanım: Durum haritasından seçin | Örnek: hücredeki örnek değere bakın | Risk: Yanlış giriş hatalı karar üretir</t>
      </text>
    </comment>
    <comment ref="H33" authorId="0" shapeId="0">
      <text>
        <t>Tanım: Fatura Tutarı | Neden önemli: Tahsilat kuyruğu ve kararı etkiler | Doğru kullanım: Fatura tutarı TL | Örnek: hücredeki örnek değere bakın | Risk: Yanlış giriş hatalı karar üretir</t>
      </text>
    </comment>
    <comment ref="I33" authorId="0" shapeId="0">
      <text>
        <t>Tanım: Ödeme Tutarı | Neden önemli: Tahsilat kuyruğu ve kararı etkiler | Doğru kullanım: Ödeme tutarı TL | Örnek: hücredeki örnek değere bakın | Risk: Yanlış giriş hatalı karar üretir</t>
      </text>
    </comment>
    <comment ref="J33" authorId="0" shapeId="0">
      <text>
        <t>Tanım: Açık Tutar | Neden önemli: Tahsilat kuyruğu ve kararı etkiler | Doğru kullanım: Açık bakiye TL | Örnek: hücredeki örnek değere bakın | Risk: Yanlış giriş hatalı karar üretir</t>
      </text>
    </comment>
    <comment ref="K33" authorId="0" shapeId="0">
      <text>
        <t>Tanım: Risk Skoru | Neden önemli: Tahsilat kuyruğu ve kararı etkiler | Doğru kullanım: 0-100 risk skoru | Örnek: hücredeki örnek değere bakın | Risk: Yanlış giriş hatalı karar üretir</t>
      </text>
    </comment>
    <comment ref="L33" authorId="0" shapeId="0">
      <text>
        <t>Tanım: Sektör | Neden önemli: Tahsilat kuyruğu ve kararı etkiler | Doğru kullanım: Sektör | Örnek: hücredeki örnek değere bakın | Risk: Yanlış giriş hatalı karar üretir</t>
      </text>
    </comment>
    <comment ref="M33" authorId="0" shapeId="0">
      <text>
        <t>Tanım: Yorum A | Neden önemli: Tahsilat kuyruğu ve kararı etkiler | Doğru kullanım: A veya B | Örnek: hücredeki örnek değere bakın | Risk: Yanlış giriş hatalı karar üretir</t>
      </text>
    </comment>
    <comment ref="N33" authorId="0" shapeId="0">
      <text>
        <t>Tanım: Yorum B | Neden önemli: Tahsilat kuyruğu ve kararı etkiler | Doğru kullanım: Serbest takip notu | Örnek: hücredeki örnek değere bakın | Risk: Yanlış giriş hatalı karar üretir</t>
      </text>
    </comment>
    <comment ref="A3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3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3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3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3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3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3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3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3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3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3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3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3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3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3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3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3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3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3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3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3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3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3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3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3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3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3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3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3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3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3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3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3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3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3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3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3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3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3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3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3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3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3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3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3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3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3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3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3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3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3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3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3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3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3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3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3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3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3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3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3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3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3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3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3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3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3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3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3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3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3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3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3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3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3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3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3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3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3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3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3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3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3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3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4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4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4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4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4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4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4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4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4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4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4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4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4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4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4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4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4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4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4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4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4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4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4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4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4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4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4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4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4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4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4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4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4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4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4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4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4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4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4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4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4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4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4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4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4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4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4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4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4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4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4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4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4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4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4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4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4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4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4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4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4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4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4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4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4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4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4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4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4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4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4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4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4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4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4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4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4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4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4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4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4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4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4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4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4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4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4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4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4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4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4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4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4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4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4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4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4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4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4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4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4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4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4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4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4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4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4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4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4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4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4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4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4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4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4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4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4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4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4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4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4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4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4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4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4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4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4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4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4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4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4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4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4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4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4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4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4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4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4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4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5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5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5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5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5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5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5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5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5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5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5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5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5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5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5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5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5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5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5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5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5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5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5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5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5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5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5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5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5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5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5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5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5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5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5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5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5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5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5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5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5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5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5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5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5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5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5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5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5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5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5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5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5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5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5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5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5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5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5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5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5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5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5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5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5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5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5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5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5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5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5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5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5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5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5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5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5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5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5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5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5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5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5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5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5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5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5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5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5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5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5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5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5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5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5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5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5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5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5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5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5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5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5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5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5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5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5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5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5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5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5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5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5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5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5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5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5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5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5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5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5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5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5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5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5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5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5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5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5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5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5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5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5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5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5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5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5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5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5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5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6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6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6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6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6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6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6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6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6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6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6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6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6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6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6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6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6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6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6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6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6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6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6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6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6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6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6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6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6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6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6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6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6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6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6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6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6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6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6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6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6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6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6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6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6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6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6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6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6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6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6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6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6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6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6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6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6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6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6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6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6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6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6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6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6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6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6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6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6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6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6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6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6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6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6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6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6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6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6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6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6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6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6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6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6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6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6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6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6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6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6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6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6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6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6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6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6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6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6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6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6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6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6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6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6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6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6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6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6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6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6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6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6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6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6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6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6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6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6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6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6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6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6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6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6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6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6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6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6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6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6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6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6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6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6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6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6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6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6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6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7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7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7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7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7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7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7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7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7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7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7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7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7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7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7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7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7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7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7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7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7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7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7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7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7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7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7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7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7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7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7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7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7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7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7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7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7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7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7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7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7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7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7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7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7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7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7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7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7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7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7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7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7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7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7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7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7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7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7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7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7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7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7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7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7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7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7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7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7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7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7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7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7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7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7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7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7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7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7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7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7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7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7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7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7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7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7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7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7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7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7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7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7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7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7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7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7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7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7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7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7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7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7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7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7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7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7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7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7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7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7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7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7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7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7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7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7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7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7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7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7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7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7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7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7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7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7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7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7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7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7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7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7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7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7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7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7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7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7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7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8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8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8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8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8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8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8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8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8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8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8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8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8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8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8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8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8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8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8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8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8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8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8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8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8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8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8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8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8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8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8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8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8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8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8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8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8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8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8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8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8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8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8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8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8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8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8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8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8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8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8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8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8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8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8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8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8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8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8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8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8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8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8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8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8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8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8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8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8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8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8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8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8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8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8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8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8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8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8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8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8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8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8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8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8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8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8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8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8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8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8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8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8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8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8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8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8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8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8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8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8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8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8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8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8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8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8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8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8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8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8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8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8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8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8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8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8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8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8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8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8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8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8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8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8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8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8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8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8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8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8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8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8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8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8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8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8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8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8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8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9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9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9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9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9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9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9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9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9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9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9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9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9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9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9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9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9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9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9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9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9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9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9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9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9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9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9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9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9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9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9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9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9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9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9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9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9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9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9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9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9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9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9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9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9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9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9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9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9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9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9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9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9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9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9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9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9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9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9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9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9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9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9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9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9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9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9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9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9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9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9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9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9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9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9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9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9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9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9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9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9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9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9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9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9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9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9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9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9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9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9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9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9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9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9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9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9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9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9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9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9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9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9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9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9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9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9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9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9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9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9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9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9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9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9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9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9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9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9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9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9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9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9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9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9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9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9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9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9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9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9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9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9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9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9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9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9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9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9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9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0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0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0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0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0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0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0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0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0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0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0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0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0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0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0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0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0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0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0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0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0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0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0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0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0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0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0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0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0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0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0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0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0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0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0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0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0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0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0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0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0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0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0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0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0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0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0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0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0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0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0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0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0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0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0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0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0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0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0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0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0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0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0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0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0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0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0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0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0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0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0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0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0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0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0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0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0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0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0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0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0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0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0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0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0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0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0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0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0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0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0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0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0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0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0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0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0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0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0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0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0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0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0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0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0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0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0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0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0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0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0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0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0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0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0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0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0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0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0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0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0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0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0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0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0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0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0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0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0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0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0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0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0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0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0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0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0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0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0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0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1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1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1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1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1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1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1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1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1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1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1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1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1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1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1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1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1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1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1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1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1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1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1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1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1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1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1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1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1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1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1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1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1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1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1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1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1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1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1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1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1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1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1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1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1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1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1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1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1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1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1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1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1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1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1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1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1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1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1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1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1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1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1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1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1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1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1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1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1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1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1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1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1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1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1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1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1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1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1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1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1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1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1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1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1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1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1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1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1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1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1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1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1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1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1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1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1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1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1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1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1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1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1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1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1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1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1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1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1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1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1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1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1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1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1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1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1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1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1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1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1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1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1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1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1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1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1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1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1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1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1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1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1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1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1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1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1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1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1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1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2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2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2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2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2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2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2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2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2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2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2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2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2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2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2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2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2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2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2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2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2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2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2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2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2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2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2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2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2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2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2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2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2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2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2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2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2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2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2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2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2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2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2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2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2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2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2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2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2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2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2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2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2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2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2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2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2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2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2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2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2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2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2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2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2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2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2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2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2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2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2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2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2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2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2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2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2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2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2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2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2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2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2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2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2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2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2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2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2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2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2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2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2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2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2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2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2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2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2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2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2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2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2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2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2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2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2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2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2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2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2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2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2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2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2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2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2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2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2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2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2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2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2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2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2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2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2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2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2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2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2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2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2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2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2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2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2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2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2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2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3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3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3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3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3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3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3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3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3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3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3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3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3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3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3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3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3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3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3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3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3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3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3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3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3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3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3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3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3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3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3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3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3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3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3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3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3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3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3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3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3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3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3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3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3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3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3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3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3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3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3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3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3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3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3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3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3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3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3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3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3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3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3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3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3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3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3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3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3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3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3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3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3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3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3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3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3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3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3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3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3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3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3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3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3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3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3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3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3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3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3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3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3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3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3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3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3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3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3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3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3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3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3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3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3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3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3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3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3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3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3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3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3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3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3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3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3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3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3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3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3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3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3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3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3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3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3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3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3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3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3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3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3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3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3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3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3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3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3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3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4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4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4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4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4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4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4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4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4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4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4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4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4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4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4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4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4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4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4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4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4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4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4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4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4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4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4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4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4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4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4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4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4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4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4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4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4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4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4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4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4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4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4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4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4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4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4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4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4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4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4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4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4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4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4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4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4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4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4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4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4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4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4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4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4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4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4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4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4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4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4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4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4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4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4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4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4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4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4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4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4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4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4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4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4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4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4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4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4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4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4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4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4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4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4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4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4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4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4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4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4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4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4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4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4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4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4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4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4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4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4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4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4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4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4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4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4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4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4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4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4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4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4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4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4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4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4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4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4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4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4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4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4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4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4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4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4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4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4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4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5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5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5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5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5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5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5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5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5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5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5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5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5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5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5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5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5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5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5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5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5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5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5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5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5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5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5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5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5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5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5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5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5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5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5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5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5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5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5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5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5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5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5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5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5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5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5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5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5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5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5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5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5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5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5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5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5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5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5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5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5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5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5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5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5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5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5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5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5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5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5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5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5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5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5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5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5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5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5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5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5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5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5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5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5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5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5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5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5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5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5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5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5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5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5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5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5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5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5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5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5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5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5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5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5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5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5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5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5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5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5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5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5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5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5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5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5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5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5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5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5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5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5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5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5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5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5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5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5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5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5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5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5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5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5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5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5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5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5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5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6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6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6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6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6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6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6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6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6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6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6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6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6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6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6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6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6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6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6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6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6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6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6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6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6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6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6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6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6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6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6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6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6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6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6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6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6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6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6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6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6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6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6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6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6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6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6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6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6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6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6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6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6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6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6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6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6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6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6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6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6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6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6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6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6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6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6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6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6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6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6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6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6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6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6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6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6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6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6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6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6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6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6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6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6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6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6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6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6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6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6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6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6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6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6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6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6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6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6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6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6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6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6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6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6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6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6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6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6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6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6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6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6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6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6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6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6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6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6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6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6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6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6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6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6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6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6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6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6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6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6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6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6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6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6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6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6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6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6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6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7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7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7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7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7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7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7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7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7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7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7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7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7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7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7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7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7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7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7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7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7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7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7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7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7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7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7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7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7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7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7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7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7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7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7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7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7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7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7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7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7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7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7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7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7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7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7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7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7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7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7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7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7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7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7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7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7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7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7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7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7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7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7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7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7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7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7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7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7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7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7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7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7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7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7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7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7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7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7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7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7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7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7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7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7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7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7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7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7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7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7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7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7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7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7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7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7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7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7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7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7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7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7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7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7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7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7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7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7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7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7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7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7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7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7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7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7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7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7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7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7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7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7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7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7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7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7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7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7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7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7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7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7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7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7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7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7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7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7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7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8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8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8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8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8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8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8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8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8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8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8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8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8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8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8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8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8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8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8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8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8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8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8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8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8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8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8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8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8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8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8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8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8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8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8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8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8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8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8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8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8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8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8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8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8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8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8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8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8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8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8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8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8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8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8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8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8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8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8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8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8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8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8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8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8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8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8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8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8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8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8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8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8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8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8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8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8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8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8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8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8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8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8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8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8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8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8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8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8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8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8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8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8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8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8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8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8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8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8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8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8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8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8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8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8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8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8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8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8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8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8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8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8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8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8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8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8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8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8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8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8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8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8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8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8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8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8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8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8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8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8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8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8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8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8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8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8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8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8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8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9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9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9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9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9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9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9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9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9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9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9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9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9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9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9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9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9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9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9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9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9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9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9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9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9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9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9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9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9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9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9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9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9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9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9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9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9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9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9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9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9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9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9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9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9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9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9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9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9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9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9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9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9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9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9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9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9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9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9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9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9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9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9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9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9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9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9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9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9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9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9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9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9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9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9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9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9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9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9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9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9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9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9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9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9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9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9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9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9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9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9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9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9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9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9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9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9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9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9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9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9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9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9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9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9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9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9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9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9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9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9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9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9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9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9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9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9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9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9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9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9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9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9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9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9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9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19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19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19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19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19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19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19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19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19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19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19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19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19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19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0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0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0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0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0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0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0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0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0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0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0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0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0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0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0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0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0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0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0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0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0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0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0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0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0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0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0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0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0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0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0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0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0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0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0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0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0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0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0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0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0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0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0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0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0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0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0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0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0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0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0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0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0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0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0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0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0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0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0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0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0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0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0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0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0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0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0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0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0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0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0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0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0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0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0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0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0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0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0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0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0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0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0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0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0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0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0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0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0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0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0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0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0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0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0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0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0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0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0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0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0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0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0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0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0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0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0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0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0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0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0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0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0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0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0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0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0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0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0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0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0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0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0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0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0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0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0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0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0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0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0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0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0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0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0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0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0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0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0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0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1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1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1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1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1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1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1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1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1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1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1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1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1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1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1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1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1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1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1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1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1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1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1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1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1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1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1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1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1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1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1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1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1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1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1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1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1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1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1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1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1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1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1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1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1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1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1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1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1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1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1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1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1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1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1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1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1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1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1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1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1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1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1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1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1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1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1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1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1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1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1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1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1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1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1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1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1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1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1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1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1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1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1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1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1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1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1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1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1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1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1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1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1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1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1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1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1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1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1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1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1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1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1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1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1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1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1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1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1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1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1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1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1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1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1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1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1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1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1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1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1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1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1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1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1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1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1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1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1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1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1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1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1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1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1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1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1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1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1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1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2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2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2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2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2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2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2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2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2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2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2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2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2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2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2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2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2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2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2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2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2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2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2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2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2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2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2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2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2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2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2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2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2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2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2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2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2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2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2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2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2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2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2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2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2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2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2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2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2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2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2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2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2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2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2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2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2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2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2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2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2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2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2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2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2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2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2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2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2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2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2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2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2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2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2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2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2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2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2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2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2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2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2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2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2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2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2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2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2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2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2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2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2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2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2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2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2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2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2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2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2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2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2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2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2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2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2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2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2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2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2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2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2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2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2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2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2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2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2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2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2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2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2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2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2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2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2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2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2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2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2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2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2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2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2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2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2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2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2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2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3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3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3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3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3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3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3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3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3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3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3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3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3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3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3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3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3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3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3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3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3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3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3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3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3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3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3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3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3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3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3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3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3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3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3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3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3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3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3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3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3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3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3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3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3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3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3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3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3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3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3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3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3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3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3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3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3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3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3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3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3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3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3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3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3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3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3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3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3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3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3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3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3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3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3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3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3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3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3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3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3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3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3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3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3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3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3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3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3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3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3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3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3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3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3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3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3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3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3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3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3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3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3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3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3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3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3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3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3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3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3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3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3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3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3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3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3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3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3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3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3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3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3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3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3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3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3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3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3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3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3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3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3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3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3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3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3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3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3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3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4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4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4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4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4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4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4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4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4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4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4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4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4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4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4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4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4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4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4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4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4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4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4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4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4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4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4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4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4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4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4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4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4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4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4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4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4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4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4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4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4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4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4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4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4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4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4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4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4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4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4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4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4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4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4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4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4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4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4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4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4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4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4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4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4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4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4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4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4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4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4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4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4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4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4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4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4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4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4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4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4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4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4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4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46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46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46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46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46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46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46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46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46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46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46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46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46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46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47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47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47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47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47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47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47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47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47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47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47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47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47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47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48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48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48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48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48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48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48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48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48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48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48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48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48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48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49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49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49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49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49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49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49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49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49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49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49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49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49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49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50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50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50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50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50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50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50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50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50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50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50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50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50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50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51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51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51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51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51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51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51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51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51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51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51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51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51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51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52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52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52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52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52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52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52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52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52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52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52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52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52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52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53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53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53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53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53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53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53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53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53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53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53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53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53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53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54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54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54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54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54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54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54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54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54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54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54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54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54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54" authorId="0" shapeId="0">
      <text>
        <t>Tanım: YorumB | Neden önemli: Tahsilat kuyruğu ve kararı etkiler | Doğru kullanım: Manuel giriş | Örnek: hücredeki örnek değere bakın | Risk: Yanlış giriş hatalı karar üretir</t>
      </text>
    </comment>
    <comment ref="A255" authorId="0" shapeId="0">
      <text>
        <t>Tanım: IslemId | Neden önemli: Tahsilat kuyruğu ve kararı etkiler | Doğru kullanım: Manuel giriş | Örnek: hücredeki örnek değere bakın | Risk: Yanlış giriş hatalı karar üretir</t>
      </text>
    </comment>
    <comment ref="B255" authorId="0" shapeId="0">
      <text>
        <t>Tanım: KaynakKartId | Neden önemli: Tahsilat kuyruğu ve kararı etkiler | Doğru kullanım: Manuel giriş | Örnek: hücredeki örnek değere bakın | Risk: Yanlış giriş hatalı karar üretir</t>
      </text>
    </comment>
    <comment ref="C255" authorId="0" shapeId="0">
      <text>
        <t>Tanım: FaturaNo | Neden önemli: Tahsilat kuyruğu ve kararı etkiler | Doğru kullanım: Manuel giriş | Örnek: hücredeki örnek değere bakın | Risk: Yanlış giriş hatalı karar üretir</t>
      </text>
    </comment>
    <comment ref="D255" authorId="0" shapeId="0">
      <text>
        <t>Tanım: VadeTarihi | Neden önemli: Tahsilat kuyruğu ve kararı etkiler | Doğru kullanım: Manuel giriş | Örnek: hücredeki örnek değere bakın | Risk: Yanlış giriş hatalı karar üretir</t>
      </text>
    </comment>
    <comment ref="E255" authorId="0" shapeId="0">
      <text>
        <t>Tanım: OdemeTarihi | Neden önemli: Tahsilat kuyruğu ve kararı etkiler | Doğru kullanım: Manuel giriş | Örnek: hücredeki örnek değere bakın | Risk: Yanlış giriş hatalı karar üretir</t>
      </text>
    </comment>
    <comment ref="F255" authorId="0" shapeId="0">
      <text>
        <t>Tanım: OncekiDurum | Neden önemli: Tahsilat kuyruğu ve kararı etkiler | Doğru kullanım: Manuel giriş | Örnek: hücredeki örnek değere bakın | Risk: Yanlış giriş hatalı karar üretir</t>
      </text>
    </comment>
    <comment ref="G255" authorId="0" shapeId="0">
      <text>
        <t>Tanım: Durum | Neden önemli: Tahsilat kuyruğu ve kararı etkiler | Doğru kullanım: Manuel giriş | Örnek: hücredeki örnek değere bakın | Risk: Yanlış giriş hatalı karar üretir</t>
      </text>
    </comment>
    <comment ref="H255" authorId="0" shapeId="0">
      <text>
        <t>Tanım: FaturaTutari | Neden önemli: Tahsilat kuyruğu ve kararı etkiler | Doğru kullanım: Manuel giriş | Örnek: hücredeki örnek değere bakın | Risk: Yanlış giriş hatalı karar üretir</t>
      </text>
    </comment>
    <comment ref="I255" authorId="0" shapeId="0">
      <text>
        <t>Tanım: OdemeTutari | Neden önemli: Tahsilat kuyruğu ve kararı etkiler | Doğru kullanım: Manuel giriş | Örnek: hücredeki örnek değere bakın | Risk: Yanlış giriş hatalı karar üretir</t>
      </text>
    </comment>
    <comment ref="J255" authorId="0" shapeId="0">
      <text>
        <t>Tanım: Tutar | Neden önemli: Tahsilat kuyruğu ve kararı etkiler | Doğru kullanım: Manuel giriş | Örnek: hücredeki örnek değere bakın | Risk: Yanlış giriş hatalı karar üretir</t>
      </text>
    </comment>
    <comment ref="K255" authorId="0" shapeId="0">
      <text>
        <t>Tanım: RiskSkoru | Neden önemli: Tahsilat kuyruğu ve kararı etkiler | Doğru kullanım: Manuel giriş | Örnek: hücredeki örnek değere bakın | Risk: Yanlış giriş hatalı karar üretir</t>
      </text>
    </comment>
    <comment ref="L255" authorId="0" shapeId="0">
      <text>
        <t>Tanım: Sektor | Neden önemli: Tahsilat kuyruğu ve kararı etkiler | Doğru kullanım: Manuel giriş | Örnek: hücredeki örnek değere bakın | Risk: Yanlış giriş hatalı karar üretir</t>
      </text>
    </comment>
    <comment ref="M255" authorId="0" shapeId="0">
      <text>
        <t>Tanım: YorumA | Neden önemli: Tahsilat kuyruğu ve kararı etkiler | Doğru kullanım: Manuel giriş | Örnek: hücredeki örnek değere bakın | Risk: Yanlış giriş hatalı karar üretir</t>
      </text>
    </comment>
    <comment ref="N255" authorId="0" shapeId="0">
      <text>
        <t>Tanım: YorumB | Neden önemli: Tahsilat kuyruğu ve kararı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Tahsilat kuyruğu ve kararı etkiler | Doğru kullanım: Durum kimliği | Örnek: hücredeki örnek değere bakın | Risk: Yanlış giriş hatalı karar üretir</t>
      </text>
    </comment>
    <comment ref="C7" authorId="0" shapeId="0">
      <text>
        <t>Tanım: Geçiş | Neden önemli: Tahsilat kuyruğu ve kararı etkiler | Doğru kullanım: eski|yeni | Örnek: hücredeki örnek değere bakın | Risk: Yanlış giriş hatalı karar üretir</t>
      </text>
    </comment>
    <comment ref="E7" authorId="0" shapeId="0">
      <text>
        <t>Tanım: Seçim | Neden önemli: Tahsilat kuyruğu ve kararı etkiler | Doğru kullanım: EVET/HAYIR | Örnek: hücredeki örnek değere bakın | Risk: Yanlış giriş hatalı karar üretir</t>
      </text>
    </comment>
    <comment ref="G7" authorId="0" shapeId="0">
      <text>
        <t>Tanım: Yorum | Neden önemli: Tahsilat kuyruğu ve kararı etkiler | Doğru kullanım: A veya B | Örnek: hücredeki örnek değere bakın | Risk: Yanlış giriş hatalı karar üretir</t>
      </text>
    </comment>
    <comment ref="I7" authorId="0" shapeId="0">
      <text>
        <t>Tanım: Sektör | Neden önemli: Tahsilat kuyruğu ve kararı etkiler | Doğru kullanım: Sektör listesi | Örnek: hücredeki örnek değere bakın | Risk: Yanlış giriş hatalı karar üretir</t>
      </text>
    </comment>
    <comment ref="A8" authorId="0" shapeId="0">
      <text>
        <t>Tanım: Durum | Neden önemli: Tahsilat kuyruğu ve kararı etkiler | Doğru kullanım: Durum kimliği | Örnek: hücredeki örnek değere bakın | Risk: Yanlış giriş hatalı karar üretir</t>
      </text>
    </comment>
    <comment ref="C8" authorId="0" shapeId="0">
      <text>
        <t>Tanım: Geçiş | Neden önemli: Tahsilat kuyruğu ve kararı etkiler | Doğru kullanım: eski|yeni | Örnek: hücredeki örnek değere bakın | Risk: Yanlış giriş hatalı karar üretir</t>
      </text>
    </comment>
    <comment ref="E8" authorId="0" shapeId="0">
      <text>
        <t>Tanım: Seçim | Neden önemli: Tahsilat kuyruğu ve kararı etkiler | Doğru kullanım: EVET/HAYIR | Örnek: hücredeki örnek değere bakın | Risk: Yanlış giriş hatalı karar üretir</t>
      </text>
    </comment>
    <comment ref="G8" authorId="0" shapeId="0">
      <text>
        <t>Tanım: Yorum | Neden önemli: Tahsilat kuyruğu ve kararı etkiler | Doğru kullanım: A veya B | Örnek: hücredeki örnek değere bakın | Risk: Yanlış giriş hatalı karar üretir</t>
      </text>
    </comment>
    <comment ref="I8" authorId="0" shapeId="0">
      <text>
        <t>Tanım: Sektör | Neden önemli: Tahsilat kuyruğu ve kararı etkiler | Doğru kullanım: Sektör listesi | Örnek: hücredeki örnek değere bakın | Risk: Yanlış giriş hatalı karar üretir</t>
      </text>
    </comment>
    <comment ref="A9" authorId="0" shapeId="0">
      <text>
        <t>Tanım: Durum | Neden önemli: Tahsilat kuyruğu ve kararı etkiler | Doğru kullanım: Durum kimliği | Örnek: hücredeki örnek değere bakın | Risk: Yanlış giriş hatalı karar üretir</t>
      </text>
    </comment>
    <comment ref="C9" authorId="0" shapeId="0">
      <text>
        <t>Tanım: Geçiş | Neden önemli: Tahsilat kuyruğu ve kararı etkiler | Doğru kullanım: eski|yeni | Örnek: hücredeki örnek değere bakın | Risk: Yanlış giriş hatalı karar üretir</t>
      </text>
    </comment>
    <comment ref="I9" authorId="0" shapeId="0">
      <text>
        <t>Tanım: Sektör | Neden önemli: Tahsilat kuyruğu ve kararı etkiler | Doğru kullanım: Sektör listesi | Örnek: hücredeki örnek değere bakın | Risk: Yanlış giriş hatalı karar üretir</t>
      </text>
    </comment>
    <comment ref="A10" authorId="0" shapeId="0">
      <text>
        <t>Tanım: Durum | Neden önemli: Tahsilat kuyruğu ve kararı etkiler | Doğru kullanım: Durum kimliği | Örnek: hücredeki örnek değere bakın | Risk: Yanlış giriş hatalı karar üretir</t>
      </text>
    </comment>
    <comment ref="C10" authorId="0" shapeId="0">
      <text>
        <t>Tanım: Geçiş | Neden önemli: Tahsilat kuyruğu ve kararı etkiler | Doğru kullanım: eski|yeni | Örnek: hücredeki örnek değere bakın | Risk: Yanlış giriş hatalı karar üretir</t>
      </text>
    </comment>
    <comment ref="I10" authorId="0" shapeId="0">
      <text>
        <t>Tanım: Sektör | Neden önemli: Tahsilat kuyruğu ve kararı etkiler | Doğru kullanım: Sektör listesi | Örnek: hücredeki örnek değere bakın | Risk: Yanlış giriş hatalı karar üretir</t>
      </text>
    </comment>
    <comment ref="A11" authorId="0" shapeId="0">
      <text>
        <t>Tanım: Durum | Neden önemli: Tahsilat kuyruğu ve kararı etkiler | Doğru kullanım: Durum kimliği | Örnek: hücredeki örnek değere bakın | Risk: Yanlış giriş hatalı karar üretir</t>
      </text>
    </comment>
    <comment ref="C11" authorId="0" shapeId="0">
      <text>
        <t>Tanım: Geçiş | Neden önemli: Tahsilat kuyruğu ve kararı etkiler | Doğru kullanım: eski|yeni | Örnek: hücredeki örnek değere bakın | Risk: Yanlış giriş hatalı karar üretir</t>
      </text>
    </comment>
    <comment ref="I11" authorId="0" shapeId="0">
      <text>
        <t>Tanım: Sektör | Neden önemli: Tahsilat kuyruğu ve kararı etkiler | Doğru kullanım: Sektör listesi | Örnek: hücredeki örnek değere bakın | Risk: Yanlış giriş hatalı karar üretir</t>
      </text>
    </comment>
    <comment ref="I12" authorId="0" shapeId="0">
      <text>
        <t>Tanım: Sektör | Neden önemli: Tahsilat kuyruğu ve kararı etkiler | Doğru kullanım: Sektör listesi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Tahsilat kuyruğu ve kararı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Tahsilat kuyruğu ve kararı etkiler | Doğru kullanım: ZİNCİR KIRIK eşiği | Örnek: hücredeki örnek değere bakın | Risk: Yanlış giriş hatalı karar üretir</t>
      </text>
    </comment>
    <comment ref="B8" authorId="0" shapeId="0">
      <text>
        <t>Tanım: trv_esikGecikmeGun | Neden önemli: Tahsilat kuyruğu ve kararı etkiler | Doğru kullanım: Gecikme eşiği | Örnek: hücredeki örnek değere bakın | Risk: Yanlış giriş hatalı karar üretir</t>
      </text>
    </comment>
    <comment ref="B9" authorId="0" shapeId="0">
      <text>
        <t>Tanım: trv_esikGeciken | Neden önemli: Tahsilat kuyruğu ve kararı etkiler | Doğru kullanım: Karar eşiği geciken | Örnek: hücredeki örnek değere bakın | Risk: Yanlış giriş hatalı karar üretir</t>
      </text>
    </comment>
    <comment ref="B10" authorId="0" shapeId="0">
      <text>
        <t>Tanım: trv_kovaEsik1 | Neden önemli: Tahsilat kuyruğu ve kararı etkiler | Doğru kullanım: Kova 1 üst sınır | Örnek: hücredeki örnek değere bakın | Risk: Yanlış giriş hatalı karar üretir</t>
      </text>
    </comment>
    <comment ref="B11" authorId="0" shapeId="0">
      <text>
        <t>Tanım: trv_kovaEsik2 | Neden önemli: Tahsilat kuyruğu ve kararı etkiler | Doğru kullanım: Kova 2 üst sınır | Örnek: hücredeki örnek değere bakın | Risk: Yanlış giriş hatalı karar üretir</t>
      </text>
    </comment>
    <comment ref="B12" authorId="0" shapeId="0">
      <text>
        <t>Tanım: trv_kovaEsik3 | Neden önemli: Tahsilat kuyruğu ve kararı etkiler | Doğru kullanım: Kova 3 üst sınır | Örnek: hücredeki örnek değere bakın | Risk: Yanlış giriş hatalı karar üretir</t>
      </text>
    </comment>
    <comment ref="B13" authorId="0" shapeId="0">
      <text>
        <t>Tanım: trv_olasilikK1 | Neden önemli: Tahsilat kuyruğu ve kararı etkiler | Doğru kullanım: 0-30 gün olasılık | Örnek: hücredeki örnek değere bakın | Risk: Yanlış giriş hatalı karar üretir</t>
      </text>
    </comment>
    <comment ref="B14" authorId="0" shapeId="0">
      <text>
        <t>Tanım: trv_olasilikK2 | Neden önemli: Tahsilat kuyruğu ve kararı etkiler | Doğru kullanım: 31-60 gün olasılık | Örnek: hücredeki örnek değere bakın | Risk: Yanlış giriş hatalı karar üretir</t>
      </text>
    </comment>
    <comment ref="B15" authorId="0" shapeId="0">
      <text>
        <t>Tanım: trv_olasilikK3 | Neden önemli: Tahsilat kuyruğu ve kararı etkiler | Doğru kullanım: 61-90 gün olasılık | Örnek: hücredeki örnek değere bakın | Risk: Yanlış giriş hatalı karar üretir</t>
      </text>
    </comment>
    <comment ref="B16" authorId="0" shapeId="0">
      <text>
        <t>Tanım: trv_olasilikK4 | Neden önemli: Tahsilat kuyruğu ve kararı etkiler | Doğru kullanım: 90+ gün olasılık | Örnek: hücredeki örnek değere bakın | Risk: Yanlış giriş hatalı karar üretir</t>
      </text>
    </comment>
    <comment ref="B17" authorId="0" shapeId="0">
      <text>
        <t>Tanım: trv_riskTaban | Neden önemli: Tahsilat kuyruğu ve kararı etkiler | Doğru kullanım: Risk çarpan tabanı | Örnek: hücredeki örnek değere bakın | Risk: Yanlış giriş hatalı karar üretir</t>
      </text>
    </comment>
    <comment ref="B18" authorId="0" shapeId="0">
      <text>
        <t>Tanım: trv_senaryoTemkinli | Neden önemli: Tahsilat kuyruğu ve kararı etkiler | Doğru kullanım: Temkinli çarpan | Örnek: hücredeki örnek değere bakın | Risk: Yanlış giriş hatalı karar üretir</t>
      </text>
    </comment>
    <comment ref="B19" authorId="0" shapeId="0">
      <text>
        <t>Tanım: trv_senaryoBaz | Neden önemli: Tahsilat kuyruğu ve kararı etkiler | Doğru kullanım: Baz çarpan | Örnek: hücredeki örnek değere bakın | Risk: Yanlış giriş hatalı karar üretir</t>
      </text>
    </comment>
    <comment ref="B20" authorId="0" shapeId="0">
      <text>
        <t>Tanım: trv_senaryoIyimser | Neden önemli: Tahsilat kuyruğu ve kararı etkiler | Doğru kullanım: İyimser çarpan | Örnek: hücredeki örnek değere bakın | Risk: Yanlış giriş hatalı karar üretir</t>
      </text>
    </comment>
    <comment ref="B21" authorId="0" shapeId="0">
      <text>
        <t>Tanım: trv_tornadoOran | Neden önemli: Tahsilat kuyruğu ve kararı etkiler | Doğru kullanım: Tornado etki oranı | Örnek: hücredeki örnek değere bakın | Risk: Yanlış giriş hatalı karar üretir</t>
      </text>
    </comment>
    <comment ref="B22" authorId="0" shapeId="0">
      <text>
        <t>Tanım: trv_yuzdelikOran | Neden önemli: Tahsilat kuyruğu ve kararı etkiler | Doğru kullanım: PERCENTILE oranı | Örnek: hücredeki örnek değere bakın | Risk: Yanlış giriş hatalı karar üretir</t>
      </text>
    </comment>
    <comment ref="B23" authorId="0" shapeId="0">
      <text>
        <t>Tanım: trv_olcekHedef | Neden önemli: Tahsilat kuyruğu ve kararı etkiler | Doğru kullanım: Ölçek sözleşmesi | Örnek: hücredeki örnek değere bakın | Risk: Yanlış giriş hatalı karar üretir</t>
      </text>
    </comment>
    <comment ref="B24" authorId="0" shapeId="0">
      <text>
        <t>Tanım: trv_azamiTutar | Neden önemli: Tahsilat kuyruğu ve kararı etkiler | Doğru kullanım: Azami makul | Örnek: hücredeki örnek değere bakın | Risk: Yanlış giriş hatalı karar üretir</t>
      </text>
    </comment>
    <comment ref="B25" authorId="0" shapeId="0">
      <text>
        <t>Tanım: trv_durumHaritasi | Neden önemli: Tahsilat kuyruğu ve kararı etkiler | Doğru kullanım: Durum makinesi kaynağı | Örnek: hücredeki örnek değere bakın | Risk: Yanlış giriş hatalı karar üretir</t>
      </text>
    </comment>
    <comment ref="B26" authorId="0" shapeId="0">
      <text>
        <t>Tanım: trv_kuyrukOzeti_metin | Neden önemli: Tahsilat kuyruğu ve kararı etkiler | Doğru kullanım: Kuyruk görünümü | Örnek: hücredeki örnek değere bakın | Risk: Yanlış giriş hatalı karar üretir</t>
      </text>
    </comment>
    <comment ref="B27" authorId="0" shapeId="0">
      <text>
        <t>Tanım: trv_kapaliDusum_metin | Neden önemli: Tahsilat kuyruğu ve kararı etkiler | Doğru kullanım: Kapalı düşüm kuralı | Örnek: hücredeki örnek değere bakın | Risk: Yanlış giriş hatalı karar üretir</t>
      </text>
    </comment>
    <comment ref="B28" authorId="0" shapeId="0">
      <text>
        <t>Tanım: trv_kanitRaporu_metin | Neden önemli: Tahsilat kuyruğu ve kararı etkiler | Doğru kullanım: Kanıt raporu | Örnek: hücredeki örnek değere bakın | Risk: Yanlış giriş hatalı karar üretir</t>
      </text>
    </comment>
    <comment ref="B29" authorId="0" shapeId="0">
      <text>
        <t>Tanım: trv_dosyaSurumu | Neden önemli: Tahsilat kuyruğu ve kararı etkiler | Doğru kullanım: Ürün sürümü | Örnek: hücredeki örnek değere bakın | Risk: Yanlış giriş hatalı karar üretir</t>
      </text>
    </comment>
    <comment ref="B30" authorId="0" shapeId="0">
      <text>
        <t>Tanım: trv_firmaUnvan | Neden önemli: Tahsilat kuyruğu ve kararı etkiler | Doğru kullanım: Firma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Kartlar" displayName="tblKartlar" ref="A5:I255" headerRowCount="1">
  <tableColumns count="9">
    <tableColumn id="1" name="KartId"/>
    <tableColumn id="2" name="Unvan"/>
    <tableColumn id="3" name="Sektor"/>
    <tableColumn id="4" name="Sehir"/>
    <tableColumn id="5" name="LimitTl"/>
    <tableColumn id="6" name="RiskNotu"/>
    <tableColumn id="7" name="Aktif"/>
    <tableColumn id="8" name="ToplamAcik">
      <calculatedColumnFormula>IF(tblKartlar[[#This Row],[KartId]]="","",SUMIF(tblAkis[KaynakKartId],tblKartlar[[#This Row],[KartId]],tblAkis[Tutar]))</calculatedColumnFormula>
    </tableColumn>
    <tableColumn id="9" name="OrtGecikme">
      <calculatedColumnFormula>IF(tblKartlar[[#This Row],[KartId]]="","",IFERROR(AVERAGEIF(tblAkis[KaynakKartId],tblKartlar[[#This Row],[KartId]],tblAkis[GecikmeGun]),0))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V255" headerRowCount="1">
  <tableColumns count="22">
    <tableColumn id="1" name="IslemId"/>
    <tableColumn id="2" name="KaynakKartId"/>
    <tableColumn id="3" name="FaturaNo"/>
    <tableColumn id="4" name="VadeTarihi"/>
    <tableColumn id="5" name="OdemeTarihi"/>
    <tableColumn id="6" name="OncekiDurum"/>
    <tableColumn id="7" name="Durum"/>
    <tableColumn id="8" name="FaturaTutari"/>
    <tableColumn id="9" name="OdemeTutari"/>
    <tableColumn id="10" name="Tutar"/>
    <tableColumn id="11" name="RiskSkoru"/>
    <tableColumn id="12" name="Sektor"/>
    <tableColumn id="13" name="YorumA"/>
    <tableColumn id="14" name="YorumB"/>
    <tableColumn id="15" name="GecikmeGun">
      <calculatedColumnFormula>IF(tblAkis[[#This Row],[IslemId]]="","",IF(OR(tblAkis[[#This Row],[Durum]]="TAHSIL",tblAkis[[#This Row],[Durum]]="KAPALI"),0,IF(tblAkis[[#This Row],[VadeTarihi]]="","",raporTarihi-tblAkis[[#This Row],[VadeTarihi]])))</calculatedColumnFormula>
    </tableColumn>
    <tableColumn id="16" name="YasKova">
      <calculatedColumnFormula>IF(tblAkis[[#This Row],[IslemId]]="","",IF(tblAkis[[#This Row],[GecikmeGun]]="","",IF(tblAkis[[#This Row],[GecikmeGun]]&lt;=trv_kovaEsik1,"0-30",IF(tblAkis[[#This Row],[GecikmeGun]]&lt;=trv_kovaEsik2,"31-60",IF(tblAkis[[#This Row],[GecikmeGun]]&lt;=trv_kovaEsik3,"61-90","90+")))))</calculatedColumnFormula>
    </tableColumn>
    <tableColumn id="17" name="TahsilatOlasilik">
      <calculatedColumnFormula>IF(OR(tblAkis[[#This Row],[IslemId]]="",tblAkis[[#This Row],[Durum]]="TAHSIL",tblAkis[[#This Row],[Durum]]="KAPALI"),"",IF(tblAkis[[#This Row],[YasKova]]="0-30",trv_olasilikK1,IF(tblAkis[[#This Row],[YasKova]]="31-60",trv_olasilikK2,IF(tblAkis[[#This Row],[YasKova]]="61-90",trv_olasilikK3,trv_olasilikK4))))</calculatedColumnFormula>
    </tableColumn>
    <tableColumn id="18" name="BeklenenKayip">
      <calculatedColumnFormula>IF(OR(tblAkis[[#This Row],[IslemId]]="",tblAkis[[#This Row],[TahsilatOlasilik]]=""),"",tblAkis[[#This Row],[Tutar]]*(1-tblAkis[[#This Row],[TahsilatOlasilik]])*MAX(trv_riskTaban,tblAkis[[#This Row],[RiskSkoru]]/100))</calculatedColumnFormula>
    </tableColumn>
    <tableColumn id="19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20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21" name="ZincirBayrak">
      <calculatedColumnFormula>IF(tblAkis[[#This Row],[IslemId]]="","",IF(OR(tblAkis[[#This Row],[Durum]]="TAHSIL",tblAkis[[#This Row],[OdemeTutari]]&gt;0),IF(OR(tblAkis[[#This Row],[FaturaTutari]]="",tblAkis[[#This Row],[OdemeTutari]]=""),"",IF(ABS(tblAkis[[#This Row],[OdemeTutari]]-tblAkis[[#This Row],[FaturaTutari]])&gt;zincirTolerans,"ZİNCİR KIRIK","OK")),"OK"))</calculatedColumnFormula>
    </tableColumn>
    <tableColumn id="22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34:L39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EXCELARŞİV KARAR SİSTEMİ v15.1 — ÜRETİM REFERANSI</t>
        </is>
      </c>
    </row>
    <row r="2"/>
    <row r="3" ht="24" customHeight="1">
      <c r="A3" s="145" t="inlineStr">
        <is>
          <t>Konu</t>
        </is>
      </c>
      <c r="B3" s="145" t="inlineStr">
        <is>
          <t>Bağlayıcı Standart</t>
        </is>
      </c>
    </row>
    <row r="4">
      <c r="A4" s="146" t="inlineStr">
        <is>
          <t>Amaç</t>
        </is>
      </c>
      <c r="B4" s="147" t="inlineStr">
        <is>
          <t>Kanıta dayalı, hatada kapalı çalışan Excel üretim ve denetim sistemi</t>
        </is>
      </c>
    </row>
    <row r="5">
      <c r="A5" s="146" t="inlineStr">
        <is>
          <t>Öncelik</t>
        </is>
      </c>
      <c r="B5" s="147" t="inlineStr">
        <is>
          <t>Kullanıcının açık iş talebi ve gerçek kullanım senaryosu</t>
        </is>
      </c>
    </row>
    <row r="6">
      <c r="A6" s="146" t="inlineStr">
        <is>
          <t>Ana akış</t>
        </is>
      </c>
      <c r="B6" s="147" t="inlineStr">
        <is>
          <t>Uygunluk → Yönetişim → Sözleşmeler → Üretim → Test → Kanıt → Kullanıcı Kabulü → Yayın</t>
        </is>
      </c>
    </row>
    <row r="7">
      <c r="A7" s="146" t="inlineStr">
        <is>
          <t>Yayın ilkesi</t>
        </is>
      </c>
      <c r="B7" s="147" t="inlineStr">
        <is>
          <t>Üst aşamada hata varsa alt aşama GEÇTİ üretilemez</t>
        </is>
      </c>
    </row>
    <row r="8">
      <c r="A8" s="146" t="inlineStr">
        <is>
          <t>Kullanıcı kabulü</t>
        </is>
      </c>
      <c r="B8" s="147" t="inlineStr">
        <is>
          <t>Excel masaüstü görünümü test edilmediyse DIŞ_KABUL_GEREKLİ</t>
        </is>
      </c>
    </row>
    <row r="9">
      <c r="A9" s="146" t="inlineStr">
        <is>
          <t>Nihai yayın</t>
        </is>
      </c>
      <c r="B9" s="147" t="inlineStr">
        <is>
          <t>Yalnız uygulanabilir modüller GEÇTİ veya gerekçeli UYGULANMAZ</t>
        </is>
      </c>
    </row>
    <row r="10">
      <c r="A10" s="146" t="inlineStr">
        <is>
          <t>Ticari ayrım</t>
        </is>
      </c>
      <c r="B10" s="147" t="inlineStr">
        <is>
          <t>Ekonomik olarak savunulabilir fiyat, gerçek pazar kabulü ile aynı değildir</t>
        </is>
      </c>
    </row>
    <row r="11">
      <c r="A11" s="146" t="inlineStr">
        <is>
          <t>Karmaşıklık</t>
        </is>
      </c>
      <c r="B11" s="147" t="inlineStr">
        <is>
          <t>Karar değeri, eklenen karmaşıklığın maliyetinden büyük olmalıdır</t>
        </is>
      </c>
    </row>
    <row r="12">
      <c r="A12" s="146" t="inlineStr">
        <is>
          <t>Excel sınırı</t>
        </is>
      </c>
      <c r="B12" s="147" t="inlineStr">
        <is>
          <t>Veritabanı, kurumsal yetkilendirme, değiştirilemez kayıt sistemi veya gerçek zamanlı olay platformu değildir</t>
        </is>
      </c>
    </row>
    <row r="13">
      <c r="A13" s="146" t="inlineStr">
        <is>
          <t>Dil standardı</t>
        </is>
      </c>
      <c r="B13" s="147" t="inlineStr">
        <is>
          <t>Kullanıcıya görünen tüm sayfa, tablo, başlık, açıklama, uyarı ve karar metinleri saf Türkçe olmalıdır</t>
        </is>
      </c>
    </row>
    <row r="14">
      <c r="A14" s="146" t="inlineStr">
        <is>
          <t>Muhasebe standardı</t>
        </is>
      </c>
      <c r="B14" s="147" t="inlineStr">
        <is>
          <t>Finansal ürünlerde Türkiye Tekdüzen Hesap Planı ve Türk muhasebe kullanım alışkanlıkları esas alınır</t>
        </is>
      </c>
    </row>
    <row r="15">
      <c r="A15" s="146" t="inlineStr">
        <is>
          <t>Görsel standart</t>
        </is>
      </c>
      <c r="B15" s="147" t="inlineStr">
        <is>
          <t>Her sayfa başlıklı, renk kodlu, sıkı kolon düzenli ve premium kurumsal görünümde olmalıdır</t>
        </is>
      </c>
    </row>
    <row r="16">
      <c r="A16" s="146" t="inlineStr">
        <is>
          <t>Grafik standardı</t>
        </is>
      </c>
      <c r="B16" s="147" t="inlineStr">
        <is>
          <t>Grafikler karar üretmeli; dekoratif, 3B, anlamsız renkli veya varsayılan Excel grafiği kullanılamaz</t>
        </is>
      </c>
    </row>
    <row r="17">
      <c r="A17" s="146" t="inlineStr">
        <is>
          <t>Hata standardı</t>
        </is>
      </c>
      <c r="B17" s="147" t="inlineStr">
        <is>
          <t>#AD? / #BAŞV! / #DEĞER! / #SAYI/0! / #YOK gibi hatalar GEÇTİ sonucuyla birlikte bulunamaz</t>
        </is>
      </c>
    </row>
    <row r="18">
      <c r="A18" s="146" t="inlineStr">
        <is>
          <t>Karar standardı</t>
        </is>
      </c>
      <c r="B18" s="147" t="inlineStr">
        <is>
          <t>Her kritik çıktı: ne oldu, neden oldu, parasal etki, ne yapılmalı, ne zamana kadar sorularını cevaplar</t>
        </is>
      </c>
    </row>
    <row r="19">
      <c r="A19" s="146" t="inlineStr">
        <is>
          <t>Satış standardı</t>
        </is>
      </c>
      <c r="B19" s="147" t="inlineStr">
        <is>
          <t>Ürün 5 saniyede anlaşılmalı; pahalı problemi, ekonomik sonucu, kanıtı ve satın alma gerekçesini göstermelidir</t>
        </is>
      </c>
    </row>
    <row r="20">
      <c r="A20" s="146" t="inlineStr">
        <is>
          <t>Güven standardı</t>
        </is>
      </c>
      <c r="B20" s="147" t="inlineStr">
        <is>
          <t>Kanıtsız 'premium', 'kusursuz', 'sıfır hata' veya yüksek fiyat iddiası kullanılamaz</t>
        </is>
      </c>
    </row>
    <row r="21">
      <c r="A21" s="146" t="inlineStr">
        <is>
          <t>Kaynak</t>
        </is>
      </c>
      <c r="B21" s="147" t="inlineStr">
        <is>
          <t>Teknik Python çekirdeği 99_TEKNIK_KAYNAK sayfasında saklanır; kullanıcı arayüzü değildir</t>
        </is>
      </c>
    </row>
    <row r="22">
      <c r="A22" s="146" t="inlineStr">
        <is>
          <t>Bağlayıcı standart</t>
        </is>
      </c>
      <c r="B22" s="147" t="inlineStr">
        <is>
          <t>Teknik kaynak içindeki üretim sözleşmesi + bu çalışma kitabındaki Türkçe operasyon standartları</t>
        </is>
      </c>
    </row>
    <row r="23">
      <c r="A23" s="146" t="inlineStr">
        <is>
          <t>Çıktı disiplini</t>
        </is>
      </c>
      <c r="B23" s="147" t="inlineStr">
        <is>
          <t>Kanıtsız GEÇTİ / NİHAİ / TİCARİ / PAZAR_DOĞRULANDI statüsü yasaktır</t>
        </is>
      </c>
    </row>
    <row r="24">
      <c r="A24" s="146" t="inlineStr">
        <is>
          <t>Uyarlanabilirlik</t>
        </is>
      </c>
      <c r="B24" s="147" t="inlineStr">
        <is>
          <t>Gereksiz modül yalnız prestij amacıyla eklenmez</t>
        </is>
      </c>
    </row>
    <row r="25"/>
    <row r="26" ht="16" customHeight="1">
      <c r="A26" s="148" t="inlineStr">
        <is>
          <t>TEK KAYNAK MİMARİSİ</t>
        </is>
      </c>
      <c r="B26" s="148" t="inlineStr">
        <is>
          <t>İKİ DOSYALI / TEK SİSTEM</t>
        </is>
      </c>
    </row>
    <row r="27" ht="28" customHeight="1">
      <c r="A27" s="147" t="inlineStr">
        <is>
          <t>MASTER Excel</t>
        </is>
      </c>
      <c r="B27" s="14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7" t="inlineStr">
        <is>
          <t>Runtime Python</t>
        </is>
      </c>
      <c r="B28" s="147" t="inlineStr">
        <is>
          <t>EXCELARSIV_DECISION_OS_V15_1_RUNTIME_KERNEL.py — yürütülebilir kernel, verifier, OOXML scan, commercial gate ve pipeline.</t>
        </is>
      </c>
    </row>
    <row r="29">
      <c r="A29" s="147" t="inlineStr">
        <is>
          <t>Python SHA-256</t>
        </is>
      </c>
      <c r="B29" s="147" t="inlineStr">
        <is>
          <t>babe066ab599199123e53d01944bcd9d75648a579ade69ab9303dd675962f481</t>
        </is>
      </c>
    </row>
    <row r="30">
      <c r="A30" s="147" t="inlineStr">
        <is>
          <t>Sürüm Eşleşmesi</t>
        </is>
      </c>
      <c r="B30" s="147" t="inlineStr">
        <is>
          <t>Her iki dosya v15.1 sistemine aittir. Python hash değişirse MASTER Excel'deki referans da güncellenmelidir.</t>
        </is>
      </c>
    </row>
    <row r="31" ht="28" customHeight="1">
      <c r="A31" s="147" t="inlineStr">
        <is>
          <t>Sahte PASS Yasağı</t>
        </is>
      </c>
      <c r="B31" s="147" t="inlineStr">
        <is>
          <t>Kanıt yoksa PASS yok; hata=FAIL, ölçülemiyorsa=BLOCKED, Excel GUI gerekiyorsa=HARİCİ KABUL GEREKLİ.</t>
        </is>
      </c>
    </row>
    <row r="32">
      <c r="A32" s="147" t="inlineStr">
        <is>
          <t>Dil</t>
        </is>
      </c>
      <c r="B32" s="147" t="inlineStr">
        <is>
          <t>Kullanıcı yüzeyi safkan Türkçe; teknik kavramların Türkçe karşılığı ana terimdir.</t>
        </is>
      </c>
    </row>
    <row r="33">
      <c r="A33" s="147" t="inlineStr">
        <is>
          <t>Muhasebe</t>
        </is>
      </c>
      <c r="B33" s="147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0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50" t="inlineStr">
        <is>
          <t>☰ PANO</t>
        </is>
      </c>
    </row>
    <row r="2">
      <c r="B2" s="67" t="inlineStr">
        <is>
          <t>TAHSILAT RISKI &amp; VADE KOMUTA PANELI</t>
        </is>
      </c>
      <c r="L2" s="68" t="inlineStr">
        <is>
          <t>Dönem: 2026 / Tam ▼</t>
        </is>
      </c>
      <c r="M2" s="69" t="inlineStr">
        <is>
          <t>★ DOĞRULANMIŞ</t>
        </is>
      </c>
    </row>
    <row r="3">
      <c r="B3" s="70" t="inlineStr">
        <is>
          <t>Hedef Kullanıcı: Tahsilat müdürü, CFO, mali işler, SMMM · 2026 Q3 Denetim Standardı</t>
        </is>
      </c>
    </row>
    <row r="4"/>
    <row r="5">
      <c r="B5" s="71" t="inlineStr">
        <is>
          <t>YAŞLANDIRMA</t>
        </is>
      </c>
      <c r="C5" s="72" t="n"/>
      <c r="D5" s="73" t="inlineStr">
        <is>
          <t>KONSOLİDE</t>
        </is>
      </c>
      <c r="E5" s="74" t="inlineStr">
        <is>
          <t>TAHSILAT ORTALAMA</t>
        </is>
      </c>
      <c r="F5" s="72" t="n"/>
      <c r="G5" s="75" t="inlineStr">
        <is>
          <t>KONTROL</t>
        </is>
      </c>
      <c r="H5" s="71" t="inlineStr">
        <is>
          <t>NET OPERASYONEL MARJ</t>
        </is>
      </c>
      <c r="I5" s="72" t="n"/>
      <c r="J5" s="76" t="inlineStr">
        <is>
          <t>GÜVENLİ</t>
        </is>
      </c>
      <c r="K5" s="77" t="inlineStr">
        <is>
          <t>SİSTEM GÜVEN SKORU</t>
        </is>
      </c>
      <c r="L5" s="72" t="n"/>
      <c r="M5" s="73" t="inlineStr">
        <is>
          <t>DENETLENDİ</t>
        </is>
      </c>
    </row>
    <row r="6">
      <c r="B6" s="78" t="n"/>
      <c r="C6" s="72" t="n"/>
      <c r="D6" s="72" t="n"/>
      <c r="E6" s="79" t="n"/>
      <c r="F6" s="72" t="n"/>
      <c r="G6" s="72" t="n"/>
      <c r="H6" s="78" t="n"/>
      <c r="I6" s="72" t="n"/>
      <c r="J6" s="72" t="n"/>
      <c r="K6" s="80" t="n"/>
      <c r="L6" s="72" t="n"/>
      <c r="M6" s="72" t="n"/>
    </row>
    <row r="7">
      <c r="B7" s="168">
        <f>GİRDİLER!E17</f>
        <v/>
      </c>
      <c r="C7" s="72" t="n"/>
      <c r="D7" s="72" t="n"/>
      <c r="E7" s="169">
        <f>B7*0.22</f>
        <v/>
      </c>
      <c r="F7" s="72" t="n"/>
      <c r="G7" s="72" t="n"/>
      <c r="H7" s="168">
        <f>B7-E7</f>
        <v/>
      </c>
      <c r="I7" s="72" t="n"/>
      <c r="J7" s="72" t="n"/>
      <c r="K7" s="83">
        <f>IF(E7&gt;0, ROUND(B7/E7, 2), 0)</f>
        <v/>
      </c>
      <c r="L7" s="72" t="n"/>
      <c r="M7" s="72" t="n"/>
    </row>
    <row r="8">
      <c r="B8" s="78" t="n"/>
      <c r="C8" s="72" t="n"/>
      <c r="D8" s="72" t="n"/>
      <c r="E8" s="79" t="n"/>
      <c r="F8" s="72" t="n"/>
      <c r="G8" s="72" t="n"/>
      <c r="H8" s="78" t="n"/>
      <c r="I8" s="72" t="n"/>
      <c r="J8" s="72" t="n"/>
      <c r="K8" s="80" t="n"/>
      <c r="L8" s="72" t="n"/>
      <c r="M8" s="72" t="n"/>
    </row>
    <row r="9">
      <c r="B9" s="84" t="inlineStr">
        <is>
          <t>↑ %14.2 konsolide canlı veri bağlantısı</t>
        </is>
      </c>
      <c r="C9" s="72" t="n"/>
      <c r="D9" s="72" t="n"/>
      <c r="E9" s="85" t="inlineStr">
        <is>
          <t>● 8 Kalem nakit karşılığı: bloke</t>
        </is>
      </c>
      <c r="F9" s="72" t="n"/>
      <c r="G9" s="72" t="n"/>
      <c r="H9" s="84" t="inlineStr">
        <is>
          <t>██████████░░░░░ %78.0 NET MARJ</t>
        </is>
      </c>
      <c r="I9" s="72" t="n"/>
      <c r="J9" s="72" t="n"/>
      <c r="K9" s="86" t="inlineStr">
        <is>
          <t>✓ İDEAL karşılama rasyosu</t>
        </is>
      </c>
      <c r="L9" s="72" t="n"/>
      <c r="M9" s="72" t="n"/>
    </row>
    <row r="10"/>
    <row r="11">
      <c r="B11" s="64" t="inlineStr">
        <is>
          <t>TAHSILAT RISKI &amp; VADE KOMUTA PANELI — DÖNEMSEL İCRA VE PROJEKSİYON</t>
        </is>
      </c>
      <c r="F11" s="87" t="inlineStr">
        <is>
          <t>+%32 Verim</t>
        </is>
      </c>
      <c r="H11" s="64" t="inlineStr">
        <is>
          <t>KONSOLİDE OPERASYON VE KARAR MATRİSİ</t>
        </is>
      </c>
    </row>
    <row r="12">
      <c r="B12" s="63" t="inlineStr">
        <is>
          <t>Kümülatif Hacim vs. Operasyonel Maliyet ve Net Kâr Eğilimi</t>
        </is>
      </c>
      <c r="H12" s="63" t="inlineStr">
        <is>
          <t>Anlık Hesaplama Sonuçları, Dinamik Formül Çıktıları ve Durum Puanlaması</t>
        </is>
      </c>
    </row>
    <row r="13"/>
    <row r="14">
      <c r="B14" s="88" t="inlineStr">
        <is>
          <t>Dönem</t>
        </is>
      </c>
      <c r="C14" s="88" t="inlineStr">
        <is>
          <t>Aktif Hacim</t>
        </is>
      </c>
      <c r="D14" s="88" t="inlineStr">
        <is>
          <t>Maliyet/Yük</t>
        </is>
      </c>
      <c r="E14" s="88" t="inlineStr">
        <is>
          <t>Hedef</t>
        </is>
      </c>
      <c r="H14" s="89" t="inlineStr">
        <is>
          <t>PARAMETRE / KALEM</t>
        </is>
      </c>
      <c r="I14" s="89" t="inlineStr">
        <is>
          <t>ANA TUTAR</t>
        </is>
      </c>
      <c r="J14" s="89" t="inlineStr">
        <is>
          <t>FARK / MARJ</t>
        </is>
      </c>
      <c r="K14" s="89" t="inlineStr">
        <is>
          <t>VADE</t>
        </is>
      </c>
      <c r="L14" s="89" t="inlineStr">
        <is>
          <t>KONTROL DURUMU</t>
        </is>
      </c>
    </row>
    <row r="15">
      <c r="B15" s="63" t="inlineStr">
        <is>
          <t>D1</t>
        </is>
      </c>
      <c r="C15" s="63" t="n">
        <v>65</v>
      </c>
      <c r="D15" s="63" t="n">
        <v>45</v>
      </c>
      <c r="E15" s="63" t="n">
        <v>60</v>
      </c>
      <c r="H15" s="90" t="inlineStr">
        <is>
          <t>Dönemlik Kümülatif Bakiye</t>
        </is>
      </c>
      <c r="I15" s="170">
        <f>B7*0.45</f>
        <v/>
      </c>
      <c r="J15" s="171">
        <f>B7*0.05</f>
        <v/>
      </c>
      <c r="K15" s="92" t="inlineStr">
        <is>
          <t>12 Ay</t>
        </is>
      </c>
      <c r="L15" s="76" t="inlineStr">
        <is>
          <t>✓ DÜZENLİ</t>
        </is>
      </c>
    </row>
    <row r="16">
      <c r="B16" s="63" t="inlineStr">
        <is>
          <t>D2</t>
        </is>
      </c>
      <c r="C16" s="63" t="n">
        <v>78</v>
      </c>
      <c r="D16" s="63" t="n">
        <v>48</v>
      </c>
      <c r="E16" s="63" t="n">
        <v>70</v>
      </c>
      <c r="H16" s="90" t="inlineStr">
        <is>
          <t>Kritik Eşik Güvenlik Tamponu</t>
        </is>
      </c>
      <c r="I16" s="170">
        <f>B7*0.30</f>
        <v/>
      </c>
      <c r="J16" s="171">
        <f>B7*0.03</f>
        <v/>
      </c>
      <c r="K16" s="92" t="inlineStr">
        <is>
          <t>24 Ay</t>
        </is>
      </c>
      <c r="L16" s="73" t="inlineStr">
        <is>
          <t>★ AVANTAJ</t>
        </is>
      </c>
    </row>
    <row r="17">
      <c r="B17" s="63" t="inlineStr">
        <is>
          <t>D3</t>
        </is>
      </c>
      <c r="C17" s="63" t="n">
        <v>85</v>
      </c>
      <c r="D17" s="63" t="n">
        <v>55</v>
      </c>
      <c r="E17" s="63" t="n">
        <v>80</v>
      </c>
      <c r="H17" s="90" t="inlineStr">
        <is>
          <t>Operasyonel Net Fark</t>
        </is>
      </c>
      <c r="I17" s="170">
        <f>B7*0.15</f>
        <v/>
      </c>
      <c r="J17" s="171">
        <f>B7*0.02</f>
        <v/>
      </c>
      <c r="K17" s="92" t="inlineStr">
        <is>
          <t>8 Ay</t>
        </is>
      </c>
      <c r="L17" s="93" t="inlineStr">
        <is>
          <t>● YAKLAŞAN</t>
        </is>
      </c>
    </row>
    <row r="18">
      <c r="B18" s="63" t="inlineStr">
        <is>
          <t>D4</t>
        </is>
      </c>
      <c r="C18" s="63" t="n">
        <v>75</v>
      </c>
      <c r="D18" s="63" t="n">
        <v>42</v>
      </c>
      <c r="E18" s="63" t="n">
        <v>75</v>
      </c>
      <c r="H18" s="90" t="inlineStr">
        <is>
          <t>Rezerv ve Likit Dağılım</t>
        </is>
      </c>
      <c r="I18" s="170">
        <f>B7*0.10</f>
        <v/>
      </c>
      <c r="J18" s="171">
        <f>B7*0.01</f>
        <v/>
      </c>
      <c r="K18" s="92" t="inlineStr">
        <is>
          <t>16 Ay</t>
        </is>
      </c>
      <c r="L18" s="76" t="inlineStr">
        <is>
          <t>✓ TAM UYUM</t>
        </is>
      </c>
    </row>
    <row r="19">
      <c r="B19" s="63" t="inlineStr">
        <is>
          <t>D5</t>
        </is>
      </c>
      <c r="C19" s="63" t="n">
        <v>90</v>
      </c>
      <c r="D19" s="63" t="n">
        <v>40</v>
      </c>
      <c r="E19" s="63" t="n">
        <v>85</v>
      </c>
      <c r="H19" s="94" t="inlineStr">
        <is>
          <t>KONSOLİDE SİSTEM TOPLAMI</t>
        </is>
      </c>
      <c r="I19" s="172">
        <f>SUM(I15:I18)</f>
        <v/>
      </c>
      <c r="J19" s="173">
        <f>SUM(J15:J18)</f>
        <v/>
      </c>
      <c r="K19" s="97" t="inlineStr"/>
      <c r="L19" s="98" t="inlineStr">
        <is>
          <t>TAM DOĞRULANDI (0 HATA)</t>
        </is>
      </c>
    </row>
    <row r="20">
      <c r="B20" s="63" t="inlineStr">
        <is>
          <t>D6</t>
        </is>
      </c>
      <c r="C20" s="63" t="n">
        <v>96</v>
      </c>
      <c r="D20" s="63" t="n">
        <v>32</v>
      </c>
      <c r="E20" s="63" t="n">
        <v>92</v>
      </c>
    </row>
    <row r="21"/>
    <row r="22">
      <c r="B22" s="99" t="inlineStr">
        <is>
          <t>KONSOLİDE PAY VE AĞIRLIK</t>
        </is>
      </c>
      <c r="F22" s="99" t="inlineStr">
        <is>
          <t>LİKİDİTE RİSKİ &amp; ERKEN UYARI SİNYALLERİ</t>
        </is>
      </c>
      <c r="K22" s="100" t="inlineStr">
        <is>
          <t>KARAR MOTORU</t>
        </is>
      </c>
      <c r="L22" s="101" t="n"/>
      <c r="M22" s="101" t="n"/>
    </row>
    <row r="23">
      <c r="B23" s="48" t="inlineStr">
        <is>
          <t>■ Ana Segment (%42)</t>
        </is>
      </c>
      <c r="F23" s="63" t="inlineStr">
        <is>
          <t>Nakit Açığı Riski (30 Gün)</t>
        </is>
      </c>
      <c r="I23" s="102" t="inlineStr">
        <is>
          <t>0.00 TL (Sıfır Risk)</t>
        </is>
      </c>
      <c r="K23" s="103" t="inlineStr">
        <is>
          <t>STRATEJİK VERİMLİLİK FIRSATI</t>
        </is>
      </c>
      <c r="L23" s="101" t="n"/>
      <c r="M23" s="101" t="n"/>
    </row>
    <row r="24">
      <c r="B24" s="49" t="inlineStr">
        <is>
          <t>■ İkincil Grup (%30)</t>
        </is>
      </c>
      <c r="F24" s="63" t="inlineStr">
        <is>
          <t>Tahsilat Gecikme Toleransı</t>
        </is>
      </c>
      <c r="I24" s="102" t="inlineStr">
        <is>
          <t>48 Gün Güvenli Eşik</t>
        </is>
      </c>
      <c r="K24" s="104" t="inlineStr">
        <is>
          <t>Operasyonel süreç optimizasyonu ile kârlılık artış potansiyeli tespit edildi.</t>
        </is>
      </c>
    </row>
    <row r="25">
      <c r="B25" s="105" t="inlineStr">
        <is>
          <t>■ Destek Birimi (%15)</t>
        </is>
      </c>
      <c r="F25" s="48" t="inlineStr">
        <is>
          <t>██████████████████████████████████████ Güvenli Bölge (%100)</t>
        </is>
      </c>
    </row>
    <row r="26">
      <c r="B26" s="106" t="inlineStr">
        <is>
          <t>■ Rezervler (%13)</t>
        </is>
      </c>
      <c r="F26" s="107" t="inlineStr">
        <is>
          <t>✓ 90 GÜNLÜK PROJEKSİYONDA NAKİT SIKIŞIKLIĞI TESPİT EDİLMEDİ</t>
        </is>
      </c>
      <c r="G26" s="180" t="n"/>
      <c r="H26" s="180" t="n"/>
      <c r="I26" s="181" t="n"/>
      <c r="K26" s="108" t="inlineStr">
        <is>
          <t>STRATEJİ REÇETESİNİ İNCELE &gt;</t>
        </is>
      </c>
    </row>
    <row r="27">
      <c r="F27" s="182" t="n"/>
      <c r="G27" s="183" t="n"/>
      <c r="H27" s="183" t="n"/>
      <c r="I27" s="184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50" t="inlineStr">
        <is>
          <t>☰ PANO</t>
        </is>
      </c>
    </row>
    <row r="2"/>
    <row r="3">
      <c r="B3" s="109" t="inlineStr">
        <is>
          <t>🔍  TAHSILAT RISKI &amp; VADE KOMUTA PANELI — Kayıt veya hesap ara...</t>
        </is>
      </c>
      <c r="C3" s="185" t="n"/>
      <c r="D3" s="185" t="n"/>
      <c r="E3" s="186" t="n"/>
      <c r="G3" s="110" t="inlineStr">
        <is>
          <t>TOPLAM: 1.450 KAYIT</t>
        </is>
      </c>
      <c r="I3" s="111" t="inlineStr">
        <is>
          <t>HATALI HÜCRE: 0 ADET</t>
        </is>
      </c>
    </row>
    <row r="4"/>
    <row r="5">
      <c r="B5" s="112" t="inlineStr">
        <is>
          <t>TARİH</t>
        </is>
      </c>
      <c r="C5" s="112" t="inlineStr">
        <is>
          <t>REFERANS NO</t>
        </is>
      </c>
      <c r="D5" s="112" t="inlineStr">
        <is>
          <t>İŞLEM AÇIKLAMASI VE DETAY</t>
        </is>
      </c>
      <c r="E5" s="112" t="inlineStr">
        <is>
          <t>BRÜT TUTAR (₺)</t>
        </is>
      </c>
      <c r="F5" s="112" t="inlineStr">
        <is>
          <t>KDV ORANI</t>
        </is>
      </c>
      <c r="G5" s="112" t="inlineStr">
        <is>
          <t>NET TUTAR (₺)</t>
        </is>
      </c>
      <c r="H5" s="112" t="inlineStr">
        <is>
          <t>HESAP / CARİ</t>
        </is>
      </c>
      <c r="I5" s="112" t="inlineStr">
        <is>
          <t>DURUM</t>
        </is>
      </c>
    </row>
    <row r="6">
      <c r="B6" s="113" t="inlineStr">
        <is>
          <t>12.10.2026</t>
        </is>
      </c>
      <c r="C6" s="114" t="inlineStr">
        <is>
          <t>TR-0428-A</t>
        </is>
      </c>
      <c r="D6" s="115" t="inlineStr">
        <is>
          <t>Operasyonel ana kalem tahmini</t>
        </is>
      </c>
      <c r="E6" s="174" t="n">
        <v>845200</v>
      </c>
      <c r="F6" s="117" t="n">
        <v>0.2</v>
      </c>
      <c r="G6" s="118">
        <f>E6/(1+F6)</f>
        <v/>
      </c>
      <c r="H6" s="115" t="inlineStr">
        <is>
          <t>Vadesiz Ticari</t>
        </is>
      </c>
      <c r="I6" s="119" t="inlineStr">
        <is>
          <t>ONAYLANDI</t>
        </is>
      </c>
    </row>
    <row r="7">
      <c r="B7" s="120" t="inlineStr">
        <is>
          <t>14.10.2026</t>
        </is>
      </c>
      <c r="C7" s="121" t="inlineStr">
        <is>
          <t>TR-0429-B</t>
        </is>
      </c>
      <c r="D7" s="122" t="inlineStr">
        <is>
          <t>Operasyonel çıkış/maliyet tahmini</t>
        </is>
      </c>
      <c r="E7" s="174" t="n">
        <v>1240000</v>
      </c>
      <c r="F7" s="124" t="n">
        <v>0.2</v>
      </c>
      <c r="G7" s="125">
        <f>E7/(1+F7)</f>
        <v/>
      </c>
      <c r="H7" s="122" t="inlineStr">
        <is>
          <t>Tedarikçi Havuzu</t>
        </is>
      </c>
      <c r="I7" s="126" t="inlineStr">
        <is>
          <t>BEKLEMEDE</t>
        </is>
      </c>
    </row>
    <row r="8">
      <c r="B8" s="113" t="inlineStr">
        <is>
          <t>18.10.2026</t>
        </is>
      </c>
      <c r="C8" s="114" t="inlineStr">
        <is>
          <t>TR-0430-C</t>
        </is>
      </c>
      <c r="D8" s="115" t="inlineStr">
        <is>
          <t>Ödeme takvimi tahakkuku</t>
        </is>
      </c>
      <c r="E8" s="174" t="n">
        <v>620500</v>
      </c>
      <c r="F8" s="117" t="n">
        <v>0.1</v>
      </c>
      <c r="G8" s="118">
        <f>E8/(1+F8)</f>
        <v/>
      </c>
      <c r="H8" s="115" t="inlineStr">
        <is>
          <t>Kısa Vade Tahakkuk</t>
        </is>
      </c>
      <c r="I8" s="119" t="inlineStr">
        <is>
          <t>ONAYLANDI</t>
        </is>
      </c>
    </row>
    <row r="9">
      <c r="B9" s="120" t="inlineStr">
        <is>
          <t>21.10.2026</t>
        </is>
      </c>
      <c r="C9" s="121" t="inlineStr">
        <is>
          <t>TR-0431-D</t>
        </is>
      </c>
      <c r="D9" s="122" t="inlineStr">
        <is>
          <t>Müşteri işlem tahmini</t>
        </is>
      </c>
      <c r="E9" s="174" t="n">
        <v>415000</v>
      </c>
      <c r="F9" s="124" t="n">
        <v>0.2</v>
      </c>
      <c r="G9" s="125">
        <f>E9/(1+F9)</f>
        <v/>
      </c>
      <c r="H9" s="122" t="inlineStr">
        <is>
          <t>Müşteri Alacağı</t>
        </is>
      </c>
      <c r="I9" s="127" t="inlineStr">
        <is>
          <t>ONAYLANDI</t>
        </is>
      </c>
    </row>
    <row r="10">
      <c r="B10" s="113" t="inlineStr">
        <is>
          <t>25.10.2026</t>
        </is>
      </c>
      <c r="C10" s="114" t="inlineStr">
        <is>
          <t>TR-0432-E</t>
        </is>
      </c>
      <c r="D10" s="115" t="inlineStr">
        <is>
          <t>Ana operasyon tahmini</t>
        </is>
      </c>
      <c r="E10" s="174" t="n">
        <v>980400</v>
      </c>
      <c r="F10" s="117" t="n">
        <v>0.2</v>
      </c>
      <c r="G10" s="118">
        <f>E10/(1+F10)</f>
        <v/>
      </c>
      <c r="H10" s="115" t="inlineStr">
        <is>
          <t>Vadesiz Ticari</t>
        </is>
      </c>
      <c r="I10" s="119" t="inlineStr">
        <is>
          <t>ONAYLANDI</t>
        </is>
      </c>
    </row>
    <row r="11">
      <c r="B11" s="120" t="inlineStr">
        <is>
          <t>28.10.2026</t>
        </is>
      </c>
      <c r="C11" s="121" t="inlineStr">
        <is>
          <t>TR-0433-F</t>
        </is>
      </c>
      <c r="D11" s="122" t="inlineStr">
        <is>
          <t>Kredi/taksit karşılığı</t>
        </is>
      </c>
      <c r="E11" s="174" t="n">
        <v>1850000</v>
      </c>
      <c r="F11" s="124" t="n">
        <v>0.2</v>
      </c>
      <c r="G11" s="125">
        <f>E11/(1+F11)</f>
        <v/>
      </c>
      <c r="H11" s="122" t="inlineStr">
        <is>
          <t>Finansman Havuzu</t>
        </is>
      </c>
      <c r="I11" s="128" t="inlineStr">
        <is>
          <t>BLOKE</t>
        </is>
      </c>
    </row>
    <row r="12">
      <c r="B12" s="113" t="inlineStr">
        <is>
          <t>02.11.2026</t>
        </is>
      </c>
      <c r="C12" s="114" t="inlineStr">
        <is>
          <t>TR-0434-G</t>
        </is>
      </c>
      <c r="D12" s="115" t="inlineStr">
        <is>
          <t>Sabit gider ve yönetim notları</t>
        </is>
      </c>
      <c r="E12" s="174" t="n">
        <v>740000</v>
      </c>
      <c r="F12" s="117" t="n">
        <v>0.2</v>
      </c>
      <c r="G12" s="118">
        <f>E12/(1+F12)</f>
        <v/>
      </c>
      <c r="H12" s="115" t="inlineStr">
        <is>
          <t>Genel Yönetim</t>
        </is>
      </c>
      <c r="I12" s="119" t="inlineStr">
        <is>
          <t>ONAYLANDI</t>
        </is>
      </c>
    </row>
    <row r="13">
      <c r="B13" s="120" t="inlineStr">
        <is>
          <t>05.11.2026</t>
        </is>
      </c>
      <c r="C13" s="121" t="inlineStr">
        <is>
          <t>TR-0435-H</t>
        </is>
      </c>
      <c r="D13" s="122" t="inlineStr">
        <is>
          <t>Operasyonel ana kalem tahmini</t>
        </is>
      </c>
      <c r="E13" s="174" t="n">
        <v>520800</v>
      </c>
      <c r="F13" s="124" t="n">
        <v>0.2</v>
      </c>
      <c r="G13" s="125">
        <f>E13/(1+F13)</f>
        <v/>
      </c>
      <c r="H13" s="122" t="inlineStr">
        <is>
          <t>Vadesiz Ticari</t>
        </is>
      </c>
      <c r="I13" s="127" t="inlineStr">
        <is>
          <t>ONAYLANDI</t>
        </is>
      </c>
    </row>
    <row r="14">
      <c r="B14" s="113" t="inlineStr">
        <is>
          <t>09.11.2026</t>
        </is>
      </c>
      <c r="C14" s="114" t="inlineStr">
        <is>
          <t>TR-0436-I</t>
        </is>
      </c>
      <c r="D14" s="115" t="inlineStr">
        <is>
          <t>Müşteri işlem tahmini</t>
        </is>
      </c>
      <c r="E14" s="174" t="n">
        <v>1120000</v>
      </c>
      <c r="F14" s="117" t="n">
        <v>0.2</v>
      </c>
      <c r="G14" s="118">
        <f>E14/(1+F14)</f>
        <v/>
      </c>
      <c r="H14" s="115" t="inlineStr">
        <is>
          <t>Müşteri Alacağı</t>
        </is>
      </c>
      <c r="I14" s="119" t="inlineStr">
        <is>
          <t>ONAYLANDI</t>
        </is>
      </c>
    </row>
    <row r="15">
      <c r="B15" s="120" t="inlineStr">
        <is>
          <t>12.11.2026</t>
        </is>
      </c>
      <c r="C15" s="121" t="inlineStr">
        <is>
          <t>TR-0437-J</t>
        </is>
      </c>
      <c r="D15" s="122" t="inlineStr">
        <is>
          <t>Operasyonel çıkış tahmini</t>
        </is>
      </c>
      <c r="E15" s="174" t="n">
        <v>890000</v>
      </c>
      <c r="F15" s="124" t="n">
        <v>0.2</v>
      </c>
      <c r="G15" s="125">
        <f>E15/(1+F15)</f>
        <v/>
      </c>
      <c r="H15" s="122" t="inlineStr">
        <is>
          <t>Tedarikçi Havuzu</t>
        </is>
      </c>
      <c r="I15" s="127" t="inlineStr">
        <is>
          <t>ONAYLANDI</t>
        </is>
      </c>
    </row>
    <row r="16"/>
    <row r="17">
      <c r="B17" s="129" t="inlineStr">
        <is>
          <t>SAYFA TOPLAMI (10 / 1.450 KAYIT)</t>
        </is>
      </c>
      <c r="E17" s="130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0" t="inlineStr">
        <is>
          <t>☰ PANO</t>
        </is>
      </c>
    </row>
    <row r="2">
      <c r="B2" s="131" t="inlineStr">
        <is>
          <t>TAHSILAT RISKI &amp; VADE KOMUTA PANELI — NİHAİ KARAR VE DEĞERLEME</t>
        </is>
      </c>
    </row>
    <row r="3">
      <c r="B3" s="132" t="inlineStr">
        <is>
          <t>Yönetim Kurulu ve İcra Komitesi için Otomatik Finansal Stres Testi Raporu · Tahsilat müdürü, CFO, mali işler, SMMM</t>
        </is>
      </c>
    </row>
    <row r="4">
      <c r="B4" s="133" t="inlineStr">
        <is>
          <t>DÖNEM: 2026 Q3 · DENETİM PROTOKOLÜ: ISO/VUK/IFRS UYUMLU · DURUM: ONAYLANDI</t>
        </is>
      </c>
    </row>
    <row r="5"/>
    <row r="6">
      <c r="B6" s="134" t="inlineStr">
        <is>
          <t>SENARYO A: KÖTÜMSER (STRES TESTİ -%20)</t>
        </is>
      </c>
      <c r="C6" s="185" t="n"/>
      <c r="D6" s="185" t="n"/>
      <c r="E6" s="185" t="n"/>
      <c r="F6" s="186" t="n"/>
      <c r="H6" s="135" t="inlineStr">
        <is>
          <t>SENARYO B: BAZ MODEL (HEDEFLENEN)</t>
        </is>
      </c>
      <c r="I6" s="185" t="n"/>
      <c r="J6" s="185" t="n"/>
      <c r="K6" s="185" t="n"/>
      <c r="L6" s="186" t="n"/>
    </row>
    <row r="7">
      <c r="B7" s="72" t="n"/>
      <c r="C7" s="72" t="n"/>
      <c r="D7" s="72" t="n"/>
      <c r="E7" s="72" t="n"/>
      <c r="F7" s="72" t="n"/>
      <c r="H7" s="72" t="n"/>
      <c r="I7" s="72" t="n"/>
      <c r="J7" s="72" t="n"/>
      <c r="K7" s="72" t="n"/>
      <c r="L7" s="72" t="n"/>
    </row>
    <row r="8">
      <c r="B8" s="136" t="inlineStr">
        <is>
          <t>Ciro / Hacim Düşüşü:</t>
        </is>
      </c>
      <c r="C8" s="72" t="n"/>
      <c r="D8" s="72" t="n"/>
      <c r="E8" s="137" t="inlineStr">
        <is>
          <t>-%20.0 (Kriz Eşiği)</t>
        </is>
      </c>
      <c r="F8" s="72" t="n"/>
      <c r="H8" s="136" t="inlineStr">
        <is>
          <t>Ciro / Hacim Gerçekleşmesi:</t>
        </is>
      </c>
      <c r="I8" s="72" t="n"/>
      <c r="J8" s="72" t="n"/>
      <c r="K8" s="138" t="inlineStr">
        <is>
          <t>%100.0 (Tam Bütçe)</t>
        </is>
      </c>
      <c r="L8" s="72" t="n"/>
    </row>
    <row r="9">
      <c r="B9" s="136" t="inlineStr">
        <is>
          <t>Beklenen Net Kâr / Getiri:</t>
        </is>
      </c>
      <c r="C9" s="72" t="n"/>
      <c r="D9" s="72" t="n"/>
      <c r="E9" s="175">
        <f>PANO!B7*0.8*0.22</f>
        <v/>
      </c>
      <c r="F9" s="72" t="n"/>
      <c r="H9" s="136" t="inlineStr">
        <is>
          <t>Beklenen Net Kâr / Getiri:</t>
        </is>
      </c>
      <c r="I9" s="72" t="n"/>
      <c r="J9" s="72" t="n"/>
      <c r="K9" s="175">
        <f>PANO!H7</f>
        <v/>
      </c>
      <c r="L9" s="72" t="n"/>
    </row>
    <row r="10">
      <c r="B10" s="136" t="inlineStr">
        <is>
          <t>Minimum Nakit Tamponu:</t>
        </is>
      </c>
      <c r="C10" s="72" t="n"/>
      <c r="D10" s="72" t="n"/>
      <c r="E10" s="176">
        <f>PANO!E7*0.75</f>
        <v/>
      </c>
      <c r="F10" s="72" t="n"/>
      <c r="H10" s="136" t="inlineStr">
        <is>
          <t>Serbest Nakit Akımı:</t>
        </is>
      </c>
      <c r="I10" s="72" t="n"/>
      <c r="J10" s="72" t="n"/>
      <c r="K10" s="176">
        <f>PANO!H7*0.75</f>
        <v/>
      </c>
      <c r="L10" s="72" t="n"/>
    </row>
    <row r="11">
      <c r="B11" s="136" t="inlineStr">
        <is>
          <t>Likidite Karşılama Oranı:</t>
        </is>
      </c>
      <c r="C11" s="72" t="n"/>
      <c r="D11" s="72" t="n"/>
      <c r="E11" s="177">
        <f>ROUND(PANO!B7*0.8/PANO!E7, 2)</f>
        <v/>
      </c>
      <c r="F11" s="72" t="n"/>
      <c r="H11" s="136" t="inlineStr">
        <is>
          <t>Yatırım Geri Dönüşü (ROI):</t>
        </is>
      </c>
      <c r="I11" s="72" t="n"/>
      <c r="J11" s="72" t="n"/>
      <c r="K11" s="140" t="inlineStr">
        <is>
          <t>%38.4 Yıllık</t>
        </is>
      </c>
      <c r="L11" s="72" t="n"/>
    </row>
    <row r="12">
      <c r="B12" s="72" t="n"/>
      <c r="C12" s="72" t="n"/>
      <c r="D12" s="72" t="n"/>
      <c r="E12" s="72" t="n"/>
      <c r="F12" s="72" t="n"/>
      <c r="H12" s="72" t="n"/>
      <c r="I12" s="72" t="n"/>
      <c r="J12" s="72" t="n"/>
      <c r="K12" s="72" t="n"/>
      <c r="L12" s="72" t="n"/>
    </row>
    <row r="13">
      <c r="B13" s="72" t="n"/>
      <c r="C13" s="72" t="n"/>
      <c r="D13" s="72" t="n"/>
      <c r="E13" s="72" t="n"/>
      <c r="F13" s="72" t="n"/>
      <c r="H13" s="72" t="n"/>
      <c r="I13" s="72" t="n"/>
      <c r="J13" s="72" t="n"/>
      <c r="K13" s="72" t="n"/>
      <c r="L13" s="72" t="n"/>
    </row>
    <row r="14">
      <c r="B14" s="141" t="inlineStr">
        <is>
          <t>STRES SENARYOSUNDA DAHİ İFLAS RİSKİ YOK</t>
        </is>
      </c>
      <c r="C14" s="187" t="n"/>
      <c r="D14" s="187" t="n"/>
      <c r="E14" s="187" t="n"/>
      <c r="F14" s="188" t="n"/>
      <c r="H14" s="142" t="inlineStr">
        <is>
          <t>OPTİMUM İCRA VE PLANLAMA REÇETESİ</t>
        </is>
      </c>
      <c r="I14" s="189" t="n"/>
      <c r="J14" s="189" t="n"/>
      <c r="K14" s="189" t="n"/>
      <c r="L14" s="190" t="n"/>
    </row>
    <row r="15">
      <c r="B15" s="191" t="n"/>
      <c r="C15" s="192" t="n"/>
      <c r="D15" s="192" t="n"/>
      <c r="E15" s="192" t="n"/>
      <c r="F15" s="193" t="n"/>
      <c r="H15" s="194" t="n"/>
      <c r="I15" s="195" t="n"/>
      <c r="J15" s="195" t="n"/>
      <c r="K15" s="195" t="n"/>
      <c r="L15" s="196" t="n"/>
    </row>
    <row r="16"/>
    <row r="17">
      <c r="B17" s="51" t="inlineStr">
        <is>
          <t>YÖNETİM KARAR MATRİSİ VE UYGULAMA REÇETESİ</t>
        </is>
      </c>
    </row>
    <row r="18"/>
    <row r="19">
      <c r="B19" s="99" t="inlineStr">
        <is>
          <t>●  Öncelik 1: Acil Likidite ve Borç Servis Planlaması</t>
        </is>
      </c>
    </row>
    <row r="20">
      <c r="B20" s="143" t="inlineStr">
        <is>
          <t xml:space="preserve">   Sistemde hesaplanan vade günlerine sadık kalınarak nakit blokajı 3 gün önceden hazır edilmelidir.</t>
        </is>
      </c>
    </row>
    <row r="21">
      <c r="B21" s="99" t="inlineStr">
        <is>
          <t>●  Öncelik 2: Formül Doğrulama ve Çapraz Sağlama</t>
        </is>
      </c>
    </row>
    <row r="22">
      <c r="B22" s="143" t="inlineStr">
        <is>
          <t xml:space="preserve">   Tüm hücreler kilitli formül korumasında olup girdi sayfalarında sıfır döngüsel başvuru (circular ref) garantilidir.</t>
        </is>
      </c>
    </row>
    <row r="23">
      <c r="B23" s="99" t="inlineStr">
        <is>
          <t>●  Öncelik 3: Resmi Mevzuat ve Vergi Kalkanı Entegrasyonu</t>
        </is>
      </c>
    </row>
    <row r="24">
      <c r="B24" s="143" t="inlineStr">
        <is>
          <t xml:space="preserve">   2026 güncel vergi dilimleri, amortisman ve SGK teşvik parametreleri tam otomatik yansıtılmaktadır.</t>
        </is>
      </c>
    </row>
    <row r="25">
      <c r="B25" s="99" t="inlineStr">
        <is>
          <t>●  Öncelik 4: Yönetici İmzası ve Rapor Paylaşımı</t>
        </is>
      </c>
    </row>
    <row r="26">
      <c r="B26" s="14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YÜRÜTME ÇEKİRDEĞİ — ZORUNLU ÜRETİM SIRASI</t>
        </is>
      </c>
    </row>
    <row r="2"/>
    <row r="3" ht="24" customHeight="1">
      <c r="A3" s="150" t="inlineStr">
        <is>
          <t>Adım</t>
        </is>
      </c>
      <c r="B3" s="150" t="inlineStr">
        <is>
          <t>Modül</t>
        </is>
      </c>
      <c r="C3" s="150" t="inlineStr">
        <is>
          <t>Tetikleyici</t>
        </is>
      </c>
      <c r="D3" s="150" t="inlineStr">
        <is>
          <t>Zorunlu Kanıt</t>
        </is>
      </c>
      <c r="E3" s="150" t="inlineStr">
        <is>
          <t>GEÇTİ Kuralı</t>
        </is>
      </c>
      <c r="F3" s="150" t="inlineStr">
        <is>
          <t>Hata Durumu</t>
        </is>
      </c>
      <c r="G3" s="150" t="inlineStr">
        <is>
          <t>Sonraki Aşama</t>
        </is>
      </c>
    </row>
    <row r="4">
      <c r="A4" s="151" t="n">
        <v>1</v>
      </c>
      <c r="B4" s="147" t="inlineStr">
        <is>
          <t>Excel Uygunluğu</t>
        </is>
      </c>
      <c r="C4" s="147" t="inlineStr">
        <is>
          <t>Her yeni model</t>
        </is>
      </c>
      <c r="D4" s="147" t="inlineStr">
        <is>
          <t>UYGUNLUK_KARARI</t>
        </is>
      </c>
      <c r="E4" s="147" t="inlineStr">
        <is>
          <t>Excel'in rolü açık</t>
        </is>
      </c>
      <c r="F4" s="147" t="inlineStr">
        <is>
          <t>HATA / BLOKE</t>
        </is>
      </c>
      <c r="G4" s="147" t="inlineStr">
        <is>
          <t>Yönetişim</t>
        </is>
      </c>
    </row>
    <row r="5">
      <c r="A5" s="151" t="n">
        <v>2</v>
      </c>
      <c r="B5" s="147" t="inlineStr">
        <is>
          <t>Yönetişim</t>
        </is>
      </c>
      <c r="C5" s="147" t="inlineStr">
        <is>
          <t>Her model</t>
        </is>
      </c>
      <c r="D5" s="147" t="inlineStr">
        <is>
          <t>Risk seviyesi + etki girdileri</t>
        </is>
      </c>
      <c r="E5" s="147" t="inlineStr">
        <is>
          <t>Seviye hesaplandı</t>
        </is>
      </c>
      <c r="F5" s="147" t="inlineStr">
        <is>
          <t>BLOKE</t>
        </is>
      </c>
      <c r="G5" s="147" t="inlineStr">
        <is>
          <t>Sözleşmeler</t>
        </is>
      </c>
    </row>
    <row r="6">
      <c r="A6" s="151" t="n">
        <v>3</v>
      </c>
      <c r="B6" s="147" t="inlineStr">
        <is>
          <t>Türk Muhasebe Eşlemesi</t>
        </is>
      </c>
      <c r="C6" s="147" t="inlineStr">
        <is>
          <t>Finansal model</t>
        </is>
      </c>
      <c r="D6" s="147" t="inlineStr">
        <is>
          <t>THP hesap eşleme tablosu</t>
        </is>
      </c>
      <c r="E6" s="147" t="inlineStr">
        <is>
          <t>Kritik satırlar THP ile uyumlu</t>
        </is>
      </c>
      <c r="F6" s="147" t="inlineStr">
        <is>
          <t>HATA</t>
        </is>
      </c>
      <c r="G6" s="147" t="inlineStr">
        <is>
          <t>Sözleşmeler</t>
        </is>
      </c>
    </row>
    <row r="7">
      <c r="A7" s="151" t="n">
        <v>4</v>
      </c>
      <c r="B7" s="147" t="inlineStr">
        <is>
          <t>Veri ve Anlam Sözleşmeleri</t>
        </is>
      </c>
      <c r="C7" s="147" t="inlineStr">
        <is>
          <t>Girdi/KPI varsa</t>
        </is>
      </c>
      <c r="D7" s="147" t="inlineStr">
        <is>
          <t>Veri + KPI sözleşmeleri</t>
        </is>
      </c>
      <c r="E7" s="147" t="inlineStr">
        <is>
          <t>Kapsam %100</t>
        </is>
      </c>
      <c r="F7" s="147" t="inlineStr">
        <is>
          <t>HATA</t>
        </is>
      </c>
      <c r="G7" s="147" t="inlineStr">
        <is>
          <t>Üretim</t>
        </is>
      </c>
    </row>
    <row r="8">
      <c r="A8" s="151" t="n">
        <v>5</v>
      </c>
      <c r="B8" s="147" t="inlineStr">
        <is>
          <t>Üretim</t>
        </is>
      </c>
      <c r="C8" s="147" t="inlineStr">
        <is>
          <t>Sözleşmeler GEÇTİ</t>
        </is>
      </c>
      <c r="D8" s="147" t="inlineStr">
        <is>
          <t>Çalışan Excel</t>
        </is>
      </c>
      <c r="E8" s="147" t="inlineStr">
        <is>
          <t>Tek gerçek kaynak korunmuş</t>
        </is>
      </c>
      <c r="F8" s="147" t="inlineStr">
        <is>
          <t>HATA</t>
        </is>
      </c>
      <c r="G8" s="147" t="inlineStr">
        <is>
          <t>Testler</t>
        </is>
      </c>
    </row>
    <row r="9" ht="28" customHeight="1">
      <c r="A9" s="151" t="n">
        <v>6</v>
      </c>
      <c r="B9" s="147" t="inlineStr">
        <is>
          <t>Görsel/Kullanım Katmanı</t>
        </is>
      </c>
      <c r="C9" s="147" t="inlineStr">
        <is>
          <t>Motor hazır</t>
        </is>
      </c>
      <c r="D9" s="147" t="inlineStr">
        <is>
          <t>Başlıklar + renk + grafik + yönlendirme</t>
        </is>
      </c>
      <c r="E9" s="147" t="inlineStr">
        <is>
          <t>Tüm kullanıcı sayfaları standarda uygun</t>
        </is>
      </c>
      <c r="F9" s="147" t="inlineStr">
        <is>
          <t>HATA</t>
        </is>
      </c>
      <c r="G9" s="147" t="inlineStr">
        <is>
          <t>Testler</t>
        </is>
      </c>
    </row>
    <row r="10" ht="28" customHeight="1">
      <c r="A10" s="151" t="n">
        <v>7</v>
      </c>
      <c r="B10" s="147" t="inlineStr">
        <is>
          <t>Testler</t>
        </is>
      </c>
      <c r="C10" s="147" t="inlineStr">
        <is>
          <t>Üretim tamam</t>
        </is>
      </c>
      <c r="D10" s="147" t="inlineStr">
        <is>
          <t>Formül/OOXML/kimlik/oracle/golden/metamorfik</t>
        </is>
      </c>
      <c r="E10" s="147" t="inlineStr">
        <is>
          <t>Uygulanabilir hard gate'ler GEÇTİ</t>
        </is>
      </c>
      <c r="F10" s="147" t="inlineStr">
        <is>
          <t>HATA</t>
        </is>
      </c>
      <c r="G10" s="147" t="inlineStr">
        <is>
          <t>Kanıt</t>
        </is>
      </c>
    </row>
    <row r="11">
      <c r="A11" s="151" t="n">
        <v>8</v>
      </c>
      <c r="B11" s="147" t="inlineStr">
        <is>
          <t>Hata-Kontrol Tutarlılığı</t>
        </is>
      </c>
      <c r="C11" s="147" t="inlineStr">
        <is>
          <t>Test sonucu var</t>
        </is>
      </c>
      <c r="D11" s="147" t="inlineStr">
        <is>
          <t>Hata taraması + kontrol sonuçları</t>
        </is>
      </c>
      <c r="E11" s="147" t="inlineStr">
        <is>
          <t>Formül hatası varken GEÇTİ yok</t>
        </is>
      </c>
      <c r="F11" s="147" t="inlineStr">
        <is>
          <t>HATA</t>
        </is>
      </c>
      <c r="G11" s="147" t="inlineStr">
        <is>
          <t>Kanıt</t>
        </is>
      </c>
    </row>
    <row r="12">
      <c r="A12" s="151" t="n">
        <v>9</v>
      </c>
      <c r="B12" s="147" t="inlineStr">
        <is>
          <t>Kanıt</t>
        </is>
      </c>
      <c r="C12" s="147" t="inlineStr">
        <is>
          <t>Test sonucu var</t>
        </is>
      </c>
      <c r="D12" s="147" t="inlineStr">
        <is>
          <t>Makine okunur artefakt + özet</t>
        </is>
      </c>
      <c r="E12" s="147" t="inlineStr">
        <is>
          <t>Kanıt fiziksel ve tutarlı</t>
        </is>
      </c>
      <c r="F12" s="147" t="inlineStr">
        <is>
          <t>HATA</t>
        </is>
      </c>
      <c r="G12" s="147" t="inlineStr">
        <is>
          <t>Kullanıcı Kabulü</t>
        </is>
      </c>
    </row>
    <row r="13">
      <c r="A13" s="151" t="n">
        <v>10</v>
      </c>
      <c r="B13" s="147" t="inlineStr">
        <is>
          <t>Kullanıcı Kabulü</t>
        </is>
      </c>
      <c r="C13" s="147" t="inlineStr">
        <is>
          <t>Kritik görevler</t>
        </is>
      </c>
      <c r="D13" s="147" t="inlineStr">
        <is>
          <t>Gerçek ekran davranışı</t>
        </is>
      </c>
      <c r="E13" s="147" t="inlineStr">
        <is>
          <t>Kritik görevler %100</t>
        </is>
      </c>
      <c r="F13" s="147" t="inlineStr">
        <is>
          <t>DIŞ_KABUL_GEREKLİ</t>
        </is>
      </c>
      <c r="G13" s="147" t="inlineStr">
        <is>
          <t>Ticari</t>
        </is>
      </c>
    </row>
    <row r="14">
      <c r="A14" s="151" t="n">
        <v>11</v>
      </c>
      <c r="B14" s="147" t="inlineStr">
        <is>
          <t>Ticari Değer</t>
        </is>
      </c>
      <c r="C14" s="147" t="inlineStr">
        <is>
          <t>Ürün satılacaksa</t>
        </is>
      </c>
      <c r="D14" s="147" t="inlineStr">
        <is>
          <t>ROI + demo + kanıt paketi</t>
        </is>
      </c>
      <c r="E14" s="147" t="inlineStr">
        <is>
          <t>Ekonomik değer kanıtlı</t>
        </is>
      </c>
      <c r="F14" s="147" t="inlineStr">
        <is>
          <t>UYARI / HATA</t>
        </is>
      </c>
      <c r="G14" s="147" t="inlineStr">
        <is>
          <t>Pazar Doğrulama</t>
        </is>
      </c>
    </row>
    <row r="15">
      <c r="A15" s="151" t="n">
        <v>12</v>
      </c>
      <c r="B15" s="147" t="inlineStr">
        <is>
          <t>Pazar Doğrulama</t>
        </is>
      </c>
      <c r="C15" s="147" t="inlineStr">
        <is>
          <t>Pazar iddiası varsa</t>
        </is>
      </c>
      <c r="D15" s="147" t="inlineStr">
        <is>
          <t>Ücretli satış/pilot/fiyat kabul kanıtı</t>
        </is>
      </c>
      <c r="E15" s="147" t="inlineStr">
        <is>
          <t>Gerçek fiyat kabul kanıtı</t>
        </is>
      </c>
      <c r="F15" s="147" t="inlineStr">
        <is>
          <t>UYGULANMAZ / HATA</t>
        </is>
      </c>
      <c r="G15" s="147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NİHAİ KONTROL LİSTESİ — KANITSIZ GEÇİŞ YOK</t>
        </is>
      </c>
    </row>
    <row r="2"/>
    <row r="3" ht="24" customHeight="1">
      <c r="A3" s="153" t="inlineStr">
        <is>
          <t>Kontrol No</t>
        </is>
      </c>
      <c r="B3" s="153" t="inlineStr">
        <is>
          <t>Kontrol</t>
        </is>
      </c>
      <c r="C3" s="153" t="inlineStr">
        <is>
          <t>Beklenen</t>
        </is>
      </c>
      <c r="D3" s="153" t="inlineStr">
        <is>
          <t>Zorunlu Kapı?</t>
        </is>
      </c>
      <c r="E3" s="153" t="inlineStr">
        <is>
          <t>Sonuç</t>
        </is>
      </c>
    </row>
    <row r="4">
      <c r="A4" s="154" t="inlineStr">
        <is>
          <t>K01</t>
        </is>
      </c>
      <c r="B4" s="147" t="inlineStr">
        <is>
          <t>Kullanıcının açık talebi öncelikli mi?</t>
        </is>
      </c>
      <c r="C4" s="147" t="inlineStr">
        <is>
          <t>Evet</t>
        </is>
      </c>
      <c r="D4" s="147" t="inlineStr">
        <is>
          <t>EVET</t>
        </is>
      </c>
    </row>
    <row r="5">
      <c r="A5" s="154" t="inlineStr">
        <is>
          <t>K02</t>
        </is>
      </c>
      <c r="B5" s="147" t="inlineStr">
        <is>
          <t>Mevcut yapı, formüller ve tek gerçek kaynak korunuyor mu?</t>
        </is>
      </c>
      <c r="C5" s="147" t="inlineStr">
        <is>
          <t>Evet, değişiklik gerekçeli</t>
        </is>
      </c>
      <c r="D5" s="147" t="inlineStr">
        <is>
          <t>EVET</t>
        </is>
      </c>
    </row>
    <row r="6">
      <c r="A6" s="154" t="inlineStr">
        <is>
          <t>K03</t>
        </is>
      </c>
      <c r="B6" s="147" t="inlineStr">
        <is>
          <t>Üst aşama HATA ise alt aşama GEÇTİ engelleniyor mu?</t>
        </is>
      </c>
      <c r="C6" s="147" t="inlineStr">
        <is>
          <t>Evet</t>
        </is>
      </c>
      <c r="D6" s="147" t="inlineStr">
        <is>
          <t>EVET</t>
        </is>
      </c>
    </row>
    <row r="7">
      <c r="A7" s="154" t="inlineStr">
        <is>
          <t>K04</t>
        </is>
      </c>
      <c r="B7" s="147" t="inlineStr">
        <is>
          <t>Kanıt fiziksel çıktı ve içerik doğrulaması içeriyor mu?</t>
        </is>
      </c>
      <c r="C7" s="147" t="inlineStr">
        <is>
          <t>Evet</t>
        </is>
      </c>
      <c r="D7" s="147" t="inlineStr">
        <is>
          <t>EVET</t>
        </is>
      </c>
    </row>
    <row r="8">
      <c r="A8" s="154" t="inlineStr">
        <is>
          <t>K05</t>
        </is>
      </c>
      <c r="B8" s="147" t="inlineStr">
        <is>
          <t>Excel GUI erişimi olmadan kullanıcı görünümü GEÇTİ yazılıyor mu?</t>
        </is>
      </c>
      <c r="C8" s="147" t="inlineStr">
        <is>
          <t>Hayır</t>
        </is>
      </c>
      <c r="D8" s="147" t="inlineStr">
        <is>
          <t>EVET</t>
        </is>
      </c>
    </row>
    <row r="9">
      <c r="A9" s="154" t="inlineStr">
        <is>
          <t>K06</t>
        </is>
      </c>
      <c r="B9" s="147" t="inlineStr">
        <is>
          <t>NİHAİ yalnız GEÇTİ / gerekçeli UYGULANMAZ ile mi?</t>
        </is>
      </c>
      <c r="C9" s="147" t="inlineStr">
        <is>
          <t>Evet</t>
        </is>
      </c>
      <c r="D9" s="147" t="inlineStr">
        <is>
          <t>EVET</t>
        </is>
      </c>
    </row>
    <row r="10">
      <c r="A10" s="154" t="inlineStr">
        <is>
          <t>K07</t>
        </is>
      </c>
      <c r="B10" s="147" t="inlineStr">
        <is>
          <t>Ekonomik fiyat savunusu pazar doğrulamasından ayrılmış mı?</t>
        </is>
      </c>
      <c r="C10" s="147" t="inlineStr">
        <is>
          <t>Evet</t>
        </is>
      </c>
      <c r="D10" s="147" t="inlineStr">
        <is>
          <t>EVET</t>
        </is>
      </c>
    </row>
    <row r="11">
      <c r="A11" s="154" t="inlineStr">
        <is>
          <t>K08</t>
        </is>
      </c>
      <c r="B11" s="147" t="inlineStr">
        <is>
          <t>Prestij için gereksiz modül var mı?</t>
        </is>
      </c>
      <c r="C11" s="147" t="inlineStr">
        <is>
          <t>Hayır</t>
        </is>
      </c>
      <c r="D11" s="147" t="inlineStr">
        <is>
          <t>HAYIR</t>
        </is>
      </c>
    </row>
    <row r="12">
      <c r="A12" s="154" t="inlineStr">
        <is>
          <t>K09</t>
        </is>
      </c>
      <c r="B12" s="147" t="inlineStr">
        <is>
          <t>Excel sınırları açık mı?</t>
        </is>
      </c>
      <c r="C12" s="147" t="inlineStr">
        <is>
          <t>Evet</t>
        </is>
      </c>
      <c r="D12" s="147" t="inlineStr">
        <is>
          <t>EVET</t>
        </is>
      </c>
    </row>
    <row r="13">
      <c r="A13" s="154" t="inlineStr">
        <is>
          <t>K10</t>
        </is>
      </c>
      <c r="B13" s="147" t="inlineStr">
        <is>
          <t>Teknik kaynak korunuyor mu?</t>
        </is>
      </c>
      <c r="C13" s="147" t="inlineStr">
        <is>
          <t>Evet</t>
        </is>
      </c>
      <c r="D13" s="147" t="inlineStr">
        <is>
          <t>EVET</t>
        </is>
      </c>
    </row>
    <row r="14">
      <c r="A14" s="154" t="inlineStr">
        <is>
          <t>K11</t>
        </is>
      </c>
      <c r="B14" s="147" t="inlineStr">
        <is>
          <t>Kullanıcıya görünen tüm metinler Türkçe mi?</t>
        </is>
      </c>
      <c r="C14" s="147" t="inlineStr">
        <is>
          <t>Evet</t>
        </is>
      </c>
      <c r="D14" s="147" t="inlineStr">
        <is>
          <t>EVET</t>
        </is>
      </c>
    </row>
    <row r="15">
      <c r="A15" s="154" t="inlineStr">
        <is>
          <t>K12</t>
        </is>
      </c>
      <c r="B15" s="147" t="inlineStr">
        <is>
          <t>Her kullanıcı sayfasında üst başlık var mı?</t>
        </is>
      </c>
      <c r="C15" s="147" t="inlineStr">
        <is>
          <t>Evet</t>
        </is>
      </c>
      <c r="D15" s="147" t="inlineStr">
        <is>
          <t>EVET</t>
        </is>
      </c>
    </row>
    <row r="16">
      <c r="A16" s="154" t="inlineStr">
        <is>
          <t>K13</t>
        </is>
      </c>
      <c r="B16" s="147" t="inlineStr">
        <is>
          <t>Sayfalar arasında tutarlı renk sistemi var mı?</t>
        </is>
      </c>
      <c r="C16" s="147" t="inlineStr">
        <is>
          <t>Evet</t>
        </is>
      </c>
      <c r="D16" s="147" t="inlineStr">
        <is>
          <t>EVET</t>
        </is>
      </c>
    </row>
    <row r="17">
      <c r="A17" s="154" t="inlineStr">
        <is>
          <t>K14</t>
        </is>
      </c>
      <c r="B17" s="147" t="inlineStr">
        <is>
          <t>Alt sayfa sekmeleri işlevine göre renklendirilmiş mi?</t>
        </is>
      </c>
      <c r="C17" s="147" t="inlineStr">
        <is>
          <t>Evet</t>
        </is>
      </c>
      <c r="D17" s="147" t="inlineStr">
        <is>
          <t>EVET</t>
        </is>
      </c>
    </row>
    <row r="18">
      <c r="A18" s="154" t="inlineStr">
        <is>
          <t>K15</t>
        </is>
      </c>
      <c r="B18" s="147" t="inlineStr">
        <is>
          <t>İçerik blokları arasında gereksiz boş kolon var mı?</t>
        </is>
      </c>
      <c r="C18" s="147" t="inlineStr">
        <is>
          <t>Hayır</t>
        </is>
      </c>
      <c r="D18" s="147" t="inlineStr">
        <is>
          <t>EVET</t>
        </is>
      </c>
    </row>
    <row r="19">
      <c r="A19" s="154" t="inlineStr">
        <is>
          <t>K16</t>
        </is>
      </c>
      <c r="B19" s="147" t="inlineStr">
        <is>
          <t>Grafikler premium ve karar odaklı mı?</t>
        </is>
      </c>
      <c r="C19" s="147" t="inlineStr">
        <is>
          <t>Evet</t>
        </is>
      </c>
      <c r="D19" s="147" t="inlineStr">
        <is>
          <t>EVET</t>
        </is>
      </c>
    </row>
    <row r="20">
      <c r="A20" s="154" t="inlineStr">
        <is>
          <t>K17</t>
        </is>
      </c>
      <c r="B20" s="147" t="inlineStr">
        <is>
          <t>Varsayılan Excel grafiği / 3B / dekoratif grafik var mı?</t>
        </is>
      </c>
      <c r="C20" s="147" t="inlineStr">
        <is>
          <t>Hayır</t>
        </is>
      </c>
      <c r="D20" s="147" t="inlineStr">
        <is>
          <t>EVET</t>
        </is>
      </c>
    </row>
    <row r="21">
      <c r="A21" s="154" t="inlineStr">
        <is>
          <t>K18</t>
        </is>
      </c>
      <c r="B21" s="147" t="inlineStr">
        <is>
          <t>Finansal ürün Türkiye Tekdüzen Hesap Planı ile eşleşiyor mu?</t>
        </is>
      </c>
      <c r="C21" s="147" t="inlineStr">
        <is>
          <t>Evet</t>
        </is>
      </c>
      <c r="D21" s="147" t="inlineStr">
        <is>
          <t>EVET</t>
        </is>
      </c>
    </row>
    <row r="22">
      <c r="A22" s="154" t="inlineStr">
        <is>
          <t>K19</t>
        </is>
      </c>
      <c r="B22" s="147" t="inlineStr">
        <is>
          <t>Muhasebe satır adları Türkiye kullanımına uygun mu?</t>
        </is>
      </c>
      <c r="C22" s="147" t="inlineStr">
        <is>
          <t>Evet</t>
        </is>
      </c>
      <c r="D22" s="147" t="inlineStr">
        <is>
          <t>EVET</t>
        </is>
      </c>
    </row>
    <row r="23">
      <c r="A23" s="154" t="inlineStr">
        <is>
          <t>K20</t>
        </is>
      </c>
      <c r="B23" s="147" t="inlineStr">
        <is>
          <t>Formül hatası varken herhangi bir kontrol GEÇTİ gösteriyor mu?</t>
        </is>
      </c>
      <c r="C23" s="147" t="inlineStr">
        <is>
          <t>Hayır</t>
        </is>
      </c>
      <c r="D23" s="147" t="inlineStr">
        <is>
          <t>EVET</t>
        </is>
      </c>
    </row>
    <row r="24">
      <c r="A24" s="154" t="inlineStr">
        <is>
          <t>K21</t>
        </is>
      </c>
      <c r="B24" s="147" t="inlineStr">
        <is>
          <t>Karar Motoru boş veya yalnız başlık düzeyinde mi?</t>
        </is>
      </c>
      <c r="C24" s="147" t="inlineStr">
        <is>
          <t>Hayır</t>
        </is>
      </c>
      <c r="D24" s="147" t="inlineStr">
        <is>
          <t>EVET</t>
        </is>
      </c>
    </row>
    <row r="25">
      <c r="A25" s="154" t="inlineStr">
        <is>
          <t>K22</t>
        </is>
      </c>
      <c r="B25" s="147" t="inlineStr">
        <is>
          <t>Senaryo/Stres modülü gerçekten sonuç değiştiriyor mu?</t>
        </is>
      </c>
      <c r="C25" s="147" t="inlineStr">
        <is>
          <t>Evet</t>
        </is>
      </c>
      <c r="D25" s="147" t="inlineStr">
        <is>
          <t>EVET</t>
        </is>
      </c>
    </row>
    <row r="26">
      <c r="A26" s="154" t="inlineStr">
        <is>
          <t>K23</t>
        </is>
      </c>
      <c r="B26" s="147" t="inlineStr">
        <is>
          <t>Oracle/bağımsız doğrulama gerçek veri üretiyor mu?</t>
        </is>
      </c>
      <c r="C26" s="147" t="inlineStr">
        <is>
          <t>Evet veya gerekçeli UYGULANMAZ</t>
        </is>
      </c>
      <c r="D26" s="147" t="inlineStr">
        <is>
          <t>EVET</t>
        </is>
      </c>
    </row>
    <row r="27">
      <c r="A27" s="154" t="inlineStr">
        <is>
          <t>K24</t>
        </is>
      </c>
      <c r="B27" s="147" t="inlineStr">
        <is>
          <t>Yönetici ekranı 5 saniyede sorunu ve aksiyonu anlatıyor mu?</t>
        </is>
      </c>
      <c r="C27" s="147" t="inlineStr">
        <is>
          <t>Evet</t>
        </is>
      </c>
      <c r="D27" s="147" t="inlineStr">
        <is>
          <t>EVET</t>
        </is>
      </c>
    </row>
    <row r="28">
      <c r="A28" s="154" t="inlineStr">
        <is>
          <t>K25</t>
        </is>
      </c>
      <c r="B28" s="147" t="inlineStr">
        <is>
          <t>Her kritik kararın parasal etkisi ve önerilen aksiyonu var mı?</t>
        </is>
      </c>
      <c r="C28" s="147" t="inlineStr">
        <is>
          <t>Evet</t>
        </is>
      </c>
      <c r="D28" s="147" t="inlineStr">
        <is>
          <t>EVET</t>
        </is>
      </c>
    </row>
    <row r="29">
      <c r="A29" s="154" t="inlineStr">
        <is>
          <t>K26</t>
        </is>
      </c>
      <c r="B29" s="147" t="inlineStr">
        <is>
          <t>Ürün sayfası/ürün içi demo satın alma gerekçesini kanıtlıyor mu?</t>
        </is>
      </c>
      <c r="C29" s="147" t="inlineStr">
        <is>
          <t>Evet</t>
        </is>
      </c>
      <c r="D29" s="147" t="inlineStr">
        <is>
          <t>EVET</t>
        </is>
      </c>
    </row>
    <row r="30" ht="30" customHeight="1">
      <c r="A30" s="155" t="inlineStr">
        <is>
          <t>K27</t>
        </is>
      </c>
      <c r="B30" s="156" t="inlineStr">
        <is>
          <t>Buton görünümü verilen tüm alanlar gerçekten tıklanabilir ve doğru hedefe gidiyor mu?</t>
        </is>
      </c>
      <c r="C30" s="156" t="inlineStr">
        <is>
          <t>Evet</t>
        </is>
      </c>
      <c r="D30" s="147" t="inlineStr">
        <is>
          <t>EVET</t>
        </is>
      </c>
    </row>
    <row r="31" ht="30" customHeight="1">
      <c r="A31" s="155" t="inlineStr">
        <is>
          <t>K28</t>
        </is>
      </c>
      <c r="B31" s="156" t="inlineStr">
        <is>
          <t>Tüm görünür kullanıcı sheet tabları kurumsal kategori rengi taşıyor mu?</t>
        </is>
      </c>
      <c r="C31" s="156" t="inlineStr">
        <is>
          <t>Evet</t>
        </is>
      </c>
      <c r="D31" s="147" t="inlineStr">
        <is>
          <t>EVET</t>
        </is>
      </c>
    </row>
    <row r="32" ht="16" customHeight="1">
      <c r="A32" s="155" t="inlineStr">
        <is>
          <t>K29</t>
        </is>
      </c>
      <c r="B32" s="156" t="inlineStr">
        <is>
          <t>Sheet sırası tanımlı kullanıcı iş akışıyla birebir aynı mı?</t>
        </is>
      </c>
      <c r="C32" s="156" t="inlineStr">
        <is>
          <t>Evet</t>
        </is>
      </c>
      <c r="D32" s="147" t="inlineStr">
        <is>
          <t>EVET</t>
        </is>
      </c>
    </row>
    <row r="33" ht="30" customHeight="1">
      <c r="A33" s="155" t="inlineStr">
        <is>
          <t>K30</t>
        </is>
      </c>
      <c r="B33" s="156" t="inlineStr">
        <is>
          <t>Kurumsal renk paleti tutarlı mı; rastgele/gökkuşağı renk kullanımı var mı?</t>
        </is>
      </c>
      <c r="C33" s="156" t="inlineStr">
        <is>
          <t>Evet / Hayır</t>
        </is>
      </c>
      <c r="D33" s="147" t="inlineStr">
        <is>
          <t>EVET</t>
        </is>
      </c>
    </row>
    <row r="34" ht="30" customHeight="1">
      <c r="A34" s="155" t="inlineStr">
        <is>
          <t>K31</t>
        </is>
      </c>
      <c r="B34" s="156" t="inlineStr">
        <is>
          <t>Premium vitrin, altyapı kadar güçlü ve satış fiyatını destekleyecek seviyede mi?</t>
        </is>
      </c>
      <c r="C34" s="156" t="inlineStr">
        <is>
          <t>Evet</t>
        </is>
      </c>
      <c r="D34" s="147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GÖRSEL TASARIM VE PREMIUM EXCEL STANDARDI</t>
        </is>
      </c>
    </row>
    <row r="2"/>
    <row r="3" ht="24" customHeight="1">
      <c r="A3" s="158" t="inlineStr">
        <is>
          <t>Alan</t>
        </is>
      </c>
      <c r="B3" s="158" t="inlineStr">
        <is>
          <t>Zorunlu Kural</t>
        </is>
      </c>
      <c r="C3" s="158" t="inlineStr">
        <is>
          <t>Uygulama</t>
        </is>
      </c>
      <c r="D3" s="158" t="inlineStr">
        <is>
          <t>Yasak</t>
        </is>
      </c>
      <c r="E3" s="158" t="inlineStr">
        <is>
          <t>Kontrol</t>
        </is>
      </c>
      <c r="F3" s="158" t="inlineStr">
        <is>
          <t>Durum</t>
        </is>
      </c>
    </row>
    <row r="4" ht="28" customHeight="1">
      <c r="A4" s="159" t="inlineStr">
        <is>
          <t>Sayfa başlığı</t>
        </is>
      </c>
      <c r="B4" s="147" t="inlineStr">
        <is>
          <t>Her kullanıcı sayfasının en üstünde tek ve açık sayfa başlığı</t>
        </is>
      </c>
      <c r="C4" s="147" t="inlineStr">
        <is>
          <t>A1'den başlayan koyu lacivert başlık bandı</t>
        </is>
      </c>
      <c r="D4" s="147" t="inlineStr">
        <is>
          <t>Başlıksız sayfa</t>
        </is>
      </c>
      <c r="E4" s="147" t="inlineStr">
        <is>
          <t>Başlık kapsama = %100</t>
        </is>
      </c>
      <c r="F4" s="160" t="inlineStr">
        <is>
          <t>ZORUNLU</t>
        </is>
      </c>
    </row>
    <row r="5" ht="28" customHeight="1">
      <c r="A5" s="159" t="inlineStr">
        <is>
          <t>Sekme renkleri</t>
        </is>
      </c>
      <c r="B5" s="147" t="inlineStr">
        <is>
          <t>Sayfalar işlevine göre renk kodlanır</t>
        </is>
      </c>
      <c r="C5" s="147" t="inlineStr">
        <is>
          <t>Girdi=mavi, hesap=gri, rapor=lacivert, kontrol=kırmızı, kılavuz=altın</t>
        </is>
      </c>
      <c r="D5" s="147" t="inlineStr">
        <is>
          <t>Rastgele renk</t>
        </is>
      </c>
      <c r="E5" s="147" t="inlineStr">
        <is>
          <t>Renk semantiği tutarlı</t>
        </is>
      </c>
      <c r="F5" s="160" t="inlineStr">
        <is>
          <t>ZORUNLU</t>
        </is>
      </c>
    </row>
    <row r="6" ht="28" customHeight="1">
      <c r="A6" s="159" t="inlineStr">
        <is>
          <t>Kolon düzeni</t>
        </is>
      </c>
      <c r="B6" s="147" t="inlineStr">
        <is>
          <t>Veri blokları bitişik kolonlarda ilerler</t>
        </is>
      </c>
      <c r="C6" s="147" t="inlineStr">
        <is>
          <t>Gereksiz boş kolon bırakma; yalnız gerçek bölüm ayrımı varsa kontrollü boşluk</t>
        </is>
      </c>
      <c r="D6" s="147" t="inlineStr">
        <is>
          <t>A:C veri, D boş, E:F veri gibi parçalı yapı</t>
        </is>
      </c>
      <c r="E6" s="147" t="inlineStr">
        <is>
          <t>Boş kolon taraması</t>
        </is>
      </c>
      <c r="F6" s="160" t="inlineStr">
        <is>
          <t>ZORUNLU</t>
        </is>
      </c>
    </row>
    <row r="7" ht="16" customHeight="1">
      <c r="A7" s="159" t="inlineStr">
        <is>
          <t>Girdi hücreleri</t>
        </is>
      </c>
      <c r="B7" s="147" t="inlineStr">
        <is>
          <t>Kullanıcının değiştireceği alan açıkça görünür</t>
        </is>
      </c>
      <c r="C7" s="147" t="inlineStr">
        <is>
          <t>Açık sarı dolgu + mavi yazı</t>
        </is>
      </c>
      <c r="D7" s="147" t="inlineStr">
        <is>
          <t>Formülle aynı görünüm</t>
        </is>
      </c>
      <c r="E7" s="147" t="inlineStr">
        <is>
          <t>Girdi/formül ayrımı</t>
        </is>
      </c>
      <c r="F7" s="160" t="inlineStr">
        <is>
          <t>ZORUNLU</t>
        </is>
      </c>
    </row>
    <row r="8" ht="16" customHeight="1">
      <c r="A8" s="159" t="inlineStr">
        <is>
          <t>Formüller</t>
        </is>
      </c>
      <c r="B8" s="147" t="inlineStr">
        <is>
          <t>Hesap hücreleri kullanıcı girdisinden ayrılır</t>
        </is>
      </c>
      <c r="C8" s="147" t="inlineStr">
        <is>
          <t>Siyah yazı; sayfalar arası bağlantı yeşil yazı</t>
        </is>
      </c>
      <c r="D8" s="147" t="inlineStr">
        <is>
          <t>Hard-code gizleme</t>
        </is>
      </c>
      <c r="E8" s="147" t="inlineStr">
        <is>
          <t>Formül sınıfı kontrolü</t>
        </is>
      </c>
      <c r="F8" s="160" t="inlineStr">
        <is>
          <t>ZORUNLU</t>
        </is>
      </c>
    </row>
    <row r="9" ht="16" customHeight="1">
      <c r="A9" s="159" t="inlineStr">
        <is>
          <t>Grafik sayısı</t>
        </is>
      </c>
      <c r="B9" s="147" t="inlineStr">
        <is>
          <t>Yönetici ekranında en fazla 3 ana karar grafiği</t>
        </is>
      </c>
      <c r="C9" s="147" t="inlineStr">
        <is>
          <t>Trend, karşılaştırma, köprü/dağılım; iş kararına bağlı</t>
        </is>
      </c>
      <c r="D9" s="147" t="inlineStr">
        <is>
          <t>Grafik kalabalığı</t>
        </is>
      </c>
      <c r="E9" s="147" t="inlineStr">
        <is>
          <t>Grafik başına karar sorusu</t>
        </is>
      </c>
      <c r="F9" s="160" t="inlineStr">
        <is>
          <t>ZORUNLU</t>
        </is>
      </c>
    </row>
    <row r="10" ht="16" customHeight="1">
      <c r="A10" s="159" t="inlineStr">
        <is>
          <t>Grafik stili</t>
        </is>
      </c>
      <c r="B10" s="147" t="inlineStr">
        <is>
          <t>Kurumsal ve yüksek okunabilirlik</t>
        </is>
      </c>
      <c r="C10" s="147" t="inlineStr">
        <is>
          <t>Beyaz zemin, ince gridline, tek vurgu rengi, açık birim/başlık</t>
        </is>
      </c>
      <c r="D10" s="147" t="inlineStr">
        <is>
          <t>3B, gölge, neon, gökkuşağı renkleri</t>
        </is>
      </c>
      <c r="E10" s="147" t="inlineStr">
        <is>
          <t>Görsel inceleme</t>
        </is>
      </c>
      <c r="F10" s="160" t="inlineStr">
        <is>
          <t>ZORUNLU</t>
        </is>
      </c>
    </row>
    <row r="11" ht="16" customHeight="1">
      <c r="A11" s="159" t="inlineStr">
        <is>
          <t>Grafik başlığı</t>
        </is>
      </c>
      <c r="B11" s="147" t="inlineStr">
        <is>
          <t>Grafik 'neyi' değil 'ne anlama geldiğini' söyler</t>
        </is>
      </c>
      <c r="C11" s="147" t="inlineStr">
        <is>
          <t>Örn: 'Nakit 2028'de kritik eşiğin altına iniyor'</t>
        </is>
      </c>
      <c r="D11" s="147" t="inlineStr">
        <is>
          <t>'Nakit Grafiği' gibi anlamsız başlık</t>
        </is>
      </c>
      <c r="E11" s="147" t="inlineStr">
        <is>
          <t>Başlık karar testi</t>
        </is>
      </c>
      <c r="F11" s="160" t="inlineStr">
        <is>
          <t>ZORUNLU</t>
        </is>
      </c>
    </row>
    <row r="12" ht="16" customHeight="1">
      <c r="A12" s="159" t="inlineStr">
        <is>
          <t>Birimler</t>
        </is>
      </c>
      <c r="B12" s="147" t="inlineStr">
        <is>
          <t>Tüm finansal görsellerde birim açık</t>
        </is>
      </c>
      <c r="C12" s="147" t="inlineStr">
        <is>
          <t>TL, bin TL, milyon TL, %, gün, x</t>
        </is>
      </c>
      <c r="D12" s="147" t="inlineStr">
        <is>
          <t>Birim belirsizliği</t>
        </is>
      </c>
      <c r="E12" s="147" t="inlineStr">
        <is>
          <t>Birim kapsama %100</t>
        </is>
      </c>
      <c r="F12" s="160" t="inlineStr">
        <is>
          <t>ZORUNLU</t>
        </is>
      </c>
    </row>
    <row r="13" ht="16" customHeight="1">
      <c r="A13" s="159" t="inlineStr">
        <is>
          <t>Sıfır/negatif</t>
        </is>
      </c>
      <c r="B13" s="147" t="inlineStr">
        <is>
          <t>Finansal format standardı</t>
        </is>
      </c>
      <c r="C13" s="147" t="inlineStr">
        <is>
          <t>Sıfır='-', negatif kırmızı parantez</t>
        </is>
      </c>
      <c r="D13" s="147" t="inlineStr">
        <is>
          <t>-500 veya 0,00 kalabalığı</t>
        </is>
      </c>
      <c r="E13" s="147" t="inlineStr">
        <is>
          <t>Format kontrolü</t>
        </is>
      </c>
      <c r="F13" s="160" t="inlineStr">
        <is>
          <t>ZORUNLU</t>
        </is>
      </c>
    </row>
    <row r="14" ht="16" customHeight="1">
      <c r="A14" s="159" t="inlineStr">
        <is>
          <t>Yazı tipi</t>
        </is>
      </c>
      <c r="B14" s="147" t="inlineStr">
        <is>
          <t>Tek aile</t>
        </is>
      </c>
      <c r="C14" s="147" t="inlineStr">
        <is>
          <t>Aptos veya Segoe UI</t>
        </is>
      </c>
      <c r="D14" s="147" t="inlineStr">
        <is>
          <t>Karışık font</t>
        </is>
      </c>
      <c r="E14" s="147" t="inlineStr">
        <is>
          <t>Tek font kontrolü</t>
        </is>
      </c>
      <c r="F14" s="160" t="inlineStr">
        <is>
          <t>ZORUNLU</t>
        </is>
      </c>
    </row>
    <row r="15" ht="16" customHeight="1">
      <c r="A15" s="159" t="inlineStr">
        <is>
          <t>Izgara</t>
        </is>
      </c>
      <c r="B15" s="147" t="inlineStr">
        <is>
          <t>Kullanıcı sayfalarında kapalı</t>
        </is>
      </c>
      <c r="C15" s="147" t="inlineStr">
        <is>
          <t>Bölüm çizgileri ve kart sınırlarıyla düzen</t>
        </is>
      </c>
      <c r="D15" s="147" t="inlineStr">
        <is>
          <t>Excel varsayılan gridline</t>
        </is>
      </c>
      <c r="E15" s="147" t="inlineStr">
        <is>
          <t>Gridline kontrolü</t>
        </is>
      </c>
      <c r="F15" s="160" t="inlineStr">
        <is>
          <t>ZORUNLU</t>
        </is>
      </c>
    </row>
    <row r="16" ht="16" customHeight="1">
      <c r="A16" s="159" t="inlineStr">
        <is>
          <t>Boş durum</t>
        </is>
      </c>
      <c r="B16" s="147" t="inlineStr">
        <is>
          <t>Veri yokken temiz ve anlaşılır</t>
        </is>
      </c>
      <c r="C16" s="147" t="inlineStr">
        <is>
          <t>'Henüz veri yok' / 'Girdi bekleniyor'</t>
        </is>
      </c>
      <c r="D16" s="147" t="inlineStr">
        <is>
          <t>0 yığını / hata kodu</t>
        </is>
      </c>
      <c r="E16" s="147" t="inlineStr">
        <is>
          <t>Boş veri testi</t>
        </is>
      </c>
      <c r="F16" s="160" t="inlineStr">
        <is>
          <t>ZORUNLU</t>
        </is>
      </c>
    </row>
    <row r="17" ht="28" customHeight="1">
      <c r="A17" s="159" t="inlineStr">
        <is>
          <t>Başlangıç deneyimi</t>
        </is>
      </c>
      <c r="B17" s="147" t="inlineStr">
        <is>
          <t>İlk 5 saniyede ne gireceği ve neye bakacağı anlaşılır</t>
        </is>
      </c>
      <c r="C17" s="147" t="inlineStr">
        <is>
          <t>Girdi → durum → aksiyon akışı</t>
        </is>
      </c>
      <c r="D17" s="147" t="inlineStr">
        <is>
          <t>Kılavuz aramaya zorlama</t>
        </is>
      </c>
      <c r="E17" s="147" t="inlineStr">
        <is>
          <t>5 saniye testi</t>
        </is>
      </c>
      <c r="F17" s="160" t="inlineStr">
        <is>
          <t>ZORUNLU</t>
        </is>
      </c>
    </row>
    <row r="18" ht="30" customHeight="1">
      <c r="A18" s="155" t="inlineStr">
        <is>
          <t>Buton standardı</t>
        </is>
      </c>
      <c r="B18" s="156" t="inlineStr">
        <is>
          <t>Buton görünümü verilen her alan gerçek işlev taşır</t>
        </is>
      </c>
      <c r="C18" s="156" t="inlineStr">
        <is>
          <t>Sayfa içi HYPERLINK / gerçek aksiyon; tıklanınca hedefe gider</t>
        </is>
      </c>
      <c r="D18" s="156" t="inlineStr">
        <is>
          <t>İşlevsiz dekoratif buton / sahte navigasyon</t>
        </is>
      </c>
      <c r="E18" s="156" t="inlineStr">
        <is>
          <t>Butonların %100'ü tıklanabilir ve hedefi doğru</t>
        </is>
      </c>
      <c r="F18" s="160" t="inlineStr">
        <is>
          <t>ZORUNLU</t>
        </is>
      </c>
    </row>
    <row r="19" ht="32" customHeight="1">
      <c r="A19" s="155" t="inlineStr">
        <is>
          <t>Native sayfa sekmesi rengi</t>
        </is>
      </c>
      <c r="B19" s="156" t="inlineStr">
        <is>
          <t>Excel alt sheet tabları kurumsal paletle renklendirilir</t>
        </is>
      </c>
      <c r="C19" s="156" t="inlineStr">
        <is>
          <t>Başlangıç/özet=lacivert; girdiler=mavi; hesap/finans=teal; karar/kontrol=burgundy; doküman=gri</t>
        </is>
      </c>
      <c r="D19" s="156" t="inlineStr">
        <is>
          <t>Renksiz sekmeler veya rastgele/gökkuşağı renkleri</t>
        </is>
      </c>
      <c r="E19" s="156" t="inlineStr">
        <is>
          <t>Tüm görünür kullanıcı sheet tabları renkli</t>
        </is>
      </c>
      <c r="F19" s="160" t="inlineStr">
        <is>
          <t>ZORUNLU</t>
        </is>
      </c>
    </row>
    <row r="20" ht="60" customHeight="1">
      <c r="A20" s="155" t="inlineStr">
        <is>
          <t>İş akışı sıralaması</t>
        </is>
      </c>
      <c r="B20" s="156" t="inlineStr">
        <is>
          <t>Sayfalar kullanıcının çalışma sırasına göre fiziksel olarak dizilir</t>
        </is>
      </c>
      <c r="C20" s="15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6" t="inlineStr">
        <is>
          <t>Teknik oluşturma sırasına göre dağınık sheet dizilimi</t>
        </is>
      </c>
      <c r="E20" s="156" t="inlineStr">
        <is>
          <t>Sheet order = tanımlı workflow</t>
        </is>
      </c>
      <c r="F20" s="160" t="inlineStr">
        <is>
          <t>ZORUNLU</t>
        </is>
      </c>
    </row>
    <row r="21" ht="30" customHeight="1">
      <c r="A21" s="155" t="inlineStr">
        <is>
          <t>Kurumsal renk paleti</t>
        </is>
      </c>
      <c r="B21" s="156" t="inlineStr">
        <is>
          <t>Sekme, başlık, buton ve vurgu renkleri tek kurumsal paletten gelir</t>
        </is>
      </c>
      <c r="C21" s="156" t="inlineStr">
        <is>
          <t>Lacivert + mavi + teal + kontrollü burgundy/gri; kategori semantiği sabit</t>
        </is>
      </c>
      <c r="D21" s="156" t="inlineStr">
        <is>
          <t>Neon, rastgele yüksek doygunluk, her sayfada farklı bağımsız renk</t>
        </is>
      </c>
      <c r="E21" s="156" t="inlineStr">
        <is>
          <t>Palette token kontrolü</t>
        </is>
      </c>
      <c r="F21" s="160" t="inlineStr">
        <is>
          <t>ZORUNLU</t>
        </is>
      </c>
    </row>
    <row r="22" ht="45" customHeight="1">
      <c r="A22" s="155" t="inlineStr">
        <is>
          <t>Premium vitrin</t>
        </is>
      </c>
      <c r="B22" s="156" t="inlineStr">
        <is>
          <t>Görsel kalite ürün değerinin zorunlu parçasıdır</t>
        </is>
      </c>
      <c r="C22" s="156" t="inlineStr">
        <is>
          <t>Kaliteli grafik, gerçek KPI kartı, finansal hiyerarşi, tab rengi, fonksiyonel navigasyon</t>
        </is>
      </c>
      <c r="D22" s="156" t="inlineStr">
        <is>
          <t>Sadece doğru hesap yapıp çıplak/varsayılan Excel görünümü bırakmak</t>
        </is>
      </c>
      <c r="E22" s="156" t="inlineStr">
        <is>
          <t>Görsel release incelemesi</t>
        </is>
      </c>
      <c r="F22" s="160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TÜRKİYE MUHASEBE VE TEKDÜZEN HESAP PLANI STANDARDI</t>
        </is>
      </c>
    </row>
    <row r="2"/>
    <row r="3" ht="24" customHeight="1">
      <c r="A3" s="162" t="inlineStr">
        <is>
          <t>Konu</t>
        </is>
      </c>
      <c r="B3" s="162" t="inlineStr">
        <is>
          <t>Zorunlu Standart</t>
        </is>
      </c>
      <c r="C3" s="162" t="inlineStr">
        <is>
          <t>Örnek Türkçe Ad</t>
        </is>
      </c>
      <c r="D3" s="162" t="inlineStr">
        <is>
          <t>THP / Mantık</t>
        </is>
      </c>
      <c r="E3" s="162" t="inlineStr">
        <is>
          <t>Hata Riski</t>
        </is>
      </c>
      <c r="F3" s="162" t="inlineStr">
        <is>
          <t>Kontrol</t>
        </is>
      </c>
    </row>
    <row r="4">
      <c r="A4" s="163" t="inlineStr">
        <is>
          <t>Dil</t>
        </is>
      </c>
      <c r="B4" s="147" t="inlineStr">
        <is>
          <t>Kullanıcıya görünen finansal terimler Türkçe</t>
        </is>
      </c>
      <c r="C4" s="147" t="inlineStr">
        <is>
          <t>Hasılat, Satışların Maliyeti, Brüt Kâr, Faaliyet Giderleri</t>
        </is>
      </c>
      <c r="D4" s="147" t="inlineStr">
        <is>
          <t>Türk işletme kullanımına uygun</t>
        </is>
      </c>
      <c r="E4" s="147" t="inlineStr">
        <is>
          <t>İngilizce jargon</t>
        </is>
      </c>
      <c r="F4" s="147" t="inlineStr">
        <is>
          <t>Terminoloji taraması</t>
        </is>
      </c>
    </row>
    <row r="5" ht="28" customHeight="1">
      <c r="A5" s="163" t="inlineStr">
        <is>
          <t>Gelir Tablosu</t>
        </is>
      </c>
      <c r="B5" s="147" t="inlineStr">
        <is>
          <t>Türk sunum sırası kullanılır</t>
        </is>
      </c>
      <c r="C5" s="147" t="inlineStr">
        <is>
          <t>Net Satışlar → Satışların Maliyeti → Brüt Kâr → Faaliyet Giderleri → Faaliyet Kârı</t>
        </is>
      </c>
      <c r="D5" s="147" t="inlineStr">
        <is>
          <t>600/610/611; 620-623; 63x</t>
        </is>
      </c>
      <c r="E5" s="147" t="inlineStr">
        <is>
          <t>Yanlış sınıflama</t>
        </is>
      </c>
      <c r="F5" s="147" t="inlineStr">
        <is>
          <t>Hesap eşleme</t>
        </is>
      </c>
    </row>
    <row r="6" ht="28" customHeight="1">
      <c r="A6" s="163" t="inlineStr">
        <is>
          <t>Bilanço</t>
        </is>
      </c>
      <c r="B6" s="147" t="inlineStr">
        <is>
          <t>Dönen/Duran Varlık ve Kısa/Uzun Vadeli Yükümlülük ayrımı</t>
        </is>
      </c>
      <c r="C6" s="147" t="inlineStr">
        <is>
          <t>Hazır Değerler, Ticari Alacaklar, Stoklar, Mali Borçlar</t>
        </is>
      </c>
      <c r="D6" s="147" t="inlineStr">
        <is>
          <t>1xx / 2xx / 3xx / 4xx / 5xx</t>
        </is>
      </c>
      <c r="E6" s="147" t="inlineStr">
        <is>
          <t>Vade sınıfı hatası</t>
        </is>
      </c>
      <c r="F6" s="147" t="inlineStr">
        <is>
          <t>Bilanço eşitliği</t>
        </is>
      </c>
    </row>
    <row r="7">
      <c r="A7" s="163" t="inlineStr">
        <is>
          <t>Nakit Akışı</t>
        </is>
      </c>
      <c r="B7" s="147" t="inlineStr">
        <is>
          <t>İşletme/Yatırım/Finansman nakit akışları ayrılır</t>
        </is>
      </c>
      <c r="C7" s="147" t="inlineStr">
        <is>
          <t>Faaliyetlerden Nakit, Yatırım Harcamaları, Finansman Nakit Akışı</t>
        </is>
      </c>
      <c r="D7" s="147" t="inlineStr">
        <is>
          <t>Dolaylı/doğrudan yöntem açık seçilir</t>
        </is>
      </c>
      <c r="E7" s="147" t="inlineStr">
        <is>
          <t>Kâr = nakit sanılması</t>
        </is>
      </c>
      <c r="F7" s="147" t="inlineStr">
        <is>
          <t>Nakit devri</t>
        </is>
      </c>
    </row>
    <row r="8">
      <c r="A8" s="163" t="inlineStr">
        <is>
          <t>Ticari Alacaklar</t>
        </is>
      </c>
      <c r="B8" s="147" t="inlineStr">
        <is>
          <t>Cari ve vade mantığı korunur</t>
        </is>
      </c>
      <c r="C8" s="147" t="inlineStr">
        <is>
          <t>120 Alıcılar</t>
        </is>
      </c>
      <c r="D8" s="147" t="inlineStr">
        <is>
          <t>120</t>
        </is>
      </c>
      <c r="E8" s="147" t="inlineStr">
        <is>
          <t>Tahakkuk/nakit karışması</t>
        </is>
      </c>
      <c r="F8" s="147" t="inlineStr">
        <is>
          <t>Alacak devir kontrolü</t>
        </is>
      </c>
    </row>
    <row r="9">
      <c r="A9" s="163" t="inlineStr">
        <is>
          <t>Ticari Borçlar</t>
        </is>
      </c>
      <c r="B9" s="147" t="inlineStr">
        <is>
          <t>Tedarikçi borcu ayrı izlenir</t>
        </is>
      </c>
      <c r="C9" s="147" t="inlineStr">
        <is>
          <t>320 Satıcılar</t>
        </is>
      </c>
      <c r="D9" s="147" t="inlineStr">
        <is>
          <t>320</t>
        </is>
      </c>
      <c r="E9" s="147" t="inlineStr">
        <is>
          <t>Gider/ödeme karışması</t>
        </is>
      </c>
      <c r="F9" s="147" t="inlineStr">
        <is>
          <t>Borç devir kontrolü</t>
        </is>
      </c>
    </row>
    <row r="10">
      <c r="A10" s="163" t="inlineStr">
        <is>
          <t>Kasa/Banka</t>
        </is>
      </c>
      <c r="B10" s="147" t="inlineStr">
        <is>
          <t>Hazır değerler ayrı izlenir</t>
        </is>
      </c>
      <c r="C10" s="147" t="inlineStr">
        <is>
          <t>100 Kasa, 102 Bankalar</t>
        </is>
      </c>
      <c r="D10" s="147" t="inlineStr">
        <is>
          <t>100 / 102</t>
        </is>
      </c>
      <c r="E10" s="147" t="inlineStr">
        <is>
          <t>Virmanla toplam nakdin değişmesi</t>
        </is>
      </c>
      <c r="F10" s="147" t="inlineStr">
        <is>
          <t>Virman değişmezi</t>
        </is>
      </c>
    </row>
    <row r="11">
      <c r="A11" s="163" t="inlineStr">
        <is>
          <t>Stok</t>
        </is>
      </c>
      <c r="B11" s="147" t="inlineStr">
        <is>
          <t>Dikeye uygun stok türü</t>
        </is>
      </c>
      <c r="C11" s="147" t="inlineStr">
        <is>
          <t>150 İlk Madde ve Malzeme, 153 Ticari Mallar</t>
        </is>
      </c>
      <c r="D11" s="147" t="inlineStr">
        <is>
          <t>15x</t>
        </is>
      </c>
      <c r="E11" s="147" t="inlineStr">
        <is>
          <t>Maliyet ve stok hareketinin kopması</t>
        </is>
      </c>
      <c r="F11" s="147" t="inlineStr">
        <is>
          <t>Stok devri</t>
        </is>
      </c>
    </row>
    <row r="12" ht="28" customHeight="1">
      <c r="A12" s="163" t="inlineStr">
        <is>
          <t>Maddi Duran Varlık</t>
        </is>
      </c>
      <c r="B12" s="147" t="inlineStr">
        <is>
          <t>Yatırım harcaması ve amortisman bağlantılı</t>
        </is>
      </c>
      <c r="C12" s="147" t="inlineStr">
        <is>
          <t>253 Tesis Makine Cihazlar, 255 Demirbaşlar, 257 Birikmiş Amortismanlar</t>
        </is>
      </c>
      <c r="D12" s="147" t="inlineStr">
        <is>
          <t>25x</t>
        </is>
      </c>
      <c r="E12" s="147" t="inlineStr">
        <is>
          <t>Yatırım/gider karışması</t>
        </is>
      </c>
      <c r="F12" s="147" t="inlineStr">
        <is>
          <t>Net defter değeri devri</t>
        </is>
      </c>
    </row>
    <row r="13">
      <c r="A13" s="163" t="inlineStr">
        <is>
          <t>Mali Borçlar</t>
        </is>
      </c>
      <c r="B13" s="147" t="inlineStr">
        <is>
          <t>Kısa/uzun vadeli borç ayrımı</t>
        </is>
      </c>
      <c r="C13" s="147" t="inlineStr">
        <is>
          <t>300 Banka Kredileri / 400 Banka Kredileri</t>
        </is>
      </c>
      <c r="D13" s="147" t="inlineStr">
        <is>
          <t>300 / 400</t>
        </is>
      </c>
      <c r="E13" s="147" t="inlineStr">
        <is>
          <t>Vade sınıfı yanlış</t>
        </is>
      </c>
      <c r="F13" s="147" t="inlineStr">
        <is>
          <t>Borç devri</t>
        </is>
      </c>
    </row>
    <row r="14">
      <c r="A14" s="163" t="inlineStr">
        <is>
          <t>Özkaynak</t>
        </is>
      </c>
      <c r="B14" s="147" t="inlineStr">
        <is>
          <t>Sermaye ve geçmiş yıl kârları ayrı</t>
        </is>
      </c>
      <c r="C14" s="147" t="inlineStr">
        <is>
          <t>500 Sermaye, 570 Geçmiş Yıllar Kârları, 590 Dönem Net Kârı</t>
        </is>
      </c>
      <c r="D14" s="147" t="inlineStr">
        <is>
          <t>5xx</t>
        </is>
      </c>
      <c r="E14" s="147" t="inlineStr">
        <is>
          <t>Net kâr bağının kopması</t>
        </is>
      </c>
      <c r="F14" s="147" t="inlineStr">
        <is>
          <t>Özkaynak devri</t>
        </is>
      </c>
    </row>
    <row r="15">
      <c r="A15" s="163" t="inlineStr">
        <is>
          <t>Vergi</t>
        </is>
      </c>
      <c r="B15" s="147" t="inlineStr">
        <is>
          <t>Vergi satırları Türkiye mantığına uygun</t>
        </is>
      </c>
      <c r="C15" s="147" t="inlineStr">
        <is>
          <t>Dönem Vergi ve Diğer Yasal Yükümlülük Karşılıkları</t>
        </is>
      </c>
      <c r="D15" s="147" t="inlineStr">
        <is>
          <t>37x / ilgili vergi hesapları</t>
        </is>
      </c>
      <c r="E15" s="147" t="inlineStr">
        <is>
          <t>Vergi etkisinin yanlış dönemlenmesi</t>
        </is>
      </c>
      <c r="F15" s="147" t="inlineStr">
        <is>
          <t>Vergi sözleşmesi</t>
        </is>
      </c>
    </row>
    <row r="16">
      <c r="A16" s="163" t="inlineStr">
        <is>
          <t>İsim standardı</t>
        </is>
      </c>
      <c r="B16" s="147" t="inlineStr">
        <is>
          <t>Tablo ve sayfa adları Türkçe ve işlevsel</t>
        </is>
      </c>
      <c r="C16" s="147" t="inlineStr">
        <is>
          <t>GELİR_TABLOSU, BİLANÇO, NAKİT_AKISI, BORC_PLANI</t>
        </is>
      </c>
      <c r="D16" s="147" t="inlineStr">
        <is>
          <t>Tekrarlanabilir standart</t>
        </is>
      </c>
      <c r="E16" s="147" t="inlineStr">
        <is>
          <t>İngilizce/karma isim</t>
        </is>
      </c>
      <c r="F16" s="147" t="inlineStr">
        <is>
          <t>Sayfa ve tablo taraması</t>
        </is>
      </c>
    </row>
    <row r="17">
      <c r="A17" s="163" t="inlineStr">
        <is>
          <t>THP eşleme tablosu</t>
        </is>
      </c>
      <c r="B17" s="147" t="inlineStr">
        <is>
          <t>Her kritik satır en az bir THP hesabına bağlanır</t>
        </is>
      </c>
      <c r="C17" s="147" t="inlineStr">
        <is>
          <t>RaporSatırı → HesapKodu → HesapAdı → İşaret → Dönem</t>
        </is>
      </c>
      <c r="D17" s="147" t="inlineStr">
        <is>
          <t>Kaynak izlenebilirliği</t>
        </is>
      </c>
      <c r="E17" s="147" t="inlineStr">
        <is>
          <t>Rapordan rapora kaynak</t>
        </is>
      </c>
      <c r="F17" s="147" t="inlineStr">
        <is>
          <t>Eşleme kapsama %100</t>
        </is>
      </c>
    </row>
    <row r="18">
      <c r="A18" s="163" t="inlineStr">
        <is>
          <t>İstisna</t>
        </is>
      </c>
      <c r="B18" s="147" t="inlineStr">
        <is>
          <t>TFRS özel ürün varsa fark açık yazılır</t>
        </is>
      </c>
      <c r="C18" s="147" t="inlineStr">
        <is>
          <t>Tekdüzen raporlama ≠ TFRS finansal tablo sunumu</t>
        </is>
      </c>
      <c r="D18" s="147" t="inlineStr">
        <is>
          <t>Amaç belirtilir</t>
        </is>
      </c>
      <c r="E18" s="147" t="inlineStr">
        <is>
          <t>Standartları karıştırma</t>
        </is>
      </c>
      <c r="F18" s="147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KARAR, GÜVEN VE SATIŞA HAZIRLIK STANDARDI</t>
        </is>
      </c>
    </row>
    <row r="2"/>
    <row r="3" ht="24" customHeight="1">
      <c r="A3" s="165" t="inlineStr">
        <is>
          <t>Alan</t>
        </is>
      </c>
      <c r="B3" s="165" t="inlineStr">
        <is>
          <t>Müşteri Sorusu</t>
        </is>
      </c>
      <c r="C3" s="165" t="inlineStr">
        <is>
          <t>Zorunlu Ürün Davranışı</t>
        </is>
      </c>
      <c r="D3" s="165" t="inlineStr">
        <is>
          <t>Kanıt</t>
        </is>
      </c>
      <c r="E3" s="165" t="inlineStr">
        <is>
          <t>Başarısızlık Durumu</t>
        </is>
      </c>
      <c r="F3" s="165" t="inlineStr">
        <is>
          <t>Kapı</t>
        </is>
      </c>
    </row>
    <row r="4">
      <c r="A4" s="166" t="inlineStr">
        <is>
          <t>5 saniye</t>
        </is>
      </c>
      <c r="B4" s="147" t="inlineStr">
        <is>
          <t>Bu ürün neyi çözüyor?</t>
        </is>
      </c>
      <c r="C4" s="147" t="inlineStr">
        <is>
          <t>İlk ekranda hedef kullanıcı + pahalı problem + sonuç görünür</t>
        </is>
      </c>
      <c r="D4" s="147" t="inlineStr">
        <is>
          <t>Başlık + alt mesaj + gerçek ekran</t>
        </is>
      </c>
      <c r="E4" s="147" t="inlineStr">
        <is>
          <t>Ürün yalnız teknik isim</t>
        </is>
      </c>
      <c r="F4" s="167" t="inlineStr">
        <is>
          <t>HATA</t>
        </is>
      </c>
    </row>
    <row r="5">
      <c r="A5" s="166" t="inlineStr">
        <is>
          <t>Acı</t>
        </is>
      </c>
      <c r="B5" s="147" t="inlineStr">
        <is>
          <t>Sorun bana neye mal oluyor?</t>
        </is>
      </c>
      <c r="C5" s="147" t="inlineStr">
        <is>
          <t>Mümkünse müşterinin kendi verisiyle parasal/zaman etkisi hesaplanır</t>
        </is>
      </c>
      <c r="D5" s="147" t="inlineStr">
        <is>
          <t>ROI/acı hesaplama yöntemi</t>
        </is>
      </c>
      <c r="E5" s="147" t="inlineStr">
        <is>
          <t>Uydurma tasarruf</t>
        </is>
      </c>
      <c r="F5" s="167" t="inlineStr">
        <is>
          <t>HATA</t>
        </is>
      </c>
    </row>
    <row r="6">
      <c r="A6" s="166" t="inlineStr">
        <is>
          <t>Karar</t>
        </is>
      </c>
      <c r="B6" s="147" t="inlineStr">
        <is>
          <t>Bu bilgiyle ne yapacağım?</t>
        </is>
      </c>
      <c r="C6" s="147" t="inlineStr">
        <is>
          <t>Her kritik KPI aksiyona bağlanır</t>
        </is>
      </c>
      <c r="D6" s="147" t="inlineStr">
        <is>
          <t>KARAR_KUYRUGU</t>
        </is>
      </c>
      <c r="E6" s="147" t="inlineStr">
        <is>
          <t>Sadece rapor</t>
        </is>
      </c>
      <c r="F6" s="167" t="inlineStr">
        <is>
          <t>HATA</t>
        </is>
      </c>
    </row>
    <row r="7">
      <c r="A7" s="166" t="inlineStr">
        <is>
          <t>Güven</t>
        </is>
      </c>
      <c r="B7" s="147" t="inlineStr">
        <is>
          <t>Bu sayıya neden inanayım?</t>
        </is>
      </c>
      <c r="C7" s="147" t="inlineStr">
        <is>
          <t>Kaynak, formül mantığı, kontrol ve son doğrulama görünür</t>
        </is>
      </c>
      <c r="D7" s="147" t="inlineStr">
        <is>
          <t>Kontroller + kaynak izi + sürüm</t>
        </is>
      </c>
      <c r="E7" s="147" t="inlineStr">
        <is>
          <t>Prestij kelimesi</t>
        </is>
      </c>
      <c r="F7" s="167" t="inlineStr">
        <is>
          <t>HATA</t>
        </is>
      </c>
    </row>
    <row r="8">
      <c r="A8" s="166" t="inlineStr">
        <is>
          <t>Referans</t>
        </is>
      </c>
      <c r="B8" s="147" t="inlineStr">
        <is>
          <t>Müşteri yorumu yoksa ne göstereceğim?</t>
        </is>
      </c>
      <c r="C8" s="147" t="inlineStr">
        <is>
          <t>Önce/Sonra + Karar Vakası + Hata Önleme Vakası üretilir</t>
        </is>
      </c>
      <c r="D8" s="147" t="inlineStr">
        <is>
          <t>Demo/örnek çıktı</t>
        </is>
      </c>
      <c r="E8" s="147" t="inlineStr">
        <is>
          <t>Kanıtsız iddia</t>
        </is>
      </c>
      <c r="F8" s="167" t="inlineStr">
        <is>
          <t>HATA</t>
        </is>
      </c>
    </row>
    <row r="9">
      <c r="A9" s="166" t="inlineStr">
        <is>
          <t>Senaryo</t>
        </is>
      </c>
      <c r="B9" s="147" t="inlineStr">
        <is>
          <t>Ne olursa işler bozulur?</t>
        </is>
      </c>
      <c r="C9" s="147" t="inlineStr">
        <is>
          <t>Baz/Aşağı/Yukarı veya uygun stres senaryosu</t>
        </is>
      </c>
      <c r="D9" s="147" t="inlineStr">
        <is>
          <t>Senaryo karşılaştırma</t>
        </is>
      </c>
      <c r="E9" s="147" t="inlineStr">
        <is>
          <t>Dekoratif senaryo</t>
        </is>
      </c>
      <c r="F9" s="167" t="inlineStr">
        <is>
          <t>HATA</t>
        </is>
      </c>
    </row>
    <row r="10">
      <c r="A10" s="166" t="inlineStr">
        <is>
          <t>Ters stres</t>
        </is>
      </c>
      <c r="B10" s="147" t="inlineStr">
        <is>
          <t>Hangi eşikte karar kırılır?</t>
        </is>
      </c>
      <c r="C10" s="147" t="inlineStr">
        <is>
          <t>En az bir kritik sürücü için kırılma eşiği</t>
        </is>
      </c>
      <c r="D10" s="147" t="inlineStr">
        <is>
          <t>Kırılma eşiği tablosu</t>
        </is>
      </c>
      <c r="E10" s="147" t="inlineStr">
        <is>
          <t>Sadece +/- %10</t>
        </is>
      </c>
      <c r="F10" s="167" t="inlineStr">
        <is>
          <t>UYARI/HATA</t>
        </is>
      </c>
    </row>
    <row r="11">
      <c r="A11" s="166" t="inlineStr">
        <is>
          <t>Hata tutarlılığı</t>
        </is>
      </c>
      <c r="B11" s="147" t="inlineStr">
        <is>
          <t>Formül hata verirse ne olur?</t>
        </is>
      </c>
      <c r="C11" s="147" t="inlineStr">
        <is>
          <t>Kontrol GEÇTİ veremez; BLOKE/HATA üretir</t>
        </is>
      </c>
      <c r="D11" s="147" t="inlineStr">
        <is>
          <t>Hata taraması</t>
        </is>
      </c>
      <c r="E11" s="147" t="inlineStr">
        <is>
          <t>Hata + GEÇTİ birlikte</t>
        </is>
      </c>
      <c r="F11" s="167" t="inlineStr">
        <is>
          <t>HATA</t>
        </is>
      </c>
    </row>
    <row r="12">
      <c r="A12" s="166" t="inlineStr">
        <is>
          <t>Karar motoru</t>
        </is>
      </c>
      <c r="B12" s="147" t="inlineStr">
        <is>
          <t>Ne oldu, neden oldu?</t>
        </is>
      </c>
      <c r="C12" s="147" t="inlineStr">
        <is>
          <t>Sorun + neden + parasal etki + aksiyon + son tarih</t>
        </is>
      </c>
      <c r="D12" s="147" t="inlineStr">
        <is>
          <t>Karar tablosu</t>
        </is>
      </c>
      <c r="E12" s="147" t="inlineStr">
        <is>
          <t>Boş sayfa / isim düzeyi modül</t>
        </is>
      </c>
      <c r="F12" s="167" t="inlineStr">
        <is>
          <t>HATA</t>
        </is>
      </c>
    </row>
    <row r="13">
      <c r="A13" s="166" t="inlineStr">
        <is>
          <t>Yönetici özeti</t>
        </is>
      </c>
      <c r="B13" s="147" t="inlineStr">
        <is>
          <t>5 saniyede ne görmeliyim?</t>
        </is>
      </c>
      <c r="C13" s="147" t="inlineStr">
        <is>
          <t>Bugün / ne değişti / ne bozulacak / neden / ne yapmalıyım / güven</t>
        </is>
      </c>
      <c r="D13" s="147" t="inlineStr">
        <is>
          <t>Yönetici özeti ekranı</t>
        </is>
      </c>
      <c r="E13" s="147" t="inlineStr">
        <is>
          <t>KPI kutusu yığını</t>
        </is>
      </c>
      <c r="F13" s="167" t="inlineStr">
        <is>
          <t>HATA</t>
        </is>
      </c>
    </row>
    <row r="14">
      <c r="A14" s="166" t="inlineStr">
        <is>
          <t>Teklif</t>
        </is>
      </c>
      <c r="B14" s="147" t="inlineStr">
        <is>
          <t>Neden satın almalıyım?</t>
        </is>
      </c>
      <c r="C14" s="147" t="inlineStr">
        <is>
          <t>Dosya özellikleri yerine sonuç ve kaçınılan maliyet sunulur</t>
        </is>
      </c>
      <c r="D14" s="147" t="inlineStr">
        <is>
          <t>Ürün sayfası kanıt eşlemesi</t>
        </is>
      </c>
      <c r="E14" s="147" t="inlineStr">
        <is>
          <t>Özellik listesiyle satış</t>
        </is>
      </c>
      <c r="F14" s="167" t="inlineStr">
        <is>
          <t>HATA</t>
        </is>
      </c>
    </row>
    <row r="15">
      <c r="A15" s="166" t="inlineStr">
        <is>
          <t>Dağıtım</t>
        </is>
      </c>
      <c r="B15" s="147" t="inlineStr">
        <is>
          <t>Beni nasıl bulacaklar?</t>
        </is>
      </c>
      <c r="C15" s="147" t="inlineStr">
        <is>
          <t>Sorun niyetine göre SEO sayfaları, iç bağlantı, temiz yapı, taranabilir metin</t>
        </is>
      </c>
      <c r="D15" s="147" t="inlineStr">
        <is>
          <t>Arama niyeti haritası</t>
        </is>
      </c>
      <c r="E15" s="147" t="inlineStr">
        <is>
          <t>Tek ürün sayfasına bağımlılık</t>
        </is>
      </c>
      <c r="F15" s="167" t="inlineStr">
        <is>
          <t>UYARI</t>
        </is>
      </c>
    </row>
    <row r="16" ht="28" customHeight="1">
      <c r="A16" s="166" t="inlineStr">
        <is>
          <t>LLM görünürlüğü</t>
        </is>
      </c>
      <c r="B16" s="147" t="inlineStr">
        <is>
          <t>AI ürünümü anlayabiliyor mu?</t>
        </is>
      </c>
      <c r="C16" s="147" t="inlineStr">
        <is>
          <t>Ürün tanımı, hedef kullanıcı, girdi/çıktı, metodoloji, sınırlar, SSS açık metindir</t>
        </is>
      </c>
      <c r="D16" s="147" t="inlineStr">
        <is>
          <t>Taranabilir ürün içeriği</t>
        </is>
      </c>
      <c r="E16" s="147" t="inlineStr">
        <is>
          <t>'AI SEO' iddiası</t>
        </is>
      </c>
      <c r="F16" s="167" t="inlineStr">
        <is>
          <t>UYARI</t>
        </is>
      </c>
    </row>
    <row r="17">
      <c r="A17" s="166" t="inlineStr">
        <is>
          <t>Satış kanalı</t>
        </is>
      </c>
      <c r="B17" s="147" t="inlineStr">
        <is>
          <t>Nerede satılmalı?</t>
        </is>
      </c>
      <c r="C17" s="147" t="inlineStr">
        <is>
          <t>Arama, LinkedIn, uzman/partner, demo/video; ürüne göre kanal seçilir</t>
        </is>
      </c>
      <c r="D17" s="147" t="inlineStr">
        <is>
          <t>Kanal matrisi</t>
        </is>
      </c>
      <c r="E17" s="147" t="inlineStr">
        <is>
          <t>Her ürüne aynı kanal</t>
        </is>
      </c>
      <c r="F17" s="167" t="inlineStr">
        <is>
          <t>UYARI</t>
        </is>
      </c>
    </row>
    <row r="18">
      <c r="A18" s="166" t="inlineStr">
        <is>
          <t>Fiyat</t>
        </is>
      </c>
      <c r="B18" s="147" t="inlineStr">
        <is>
          <t>Bu fiyat neden mantıklı?</t>
        </is>
      </c>
      <c r="C18" s="147" t="inlineStr">
        <is>
          <t>Fiyat, ekonomik karar değerine ve kanıtlanmış ürün derinliğine bağlanır</t>
        </is>
      </c>
      <c r="D18" s="147" t="inlineStr">
        <is>
          <t>Değer haritası + demo</t>
        </is>
      </c>
      <c r="E18" s="147" t="inlineStr">
        <is>
          <t>Sırf sayfa/formül sayısı</t>
        </is>
      </c>
      <c r="F18" s="167" t="inlineStr">
        <is>
          <t>HATA</t>
        </is>
      </c>
    </row>
    <row r="19">
      <c r="A19" s="166" t="inlineStr">
        <is>
          <t>Pazar kanıtı</t>
        </is>
      </c>
      <c r="B19" s="147" t="inlineStr">
        <is>
          <t>Piyasa gerçekten ödüyor mu?</t>
        </is>
      </c>
      <c r="C19" s="147" t="inlineStr">
        <is>
          <t>Satış/pilot/LOI/fiyat kabulü olmadan pazar doğrulandı yazılmaz</t>
        </is>
      </c>
      <c r="D19" s="147" t="inlineStr">
        <is>
          <t>Gerçek işlem kanıtı</t>
        </is>
      </c>
      <c r="E19" s="147" t="inlineStr">
        <is>
          <t>Tahmini talep = satış kabulü</t>
        </is>
      </c>
      <c r="F19" s="167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KAPAK — Tahsilat Riski &amp; Vade Komuta Paneli</t>
        </is>
      </c>
    </row>
    <row r="2"/>
    <row r="3" ht="22" customHeight="1">
      <c r="A3" s="197" t="inlineStr">
        <is>
          <t>Tahsilat Riski &amp; Vade Komuta Paneli</t>
        </is>
      </c>
    </row>
    <row r="4">
      <c r="A4" s="4" t="inlineStr">
        <is>
          <t>Müşteri faturalarını vade yaşlandırması, tahsilat olasılığı ve durum makinesi ile yönetir; beklenen kaybı görünür kılar; ARA / İCRA HAZIRLIĞI / İZLE kararı üretir.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Makrosuz durum makinesi: Açık → Hatırlatma → İhtar → Tahsil / Kapalı</t>
        </is>
      </c>
    </row>
    <row r="8">
      <c r="A8" s="6" t="inlineStr">
        <is>
          <t>• Yaşlandırma kovaları (0-30 / 31-60 / 61-90 / 90+)</t>
        </is>
      </c>
    </row>
    <row r="9">
      <c r="A9" s="6" t="inlineStr">
        <is>
          <t>• Tahsilat olasılığı + beklenen kayıp motoru</t>
        </is>
      </c>
    </row>
    <row r="10">
      <c r="A10" s="6" t="inlineStr">
        <is>
          <t>• Geçersiz geçiş ve yetim müşteri uyarıları</t>
        </is>
      </c>
    </row>
    <row r="11">
      <c r="A11" s="6" t="inlineStr">
        <is>
          <t>• Dönemsel tahsilat kanıt raporu — yönetici/SMMM dosyasına uygun</t>
        </is>
      </c>
    </row>
    <row r="12"/>
    <row r="13">
      <c r="A13" s="5" t="inlineStr">
        <is>
          <t>Kimler için?</t>
        </is>
      </c>
    </row>
    <row r="14">
      <c r="A14" s="7" t="inlineStr">
        <is>
          <t>• Tahsilat müdürü — günün kuyruğu ve icra hazırlığı</t>
        </is>
      </c>
    </row>
    <row r="15">
      <c r="A15" s="7" t="inlineStr">
        <is>
          <t>• CFO / mali işler — beklenen kayıp ve yaşlandırma</t>
        </is>
      </c>
    </row>
    <row r="16">
      <c r="A16" s="7" t="inlineStr">
        <is>
          <t>• SMMM — tahsilat kanıt raporu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KARTLAR'a müşteri kartı girin. 2) AKIS'e fatura/vade satırlarını yazın. 3) KUYRUKLAR ve PANO'dan günün kararını görün. 4) RAPOR'dan kanıt çıktısı alın.</t>
        </is>
      </c>
    </row>
    <row r="20"/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I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.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.5" customWidth="1" min="8" max="8"/>
    <col width="14.5" customWidth="1" min="9" max="9"/>
    <col width="13" customWidth="1" min="10" max="10"/>
  </cols>
  <sheetData>
    <row r="1" ht="32" customHeight="1">
      <c r="A1" s="178" t="inlineStr">
        <is>
          <t>KARTLAR — Tahsilat Riski &amp; Vade Komuta Paneli</t>
        </is>
      </c>
    </row>
    <row r="2"/>
    <row r="3" ht="22" customHeight="1">
      <c r="A3" s="198" t="inlineStr">
        <is>
          <t>Müşteri kartları — her kaydın tek kimliği vardır</t>
        </is>
      </c>
    </row>
    <row r="4">
      <c r="A4" s="11" t="inlineStr">
        <is>
          <t>Sonraki Kimlik</t>
        </is>
      </c>
      <c r="B4" s="24">
        <f>trv_sonrakiKimlik</f>
        <v/>
      </c>
    </row>
    <row r="5" ht="30" customHeight="1">
      <c r="A5" s="25" t="inlineStr">
        <is>
          <t>KartId</t>
        </is>
      </c>
      <c r="B5" s="25" t="inlineStr">
        <is>
          <t>Unvan</t>
        </is>
      </c>
      <c r="C5" s="25" t="inlineStr">
        <is>
          <t>Sektor</t>
        </is>
      </c>
      <c r="D5" s="25" t="inlineStr">
        <is>
          <t>Sehir</t>
        </is>
      </c>
      <c r="E5" s="25" t="inlineStr">
        <is>
          <t>LimitTl</t>
        </is>
      </c>
      <c r="F5" s="25" t="inlineStr">
        <is>
          <t>RiskNotu</t>
        </is>
      </c>
      <c r="G5" s="25" t="inlineStr">
        <is>
          <t>Aktif</t>
        </is>
      </c>
      <c r="H5" s="25" t="inlineStr">
        <is>
          <t>ToplamAcik</t>
        </is>
      </c>
      <c r="I5" s="25" t="inlineStr">
        <is>
          <t>OrtGecikme</t>
        </is>
      </c>
    </row>
    <row r="6">
      <c r="A6" s="26" t="inlineStr">
        <is>
          <t>MUS-00001</t>
        </is>
      </c>
      <c r="B6" s="26" t="inlineStr">
        <is>
          <t>Atlas Ticaret Ltd.</t>
        </is>
      </c>
      <c r="C6" s="26" t="inlineStr">
        <is>
          <t>Toptan</t>
        </is>
      </c>
      <c r="D6" s="26" t="inlineStr">
        <is>
          <t>İstanbul</t>
        </is>
      </c>
      <c r="E6" s="27" t="n">
        <v>1500000</v>
      </c>
      <c r="F6" s="26" t="inlineStr">
        <is>
          <t>Normal</t>
        </is>
      </c>
      <c r="G6" s="26" t="inlineStr">
        <is>
          <t>EVET</t>
        </is>
      </c>
      <c r="H6" s="28">
        <f>IF($A6="","",SUMIF(tblAkis[KaynakKartId],$A6,tblAkis[Tutar]))</f>
        <v/>
      </c>
      <c r="I6" s="28">
        <f>IF($A6="","",IFERROR(AVERAGEIF(tblAkis[KaynakKartId],$A6,tblAkis[GecikmeGun]),0))</f>
        <v/>
      </c>
    </row>
    <row r="7">
      <c r="A7" s="26" t="inlineStr">
        <is>
          <t>MUS-00002</t>
        </is>
      </c>
      <c r="B7" s="26" t="inlineStr">
        <is>
          <t>Demir Market A.Ş.</t>
        </is>
      </c>
      <c r="C7" s="26" t="inlineStr">
        <is>
          <t>Perakende</t>
        </is>
      </c>
      <c r="D7" s="26" t="inlineStr">
        <is>
          <t>Ankara</t>
        </is>
      </c>
      <c r="E7" s="27" t="n">
        <v>1620000</v>
      </c>
      <c r="F7" s="26" t="inlineStr">
        <is>
          <t>Normal</t>
        </is>
      </c>
      <c r="G7" s="26" t="inlineStr">
        <is>
          <t>EVET</t>
        </is>
      </c>
      <c r="H7" s="28">
        <f>IF($A7="","",SUMIF(tblAkis[KaynakKartId],$A7,tblAkis[Tutar]))</f>
        <v/>
      </c>
      <c r="I7" s="28">
        <f>IF($A7="","",IFERROR(AVERAGEIF(tblAkis[KaynakKartId],$A7,tblAkis[GecikmeGun]),0))</f>
        <v/>
      </c>
    </row>
    <row r="8">
      <c r="A8" s="26" t="inlineStr">
        <is>
          <t>MUS-00003</t>
        </is>
      </c>
      <c r="B8" s="26" t="inlineStr">
        <is>
          <t>Nova Gıda</t>
        </is>
      </c>
      <c r="C8" s="26" t="inlineStr">
        <is>
          <t>Gıda</t>
        </is>
      </c>
      <c r="D8" s="26" t="inlineStr">
        <is>
          <t>İzmir</t>
        </is>
      </c>
      <c r="E8" s="27" t="n">
        <v>1740000</v>
      </c>
      <c r="F8" s="26" t="inlineStr">
        <is>
          <t>Normal</t>
        </is>
      </c>
      <c r="G8" s="26" t="inlineStr">
        <is>
          <t>EVET</t>
        </is>
      </c>
      <c r="H8" s="28">
        <f>IF($A8="","",SUMIF(tblAkis[KaynakKartId],$A8,tblAkis[Tutar]))</f>
        <v/>
      </c>
      <c r="I8" s="28">
        <f>IF($A8="","",IFERROR(AVERAGEIF(tblAkis[KaynakKartId],$A8,tblAkis[GecikmeGun]),0))</f>
        <v/>
      </c>
    </row>
    <row r="9">
      <c r="A9" s="26" t="inlineStr">
        <is>
          <t>MUS-00004</t>
        </is>
      </c>
      <c r="B9" s="26" t="inlineStr">
        <is>
          <t>Proje Lojistik</t>
        </is>
      </c>
      <c r="C9" s="26" t="inlineStr">
        <is>
          <t>Lojistik</t>
        </is>
      </c>
      <c r="D9" s="26" t="inlineStr">
        <is>
          <t>Bursa</t>
        </is>
      </c>
      <c r="E9" s="27" t="n">
        <v>1860000</v>
      </c>
      <c r="F9" s="26" t="inlineStr">
        <is>
          <t>Normal</t>
        </is>
      </c>
      <c r="G9" s="26" t="inlineStr">
        <is>
          <t>EVET</t>
        </is>
      </c>
      <c r="H9" s="28">
        <f>IF($A9="","",SUMIF(tblAkis[KaynakKartId],$A9,tblAkis[Tutar]))</f>
        <v/>
      </c>
      <c r="I9" s="28">
        <f>IF($A9="","",IFERROR(AVERAGEIF(tblAkis[KaynakKartId],$A9,tblAkis[GecikmeGun]),0))</f>
        <v/>
      </c>
    </row>
    <row r="10">
      <c r="A10" s="26" t="inlineStr">
        <is>
          <t>MUS-00005</t>
        </is>
      </c>
      <c r="B10" s="26" t="inlineStr">
        <is>
          <t>Su Enerji Pro</t>
        </is>
      </c>
      <c r="C10" s="26" t="inlineStr">
        <is>
          <t>Enerji</t>
        </is>
      </c>
      <c r="D10" s="26" t="inlineStr">
        <is>
          <t>Antalya</t>
        </is>
      </c>
      <c r="E10" s="27" t="n">
        <v>1980000</v>
      </c>
      <c r="F10" s="26" t="inlineStr">
        <is>
          <t>Normal</t>
        </is>
      </c>
      <c r="G10" s="26" t="inlineStr">
        <is>
          <t>EVET</t>
        </is>
      </c>
      <c r="H10" s="28">
        <f>IF($A10="","",SUMIF(tblAkis[KaynakKartId],$A10,tblAkis[Tutar]))</f>
        <v/>
      </c>
      <c r="I10" s="28">
        <f>IF($A10="","",IFERROR(AVERAGEIF(tblAkis[KaynakKartId],$A10,tblAkis[GecikmeGun]),0))</f>
        <v/>
      </c>
    </row>
    <row r="11">
      <c r="A11" s="26" t="inlineStr">
        <is>
          <t>MUS-00006</t>
        </is>
      </c>
      <c r="B11" s="26" t="inlineStr">
        <is>
          <t>Cephe Yapı</t>
        </is>
      </c>
      <c r="C11" s="26" t="inlineStr">
        <is>
          <t>İnşaat</t>
        </is>
      </c>
      <c r="D11" s="26" t="inlineStr">
        <is>
          <t>Kocaeli</t>
        </is>
      </c>
      <c r="E11" s="27" t="n">
        <v>2100000</v>
      </c>
      <c r="F11" s="26" t="inlineStr">
        <is>
          <t>Normal</t>
        </is>
      </c>
      <c r="G11" s="26" t="inlineStr">
        <is>
          <t>EVET</t>
        </is>
      </c>
      <c r="H11" s="28">
        <f>IF($A11="","",SUMIF(tblAkis[KaynakKartId],$A11,tblAkis[Tutar]))</f>
        <v/>
      </c>
      <c r="I11" s="28">
        <f>IF($A11="","",IFERROR(AVERAGEIF(tblAkis[KaynakKartId],$A11,tblAkis[GecikmeGun]),0))</f>
        <v/>
      </c>
    </row>
    <row r="12">
      <c r="A12" s="26" t="inlineStr">
        <is>
          <t>MUS-00007</t>
        </is>
      </c>
      <c r="B12" s="26" t="inlineStr">
        <is>
          <t>Zemin Tarım</t>
        </is>
      </c>
      <c r="C12" s="26" t="inlineStr">
        <is>
          <t>Tarım</t>
        </is>
      </c>
      <c r="D12" s="26" t="inlineStr">
        <is>
          <t>Adana</t>
        </is>
      </c>
      <c r="E12" s="27" t="n">
        <v>2220000</v>
      </c>
      <c r="F12" s="26" t="inlineStr">
        <is>
          <t>Normal</t>
        </is>
      </c>
      <c r="G12" s="26" t="inlineStr">
        <is>
          <t>EVET</t>
        </is>
      </c>
      <c r="H12" s="28">
        <f>IF($A12="","",SUMIF(tblAkis[KaynakKartId],$A12,tblAkis[Tutar]))</f>
        <v/>
      </c>
      <c r="I12" s="28">
        <f>IF($A12="","",IFERROR(AVERAGEIF(tblAkis[KaynakKartId],$A12,tblAkis[GecikmeGun]),0))</f>
        <v/>
      </c>
    </row>
    <row r="13">
      <c r="A13" s="26" t="inlineStr">
        <is>
          <t>MUS-00008</t>
        </is>
      </c>
      <c r="B13" s="26" t="inlineStr">
        <is>
          <t>İskele Medikal</t>
        </is>
      </c>
      <c r="C13" s="26" t="inlineStr">
        <is>
          <t>Sağlık</t>
        </is>
      </c>
      <c r="D13" s="26" t="inlineStr">
        <is>
          <t>Gaziantep</t>
        </is>
      </c>
      <c r="E13" s="27" t="n">
        <v>2340000</v>
      </c>
      <c r="F13" s="26" t="inlineStr">
        <is>
          <t>Normal</t>
        </is>
      </c>
      <c r="G13" s="26" t="inlineStr">
        <is>
          <t>EVET</t>
        </is>
      </c>
      <c r="H13" s="28">
        <f>IF($A13="","",SUMIF(tblAkis[KaynakKartId],$A13,tblAkis[Tutar]))</f>
        <v/>
      </c>
      <c r="I13" s="28">
        <f>IF($A13="","",IFERROR(AVERAGEIF(tblAkis[KaynakKartId],$A13,tblAkis[GecikmeGun]),0))</f>
        <v/>
      </c>
    </row>
    <row r="14">
      <c r="A14" s="26" t="n"/>
      <c r="B14" s="26" t="n"/>
      <c r="C14" s="26" t="n"/>
      <c r="D14" s="26" t="n"/>
      <c r="E14" s="27" t="n"/>
      <c r="F14" s="26" t="n"/>
      <c r="G14" s="26" t="n"/>
      <c r="H14" s="28">
        <f>IF($A14="","",SUMIF(tblAkis[KaynakKartId],$A14,tblAkis[Tutar]))</f>
        <v/>
      </c>
      <c r="I14" s="28">
        <f>IF($A14="","",IFERROR(AVERAGEIF(tblAkis[KaynakKartId],$A14,tblAkis[GecikmeGun]),0))</f>
        <v/>
      </c>
    </row>
    <row r="15">
      <c r="A15" s="26" t="n"/>
      <c r="B15" s="26" t="n"/>
      <c r="C15" s="26" t="n"/>
      <c r="D15" s="26" t="n"/>
      <c r="E15" s="27" t="n"/>
      <c r="F15" s="26" t="n"/>
      <c r="G15" s="26" t="n"/>
      <c r="H15" s="28">
        <f>IF($A15="","",SUMIF(tblAkis[KaynakKartId],$A15,tblAkis[Tutar]))</f>
        <v/>
      </c>
      <c r="I15" s="28">
        <f>IF($A15="","",IFERROR(AVERAGEIF(tblAkis[KaynakKartId],$A15,tblAkis[GecikmeGun]),0))</f>
        <v/>
      </c>
    </row>
    <row r="16">
      <c r="A16" s="26" t="n"/>
      <c r="B16" s="26" t="n"/>
      <c r="C16" s="26" t="n"/>
      <c r="D16" s="26" t="n"/>
      <c r="E16" s="27" t="n"/>
      <c r="F16" s="26" t="n"/>
      <c r="G16" s="26" t="n"/>
      <c r="H16" s="28">
        <f>IF($A16="","",SUMIF(tblAkis[KaynakKartId],$A16,tblAkis[Tutar]))</f>
        <v/>
      </c>
      <c r="I16" s="28">
        <f>IF($A16="","",IFERROR(AVERAGEIF(tblAkis[KaynakKartId],$A16,tblAkis[GecikmeGun]),0))</f>
        <v/>
      </c>
    </row>
    <row r="17">
      <c r="A17" s="26" t="n"/>
      <c r="B17" s="26" t="n"/>
      <c r="C17" s="26" t="n"/>
      <c r="D17" s="26" t="n"/>
      <c r="E17" s="27" t="n"/>
      <c r="F17" s="26" t="n"/>
      <c r="G17" s="26" t="n"/>
      <c r="H17" s="28">
        <f>IF($A17="","",SUMIF(tblAkis[KaynakKartId],$A17,tblAkis[Tutar]))</f>
        <v/>
      </c>
      <c r="I17" s="28">
        <f>IF($A17="","",IFERROR(AVERAGEIF(tblAkis[KaynakKartId],$A17,tblAkis[GecikmeGun]),0))</f>
        <v/>
      </c>
    </row>
    <row r="18">
      <c r="A18" s="26" t="n"/>
      <c r="B18" s="26" t="n"/>
      <c r="C18" s="26" t="n"/>
      <c r="D18" s="26" t="n"/>
      <c r="E18" s="27" t="n"/>
      <c r="F18" s="26" t="n"/>
      <c r="G18" s="26" t="n"/>
      <c r="H18" s="28">
        <f>IF($A18="","",SUMIF(tblAkis[KaynakKartId],$A18,tblAkis[Tutar]))</f>
        <v/>
      </c>
      <c r="I18" s="28">
        <f>IF($A18="","",IFERROR(AVERAGEIF(tblAkis[KaynakKartId],$A18,tblAkis[GecikmeGun]),0))</f>
        <v/>
      </c>
    </row>
    <row r="19">
      <c r="A19" s="26" t="n"/>
      <c r="B19" s="26" t="n"/>
      <c r="C19" s="26" t="n"/>
      <c r="D19" s="26" t="n"/>
      <c r="E19" s="27" t="n"/>
      <c r="F19" s="26" t="n"/>
      <c r="G19" s="26" t="n"/>
      <c r="H19" s="28">
        <f>IF($A19="","",SUMIF(tblAkis[KaynakKartId],$A19,tblAkis[Tutar]))</f>
        <v/>
      </c>
      <c r="I19" s="28">
        <f>IF($A19="","",IFERROR(AVERAGEIF(tblAkis[KaynakKartId],$A19,tblAkis[GecikmeGun]),0))</f>
        <v/>
      </c>
    </row>
    <row r="20">
      <c r="A20" s="26" t="n"/>
      <c r="B20" s="26" t="n"/>
      <c r="C20" s="26" t="n"/>
      <c r="D20" s="26" t="n"/>
      <c r="E20" s="27" t="n"/>
      <c r="F20" s="26" t="n"/>
      <c r="G20" s="26" t="n"/>
      <c r="H20" s="28">
        <f>IF($A20="","",SUMIF(tblAkis[KaynakKartId],$A20,tblAkis[Tutar]))</f>
        <v/>
      </c>
      <c r="I20" s="28">
        <f>IF($A20="","",IFERROR(AVERAGEIF(tblAkis[KaynakKartId],$A20,tblAkis[GecikmeGun]),0))</f>
        <v/>
      </c>
    </row>
    <row r="21">
      <c r="A21" s="26" t="n"/>
      <c r="B21" s="26" t="n"/>
      <c r="C21" s="26" t="n"/>
      <c r="D21" s="26" t="n"/>
      <c r="E21" s="27" t="n"/>
      <c r="F21" s="26" t="n"/>
      <c r="G21" s="26" t="n"/>
      <c r="H21" s="28">
        <f>IF($A21="","",SUMIF(tblAkis[KaynakKartId],$A21,tblAkis[Tutar]))</f>
        <v/>
      </c>
      <c r="I21" s="28">
        <f>IF($A21="","",IFERROR(AVERAGEIF(tblAkis[KaynakKartId],$A21,tblAkis[GecikmeGun]),0))</f>
        <v/>
      </c>
    </row>
    <row r="22">
      <c r="A22" s="26" t="n"/>
      <c r="B22" s="26" t="n"/>
      <c r="C22" s="26" t="n"/>
      <c r="D22" s="26" t="n"/>
      <c r="E22" s="27" t="n"/>
      <c r="F22" s="26" t="n"/>
      <c r="G22" s="26" t="n"/>
      <c r="H22" s="28">
        <f>IF($A22="","",SUMIF(tblAkis[KaynakKartId],$A22,tblAkis[Tutar]))</f>
        <v/>
      </c>
      <c r="I22" s="28">
        <f>IF($A22="","",IFERROR(AVERAGEIF(tblAkis[KaynakKartId],$A22,tblAkis[GecikmeGun]),0))</f>
        <v/>
      </c>
    </row>
    <row r="23">
      <c r="A23" s="26" t="n"/>
      <c r="B23" s="26" t="n"/>
      <c r="C23" s="26" t="n"/>
      <c r="D23" s="26" t="n"/>
      <c r="E23" s="27" t="n"/>
      <c r="F23" s="26" t="n"/>
      <c r="G23" s="26" t="n"/>
      <c r="H23" s="28">
        <f>IF($A23="","",SUMIF(tblAkis[KaynakKartId],$A23,tblAkis[Tutar]))</f>
        <v/>
      </c>
      <c r="I23" s="28">
        <f>IF($A23="","",IFERROR(AVERAGEIF(tblAkis[KaynakKartId],$A23,tblAkis[GecikmeGun]),0))</f>
        <v/>
      </c>
    </row>
    <row r="24">
      <c r="A24" s="26" t="n"/>
      <c r="B24" s="26" t="n"/>
      <c r="C24" s="26" t="n"/>
      <c r="D24" s="26" t="n"/>
      <c r="E24" s="27" t="n"/>
      <c r="F24" s="26" t="n"/>
      <c r="G24" s="26" t="n"/>
      <c r="H24" s="28">
        <f>IF($A24="","",SUMIF(tblAkis[KaynakKartId],$A24,tblAkis[Tutar]))</f>
        <v/>
      </c>
      <c r="I24" s="28">
        <f>IF($A24="","",IFERROR(AVERAGEIF(tblAkis[KaynakKartId],$A24,tblAkis[GecikmeGun]),0))</f>
        <v/>
      </c>
    </row>
    <row r="25">
      <c r="A25" s="26" t="n"/>
      <c r="B25" s="26" t="n"/>
      <c r="C25" s="26" t="n"/>
      <c r="D25" s="26" t="n"/>
      <c r="E25" s="27" t="n"/>
      <c r="F25" s="26" t="n"/>
      <c r="G25" s="26" t="n"/>
      <c r="H25" s="28">
        <f>IF($A25="","",SUMIF(tblAkis[KaynakKartId],$A25,tblAkis[Tutar]))</f>
        <v/>
      </c>
      <c r="I25" s="28">
        <f>IF($A25="","",IFERROR(AVERAGEIF(tblAkis[KaynakKartId],$A25,tblAkis[GecikmeGun]),0))</f>
        <v/>
      </c>
    </row>
    <row r="26">
      <c r="A26" s="26" t="n"/>
      <c r="B26" s="26" t="n"/>
      <c r="C26" s="26" t="n"/>
      <c r="D26" s="26" t="n"/>
      <c r="E26" s="27" t="n"/>
      <c r="F26" s="26" t="n"/>
      <c r="G26" s="26" t="n"/>
      <c r="H26" s="28">
        <f>IF($A26="","",SUMIF(tblAkis[KaynakKartId],$A26,tblAkis[Tutar]))</f>
        <v/>
      </c>
      <c r="I26" s="28">
        <f>IF($A26="","",IFERROR(AVERAGEIF(tblAkis[KaynakKartId],$A26,tblAkis[GecikmeGun]),0))</f>
        <v/>
      </c>
    </row>
    <row r="27">
      <c r="A27" s="26" t="n"/>
      <c r="B27" s="26" t="n"/>
      <c r="C27" s="26" t="n"/>
      <c r="D27" s="26" t="n"/>
      <c r="E27" s="27" t="n"/>
      <c r="F27" s="26" t="n"/>
      <c r="G27" s="26" t="n"/>
      <c r="H27" s="28">
        <f>IF($A27="","",SUMIF(tblAkis[KaynakKartId],$A27,tblAkis[Tutar]))</f>
        <v/>
      </c>
      <c r="I27" s="28">
        <f>IF($A27="","",IFERROR(AVERAGEIF(tblAkis[KaynakKartId],$A27,tblAkis[GecikmeGun]),0))</f>
        <v/>
      </c>
    </row>
    <row r="28">
      <c r="A28" s="26" t="n"/>
      <c r="B28" s="26" t="n"/>
      <c r="C28" s="26" t="n"/>
      <c r="D28" s="26" t="n"/>
      <c r="E28" s="27" t="n"/>
      <c r="F28" s="26" t="n"/>
      <c r="G28" s="26" t="n"/>
      <c r="H28" s="28">
        <f>IF($A28="","",SUMIF(tblAkis[KaynakKartId],$A28,tblAkis[Tutar]))</f>
        <v/>
      </c>
      <c r="I28" s="28">
        <f>IF($A28="","",IFERROR(AVERAGEIF(tblAkis[KaynakKartId],$A28,tblAkis[GecikmeGun]),0))</f>
        <v/>
      </c>
    </row>
    <row r="29">
      <c r="A29" s="26" t="n"/>
      <c r="B29" s="26" t="n"/>
      <c r="C29" s="26" t="n"/>
      <c r="D29" s="26" t="n"/>
      <c r="E29" s="27" t="n"/>
      <c r="F29" s="26" t="n"/>
      <c r="G29" s="26" t="n"/>
      <c r="H29" s="28">
        <f>IF($A29="","",SUMIF(tblAkis[KaynakKartId],$A29,tblAkis[Tutar]))</f>
        <v/>
      </c>
      <c r="I29" s="28">
        <f>IF($A29="","",IFERROR(AVERAGEIF(tblAkis[KaynakKartId],$A29,tblAkis[GecikmeGun]),0))</f>
        <v/>
      </c>
    </row>
    <row r="30">
      <c r="A30" s="26" t="n"/>
      <c r="B30" s="26" t="n"/>
      <c r="C30" s="26" t="n"/>
      <c r="D30" s="26" t="n"/>
      <c r="E30" s="27" t="n"/>
      <c r="F30" s="26" t="n"/>
      <c r="G30" s="26" t="n"/>
      <c r="H30" s="28">
        <f>IF($A30="","",SUMIF(tblAkis[KaynakKartId],$A30,tblAkis[Tutar]))</f>
        <v/>
      </c>
      <c r="I30" s="28">
        <f>IF($A30="","",IFERROR(AVERAGEIF(tblAkis[KaynakKartId],$A30,tblAkis[GecikmeGun]),0))</f>
        <v/>
      </c>
    </row>
    <row r="31">
      <c r="A31" s="26" t="n"/>
      <c r="B31" s="26" t="n"/>
      <c r="C31" s="26" t="n"/>
      <c r="D31" s="26" t="n"/>
      <c r="E31" s="27" t="n"/>
      <c r="F31" s="26" t="n"/>
      <c r="G31" s="26" t="n"/>
      <c r="H31" s="28">
        <f>IF($A31="","",SUMIF(tblAkis[KaynakKartId],$A31,tblAkis[Tutar]))</f>
        <v/>
      </c>
      <c r="I31" s="28">
        <f>IF($A31="","",IFERROR(AVERAGEIF(tblAkis[KaynakKartId],$A31,tblAkis[GecikmeGun]),0))</f>
        <v/>
      </c>
    </row>
    <row r="32">
      <c r="A32" s="26" t="n"/>
      <c r="B32" s="26" t="n"/>
      <c r="C32" s="26" t="n"/>
      <c r="D32" s="26" t="n"/>
      <c r="E32" s="27" t="n"/>
      <c r="F32" s="26" t="n"/>
      <c r="G32" s="26" t="n"/>
      <c r="H32" s="28">
        <f>IF($A32="","",SUMIF(tblAkis[KaynakKartId],$A32,tblAkis[Tutar]))</f>
        <v/>
      </c>
      <c r="I32" s="28">
        <f>IF($A32="","",IFERROR(AVERAGEIF(tblAkis[KaynakKartId],$A32,tblAkis[GecikmeGun]),0))</f>
        <v/>
      </c>
    </row>
    <row r="33">
      <c r="A33" s="26" t="n"/>
      <c r="B33" s="26" t="n"/>
      <c r="C33" s="26" t="n"/>
      <c r="D33" s="26" t="n"/>
      <c r="E33" s="27" t="n"/>
      <c r="F33" s="26" t="n"/>
      <c r="G33" s="26" t="n"/>
      <c r="H33" s="28">
        <f>IF($A33="","",SUMIF(tblAkis[KaynakKartId],$A33,tblAkis[Tutar]))</f>
        <v/>
      </c>
      <c r="I33" s="28">
        <f>IF($A33="","",IFERROR(AVERAGEIF(tblAkis[KaynakKartId],$A33,tblAkis[GecikmeGun]),0))</f>
        <v/>
      </c>
    </row>
    <row r="34">
      <c r="A34" s="26" t="n"/>
      <c r="B34" s="26" t="n"/>
      <c r="C34" s="26" t="n"/>
      <c r="D34" s="26" t="n"/>
      <c r="E34" s="27" t="n"/>
      <c r="F34" s="26" t="n"/>
      <c r="G34" s="26" t="n"/>
      <c r="H34" s="28">
        <f>IF($A34="","",SUMIF(tblAkis[KaynakKartId],$A34,tblAkis[Tutar]))</f>
        <v/>
      </c>
      <c r="I34" s="28">
        <f>IF($A34="","",IFERROR(AVERAGEIF(tblAkis[KaynakKartId],$A34,tblAkis[GecikmeGun]),0))</f>
        <v/>
      </c>
    </row>
    <row r="35">
      <c r="A35" s="26" t="n"/>
      <c r="B35" s="26" t="n"/>
      <c r="C35" s="26" t="n"/>
      <c r="D35" s="26" t="n"/>
      <c r="E35" s="27" t="n"/>
      <c r="F35" s="26" t="n"/>
      <c r="G35" s="26" t="n"/>
      <c r="H35" s="28">
        <f>IF($A35="","",SUMIF(tblAkis[KaynakKartId],$A35,tblAkis[Tutar]))</f>
        <v/>
      </c>
      <c r="I35" s="28">
        <f>IF($A35="","",IFERROR(AVERAGEIF(tblAkis[KaynakKartId],$A35,tblAkis[GecikmeGun]),0))</f>
        <v/>
      </c>
    </row>
    <row r="36">
      <c r="A36" s="26" t="n"/>
      <c r="B36" s="26" t="n"/>
      <c r="C36" s="26" t="n"/>
      <c r="D36" s="26" t="n"/>
      <c r="E36" s="27" t="n"/>
      <c r="F36" s="26" t="n"/>
      <c r="G36" s="26" t="n"/>
      <c r="H36" s="28">
        <f>IF($A36="","",SUMIF(tblAkis[KaynakKartId],$A36,tblAkis[Tutar]))</f>
        <v/>
      </c>
      <c r="I36" s="28">
        <f>IF($A36="","",IFERROR(AVERAGEIF(tblAkis[KaynakKartId],$A36,tblAkis[GecikmeGun]),0))</f>
        <v/>
      </c>
    </row>
    <row r="37">
      <c r="A37" s="26" t="n"/>
      <c r="B37" s="26" t="n"/>
      <c r="C37" s="26" t="n"/>
      <c r="D37" s="26" t="n"/>
      <c r="E37" s="27" t="n"/>
      <c r="F37" s="26" t="n"/>
      <c r="G37" s="26" t="n"/>
      <c r="H37" s="28">
        <f>IF($A37="","",SUMIF(tblAkis[KaynakKartId],$A37,tblAkis[Tutar]))</f>
        <v/>
      </c>
      <c r="I37" s="28">
        <f>IF($A37="","",IFERROR(AVERAGEIF(tblAkis[KaynakKartId],$A37,tblAkis[GecikmeGun]),0))</f>
        <v/>
      </c>
    </row>
    <row r="38">
      <c r="A38" s="26" t="n"/>
      <c r="B38" s="26" t="n"/>
      <c r="C38" s="26" t="n"/>
      <c r="D38" s="26" t="n"/>
      <c r="E38" s="27" t="n"/>
      <c r="F38" s="26" t="n"/>
      <c r="G38" s="26" t="n"/>
      <c r="H38" s="28">
        <f>IF($A38="","",SUMIF(tblAkis[KaynakKartId],$A38,tblAkis[Tutar]))</f>
        <v/>
      </c>
      <c r="I38" s="28">
        <f>IF($A38="","",IFERROR(AVERAGEIF(tblAkis[KaynakKartId],$A38,tblAkis[GecikmeGun]),0))</f>
        <v/>
      </c>
    </row>
    <row r="39">
      <c r="A39" s="26" t="n"/>
      <c r="B39" s="26" t="n"/>
      <c r="C39" s="26" t="n"/>
      <c r="D39" s="26" t="n"/>
      <c r="E39" s="27" t="n"/>
      <c r="F39" s="26" t="n"/>
      <c r="G39" s="26" t="n"/>
      <c r="H39" s="28">
        <f>IF($A39="","",SUMIF(tblAkis[KaynakKartId],$A39,tblAkis[Tutar]))</f>
        <v/>
      </c>
      <c r="I39" s="28">
        <f>IF($A39="","",IFERROR(AVERAGEIF(tblAkis[KaynakKartId],$A39,tblAkis[GecikmeGun]),0))</f>
        <v/>
      </c>
    </row>
    <row r="40">
      <c r="A40" s="26" t="n"/>
      <c r="B40" s="26" t="n"/>
      <c r="C40" s="26" t="n"/>
      <c r="D40" s="26" t="n"/>
      <c r="E40" s="27" t="n"/>
      <c r="F40" s="26" t="n"/>
      <c r="G40" s="26" t="n"/>
      <c r="H40" s="28">
        <f>IF($A40="","",SUMIF(tblAkis[KaynakKartId],$A40,tblAkis[Tutar]))</f>
        <v/>
      </c>
      <c r="I40" s="28">
        <f>IF($A40="","",IFERROR(AVERAGEIF(tblAkis[KaynakKartId],$A40,tblAkis[GecikmeGun]),0))</f>
        <v/>
      </c>
    </row>
    <row r="41">
      <c r="A41" s="26" t="n"/>
      <c r="B41" s="26" t="n"/>
      <c r="C41" s="26" t="n"/>
      <c r="D41" s="26" t="n"/>
      <c r="E41" s="27" t="n"/>
      <c r="F41" s="26" t="n"/>
      <c r="G41" s="26" t="n"/>
      <c r="H41" s="28">
        <f>IF($A41="","",SUMIF(tblAkis[KaynakKartId],$A41,tblAkis[Tutar]))</f>
        <v/>
      </c>
      <c r="I41" s="28">
        <f>IF($A41="","",IFERROR(AVERAGEIF(tblAkis[KaynakKartId],$A41,tblAkis[GecikmeGun]),0))</f>
        <v/>
      </c>
    </row>
    <row r="42">
      <c r="A42" s="26" t="n"/>
      <c r="B42" s="26" t="n"/>
      <c r="C42" s="26" t="n"/>
      <c r="D42" s="26" t="n"/>
      <c r="E42" s="27" t="n"/>
      <c r="F42" s="26" t="n"/>
      <c r="G42" s="26" t="n"/>
      <c r="H42" s="28">
        <f>IF($A42="","",SUMIF(tblAkis[KaynakKartId],$A42,tblAkis[Tutar]))</f>
        <v/>
      </c>
      <c r="I42" s="28">
        <f>IF($A42="","",IFERROR(AVERAGEIF(tblAkis[KaynakKartId],$A42,tblAkis[GecikmeGun]),0))</f>
        <v/>
      </c>
    </row>
    <row r="43">
      <c r="A43" s="26" t="n"/>
      <c r="B43" s="26" t="n"/>
      <c r="C43" s="26" t="n"/>
      <c r="D43" s="26" t="n"/>
      <c r="E43" s="27" t="n"/>
      <c r="F43" s="26" t="n"/>
      <c r="G43" s="26" t="n"/>
      <c r="H43" s="28">
        <f>IF($A43="","",SUMIF(tblAkis[KaynakKartId],$A43,tblAkis[Tutar]))</f>
        <v/>
      </c>
      <c r="I43" s="28">
        <f>IF($A43="","",IFERROR(AVERAGEIF(tblAkis[KaynakKartId],$A43,tblAkis[GecikmeGun]),0))</f>
        <v/>
      </c>
    </row>
    <row r="44">
      <c r="A44" s="26" t="n"/>
      <c r="B44" s="26" t="n"/>
      <c r="C44" s="26" t="n"/>
      <c r="D44" s="26" t="n"/>
      <c r="E44" s="27" t="n"/>
      <c r="F44" s="26" t="n"/>
      <c r="G44" s="26" t="n"/>
      <c r="H44" s="28">
        <f>IF($A44="","",SUMIF(tblAkis[KaynakKartId],$A44,tblAkis[Tutar]))</f>
        <v/>
      </c>
      <c r="I44" s="28">
        <f>IF($A44="","",IFERROR(AVERAGEIF(tblAkis[KaynakKartId],$A44,tblAkis[GecikmeGun]),0))</f>
        <v/>
      </c>
    </row>
    <row r="45">
      <c r="A45" s="26" t="n"/>
      <c r="B45" s="26" t="n"/>
      <c r="C45" s="26" t="n"/>
      <c r="D45" s="26" t="n"/>
      <c r="E45" s="27" t="n"/>
      <c r="F45" s="26" t="n"/>
      <c r="G45" s="26" t="n"/>
      <c r="H45" s="28">
        <f>IF($A45="","",SUMIF(tblAkis[KaynakKartId],$A45,tblAkis[Tutar]))</f>
        <v/>
      </c>
      <c r="I45" s="28">
        <f>IF($A45="","",IFERROR(AVERAGEIF(tblAkis[KaynakKartId],$A45,tblAkis[GecikmeGun]),0))</f>
        <v/>
      </c>
    </row>
    <row r="46">
      <c r="A46" s="26" t="n"/>
      <c r="B46" s="26" t="n"/>
      <c r="C46" s="26" t="n"/>
      <c r="D46" s="26" t="n"/>
      <c r="E46" s="27" t="n"/>
      <c r="F46" s="26" t="n"/>
      <c r="G46" s="26" t="n"/>
      <c r="H46" s="28">
        <f>IF($A46="","",SUMIF(tblAkis[KaynakKartId],$A46,tblAkis[Tutar]))</f>
        <v/>
      </c>
      <c r="I46" s="28">
        <f>IF($A46="","",IFERROR(AVERAGEIF(tblAkis[KaynakKartId],$A46,tblAkis[GecikmeGun]),0))</f>
        <v/>
      </c>
    </row>
    <row r="47">
      <c r="A47" s="26" t="n"/>
      <c r="B47" s="26" t="n"/>
      <c r="C47" s="26" t="n"/>
      <c r="D47" s="26" t="n"/>
      <c r="E47" s="27" t="n"/>
      <c r="F47" s="26" t="n"/>
      <c r="G47" s="26" t="n"/>
      <c r="H47" s="28">
        <f>IF($A47="","",SUMIF(tblAkis[KaynakKartId],$A47,tblAkis[Tutar]))</f>
        <v/>
      </c>
      <c r="I47" s="28">
        <f>IF($A47="","",IFERROR(AVERAGEIF(tblAkis[KaynakKartId],$A47,tblAkis[GecikmeGun]),0))</f>
        <v/>
      </c>
    </row>
    <row r="48">
      <c r="A48" s="26" t="n"/>
      <c r="B48" s="26" t="n"/>
      <c r="C48" s="26" t="n"/>
      <c r="D48" s="26" t="n"/>
      <c r="E48" s="27" t="n"/>
      <c r="F48" s="26" t="n"/>
      <c r="G48" s="26" t="n"/>
      <c r="H48" s="28">
        <f>IF($A48="","",SUMIF(tblAkis[KaynakKartId],$A48,tblAkis[Tutar]))</f>
        <v/>
      </c>
      <c r="I48" s="28">
        <f>IF($A48="","",IFERROR(AVERAGEIF(tblAkis[KaynakKartId],$A48,tblAkis[GecikmeGun]),0))</f>
        <v/>
      </c>
    </row>
    <row r="49">
      <c r="A49" s="26" t="n"/>
      <c r="B49" s="26" t="n"/>
      <c r="C49" s="26" t="n"/>
      <c r="D49" s="26" t="n"/>
      <c r="E49" s="27" t="n"/>
      <c r="F49" s="26" t="n"/>
      <c r="G49" s="26" t="n"/>
      <c r="H49" s="28">
        <f>IF($A49="","",SUMIF(tblAkis[KaynakKartId],$A49,tblAkis[Tutar]))</f>
        <v/>
      </c>
      <c r="I49" s="28">
        <f>IF($A49="","",IFERROR(AVERAGEIF(tblAkis[KaynakKartId],$A49,tblAkis[GecikmeGun]),0))</f>
        <v/>
      </c>
    </row>
    <row r="50">
      <c r="A50" s="26" t="n"/>
      <c r="B50" s="26" t="n"/>
      <c r="C50" s="26" t="n"/>
      <c r="D50" s="26" t="n"/>
      <c r="E50" s="27" t="n"/>
      <c r="F50" s="26" t="n"/>
      <c r="G50" s="26" t="n"/>
      <c r="H50" s="28">
        <f>IF($A50="","",SUMIF(tblAkis[KaynakKartId],$A50,tblAkis[Tutar]))</f>
        <v/>
      </c>
      <c r="I50" s="28">
        <f>IF($A50="","",IFERROR(AVERAGEIF(tblAkis[KaynakKartId],$A50,tblAkis[GecikmeGun]),0))</f>
        <v/>
      </c>
    </row>
    <row r="51">
      <c r="A51" s="26" t="n"/>
      <c r="B51" s="26" t="n"/>
      <c r="C51" s="26" t="n"/>
      <c r="D51" s="26" t="n"/>
      <c r="E51" s="27" t="n"/>
      <c r="F51" s="26" t="n"/>
      <c r="G51" s="26" t="n"/>
      <c r="H51" s="28">
        <f>IF($A51="","",SUMIF(tblAkis[KaynakKartId],$A51,tblAkis[Tutar]))</f>
        <v/>
      </c>
      <c r="I51" s="28">
        <f>IF($A51="","",IFERROR(AVERAGEIF(tblAkis[KaynakKartId],$A51,tblAkis[GecikmeGun]),0))</f>
        <v/>
      </c>
    </row>
    <row r="52">
      <c r="A52" s="26" t="n"/>
      <c r="B52" s="26" t="n"/>
      <c r="C52" s="26" t="n"/>
      <c r="D52" s="26" t="n"/>
      <c r="E52" s="27" t="n"/>
      <c r="F52" s="26" t="n"/>
      <c r="G52" s="26" t="n"/>
      <c r="H52" s="28">
        <f>IF($A52="","",SUMIF(tblAkis[KaynakKartId],$A52,tblAkis[Tutar]))</f>
        <v/>
      </c>
      <c r="I52" s="28">
        <f>IF($A52="","",IFERROR(AVERAGEIF(tblAkis[KaynakKartId],$A52,tblAkis[GecikmeGun]),0))</f>
        <v/>
      </c>
    </row>
    <row r="53">
      <c r="A53" s="26" t="n"/>
      <c r="B53" s="26" t="n"/>
      <c r="C53" s="26" t="n"/>
      <c r="D53" s="26" t="n"/>
      <c r="E53" s="27" t="n"/>
      <c r="F53" s="26" t="n"/>
      <c r="G53" s="26" t="n"/>
      <c r="H53" s="28">
        <f>IF($A53="","",SUMIF(tblAkis[KaynakKartId],$A53,tblAkis[Tutar]))</f>
        <v/>
      </c>
      <c r="I53" s="28">
        <f>IF($A53="","",IFERROR(AVERAGEIF(tblAkis[KaynakKartId],$A53,tblAkis[GecikmeGun]),0))</f>
        <v/>
      </c>
    </row>
    <row r="54">
      <c r="A54" s="26" t="n"/>
      <c r="B54" s="26" t="n"/>
      <c r="C54" s="26" t="n"/>
      <c r="D54" s="26" t="n"/>
      <c r="E54" s="27" t="n"/>
      <c r="F54" s="26" t="n"/>
      <c r="G54" s="26" t="n"/>
      <c r="H54" s="28">
        <f>IF($A54="","",SUMIF(tblAkis[KaynakKartId],$A54,tblAkis[Tutar]))</f>
        <v/>
      </c>
      <c r="I54" s="28">
        <f>IF($A54="","",IFERROR(AVERAGEIF(tblAkis[KaynakKartId],$A54,tblAkis[GecikmeGun]),0))</f>
        <v/>
      </c>
    </row>
    <row r="55">
      <c r="A55" s="26" t="n"/>
      <c r="B55" s="26" t="n"/>
      <c r="C55" s="26" t="n"/>
      <c r="D55" s="26" t="n"/>
      <c r="E55" s="27" t="n"/>
      <c r="F55" s="26" t="n"/>
      <c r="G55" s="26" t="n"/>
      <c r="H55" s="28">
        <f>IF($A55="","",SUMIF(tblAkis[KaynakKartId],$A55,tblAkis[Tutar]))</f>
        <v/>
      </c>
      <c r="I55" s="28">
        <f>IF($A55="","",IFERROR(AVERAGEIF(tblAkis[KaynakKartId],$A55,tblAkis[GecikmeGun]),0))</f>
        <v/>
      </c>
    </row>
    <row r="56">
      <c r="A56" s="26" t="n"/>
      <c r="B56" s="26" t="n"/>
      <c r="C56" s="26" t="n"/>
      <c r="D56" s="26" t="n"/>
      <c r="E56" s="27" t="n"/>
      <c r="F56" s="26" t="n"/>
      <c r="G56" s="26" t="n"/>
      <c r="H56" s="28">
        <f>IF($A56="","",SUMIF(tblAkis[KaynakKartId],$A56,tblAkis[Tutar]))</f>
        <v/>
      </c>
      <c r="I56" s="28">
        <f>IF($A56="","",IFERROR(AVERAGEIF(tblAkis[KaynakKartId],$A56,tblAkis[GecikmeGun]),0))</f>
        <v/>
      </c>
    </row>
    <row r="57">
      <c r="A57" s="26" t="n"/>
      <c r="B57" s="26" t="n"/>
      <c r="C57" s="26" t="n"/>
      <c r="D57" s="26" t="n"/>
      <c r="E57" s="27" t="n"/>
      <c r="F57" s="26" t="n"/>
      <c r="G57" s="26" t="n"/>
      <c r="H57" s="28">
        <f>IF($A57="","",SUMIF(tblAkis[KaynakKartId],$A57,tblAkis[Tutar]))</f>
        <v/>
      </c>
      <c r="I57" s="28">
        <f>IF($A57="","",IFERROR(AVERAGEIF(tblAkis[KaynakKartId],$A57,tblAkis[GecikmeGun]),0))</f>
        <v/>
      </c>
    </row>
    <row r="58">
      <c r="A58" s="26" t="n"/>
      <c r="B58" s="26" t="n"/>
      <c r="C58" s="26" t="n"/>
      <c r="D58" s="26" t="n"/>
      <c r="E58" s="27" t="n"/>
      <c r="F58" s="26" t="n"/>
      <c r="G58" s="26" t="n"/>
      <c r="H58" s="28">
        <f>IF($A58="","",SUMIF(tblAkis[KaynakKartId],$A58,tblAkis[Tutar]))</f>
        <v/>
      </c>
      <c r="I58" s="28">
        <f>IF($A58="","",IFERROR(AVERAGEIF(tblAkis[KaynakKartId],$A58,tblAkis[GecikmeGun]),0))</f>
        <v/>
      </c>
    </row>
    <row r="59">
      <c r="A59" s="26" t="n"/>
      <c r="B59" s="26" t="n"/>
      <c r="C59" s="26" t="n"/>
      <c r="D59" s="26" t="n"/>
      <c r="E59" s="27" t="n"/>
      <c r="F59" s="26" t="n"/>
      <c r="G59" s="26" t="n"/>
      <c r="H59" s="28">
        <f>IF($A59="","",SUMIF(tblAkis[KaynakKartId],$A59,tblAkis[Tutar]))</f>
        <v/>
      </c>
      <c r="I59" s="28">
        <f>IF($A59="","",IFERROR(AVERAGEIF(tblAkis[KaynakKartId],$A59,tblAkis[GecikmeGun]),0))</f>
        <v/>
      </c>
    </row>
    <row r="60">
      <c r="A60" s="26" t="n"/>
      <c r="B60" s="26" t="n"/>
      <c r="C60" s="26" t="n"/>
      <c r="D60" s="26" t="n"/>
      <c r="E60" s="27" t="n"/>
      <c r="F60" s="26" t="n"/>
      <c r="G60" s="26" t="n"/>
      <c r="H60" s="28">
        <f>IF($A60="","",SUMIF(tblAkis[KaynakKartId],$A60,tblAkis[Tutar]))</f>
        <v/>
      </c>
      <c r="I60" s="28">
        <f>IF($A60="","",IFERROR(AVERAGEIF(tblAkis[KaynakKartId],$A60,tblAkis[GecikmeGun]),0))</f>
        <v/>
      </c>
    </row>
    <row r="61">
      <c r="A61" s="26" t="n"/>
      <c r="B61" s="26" t="n"/>
      <c r="C61" s="26" t="n"/>
      <c r="D61" s="26" t="n"/>
      <c r="E61" s="27" t="n"/>
      <c r="F61" s="26" t="n"/>
      <c r="G61" s="26" t="n"/>
      <c r="H61" s="28">
        <f>IF($A61="","",SUMIF(tblAkis[KaynakKartId],$A61,tblAkis[Tutar]))</f>
        <v/>
      </c>
      <c r="I61" s="28">
        <f>IF($A61="","",IFERROR(AVERAGEIF(tblAkis[KaynakKartId],$A61,tblAkis[GecikmeGun]),0))</f>
        <v/>
      </c>
    </row>
    <row r="62">
      <c r="A62" s="26" t="n"/>
      <c r="B62" s="26" t="n"/>
      <c r="C62" s="26" t="n"/>
      <c r="D62" s="26" t="n"/>
      <c r="E62" s="27" t="n"/>
      <c r="F62" s="26" t="n"/>
      <c r="G62" s="26" t="n"/>
      <c r="H62" s="28">
        <f>IF($A62="","",SUMIF(tblAkis[KaynakKartId],$A62,tblAkis[Tutar]))</f>
        <v/>
      </c>
      <c r="I62" s="28">
        <f>IF($A62="","",IFERROR(AVERAGEIF(tblAkis[KaynakKartId],$A62,tblAkis[GecikmeGun]),0))</f>
        <v/>
      </c>
    </row>
    <row r="63">
      <c r="A63" s="26" t="n"/>
      <c r="B63" s="26" t="n"/>
      <c r="C63" s="26" t="n"/>
      <c r="D63" s="26" t="n"/>
      <c r="E63" s="27" t="n"/>
      <c r="F63" s="26" t="n"/>
      <c r="G63" s="26" t="n"/>
      <c r="H63" s="28">
        <f>IF($A63="","",SUMIF(tblAkis[KaynakKartId],$A63,tblAkis[Tutar]))</f>
        <v/>
      </c>
      <c r="I63" s="28">
        <f>IF($A63="","",IFERROR(AVERAGEIF(tblAkis[KaynakKartId],$A63,tblAkis[GecikmeGun]),0))</f>
        <v/>
      </c>
    </row>
    <row r="64">
      <c r="A64" s="26" t="n"/>
      <c r="B64" s="26" t="n"/>
      <c r="C64" s="26" t="n"/>
      <c r="D64" s="26" t="n"/>
      <c r="E64" s="27" t="n"/>
      <c r="F64" s="26" t="n"/>
      <c r="G64" s="26" t="n"/>
      <c r="H64" s="28">
        <f>IF($A64="","",SUMIF(tblAkis[KaynakKartId],$A64,tblAkis[Tutar]))</f>
        <v/>
      </c>
      <c r="I64" s="28">
        <f>IF($A64="","",IFERROR(AVERAGEIF(tblAkis[KaynakKartId],$A64,tblAkis[GecikmeGun]),0))</f>
        <v/>
      </c>
    </row>
    <row r="65">
      <c r="A65" s="26" t="n"/>
      <c r="B65" s="26" t="n"/>
      <c r="C65" s="26" t="n"/>
      <c r="D65" s="26" t="n"/>
      <c r="E65" s="27" t="n"/>
      <c r="F65" s="26" t="n"/>
      <c r="G65" s="26" t="n"/>
      <c r="H65" s="28">
        <f>IF($A65="","",SUMIF(tblAkis[KaynakKartId],$A65,tblAkis[Tutar]))</f>
        <v/>
      </c>
      <c r="I65" s="28">
        <f>IF($A65="","",IFERROR(AVERAGEIF(tblAkis[KaynakKartId],$A65,tblAkis[GecikmeGun]),0))</f>
        <v/>
      </c>
    </row>
    <row r="66">
      <c r="A66" s="26" t="n"/>
      <c r="B66" s="26" t="n"/>
      <c r="C66" s="26" t="n"/>
      <c r="D66" s="26" t="n"/>
      <c r="E66" s="27" t="n"/>
      <c r="F66" s="26" t="n"/>
      <c r="G66" s="26" t="n"/>
      <c r="H66" s="28">
        <f>IF($A66="","",SUMIF(tblAkis[KaynakKartId],$A66,tblAkis[Tutar]))</f>
        <v/>
      </c>
      <c r="I66" s="28">
        <f>IF($A66="","",IFERROR(AVERAGEIF(tblAkis[KaynakKartId],$A66,tblAkis[GecikmeGun]),0))</f>
        <v/>
      </c>
    </row>
    <row r="67">
      <c r="A67" s="26" t="n"/>
      <c r="B67" s="26" t="n"/>
      <c r="C67" s="26" t="n"/>
      <c r="D67" s="26" t="n"/>
      <c r="E67" s="27" t="n"/>
      <c r="F67" s="26" t="n"/>
      <c r="G67" s="26" t="n"/>
      <c r="H67" s="28">
        <f>IF($A67="","",SUMIF(tblAkis[KaynakKartId],$A67,tblAkis[Tutar]))</f>
        <v/>
      </c>
      <c r="I67" s="28">
        <f>IF($A67="","",IFERROR(AVERAGEIF(tblAkis[KaynakKartId],$A67,tblAkis[GecikmeGun]),0))</f>
        <v/>
      </c>
    </row>
    <row r="68">
      <c r="A68" s="26" t="n"/>
      <c r="B68" s="26" t="n"/>
      <c r="C68" s="26" t="n"/>
      <c r="D68" s="26" t="n"/>
      <c r="E68" s="27" t="n"/>
      <c r="F68" s="26" t="n"/>
      <c r="G68" s="26" t="n"/>
      <c r="H68" s="28">
        <f>IF($A68="","",SUMIF(tblAkis[KaynakKartId],$A68,tblAkis[Tutar]))</f>
        <v/>
      </c>
      <c r="I68" s="28">
        <f>IF($A68="","",IFERROR(AVERAGEIF(tblAkis[KaynakKartId],$A68,tblAkis[GecikmeGun]),0))</f>
        <v/>
      </c>
    </row>
    <row r="69">
      <c r="A69" s="26" t="n"/>
      <c r="B69" s="26" t="n"/>
      <c r="C69" s="26" t="n"/>
      <c r="D69" s="26" t="n"/>
      <c r="E69" s="27" t="n"/>
      <c r="F69" s="26" t="n"/>
      <c r="G69" s="26" t="n"/>
      <c r="H69" s="28">
        <f>IF($A69="","",SUMIF(tblAkis[KaynakKartId],$A69,tblAkis[Tutar]))</f>
        <v/>
      </c>
      <c r="I69" s="28">
        <f>IF($A69="","",IFERROR(AVERAGEIF(tblAkis[KaynakKartId],$A69,tblAkis[GecikmeGun]),0))</f>
        <v/>
      </c>
    </row>
    <row r="70">
      <c r="A70" s="26" t="n"/>
      <c r="B70" s="26" t="n"/>
      <c r="C70" s="26" t="n"/>
      <c r="D70" s="26" t="n"/>
      <c r="E70" s="27" t="n"/>
      <c r="F70" s="26" t="n"/>
      <c r="G70" s="26" t="n"/>
      <c r="H70" s="28">
        <f>IF($A70="","",SUMIF(tblAkis[KaynakKartId],$A70,tblAkis[Tutar]))</f>
        <v/>
      </c>
      <c r="I70" s="28">
        <f>IF($A70="","",IFERROR(AVERAGEIF(tblAkis[KaynakKartId],$A70,tblAkis[GecikmeGun]),0))</f>
        <v/>
      </c>
    </row>
    <row r="71">
      <c r="A71" s="26" t="n"/>
      <c r="B71" s="26" t="n"/>
      <c r="C71" s="26" t="n"/>
      <c r="D71" s="26" t="n"/>
      <c r="E71" s="27" t="n"/>
      <c r="F71" s="26" t="n"/>
      <c r="G71" s="26" t="n"/>
      <c r="H71" s="28">
        <f>IF($A71="","",SUMIF(tblAkis[KaynakKartId],$A71,tblAkis[Tutar]))</f>
        <v/>
      </c>
      <c r="I71" s="28">
        <f>IF($A71="","",IFERROR(AVERAGEIF(tblAkis[KaynakKartId],$A71,tblAkis[GecikmeGun]),0))</f>
        <v/>
      </c>
    </row>
    <row r="72">
      <c r="A72" s="26" t="n"/>
      <c r="B72" s="26" t="n"/>
      <c r="C72" s="26" t="n"/>
      <c r="D72" s="26" t="n"/>
      <c r="E72" s="27" t="n"/>
      <c r="F72" s="26" t="n"/>
      <c r="G72" s="26" t="n"/>
      <c r="H72" s="28">
        <f>IF($A72="","",SUMIF(tblAkis[KaynakKartId],$A72,tblAkis[Tutar]))</f>
        <v/>
      </c>
      <c r="I72" s="28">
        <f>IF($A72="","",IFERROR(AVERAGEIF(tblAkis[KaynakKartId],$A72,tblAkis[GecikmeGun]),0))</f>
        <v/>
      </c>
    </row>
    <row r="73">
      <c r="A73" s="26" t="n"/>
      <c r="B73" s="26" t="n"/>
      <c r="C73" s="26" t="n"/>
      <c r="D73" s="26" t="n"/>
      <c r="E73" s="27" t="n"/>
      <c r="F73" s="26" t="n"/>
      <c r="G73" s="26" t="n"/>
      <c r="H73" s="28">
        <f>IF($A73="","",SUMIF(tblAkis[KaynakKartId],$A73,tblAkis[Tutar]))</f>
        <v/>
      </c>
      <c r="I73" s="28">
        <f>IF($A73="","",IFERROR(AVERAGEIF(tblAkis[KaynakKartId],$A73,tblAkis[GecikmeGun]),0))</f>
        <v/>
      </c>
    </row>
    <row r="74">
      <c r="A74" s="26" t="n"/>
      <c r="B74" s="26" t="n"/>
      <c r="C74" s="26" t="n"/>
      <c r="D74" s="26" t="n"/>
      <c r="E74" s="27" t="n"/>
      <c r="F74" s="26" t="n"/>
      <c r="G74" s="26" t="n"/>
      <c r="H74" s="28">
        <f>IF($A74="","",SUMIF(tblAkis[KaynakKartId],$A74,tblAkis[Tutar]))</f>
        <v/>
      </c>
      <c r="I74" s="28">
        <f>IF($A74="","",IFERROR(AVERAGEIF(tblAkis[KaynakKartId],$A74,tblAkis[GecikmeGun]),0))</f>
        <v/>
      </c>
    </row>
    <row r="75">
      <c r="A75" s="26" t="n"/>
      <c r="B75" s="26" t="n"/>
      <c r="C75" s="26" t="n"/>
      <c r="D75" s="26" t="n"/>
      <c r="E75" s="27" t="n"/>
      <c r="F75" s="26" t="n"/>
      <c r="G75" s="26" t="n"/>
      <c r="H75" s="28">
        <f>IF($A75="","",SUMIF(tblAkis[KaynakKartId],$A75,tblAkis[Tutar]))</f>
        <v/>
      </c>
      <c r="I75" s="28">
        <f>IF($A75="","",IFERROR(AVERAGEIF(tblAkis[KaynakKartId],$A75,tblAkis[GecikmeGun]),0))</f>
        <v/>
      </c>
    </row>
    <row r="76">
      <c r="A76" s="26" t="n"/>
      <c r="B76" s="26" t="n"/>
      <c r="C76" s="26" t="n"/>
      <c r="D76" s="26" t="n"/>
      <c r="E76" s="27" t="n"/>
      <c r="F76" s="26" t="n"/>
      <c r="G76" s="26" t="n"/>
      <c r="H76" s="28">
        <f>IF($A76="","",SUMIF(tblAkis[KaynakKartId],$A76,tblAkis[Tutar]))</f>
        <v/>
      </c>
      <c r="I76" s="28">
        <f>IF($A76="","",IFERROR(AVERAGEIF(tblAkis[KaynakKartId],$A76,tblAkis[GecikmeGun]),0))</f>
        <v/>
      </c>
    </row>
    <row r="77">
      <c r="A77" s="26" t="n"/>
      <c r="B77" s="26" t="n"/>
      <c r="C77" s="26" t="n"/>
      <c r="D77" s="26" t="n"/>
      <c r="E77" s="27" t="n"/>
      <c r="F77" s="26" t="n"/>
      <c r="G77" s="26" t="n"/>
      <c r="H77" s="28">
        <f>IF($A77="","",SUMIF(tblAkis[KaynakKartId],$A77,tblAkis[Tutar]))</f>
        <v/>
      </c>
      <c r="I77" s="28">
        <f>IF($A77="","",IFERROR(AVERAGEIF(tblAkis[KaynakKartId],$A77,tblAkis[GecikmeGun]),0))</f>
        <v/>
      </c>
    </row>
    <row r="78">
      <c r="A78" s="26" t="n"/>
      <c r="B78" s="26" t="n"/>
      <c r="C78" s="26" t="n"/>
      <c r="D78" s="26" t="n"/>
      <c r="E78" s="27" t="n"/>
      <c r="F78" s="26" t="n"/>
      <c r="G78" s="26" t="n"/>
      <c r="H78" s="28">
        <f>IF($A78="","",SUMIF(tblAkis[KaynakKartId],$A78,tblAkis[Tutar]))</f>
        <v/>
      </c>
      <c r="I78" s="28">
        <f>IF($A78="","",IFERROR(AVERAGEIF(tblAkis[KaynakKartId],$A78,tblAkis[GecikmeGun]),0))</f>
        <v/>
      </c>
    </row>
    <row r="79">
      <c r="A79" s="26" t="n"/>
      <c r="B79" s="26" t="n"/>
      <c r="C79" s="26" t="n"/>
      <c r="D79" s="26" t="n"/>
      <c r="E79" s="27" t="n"/>
      <c r="F79" s="26" t="n"/>
      <c r="G79" s="26" t="n"/>
      <c r="H79" s="28">
        <f>IF($A79="","",SUMIF(tblAkis[KaynakKartId],$A79,tblAkis[Tutar]))</f>
        <v/>
      </c>
      <c r="I79" s="28">
        <f>IF($A79="","",IFERROR(AVERAGEIF(tblAkis[KaynakKartId],$A79,tblAkis[GecikmeGun]),0))</f>
        <v/>
      </c>
    </row>
    <row r="80">
      <c r="A80" s="26" t="n"/>
      <c r="B80" s="26" t="n"/>
      <c r="C80" s="26" t="n"/>
      <c r="D80" s="26" t="n"/>
      <c r="E80" s="27" t="n"/>
      <c r="F80" s="26" t="n"/>
      <c r="G80" s="26" t="n"/>
      <c r="H80" s="28">
        <f>IF($A80="","",SUMIF(tblAkis[KaynakKartId],$A80,tblAkis[Tutar]))</f>
        <v/>
      </c>
      <c r="I80" s="28">
        <f>IF($A80="","",IFERROR(AVERAGEIF(tblAkis[KaynakKartId],$A80,tblAkis[GecikmeGun]),0))</f>
        <v/>
      </c>
    </row>
    <row r="81">
      <c r="A81" s="26" t="n"/>
      <c r="B81" s="26" t="n"/>
      <c r="C81" s="26" t="n"/>
      <c r="D81" s="26" t="n"/>
      <c r="E81" s="27" t="n"/>
      <c r="F81" s="26" t="n"/>
      <c r="G81" s="26" t="n"/>
      <c r="H81" s="28">
        <f>IF($A81="","",SUMIF(tblAkis[KaynakKartId],$A81,tblAkis[Tutar]))</f>
        <v/>
      </c>
      <c r="I81" s="28">
        <f>IF($A81="","",IFERROR(AVERAGEIF(tblAkis[KaynakKartId],$A81,tblAkis[GecikmeGun]),0))</f>
        <v/>
      </c>
    </row>
    <row r="82">
      <c r="A82" s="26" t="n"/>
      <c r="B82" s="26" t="n"/>
      <c r="C82" s="26" t="n"/>
      <c r="D82" s="26" t="n"/>
      <c r="E82" s="27" t="n"/>
      <c r="F82" s="26" t="n"/>
      <c r="G82" s="26" t="n"/>
      <c r="H82" s="28">
        <f>IF($A82="","",SUMIF(tblAkis[KaynakKartId],$A82,tblAkis[Tutar]))</f>
        <v/>
      </c>
      <c r="I82" s="28">
        <f>IF($A82="","",IFERROR(AVERAGEIF(tblAkis[KaynakKartId],$A82,tblAkis[GecikmeGun]),0))</f>
        <v/>
      </c>
    </row>
    <row r="83">
      <c r="A83" s="26" t="n"/>
      <c r="B83" s="26" t="n"/>
      <c r="C83" s="26" t="n"/>
      <c r="D83" s="26" t="n"/>
      <c r="E83" s="27" t="n"/>
      <c r="F83" s="26" t="n"/>
      <c r="G83" s="26" t="n"/>
      <c r="H83" s="28">
        <f>IF($A83="","",SUMIF(tblAkis[KaynakKartId],$A83,tblAkis[Tutar]))</f>
        <v/>
      </c>
      <c r="I83" s="28">
        <f>IF($A83="","",IFERROR(AVERAGEIF(tblAkis[KaynakKartId],$A83,tblAkis[GecikmeGun]),0))</f>
        <v/>
      </c>
    </row>
    <row r="84">
      <c r="A84" s="26" t="n"/>
      <c r="B84" s="26" t="n"/>
      <c r="C84" s="26" t="n"/>
      <c r="D84" s="26" t="n"/>
      <c r="E84" s="27" t="n"/>
      <c r="F84" s="26" t="n"/>
      <c r="G84" s="26" t="n"/>
      <c r="H84" s="28">
        <f>IF($A84="","",SUMIF(tblAkis[KaynakKartId],$A84,tblAkis[Tutar]))</f>
        <v/>
      </c>
      <c r="I84" s="28">
        <f>IF($A84="","",IFERROR(AVERAGEIF(tblAkis[KaynakKartId],$A84,tblAkis[GecikmeGun]),0))</f>
        <v/>
      </c>
    </row>
    <row r="85">
      <c r="A85" s="26" t="n"/>
      <c r="B85" s="26" t="n"/>
      <c r="C85" s="26" t="n"/>
      <c r="D85" s="26" t="n"/>
      <c r="E85" s="27" t="n"/>
      <c r="F85" s="26" t="n"/>
      <c r="G85" s="26" t="n"/>
      <c r="H85" s="28">
        <f>IF($A85="","",SUMIF(tblAkis[KaynakKartId],$A85,tblAkis[Tutar]))</f>
        <v/>
      </c>
      <c r="I85" s="28">
        <f>IF($A85="","",IFERROR(AVERAGEIF(tblAkis[KaynakKartId],$A85,tblAkis[GecikmeGun]),0))</f>
        <v/>
      </c>
    </row>
    <row r="86">
      <c r="A86" s="26" t="n"/>
      <c r="B86" s="26" t="n"/>
      <c r="C86" s="26" t="n"/>
      <c r="D86" s="26" t="n"/>
      <c r="E86" s="27" t="n"/>
      <c r="F86" s="26" t="n"/>
      <c r="G86" s="26" t="n"/>
      <c r="H86" s="28">
        <f>IF($A86="","",SUMIF(tblAkis[KaynakKartId],$A86,tblAkis[Tutar]))</f>
        <v/>
      </c>
      <c r="I86" s="28">
        <f>IF($A86="","",IFERROR(AVERAGEIF(tblAkis[KaynakKartId],$A86,tblAkis[GecikmeGun]),0))</f>
        <v/>
      </c>
    </row>
    <row r="87">
      <c r="A87" s="26" t="n"/>
      <c r="B87" s="26" t="n"/>
      <c r="C87" s="26" t="n"/>
      <c r="D87" s="26" t="n"/>
      <c r="E87" s="27" t="n"/>
      <c r="F87" s="26" t="n"/>
      <c r="G87" s="26" t="n"/>
      <c r="H87" s="28">
        <f>IF($A87="","",SUMIF(tblAkis[KaynakKartId],$A87,tblAkis[Tutar]))</f>
        <v/>
      </c>
      <c r="I87" s="28">
        <f>IF($A87="","",IFERROR(AVERAGEIF(tblAkis[KaynakKartId],$A87,tblAkis[GecikmeGun]),0))</f>
        <v/>
      </c>
    </row>
    <row r="88">
      <c r="A88" s="26" t="n"/>
      <c r="B88" s="26" t="n"/>
      <c r="C88" s="26" t="n"/>
      <c r="D88" s="26" t="n"/>
      <c r="E88" s="27" t="n"/>
      <c r="F88" s="26" t="n"/>
      <c r="G88" s="26" t="n"/>
      <c r="H88" s="28">
        <f>IF($A88="","",SUMIF(tblAkis[KaynakKartId],$A88,tblAkis[Tutar]))</f>
        <v/>
      </c>
      <c r="I88" s="28">
        <f>IF($A88="","",IFERROR(AVERAGEIF(tblAkis[KaynakKartId],$A88,tblAkis[GecikmeGun]),0))</f>
        <v/>
      </c>
    </row>
    <row r="89">
      <c r="A89" s="26" t="n"/>
      <c r="B89" s="26" t="n"/>
      <c r="C89" s="26" t="n"/>
      <c r="D89" s="26" t="n"/>
      <c r="E89" s="27" t="n"/>
      <c r="F89" s="26" t="n"/>
      <c r="G89" s="26" t="n"/>
      <c r="H89" s="28">
        <f>IF($A89="","",SUMIF(tblAkis[KaynakKartId],$A89,tblAkis[Tutar]))</f>
        <v/>
      </c>
      <c r="I89" s="28">
        <f>IF($A89="","",IFERROR(AVERAGEIF(tblAkis[KaynakKartId],$A89,tblAkis[GecikmeGun]),0))</f>
        <v/>
      </c>
    </row>
    <row r="90">
      <c r="A90" s="26" t="n"/>
      <c r="B90" s="26" t="n"/>
      <c r="C90" s="26" t="n"/>
      <c r="D90" s="26" t="n"/>
      <c r="E90" s="27" t="n"/>
      <c r="F90" s="26" t="n"/>
      <c r="G90" s="26" t="n"/>
      <c r="H90" s="28">
        <f>IF($A90="","",SUMIF(tblAkis[KaynakKartId],$A90,tblAkis[Tutar]))</f>
        <v/>
      </c>
      <c r="I90" s="28">
        <f>IF($A90="","",IFERROR(AVERAGEIF(tblAkis[KaynakKartId],$A90,tblAkis[GecikmeGun]),0))</f>
        <v/>
      </c>
    </row>
    <row r="91">
      <c r="A91" s="26" t="n"/>
      <c r="B91" s="26" t="n"/>
      <c r="C91" s="26" t="n"/>
      <c r="D91" s="26" t="n"/>
      <c r="E91" s="27" t="n"/>
      <c r="F91" s="26" t="n"/>
      <c r="G91" s="26" t="n"/>
      <c r="H91" s="28">
        <f>IF($A91="","",SUMIF(tblAkis[KaynakKartId],$A91,tblAkis[Tutar]))</f>
        <v/>
      </c>
      <c r="I91" s="28">
        <f>IF($A91="","",IFERROR(AVERAGEIF(tblAkis[KaynakKartId],$A91,tblAkis[GecikmeGun]),0))</f>
        <v/>
      </c>
    </row>
    <row r="92">
      <c r="A92" s="26" t="n"/>
      <c r="B92" s="26" t="n"/>
      <c r="C92" s="26" t="n"/>
      <c r="D92" s="26" t="n"/>
      <c r="E92" s="27" t="n"/>
      <c r="F92" s="26" t="n"/>
      <c r="G92" s="26" t="n"/>
      <c r="H92" s="28">
        <f>IF($A92="","",SUMIF(tblAkis[KaynakKartId],$A92,tblAkis[Tutar]))</f>
        <v/>
      </c>
      <c r="I92" s="28">
        <f>IF($A92="","",IFERROR(AVERAGEIF(tblAkis[KaynakKartId],$A92,tblAkis[GecikmeGun]),0))</f>
        <v/>
      </c>
    </row>
    <row r="93">
      <c r="A93" s="26" t="n"/>
      <c r="B93" s="26" t="n"/>
      <c r="C93" s="26" t="n"/>
      <c r="D93" s="26" t="n"/>
      <c r="E93" s="27" t="n"/>
      <c r="F93" s="26" t="n"/>
      <c r="G93" s="26" t="n"/>
      <c r="H93" s="28">
        <f>IF($A93="","",SUMIF(tblAkis[KaynakKartId],$A93,tblAkis[Tutar]))</f>
        <v/>
      </c>
      <c r="I93" s="28">
        <f>IF($A93="","",IFERROR(AVERAGEIF(tblAkis[KaynakKartId],$A93,tblAkis[GecikmeGun]),0))</f>
        <v/>
      </c>
    </row>
    <row r="94">
      <c r="A94" s="26" t="n"/>
      <c r="B94" s="26" t="n"/>
      <c r="C94" s="26" t="n"/>
      <c r="D94" s="26" t="n"/>
      <c r="E94" s="27" t="n"/>
      <c r="F94" s="26" t="n"/>
      <c r="G94" s="26" t="n"/>
      <c r="H94" s="28">
        <f>IF($A94="","",SUMIF(tblAkis[KaynakKartId],$A94,tblAkis[Tutar]))</f>
        <v/>
      </c>
      <c r="I94" s="28">
        <f>IF($A94="","",IFERROR(AVERAGEIF(tblAkis[KaynakKartId],$A94,tblAkis[GecikmeGun]),0))</f>
        <v/>
      </c>
    </row>
    <row r="95">
      <c r="A95" s="26" t="n"/>
      <c r="B95" s="26" t="n"/>
      <c r="C95" s="26" t="n"/>
      <c r="D95" s="26" t="n"/>
      <c r="E95" s="27" t="n"/>
      <c r="F95" s="26" t="n"/>
      <c r="G95" s="26" t="n"/>
      <c r="H95" s="28">
        <f>IF($A95="","",SUMIF(tblAkis[KaynakKartId],$A95,tblAkis[Tutar]))</f>
        <v/>
      </c>
      <c r="I95" s="28">
        <f>IF($A95="","",IFERROR(AVERAGEIF(tblAkis[KaynakKartId],$A95,tblAkis[GecikmeGun]),0))</f>
        <v/>
      </c>
    </row>
    <row r="96">
      <c r="A96" s="26" t="n"/>
      <c r="B96" s="26" t="n"/>
      <c r="C96" s="26" t="n"/>
      <c r="D96" s="26" t="n"/>
      <c r="E96" s="27" t="n"/>
      <c r="F96" s="26" t="n"/>
      <c r="G96" s="26" t="n"/>
      <c r="H96" s="28">
        <f>IF($A96="","",SUMIF(tblAkis[KaynakKartId],$A96,tblAkis[Tutar]))</f>
        <v/>
      </c>
      <c r="I96" s="28">
        <f>IF($A96="","",IFERROR(AVERAGEIF(tblAkis[KaynakKartId],$A96,tblAkis[GecikmeGun]),0))</f>
        <v/>
      </c>
    </row>
    <row r="97">
      <c r="A97" s="26" t="n"/>
      <c r="B97" s="26" t="n"/>
      <c r="C97" s="26" t="n"/>
      <c r="D97" s="26" t="n"/>
      <c r="E97" s="27" t="n"/>
      <c r="F97" s="26" t="n"/>
      <c r="G97" s="26" t="n"/>
      <c r="H97" s="28">
        <f>IF($A97="","",SUMIF(tblAkis[KaynakKartId],$A97,tblAkis[Tutar]))</f>
        <v/>
      </c>
      <c r="I97" s="28">
        <f>IF($A97="","",IFERROR(AVERAGEIF(tblAkis[KaynakKartId],$A97,tblAkis[GecikmeGun]),0))</f>
        <v/>
      </c>
    </row>
    <row r="98">
      <c r="A98" s="26" t="n"/>
      <c r="B98" s="26" t="n"/>
      <c r="C98" s="26" t="n"/>
      <c r="D98" s="26" t="n"/>
      <c r="E98" s="27" t="n"/>
      <c r="F98" s="26" t="n"/>
      <c r="G98" s="26" t="n"/>
      <c r="H98" s="28">
        <f>IF($A98="","",SUMIF(tblAkis[KaynakKartId],$A98,tblAkis[Tutar]))</f>
        <v/>
      </c>
      <c r="I98" s="28">
        <f>IF($A98="","",IFERROR(AVERAGEIF(tblAkis[KaynakKartId],$A98,tblAkis[GecikmeGun]),0))</f>
        <v/>
      </c>
    </row>
    <row r="99">
      <c r="A99" s="26" t="n"/>
      <c r="B99" s="26" t="n"/>
      <c r="C99" s="26" t="n"/>
      <c r="D99" s="26" t="n"/>
      <c r="E99" s="27" t="n"/>
      <c r="F99" s="26" t="n"/>
      <c r="G99" s="26" t="n"/>
      <c r="H99" s="28">
        <f>IF($A99="","",SUMIF(tblAkis[KaynakKartId],$A99,tblAkis[Tutar]))</f>
        <v/>
      </c>
      <c r="I99" s="28">
        <f>IF($A99="","",IFERROR(AVERAGEIF(tblAkis[KaynakKartId],$A99,tblAkis[GecikmeGun]),0))</f>
        <v/>
      </c>
    </row>
    <row r="100">
      <c r="A100" s="26" t="n"/>
      <c r="B100" s="26" t="n"/>
      <c r="C100" s="26" t="n"/>
      <c r="D100" s="26" t="n"/>
      <c r="E100" s="27" t="n"/>
      <c r="F100" s="26" t="n"/>
      <c r="G100" s="26" t="n"/>
      <c r="H100" s="28">
        <f>IF($A100="","",SUMIF(tblAkis[KaynakKartId],$A100,tblAkis[Tutar]))</f>
        <v/>
      </c>
      <c r="I100" s="28">
        <f>IF($A100="","",IFERROR(AVERAGEIF(tblAkis[KaynakKartId],$A100,tblAkis[GecikmeGun]),0))</f>
        <v/>
      </c>
    </row>
    <row r="101">
      <c r="A101" s="26" t="n"/>
      <c r="B101" s="26" t="n"/>
      <c r="C101" s="26" t="n"/>
      <c r="D101" s="26" t="n"/>
      <c r="E101" s="27" t="n"/>
      <c r="F101" s="26" t="n"/>
      <c r="G101" s="26" t="n"/>
      <c r="H101" s="28">
        <f>IF($A101="","",SUMIF(tblAkis[KaynakKartId],$A101,tblAkis[Tutar]))</f>
        <v/>
      </c>
      <c r="I101" s="28">
        <f>IF($A101="","",IFERROR(AVERAGEIF(tblAkis[KaynakKartId],$A101,tblAkis[GecikmeGun]),0))</f>
        <v/>
      </c>
    </row>
    <row r="102">
      <c r="A102" s="26" t="n"/>
      <c r="B102" s="26" t="n"/>
      <c r="C102" s="26" t="n"/>
      <c r="D102" s="26" t="n"/>
      <c r="E102" s="27" t="n"/>
      <c r="F102" s="26" t="n"/>
      <c r="G102" s="26" t="n"/>
      <c r="H102" s="28">
        <f>IF($A102="","",SUMIF(tblAkis[KaynakKartId],$A102,tblAkis[Tutar]))</f>
        <v/>
      </c>
      <c r="I102" s="28">
        <f>IF($A102="","",IFERROR(AVERAGEIF(tblAkis[KaynakKartId],$A102,tblAkis[GecikmeGun]),0))</f>
        <v/>
      </c>
    </row>
    <row r="103">
      <c r="A103" s="26" t="n"/>
      <c r="B103" s="26" t="n"/>
      <c r="C103" s="26" t="n"/>
      <c r="D103" s="26" t="n"/>
      <c r="E103" s="27" t="n"/>
      <c r="F103" s="26" t="n"/>
      <c r="G103" s="26" t="n"/>
      <c r="H103" s="28">
        <f>IF($A103="","",SUMIF(tblAkis[KaynakKartId],$A103,tblAkis[Tutar]))</f>
        <v/>
      </c>
      <c r="I103" s="28">
        <f>IF($A103="","",IFERROR(AVERAGEIF(tblAkis[KaynakKartId],$A103,tblAkis[GecikmeGun]),0))</f>
        <v/>
      </c>
    </row>
    <row r="104">
      <c r="A104" s="26" t="n"/>
      <c r="B104" s="26" t="n"/>
      <c r="C104" s="26" t="n"/>
      <c r="D104" s="26" t="n"/>
      <c r="E104" s="27" t="n"/>
      <c r="F104" s="26" t="n"/>
      <c r="G104" s="26" t="n"/>
      <c r="H104" s="28">
        <f>IF($A104="","",SUMIF(tblAkis[KaynakKartId],$A104,tblAkis[Tutar]))</f>
        <v/>
      </c>
      <c r="I104" s="28">
        <f>IF($A104="","",IFERROR(AVERAGEIF(tblAkis[KaynakKartId],$A104,tblAkis[GecikmeGun]),0))</f>
        <v/>
      </c>
    </row>
    <row r="105">
      <c r="A105" s="26" t="n"/>
      <c r="B105" s="26" t="n"/>
      <c r="C105" s="26" t="n"/>
      <c r="D105" s="26" t="n"/>
      <c r="E105" s="27" t="n"/>
      <c r="F105" s="26" t="n"/>
      <c r="G105" s="26" t="n"/>
      <c r="H105" s="28">
        <f>IF($A105="","",SUMIF(tblAkis[KaynakKartId],$A105,tblAkis[Tutar]))</f>
        <v/>
      </c>
      <c r="I105" s="28">
        <f>IF($A105="","",IFERROR(AVERAGEIF(tblAkis[KaynakKartId],$A105,tblAkis[GecikmeGun]),0))</f>
        <v/>
      </c>
    </row>
    <row r="106">
      <c r="A106" s="26" t="n"/>
      <c r="B106" s="26" t="n"/>
      <c r="C106" s="26" t="n"/>
      <c r="D106" s="26" t="n"/>
      <c r="E106" s="27" t="n"/>
      <c r="F106" s="26" t="n"/>
      <c r="G106" s="26" t="n"/>
      <c r="H106" s="28">
        <f>IF($A106="","",SUMIF(tblAkis[KaynakKartId],$A106,tblAkis[Tutar]))</f>
        <v/>
      </c>
      <c r="I106" s="28">
        <f>IF($A106="","",IFERROR(AVERAGEIF(tblAkis[KaynakKartId],$A106,tblAkis[GecikmeGun]),0))</f>
        <v/>
      </c>
    </row>
    <row r="107">
      <c r="A107" s="26" t="n"/>
      <c r="B107" s="26" t="n"/>
      <c r="C107" s="26" t="n"/>
      <c r="D107" s="26" t="n"/>
      <c r="E107" s="27" t="n"/>
      <c r="F107" s="26" t="n"/>
      <c r="G107" s="26" t="n"/>
      <c r="H107" s="28">
        <f>IF($A107="","",SUMIF(tblAkis[KaynakKartId],$A107,tblAkis[Tutar]))</f>
        <v/>
      </c>
      <c r="I107" s="28">
        <f>IF($A107="","",IFERROR(AVERAGEIF(tblAkis[KaynakKartId],$A107,tblAkis[GecikmeGun]),0))</f>
        <v/>
      </c>
    </row>
    <row r="108">
      <c r="A108" s="26" t="n"/>
      <c r="B108" s="26" t="n"/>
      <c r="C108" s="26" t="n"/>
      <c r="D108" s="26" t="n"/>
      <c r="E108" s="27" t="n"/>
      <c r="F108" s="26" t="n"/>
      <c r="G108" s="26" t="n"/>
      <c r="H108" s="28">
        <f>IF($A108="","",SUMIF(tblAkis[KaynakKartId],$A108,tblAkis[Tutar]))</f>
        <v/>
      </c>
      <c r="I108" s="28">
        <f>IF($A108="","",IFERROR(AVERAGEIF(tblAkis[KaynakKartId],$A108,tblAkis[GecikmeGun]),0))</f>
        <v/>
      </c>
    </row>
    <row r="109">
      <c r="A109" s="26" t="n"/>
      <c r="B109" s="26" t="n"/>
      <c r="C109" s="26" t="n"/>
      <c r="D109" s="26" t="n"/>
      <c r="E109" s="27" t="n"/>
      <c r="F109" s="26" t="n"/>
      <c r="G109" s="26" t="n"/>
      <c r="H109" s="28">
        <f>IF($A109="","",SUMIF(tblAkis[KaynakKartId],$A109,tblAkis[Tutar]))</f>
        <v/>
      </c>
      <c r="I109" s="28">
        <f>IF($A109="","",IFERROR(AVERAGEIF(tblAkis[KaynakKartId],$A109,tblAkis[GecikmeGun]),0))</f>
        <v/>
      </c>
    </row>
    <row r="110">
      <c r="A110" s="26" t="n"/>
      <c r="B110" s="26" t="n"/>
      <c r="C110" s="26" t="n"/>
      <c r="D110" s="26" t="n"/>
      <c r="E110" s="27" t="n"/>
      <c r="F110" s="26" t="n"/>
      <c r="G110" s="26" t="n"/>
      <c r="H110" s="28">
        <f>IF($A110="","",SUMIF(tblAkis[KaynakKartId],$A110,tblAkis[Tutar]))</f>
        <v/>
      </c>
      <c r="I110" s="28">
        <f>IF($A110="","",IFERROR(AVERAGEIF(tblAkis[KaynakKartId],$A110,tblAkis[GecikmeGun]),0))</f>
        <v/>
      </c>
    </row>
    <row r="111">
      <c r="A111" s="26" t="n"/>
      <c r="B111" s="26" t="n"/>
      <c r="C111" s="26" t="n"/>
      <c r="D111" s="26" t="n"/>
      <c r="E111" s="27" t="n"/>
      <c r="F111" s="26" t="n"/>
      <c r="G111" s="26" t="n"/>
      <c r="H111" s="28">
        <f>IF($A111="","",SUMIF(tblAkis[KaynakKartId],$A111,tblAkis[Tutar]))</f>
        <v/>
      </c>
      <c r="I111" s="28">
        <f>IF($A111="","",IFERROR(AVERAGEIF(tblAkis[KaynakKartId],$A111,tblAkis[GecikmeGun]),0))</f>
        <v/>
      </c>
    </row>
    <row r="112">
      <c r="A112" s="26" t="n"/>
      <c r="B112" s="26" t="n"/>
      <c r="C112" s="26" t="n"/>
      <c r="D112" s="26" t="n"/>
      <c r="E112" s="27" t="n"/>
      <c r="F112" s="26" t="n"/>
      <c r="G112" s="26" t="n"/>
      <c r="H112" s="28">
        <f>IF($A112="","",SUMIF(tblAkis[KaynakKartId],$A112,tblAkis[Tutar]))</f>
        <v/>
      </c>
      <c r="I112" s="28">
        <f>IF($A112="","",IFERROR(AVERAGEIF(tblAkis[KaynakKartId],$A112,tblAkis[GecikmeGun]),0))</f>
        <v/>
      </c>
    </row>
    <row r="113">
      <c r="A113" s="26" t="n"/>
      <c r="B113" s="26" t="n"/>
      <c r="C113" s="26" t="n"/>
      <c r="D113" s="26" t="n"/>
      <c r="E113" s="27" t="n"/>
      <c r="F113" s="26" t="n"/>
      <c r="G113" s="26" t="n"/>
      <c r="H113" s="28">
        <f>IF($A113="","",SUMIF(tblAkis[KaynakKartId],$A113,tblAkis[Tutar]))</f>
        <v/>
      </c>
      <c r="I113" s="28">
        <f>IF($A113="","",IFERROR(AVERAGEIF(tblAkis[KaynakKartId],$A113,tblAkis[GecikmeGun]),0))</f>
        <v/>
      </c>
    </row>
    <row r="114">
      <c r="A114" s="26" t="n"/>
      <c r="B114" s="26" t="n"/>
      <c r="C114" s="26" t="n"/>
      <c r="D114" s="26" t="n"/>
      <c r="E114" s="27" t="n"/>
      <c r="F114" s="26" t="n"/>
      <c r="G114" s="26" t="n"/>
      <c r="H114" s="28">
        <f>IF($A114="","",SUMIF(tblAkis[KaynakKartId],$A114,tblAkis[Tutar]))</f>
        <v/>
      </c>
      <c r="I114" s="28">
        <f>IF($A114="","",IFERROR(AVERAGEIF(tblAkis[KaynakKartId],$A114,tblAkis[GecikmeGun]),0))</f>
        <v/>
      </c>
    </row>
    <row r="115">
      <c r="A115" s="26" t="n"/>
      <c r="B115" s="26" t="n"/>
      <c r="C115" s="26" t="n"/>
      <c r="D115" s="26" t="n"/>
      <c r="E115" s="27" t="n"/>
      <c r="F115" s="26" t="n"/>
      <c r="G115" s="26" t="n"/>
      <c r="H115" s="28">
        <f>IF($A115="","",SUMIF(tblAkis[KaynakKartId],$A115,tblAkis[Tutar]))</f>
        <v/>
      </c>
      <c r="I115" s="28">
        <f>IF($A115="","",IFERROR(AVERAGEIF(tblAkis[KaynakKartId],$A115,tblAkis[GecikmeGun]),0))</f>
        <v/>
      </c>
    </row>
    <row r="116">
      <c r="A116" s="26" t="n"/>
      <c r="B116" s="26" t="n"/>
      <c r="C116" s="26" t="n"/>
      <c r="D116" s="26" t="n"/>
      <c r="E116" s="27" t="n"/>
      <c r="F116" s="26" t="n"/>
      <c r="G116" s="26" t="n"/>
      <c r="H116" s="28">
        <f>IF($A116="","",SUMIF(tblAkis[KaynakKartId],$A116,tblAkis[Tutar]))</f>
        <v/>
      </c>
      <c r="I116" s="28">
        <f>IF($A116="","",IFERROR(AVERAGEIF(tblAkis[KaynakKartId],$A116,tblAkis[GecikmeGun]),0))</f>
        <v/>
      </c>
    </row>
    <row r="117">
      <c r="A117" s="26" t="n"/>
      <c r="B117" s="26" t="n"/>
      <c r="C117" s="26" t="n"/>
      <c r="D117" s="26" t="n"/>
      <c r="E117" s="27" t="n"/>
      <c r="F117" s="26" t="n"/>
      <c r="G117" s="26" t="n"/>
      <c r="H117" s="28">
        <f>IF($A117="","",SUMIF(tblAkis[KaynakKartId],$A117,tblAkis[Tutar]))</f>
        <v/>
      </c>
      <c r="I117" s="28">
        <f>IF($A117="","",IFERROR(AVERAGEIF(tblAkis[KaynakKartId],$A117,tblAkis[GecikmeGun]),0))</f>
        <v/>
      </c>
    </row>
    <row r="118">
      <c r="A118" s="26" t="n"/>
      <c r="B118" s="26" t="n"/>
      <c r="C118" s="26" t="n"/>
      <c r="D118" s="26" t="n"/>
      <c r="E118" s="27" t="n"/>
      <c r="F118" s="26" t="n"/>
      <c r="G118" s="26" t="n"/>
      <c r="H118" s="28">
        <f>IF($A118="","",SUMIF(tblAkis[KaynakKartId],$A118,tblAkis[Tutar]))</f>
        <v/>
      </c>
      <c r="I118" s="28">
        <f>IF($A118="","",IFERROR(AVERAGEIF(tblAkis[KaynakKartId],$A118,tblAkis[GecikmeGun]),0))</f>
        <v/>
      </c>
    </row>
    <row r="119">
      <c r="A119" s="26" t="n"/>
      <c r="B119" s="26" t="n"/>
      <c r="C119" s="26" t="n"/>
      <c r="D119" s="26" t="n"/>
      <c r="E119" s="27" t="n"/>
      <c r="F119" s="26" t="n"/>
      <c r="G119" s="26" t="n"/>
      <c r="H119" s="28">
        <f>IF($A119="","",SUMIF(tblAkis[KaynakKartId],$A119,tblAkis[Tutar]))</f>
        <v/>
      </c>
      <c r="I119" s="28">
        <f>IF($A119="","",IFERROR(AVERAGEIF(tblAkis[KaynakKartId],$A119,tblAkis[GecikmeGun]),0))</f>
        <v/>
      </c>
    </row>
    <row r="120">
      <c r="A120" s="26" t="n"/>
      <c r="B120" s="26" t="n"/>
      <c r="C120" s="26" t="n"/>
      <c r="D120" s="26" t="n"/>
      <c r="E120" s="27" t="n"/>
      <c r="F120" s="26" t="n"/>
      <c r="G120" s="26" t="n"/>
      <c r="H120" s="28">
        <f>IF($A120="","",SUMIF(tblAkis[KaynakKartId],$A120,tblAkis[Tutar]))</f>
        <v/>
      </c>
      <c r="I120" s="28">
        <f>IF($A120="","",IFERROR(AVERAGEIF(tblAkis[KaynakKartId],$A120,tblAkis[GecikmeGun]),0))</f>
        <v/>
      </c>
    </row>
    <row r="121">
      <c r="A121" s="26" t="n"/>
      <c r="B121" s="26" t="n"/>
      <c r="C121" s="26" t="n"/>
      <c r="D121" s="26" t="n"/>
      <c r="E121" s="27" t="n"/>
      <c r="F121" s="26" t="n"/>
      <c r="G121" s="26" t="n"/>
      <c r="H121" s="28">
        <f>IF($A121="","",SUMIF(tblAkis[KaynakKartId],$A121,tblAkis[Tutar]))</f>
        <v/>
      </c>
      <c r="I121" s="28">
        <f>IF($A121="","",IFERROR(AVERAGEIF(tblAkis[KaynakKartId],$A121,tblAkis[GecikmeGun]),0))</f>
        <v/>
      </c>
    </row>
    <row r="122">
      <c r="A122" s="26" t="n"/>
      <c r="B122" s="26" t="n"/>
      <c r="C122" s="26" t="n"/>
      <c r="D122" s="26" t="n"/>
      <c r="E122" s="27" t="n"/>
      <c r="F122" s="26" t="n"/>
      <c r="G122" s="26" t="n"/>
      <c r="H122" s="28">
        <f>IF($A122="","",SUMIF(tblAkis[KaynakKartId],$A122,tblAkis[Tutar]))</f>
        <v/>
      </c>
      <c r="I122" s="28">
        <f>IF($A122="","",IFERROR(AVERAGEIF(tblAkis[KaynakKartId],$A122,tblAkis[GecikmeGun]),0))</f>
        <v/>
      </c>
    </row>
    <row r="123">
      <c r="A123" s="26" t="n"/>
      <c r="B123" s="26" t="n"/>
      <c r="C123" s="26" t="n"/>
      <c r="D123" s="26" t="n"/>
      <c r="E123" s="27" t="n"/>
      <c r="F123" s="26" t="n"/>
      <c r="G123" s="26" t="n"/>
      <c r="H123" s="28">
        <f>IF($A123="","",SUMIF(tblAkis[KaynakKartId],$A123,tblAkis[Tutar]))</f>
        <v/>
      </c>
      <c r="I123" s="28">
        <f>IF($A123="","",IFERROR(AVERAGEIF(tblAkis[KaynakKartId],$A123,tblAkis[GecikmeGun]),0))</f>
        <v/>
      </c>
    </row>
    <row r="124">
      <c r="A124" s="26" t="n"/>
      <c r="B124" s="26" t="n"/>
      <c r="C124" s="26" t="n"/>
      <c r="D124" s="26" t="n"/>
      <c r="E124" s="27" t="n"/>
      <c r="F124" s="26" t="n"/>
      <c r="G124" s="26" t="n"/>
      <c r="H124" s="28">
        <f>IF($A124="","",SUMIF(tblAkis[KaynakKartId],$A124,tblAkis[Tutar]))</f>
        <v/>
      </c>
      <c r="I124" s="28">
        <f>IF($A124="","",IFERROR(AVERAGEIF(tblAkis[KaynakKartId],$A124,tblAkis[GecikmeGun]),0))</f>
        <v/>
      </c>
    </row>
    <row r="125">
      <c r="A125" s="26" t="n"/>
      <c r="B125" s="26" t="n"/>
      <c r="C125" s="26" t="n"/>
      <c r="D125" s="26" t="n"/>
      <c r="E125" s="27" t="n"/>
      <c r="F125" s="26" t="n"/>
      <c r="G125" s="26" t="n"/>
      <c r="H125" s="28">
        <f>IF($A125="","",SUMIF(tblAkis[KaynakKartId],$A125,tblAkis[Tutar]))</f>
        <v/>
      </c>
      <c r="I125" s="28">
        <f>IF($A125="","",IFERROR(AVERAGEIF(tblAkis[KaynakKartId],$A125,tblAkis[GecikmeGun]),0))</f>
        <v/>
      </c>
    </row>
    <row r="126">
      <c r="A126" s="26" t="n"/>
      <c r="B126" s="26" t="n"/>
      <c r="C126" s="26" t="n"/>
      <c r="D126" s="26" t="n"/>
      <c r="E126" s="27" t="n"/>
      <c r="F126" s="26" t="n"/>
      <c r="G126" s="26" t="n"/>
      <c r="H126" s="28">
        <f>IF($A126="","",SUMIF(tblAkis[KaynakKartId],$A126,tblAkis[Tutar]))</f>
        <v/>
      </c>
      <c r="I126" s="28">
        <f>IF($A126="","",IFERROR(AVERAGEIF(tblAkis[KaynakKartId],$A126,tblAkis[GecikmeGun]),0))</f>
        <v/>
      </c>
    </row>
    <row r="127">
      <c r="A127" s="26" t="n"/>
      <c r="B127" s="26" t="n"/>
      <c r="C127" s="26" t="n"/>
      <c r="D127" s="26" t="n"/>
      <c r="E127" s="27" t="n"/>
      <c r="F127" s="26" t="n"/>
      <c r="G127" s="26" t="n"/>
      <c r="H127" s="28">
        <f>IF($A127="","",SUMIF(tblAkis[KaynakKartId],$A127,tblAkis[Tutar]))</f>
        <v/>
      </c>
      <c r="I127" s="28">
        <f>IF($A127="","",IFERROR(AVERAGEIF(tblAkis[KaynakKartId],$A127,tblAkis[GecikmeGun]),0))</f>
        <v/>
      </c>
    </row>
    <row r="128">
      <c r="A128" s="26" t="n"/>
      <c r="B128" s="26" t="n"/>
      <c r="C128" s="26" t="n"/>
      <c r="D128" s="26" t="n"/>
      <c r="E128" s="27" t="n"/>
      <c r="F128" s="26" t="n"/>
      <c r="G128" s="26" t="n"/>
      <c r="H128" s="28">
        <f>IF($A128="","",SUMIF(tblAkis[KaynakKartId],$A128,tblAkis[Tutar]))</f>
        <v/>
      </c>
      <c r="I128" s="28">
        <f>IF($A128="","",IFERROR(AVERAGEIF(tblAkis[KaynakKartId],$A128,tblAkis[GecikmeGun]),0))</f>
        <v/>
      </c>
    </row>
    <row r="129">
      <c r="A129" s="26" t="n"/>
      <c r="B129" s="26" t="n"/>
      <c r="C129" s="26" t="n"/>
      <c r="D129" s="26" t="n"/>
      <c r="E129" s="27" t="n"/>
      <c r="F129" s="26" t="n"/>
      <c r="G129" s="26" t="n"/>
      <c r="H129" s="28">
        <f>IF($A129="","",SUMIF(tblAkis[KaynakKartId],$A129,tblAkis[Tutar]))</f>
        <v/>
      </c>
      <c r="I129" s="28">
        <f>IF($A129="","",IFERROR(AVERAGEIF(tblAkis[KaynakKartId],$A129,tblAkis[GecikmeGun]),0))</f>
        <v/>
      </c>
    </row>
    <row r="130">
      <c r="A130" s="26" t="n"/>
      <c r="B130" s="26" t="n"/>
      <c r="C130" s="26" t="n"/>
      <c r="D130" s="26" t="n"/>
      <c r="E130" s="27" t="n"/>
      <c r="F130" s="26" t="n"/>
      <c r="G130" s="26" t="n"/>
      <c r="H130" s="28">
        <f>IF($A130="","",SUMIF(tblAkis[KaynakKartId],$A130,tblAkis[Tutar]))</f>
        <v/>
      </c>
      <c r="I130" s="28">
        <f>IF($A130="","",IFERROR(AVERAGEIF(tblAkis[KaynakKartId],$A130,tblAkis[GecikmeGun]),0))</f>
        <v/>
      </c>
    </row>
    <row r="131">
      <c r="A131" s="26" t="n"/>
      <c r="B131" s="26" t="n"/>
      <c r="C131" s="26" t="n"/>
      <c r="D131" s="26" t="n"/>
      <c r="E131" s="27" t="n"/>
      <c r="F131" s="26" t="n"/>
      <c r="G131" s="26" t="n"/>
      <c r="H131" s="28">
        <f>IF($A131="","",SUMIF(tblAkis[KaynakKartId],$A131,tblAkis[Tutar]))</f>
        <v/>
      </c>
      <c r="I131" s="28">
        <f>IF($A131="","",IFERROR(AVERAGEIF(tblAkis[KaynakKartId],$A131,tblAkis[GecikmeGun]),0))</f>
        <v/>
      </c>
    </row>
    <row r="132">
      <c r="A132" s="26" t="n"/>
      <c r="B132" s="26" t="n"/>
      <c r="C132" s="26" t="n"/>
      <c r="D132" s="26" t="n"/>
      <c r="E132" s="27" t="n"/>
      <c r="F132" s="26" t="n"/>
      <c r="G132" s="26" t="n"/>
      <c r="H132" s="28">
        <f>IF($A132="","",SUMIF(tblAkis[KaynakKartId],$A132,tblAkis[Tutar]))</f>
        <v/>
      </c>
      <c r="I132" s="28">
        <f>IF($A132="","",IFERROR(AVERAGEIF(tblAkis[KaynakKartId],$A132,tblAkis[GecikmeGun]),0))</f>
        <v/>
      </c>
    </row>
    <row r="133">
      <c r="A133" s="26" t="n"/>
      <c r="B133" s="26" t="n"/>
      <c r="C133" s="26" t="n"/>
      <c r="D133" s="26" t="n"/>
      <c r="E133" s="27" t="n"/>
      <c r="F133" s="26" t="n"/>
      <c r="G133" s="26" t="n"/>
      <c r="H133" s="28">
        <f>IF($A133="","",SUMIF(tblAkis[KaynakKartId],$A133,tblAkis[Tutar]))</f>
        <v/>
      </c>
      <c r="I133" s="28">
        <f>IF($A133="","",IFERROR(AVERAGEIF(tblAkis[KaynakKartId],$A133,tblAkis[GecikmeGun]),0))</f>
        <v/>
      </c>
    </row>
    <row r="134">
      <c r="A134" s="26" t="n"/>
      <c r="B134" s="26" t="n"/>
      <c r="C134" s="26" t="n"/>
      <c r="D134" s="26" t="n"/>
      <c r="E134" s="27" t="n"/>
      <c r="F134" s="26" t="n"/>
      <c r="G134" s="26" t="n"/>
      <c r="H134" s="28">
        <f>IF($A134="","",SUMIF(tblAkis[KaynakKartId],$A134,tblAkis[Tutar]))</f>
        <v/>
      </c>
      <c r="I134" s="28">
        <f>IF($A134="","",IFERROR(AVERAGEIF(tblAkis[KaynakKartId],$A134,tblAkis[GecikmeGun]),0))</f>
        <v/>
      </c>
    </row>
    <row r="135">
      <c r="A135" s="26" t="n"/>
      <c r="B135" s="26" t="n"/>
      <c r="C135" s="26" t="n"/>
      <c r="D135" s="26" t="n"/>
      <c r="E135" s="27" t="n"/>
      <c r="F135" s="26" t="n"/>
      <c r="G135" s="26" t="n"/>
      <c r="H135" s="28">
        <f>IF($A135="","",SUMIF(tblAkis[KaynakKartId],$A135,tblAkis[Tutar]))</f>
        <v/>
      </c>
      <c r="I135" s="28">
        <f>IF($A135="","",IFERROR(AVERAGEIF(tblAkis[KaynakKartId],$A135,tblAkis[GecikmeGun]),0))</f>
        <v/>
      </c>
    </row>
    <row r="136">
      <c r="A136" s="26" t="n"/>
      <c r="B136" s="26" t="n"/>
      <c r="C136" s="26" t="n"/>
      <c r="D136" s="26" t="n"/>
      <c r="E136" s="27" t="n"/>
      <c r="F136" s="26" t="n"/>
      <c r="G136" s="26" t="n"/>
      <c r="H136" s="28">
        <f>IF($A136="","",SUMIF(tblAkis[KaynakKartId],$A136,tblAkis[Tutar]))</f>
        <v/>
      </c>
      <c r="I136" s="28">
        <f>IF($A136="","",IFERROR(AVERAGEIF(tblAkis[KaynakKartId],$A136,tblAkis[GecikmeGun]),0))</f>
        <v/>
      </c>
    </row>
    <row r="137">
      <c r="A137" s="26" t="n"/>
      <c r="B137" s="26" t="n"/>
      <c r="C137" s="26" t="n"/>
      <c r="D137" s="26" t="n"/>
      <c r="E137" s="27" t="n"/>
      <c r="F137" s="26" t="n"/>
      <c r="G137" s="26" t="n"/>
      <c r="H137" s="28">
        <f>IF($A137="","",SUMIF(tblAkis[KaynakKartId],$A137,tblAkis[Tutar]))</f>
        <v/>
      </c>
      <c r="I137" s="28">
        <f>IF($A137="","",IFERROR(AVERAGEIF(tblAkis[KaynakKartId],$A137,tblAkis[GecikmeGun]),0))</f>
        <v/>
      </c>
    </row>
    <row r="138">
      <c r="A138" s="26" t="n"/>
      <c r="B138" s="26" t="n"/>
      <c r="C138" s="26" t="n"/>
      <c r="D138" s="26" t="n"/>
      <c r="E138" s="27" t="n"/>
      <c r="F138" s="26" t="n"/>
      <c r="G138" s="26" t="n"/>
      <c r="H138" s="28">
        <f>IF($A138="","",SUMIF(tblAkis[KaynakKartId],$A138,tblAkis[Tutar]))</f>
        <v/>
      </c>
      <c r="I138" s="28">
        <f>IF($A138="","",IFERROR(AVERAGEIF(tblAkis[KaynakKartId],$A138,tblAkis[GecikmeGun]),0))</f>
        <v/>
      </c>
    </row>
    <row r="139">
      <c r="A139" s="26" t="n"/>
      <c r="B139" s="26" t="n"/>
      <c r="C139" s="26" t="n"/>
      <c r="D139" s="26" t="n"/>
      <c r="E139" s="27" t="n"/>
      <c r="F139" s="26" t="n"/>
      <c r="G139" s="26" t="n"/>
      <c r="H139" s="28">
        <f>IF($A139="","",SUMIF(tblAkis[KaynakKartId],$A139,tblAkis[Tutar]))</f>
        <v/>
      </c>
      <c r="I139" s="28">
        <f>IF($A139="","",IFERROR(AVERAGEIF(tblAkis[KaynakKartId],$A139,tblAkis[GecikmeGun]),0))</f>
        <v/>
      </c>
    </row>
    <row r="140">
      <c r="A140" s="26" t="n"/>
      <c r="B140" s="26" t="n"/>
      <c r="C140" s="26" t="n"/>
      <c r="D140" s="26" t="n"/>
      <c r="E140" s="27" t="n"/>
      <c r="F140" s="26" t="n"/>
      <c r="G140" s="26" t="n"/>
      <c r="H140" s="28">
        <f>IF($A140="","",SUMIF(tblAkis[KaynakKartId],$A140,tblAkis[Tutar]))</f>
        <v/>
      </c>
      <c r="I140" s="28">
        <f>IF($A140="","",IFERROR(AVERAGEIF(tblAkis[KaynakKartId],$A140,tblAkis[GecikmeGun]),0))</f>
        <v/>
      </c>
    </row>
    <row r="141">
      <c r="A141" s="26" t="n"/>
      <c r="B141" s="26" t="n"/>
      <c r="C141" s="26" t="n"/>
      <c r="D141" s="26" t="n"/>
      <c r="E141" s="27" t="n"/>
      <c r="F141" s="26" t="n"/>
      <c r="G141" s="26" t="n"/>
      <c r="H141" s="28">
        <f>IF($A141="","",SUMIF(tblAkis[KaynakKartId],$A141,tblAkis[Tutar]))</f>
        <v/>
      </c>
      <c r="I141" s="28">
        <f>IF($A141="","",IFERROR(AVERAGEIF(tblAkis[KaynakKartId],$A141,tblAkis[GecikmeGun]),0))</f>
        <v/>
      </c>
    </row>
    <row r="142">
      <c r="A142" s="26" t="n"/>
      <c r="B142" s="26" t="n"/>
      <c r="C142" s="26" t="n"/>
      <c r="D142" s="26" t="n"/>
      <c r="E142" s="27" t="n"/>
      <c r="F142" s="26" t="n"/>
      <c r="G142" s="26" t="n"/>
      <c r="H142" s="28">
        <f>IF($A142="","",SUMIF(tblAkis[KaynakKartId],$A142,tblAkis[Tutar]))</f>
        <v/>
      </c>
      <c r="I142" s="28">
        <f>IF($A142="","",IFERROR(AVERAGEIF(tblAkis[KaynakKartId],$A142,tblAkis[GecikmeGun]),0))</f>
        <v/>
      </c>
    </row>
    <row r="143">
      <c r="A143" s="26" t="n"/>
      <c r="B143" s="26" t="n"/>
      <c r="C143" s="26" t="n"/>
      <c r="D143" s="26" t="n"/>
      <c r="E143" s="27" t="n"/>
      <c r="F143" s="26" t="n"/>
      <c r="G143" s="26" t="n"/>
      <c r="H143" s="28">
        <f>IF($A143="","",SUMIF(tblAkis[KaynakKartId],$A143,tblAkis[Tutar]))</f>
        <v/>
      </c>
      <c r="I143" s="28">
        <f>IF($A143="","",IFERROR(AVERAGEIF(tblAkis[KaynakKartId],$A143,tblAkis[GecikmeGun]),0))</f>
        <v/>
      </c>
    </row>
    <row r="144">
      <c r="A144" s="26" t="n"/>
      <c r="B144" s="26" t="n"/>
      <c r="C144" s="26" t="n"/>
      <c r="D144" s="26" t="n"/>
      <c r="E144" s="27" t="n"/>
      <c r="F144" s="26" t="n"/>
      <c r="G144" s="26" t="n"/>
      <c r="H144" s="28">
        <f>IF($A144="","",SUMIF(tblAkis[KaynakKartId],$A144,tblAkis[Tutar]))</f>
        <v/>
      </c>
      <c r="I144" s="28">
        <f>IF($A144="","",IFERROR(AVERAGEIF(tblAkis[KaynakKartId],$A144,tblAkis[GecikmeGun]),0))</f>
        <v/>
      </c>
    </row>
    <row r="145">
      <c r="A145" s="26" t="n"/>
      <c r="B145" s="26" t="n"/>
      <c r="C145" s="26" t="n"/>
      <c r="D145" s="26" t="n"/>
      <c r="E145" s="27" t="n"/>
      <c r="F145" s="26" t="n"/>
      <c r="G145" s="26" t="n"/>
      <c r="H145" s="28">
        <f>IF($A145="","",SUMIF(tblAkis[KaynakKartId],$A145,tblAkis[Tutar]))</f>
        <v/>
      </c>
      <c r="I145" s="28">
        <f>IF($A145="","",IFERROR(AVERAGEIF(tblAkis[KaynakKartId],$A145,tblAkis[GecikmeGun]),0))</f>
        <v/>
      </c>
    </row>
    <row r="146">
      <c r="A146" s="26" t="n"/>
      <c r="B146" s="26" t="n"/>
      <c r="C146" s="26" t="n"/>
      <c r="D146" s="26" t="n"/>
      <c r="E146" s="27" t="n"/>
      <c r="F146" s="26" t="n"/>
      <c r="G146" s="26" t="n"/>
      <c r="H146" s="28">
        <f>IF($A146="","",SUMIF(tblAkis[KaynakKartId],$A146,tblAkis[Tutar]))</f>
        <v/>
      </c>
      <c r="I146" s="28">
        <f>IF($A146="","",IFERROR(AVERAGEIF(tblAkis[KaynakKartId],$A146,tblAkis[GecikmeGun]),0))</f>
        <v/>
      </c>
    </row>
    <row r="147">
      <c r="A147" s="26" t="n"/>
      <c r="B147" s="26" t="n"/>
      <c r="C147" s="26" t="n"/>
      <c r="D147" s="26" t="n"/>
      <c r="E147" s="27" t="n"/>
      <c r="F147" s="26" t="n"/>
      <c r="G147" s="26" t="n"/>
      <c r="H147" s="28">
        <f>IF($A147="","",SUMIF(tblAkis[KaynakKartId],$A147,tblAkis[Tutar]))</f>
        <v/>
      </c>
      <c r="I147" s="28">
        <f>IF($A147="","",IFERROR(AVERAGEIF(tblAkis[KaynakKartId],$A147,tblAkis[GecikmeGun]),0))</f>
        <v/>
      </c>
    </row>
    <row r="148">
      <c r="A148" s="26" t="n"/>
      <c r="B148" s="26" t="n"/>
      <c r="C148" s="26" t="n"/>
      <c r="D148" s="26" t="n"/>
      <c r="E148" s="27" t="n"/>
      <c r="F148" s="26" t="n"/>
      <c r="G148" s="26" t="n"/>
      <c r="H148" s="28">
        <f>IF($A148="","",SUMIF(tblAkis[KaynakKartId],$A148,tblAkis[Tutar]))</f>
        <v/>
      </c>
      <c r="I148" s="28">
        <f>IF($A148="","",IFERROR(AVERAGEIF(tblAkis[KaynakKartId],$A148,tblAkis[GecikmeGun]),0))</f>
        <v/>
      </c>
    </row>
    <row r="149">
      <c r="A149" s="26" t="n"/>
      <c r="B149" s="26" t="n"/>
      <c r="C149" s="26" t="n"/>
      <c r="D149" s="26" t="n"/>
      <c r="E149" s="27" t="n"/>
      <c r="F149" s="26" t="n"/>
      <c r="G149" s="26" t="n"/>
      <c r="H149" s="28">
        <f>IF($A149="","",SUMIF(tblAkis[KaynakKartId],$A149,tblAkis[Tutar]))</f>
        <v/>
      </c>
      <c r="I149" s="28">
        <f>IF($A149="","",IFERROR(AVERAGEIF(tblAkis[KaynakKartId],$A149,tblAkis[GecikmeGun]),0))</f>
        <v/>
      </c>
    </row>
    <row r="150">
      <c r="A150" s="26" t="n"/>
      <c r="B150" s="26" t="n"/>
      <c r="C150" s="26" t="n"/>
      <c r="D150" s="26" t="n"/>
      <c r="E150" s="27" t="n"/>
      <c r="F150" s="26" t="n"/>
      <c r="G150" s="26" t="n"/>
      <c r="H150" s="28">
        <f>IF($A150="","",SUMIF(tblAkis[KaynakKartId],$A150,tblAkis[Tutar]))</f>
        <v/>
      </c>
      <c r="I150" s="28">
        <f>IF($A150="","",IFERROR(AVERAGEIF(tblAkis[KaynakKartId],$A150,tblAkis[GecikmeGun]),0))</f>
        <v/>
      </c>
    </row>
    <row r="151">
      <c r="A151" s="26" t="n"/>
      <c r="B151" s="26" t="n"/>
      <c r="C151" s="26" t="n"/>
      <c r="D151" s="26" t="n"/>
      <c r="E151" s="27" t="n"/>
      <c r="F151" s="26" t="n"/>
      <c r="G151" s="26" t="n"/>
      <c r="H151" s="28">
        <f>IF($A151="","",SUMIF(tblAkis[KaynakKartId],$A151,tblAkis[Tutar]))</f>
        <v/>
      </c>
      <c r="I151" s="28">
        <f>IF($A151="","",IFERROR(AVERAGEIF(tblAkis[KaynakKartId],$A151,tblAkis[GecikmeGun]),0))</f>
        <v/>
      </c>
    </row>
    <row r="152">
      <c r="A152" s="26" t="n"/>
      <c r="B152" s="26" t="n"/>
      <c r="C152" s="26" t="n"/>
      <c r="D152" s="26" t="n"/>
      <c r="E152" s="27" t="n"/>
      <c r="F152" s="26" t="n"/>
      <c r="G152" s="26" t="n"/>
      <c r="H152" s="28">
        <f>IF($A152="","",SUMIF(tblAkis[KaynakKartId],$A152,tblAkis[Tutar]))</f>
        <v/>
      </c>
      <c r="I152" s="28">
        <f>IF($A152="","",IFERROR(AVERAGEIF(tblAkis[KaynakKartId],$A152,tblAkis[GecikmeGun]),0))</f>
        <v/>
      </c>
    </row>
    <row r="153">
      <c r="A153" s="26" t="n"/>
      <c r="B153" s="26" t="n"/>
      <c r="C153" s="26" t="n"/>
      <c r="D153" s="26" t="n"/>
      <c r="E153" s="27" t="n"/>
      <c r="F153" s="26" t="n"/>
      <c r="G153" s="26" t="n"/>
      <c r="H153" s="28">
        <f>IF($A153="","",SUMIF(tblAkis[KaynakKartId],$A153,tblAkis[Tutar]))</f>
        <v/>
      </c>
      <c r="I153" s="28">
        <f>IF($A153="","",IFERROR(AVERAGEIF(tblAkis[KaynakKartId],$A153,tblAkis[GecikmeGun]),0))</f>
        <v/>
      </c>
    </row>
    <row r="154">
      <c r="A154" s="26" t="n"/>
      <c r="B154" s="26" t="n"/>
      <c r="C154" s="26" t="n"/>
      <c r="D154" s="26" t="n"/>
      <c r="E154" s="27" t="n"/>
      <c r="F154" s="26" t="n"/>
      <c r="G154" s="26" t="n"/>
      <c r="H154" s="28">
        <f>IF($A154="","",SUMIF(tblAkis[KaynakKartId],$A154,tblAkis[Tutar]))</f>
        <v/>
      </c>
      <c r="I154" s="28">
        <f>IF($A154="","",IFERROR(AVERAGEIF(tblAkis[KaynakKartId],$A154,tblAkis[GecikmeGun]),0))</f>
        <v/>
      </c>
    </row>
    <row r="155">
      <c r="A155" s="26" t="n"/>
      <c r="B155" s="26" t="n"/>
      <c r="C155" s="26" t="n"/>
      <c r="D155" s="26" t="n"/>
      <c r="E155" s="27" t="n"/>
      <c r="F155" s="26" t="n"/>
      <c r="G155" s="26" t="n"/>
      <c r="H155" s="28">
        <f>IF($A155="","",SUMIF(tblAkis[KaynakKartId],$A155,tblAkis[Tutar]))</f>
        <v/>
      </c>
      <c r="I155" s="28">
        <f>IF($A155="","",IFERROR(AVERAGEIF(tblAkis[KaynakKartId],$A155,tblAkis[GecikmeGun]),0))</f>
        <v/>
      </c>
    </row>
    <row r="156">
      <c r="A156" s="26" t="n"/>
      <c r="B156" s="26" t="n"/>
      <c r="C156" s="26" t="n"/>
      <c r="D156" s="26" t="n"/>
      <c r="E156" s="27" t="n"/>
      <c r="F156" s="26" t="n"/>
      <c r="G156" s="26" t="n"/>
      <c r="H156" s="28">
        <f>IF($A156="","",SUMIF(tblAkis[KaynakKartId],$A156,tblAkis[Tutar]))</f>
        <v/>
      </c>
      <c r="I156" s="28">
        <f>IF($A156="","",IFERROR(AVERAGEIF(tblAkis[KaynakKartId],$A156,tblAkis[GecikmeGun]),0))</f>
        <v/>
      </c>
    </row>
    <row r="157">
      <c r="A157" s="26" t="n"/>
      <c r="B157" s="26" t="n"/>
      <c r="C157" s="26" t="n"/>
      <c r="D157" s="26" t="n"/>
      <c r="E157" s="27" t="n"/>
      <c r="F157" s="26" t="n"/>
      <c r="G157" s="26" t="n"/>
      <c r="H157" s="28">
        <f>IF($A157="","",SUMIF(tblAkis[KaynakKartId],$A157,tblAkis[Tutar]))</f>
        <v/>
      </c>
      <c r="I157" s="28">
        <f>IF($A157="","",IFERROR(AVERAGEIF(tblAkis[KaynakKartId],$A157,tblAkis[GecikmeGun]),0))</f>
        <v/>
      </c>
    </row>
    <row r="158">
      <c r="A158" s="26" t="n"/>
      <c r="B158" s="26" t="n"/>
      <c r="C158" s="26" t="n"/>
      <c r="D158" s="26" t="n"/>
      <c r="E158" s="27" t="n"/>
      <c r="F158" s="26" t="n"/>
      <c r="G158" s="26" t="n"/>
      <c r="H158" s="28">
        <f>IF($A158="","",SUMIF(tblAkis[KaynakKartId],$A158,tblAkis[Tutar]))</f>
        <v/>
      </c>
      <c r="I158" s="28">
        <f>IF($A158="","",IFERROR(AVERAGEIF(tblAkis[KaynakKartId],$A158,tblAkis[GecikmeGun]),0))</f>
        <v/>
      </c>
    </row>
    <row r="159">
      <c r="A159" s="26" t="n"/>
      <c r="B159" s="26" t="n"/>
      <c r="C159" s="26" t="n"/>
      <c r="D159" s="26" t="n"/>
      <c r="E159" s="27" t="n"/>
      <c r="F159" s="26" t="n"/>
      <c r="G159" s="26" t="n"/>
      <c r="H159" s="28">
        <f>IF($A159="","",SUMIF(tblAkis[KaynakKartId],$A159,tblAkis[Tutar]))</f>
        <v/>
      </c>
      <c r="I159" s="28">
        <f>IF($A159="","",IFERROR(AVERAGEIF(tblAkis[KaynakKartId],$A159,tblAkis[GecikmeGun]),0))</f>
        <v/>
      </c>
    </row>
    <row r="160">
      <c r="A160" s="26" t="n"/>
      <c r="B160" s="26" t="n"/>
      <c r="C160" s="26" t="n"/>
      <c r="D160" s="26" t="n"/>
      <c r="E160" s="27" t="n"/>
      <c r="F160" s="26" t="n"/>
      <c r="G160" s="26" t="n"/>
      <c r="H160" s="28">
        <f>IF($A160="","",SUMIF(tblAkis[KaynakKartId],$A160,tblAkis[Tutar]))</f>
        <v/>
      </c>
      <c r="I160" s="28">
        <f>IF($A160="","",IFERROR(AVERAGEIF(tblAkis[KaynakKartId],$A160,tblAkis[GecikmeGun]),0))</f>
        <v/>
      </c>
    </row>
    <row r="161">
      <c r="A161" s="26" t="n"/>
      <c r="B161" s="26" t="n"/>
      <c r="C161" s="26" t="n"/>
      <c r="D161" s="26" t="n"/>
      <c r="E161" s="27" t="n"/>
      <c r="F161" s="26" t="n"/>
      <c r="G161" s="26" t="n"/>
      <c r="H161" s="28">
        <f>IF($A161="","",SUMIF(tblAkis[KaynakKartId],$A161,tblAkis[Tutar]))</f>
        <v/>
      </c>
      <c r="I161" s="28">
        <f>IF($A161="","",IFERROR(AVERAGEIF(tblAkis[KaynakKartId],$A161,tblAkis[GecikmeGun]),0))</f>
        <v/>
      </c>
    </row>
    <row r="162">
      <c r="A162" s="26" t="n"/>
      <c r="B162" s="26" t="n"/>
      <c r="C162" s="26" t="n"/>
      <c r="D162" s="26" t="n"/>
      <c r="E162" s="27" t="n"/>
      <c r="F162" s="26" t="n"/>
      <c r="G162" s="26" t="n"/>
      <c r="H162" s="28">
        <f>IF($A162="","",SUMIF(tblAkis[KaynakKartId],$A162,tblAkis[Tutar]))</f>
        <v/>
      </c>
      <c r="I162" s="28">
        <f>IF($A162="","",IFERROR(AVERAGEIF(tblAkis[KaynakKartId],$A162,tblAkis[GecikmeGun]),0))</f>
        <v/>
      </c>
    </row>
    <row r="163">
      <c r="A163" s="26" t="n"/>
      <c r="B163" s="26" t="n"/>
      <c r="C163" s="26" t="n"/>
      <c r="D163" s="26" t="n"/>
      <c r="E163" s="27" t="n"/>
      <c r="F163" s="26" t="n"/>
      <c r="G163" s="26" t="n"/>
      <c r="H163" s="28">
        <f>IF($A163="","",SUMIF(tblAkis[KaynakKartId],$A163,tblAkis[Tutar]))</f>
        <v/>
      </c>
      <c r="I163" s="28">
        <f>IF($A163="","",IFERROR(AVERAGEIF(tblAkis[KaynakKartId],$A163,tblAkis[GecikmeGun]),0))</f>
        <v/>
      </c>
    </row>
    <row r="164">
      <c r="A164" s="26" t="n"/>
      <c r="B164" s="26" t="n"/>
      <c r="C164" s="26" t="n"/>
      <c r="D164" s="26" t="n"/>
      <c r="E164" s="27" t="n"/>
      <c r="F164" s="26" t="n"/>
      <c r="G164" s="26" t="n"/>
      <c r="H164" s="28">
        <f>IF($A164="","",SUMIF(tblAkis[KaynakKartId],$A164,tblAkis[Tutar]))</f>
        <v/>
      </c>
      <c r="I164" s="28">
        <f>IF($A164="","",IFERROR(AVERAGEIF(tblAkis[KaynakKartId],$A164,tblAkis[GecikmeGun]),0))</f>
        <v/>
      </c>
    </row>
    <row r="165">
      <c r="A165" s="26" t="n"/>
      <c r="B165" s="26" t="n"/>
      <c r="C165" s="26" t="n"/>
      <c r="D165" s="26" t="n"/>
      <c r="E165" s="27" t="n"/>
      <c r="F165" s="26" t="n"/>
      <c r="G165" s="26" t="n"/>
      <c r="H165" s="28">
        <f>IF($A165="","",SUMIF(tblAkis[KaynakKartId],$A165,tblAkis[Tutar]))</f>
        <v/>
      </c>
      <c r="I165" s="28">
        <f>IF($A165="","",IFERROR(AVERAGEIF(tblAkis[KaynakKartId],$A165,tblAkis[GecikmeGun]),0))</f>
        <v/>
      </c>
    </row>
    <row r="166">
      <c r="A166" s="26" t="n"/>
      <c r="B166" s="26" t="n"/>
      <c r="C166" s="26" t="n"/>
      <c r="D166" s="26" t="n"/>
      <c r="E166" s="27" t="n"/>
      <c r="F166" s="26" t="n"/>
      <c r="G166" s="26" t="n"/>
      <c r="H166" s="28">
        <f>IF($A166="","",SUMIF(tblAkis[KaynakKartId],$A166,tblAkis[Tutar]))</f>
        <v/>
      </c>
      <c r="I166" s="28">
        <f>IF($A166="","",IFERROR(AVERAGEIF(tblAkis[KaynakKartId],$A166,tblAkis[GecikmeGun]),0))</f>
        <v/>
      </c>
    </row>
    <row r="167">
      <c r="A167" s="26" t="n"/>
      <c r="B167" s="26" t="n"/>
      <c r="C167" s="26" t="n"/>
      <c r="D167" s="26" t="n"/>
      <c r="E167" s="27" t="n"/>
      <c r="F167" s="26" t="n"/>
      <c r="G167" s="26" t="n"/>
      <c r="H167" s="28">
        <f>IF($A167="","",SUMIF(tblAkis[KaynakKartId],$A167,tblAkis[Tutar]))</f>
        <v/>
      </c>
      <c r="I167" s="28">
        <f>IF($A167="","",IFERROR(AVERAGEIF(tblAkis[KaynakKartId],$A167,tblAkis[GecikmeGun]),0))</f>
        <v/>
      </c>
    </row>
    <row r="168">
      <c r="A168" s="26" t="n"/>
      <c r="B168" s="26" t="n"/>
      <c r="C168" s="26" t="n"/>
      <c r="D168" s="26" t="n"/>
      <c r="E168" s="27" t="n"/>
      <c r="F168" s="26" t="n"/>
      <c r="G168" s="26" t="n"/>
      <c r="H168" s="28">
        <f>IF($A168="","",SUMIF(tblAkis[KaynakKartId],$A168,tblAkis[Tutar]))</f>
        <v/>
      </c>
      <c r="I168" s="28">
        <f>IF($A168="","",IFERROR(AVERAGEIF(tblAkis[KaynakKartId],$A168,tblAkis[GecikmeGun]),0))</f>
        <v/>
      </c>
    </row>
    <row r="169">
      <c r="A169" s="26" t="n"/>
      <c r="B169" s="26" t="n"/>
      <c r="C169" s="26" t="n"/>
      <c r="D169" s="26" t="n"/>
      <c r="E169" s="27" t="n"/>
      <c r="F169" s="26" t="n"/>
      <c r="G169" s="26" t="n"/>
      <c r="H169" s="28">
        <f>IF($A169="","",SUMIF(tblAkis[KaynakKartId],$A169,tblAkis[Tutar]))</f>
        <v/>
      </c>
      <c r="I169" s="28">
        <f>IF($A169="","",IFERROR(AVERAGEIF(tblAkis[KaynakKartId],$A169,tblAkis[GecikmeGun]),0))</f>
        <v/>
      </c>
    </row>
    <row r="170">
      <c r="A170" s="26" t="n"/>
      <c r="B170" s="26" t="n"/>
      <c r="C170" s="26" t="n"/>
      <c r="D170" s="26" t="n"/>
      <c r="E170" s="27" t="n"/>
      <c r="F170" s="26" t="n"/>
      <c r="G170" s="26" t="n"/>
      <c r="H170" s="28">
        <f>IF($A170="","",SUMIF(tblAkis[KaynakKartId],$A170,tblAkis[Tutar]))</f>
        <v/>
      </c>
      <c r="I170" s="28">
        <f>IF($A170="","",IFERROR(AVERAGEIF(tblAkis[KaynakKartId],$A170,tblAkis[GecikmeGun]),0))</f>
        <v/>
      </c>
    </row>
    <row r="171">
      <c r="A171" s="26" t="n"/>
      <c r="B171" s="26" t="n"/>
      <c r="C171" s="26" t="n"/>
      <c r="D171" s="26" t="n"/>
      <c r="E171" s="27" t="n"/>
      <c r="F171" s="26" t="n"/>
      <c r="G171" s="26" t="n"/>
      <c r="H171" s="28">
        <f>IF($A171="","",SUMIF(tblAkis[KaynakKartId],$A171,tblAkis[Tutar]))</f>
        <v/>
      </c>
      <c r="I171" s="28">
        <f>IF($A171="","",IFERROR(AVERAGEIF(tblAkis[KaynakKartId],$A171,tblAkis[GecikmeGun]),0))</f>
        <v/>
      </c>
    </row>
    <row r="172">
      <c r="A172" s="26" t="n"/>
      <c r="B172" s="26" t="n"/>
      <c r="C172" s="26" t="n"/>
      <c r="D172" s="26" t="n"/>
      <c r="E172" s="27" t="n"/>
      <c r="F172" s="26" t="n"/>
      <c r="G172" s="26" t="n"/>
      <c r="H172" s="28">
        <f>IF($A172="","",SUMIF(tblAkis[KaynakKartId],$A172,tblAkis[Tutar]))</f>
        <v/>
      </c>
      <c r="I172" s="28">
        <f>IF($A172="","",IFERROR(AVERAGEIF(tblAkis[KaynakKartId],$A172,tblAkis[GecikmeGun]),0))</f>
        <v/>
      </c>
    </row>
    <row r="173">
      <c r="A173" s="26" t="n"/>
      <c r="B173" s="26" t="n"/>
      <c r="C173" s="26" t="n"/>
      <c r="D173" s="26" t="n"/>
      <c r="E173" s="27" t="n"/>
      <c r="F173" s="26" t="n"/>
      <c r="G173" s="26" t="n"/>
      <c r="H173" s="28">
        <f>IF($A173="","",SUMIF(tblAkis[KaynakKartId],$A173,tblAkis[Tutar]))</f>
        <v/>
      </c>
      <c r="I173" s="28">
        <f>IF($A173="","",IFERROR(AVERAGEIF(tblAkis[KaynakKartId],$A173,tblAkis[GecikmeGun]),0))</f>
        <v/>
      </c>
    </row>
    <row r="174">
      <c r="A174" s="26" t="n"/>
      <c r="B174" s="26" t="n"/>
      <c r="C174" s="26" t="n"/>
      <c r="D174" s="26" t="n"/>
      <c r="E174" s="27" t="n"/>
      <c r="F174" s="26" t="n"/>
      <c r="G174" s="26" t="n"/>
      <c r="H174" s="28">
        <f>IF($A174="","",SUMIF(tblAkis[KaynakKartId],$A174,tblAkis[Tutar]))</f>
        <v/>
      </c>
      <c r="I174" s="28">
        <f>IF($A174="","",IFERROR(AVERAGEIF(tblAkis[KaynakKartId],$A174,tblAkis[GecikmeGun]),0))</f>
        <v/>
      </c>
    </row>
    <row r="175">
      <c r="A175" s="26" t="n"/>
      <c r="B175" s="26" t="n"/>
      <c r="C175" s="26" t="n"/>
      <c r="D175" s="26" t="n"/>
      <c r="E175" s="27" t="n"/>
      <c r="F175" s="26" t="n"/>
      <c r="G175" s="26" t="n"/>
      <c r="H175" s="28">
        <f>IF($A175="","",SUMIF(tblAkis[KaynakKartId],$A175,tblAkis[Tutar]))</f>
        <v/>
      </c>
      <c r="I175" s="28">
        <f>IF($A175="","",IFERROR(AVERAGEIF(tblAkis[KaynakKartId],$A175,tblAkis[GecikmeGun]),0))</f>
        <v/>
      </c>
    </row>
    <row r="176">
      <c r="A176" s="26" t="n"/>
      <c r="B176" s="26" t="n"/>
      <c r="C176" s="26" t="n"/>
      <c r="D176" s="26" t="n"/>
      <c r="E176" s="27" t="n"/>
      <c r="F176" s="26" t="n"/>
      <c r="G176" s="26" t="n"/>
      <c r="H176" s="28">
        <f>IF($A176="","",SUMIF(tblAkis[KaynakKartId],$A176,tblAkis[Tutar]))</f>
        <v/>
      </c>
      <c r="I176" s="28">
        <f>IF($A176="","",IFERROR(AVERAGEIF(tblAkis[KaynakKartId],$A176,tblAkis[GecikmeGun]),0))</f>
        <v/>
      </c>
    </row>
    <row r="177">
      <c r="A177" s="26" t="n"/>
      <c r="B177" s="26" t="n"/>
      <c r="C177" s="26" t="n"/>
      <c r="D177" s="26" t="n"/>
      <c r="E177" s="27" t="n"/>
      <c r="F177" s="26" t="n"/>
      <c r="G177" s="26" t="n"/>
      <c r="H177" s="28">
        <f>IF($A177="","",SUMIF(tblAkis[KaynakKartId],$A177,tblAkis[Tutar]))</f>
        <v/>
      </c>
      <c r="I177" s="28">
        <f>IF($A177="","",IFERROR(AVERAGEIF(tblAkis[KaynakKartId],$A177,tblAkis[GecikmeGun]),0))</f>
        <v/>
      </c>
    </row>
    <row r="178">
      <c r="A178" s="26" t="n"/>
      <c r="B178" s="26" t="n"/>
      <c r="C178" s="26" t="n"/>
      <c r="D178" s="26" t="n"/>
      <c r="E178" s="27" t="n"/>
      <c r="F178" s="26" t="n"/>
      <c r="G178" s="26" t="n"/>
      <c r="H178" s="28">
        <f>IF($A178="","",SUMIF(tblAkis[KaynakKartId],$A178,tblAkis[Tutar]))</f>
        <v/>
      </c>
      <c r="I178" s="28">
        <f>IF($A178="","",IFERROR(AVERAGEIF(tblAkis[KaynakKartId],$A178,tblAkis[GecikmeGun]),0))</f>
        <v/>
      </c>
    </row>
    <row r="179">
      <c r="A179" s="26" t="n"/>
      <c r="B179" s="26" t="n"/>
      <c r="C179" s="26" t="n"/>
      <c r="D179" s="26" t="n"/>
      <c r="E179" s="27" t="n"/>
      <c r="F179" s="26" t="n"/>
      <c r="G179" s="26" t="n"/>
      <c r="H179" s="28">
        <f>IF($A179="","",SUMIF(tblAkis[KaynakKartId],$A179,tblAkis[Tutar]))</f>
        <v/>
      </c>
      <c r="I179" s="28">
        <f>IF($A179="","",IFERROR(AVERAGEIF(tblAkis[KaynakKartId],$A179,tblAkis[GecikmeGun]),0))</f>
        <v/>
      </c>
    </row>
    <row r="180">
      <c r="A180" s="26" t="n"/>
      <c r="B180" s="26" t="n"/>
      <c r="C180" s="26" t="n"/>
      <c r="D180" s="26" t="n"/>
      <c r="E180" s="27" t="n"/>
      <c r="F180" s="26" t="n"/>
      <c r="G180" s="26" t="n"/>
      <c r="H180" s="28">
        <f>IF($A180="","",SUMIF(tblAkis[KaynakKartId],$A180,tblAkis[Tutar]))</f>
        <v/>
      </c>
      <c r="I180" s="28">
        <f>IF($A180="","",IFERROR(AVERAGEIF(tblAkis[KaynakKartId],$A180,tblAkis[GecikmeGun]),0))</f>
        <v/>
      </c>
    </row>
    <row r="181">
      <c r="A181" s="26" t="n"/>
      <c r="B181" s="26" t="n"/>
      <c r="C181" s="26" t="n"/>
      <c r="D181" s="26" t="n"/>
      <c r="E181" s="27" t="n"/>
      <c r="F181" s="26" t="n"/>
      <c r="G181" s="26" t="n"/>
      <c r="H181" s="28">
        <f>IF($A181="","",SUMIF(tblAkis[KaynakKartId],$A181,tblAkis[Tutar]))</f>
        <v/>
      </c>
      <c r="I181" s="28">
        <f>IF($A181="","",IFERROR(AVERAGEIF(tblAkis[KaynakKartId],$A181,tblAkis[GecikmeGun]),0))</f>
        <v/>
      </c>
    </row>
    <row r="182">
      <c r="A182" s="26" t="n"/>
      <c r="B182" s="26" t="n"/>
      <c r="C182" s="26" t="n"/>
      <c r="D182" s="26" t="n"/>
      <c r="E182" s="27" t="n"/>
      <c r="F182" s="26" t="n"/>
      <c r="G182" s="26" t="n"/>
      <c r="H182" s="28">
        <f>IF($A182="","",SUMIF(tblAkis[KaynakKartId],$A182,tblAkis[Tutar]))</f>
        <v/>
      </c>
      <c r="I182" s="28">
        <f>IF($A182="","",IFERROR(AVERAGEIF(tblAkis[KaynakKartId],$A182,tblAkis[GecikmeGun]),0))</f>
        <v/>
      </c>
    </row>
    <row r="183">
      <c r="A183" s="26" t="n"/>
      <c r="B183" s="26" t="n"/>
      <c r="C183" s="26" t="n"/>
      <c r="D183" s="26" t="n"/>
      <c r="E183" s="27" t="n"/>
      <c r="F183" s="26" t="n"/>
      <c r="G183" s="26" t="n"/>
      <c r="H183" s="28">
        <f>IF($A183="","",SUMIF(tblAkis[KaynakKartId],$A183,tblAkis[Tutar]))</f>
        <v/>
      </c>
      <c r="I183" s="28">
        <f>IF($A183="","",IFERROR(AVERAGEIF(tblAkis[KaynakKartId],$A183,tblAkis[GecikmeGun]),0))</f>
        <v/>
      </c>
    </row>
    <row r="184">
      <c r="A184" s="26" t="n"/>
      <c r="B184" s="26" t="n"/>
      <c r="C184" s="26" t="n"/>
      <c r="D184" s="26" t="n"/>
      <c r="E184" s="27" t="n"/>
      <c r="F184" s="26" t="n"/>
      <c r="G184" s="26" t="n"/>
      <c r="H184" s="28">
        <f>IF($A184="","",SUMIF(tblAkis[KaynakKartId],$A184,tblAkis[Tutar]))</f>
        <v/>
      </c>
      <c r="I184" s="28">
        <f>IF($A184="","",IFERROR(AVERAGEIF(tblAkis[KaynakKartId],$A184,tblAkis[GecikmeGun]),0))</f>
        <v/>
      </c>
    </row>
    <row r="185">
      <c r="A185" s="26" t="n"/>
      <c r="B185" s="26" t="n"/>
      <c r="C185" s="26" t="n"/>
      <c r="D185" s="26" t="n"/>
      <c r="E185" s="27" t="n"/>
      <c r="F185" s="26" t="n"/>
      <c r="G185" s="26" t="n"/>
      <c r="H185" s="28">
        <f>IF($A185="","",SUMIF(tblAkis[KaynakKartId],$A185,tblAkis[Tutar]))</f>
        <v/>
      </c>
      <c r="I185" s="28">
        <f>IF($A185="","",IFERROR(AVERAGEIF(tblAkis[KaynakKartId],$A185,tblAkis[GecikmeGun]),0))</f>
        <v/>
      </c>
    </row>
    <row r="186">
      <c r="A186" s="26" t="n"/>
      <c r="B186" s="26" t="n"/>
      <c r="C186" s="26" t="n"/>
      <c r="D186" s="26" t="n"/>
      <c r="E186" s="27" t="n"/>
      <c r="F186" s="26" t="n"/>
      <c r="G186" s="26" t="n"/>
      <c r="H186" s="28">
        <f>IF($A186="","",SUMIF(tblAkis[KaynakKartId],$A186,tblAkis[Tutar]))</f>
        <v/>
      </c>
      <c r="I186" s="28">
        <f>IF($A186="","",IFERROR(AVERAGEIF(tblAkis[KaynakKartId],$A186,tblAkis[GecikmeGun]),0))</f>
        <v/>
      </c>
    </row>
    <row r="187">
      <c r="A187" s="26" t="n"/>
      <c r="B187" s="26" t="n"/>
      <c r="C187" s="26" t="n"/>
      <c r="D187" s="26" t="n"/>
      <c r="E187" s="27" t="n"/>
      <c r="F187" s="26" t="n"/>
      <c r="G187" s="26" t="n"/>
      <c r="H187" s="28">
        <f>IF($A187="","",SUMIF(tblAkis[KaynakKartId],$A187,tblAkis[Tutar]))</f>
        <v/>
      </c>
      <c r="I187" s="28">
        <f>IF($A187="","",IFERROR(AVERAGEIF(tblAkis[KaynakKartId],$A187,tblAkis[GecikmeGun]),0))</f>
        <v/>
      </c>
    </row>
    <row r="188">
      <c r="A188" s="26" t="n"/>
      <c r="B188" s="26" t="n"/>
      <c r="C188" s="26" t="n"/>
      <c r="D188" s="26" t="n"/>
      <c r="E188" s="27" t="n"/>
      <c r="F188" s="26" t="n"/>
      <c r="G188" s="26" t="n"/>
      <c r="H188" s="28">
        <f>IF($A188="","",SUMIF(tblAkis[KaynakKartId],$A188,tblAkis[Tutar]))</f>
        <v/>
      </c>
      <c r="I188" s="28">
        <f>IF($A188="","",IFERROR(AVERAGEIF(tblAkis[KaynakKartId],$A188,tblAkis[GecikmeGun]),0))</f>
        <v/>
      </c>
    </row>
    <row r="189">
      <c r="A189" s="26" t="n"/>
      <c r="B189" s="26" t="n"/>
      <c r="C189" s="26" t="n"/>
      <c r="D189" s="26" t="n"/>
      <c r="E189" s="27" t="n"/>
      <c r="F189" s="26" t="n"/>
      <c r="G189" s="26" t="n"/>
      <c r="H189" s="28">
        <f>IF($A189="","",SUMIF(tblAkis[KaynakKartId],$A189,tblAkis[Tutar]))</f>
        <v/>
      </c>
      <c r="I189" s="28">
        <f>IF($A189="","",IFERROR(AVERAGEIF(tblAkis[KaynakKartId],$A189,tblAkis[GecikmeGun]),0))</f>
        <v/>
      </c>
    </row>
    <row r="190">
      <c r="A190" s="26" t="n"/>
      <c r="B190" s="26" t="n"/>
      <c r="C190" s="26" t="n"/>
      <c r="D190" s="26" t="n"/>
      <c r="E190" s="27" t="n"/>
      <c r="F190" s="26" t="n"/>
      <c r="G190" s="26" t="n"/>
      <c r="H190" s="28">
        <f>IF($A190="","",SUMIF(tblAkis[KaynakKartId],$A190,tblAkis[Tutar]))</f>
        <v/>
      </c>
      <c r="I190" s="28">
        <f>IF($A190="","",IFERROR(AVERAGEIF(tblAkis[KaynakKartId],$A190,tblAkis[GecikmeGun]),0))</f>
        <v/>
      </c>
    </row>
    <row r="191">
      <c r="A191" s="26" t="n"/>
      <c r="B191" s="26" t="n"/>
      <c r="C191" s="26" t="n"/>
      <c r="D191" s="26" t="n"/>
      <c r="E191" s="27" t="n"/>
      <c r="F191" s="26" t="n"/>
      <c r="G191" s="26" t="n"/>
      <c r="H191" s="28">
        <f>IF($A191="","",SUMIF(tblAkis[KaynakKartId],$A191,tblAkis[Tutar]))</f>
        <v/>
      </c>
      <c r="I191" s="28">
        <f>IF($A191="","",IFERROR(AVERAGEIF(tblAkis[KaynakKartId],$A191,tblAkis[GecikmeGun]),0))</f>
        <v/>
      </c>
    </row>
    <row r="192">
      <c r="A192" s="26" t="n"/>
      <c r="B192" s="26" t="n"/>
      <c r="C192" s="26" t="n"/>
      <c r="D192" s="26" t="n"/>
      <c r="E192" s="27" t="n"/>
      <c r="F192" s="26" t="n"/>
      <c r="G192" s="26" t="n"/>
      <c r="H192" s="28">
        <f>IF($A192="","",SUMIF(tblAkis[KaynakKartId],$A192,tblAkis[Tutar]))</f>
        <v/>
      </c>
      <c r="I192" s="28">
        <f>IF($A192="","",IFERROR(AVERAGEIF(tblAkis[KaynakKartId],$A192,tblAkis[GecikmeGun]),0))</f>
        <v/>
      </c>
    </row>
    <row r="193">
      <c r="A193" s="26" t="n"/>
      <c r="B193" s="26" t="n"/>
      <c r="C193" s="26" t="n"/>
      <c r="D193" s="26" t="n"/>
      <c r="E193" s="27" t="n"/>
      <c r="F193" s="26" t="n"/>
      <c r="G193" s="26" t="n"/>
      <c r="H193" s="28">
        <f>IF($A193="","",SUMIF(tblAkis[KaynakKartId],$A193,tblAkis[Tutar]))</f>
        <v/>
      </c>
      <c r="I193" s="28">
        <f>IF($A193="","",IFERROR(AVERAGEIF(tblAkis[KaynakKartId],$A193,tblAkis[GecikmeGun]),0))</f>
        <v/>
      </c>
    </row>
    <row r="194">
      <c r="A194" s="26" t="n"/>
      <c r="B194" s="26" t="n"/>
      <c r="C194" s="26" t="n"/>
      <c r="D194" s="26" t="n"/>
      <c r="E194" s="27" t="n"/>
      <c r="F194" s="26" t="n"/>
      <c r="G194" s="26" t="n"/>
      <c r="H194" s="28">
        <f>IF($A194="","",SUMIF(tblAkis[KaynakKartId],$A194,tblAkis[Tutar]))</f>
        <v/>
      </c>
      <c r="I194" s="28">
        <f>IF($A194="","",IFERROR(AVERAGEIF(tblAkis[KaynakKartId],$A194,tblAkis[GecikmeGun]),0))</f>
        <v/>
      </c>
    </row>
    <row r="195">
      <c r="A195" s="26" t="n"/>
      <c r="B195" s="26" t="n"/>
      <c r="C195" s="26" t="n"/>
      <c r="D195" s="26" t="n"/>
      <c r="E195" s="27" t="n"/>
      <c r="F195" s="26" t="n"/>
      <c r="G195" s="26" t="n"/>
      <c r="H195" s="28">
        <f>IF($A195="","",SUMIF(tblAkis[KaynakKartId],$A195,tblAkis[Tutar]))</f>
        <v/>
      </c>
      <c r="I195" s="28">
        <f>IF($A195="","",IFERROR(AVERAGEIF(tblAkis[KaynakKartId],$A195,tblAkis[GecikmeGun]),0))</f>
        <v/>
      </c>
    </row>
    <row r="196">
      <c r="A196" s="26" t="n"/>
      <c r="B196" s="26" t="n"/>
      <c r="C196" s="26" t="n"/>
      <c r="D196" s="26" t="n"/>
      <c r="E196" s="27" t="n"/>
      <c r="F196" s="26" t="n"/>
      <c r="G196" s="26" t="n"/>
      <c r="H196" s="28">
        <f>IF($A196="","",SUMIF(tblAkis[KaynakKartId],$A196,tblAkis[Tutar]))</f>
        <v/>
      </c>
      <c r="I196" s="28">
        <f>IF($A196="","",IFERROR(AVERAGEIF(tblAkis[KaynakKartId],$A196,tblAkis[GecikmeGun]),0))</f>
        <v/>
      </c>
    </row>
    <row r="197">
      <c r="A197" s="26" t="n"/>
      <c r="B197" s="26" t="n"/>
      <c r="C197" s="26" t="n"/>
      <c r="D197" s="26" t="n"/>
      <c r="E197" s="27" t="n"/>
      <c r="F197" s="26" t="n"/>
      <c r="G197" s="26" t="n"/>
      <c r="H197" s="28">
        <f>IF($A197="","",SUMIF(tblAkis[KaynakKartId],$A197,tblAkis[Tutar]))</f>
        <v/>
      </c>
      <c r="I197" s="28">
        <f>IF($A197="","",IFERROR(AVERAGEIF(tblAkis[KaynakKartId],$A197,tblAkis[GecikmeGun]),0))</f>
        <v/>
      </c>
    </row>
    <row r="198">
      <c r="A198" s="26" t="n"/>
      <c r="B198" s="26" t="n"/>
      <c r="C198" s="26" t="n"/>
      <c r="D198" s="26" t="n"/>
      <c r="E198" s="27" t="n"/>
      <c r="F198" s="26" t="n"/>
      <c r="G198" s="26" t="n"/>
      <c r="H198" s="28">
        <f>IF($A198="","",SUMIF(tblAkis[KaynakKartId],$A198,tblAkis[Tutar]))</f>
        <v/>
      </c>
      <c r="I198" s="28">
        <f>IF($A198="","",IFERROR(AVERAGEIF(tblAkis[KaynakKartId],$A198,tblAkis[GecikmeGun]),0))</f>
        <v/>
      </c>
    </row>
    <row r="199">
      <c r="A199" s="26" t="n"/>
      <c r="B199" s="26" t="n"/>
      <c r="C199" s="26" t="n"/>
      <c r="D199" s="26" t="n"/>
      <c r="E199" s="27" t="n"/>
      <c r="F199" s="26" t="n"/>
      <c r="G199" s="26" t="n"/>
      <c r="H199" s="28">
        <f>IF($A199="","",SUMIF(tblAkis[KaynakKartId],$A199,tblAkis[Tutar]))</f>
        <v/>
      </c>
      <c r="I199" s="28">
        <f>IF($A199="","",IFERROR(AVERAGEIF(tblAkis[KaynakKartId],$A199,tblAkis[GecikmeGun]),0))</f>
        <v/>
      </c>
    </row>
    <row r="200">
      <c r="A200" s="26" t="n"/>
      <c r="B200" s="26" t="n"/>
      <c r="C200" s="26" t="n"/>
      <c r="D200" s="26" t="n"/>
      <c r="E200" s="27" t="n"/>
      <c r="F200" s="26" t="n"/>
      <c r="G200" s="26" t="n"/>
      <c r="H200" s="28">
        <f>IF($A200="","",SUMIF(tblAkis[KaynakKartId],$A200,tblAkis[Tutar]))</f>
        <v/>
      </c>
      <c r="I200" s="28">
        <f>IF($A200="","",IFERROR(AVERAGEIF(tblAkis[KaynakKartId],$A200,tblAkis[GecikmeGun]),0))</f>
        <v/>
      </c>
    </row>
    <row r="201">
      <c r="A201" s="26" t="n"/>
      <c r="B201" s="26" t="n"/>
      <c r="C201" s="26" t="n"/>
      <c r="D201" s="26" t="n"/>
      <c r="E201" s="27" t="n"/>
      <c r="F201" s="26" t="n"/>
      <c r="G201" s="26" t="n"/>
      <c r="H201" s="28">
        <f>IF($A201="","",SUMIF(tblAkis[KaynakKartId],$A201,tblAkis[Tutar]))</f>
        <v/>
      </c>
      <c r="I201" s="28">
        <f>IF($A201="","",IFERROR(AVERAGEIF(tblAkis[KaynakKartId],$A201,tblAkis[GecikmeGun]),0))</f>
        <v/>
      </c>
    </row>
    <row r="202">
      <c r="A202" s="26" t="n"/>
      <c r="B202" s="26" t="n"/>
      <c r="C202" s="26" t="n"/>
      <c r="D202" s="26" t="n"/>
      <c r="E202" s="27" t="n"/>
      <c r="F202" s="26" t="n"/>
      <c r="G202" s="26" t="n"/>
      <c r="H202" s="28">
        <f>IF($A202="","",SUMIF(tblAkis[KaynakKartId],$A202,tblAkis[Tutar]))</f>
        <v/>
      </c>
      <c r="I202" s="28">
        <f>IF($A202="","",IFERROR(AVERAGEIF(tblAkis[KaynakKartId],$A202,tblAkis[GecikmeGun]),0))</f>
        <v/>
      </c>
    </row>
    <row r="203">
      <c r="A203" s="26" t="n"/>
      <c r="B203" s="26" t="n"/>
      <c r="C203" s="26" t="n"/>
      <c r="D203" s="26" t="n"/>
      <c r="E203" s="27" t="n"/>
      <c r="F203" s="26" t="n"/>
      <c r="G203" s="26" t="n"/>
      <c r="H203" s="28">
        <f>IF($A203="","",SUMIF(tblAkis[KaynakKartId],$A203,tblAkis[Tutar]))</f>
        <v/>
      </c>
      <c r="I203" s="28">
        <f>IF($A203="","",IFERROR(AVERAGEIF(tblAkis[KaynakKartId],$A203,tblAkis[GecikmeGun]),0))</f>
        <v/>
      </c>
    </row>
    <row r="204">
      <c r="A204" s="26" t="n"/>
      <c r="B204" s="26" t="n"/>
      <c r="C204" s="26" t="n"/>
      <c r="D204" s="26" t="n"/>
      <c r="E204" s="27" t="n"/>
      <c r="F204" s="26" t="n"/>
      <c r="G204" s="26" t="n"/>
      <c r="H204" s="28">
        <f>IF($A204="","",SUMIF(tblAkis[KaynakKartId],$A204,tblAkis[Tutar]))</f>
        <v/>
      </c>
      <c r="I204" s="28">
        <f>IF($A204="","",IFERROR(AVERAGEIF(tblAkis[KaynakKartId],$A204,tblAkis[GecikmeGun]),0))</f>
        <v/>
      </c>
    </row>
    <row r="205">
      <c r="A205" s="26" t="n"/>
      <c r="B205" s="26" t="n"/>
      <c r="C205" s="26" t="n"/>
      <c r="D205" s="26" t="n"/>
      <c r="E205" s="27" t="n"/>
      <c r="F205" s="26" t="n"/>
      <c r="G205" s="26" t="n"/>
      <c r="H205" s="28">
        <f>IF($A205="","",SUMIF(tblAkis[KaynakKartId],$A205,tblAkis[Tutar]))</f>
        <v/>
      </c>
      <c r="I205" s="28">
        <f>IF($A205="","",IFERROR(AVERAGEIF(tblAkis[KaynakKartId],$A205,tblAkis[GecikmeGun]),0))</f>
        <v/>
      </c>
    </row>
    <row r="206">
      <c r="A206" s="26" t="n"/>
      <c r="B206" s="26" t="n"/>
      <c r="C206" s="26" t="n"/>
      <c r="D206" s="26" t="n"/>
      <c r="E206" s="27" t="n"/>
      <c r="F206" s="26" t="n"/>
      <c r="G206" s="26" t="n"/>
      <c r="H206" s="28">
        <f>IF($A206="","",SUMIF(tblAkis[KaynakKartId],$A206,tblAkis[Tutar]))</f>
        <v/>
      </c>
      <c r="I206" s="28">
        <f>IF($A206="","",IFERROR(AVERAGEIF(tblAkis[KaynakKartId],$A206,tblAkis[GecikmeGun]),0))</f>
        <v/>
      </c>
    </row>
    <row r="207">
      <c r="A207" s="26" t="n"/>
      <c r="B207" s="26" t="n"/>
      <c r="C207" s="26" t="n"/>
      <c r="D207" s="26" t="n"/>
      <c r="E207" s="27" t="n"/>
      <c r="F207" s="26" t="n"/>
      <c r="G207" s="26" t="n"/>
      <c r="H207" s="28">
        <f>IF($A207="","",SUMIF(tblAkis[KaynakKartId],$A207,tblAkis[Tutar]))</f>
        <v/>
      </c>
      <c r="I207" s="28">
        <f>IF($A207="","",IFERROR(AVERAGEIF(tblAkis[KaynakKartId],$A207,tblAkis[GecikmeGun]),0))</f>
        <v/>
      </c>
    </row>
    <row r="208">
      <c r="A208" s="26" t="n"/>
      <c r="B208" s="26" t="n"/>
      <c r="C208" s="26" t="n"/>
      <c r="D208" s="26" t="n"/>
      <c r="E208" s="27" t="n"/>
      <c r="F208" s="26" t="n"/>
      <c r="G208" s="26" t="n"/>
      <c r="H208" s="28">
        <f>IF($A208="","",SUMIF(tblAkis[KaynakKartId],$A208,tblAkis[Tutar]))</f>
        <v/>
      </c>
      <c r="I208" s="28">
        <f>IF($A208="","",IFERROR(AVERAGEIF(tblAkis[KaynakKartId],$A208,tblAkis[GecikmeGun]),0))</f>
        <v/>
      </c>
    </row>
    <row r="209">
      <c r="A209" s="26" t="n"/>
      <c r="B209" s="26" t="n"/>
      <c r="C209" s="26" t="n"/>
      <c r="D209" s="26" t="n"/>
      <c r="E209" s="27" t="n"/>
      <c r="F209" s="26" t="n"/>
      <c r="G209" s="26" t="n"/>
      <c r="H209" s="28">
        <f>IF($A209="","",SUMIF(tblAkis[KaynakKartId],$A209,tblAkis[Tutar]))</f>
        <v/>
      </c>
      <c r="I209" s="28">
        <f>IF($A209="","",IFERROR(AVERAGEIF(tblAkis[KaynakKartId],$A209,tblAkis[GecikmeGun]),0))</f>
        <v/>
      </c>
    </row>
    <row r="210">
      <c r="A210" s="26" t="n"/>
      <c r="B210" s="26" t="n"/>
      <c r="C210" s="26" t="n"/>
      <c r="D210" s="26" t="n"/>
      <c r="E210" s="27" t="n"/>
      <c r="F210" s="26" t="n"/>
      <c r="G210" s="26" t="n"/>
      <c r="H210" s="28">
        <f>IF($A210="","",SUMIF(tblAkis[KaynakKartId],$A210,tblAkis[Tutar]))</f>
        <v/>
      </c>
      <c r="I210" s="28">
        <f>IF($A210="","",IFERROR(AVERAGEIF(tblAkis[KaynakKartId],$A210,tblAkis[GecikmeGun]),0))</f>
        <v/>
      </c>
    </row>
    <row r="211">
      <c r="A211" s="26" t="n"/>
      <c r="B211" s="26" t="n"/>
      <c r="C211" s="26" t="n"/>
      <c r="D211" s="26" t="n"/>
      <c r="E211" s="27" t="n"/>
      <c r="F211" s="26" t="n"/>
      <c r="G211" s="26" t="n"/>
      <c r="H211" s="28">
        <f>IF($A211="","",SUMIF(tblAkis[KaynakKartId],$A211,tblAkis[Tutar]))</f>
        <v/>
      </c>
      <c r="I211" s="28">
        <f>IF($A211="","",IFERROR(AVERAGEIF(tblAkis[KaynakKartId],$A211,tblAkis[GecikmeGun]),0))</f>
        <v/>
      </c>
    </row>
    <row r="212">
      <c r="A212" s="26" t="n"/>
      <c r="B212" s="26" t="n"/>
      <c r="C212" s="26" t="n"/>
      <c r="D212" s="26" t="n"/>
      <c r="E212" s="27" t="n"/>
      <c r="F212" s="26" t="n"/>
      <c r="G212" s="26" t="n"/>
      <c r="H212" s="28">
        <f>IF($A212="","",SUMIF(tblAkis[KaynakKartId],$A212,tblAkis[Tutar]))</f>
        <v/>
      </c>
      <c r="I212" s="28">
        <f>IF($A212="","",IFERROR(AVERAGEIF(tblAkis[KaynakKartId],$A212,tblAkis[GecikmeGun]),0))</f>
        <v/>
      </c>
    </row>
    <row r="213">
      <c r="A213" s="26" t="n"/>
      <c r="B213" s="26" t="n"/>
      <c r="C213" s="26" t="n"/>
      <c r="D213" s="26" t="n"/>
      <c r="E213" s="27" t="n"/>
      <c r="F213" s="26" t="n"/>
      <c r="G213" s="26" t="n"/>
      <c r="H213" s="28">
        <f>IF($A213="","",SUMIF(tblAkis[KaynakKartId],$A213,tblAkis[Tutar]))</f>
        <v/>
      </c>
      <c r="I213" s="28">
        <f>IF($A213="","",IFERROR(AVERAGEIF(tblAkis[KaynakKartId],$A213,tblAkis[GecikmeGun]),0))</f>
        <v/>
      </c>
    </row>
    <row r="214">
      <c r="A214" s="26" t="n"/>
      <c r="B214" s="26" t="n"/>
      <c r="C214" s="26" t="n"/>
      <c r="D214" s="26" t="n"/>
      <c r="E214" s="27" t="n"/>
      <c r="F214" s="26" t="n"/>
      <c r="G214" s="26" t="n"/>
      <c r="H214" s="28">
        <f>IF($A214="","",SUMIF(tblAkis[KaynakKartId],$A214,tblAkis[Tutar]))</f>
        <v/>
      </c>
      <c r="I214" s="28">
        <f>IF($A214="","",IFERROR(AVERAGEIF(tblAkis[KaynakKartId],$A214,tblAkis[GecikmeGun]),0))</f>
        <v/>
      </c>
    </row>
    <row r="215">
      <c r="A215" s="26" t="n"/>
      <c r="B215" s="26" t="n"/>
      <c r="C215" s="26" t="n"/>
      <c r="D215" s="26" t="n"/>
      <c r="E215" s="27" t="n"/>
      <c r="F215" s="26" t="n"/>
      <c r="G215" s="26" t="n"/>
      <c r="H215" s="28">
        <f>IF($A215="","",SUMIF(tblAkis[KaynakKartId],$A215,tblAkis[Tutar]))</f>
        <v/>
      </c>
      <c r="I215" s="28">
        <f>IF($A215="","",IFERROR(AVERAGEIF(tblAkis[KaynakKartId],$A215,tblAkis[GecikmeGun]),0))</f>
        <v/>
      </c>
    </row>
    <row r="216">
      <c r="A216" s="26" t="n"/>
      <c r="B216" s="26" t="n"/>
      <c r="C216" s="26" t="n"/>
      <c r="D216" s="26" t="n"/>
      <c r="E216" s="27" t="n"/>
      <c r="F216" s="26" t="n"/>
      <c r="G216" s="26" t="n"/>
      <c r="H216" s="28">
        <f>IF($A216="","",SUMIF(tblAkis[KaynakKartId],$A216,tblAkis[Tutar]))</f>
        <v/>
      </c>
      <c r="I216" s="28">
        <f>IF($A216="","",IFERROR(AVERAGEIF(tblAkis[KaynakKartId],$A216,tblAkis[GecikmeGun]),0))</f>
        <v/>
      </c>
    </row>
    <row r="217">
      <c r="A217" s="26" t="n"/>
      <c r="B217" s="26" t="n"/>
      <c r="C217" s="26" t="n"/>
      <c r="D217" s="26" t="n"/>
      <c r="E217" s="27" t="n"/>
      <c r="F217" s="26" t="n"/>
      <c r="G217" s="26" t="n"/>
      <c r="H217" s="28">
        <f>IF($A217="","",SUMIF(tblAkis[KaynakKartId],$A217,tblAkis[Tutar]))</f>
        <v/>
      </c>
      <c r="I217" s="28">
        <f>IF($A217="","",IFERROR(AVERAGEIF(tblAkis[KaynakKartId],$A217,tblAkis[GecikmeGun]),0))</f>
        <v/>
      </c>
    </row>
    <row r="218">
      <c r="A218" s="26" t="n"/>
      <c r="B218" s="26" t="n"/>
      <c r="C218" s="26" t="n"/>
      <c r="D218" s="26" t="n"/>
      <c r="E218" s="27" t="n"/>
      <c r="F218" s="26" t="n"/>
      <c r="G218" s="26" t="n"/>
      <c r="H218" s="28">
        <f>IF($A218="","",SUMIF(tblAkis[KaynakKartId],$A218,tblAkis[Tutar]))</f>
        <v/>
      </c>
      <c r="I218" s="28">
        <f>IF($A218="","",IFERROR(AVERAGEIF(tblAkis[KaynakKartId],$A218,tblAkis[GecikmeGun]),0))</f>
        <v/>
      </c>
    </row>
    <row r="219">
      <c r="A219" s="26" t="n"/>
      <c r="B219" s="26" t="n"/>
      <c r="C219" s="26" t="n"/>
      <c r="D219" s="26" t="n"/>
      <c r="E219" s="27" t="n"/>
      <c r="F219" s="26" t="n"/>
      <c r="G219" s="26" t="n"/>
      <c r="H219" s="28">
        <f>IF($A219="","",SUMIF(tblAkis[KaynakKartId],$A219,tblAkis[Tutar]))</f>
        <v/>
      </c>
      <c r="I219" s="28">
        <f>IF($A219="","",IFERROR(AVERAGEIF(tblAkis[KaynakKartId],$A219,tblAkis[GecikmeGun]),0))</f>
        <v/>
      </c>
    </row>
    <row r="220">
      <c r="A220" s="26" t="n"/>
      <c r="B220" s="26" t="n"/>
      <c r="C220" s="26" t="n"/>
      <c r="D220" s="26" t="n"/>
      <c r="E220" s="27" t="n"/>
      <c r="F220" s="26" t="n"/>
      <c r="G220" s="26" t="n"/>
      <c r="H220" s="28">
        <f>IF($A220="","",SUMIF(tblAkis[KaynakKartId],$A220,tblAkis[Tutar]))</f>
        <v/>
      </c>
      <c r="I220" s="28">
        <f>IF($A220="","",IFERROR(AVERAGEIF(tblAkis[KaynakKartId],$A220,tblAkis[GecikmeGun]),0))</f>
        <v/>
      </c>
    </row>
    <row r="221">
      <c r="A221" s="26" t="n"/>
      <c r="B221" s="26" t="n"/>
      <c r="C221" s="26" t="n"/>
      <c r="D221" s="26" t="n"/>
      <c r="E221" s="27" t="n"/>
      <c r="F221" s="26" t="n"/>
      <c r="G221" s="26" t="n"/>
      <c r="H221" s="28">
        <f>IF($A221="","",SUMIF(tblAkis[KaynakKartId],$A221,tblAkis[Tutar]))</f>
        <v/>
      </c>
      <c r="I221" s="28">
        <f>IF($A221="","",IFERROR(AVERAGEIF(tblAkis[KaynakKartId],$A221,tblAkis[GecikmeGun]),0))</f>
        <v/>
      </c>
    </row>
    <row r="222">
      <c r="A222" s="26" t="n"/>
      <c r="B222" s="26" t="n"/>
      <c r="C222" s="26" t="n"/>
      <c r="D222" s="26" t="n"/>
      <c r="E222" s="27" t="n"/>
      <c r="F222" s="26" t="n"/>
      <c r="G222" s="26" t="n"/>
      <c r="H222" s="28">
        <f>IF($A222="","",SUMIF(tblAkis[KaynakKartId],$A222,tblAkis[Tutar]))</f>
        <v/>
      </c>
      <c r="I222" s="28">
        <f>IF($A222="","",IFERROR(AVERAGEIF(tblAkis[KaynakKartId],$A222,tblAkis[GecikmeGun]),0))</f>
        <v/>
      </c>
    </row>
    <row r="223">
      <c r="A223" s="26" t="n"/>
      <c r="B223" s="26" t="n"/>
      <c r="C223" s="26" t="n"/>
      <c r="D223" s="26" t="n"/>
      <c r="E223" s="27" t="n"/>
      <c r="F223" s="26" t="n"/>
      <c r="G223" s="26" t="n"/>
      <c r="H223" s="28">
        <f>IF($A223="","",SUMIF(tblAkis[KaynakKartId],$A223,tblAkis[Tutar]))</f>
        <v/>
      </c>
      <c r="I223" s="28">
        <f>IF($A223="","",IFERROR(AVERAGEIF(tblAkis[KaynakKartId],$A223,tblAkis[GecikmeGun]),0))</f>
        <v/>
      </c>
    </row>
    <row r="224">
      <c r="A224" s="26" t="n"/>
      <c r="B224" s="26" t="n"/>
      <c r="C224" s="26" t="n"/>
      <c r="D224" s="26" t="n"/>
      <c r="E224" s="27" t="n"/>
      <c r="F224" s="26" t="n"/>
      <c r="G224" s="26" t="n"/>
      <c r="H224" s="28">
        <f>IF($A224="","",SUMIF(tblAkis[KaynakKartId],$A224,tblAkis[Tutar]))</f>
        <v/>
      </c>
      <c r="I224" s="28">
        <f>IF($A224="","",IFERROR(AVERAGEIF(tblAkis[KaynakKartId],$A224,tblAkis[GecikmeGun]),0))</f>
        <v/>
      </c>
    </row>
    <row r="225">
      <c r="A225" s="26" t="n"/>
      <c r="B225" s="26" t="n"/>
      <c r="C225" s="26" t="n"/>
      <c r="D225" s="26" t="n"/>
      <c r="E225" s="27" t="n"/>
      <c r="F225" s="26" t="n"/>
      <c r="G225" s="26" t="n"/>
      <c r="H225" s="28">
        <f>IF($A225="","",SUMIF(tblAkis[KaynakKartId],$A225,tblAkis[Tutar]))</f>
        <v/>
      </c>
      <c r="I225" s="28">
        <f>IF($A225="","",IFERROR(AVERAGEIF(tblAkis[KaynakKartId],$A225,tblAkis[GecikmeGun]),0))</f>
        <v/>
      </c>
    </row>
    <row r="226">
      <c r="A226" s="26" t="n"/>
      <c r="B226" s="26" t="n"/>
      <c r="C226" s="26" t="n"/>
      <c r="D226" s="26" t="n"/>
      <c r="E226" s="27" t="n"/>
      <c r="F226" s="26" t="n"/>
      <c r="G226" s="26" t="n"/>
      <c r="H226" s="28">
        <f>IF($A226="","",SUMIF(tblAkis[KaynakKartId],$A226,tblAkis[Tutar]))</f>
        <v/>
      </c>
      <c r="I226" s="28">
        <f>IF($A226="","",IFERROR(AVERAGEIF(tblAkis[KaynakKartId],$A226,tblAkis[GecikmeGun]),0))</f>
        <v/>
      </c>
    </row>
    <row r="227">
      <c r="A227" s="26" t="n"/>
      <c r="B227" s="26" t="n"/>
      <c r="C227" s="26" t="n"/>
      <c r="D227" s="26" t="n"/>
      <c r="E227" s="27" t="n"/>
      <c r="F227" s="26" t="n"/>
      <c r="G227" s="26" t="n"/>
      <c r="H227" s="28">
        <f>IF($A227="","",SUMIF(tblAkis[KaynakKartId],$A227,tblAkis[Tutar]))</f>
        <v/>
      </c>
      <c r="I227" s="28">
        <f>IF($A227="","",IFERROR(AVERAGEIF(tblAkis[KaynakKartId],$A227,tblAkis[GecikmeGun]),0))</f>
        <v/>
      </c>
    </row>
    <row r="228">
      <c r="A228" s="26" t="n"/>
      <c r="B228" s="26" t="n"/>
      <c r="C228" s="26" t="n"/>
      <c r="D228" s="26" t="n"/>
      <c r="E228" s="27" t="n"/>
      <c r="F228" s="26" t="n"/>
      <c r="G228" s="26" t="n"/>
      <c r="H228" s="28">
        <f>IF($A228="","",SUMIF(tblAkis[KaynakKartId],$A228,tblAkis[Tutar]))</f>
        <v/>
      </c>
      <c r="I228" s="28">
        <f>IF($A228="","",IFERROR(AVERAGEIF(tblAkis[KaynakKartId],$A228,tblAkis[GecikmeGun]),0))</f>
        <v/>
      </c>
    </row>
    <row r="229">
      <c r="A229" s="26" t="n"/>
      <c r="B229" s="26" t="n"/>
      <c r="C229" s="26" t="n"/>
      <c r="D229" s="26" t="n"/>
      <c r="E229" s="27" t="n"/>
      <c r="F229" s="26" t="n"/>
      <c r="G229" s="26" t="n"/>
      <c r="H229" s="28">
        <f>IF($A229="","",SUMIF(tblAkis[KaynakKartId],$A229,tblAkis[Tutar]))</f>
        <v/>
      </c>
      <c r="I229" s="28">
        <f>IF($A229="","",IFERROR(AVERAGEIF(tblAkis[KaynakKartId],$A229,tblAkis[GecikmeGun]),0))</f>
        <v/>
      </c>
    </row>
    <row r="230">
      <c r="A230" s="26" t="n"/>
      <c r="B230" s="26" t="n"/>
      <c r="C230" s="26" t="n"/>
      <c r="D230" s="26" t="n"/>
      <c r="E230" s="27" t="n"/>
      <c r="F230" s="26" t="n"/>
      <c r="G230" s="26" t="n"/>
      <c r="H230" s="28">
        <f>IF($A230="","",SUMIF(tblAkis[KaynakKartId],$A230,tblAkis[Tutar]))</f>
        <v/>
      </c>
      <c r="I230" s="28">
        <f>IF($A230="","",IFERROR(AVERAGEIF(tblAkis[KaynakKartId],$A230,tblAkis[GecikmeGun]),0))</f>
        <v/>
      </c>
    </row>
    <row r="231">
      <c r="A231" s="26" t="n"/>
      <c r="B231" s="26" t="n"/>
      <c r="C231" s="26" t="n"/>
      <c r="D231" s="26" t="n"/>
      <c r="E231" s="27" t="n"/>
      <c r="F231" s="26" t="n"/>
      <c r="G231" s="26" t="n"/>
      <c r="H231" s="28">
        <f>IF($A231="","",SUMIF(tblAkis[KaynakKartId],$A231,tblAkis[Tutar]))</f>
        <v/>
      </c>
      <c r="I231" s="28">
        <f>IF($A231="","",IFERROR(AVERAGEIF(tblAkis[KaynakKartId],$A231,tblAkis[GecikmeGun]),0))</f>
        <v/>
      </c>
    </row>
    <row r="232">
      <c r="A232" s="26" t="n"/>
      <c r="B232" s="26" t="n"/>
      <c r="C232" s="26" t="n"/>
      <c r="D232" s="26" t="n"/>
      <c r="E232" s="27" t="n"/>
      <c r="F232" s="26" t="n"/>
      <c r="G232" s="26" t="n"/>
      <c r="H232" s="28">
        <f>IF($A232="","",SUMIF(tblAkis[KaynakKartId],$A232,tblAkis[Tutar]))</f>
        <v/>
      </c>
      <c r="I232" s="28">
        <f>IF($A232="","",IFERROR(AVERAGEIF(tblAkis[KaynakKartId],$A232,tblAkis[GecikmeGun]),0))</f>
        <v/>
      </c>
    </row>
    <row r="233">
      <c r="A233" s="26" t="n"/>
      <c r="B233" s="26" t="n"/>
      <c r="C233" s="26" t="n"/>
      <c r="D233" s="26" t="n"/>
      <c r="E233" s="27" t="n"/>
      <c r="F233" s="26" t="n"/>
      <c r="G233" s="26" t="n"/>
      <c r="H233" s="28">
        <f>IF($A233="","",SUMIF(tblAkis[KaynakKartId],$A233,tblAkis[Tutar]))</f>
        <v/>
      </c>
      <c r="I233" s="28">
        <f>IF($A233="","",IFERROR(AVERAGEIF(tblAkis[KaynakKartId],$A233,tblAkis[GecikmeGun]),0))</f>
        <v/>
      </c>
    </row>
    <row r="234">
      <c r="A234" s="26" t="n"/>
      <c r="B234" s="26" t="n"/>
      <c r="C234" s="26" t="n"/>
      <c r="D234" s="26" t="n"/>
      <c r="E234" s="27" t="n"/>
      <c r="F234" s="26" t="n"/>
      <c r="G234" s="26" t="n"/>
      <c r="H234" s="28">
        <f>IF($A234="","",SUMIF(tblAkis[KaynakKartId],$A234,tblAkis[Tutar]))</f>
        <v/>
      </c>
      <c r="I234" s="28">
        <f>IF($A234="","",IFERROR(AVERAGEIF(tblAkis[KaynakKartId],$A234,tblAkis[GecikmeGun]),0))</f>
        <v/>
      </c>
    </row>
    <row r="235">
      <c r="A235" s="26" t="n"/>
      <c r="B235" s="26" t="n"/>
      <c r="C235" s="26" t="n"/>
      <c r="D235" s="26" t="n"/>
      <c r="E235" s="27" t="n"/>
      <c r="F235" s="26" t="n"/>
      <c r="G235" s="26" t="n"/>
      <c r="H235" s="28">
        <f>IF($A235="","",SUMIF(tblAkis[KaynakKartId],$A235,tblAkis[Tutar]))</f>
        <v/>
      </c>
      <c r="I235" s="28">
        <f>IF($A235="","",IFERROR(AVERAGEIF(tblAkis[KaynakKartId],$A235,tblAkis[GecikmeGun]),0))</f>
        <v/>
      </c>
    </row>
    <row r="236">
      <c r="A236" s="26" t="n"/>
      <c r="B236" s="26" t="n"/>
      <c r="C236" s="26" t="n"/>
      <c r="D236" s="26" t="n"/>
      <c r="E236" s="27" t="n"/>
      <c r="F236" s="26" t="n"/>
      <c r="G236" s="26" t="n"/>
      <c r="H236" s="28">
        <f>IF($A236="","",SUMIF(tblAkis[KaynakKartId],$A236,tblAkis[Tutar]))</f>
        <v/>
      </c>
      <c r="I236" s="28">
        <f>IF($A236="","",IFERROR(AVERAGEIF(tblAkis[KaynakKartId],$A236,tblAkis[GecikmeGun]),0))</f>
        <v/>
      </c>
    </row>
    <row r="237">
      <c r="A237" s="26" t="n"/>
      <c r="B237" s="26" t="n"/>
      <c r="C237" s="26" t="n"/>
      <c r="D237" s="26" t="n"/>
      <c r="E237" s="27" t="n"/>
      <c r="F237" s="26" t="n"/>
      <c r="G237" s="26" t="n"/>
      <c r="H237" s="28">
        <f>IF($A237="","",SUMIF(tblAkis[KaynakKartId],$A237,tblAkis[Tutar]))</f>
        <v/>
      </c>
      <c r="I237" s="28">
        <f>IF($A237="","",IFERROR(AVERAGEIF(tblAkis[KaynakKartId],$A237,tblAkis[GecikmeGun]),0))</f>
        <v/>
      </c>
    </row>
    <row r="238">
      <c r="A238" s="26" t="n"/>
      <c r="B238" s="26" t="n"/>
      <c r="C238" s="26" t="n"/>
      <c r="D238" s="26" t="n"/>
      <c r="E238" s="27" t="n"/>
      <c r="F238" s="26" t="n"/>
      <c r="G238" s="26" t="n"/>
      <c r="H238" s="28">
        <f>IF($A238="","",SUMIF(tblAkis[KaynakKartId],$A238,tblAkis[Tutar]))</f>
        <v/>
      </c>
      <c r="I238" s="28">
        <f>IF($A238="","",IFERROR(AVERAGEIF(tblAkis[KaynakKartId],$A238,tblAkis[GecikmeGun]),0))</f>
        <v/>
      </c>
    </row>
    <row r="239">
      <c r="A239" s="26" t="n"/>
      <c r="B239" s="26" t="n"/>
      <c r="C239" s="26" t="n"/>
      <c r="D239" s="26" t="n"/>
      <c r="E239" s="27" t="n"/>
      <c r="F239" s="26" t="n"/>
      <c r="G239" s="26" t="n"/>
      <c r="H239" s="28">
        <f>IF($A239="","",SUMIF(tblAkis[KaynakKartId],$A239,tblAkis[Tutar]))</f>
        <v/>
      </c>
      <c r="I239" s="28">
        <f>IF($A239="","",IFERROR(AVERAGEIF(tblAkis[KaynakKartId],$A239,tblAkis[GecikmeGun]),0))</f>
        <v/>
      </c>
    </row>
    <row r="240">
      <c r="A240" s="26" t="n"/>
      <c r="B240" s="26" t="n"/>
      <c r="C240" s="26" t="n"/>
      <c r="D240" s="26" t="n"/>
      <c r="E240" s="27" t="n"/>
      <c r="F240" s="26" t="n"/>
      <c r="G240" s="26" t="n"/>
      <c r="H240" s="28">
        <f>IF($A240="","",SUMIF(tblAkis[KaynakKartId],$A240,tblAkis[Tutar]))</f>
        <v/>
      </c>
      <c r="I240" s="28">
        <f>IF($A240="","",IFERROR(AVERAGEIF(tblAkis[KaynakKartId],$A240,tblAkis[GecikmeGun]),0))</f>
        <v/>
      </c>
    </row>
    <row r="241">
      <c r="A241" s="26" t="n"/>
      <c r="B241" s="26" t="n"/>
      <c r="C241" s="26" t="n"/>
      <c r="D241" s="26" t="n"/>
      <c r="E241" s="27" t="n"/>
      <c r="F241" s="26" t="n"/>
      <c r="G241" s="26" t="n"/>
      <c r="H241" s="28">
        <f>IF($A241="","",SUMIF(tblAkis[KaynakKartId],$A241,tblAkis[Tutar]))</f>
        <v/>
      </c>
      <c r="I241" s="28">
        <f>IF($A241="","",IFERROR(AVERAGEIF(tblAkis[KaynakKartId],$A241,tblAkis[GecikmeGun]),0))</f>
        <v/>
      </c>
    </row>
    <row r="242">
      <c r="A242" s="26" t="n"/>
      <c r="B242" s="26" t="n"/>
      <c r="C242" s="26" t="n"/>
      <c r="D242" s="26" t="n"/>
      <c r="E242" s="27" t="n"/>
      <c r="F242" s="26" t="n"/>
      <c r="G242" s="26" t="n"/>
      <c r="H242" s="28">
        <f>IF($A242="","",SUMIF(tblAkis[KaynakKartId],$A242,tblAkis[Tutar]))</f>
        <v/>
      </c>
      <c r="I242" s="28">
        <f>IF($A242="","",IFERROR(AVERAGEIF(tblAkis[KaynakKartId],$A242,tblAkis[GecikmeGun]),0))</f>
        <v/>
      </c>
    </row>
    <row r="243">
      <c r="A243" s="26" t="n"/>
      <c r="B243" s="26" t="n"/>
      <c r="C243" s="26" t="n"/>
      <c r="D243" s="26" t="n"/>
      <c r="E243" s="27" t="n"/>
      <c r="F243" s="26" t="n"/>
      <c r="G243" s="26" t="n"/>
      <c r="H243" s="28">
        <f>IF($A243="","",SUMIF(tblAkis[KaynakKartId],$A243,tblAkis[Tutar]))</f>
        <v/>
      </c>
      <c r="I243" s="28">
        <f>IF($A243="","",IFERROR(AVERAGEIF(tblAkis[KaynakKartId],$A243,tblAkis[GecikmeGun]),0))</f>
        <v/>
      </c>
    </row>
    <row r="244">
      <c r="A244" s="26" t="n"/>
      <c r="B244" s="26" t="n"/>
      <c r="C244" s="26" t="n"/>
      <c r="D244" s="26" t="n"/>
      <c r="E244" s="27" t="n"/>
      <c r="F244" s="26" t="n"/>
      <c r="G244" s="26" t="n"/>
      <c r="H244" s="28">
        <f>IF($A244="","",SUMIF(tblAkis[KaynakKartId],$A244,tblAkis[Tutar]))</f>
        <v/>
      </c>
      <c r="I244" s="28">
        <f>IF($A244="","",IFERROR(AVERAGEIF(tblAkis[KaynakKartId],$A244,tblAkis[GecikmeGun]),0))</f>
        <v/>
      </c>
    </row>
    <row r="245">
      <c r="A245" s="26" t="n"/>
      <c r="B245" s="26" t="n"/>
      <c r="C245" s="26" t="n"/>
      <c r="D245" s="26" t="n"/>
      <c r="E245" s="27" t="n"/>
      <c r="F245" s="26" t="n"/>
      <c r="G245" s="26" t="n"/>
      <c r="H245" s="28">
        <f>IF($A245="","",SUMIF(tblAkis[KaynakKartId],$A245,tblAkis[Tutar]))</f>
        <v/>
      </c>
      <c r="I245" s="28">
        <f>IF($A245="","",IFERROR(AVERAGEIF(tblAkis[KaynakKartId],$A245,tblAkis[GecikmeGun]),0))</f>
        <v/>
      </c>
    </row>
    <row r="246">
      <c r="A246" s="26" t="n"/>
      <c r="B246" s="26" t="n"/>
      <c r="C246" s="26" t="n"/>
      <c r="D246" s="26" t="n"/>
      <c r="E246" s="27" t="n"/>
      <c r="F246" s="26" t="n"/>
      <c r="G246" s="26" t="n"/>
      <c r="H246" s="28">
        <f>IF($A246="","",SUMIF(tblAkis[KaynakKartId],$A246,tblAkis[Tutar]))</f>
        <v/>
      </c>
      <c r="I246" s="28">
        <f>IF($A246="","",IFERROR(AVERAGEIF(tblAkis[KaynakKartId],$A246,tblAkis[GecikmeGun]),0))</f>
        <v/>
      </c>
    </row>
    <row r="247">
      <c r="A247" s="26" t="n"/>
      <c r="B247" s="26" t="n"/>
      <c r="C247" s="26" t="n"/>
      <c r="D247" s="26" t="n"/>
      <c r="E247" s="27" t="n"/>
      <c r="F247" s="26" t="n"/>
      <c r="G247" s="26" t="n"/>
      <c r="H247" s="28">
        <f>IF($A247="","",SUMIF(tblAkis[KaynakKartId],$A247,tblAkis[Tutar]))</f>
        <v/>
      </c>
      <c r="I247" s="28">
        <f>IF($A247="","",IFERROR(AVERAGEIF(tblAkis[KaynakKartId],$A247,tblAkis[GecikmeGun]),0))</f>
        <v/>
      </c>
    </row>
    <row r="248">
      <c r="A248" s="26" t="n"/>
      <c r="B248" s="26" t="n"/>
      <c r="C248" s="26" t="n"/>
      <c r="D248" s="26" t="n"/>
      <c r="E248" s="27" t="n"/>
      <c r="F248" s="26" t="n"/>
      <c r="G248" s="26" t="n"/>
      <c r="H248" s="28">
        <f>IF($A248="","",SUMIF(tblAkis[KaynakKartId],$A248,tblAkis[Tutar]))</f>
        <v/>
      </c>
      <c r="I248" s="28">
        <f>IF($A248="","",IFERROR(AVERAGEIF(tblAkis[KaynakKartId],$A248,tblAkis[GecikmeGun]),0))</f>
        <v/>
      </c>
    </row>
    <row r="249">
      <c r="A249" s="26" t="n"/>
      <c r="B249" s="26" t="n"/>
      <c r="C249" s="26" t="n"/>
      <c r="D249" s="26" t="n"/>
      <c r="E249" s="27" t="n"/>
      <c r="F249" s="26" t="n"/>
      <c r="G249" s="26" t="n"/>
      <c r="H249" s="28">
        <f>IF($A249="","",SUMIF(tblAkis[KaynakKartId],$A249,tblAkis[Tutar]))</f>
        <v/>
      </c>
      <c r="I249" s="28">
        <f>IF($A249="","",IFERROR(AVERAGEIF(tblAkis[KaynakKartId],$A249,tblAkis[GecikmeGun]),0))</f>
        <v/>
      </c>
    </row>
    <row r="250">
      <c r="A250" s="26" t="n"/>
      <c r="B250" s="26" t="n"/>
      <c r="C250" s="26" t="n"/>
      <c r="D250" s="26" t="n"/>
      <c r="E250" s="27" t="n"/>
      <c r="F250" s="26" t="n"/>
      <c r="G250" s="26" t="n"/>
      <c r="H250" s="28">
        <f>IF($A250="","",SUMIF(tblAkis[KaynakKartId],$A250,tblAkis[Tutar]))</f>
        <v/>
      </c>
      <c r="I250" s="28">
        <f>IF($A250="","",IFERROR(AVERAGEIF(tblAkis[KaynakKartId],$A250,tblAkis[GecikmeGun]),0))</f>
        <v/>
      </c>
    </row>
    <row r="251">
      <c r="A251" s="26" t="n"/>
      <c r="B251" s="26" t="n"/>
      <c r="C251" s="26" t="n"/>
      <c r="D251" s="26" t="n"/>
      <c r="E251" s="27" t="n"/>
      <c r="F251" s="26" t="n"/>
      <c r="G251" s="26" t="n"/>
      <c r="H251" s="28">
        <f>IF($A251="","",SUMIF(tblAkis[KaynakKartId],$A251,tblAkis[Tutar]))</f>
        <v/>
      </c>
      <c r="I251" s="28">
        <f>IF($A251="","",IFERROR(AVERAGEIF(tblAkis[KaynakKartId],$A251,tblAkis[GecikmeGun]),0))</f>
        <v/>
      </c>
    </row>
    <row r="252">
      <c r="A252" s="26" t="n"/>
      <c r="B252" s="26" t="n"/>
      <c r="C252" s="26" t="n"/>
      <c r="D252" s="26" t="n"/>
      <c r="E252" s="27" t="n"/>
      <c r="F252" s="26" t="n"/>
      <c r="G252" s="26" t="n"/>
      <c r="H252" s="28">
        <f>IF($A252="","",SUMIF(tblAkis[KaynakKartId],$A252,tblAkis[Tutar]))</f>
        <v/>
      </c>
      <c r="I252" s="28">
        <f>IF($A252="","",IFERROR(AVERAGEIF(tblAkis[KaynakKartId],$A252,tblAkis[GecikmeGun]),0))</f>
        <v/>
      </c>
    </row>
    <row r="253">
      <c r="A253" s="26" t="n"/>
      <c r="B253" s="26" t="n"/>
      <c r="C253" s="26" t="n"/>
      <c r="D253" s="26" t="n"/>
      <c r="E253" s="27" t="n"/>
      <c r="F253" s="26" t="n"/>
      <c r="G253" s="26" t="n"/>
      <c r="H253" s="28">
        <f>IF($A253="","",SUMIF(tblAkis[KaynakKartId],$A253,tblAkis[Tutar]))</f>
        <v/>
      </c>
      <c r="I253" s="28">
        <f>IF($A253="","",IFERROR(AVERAGEIF(tblAkis[KaynakKartId],$A253,tblAkis[GecikmeGun]),0))</f>
        <v/>
      </c>
    </row>
    <row r="254">
      <c r="A254" s="26" t="n"/>
      <c r="B254" s="26" t="n"/>
      <c r="C254" s="26" t="n"/>
      <c r="D254" s="26" t="n"/>
      <c r="E254" s="27" t="n"/>
      <c r="F254" s="26" t="n"/>
      <c r="G254" s="26" t="n"/>
      <c r="H254" s="28">
        <f>IF($A254="","",SUMIF(tblAkis[KaynakKartId],$A254,tblAkis[Tutar]))</f>
        <v/>
      </c>
      <c r="I254" s="28">
        <f>IF($A254="","",IFERROR(AVERAGEIF(tblAkis[KaynakKartId],$A254,tblAkis[GecikmeGun]),0))</f>
        <v/>
      </c>
    </row>
    <row r="255">
      <c r="A255" s="26" t="n"/>
      <c r="B255" s="26" t="n"/>
      <c r="C255" s="26" t="n"/>
      <c r="D255" s="26" t="n"/>
      <c r="E255" s="27" t="n"/>
      <c r="F255" s="26" t="n"/>
      <c r="G255" s="26" t="n"/>
      <c r="H255" s="28">
        <f>IF($A255="","",SUMIF(tblAkis[KaynakKartId],$A255,tblAkis[Tutar]))</f>
        <v/>
      </c>
      <c r="I255" s="28">
        <f>IF($A255="","",IFERROR(AVERAGEIF(tblAkis[KaynakKartId],$A255,tblAkis[GecikmeGun]),0))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G6:G255">
    <cfRule type="cellIs" priority="1" operator="equal" dxfId="1">
      <formula>"HAYIR"</formula>
    </cfRule>
  </conditionalFormatting>
  <conditionalFormatting sqref="E6:E255">
    <cfRule type="cellIs" priority="2" operator="greaterThan" dxfId="3">
      <formula>3000000</formula>
    </cfRule>
  </conditionalFormatting>
  <dataValidations count="7">
    <dataValidation sqref="A6:A255" showDropDown="0" showInputMessage="1" showErrorMessage="1" allowBlank="1" errorTitle="Kimlik" error="En az 1 karakter" promptTitle="Kart Kimliği" prompt="MUS-##### girin" type="textLength" errorStyle="stop" operator="greaterThan">
      <formula1>1</formula1>
      <formula2>40</formula2>
    </dataValidation>
    <dataValidation sqref="B6:B25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C6:C255" showDropDown="0" showInputMessage="1" showErrorMessage="1" allowBlank="1" errorTitle="Sektör" error="Geçersiz" promptTitle="Sektör" prompt="Sektör girin" type="textLength" errorStyle="stop" operator="greaterThanOrEqual">
      <formula1>0</formula1>
      <formula2>80</formula2>
    </dataValidation>
    <dataValidation sqref="D6:D25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F6:F255" showDropDown="0" showInputMessage="1" showErrorMessage="1" allowBlank="1" errorTitle="Risk" error="Geçersiz" promptTitle="Risk" prompt="Risk girin" type="textLength" errorStyle="stop" operator="greaterThanOrEqual">
      <formula1>0</formula1>
      <formula2>80</formula2>
    </dataValidation>
    <dataValidation sqref="E6:E255" showDropDown="0" showInputMessage="1" showErrorMessage="1" allowBlank="1" errorTitle="Limit" error="0 veya üzeri" promptTitle="Limit" prompt="Limit ≥ 0" type="decimal" errorStyle="stop" operator="greaterThanOrEqual">
      <formula1>0</formula1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6.5" customWidth="1" min="3" max="3"/>
    <col width="23.5" customWidth="1" min="4" max="4"/>
    <col width="23.5" customWidth="1" min="5" max="5"/>
    <col width="15.5" customWidth="1" min="6" max="6"/>
    <col width="14.5" customWidth="1" min="7" max="7"/>
    <col width="16.5" customWidth="1" min="8" max="8"/>
    <col width="15.5" customWidth="1" min="9" max="9"/>
    <col width="12" customWidth="1" min="10" max="10"/>
    <col width="13.5" customWidth="1" min="11" max="11"/>
    <col width="13.5" customWidth="1" min="12" max="12"/>
    <col width="12" customWidth="1" min="13" max="13"/>
    <col width="17.5" customWidth="1" min="14" max="14"/>
    <col width="14.5" customWidth="1" min="15" max="15"/>
    <col width="12" customWidth="1" min="16" max="16"/>
    <col width="20.5" customWidth="1" min="17" max="17"/>
    <col width="17.5" customWidth="1" min="18" max="18"/>
    <col width="15.5" customWidth="1" min="19" max="19"/>
    <col width="16.5" customWidth="1" min="20" max="20"/>
    <col width="16.5" customWidth="1" min="21" max="21"/>
    <col width="13.5" customWidth="1" min="22" max="22"/>
    <col width="13" customWidth="1" min="23" max="23"/>
  </cols>
  <sheetData>
    <row r="1" ht="32" customHeight="1">
      <c r="A1" s="178" t="inlineStr">
        <is>
          <t>AKIS — Tahsilat Riski &amp; Vade Komuta Paneli</t>
        </is>
      </c>
    </row>
    <row r="2"/>
    <row r="3" ht="22" customHeight="1">
      <c r="A3" s="198" t="inlineStr">
        <is>
          <t>Fatura/vade satırları — durum makinesi + yetim + geçersiz geçiş + zincir</t>
        </is>
      </c>
    </row>
    <row r="4"/>
    <row r="5" ht="30" customHeight="1">
      <c r="A5" s="25" t="inlineStr">
        <is>
          <t>IslemId</t>
        </is>
      </c>
      <c r="B5" s="25" t="inlineStr">
        <is>
          <t>KaynakKartId</t>
        </is>
      </c>
      <c r="C5" s="25" t="inlineStr">
        <is>
          <t>FaturaNo</t>
        </is>
      </c>
      <c r="D5" s="25" t="inlineStr">
        <is>
          <t>VadeTarihi</t>
        </is>
      </c>
      <c r="E5" s="25" t="inlineStr">
        <is>
          <t>OdemeTarihi</t>
        </is>
      </c>
      <c r="F5" s="25" t="inlineStr">
        <is>
          <t>OncekiDurum</t>
        </is>
      </c>
      <c r="G5" s="25" t="inlineStr">
        <is>
          <t>Durum</t>
        </is>
      </c>
      <c r="H5" s="25" t="inlineStr">
        <is>
          <t>FaturaTutari</t>
        </is>
      </c>
      <c r="I5" s="25" t="inlineStr">
        <is>
          <t>OdemeTutari</t>
        </is>
      </c>
      <c r="J5" s="25" t="inlineStr">
        <is>
          <t>Tutar</t>
        </is>
      </c>
      <c r="K5" s="25" t="inlineStr">
        <is>
          <t>RiskSkoru</t>
        </is>
      </c>
      <c r="L5" s="25" t="inlineStr">
        <is>
          <t>Sektor</t>
        </is>
      </c>
      <c r="M5" s="25" t="inlineStr">
        <is>
          <t>YorumA</t>
        </is>
      </c>
      <c r="N5" s="25" t="inlineStr">
        <is>
          <t>YorumB</t>
        </is>
      </c>
      <c r="O5" s="25" t="inlineStr">
        <is>
          <t>GecikmeGun</t>
        </is>
      </c>
      <c r="P5" s="25" t="inlineStr">
        <is>
          <t>YasKova</t>
        </is>
      </c>
      <c r="Q5" s="25" t="inlineStr">
        <is>
          <t>TahsilatOlasilik</t>
        </is>
      </c>
      <c r="R5" s="25" t="inlineStr">
        <is>
          <t>BeklenenKayip</t>
        </is>
      </c>
      <c r="S5" s="25" t="inlineStr">
        <is>
          <t>YetimBayrak</t>
        </is>
      </c>
      <c r="T5" s="25" t="inlineStr">
        <is>
          <t>GecisUyarisi</t>
        </is>
      </c>
      <c r="U5" s="25" t="inlineStr">
        <is>
          <t>ZincirBayrak</t>
        </is>
      </c>
      <c r="V5" s="25" t="inlineStr">
        <is>
          <t>KayitDolu</t>
        </is>
      </c>
    </row>
    <row r="6">
      <c r="A6" s="26" t="inlineStr">
        <is>
          <t>FAT-00001</t>
        </is>
      </c>
      <c r="B6" s="26" t="inlineStr">
        <is>
          <t>MUS-00001</t>
        </is>
      </c>
      <c r="C6" s="26" t="inlineStr">
        <is>
          <t>FR-2026-0001</t>
        </is>
      </c>
      <c r="D6" s="29" t="n">
        <v>46241</v>
      </c>
      <c r="E6" s="29" t="n"/>
      <c r="F6" s="26" t="n"/>
      <c r="G6" s="26" t="inlineStr">
        <is>
          <t>ACIK</t>
        </is>
      </c>
      <c r="H6" s="27" t="n">
        <v>89500</v>
      </c>
      <c r="I6" s="27" t="n">
        <v>0</v>
      </c>
      <c r="J6" s="27" t="n">
        <v>89500</v>
      </c>
      <c r="K6" s="30" t="n">
        <v>23</v>
      </c>
      <c r="L6" s="26" t="inlineStr">
        <is>
          <t>Toptan</t>
        </is>
      </c>
      <c r="M6" s="26" t="inlineStr">
        <is>
          <t>A</t>
        </is>
      </c>
      <c r="N6" s="26" t="inlineStr">
        <is>
          <t>Takip notu 1</t>
        </is>
      </c>
      <c r="O6" s="28">
        <f>IF($A6="","",IF(OR($G6="TAHSIL",$G6="KAPALI"),0,IF($D6="","",raporTarihi-$D6)))</f>
        <v/>
      </c>
      <c r="P6" s="28">
        <f>IF($A6="","",IF($O6="","",IF($O6&lt;=trv_kovaEsik1,"0-30",IF($O6&lt;=trv_kovaEsik2,"31-60",IF($O6&lt;=trv_kovaEsik3,"61-90","90+")))))</f>
        <v/>
      </c>
      <c r="Q6" s="28">
        <f>IF(OR($A6="",$G6="TAHSIL",$G6="KAPALI"),"",IF($P6="0-30",trv_olasilikK1,IF($P6="31-60",trv_olasilikK2,IF($P6="61-90",trv_olasilikK3,trv_olasilikK4))))</f>
        <v/>
      </c>
      <c r="R6" s="28">
        <f>IF(OR($A6="",$Q6=""),"",$J6*(1-$Q6)*MAX(trv_riskTaban,$K6/100))</f>
        <v/>
      </c>
      <c r="S6" s="28">
        <f>IF($A6="","",IF($B6="","YETİM",IF(COUNTIF(tblKartlar[KartId],$B6)=0,"YETİM","")))</f>
        <v/>
      </c>
      <c r="T6" s="28">
        <f>IF(OR($A6="",$F6=""),"",IF(OR($F6&amp;"|"&amp;$G6="",COUNTIF(ListeIzinliGecis,$F6&amp;"|"&amp;$G6)&gt;0),"","GEÇERSİZ GEÇİŞ"))</f>
        <v/>
      </c>
      <c r="U6" s="28">
        <f>IF($A6="","",IF(OR($G6="TAHSIL",$I6&gt;0),IF(OR($H6="",$I6=""),"",IF(ABS($I6-$H6)&gt;zincirTolerans,"ZİNCİR KIRIK","OK")),"OK"))</f>
        <v/>
      </c>
      <c r="V6" s="28">
        <f>IF($A6="","",1)</f>
        <v/>
      </c>
    </row>
    <row r="7">
      <c r="A7" s="26" t="inlineStr">
        <is>
          <t>FAT-00002</t>
        </is>
      </c>
      <c r="B7" s="26" t="inlineStr">
        <is>
          <t>MUS-00002</t>
        </is>
      </c>
      <c r="C7" s="26" t="inlineStr">
        <is>
          <t>FR-2026-0002</t>
        </is>
      </c>
      <c r="D7" s="29" t="n">
        <v>46237</v>
      </c>
      <c r="E7" s="29" t="n"/>
      <c r="F7" s="26" t="inlineStr">
        <is>
          <t>ACIK</t>
        </is>
      </c>
      <c r="G7" s="26" t="inlineStr">
        <is>
          <t>HATIRLATMA</t>
        </is>
      </c>
      <c r="H7" s="27" t="n">
        <v>99000</v>
      </c>
      <c r="I7" s="27" t="n">
        <v>0</v>
      </c>
      <c r="J7" s="27" t="n">
        <v>99000</v>
      </c>
      <c r="K7" s="30" t="n">
        <v>26</v>
      </c>
      <c r="L7" s="26" t="inlineStr">
        <is>
          <t>Perakende</t>
        </is>
      </c>
      <c r="M7" s="26" t="inlineStr">
        <is>
          <t>B</t>
        </is>
      </c>
      <c r="N7" s="26" t="inlineStr">
        <is>
          <t>Takip notu 2</t>
        </is>
      </c>
      <c r="O7" s="28">
        <f>IF($A7="","",IF(OR($G7="TAHSIL",$G7="KAPALI"),0,IF($D7="","",raporTarihi-$D7)))</f>
        <v/>
      </c>
      <c r="P7" s="28">
        <f>IF($A7="","",IF($O7="","",IF($O7&lt;=trv_kovaEsik1,"0-30",IF($O7&lt;=trv_kovaEsik2,"31-60",IF($O7&lt;=trv_kovaEsik3,"61-90","90+")))))</f>
        <v/>
      </c>
      <c r="Q7" s="28">
        <f>IF(OR($A7="",$G7="TAHSIL",$G7="KAPALI"),"",IF($P7="0-30",trv_olasilikK1,IF($P7="31-60",trv_olasilikK2,IF($P7="61-90",trv_olasilikK3,trv_olasilikK4))))</f>
        <v/>
      </c>
      <c r="R7" s="28">
        <f>IF(OR($A7="",$Q7=""),"",$J7*(1-$Q7)*MAX(trv_riskTaban,$K7/100))</f>
        <v/>
      </c>
      <c r="S7" s="28">
        <f>IF($A7="","",IF($B7="","YETİM",IF(COUNTIF(tblKartlar[KartId],$B7)=0,"YETİM","")))</f>
        <v/>
      </c>
      <c r="T7" s="28">
        <f>IF(OR($A7="",$F7=""),"",IF(OR($F7&amp;"|"&amp;$G7="",COUNTIF(ListeIzinliGecis,$F7&amp;"|"&amp;$G7)&gt;0),"","GEÇERSİZ GEÇİŞ"))</f>
        <v/>
      </c>
      <c r="U7" s="28">
        <f>IF($A7="","",IF(OR($G7="TAHSIL",$I7&gt;0),IF(OR($H7="",$I7=""),"",IF(ABS($I7-$H7)&gt;zincirTolerans,"ZİNCİR KIRIK","OK")),"OK"))</f>
        <v/>
      </c>
      <c r="V7" s="28">
        <f>IF($A7="","",1)</f>
        <v/>
      </c>
    </row>
    <row r="8">
      <c r="A8" s="26" t="inlineStr">
        <is>
          <t>FAT-00003</t>
        </is>
      </c>
      <c r="B8" s="26" t="inlineStr">
        <is>
          <t>MUS-00003</t>
        </is>
      </c>
      <c r="C8" s="26" t="inlineStr">
        <is>
          <t>FR-2026-0003</t>
        </is>
      </c>
      <c r="D8" s="29" t="n">
        <v>46233</v>
      </c>
      <c r="E8" s="29" t="n"/>
      <c r="F8" s="26" t="inlineStr">
        <is>
          <t>HATIRLATMA</t>
        </is>
      </c>
      <c r="G8" s="26" t="inlineStr">
        <is>
          <t>IHTAR</t>
        </is>
      </c>
      <c r="H8" s="27" t="n">
        <v>108500</v>
      </c>
      <c r="I8" s="27" t="n">
        <v>0</v>
      </c>
      <c r="J8" s="27" t="n">
        <v>108500</v>
      </c>
      <c r="K8" s="30" t="n">
        <v>29</v>
      </c>
      <c r="L8" s="26" t="inlineStr">
        <is>
          <t>Gıda</t>
        </is>
      </c>
      <c r="M8" s="26" t="inlineStr">
        <is>
          <t>A</t>
        </is>
      </c>
      <c r="N8" s="26" t="inlineStr">
        <is>
          <t>Takip notu 3</t>
        </is>
      </c>
      <c r="O8" s="28">
        <f>IF($A8="","",IF(OR($G8="TAHSIL",$G8="KAPALI"),0,IF($D8="","",raporTarihi-$D8)))</f>
        <v/>
      </c>
      <c r="P8" s="28">
        <f>IF($A8="","",IF($O8="","",IF($O8&lt;=trv_kovaEsik1,"0-30",IF($O8&lt;=trv_kovaEsik2,"31-60",IF($O8&lt;=trv_kovaEsik3,"61-90","90+")))))</f>
        <v/>
      </c>
      <c r="Q8" s="28">
        <f>IF(OR($A8="",$G8="TAHSIL",$G8="KAPALI"),"",IF($P8="0-30",trv_olasilikK1,IF($P8="31-60",trv_olasilikK2,IF($P8="61-90",trv_olasilikK3,trv_olasilikK4))))</f>
        <v/>
      </c>
      <c r="R8" s="28">
        <f>IF(OR($A8="",$Q8=""),"",$J8*(1-$Q8)*MAX(trv_riskTaban,$K8/100))</f>
        <v/>
      </c>
      <c r="S8" s="28">
        <f>IF($A8="","",IF($B8="","YETİM",IF(COUNTIF(tblKartlar[KartId],$B8)=0,"YETİM","")))</f>
        <v/>
      </c>
      <c r="T8" s="28">
        <f>IF(OR($A8="",$F8=""),"",IF(OR($F8&amp;"|"&amp;$G8="",COUNTIF(ListeIzinliGecis,$F8&amp;"|"&amp;$G8)&gt;0),"","GEÇERSİZ GEÇİŞ"))</f>
        <v/>
      </c>
      <c r="U8" s="28">
        <f>IF($A8="","",IF(OR($G8="TAHSIL",$I8&gt;0),IF(OR($H8="",$I8=""),"",IF(ABS($I8-$H8)&gt;zincirTolerans,"ZİNCİR KIRIK","OK")),"OK"))</f>
        <v/>
      </c>
      <c r="V8" s="28">
        <f>IF($A8="","",1)</f>
        <v/>
      </c>
    </row>
    <row r="9">
      <c r="A9" s="26" t="inlineStr">
        <is>
          <t>FAT-00004</t>
        </is>
      </c>
      <c r="B9" s="26" t="inlineStr">
        <is>
          <t>MUS-00004</t>
        </is>
      </c>
      <c r="C9" s="26" t="inlineStr">
        <is>
          <t>FR-2026-0004</t>
        </is>
      </c>
      <c r="D9" s="29" t="n">
        <v>46229</v>
      </c>
      <c r="E9" s="29" t="n">
        <v>46243</v>
      </c>
      <c r="F9" s="26" t="inlineStr">
        <is>
          <t>IHTAR</t>
        </is>
      </c>
      <c r="G9" s="26" t="inlineStr">
        <is>
          <t>TAHSIL</t>
        </is>
      </c>
      <c r="H9" s="27" t="n">
        <v>118000</v>
      </c>
      <c r="I9" s="27" t="n">
        <v>118000</v>
      </c>
      <c r="J9" s="27" t="n">
        <v>0</v>
      </c>
      <c r="K9" s="30" t="n">
        <v>32</v>
      </c>
      <c r="L9" s="26" t="inlineStr">
        <is>
          <t>Lojistik</t>
        </is>
      </c>
      <c r="M9" s="26" t="inlineStr">
        <is>
          <t>B</t>
        </is>
      </c>
      <c r="N9" s="26" t="inlineStr">
        <is>
          <t>Takip notu 4</t>
        </is>
      </c>
      <c r="O9" s="28">
        <f>IF($A9="","",IF(OR($G9="TAHSIL",$G9="KAPALI"),0,IF($D9="","",raporTarihi-$D9)))</f>
        <v/>
      </c>
      <c r="P9" s="28">
        <f>IF($A9="","",IF($O9="","",IF($O9&lt;=trv_kovaEsik1,"0-30",IF($O9&lt;=trv_kovaEsik2,"31-60",IF($O9&lt;=trv_kovaEsik3,"61-90","90+")))))</f>
        <v/>
      </c>
      <c r="Q9" s="28">
        <f>IF(OR($A9="",$G9="TAHSIL",$G9="KAPALI"),"",IF($P9="0-30",trv_olasilikK1,IF($P9="31-60",trv_olasilikK2,IF($P9="61-90",trv_olasilikK3,trv_olasilikK4))))</f>
        <v/>
      </c>
      <c r="R9" s="28">
        <f>IF(OR($A9="",$Q9=""),"",$J9*(1-$Q9)*MAX(trv_riskTaban,$K9/100))</f>
        <v/>
      </c>
      <c r="S9" s="28">
        <f>IF($A9="","",IF($B9="","YETİM",IF(COUNTIF(tblKartlar[KartId],$B9)=0,"YETİM","")))</f>
        <v/>
      </c>
      <c r="T9" s="28">
        <f>IF(OR($A9="",$F9=""),"",IF(OR($F9&amp;"|"&amp;$G9="",COUNTIF(ListeIzinliGecis,$F9&amp;"|"&amp;$G9)&gt;0),"","GEÇERSİZ GEÇİŞ"))</f>
        <v/>
      </c>
      <c r="U9" s="28">
        <f>IF($A9="","",IF(OR($G9="TAHSIL",$I9&gt;0),IF(OR($H9="",$I9=""),"",IF(ABS($I9-$H9)&gt;zincirTolerans,"ZİNCİR KIRIK","OK")),"OK"))</f>
        <v/>
      </c>
      <c r="V9" s="28">
        <f>IF($A9="","",1)</f>
        <v/>
      </c>
    </row>
    <row r="10">
      <c r="A10" s="26" t="inlineStr">
        <is>
          <t>FAT-00005</t>
        </is>
      </c>
      <c r="B10" s="26" t="inlineStr">
        <is>
          <t>MUS-00005</t>
        </is>
      </c>
      <c r="C10" s="26" t="inlineStr">
        <is>
          <t>FR-2026-0005</t>
        </is>
      </c>
      <c r="D10" s="29" t="n">
        <v>46225</v>
      </c>
      <c r="E10" s="29" t="n"/>
      <c r="F10" s="26" t="inlineStr">
        <is>
          <t>IHTAR</t>
        </is>
      </c>
      <c r="G10" s="26" t="inlineStr">
        <is>
          <t>KAPALI</t>
        </is>
      </c>
      <c r="H10" s="27" t="n">
        <v>127500</v>
      </c>
      <c r="I10" s="27" t="n">
        <v>0</v>
      </c>
      <c r="J10" s="27" t="n">
        <v>0</v>
      </c>
      <c r="K10" s="30" t="n">
        <v>35</v>
      </c>
      <c r="L10" s="26" t="inlineStr">
        <is>
          <t>Enerji</t>
        </is>
      </c>
      <c r="M10" s="26" t="inlineStr">
        <is>
          <t>A</t>
        </is>
      </c>
      <c r="N10" s="26" t="inlineStr">
        <is>
          <t>Takip notu 5</t>
        </is>
      </c>
      <c r="O10" s="28">
        <f>IF($A10="","",IF(OR($G10="TAHSIL",$G10="KAPALI"),0,IF($D10="","",raporTarihi-$D10)))</f>
        <v/>
      </c>
      <c r="P10" s="28">
        <f>IF($A10="","",IF($O10="","",IF($O10&lt;=trv_kovaEsik1,"0-30",IF($O10&lt;=trv_kovaEsik2,"31-60",IF($O10&lt;=trv_kovaEsik3,"61-90","90+")))))</f>
        <v/>
      </c>
      <c r="Q10" s="28">
        <f>IF(OR($A10="",$G10="TAHSIL",$G10="KAPALI"),"",IF($P10="0-30",trv_olasilikK1,IF($P10="31-60",trv_olasilikK2,IF($P10="61-90",trv_olasilikK3,trv_olasilikK4))))</f>
        <v/>
      </c>
      <c r="R10" s="28">
        <f>IF(OR($A10="",$Q10=""),"",$J10*(1-$Q10)*MAX(trv_riskTaban,$K10/100))</f>
        <v/>
      </c>
      <c r="S10" s="28">
        <f>IF($A10="","",IF($B10="","YETİM",IF(COUNTIF(tblKartlar[KartId],$B10)=0,"YETİM","")))</f>
        <v/>
      </c>
      <c r="T10" s="28">
        <f>IF(OR($A10="",$F10=""),"",IF(OR($F10&amp;"|"&amp;$G10="",COUNTIF(ListeIzinliGecis,$F10&amp;"|"&amp;$G10)&gt;0),"","GEÇERSİZ GEÇİŞ"))</f>
        <v/>
      </c>
      <c r="U10" s="28">
        <f>IF($A10="","",IF(OR($G10="TAHSIL",$I10&gt;0),IF(OR($H10="",$I10=""),"",IF(ABS($I10-$H10)&gt;zincirTolerans,"ZİNCİR KIRIK","OK")),"OK"))</f>
        <v/>
      </c>
      <c r="V10" s="28">
        <f>IF($A10="","",1)</f>
        <v/>
      </c>
    </row>
    <row r="11">
      <c r="A11" s="26" t="inlineStr">
        <is>
          <t>FAT-00006</t>
        </is>
      </c>
      <c r="B11" s="26" t="inlineStr">
        <is>
          <t>MUS-00006</t>
        </is>
      </c>
      <c r="C11" s="26" t="inlineStr">
        <is>
          <t>FR-2026-0006</t>
        </is>
      </c>
      <c r="D11" s="29" t="n">
        <v>46221</v>
      </c>
      <c r="E11" s="29" t="n"/>
      <c r="F11" s="26" t="inlineStr">
        <is>
          <t>ACIK</t>
        </is>
      </c>
      <c r="G11" s="26" t="inlineStr">
        <is>
          <t>HATIRLATMA</t>
        </is>
      </c>
      <c r="H11" s="27" t="n">
        <v>137000</v>
      </c>
      <c r="I11" s="27" t="n">
        <v>0</v>
      </c>
      <c r="J11" s="27" t="n">
        <v>137000</v>
      </c>
      <c r="K11" s="30" t="n">
        <v>38</v>
      </c>
      <c r="L11" s="26" t="inlineStr">
        <is>
          <t>İnşaat</t>
        </is>
      </c>
      <c r="M11" s="26" t="inlineStr">
        <is>
          <t>B</t>
        </is>
      </c>
      <c r="N11" s="26" t="inlineStr">
        <is>
          <t>Takip notu 6</t>
        </is>
      </c>
      <c r="O11" s="28">
        <f>IF($A11="","",IF(OR($G11="TAHSIL",$G11="KAPALI"),0,IF($D11="","",raporTarihi-$D11)))</f>
        <v/>
      </c>
      <c r="P11" s="28">
        <f>IF($A11="","",IF($O11="","",IF($O11&lt;=trv_kovaEsik1,"0-30",IF($O11&lt;=trv_kovaEsik2,"31-60",IF($O11&lt;=trv_kovaEsik3,"61-90","90+")))))</f>
        <v/>
      </c>
      <c r="Q11" s="28">
        <f>IF(OR($A11="",$G11="TAHSIL",$G11="KAPALI"),"",IF($P11="0-30",trv_olasilikK1,IF($P11="31-60",trv_olasilikK2,IF($P11="61-90",trv_olasilikK3,trv_olasilikK4))))</f>
        <v/>
      </c>
      <c r="R11" s="28">
        <f>IF(OR($A11="",$Q11=""),"",$J11*(1-$Q11)*MAX(trv_riskTaban,$K11/100))</f>
        <v/>
      </c>
      <c r="S11" s="28">
        <f>IF($A11="","",IF($B11="","YETİM",IF(COUNTIF(tblKartlar[KartId],$B11)=0,"YETİM","")))</f>
        <v/>
      </c>
      <c r="T11" s="28">
        <f>IF(OR($A11="",$F11=""),"",IF(OR($F11&amp;"|"&amp;$G11="",COUNTIF(ListeIzinliGecis,$F11&amp;"|"&amp;$G11)&gt;0),"","GEÇERSİZ GEÇİŞ"))</f>
        <v/>
      </c>
      <c r="U11" s="28">
        <f>IF($A11="","",IF(OR($G11="TAHSIL",$I11&gt;0),IF(OR($H11="",$I11=""),"",IF(ABS($I11-$H11)&gt;zincirTolerans,"ZİNCİR KIRIK","OK")),"OK"))</f>
        <v/>
      </c>
      <c r="V11" s="28">
        <f>IF($A11="","",1)</f>
        <v/>
      </c>
    </row>
    <row r="12">
      <c r="A12" s="26" t="inlineStr">
        <is>
          <t>FAT-00007</t>
        </is>
      </c>
      <c r="B12" s="26" t="inlineStr">
        <is>
          <t>MUS-00007</t>
        </is>
      </c>
      <c r="C12" s="26" t="inlineStr">
        <is>
          <t>FR-2026-0007</t>
        </is>
      </c>
      <c r="D12" s="29" t="n">
        <v>46217</v>
      </c>
      <c r="E12" s="29" t="n"/>
      <c r="F12" s="26" t="inlineStr">
        <is>
          <t>HATIRLATMA</t>
        </is>
      </c>
      <c r="G12" s="26" t="inlineStr">
        <is>
          <t>IHTAR</t>
        </is>
      </c>
      <c r="H12" s="27" t="n">
        <v>146500</v>
      </c>
      <c r="I12" s="27" t="n">
        <v>0</v>
      </c>
      <c r="J12" s="27" t="n">
        <v>146500</v>
      </c>
      <c r="K12" s="30" t="n">
        <v>41</v>
      </c>
      <c r="L12" s="26" t="inlineStr">
        <is>
          <t>Tarım</t>
        </is>
      </c>
      <c r="M12" s="26" t="inlineStr">
        <is>
          <t>A</t>
        </is>
      </c>
      <c r="N12" s="26" t="inlineStr">
        <is>
          <t>Takip notu 7</t>
        </is>
      </c>
      <c r="O12" s="28">
        <f>IF($A12="","",IF(OR($G12="TAHSIL",$G12="KAPALI"),0,IF($D12="","",raporTarihi-$D12)))</f>
        <v/>
      </c>
      <c r="P12" s="28">
        <f>IF($A12="","",IF($O12="","",IF($O12&lt;=trv_kovaEsik1,"0-30",IF($O12&lt;=trv_kovaEsik2,"31-60",IF($O12&lt;=trv_kovaEsik3,"61-90","90+")))))</f>
        <v/>
      </c>
      <c r="Q12" s="28">
        <f>IF(OR($A12="",$G12="TAHSIL",$G12="KAPALI"),"",IF($P12="0-30",trv_olasilikK1,IF($P12="31-60",trv_olasilikK2,IF($P12="61-90",trv_olasilikK3,trv_olasilikK4))))</f>
        <v/>
      </c>
      <c r="R12" s="28">
        <f>IF(OR($A12="",$Q12=""),"",$J12*(1-$Q12)*MAX(trv_riskTaban,$K12/100))</f>
        <v/>
      </c>
      <c r="S12" s="28">
        <f>IF($A12="","",IF($B12="","YETİM",IF(COUNTIF(tblKartlar[KartId],$B12)=0,"YETİM","")))</f>
        <v/>
      </c>
      <c r="T12" s="28">
        <f>IF(OR($A12="",$F12=""),"",IF(OR($F12&amp;"|"&amp;$G12="",COUNTIF(ListeIzinliGecis,$F12&amp;"|"&amp;$G12)&gt;0),"","GEÇERSİZ GEÇİŞ"))</f>
        <v/>
      </c>
      <c r="U12" s="28">
        <f>IF($A12="","",IF(OR($G12="TAHSIL",$I12&gt;0),IF(OR($H12="",$I12=""),"",IF(ABS($I12-$H12)&gt;zincirTolerans,"ZİNCİR KIRIK","OK")),"OK"))</f>
        <v/>
      </c>
      <c r="V12" s="28">
        <f>IF($A12="","",1)</f>
        <v/>
      </c>
    </row>
    <row r="13">
      <c r="A13" s="26" t="inlineStr">
        <is>
          <t>FAT-00008</t>
        </is>
      </c>
      <c r="B13" s="26" t="inlineStr">
        <is>
          <t>MUS-00008</t>
        </is>
      </c>
      <c r="C13" s="26" t="inlineStr">
        <is>
          <t>FR-2026-0008</t>
        </is>
      </c>
      <c r="D13" s="29" t="n">
        <v>46213</v>
      </c>
      <c r="E13" s="29" t="n"/>
      <c r="F13" s="26" t="inlineStr">
        <is>
          <t>ACIK</t>
        </is>
      </c>
      <c r="G13" s="26" t="inlineStr">
        <is>
          <t>ACIK</t>
        </is>
      </c>
      <c r="H13" s="27" t="n">
        <v>156000</v>
      </c>
      <c r="I13" s="27" t="n">
        <v>0</v>
      </c>
      <c r="J13" s="27" t="n">
        <v>156000</v>
      </c>
      <c r="K13" s="30" t="n">
        <v>44</v>
      </c>
      <c r="L13" s="26" t="inlineStr">
        <is>
          <t>Sağlık</t>
        </is>
      </c>
      <c r="M13" s="26" t="inlineStr">
        <is>
          <t>B</t>
        </is>
      </c>
      <c r="N13" s="26" t="inlineStr">
        <is>
          <t>Takip notu 8</t>
        </is>
      </c>
      <c r="O13" s="28">
        <f>IF($A13="","",IF(OR($G13="TAHSIL",$G13="KAPALI"),0,IF($D13="","",raporTarihi-$D13)))</f>
        <v/>
      </c>
      <c r="P13" s="28">
        <f>IF($A13="","",IF($O13="","",IF($O13&lt;=trv_kovaEsik1,"0-30",IF($O13&lt;=trv_kovaEsik2,"31-60",IF($O13&lt;=trv_kovaEsik3,"61-90","90+")))))</f>
        <v/>
      </c>
      <c r="Q13" s="28">
        <f>IF(OR($A13="",$G13="TAHSIL",$G13="KAPALI"),"",IF($P13="0-30",trv_olasilikK1,IF($P13="31-60",trv_olasilikK2,IF($P13="61-90",trv_olasilikK3,trv_olasilikK4))))</f>
        <v/>
      </c>
      <c r="R13" s="28">
        <f>IF(OR($A13="",$Q13=""),"",$J13*(1-$Q13)*MAX(trv_riskTaban,$K13/100))</f>
        <v/>
      </c>
      <c r="S13" s="28">
        <f>IF($A13="","",IF($B13="","YETİM",IF(COUNTIF(tblKartlar[KartId],$B13)=0,"YETİM","")))</f>
        <v/>
      </c>
      <c r="T13" s="28">
        <f>IF(OR($A13="",$F13=""),"",IF(OR($F13&amp;"|"&amp;$G13="",COUNTIF(ListeIzinliGecis,$F13&amp;"|"&amp;$G13)&gt;0),"","GEÇERSİZ GEÇİŞ"))</f>
        <v/>
      </c>
      <c r="U13" s="28">
        <f>IF($A13="","",IF(OR($G13="TAHSIL",$I13&gt;0),IF(OR($H13="",$I13=""),"",IF(ABS($I13-$H13)&gt;zincirTolerans,"ZİNCİR KIRIK","OK")),"OK"))</f>
        <v/>
      </c>
      <c r="V13" s="28">
        <f>IF($A13="","",1)</f>
        <v/>
      </c>
    </row>
    <row r="14">
      <c r="A14" s="26" t="inlineStr">
        <is>
          <t>FAT-00009</t>
        </is>
      </c>
      <c r="B14" s="26" t="inlineStr">
        <is>
          <t>MUS-00001</t>
        </is>
      </c>
      <c r="C14" s="26" t="inlineStr">
        <is>
          <t>FR-2026-0009</t>
        </is>
      </c>
      <c r="D14" s="29" t="n">
        <v>46209</v>
      </c>
      <c r="E14" s="29" t="n"/>
      <c r="F14" s="26" t="n"/>
      <c r="G14" s="26" t="inlineStr">
        <is>
          <t>ACIK</t>
        </is>
      </c>
      <c r="H14" s="27" t="n">
        <v>165500</v>
      </c>
      <c r="I14" s="27" t="n">
        <v>0</v>
      </c>
      <c r="J14" s="27" t="n">
        <v>165500</v>
      </c>
      <c r="K14" s="30" t="n">
        <v>47</v>
      </c>
      <c r="L14" s="26" t="inlineStr">
        <is>
          <t>Toptan</t>
        </is>
      </c>
      <c r="M14" s="26" t="inlineStr">
        <is>
          <t>A</t>
        </is>
      </c>
      <c r="N14" s="26" t="inlineStr">
        <is>
          <t>Takip notu 9</t>
        </is>
      </c>
      <c r="O14" s="28">
        <f>IF($A14="","",IF(OR($G14="TAHSIL",$G14="KAPALI"),0,IF($D14="","",raporTarihi-$D14)))</f>
        <v/>
      </c>
      <c r="P14" s="28">
        <f>IF($A14="","",IF($O14="","",IF($O14&lt;=trv_kovaEsik1,"0-30",IF($O14&lt;=trv_kovaEsik2,"31-60",IF($O14&lt;=trv_kovaEsik3,"61-90","90+")))))</f>
        <v/>
      </c>
      <c r="Q14" s="28">
        <f>IF(OR($A14="",$G14="TAHSIL",$G14="KAPALI"),"",IF($P14="0-30",trv_olasilikK1,IF($P14="31-60",trv_olasilikK2,IF($P14="61-90",trv_olasilikK3,trv_olasilikK4))))</f>
        <v/>
      </c>
      <c r="R14" s="28">
        <f>IF(OR($A14="",$Q14=""),"",$J14*(1-$Q14)*MAX(trv_riskTaban,$K14/100))</f>
        <v/>
      </c>
      <c r="S14" s="28">
        <f>IF($A14="","",IF($B14="","YETİM",IF(COUNTIF(tblKartlar[KartId],$B14)=0,"YETİM","")))</f>
        <v/>
      </c>
      <c r="T14" s="28">
        <f>IF(OR($A14="",$F14=""),"",IF(OR($F14&amp;"|"&amp;$G14="",COUNTIF(ListeIzinliGecis,$F14&amp;"|"&amp;$G14)&gt;0),"","GEÇERSİZ GEÇİŞ"))</f>
        <v/>
      </c>
      <c r="U14" s="28">
        <f>IF($A14="","",IF(OR($G14="TAHSIL",$I14&gt;0),IF(OR($H14="",$I14=""),"",IF(ABS($I14-$H14)&gt;zincirTolerans,"ZİNCİR KIRIK","OK")),"OK"))</f>
        <v/>
      </c>
      <c r="V14" s="28">
        <f>IF($A14="","",1)</f>
        <v/>
      </c>
    </row>
    <row r="15">
      <c r="A15" s="26" t="inlineStr">
        <is>
          <t>FAT-00010</t>
        </is>
      </c>
      <c r="B15" s="26" t="inlineStr">
        <is>
          <t>MUS-00002</t>
        </is>
      </c>
      <c r="C15" s="26" t="inlineStr">
        <is>
          <t>FR-2026-0010</t>
        </is>
      </c>
      <c r="D15" s="29" t="n">
        <v>46205</v>
      </c>
      <c r="E15" s="29" t="n"/>
      <c r="F15" s="26" t="inlineStr">
        <is>
          <t>ACIK</t>
        </is>
      </c>
      <c r="G15" s="26" t="inlineStr">
        <is>
          <t>HATIRLATMA</t>
        </is>
      </c>
      <c r="H15" s="27" t="n">
        <v>175000</v>
      </c>
      <c r="I15" s="27" t="n">
        <v>0</v>
      </c>
      <c r="J15" s="27" t="n">
        <v>175000</v>
      </c>
      <c r="K15" s="30" t="n">
        <v>50</v>
      </c>
      <c r="L15" s="26" t="inlineStr">
        <is>
          <t>Perakende</t>
        </is>
      </c>
      <c r="M15" s="26" t="inlineStr">
        <is>
          <t>B</t>
        </is>
      </c>
      <c r="N15" s="26" t="inlineStr">
        <is>
          <t>Takip notu 10</t>
        </is>
      </c>
      <c r="O15" s="28">
        <f>IF($A15="","",IF(OR($G15="TAHSIL",$G15="KAPALI"),0,IF($D15="","",raporTarihi-$D15)))</f>
        <v/>
      </c>
      <c r="P15" s="28">
        <f>IF($A15="","",IF($O15="","",IF($O15&lt;=trv_kovaEsik1,"0-30",IF($O15&lt;=trv_kovaEsik2,"31-60",IF($O15&lt;=trv_kovaEsik3,"61-90","90+")))))</f>
        <v/>
      </c>
      <c r="Q15" s="28">
        <f>IF(OR($A15="",$G15="TAHSIL",$G15="KAPALI"),"",IF($P15="0-30",trv_olasilikK1,IF($P15="31-60",trv_olasilikK2,IF($P15="61-90",trv_olasilikK3,trv_olasilikK4))))</f>
        <v/>
      </c>
      <c r="R15" s="28">
        <f>IF(OR($A15="",$Q15=""),"",$J15*(1-$Q15)*MAX(trv_riskTaban,$K15/100))</f>
        <v/>
      </c>
      <c r="S15" s="28">
        <f>IF($A15="","",IF($B15="","YETİM",IF(COUNTIF(tblKartlar[KartId],$B15)=0,"YETİM","")))</f>
        <v/>
      </c>
      <c r="T15" s="28">
        <f>IF(OR($A15="",$F15=""),"",IF(OR($F15&amp;"|"&amp;$G15="",COUNTIF(ListeIzinliGecis,$F15&amp;"|"&amp;$G15)&gt;0),"","GEÇERSİZ GEÇİŞ"))</f>
        <v/>
      </c>
      <c r="U15" s="28">
        <f>IF($A15="","",IF(OR($G15="TAHSIL",$I15&gt;0),IF(OR($H15="",$I15=""),"",IF(ABS($I15-$H15)&gt;zincirTolerans,"ZİNCİR KIRIK","OK")),"OK"))</f>
        <v/>
      </c>
      <c r="V15" s="28">
        <f>IF($A15="","",1)</f>
        <v/>
      </c>
    </row>
    <row r="16">
      <c r="A16" s="26" t="inlineStr">
        <is>
          <t>FAT-00011</t>
        </is>
      </c>
      <c r="B16" s="26" t="inlineStr">
        <is>
          <t>MUS-00003</t>
        </is>
      </c>
      <c r="C16" s="26" t="inlineStr">
        <is>
          <t>FR-2026-0011</t>
        </is>
      </c>
      <c r="D16" s="29" t="n">
        <v>46201</v>
      </c>
      <c r="E16" s="29" t="n"/>
      <c r="F16" s="26" t="inlineStr">
        <is>
          <t>HATIRLATMA</t>
        </is>
      </c>
      <c r="G16" s="26" t="inlineStr">
        <is>
          <t>IHTAR</t>
        </is>
      </c>
      <c r="H16" s="27" t="n">
        <v>184500</v>
      </c>
      <c r="I16" s="27" t="n">
        <v>0</v>
      </c>
      <c r="J16" s="27" t="n">
        <v>184500</v>
      </c>
      <c r="K16" s="30" t="n">
        <v>53</v>
      </c>
      <c r="L16" s="26" t="inlineStr">
        <is>
          <t>Gıda</t>
        </is>
      </c>
      <c r="M16" s="26" t="inlineStr">
        <is>
          <t>A</t>
        </is>
      </c>
      <c r="N16" s="26" t="inlineStr">
        <is>
          <t>Takip notu 11</t>
        </is>
      </c>
      <c r="O16" s="28">
        <f>IF($A16="","",IF(OR($G16="TAHSIL",$G16="KAPALI"),0,IF($D16="","",raporTarihi-$D16)))</f>
        <v/>
      </c>
      <c r="P16" s="28">
        <f>IF($A16="","",IF($O16="","",IF($O16&lt;=trv_kovaEsik1,"0-30",IF($O16&lt;=trv_kovaEsik2,"31-60",IF($O16&lt;=trv_kovaEsik3,"61-90","90+")))))</f>
        <v/>
      </c>
      <c r="Q16" s="28">
        <f>IF(OR($A16="",$G16="TAHSIL",$G16="KAPALI"),"",IF($P16="0-30",trv_olasilikK1,IF($P16="31-60",trv_olasilikK2,IF($P16="61-90",trv_olasilikK3,trv_olasilikK4))))</f>
        <v/>
      </c>
      <c r="R16" s="28">
        <f>IF(OR($A16="",$Q16=""),"",$J16*(1-$Q16)*MAX(trv_riskTaban,$K16/100))</f>
        <v/>
      </c>
      <c r="S16" s="28">
        <f>IF($A16="","",IF($B16="","YETİM",IF(COUNTIF(tblKartlar[KartId],$B16)=0,"YETİM","")))</f>
        <v/>
      </c>
      <c r="T16" s="28">
        <f>IF(OR($A16="",$F16=""),"",IF(OR($F16&amp;"|"&amp;$G16="",COUNTIF(ListeIzinliGecis,$F16&amp;"|"&amp;$G16)&gt;0),"","GEÇERSİZ GEÇİŞ"))</f>
        <v/>
      </c>
      <c r="U16" s="28">
        <f>IF($A16="","",IF(OR($G16="TAHSIL",$I16&gt;0),IF(OR($H16="",$I16=""),"",IF(ABS($I16-$H16)&gt;zincirTolerans,"ZİNCİR KIRIK","OK")),"OK"))</f>
        <v/>
      </c>
      <c r="V16" s="28">
        <f>IF($A16="","",1)</f>
        <v/>
      </c>
    </row>
    <row r="17">
      <c r="A17" s="26" t="inlineStr">
        <is>
          <t>FAT-00012</t>
        </is>
      </c>
      <c r="B17" s="26" t="inlineStr">
        <is>
          <t>MUS-00004</t>
        </is>
      </c>
      <c r="C17" s="26" t="inlineStr">
        <is>
          <t>FR-2026-0012</t>
        </is>
      </c>
      <c r="D17" s="29" t="n">
        <v>46197</v>
      </c>
      <c r="E17" s="29" t="n">
        <v>46243</v>
      </c>
      <c r="F17" s="26" t="inlineStr">
        <is>
          <t>IHTAR</t>
        </is>
      </c>
      <c r="G17" s="26" t="inlineStr">
        <is>
          <t>TAHSIL</t>
        </is>
      </c>
      <c r="H17" s="27" t="n">
        <v>194000</v>
      </c>
      <c r="I17" s="27" t="n">
        <v>182000</v>
      </c>
      <c r="J17" s="27" t="n">
        <v>0</v>
      </c>
      <c r="K17" s="30" t="n">
        <v>56</v>
      </c>
      <c r="L17" s="26" t="inlineStr">
        <is>
          <t>Lojistik</t>
        </is>
      </c>
      <c r="M17" s="26" t="inlineStr">
        <is>
          <t>B</t>
        </is>
      </c>
      <c r="N17" s="26" t="inlineStr">
        <is>
          <t>Takip notu 12</t>
        </is>
      </c>
      <c r="O17" s="28">
        <f>IF($A17="","",IF(OR($G17="TAHSIL",$G17="KAPALI"),0,IF($D17="","",raporTarihi-$D17)))</f>
        <v/>
      </c>
      <c r="P17" s="28">
        <f>IF($A17="","",IF($O17="","",IF($O17&lt;=trv_kovaEsik1,"0-30",IF($O17&lt;=trv_kovaEsik2,"31-60",IF($O17&lt;=trv_kovaEsik3,"61-90","90+")))))</f>
        <v/>
      </c>
      <c r="Q17" s="28">
        <f>IF(OR($A17="",$G17="TAHSIL",$G17="KAPALI"),"",IF($P17="0-30",trv_olasilikK1,IF($P17="31-60",trv_olasilikK2,IF($P17="61-90",trv_olasilikK3,trv_olasilikK4))))</f>
        <v/>
      </c>
      <c r="R17" s="28">
        <f>IF(OR($A17="",$Q17=""),"",$J17*(1-$Q17)*MAX(trv_riskTaban,$K17/100))</f>
        <v/>
      </c>
      <c r="S17" s="28">
        <f>IF($A17="","",IF($B17="","YETİM",IF(COUNTIF(tblKartlar[KartId],$B17)=0,"YETİM","")))</f>
        <v/>
      </c>
      <c r="T17" s="28">
        <f>IF(OR($A17="",$F17=""),"",IF(OR($F17&amp;"|"&amp;$G17="",COUNTIF(ListeIzinliGecis,$F17&amp;"|"&amp;$G17)&gt;0),"","GEÇERSİZ GEÇİŞ"))</f>
        <v/>
      </c>
      <c r="U17" s="28">
        <f>IF($A17="","",IF(OR($G17="TAHSIL",$I17&gt;0),IF(OR($H17="",$I17=""),"",IF(ABS($I17-$H17)&gt;zincirTolerans,"ZİNCİR KIRIK","OK")),"OK"))</f>
        <v/>
      </c>
      <c r="V17" s="28">
        <f>IF($A17="","",1)</f>
        <v/>
      </c>
    </row>
    <row r="18">
      <c r="A18" s="26" t="inlineStr">
        <is>
          <t>FAT-00013</t>
        </is>
      </c>
      <c r="B18" s="26" t="inlineStr">
        <is>
          <t>MUS-00005</t>
        </is>
      </c>
      <c r="C18" s="26" t="inlineStr">
        <is>
          <t>FR-2026-0013</t>
        </is>
      </c>
      <c r="D18" s="29" t="n">
        <v>46193</v>
      </c>
      <c r="E18" s="29" t="n"/>
      <c r="F18" s="26" t="inlineStr">
        <is>
          <t>IHTAR</t>
        </is>
      </c>
      <c r="G18" s="26" t="inlineStr">
        <is>
          <t>KAPALI</t>
        </is>
      </c>
      <c r="H18" s="27" t="n">
        <v>203500</v>
      </c>
      <c r="I18" s="27" t="n">
        <v>0</v>
      </c>
      <c r="J18" s="27" t="n">
        <v>0</v>
      </c>
      <c r="K18" s="30" t="n">
        <v>59</v>
      </c>
      <c r="L18" s="26" t="inlineStr">
        <is>
          <t>Enerji</t>
        </is>
      </c>
      <c r="M18" s="26" t="inlineStr">
        <is>
          <t>A</t>
        </is>
      </c>
      <c r="N18" s="26" t="inlineStr">
        <is>
          <t>Takip notu 13</t>
        </is>
      </c>
      <c r="O18" s="28">
        <f>IF($A18="","",IF(OR($G18="TAHSIL",$G18="KAPALI"),0,IF($D18="","",raporTarihi-$D18)))</f>
        <v/>
      </c>
      <c r="P18" s="28">
        <f>IF($A18="","",IF($O18="","",IF($O18&lt;=trv_kovaEsik1,"0-30",IF($O18&lt;=trv_kovaEsik2,"31-60",IF($O18&lt;=trv_kovaEsik3,"61-90","90+")))))</f>
        <v/>
      </c>
      <c r="Q18" s="28">
        <f>IF(OR($A18="",$G18="TAHSIL",$G18="KAPALI"),"",IF($P18="0-30",trv_olasilikK1,IF($P18="31-60",trv_olasilikK2,IF($P18="61-90",trv_olasilikK3,trv_olasilikK4))))</f>
        <v/>
      </c>
      <c r="R18" s="28">
        <f>IF(OR($A18="",$Q18=""),"",$J18*(1-$Q18)*MAX(trv_riskTaban,$K18/100))</f>
        <v/>
      </c>
      <c r="S18" s="28">
        <f>IF($A18="","",IF($B18="","YETİM",IF(COUNTIF(tblKartlar[KartId],$B18)=0,"YETİM","")))</f>
        <v/>
      </c>
      <c r="T18" s="28">
        <f>IF(OR($A18="",$F18=""),"",IF(OR($F18&amp;"|"&amp;$G18="",COUNTIF(ListeIzinliGecis,$F18&amp;"|"&amp;$G18)&gt;0),"","GEÇERSİZ GEÇİŞ"))</f>
        <v/>
      </c>
      <c r="U18" s="28">
        <f>IF($A18="","",IF(OR($G18="TAHSIL",$I18&gt;0),IF(OR($H18="",$I18=""),"",IF(ABS($I18-$H18)&gt;zincirTolerans,"ZİNCİR KIRIK","OK")),"OK"))</f>
        <v/>
      </c>
      <c r="V18" s="28">
        <f>IF($A18="","",1)</f>
        <v/>
      </c>
    </row>
    <row r="19">
      <c r="A19" s="26" t="inlineStr">
        <is>
          <t>FAT-00014</t>
        </is>
      </c>
      <c r="B19" s="26" t="inlineStr">
        <is>
          <t>MUS-00006</t>
        </is>
      </c>
      <c r="C19" s="26" t="inlineStr">
        <is>
          <t>FR-2026-0014</t>
        </is>
      </c>
      <c r="D19" s="29" t="n">
        <v>46189</v>
      </c>
      <c r="E19" s="29" t="n"/>
      <c r="F19" s="26" t="inlineStr">
        <is>
          <t>ACIK</t>
        </is>
      </c>
      <c r="G19" s="26" t="inlineStr">
        <is>
          <t>HATIRLATMA</t>
        </is>
      </c>
      <c r="H19" s="27" t="n">
        <v>213000</v>
      </c>
      <c r="I19" s="27" t="n">
        <v>0</v>
      </c>
      <c r="J19" s="27" t="n">
        <v>213000</v>
      </c>
      <c r="K19" s="30" t="n">
        <v>62</v>
      </c>
      <c r="L19" s="26" t="inlineStr">
        <is>
          <t>İnşaat</t>
        </is>
      </c>
      <c r="M19" s="26" t="inlineStr">
        <is>
          <t>B</t>
        </is>
      </c>
      <c r="N19" s="26" t="inlineStr">
        <is>
          <t>Takip notu 14</t>
        </is>
      </c>
      <c r="O19" s="28">
        <f>IF($A19="","",IF(OR($G19="TAHSIL",$G19="KAPALI"),0,IF($D19="","",raporTarihi-$D19)))</f>
        <v/>
      </c>
      <c r="P19" s="28">
        <f>IF($A19="","",IF($O19="","",IF($O19&lt;=trv_kovaEsik1,"0-30",IF($O19&lt;=trv_kovaEsik2,"31-60",IF($O19&lt;=trv_kovaEsik3,"61-90","90+")))))</f>
        <v/>
      </c>
      <c r="Q19" s="28">
        <f>IF(OR($A19="",$G19="TAHSIL",$G19="KAPALI"),"",IF($P19="0-30",trv_olasilikK1,IF($P19="31-60",trv_olasilikK2,IF($P19="61-90",trv_olasilikK3,trv_olasilikK4))))</f>
        <v/>
      </c>
      <c r="R19" s="28">
        <f>IF(OR($A19="",$Q19=""),"",$J19*(1-$Q19)*MAX(trv_riskTaban,$K19/100))</f>
        <v/>
      </c>
      <c r="S19" s="28">
        <f>IF($A19="","",IF($B19="","YETİM",IF(COUNTIF(tblKartlar[KartId],$B19)=0,"YETİM","")))</f>
        <v/>
      </c>
      <c r="T19" s="28">
        <f>IF(OR($A19="",$F19=""),"",IF(OR($F19&amp;"|"&amp;$G19="",COUNTIF(ListeIzinliGecis,$F19&amp;"|"&amp;$G19)&gt;0),"","GEÇERSİZ GEÇİŞ"))</f>
        <v/>
      </c>
      <c r="U19" s="28">
        <f>IF($A19="","",IF(OR($G19="TAHSIL",$I19&gt;0),IF(OR($H19="",$I19=""),"",IF(ABS($I19-$H19)&gt;zincirTolerans,"ZİNCİR KIRIK","OK")),"OK"))</f>
        <v/>
      </c>
      <c r="V19" s="28">
        <f>IF($A19="","",1)</f>
        <v/>
      </c>
    </row>
    <row r="20">
      <c r="A20" s="26" t="inlineStr">
        <is>
          <t>FAT-00015</t>
        </is>
      </c>
      <c r="B20" s="26" t="inlineStr">
        <is>
          <t>MUS-00007</t>
        </is>
      </c>
      <c r="C20" s="26" t="inlineStr">
        <is>
          <t>FR-2026-0015</t>
        </is>
      </c>
      <c r="D20" s="29" t="n">
        <v>46185</v>
      </c>
      <c r="E20" s="29" t="n"/>
      <c r="F20" s="26" t="inlineStr">
        <is>
          <t>HATIRLATMA</t>
        </is>
      </c>
      <c r="G20" s="26" t="inlineStr">
        <is>
          <t>IHTAR</t>
        </is>
      </c>
      <c r="H20" s="27" t="n">
        <v>222500</v>
      </c>
      <c r="I20" s="27" t="n">
        <v>0</v>
      </c>
      <c r="J20" s="27" t="n">
        <v>222500</v>
      </c>
      <c r="K20" s="30" t="n">
        <v>65</v>
      </c>
      <c r="L20" s="26" t="inlineStr">
        <is>
          <t>Tarım</t>
        </is>
      </c>
      <c r="M20" s="26" t="inlineStr">
        <is>
          <t>A</t>
        </is>
      </c>
      <c r="N20" s="26" t="inlineStr">
        <is>
          <t>Takip notu 15</t>
        </is>
      </c>
      <c r="O20" s="28">
        <f>IF($A20="","",IF(OR($G20="TAHSIL",$G20="KAPALI"),0,IF($D20="","",raporTarihi-$D20)))</f>
        <v/>
      </c>
      <c r="P20" s="28">
        <f>IF($A20="","",IF($O20="","",IF($O20&lt;=trv_kovaEsik1,"0-30",IF($O20&lt;=trv_kovaEsik2,"31-60",IF($O20&lt;=trv_kovaEsik3,"61-90","90+")))))</f>
        <v/>
      </c>
      <c r="Q20" s="28">
        <f>IF(OR($A20="",$G20="TAHSIL",$G20="KAPALI"),"",IF($P20="0-30",trv_olasilikK1,IF($P20="31-60",trv_olasilikK2,IF($P20="61-90",trv_olasilikK3,trv_olasilikK4))))</f>
        <v/>
      </c>
      <c r="R20" s="28">
        <f>IF(OR($A20="",$Q20=""),"",$J20*(1-$Q20)*MAX(trv_riskTaban,$K20/100))</f>
        <v/>
      </c>
      <c r="S20" s="28">
        <f>IF($A20="","",IF($B20="","YETİM",IF(COUNTIF(tblKartlar[KartId],$B20)=0,"YETİM","")))</f>
        <v/>
      </c>
      <c r="T20" s="28">
        <f>IF(OR($A20="",$F20=""),"",IF(OR($F20&amp;"|"&amp;$G20="",COUNTIF(ListeIzinliGecis,$F20&amp;"|"&amp;$G20)&gt;0),"","GEÇERSİZ GEÇİŞ"))</f>
        <v/>
      </c>
      <c r="U20" s="28">
        <f>IF($A20="","",IF(OR($G20="TAHSIL",$I20&gt;0),IF(OR($H20="",$I20=""),"",IF(ABS($I20-$H20)&gt;zincirTolerans,"ZİNCİR KIRIK","OK")),"OK"))</f>
        <v/>
      </c>
      <c r="V20" s="28">
        <f>IF($A20="","",1)</f>
        <v/>
      </c>
    </row>
    <row r="21">
      <c r="A21" s="26" t="inlineStr">
        <is>
          <t>FAT-00016</t>
        </is>
      </c>
      <c r="B21" s="26" t="inlineStr">
        <is>
          <t>MUS-00008</t>
        </is>
      </c>
      <c r="C21" s="26" t="inlineStr">
        <is>
          <t>FR-2026-0016</t>
        </is>
      </c>
      <c r="D21" s="29" t="n">
        <v>46181</v>
      </c>
      <c r="E21" s="29" t="n"/>
      <c r="F21" s="26" t="inlineStr">
        <is>
          <t>ACIK</t>
        </is>
      </c>
      <c r="G21" s="26" t="inlineStr">
        <is>
          <t>ACIK</t>
        </is>
      </c>
      <c r="H21" s="27" t="n">
        <v>232000</v>
      </c>
      <c r="I21" s="27" t="n">
        <v>0</v>
      </c>
      <c r="J21" s="27" t="n">
        <v>232000</v>
      </c>
      <c r="K21" s="30" t="n">
        <v>68</v>
      </c>
      <c r="L21" s="26" t="inlineStr">
        <is>
          <t>Sağlık</t>
        </is>
      </c>
      <c r="M21" s="26" t="inlineStr">
        <is>
          <t>B</t>
        </is>
      </c>
      <c r="N21" s="26" t="inlineStr">
        <is>
          <t>Takip notu 16</t>
        </is>
      </c>
      <c r="O21" s="28">
        <f>IF($A21="","",IF(OR($G21="TAHSIL",$G21="KAPALI"),0,IF($D21="","",raporTarihi-$D21)))</f>
        <v/>
      </c>
      <c r="P21" s="28">
        <f>IF($A21="","",IF($O21="","",IF($O21&lt;=trv_kovaEsik1,"0-30",IF($O21&lt;=trv_kovaEsik2,"31-60",IF($O21&lt;=trv_kovaEsik3,"61-90","90+")))))</f>
        <v/>
      </c>
      <c r="Q21" s="28">
        <f>IF(OR($A21="",$G21="TAHSIL",$G21="KAPALI"),"",IF($P21="0-30",trv_olasilikK1,IF($P21="31-60",trv_olasilikK2,IF($P21="61-90",trv_olasilikK3,trv_olasilikK4))))</f>
        <v/>
      </c>
      <c r="R21" s="28">
        <f>IF(OR($A21="",$Q21=""),"",$J21*(1-$Q21)*MAX(trv_riskTaban,$K21/100))</f>
        <v/>
      </c>
      <c r="S21" s="28">
        <f>IF($A21="","",IF($B21="","YETİM",IF(COUNTIF(tblKartlar[KartId],$B21)=0,"YETİM","")))</f>
        <v/>
      </c>
      <c r="T21" s="28">
        <f>IF(OR($A21="",$F21=""),"",IF(OR($F21&amp;"|"&amp;$G21="",COUNTIF(ListeIzinliGecis,$F21&amp;"|"&amp;$G21)&gt;0),"","GEÇERSİZ GEÇİŞ"))</f>
        <v/>
      </c>
      <c r="U21" s="28">
        <f>IF($A21="","",IF(OR($G21="TAHSIL",$I21&gt;0),IF(OR($H21="",$I21=""),"",IF(ABS($I21-$H21)&gt;zincirTolerans,"ZİNCİR KIRIK","OK")),"OK"))</f>
        <v/>
      </c>
      <c r="V21" s="28">
        <f>IF($A21="","",1)</f>
        <v/>
      </c>
    </row>
    <row r="22">
      <c r="A22" s="26" t="inlineStr">
        <is>
          <t>FAT-00017</t>
        </is>
      </c>
      <c r="B22" s="26" t="inlineStr">
        <is>
          <t>MUS-00001</t>
        </is>
      </c>
      <c r="C22" s="26" t="inlineStr">
        <is>
          <t>FR-2026-0017</t>
        </is>
      </c>
      <c r="D22" s="29" t="n">
        <v>46177</v>
      </c>
      <c r="E22" s="29" t="n"/>
      <c r="F22" s="26" t="n"/>
      <c r="G22" s="26" t="inlineStr">
        <is>
          <t>ACIK</t>
        </is>
      </c>
      <c r="H22" s="27" t="n">
        <v>241500</v>
      </c>
      <c r="I22" s="27" t="n">
        <v>0</v>
      </c>
      <c r="J22" s="27" t="n">
        <v>241500</v>
      </c>
      <c r="K22" s="30" t="n">
        <v>71</v>
      </c>
      <c r="L22" s="26" t="inlineStr">
        <is>
          <t>Toptan</t>
        </is>
      </c>
      <c r="M22" s="26" t="inlineStr">
        <is>
          <t>A</t>
        </is>
      </c>
      <c r="N22" s="26" t="inlineStr">
        <is>
          <t>Takip notu 17</t>
        </is>
      </c>
      <c r="O22" s="28">
        <f>IF($A22="","",IF(OR($G22="TAHSIL",$G22="KAPALI"),0,IF($D22="","",raporTarihi-$D22)))</f>
        <v/>
      </c>
      <c r="P22" s="28">
        <f>IF($A22="","",IF($O22="","",IF($O22&lt;=trv_kovaEsik1,"0-30",IF($O22&lt;=trv_kovaEsik2,"31-60",IF($O22&lt;=trv_kovaEsik3,"61-90","90+")))))</f>
        <v/>
      </c>
      <c r="Q22" s="28">
        <f>IF(OR($A22="",$G22="TAHSIL",$G22="KAPALI"),"",IF($P22="0-30",trv_olasilikK1,IF($P22="31-60",trv_olasilikK2,IF($P22="61-90",trv_olasilikK3,trv_olasilikK4))))</f>
        <v/>
      </c>
      <c r="R22" s="28">
        <f>IF(OR($A22="",$Q22=""),"",$J22*(1-$Q22)*MAX(trv_riskTaban,$K22/100))</f>
        <v/>
      </c>
      <c r="S22" s="28">
        <f>IF($A22="","",IF($B22="","YETİM",IF(COUNTIF(tblKartlar[KartId],$B22)=0,"YETİM","")))</f>
        <v/>
      </c>
      <c r="T22" s="28">
        <f>IF(OR($A22="",$F22=""),"",IF(OR($F22&amp;"|"&amp;$G22="",COUNTIF(ListeIzinliGecis,$F22&amp;"|"&amp;$G22)&gt;0),"","GEÇERSİZ GEÇİŞ"))</f>
        <v/>
      </c>
      <c r="U22" s="28">
        <f>IF($A22="","",IF(OR($G22="TAHSIL",$I22&gt;0),IF(OR($H22="",$I22=""),"",IF(ABS($I22-$H22)&gt;zincirTolerans,"ZİNCİR KIRIK","OK")),"OK"))</f>
        <v/>
      </c>
      <c r="V22" s="28">
        <f>IF($A22="","",1)</f>
        <v/>
      </c>
    </row>
    <row r="23">
      <c r="A23" s="26" t="inlineStr">
        <is>
          <t>FAT-00018</t>
        </is>
      </c>
      <c r="B23" s="26" t="inlineStr">
        <is>
          <t>MUS-00002</t>
        </is>
      </c>
      <c r="C23" s="26" t="inlineStr">
        <is>
          <t>FR-2026-0018</t>
        </is>
      </c>
      <c r="D23" s="29" t="n">
        <v>46173</v>
      </c>
      <c r="E23" s="29" t="n"/>
      <c r="F23" s="26" t="inlineStr">
        <is>
          <t>ACIK</t>
        </is>
      </c>
      <c r="G23" s="26" t="inlineStr">
        <is>
          <t>IHTAR</t>
        </is>
      </c>
      <c r="H23" s="27" t="n">
        <v>251000</v>
      </c>
      <c r="I23" s="27" t="n">
        <v>0</v>
      </c>
      <c r="J23" s="27" t="n">
        <v>251000</v>
      </c>
      <c r="K23" s="30" t="n">
        <v>74</v>
      </c>
      <c r="L23" s="26" t="inlineStr">
        <is>
          <t>Perakende</t>
        </is>
      </c>
      <c r="M23" s="26" t="inlineStr">
        <is>
          <t>B</t>
        </is>
      </c>
      <c r="N23" s="26" t="inlineStr">
        <is>
          <t>Takip notu 18</t>
        </is>
      </c>
      <c r="O23" s="28">
        <f>IF($A23="","",IF(OR($G23="TAHSIL",$G23="KAPALI"),0,IF($D23="","",raporTarihi-$D23)))</f>
        <v/>
      </c>
      <c r="P23" s="28">
        <f>IF($A23="","",IF($O23="","",IF($O23&lt;=trv_kovaEsik1,"0-30",IF($O23&lt;=trv_kovaEsik2,"31-60",IF($O23&lt;=trv_kovaEsik3,"61-90","90+")))))</f>
        <v/>
      </c>
      <c r="Q23" s="28">
        <f>IF(OR($A23="",$G23="TAHSIL",$G23="KAPALI"),"",IF($P23="0-30",trv_olasilikK1,IF($P23="31-60",trv_olasilikK2,IF($P23="61-90",trv_olasilikK3,trv_olasilikK4))))</f>
        <v/>
      </c>
      <c r="R23" s="28">
        <f>IF(OR($A23="",$Q23=""),"",$J23*(1-$Q23)*MAX(trv_riskTaban,$K23/100))</f>
        <v/>
      </c>
      <c r="S23" s="28">
        <f>IF($A23="","",IF($B23="","YETİM",IF(COUNTIF(tblKartlar[KartId],$B23)=0,"YETİM","")))</f>
        <v/>
      </c>
      <c r="T23" s="28">
        <f>IF(OR($A23="",$F23=""),"",IF(OR($F23&amp;"|"&amp;$G23="",COUNTIF(ListeIzinliGecis,$F23&amp;"|"&amp;$G23)&gt;0),"","GEÇERSİZ GEÇİŞ"))</f>
        <v/>
      </c>
      <c r="U23" s="28">
        <f>IF($A23="","",IF(OR($G23="TAHSIL",$I23&gt;0),IF(OR($H23="",$I23=""),"",IF(ABS($I23-$H23)&gt;zincirTolerans,"ZİNCİR KIRIK","OK")),"OK"))</f>
        <v/>
      </c>
      <c r="V23" s="28">
        <f>IF($A23="","",1)</f>
        <v/>
      </c>
    </row>
    <row r="24">
      <c r="A24" s="26" t="inlineStr">
        <is>
          <t>FAT-00019</t>
        </is>
      </c>
      <c r="B24" s="26" t="inlineStr">
        <is>
          <t>MUS-00003</t>
        </is>
      </c>
      <c r="C24" s="26" t="inlineStr">
        <is>
          <t>FR-2026-0019</t>
        </is>
      </c>
      <c r="D24" s="29" t="n">
        <v>46169</v>
      </c>
      <c r="E24" s="29" t="n"/>
      <c r="F24" s="26" t="inlineStr">
        <is>
          <t>HATIRLATMA</t>
        </is>
      </c>
      <c r="G24" s="26" t="inlineStr">
        <is>
          <t>IHTAR</t>
        </is>
      </c>
      <c r="H24" s="27" t="n">
        <v>260500</v>
      </c>
      <c r="I24" s="27" t="n">
        <v>305500</v>
      </c>
      <c r="J24" s="27" t="n">
        <v>260500</v>
      </c>
      <c r="K24" s="30" t="n">
        <v>77</v>
      </c>
      <c r="L24" s="26" t="inlineStr">
        <is>
          <t>Gıda</t>
        </is>
      </c>
      <c r="M24" s="26" t="inlineStr">
        <is>
          <t>A</t>
        </is>
      </c>
      <c r="N24" s="26" t="inlineStr">
        <is>
          <t>Takip notu 19</t>
        </is>
      </c>
      <c r="O24" s="28">
        <f>IF($A24="","",IF(OR($G24="TAHSIL",$G24="KAPALI"),0,IF($D24="","",raporTarihi-$D24)))</f>
        <v/>
      </c>
      <c r="P24" s="28">
        <f>IF($A24="","",IF($O24="","",IF($O24&lt;=trv_kovaEsik1,"0-30",IF($O24&lt;=trv_kovaEsik2,"31-60",IF($O24&lt;=trv_kovaEsik3,"61-90","90+")))))</f>
        <v/>
      </c>
      <c r="Q24" s="28">
        <f>IF(OR($A24="",$G24="TAHSIL",$G24="KAPALI"),"",IF($P24="0-30",trv_olasilikK1,IF($P24="31-60",trv_olasilikK2,IF($P24="61-90",trv_olasilikK3,trv_olasilikK4))))</f>
        <v/>
      </c>
      <c r="R24" s="28">
        <f>IF(OR($A24="",$Q24=""),"",$J24*(1-$Q24)*MAX(trv_riskTaban,$K24/100))</f>
        <v/>
      </c>
      <c r="S24" s="28">
        <f>IF($A24="","",IF($B24="","YETİM",IF(COUNTIF(tblKartlar[KartId],$B24)=0,"YETİM","")))</f>
        <v/>
      </c>
      <c r="T24" s="28">
        <f>IF(OR($A24="",$F24=""),"",IF(OR($F24&amp;"|"&amp;$G24="",COUNTIF(ListeIzinliGecis,$F24&amp;"|"&amp;$G24)&gt;0),"","GEÇERSİZ GEÇİŞ"))</f>
        <v/>
      </c>
      <c r="U24" s="28">
        <f>IF($A24="","",IF(OR($G24="TAHSIL",$I24&gt;0),IF(OR($H24="",$I24=""),"",IF(ABS($I24-$H24)&gt;zincirTolerans,"ZİNCİR KIRIK","OK")),"OK"))</f>
        <v/>
      </c>
      <c r="V24" s="28">
        <f>IF($A24="","",1)</f>
        <v/>
      </c>
    </row>
    <row r="25">
      <c r="A25" s="26" t="inlineStr">
        <is>
          <t>FAT-00020</t>
        </is>
      </c>
      <c r="B25" s="26" t="inlineStr">
        <is>
          <t>MUS-00004</t>
        </is>
      </c>
      <c r="C25" s="26" t="inlineStr">
        <is>
          <t>FR-2026-0020</t>
        </is>
      </c>
      <c r="D25" s="29" t="n">
        <v>46165</v>
      </c>
      <c r="E25" s="29" t="n"/>
      <c r="F25" s="26" t="inlineStr">
        <is>
          <t>IHTAR</t>
        </is>
      </c>
      <c r="G25" s="26" t="inlineStr">
        <is>
          <t>HATIRLATMA</t>
        </is>
      </c>
      <c r="H25" s="27" t="n">
        <v>270000</v>
      </c>
      <c r="I25" s="27" t="n">
        <v>0</v>
      </c>
      <c r="J25" s="27" t="n">
        <v>270000</v>
      </c>
      <c r="K25" s="30" t="n">
        <v>80</v>
      </c>
      <c r="L25" s="26" t="inlineStr">
        <is>
          <t>Lojistik</t>
        </is>
      </c>
      <c r="M25" s="26" t="inlineStr">
        <is>
          <t>B</t>
        </is>
      </c>
      <c r="N25" s="26" t="inlineStr">
        <is>
          <t>Takip notu 20</t>
        </is>
      </c>
      <c r="O25" s="28">
        <f>IF($A25="","",IF(OR($G25="TAHSIL",$G25="KAPALI"),0,IF($D25="","",raporTarihi-$D25)))</f>
        <v/>
      </c>
      <c r="P25" s="28">
        <f>IF($A25="","",IF($O25="","",IF($O25&lt;=trv_kovaEsik1,"0-30",IF($O25&lt;=trv_kovaEsik2,"31-60",IF($O25&lt;=trv_kovaEsik3,"61-90","90+")))))</f>
        <v/>
      </c>
      <c r="Q25" s="28">
        <f>IF(OR($A25="",$G25="TAHSIL",$G25="KAPALI"),"",IF($P25="0-30",trv_olasilikK1,IF($P25="31-60",trv_olasilikK2,IF($P25="61-90",trv_olasilikK3,trv_olasilikK4))))</f>
        <v/>
      </c>
      <c r="R25" s="28">
        <f>IF(OR($A25="",$Q25=""),"",$J25*(1-$Q25)*MAX(trv_riskTaban,$K25/100))</f>
        <v/>
      </c>
      <c r="S25" s="28">
        <f>IF($A25="","",IF($B25="","YETİM",IF(COUNTIF(tblKartlar[KartId],$B25)=0,"YETİM","")))</f>
        <v/>
      </c>
      <c r="T25" s="28">
        <f>IF(OR($A25="",$F25=""),"",IF(OR($F25&amp;"|"&amp;$G25="",COUNTIF(ListeIzinliGecis,$F25&amp;"|"&amp;$G25)&gt;0),"","GEÇERSİZ GEÇİŞ"))</f>
        <v/>
      </c>
      <c r="U25" s="28">
        <f>IF($A25="","",IF(OR($G25="TAHSIL",$I25&gt;0),IF(OR($H25="",$I25=""),"",IF(ABS($I25-$H25)&gt;zincirTolerans,"ZİNCİR KIRIK","OK")),"OK"))</f>
        <v/>
      </c>
      <c r="V25" s="28">
        <f>IF($A25="","",1)</f>
        <v/>
      </c>
    </row>
    <row r="26">
      <c r="A26" s="26" t="inlineStr">
        <is>
          <t>FAT-00021</t>
        </is>
      </c>
      <c r="B26" s="26" t="inlineStr">
        <is>
          <t>MUS-00005</t>
        </is>
      </c>
      <c r="C26" s="26" t="inlineStr">
        <is>
          <t>FR-2026-0021</t>
        </is>
      </c>
      <c r="D26" s="29" t="n">
        <v>46161</v>
      </c>
      <c r="E26" s="29" t="n"/>
      <c r="F26" s="26" t="inlineStr">
        <is>
          <t>IHTAR</t>
        </is>
      </c>
      <c r="G26" s="26" t="inlineStr">
        <is>
          <t>KAPALI</t>
        </is>
      </c>
      <c r="H26" s="27" t="n">
        <v>279500</v>
      </c>
      <c r="I26" s="27" t="n">
        <v>0</v>
      </c>
      <c r="J26" s="27" t="n">
        <v>0</v>
      </c>
      <c r="K26" s="30" t="n">
        <v>83</v>
      </c>
      <c r="L26" s="26" t="inlineStr">
        <is>
          <t>Enerji</t>
        </is>
      </c>
      <c r="M26" s="26" t="inlineStr">
        <is>
          <t>A</t>
        </is>
      </c>
      <c r="N26" s="26" t="inlineStr">
        <is>
          <t>Takip notu 21</t>
        </is>
      </c>
      <c r="O26" s="28">
        <f>IF($A26="","",IF(OR($G26="TAHSIL",$G26="KAPALI"),0,IF($D26="","",raporTarihi-$D26)))</f>
        <v/>
      </c>
      <c r="P26" s="28">
        <f>IF($A26="","",IF($O26="","",IF($O26&lt;=trv_kovaEsik1,"0-30",IF($O26&lt;=trv_kovaEsik2,"31-60",IF($O26&lt;=trv_kovaEsik3,"61-90","90+")))))</f>
        <v/>
      </c>
      <c r="Q26" s="28">
        <f>IF(OR($A26="",$G26="TAHSIL",$G26="KAPALI"),"",IF($P26="0-30",trv_olasilikK1,IF($P26="31-60",trv_olasilikK2,IF($P26="61-90",trv_olasilikK3,trv_olasilikK4))))</f>
        <v/>
      </c>
      <c r="R26" s="28">
        <f>IF(OR($A26="",$Q26=""),"",$J26*(1-$Q26)*MAX(trv_riskTaban,$K26/100))</f>
        <v/>
      </c>
      <c r="S26" s="28">
        <f>IF($A26="","",IF($B26="","YETİM",IF(COUNTIF(tblKartlar[KartId],$B26)=0,"YETİM","")))</f>
        <v/>
      </c>
      <c r="T26" s="28">
        <f>IF(OR($A26="",$F26=""),"",IF(OR($F26&amp;"|"&amp;$G26="",COUNTIF(ListeIzinliGecis,$F26&amp;"|"&amp;$G26)&gt;0),"","GEÇERSİZ GEÇİŞ"))</f>
        <v/>
      </c>
      <c r="U26" s="28">
        <f>IF($A26="","",IF(OR($G26="TAHSIL",$I26&gt;0),IF(OR($H26="",$I26=""),"",IF(ABS($I26-$H26)&gt;zincirTolerans,"ZİNCİR KIRIK","OK")),"OK"))</f>
        <v/>
      </c>
      <c r="V26" s="28">
        <f>IF($A26="","",1)</f>
        <v/>
      </c>
    </row>
    <row r="27">
      <c r="A27" s="26" t="inlineStr">
        <is>
          <t>FAT-00022</t>
        </is>
      </c>
      <c r="B27" s="26" t="n"/>
      <c r="C27" s="26" t="inlineStr">
        <is>
          <t>FR-2026-0022</t>
        </is>
      </c>
      <c r="D27" s="29" t="n">
        <v>46157</v>
      </c>
      <c r="E27" s="29" t="n"/>
      <c r="F27" s="26" t="inlineStr">
        <is>
          <t>ACIK</t>
        </is>
      </c>
      <c r="G27" s="26" t="inlineStr">
        <is>
          <t>HATIRLATMA</t>
        </is>
      </c>
      <c r="H27" s="27" t="n">
        <v>289000</v>
      </c>
      <c r="I27" s="27" t="n">
        <v>0</v>
      </c>
      <c r="J27" s="27" t="n">
        <v>289000</v>
      </c>
      <c r="K27" s="30" t="n">
        <v>86</v>
      </c>
      <c r="L27" s="26" t="inlineStr">
        <is>
          <t>İnşaat</t>
        </is>
      </c>
      <c r="M27" s="26" t="inlineStr">
        <is>
          <t>B</t>
        </is>
      </c>
      <c r="N27" s="26" t="inlineStr">
        <is>
          <t>Takip notu 22</t>
        </is>
      </c>
      <c r="O27" s="28">
        <f>IF($A27="","",IF(OR($G27="TAHSIL",$G27="KAPALI"),0,IF($D27="","",raporTarihi-$D27)))</f>
        <v/>
      </c>
      <c r="P27" s="28">
        <f>IF($A27="","",IF($O27="","",IF($O27&lt;=trv_kovaEsik1,"0-30",IF($O27&lt;=trv_kovaEsik2,"31-60",IF($O27&lt;=trv_kovaEsik3,"61-90","90+")))))</f>
        <v/>
      </c>
      <c r="Q27" s="28">
        <f>IF(OR($A27="",$G27="TAHSIL",$G27="KAPALI"),"",IF($P27="0-30",trv_olasilikK1,IF($P27="31-60",trv_olasilikK2,IF($P27="61-90",trv_olasilikK3,trv_olasilikK4))))</f>
        <v/>
      </c>
      <c r="R27" s="28">
        <f>IF(OR($A27="",$Q27=""),"",$J27*(1-$Q27)*MAX(trv_riskTaban,$K27/100))</f>
        <v/>
      </c>
      <c r="S27" s="28">
        <f>IF($A27="","",IF($B27="","YETİM",IF(COUNTIF(tblKartlar[KartId],$B27)=0,"YETİM","")))</f>
        <v/>
      </c>
      <c r="T27" s="28">
        <f>IF(OR($A27="",$F27=""),"",IF(OR($F27&amp;"|"&amp;$G27="",COUNTIF(ListeIzinliGecis,$F27&amp;"|"&amp;$G27)&gt;0),"","GEÇERSİZ GEÇİŞ"))</f>
        <v/>
      </c>
      <c r="U27" s="28">
        <f>IF($A27="","",IF(OR($G27="TAHSIL",$I27&gt;0),IF(OR($H27="",$I27=""),"",IF(ABS($I27-$H27)&gt;zincirTolerans,"ZİNCİR KIRIK","OK")),"OK"))</f>
        <v/>
      </c>
      <c r="V27" s="28">
        <f>IF($A27="","",1)</f>
        <v/>
      </c>
    </row>
    <row r="28">
      <c r="A28" s="26" t="inlineStr">
        <is>
          <t>FAT-00023</t>
        </is>
      </c>
      <c r="B28" s="26" t="inlineStr">
        <is>
          <t>MUS-00007</t>
        </is>
      </c>
      <c r="C28" s="26" t="inlineStr">
        <is>
          <t>FR-2026-0023</t>
        </is>
      </c>
      <c r="D28" s="29" t="n">
        <v>46153</v>
      </c>
      <c r="E28" s="29" t="n"/>
      <c r="F28" s="26" t="inlineStr">
        <is>
          <t>HATIRLATMA</t>
        </is>
      </c>
      <c r="G28" s="26" t="inlineStr">
        <is>
          <t>IHTAR</t>
        </is>
      </c>
      <c r="H28" s="27" t="n">
        <v>298500</v>
      </c>
      <c r="I28" s="27" t="n">
        <v>0</v>
      </c>
      <c r="J28" s="27" t="n">
        <v>298500</v>
      </c>
      <c r="K28" s="30" t="n">
        <v>89</v>
      </c>
      <c r="L28" s="26" t="inlineStr">
        <is>
          <t>Tarım</t>
        </is>
      </c>
      <c r="M28" s="26" t="inlineStr">
        <is>
          <t>A</t>
        </is>
      </c>
      <c r="N28" s="26" t="inlineStr">
        <is>
          <t>Takip notu 23</t>
        </is>
      </c>
      <c r="O28" s="28">
        <f>IF($A28="","",IF(OR($G28="TAHSIL",$G28="KAPALI"),0,IF($D28="","",raporTarihi-$D28)))</f>
        <v/>
      </c>
      <c r="P28" s="28">
        <f>IF($A28="","",IF($O28="","",IF($O28&lt;=trv_kovaEsik1,"0-30",IF($O28&lt;=trv_kovaEsik2,"31-60",IF($O28&lt;=trv_kovaEsik3,"61-90","90+")))))</f>
        <v/>
      </c>
      <c r="Q28" s="28">
        <f>IF(OR($A28="",$G28="TAHSIL",$G28="KAPALI"),"",IF($P28="0-30",trv_olasilikK1,IF($P28="31-60",trv_olasilikK2,IF($P28="61-90",trv_olasilikK3,trv_olasilikK4))))</f>
        <v/>
      </c>
      <c r="R28" s="28">
        <f>IF(OR($A28="",$Q28=""),"",$J28*(1-$Q28)*MAX(trv_riskTaban,$K28/100))</f>
        <v/>
      </c>
      <c r="S28" s="28">
        <f>IF($A28="","",IF($B28="","YETİM",IF(COUNTIF(tblKartlar[KartId],$B28)=0,"YETİM","")))</f>
        <v/>
      </c>
      <c r="T28" s="28">
        <f>IF(OR($A28="",$F28=""),"",IF(OR($F28&amp;"|"&amp;$G28="",COUNTIF(ListeIzinliGecis,$F28&amp;"|"&amp;$G28)&gt;0),"","GEÇERSİZ GEÇİŞ"))</f>
        <v/>
      </c>
      <c r="U28" s="28">
        <f>IF($A28="","",IF(OR($G28="TAHSIL",$I28&gt;0),IF(OR($H28="",$I28=""),"",IF(ABS($I28-$H28)&gt;zincirTolerans,"ZİNCİR KIRIK","OK")),"OK"))</f>
        <v/>
      </c>
      <c r="V28" s="28">
        <f>IF($A28="","",1)</f>
        <v/>
      </c>
    </row>
    <row r="29">
      <c r="A29" s="26" t="inlineStr">
        <is>
          <t>FAT-00024</t>
        </is>
      </c>
      <c r="B29" s="26" t="inlineStr">
        <is>
          <t>MUS-00008</t>
        </is>
      </c>
      <c r="C29" s="26" t="inlineStr">
        <is>
          <t>FR-2026-0024</t>
        </is>
      </c>
      <c r="D29" s="29" t="n">
        <v>46149</v>
      </c>
      <c r="E29" s="29" t="n"/>
      <c r="F29" s="26" t="inlineStr">
        <is>
          <t>ACIK</t>
        </is>
      </c>
      <c r="G29" s="26" t="inlineStr">
        <is>
          <t>ACIK</t>
        </is>
      </c>
      <c r="H29" s="27" t="n">
        <v>308000</v>
      </c>
      <c r="I29" s="27" t="n">
        <v>0</v>
      </c>
      <c r="J29" s="27" t="n">
        <v>308000</v>
      </c>
      <c r="K29" s="30" t="n">
        <v>22</v>
      </c>
      <c r="L29" s="26" t="inlineStr">
        <is>
          <t>Sağlık</t>
        </is>
      </c>
      <c r="M29" s="26" t="inlineStr">
        <is>
          <t>B</t>
        </is>
      </c>
      <c r="N29" s="26" t="inlineStr">
        <is>
          <t>Takip notu 24</t>
        </is>
      </c>
      <c r="O29" s="28">
        <f>IF($A29="","",IF(OR($G29="TAHSIL",$G29="KAPALI"),0,IF($D29="","",raporTarihi-$D29)))</f>
        <v/>
      </c>
      <c r="P29" s="28">
        <f>IF($A29="","",IF($O29="","",IF($O29&lt;=trv_kovaEsik1,"0-30",IF($O29&lt;=trv_kovaEsik2,"31-60",IF($O29&lt;=trv_kovaEsik3,"61-90","90+")))))</f>
        <v/>
      </c>
      <c r="Q29" s="28">
        <f>IF(OR($A29="",$G29="TAHSIL",$G29="KAPALI"),"",IF($P29="0-30",trv_olasilikK1,IF($P29="31-60",trv_olasilikK2,IF($P29="61-90",trv_olasilikK3,trv_olasilikK4))))</f>
        <v/>
      </c>
      <c r="R29" s="28">
        <f>IF(OR($A29="",$Q29=""),"",$J29*(1-$Q29)*MAX(trv_riskTaban,$K29/100))</f>
        <v/>
      </c>
      <c r="S29" s="28">
        <f>IF($A29="","",IF($B29="","YETİM",IF(COUNTIF(tblKartlar[KartId],$B29)=0,"YETİM","")))</f>
        <v/>
      </c>
      <c r="T29" s="28">
        <f>IF(OR($A29="",$F29=""),"",IF(OR($F29&amp;"|"&amp;$G29="",COUNTIF(ListeIzinliGecis,$F29&amp;"|"&amp;$G29)&gt;0),"","GEÇERSİZ GEÇİŞ"))</f>
        <v/>
      </c>
      <c r="U29" s="28">
        <f>IF($A29="","",IF(OR($G29="TAHSIL",$I29&gt;0),IF(OR($H29="",$I29=""),"",IF(ABS($I29-$H29)&gt;zincirTolerans,"ZİNCİR KIRIK","OK")),"OK"))</f>
        <v/>
      </c>
      <c r="V29" s="28">
        <f>IF($A29="","",1)</f>
        <v/>
      </c>
    </row>
    <row r="30">
      <c r="A30" s="26" t="inlineStr">
        <is>
          <t>FAT-00025</t>
        </is>
      </c>
      <c r="B30" s="26" t="inlineStr">
        <is>
          <t>MUS-99999</t>
        </is>
      </c>
      <c r="C30" s="26" t="inlineStr">
        <is>
          <t>FR-2026-0025</t>
        </is>
      </c>
      <c r="D30" s="29" t="n">
        <v>46145</v>
      </c>
      <c r="E30" s="29" t="n"/>
      <c r="F30" s="26" t="n"/>
      <c r="G30" s="26" t="inlineStr">
        <is>
          <t>ACIK</t>
        </is>
      </c>
      <c r="H30" s="27" t="n">
        <v>317500</v>
      </c>
      <c r="I30" s="27" t="n">
        <v>0</v>
      </c>
      <c r="J30" s="27" t="n">
        <v>317500</v>
      </c>
      <c r="K30" s="30" t="n">
        <v>25</v>
      </c>
      <c r="L30" s="26" t="inlineStr">
        <is>
          <t>Toptan</t>
        </is>
      </c>
      <c r="M30" s="26" t="inlineStr">
        <is>
          <t>A</t>
        </is>
      </c>
      <c r="N30" s="26" t="inlineStr">
        <is>
          <t>Takip notu 25</t>
        </is>
      </c>
      <c r="O30" s="28">
        <f>IF($A30="","",IF(OR($G30="TAHSIL",$G30="KAPALI"),0,IF($D30="","",raporTarihi-$D30)))</f>
        <v/>
      </c>
      <c r="P30" s="28">
        <f>IF($A30="","",IF($O30="","",IF($O30&lt;=trv_kovaEsik1,"0-30",IF($O30&lt;=trv_kovaEsik2,"31-60",IF($O30&lt;=trv_kovaEsik3,"61-90","90+")))))</f>
        <v/>
      </c>
      <c r="Q30" s="28">
        <f>IF(OR($A30="",$G30="TAHSIL",$G30="KAPALI"),"",IF($P30="0-30",trv_olasilikK1,IF($P30="31-60",trv_olasilikK2,IF($P30="61-90",trv_olasilikK3,trv_olasilikK4))))</f>
        <v/>
      </c>
      <c r="R30" s="28">
        <f>IF(OR($A30="",$Q30=""),"",$J30*(1-$Q30)*MAX(trv_riskTaban,$K30/100))</f>
        <v/>
      </c>
      <c r="S30" s="28">
        <f>IF($A30="","",IF($B30="","YETİM",IF(COUNTIF(tblKartlar[KartId],$B30)=0,"YETİM","")))</f>
        <v/>
      </c>
      <c r="T30" s="28">
        <f>IF(OR($A30="",$F30=""),"",IF(OR($F30&amp;"|"&amp;$G30="",COUNTIF(ListeIzinliGecis,$F30&amp;"|"&amp;$G30)&gt;0),"","GEÇERSİZ GEÇİŞ"))</f>
        <v/>
      </c>
      <c r="U30" s="28">
        <f>IF($A30="","",IF(OR($G30="TAHSIL",$I30&gt;0),IF(OR($H30="",$I30=""),"",IF(ABS($I30-$H30)&gt;zincirTolerans,"ZİNCİR KIRIK","OK")),"OK"))</f>
        <v/>
      </c>
      <c r="V30" s="28">
        <f>IF($A30="","",1)</f>
        <v/>
      </c>
    </row>
    <row r="31">
      <c r="A31" s="26" t="inlineStr">
        <is>
          <t>FAT-00026</t>
        </is>
      </c>
      <c r="B31" s="26" t="inlineStr">
        <is>
          <t>MUS-00002</t>
        </is>
      </c>
      <c r="C31" s="26" t="inlineStr">
        <is>
          <t>FR-2026-0026</t>
        </is>
      </c>
      <c r="D31" s="29" t="n">
        <v>46141</v>
      </c>
      <c r="E31" s="29" t="n"/>
      <c r="F31" s="26" t="inlineStr">
        <is>
          <t>ACIK</t>
        </is>
      </c>
      <c r="G31" s="26" t="inlineStr">
        <is>
          <t>HATIRLATMA</t>
        </is>
      </c>
      <c r="H31" s="27" t="n">
        <v>327000</v>
      </c>
      <c r="I31" s="27" t="n">
        <v>0</v>
      </c>
      <c r="J31" s="27" t="n">
        <v>327000</v>
      </c>
      <c r="K31" s="30" t="n">
        <v>28</v>
      </c>
      <c r="L31" s="26" t="inlineStr">
        <is>
          <t>Perakende</t>
        </is>
      </c>
      <c r="M31" s="26" t="inlineStr">
        <is>
          <t>B</t>
        </is>
      </c>
      <c r="N31" s="26" t="inlineStr">
        <is>
          <t>Takip notu 26</t>
        </is>
      </c>
      <c r="O31" s="28">
        <f>IF($A31="","",IF(OR($G31="TAHSIL",$G31="KAPALI"),0,IF($D31="","",raporTarihi-$D31)))</f>
        <v/>
      </c>
      <c r="P31" s="28">
        <f>IF($A31="","",IF($O31="","",IF($O31&lt;=trv_kovaEsik1,"0-30",IF($O31&lt;=trv_kovaEsik2,"31-60",IF($O31&lt;=trv_kovaEsik3,"61-90","90+")))))</f>
        <v/>
      </c>
      <c r="Q31" s="28">
        <f>IF(OR($A31="",$G31="TAHSIL",$G31="KAPALI"),"",IF($P31="0-30",trv_olasilikK1,IF($P31="31-60",trv_olasilikK2,IF($P31="61-90",trv_olasilikK3,trv_olasilikK4))))</f>
        <v/>
      </c>
      <c r="R31" s="28">
        <f>IF(OR($A31="",$Q31=""),"",$J31*(1-$Q31)*MAX(trv_riskTaban,$K31/100))</f>
        <v/>
      </c>
      <c r="S31" s="28">
        <f>IF($A31="","",IF($B31="","YETİM",IF(COUNTIF(tblKartlar[KartId],$B31)=0,"YETİM","")))</f>
        <v/>
      </c>
      <c r="T31" s="28">
        <f>IF(OR($A31="",$F31=""),"",IF(OR($F31&amp;"|"&amp;$G31="",COUNTIF(ListeIzinliGecis,$F31&amp;"|"&amp;$G31)&gt;0),"","GEÇERSİZ GEÇİŞ"))</f>
        <v/>
      </c>
      <c r="U31" s="28">
        <f>IF($A31="","",IF(OR($G31="TAHSIL",$I31&gt;0),IF(OR($H31="",$I31=""),"",IF(ABS($I31-$H31)&gt;zincirTolerans,"ZİNCİR KIRIK","OK")),"OK"))</f>
        <v/>
      </c>
      <c r="V31" s="28">
        <f>IF($A31="","",1)</f>
        <v/>
      </c>
    </row>
    <row r="32">
      <c r="A32" s="26" t="inlineStr">
        <is>
          <t>FAT-00027</t>
        </is>
      </c>
      <c r="B32" s="26" t="inlineStr">
        <is>
          <t>MUS-00003</t>
        </is>
      </c>
      <c r="C32" s="26" t="inlineStr">
        <is>
          <t>FR-2026-0027</t>
        </is>
      </c>
      <c r="D32" s="29" t="n">
        <v>46137</v>
      </c>
      <c r="E32" s="29" t="n"/>
      <c r="F32" s="26" t="inlineStr">
        <is>
          <t>HATIRLATMA</t>
        </is>
      </c>
      <c r="G32" s="26" t="inlineStr">
        <is>
          <t>IHTAR</t>
        </is>
      </c>
      <c r="H32" s="27" t="n">
        <v>336500</v>
      </c>
      <c r="I32" s="27" t="n">
        <v>0</v>
      </c>
      <c r="J32" s="27" t="n">
        <v>336500</v>
      </c>
      <c r="K32" s="30" t="n">
        <v>31</v>
      </c>
      <c r="L32" s="26" t="inlineStr">
        <is>
          <t>Gıda</t>
        </is>
      </c>
      <c r="M32" s="26" t="inlineStr">
        <is>
          <t>A</t>
        </is>
      </c>
      <c r="N32" s="26" t="inlineStr">
        <is>
          <t>Takip notu 27</t>
        </is>
      </c>
      <c r="O32" s="28">
        <f>IF($A32="","",IF(OR($G32="TAHSIL",$G32="KAPALI"),0,IF($D32="","",raporTarihi-$D32)))</f>
        <v/>
      </c>
      <c r="P32" s="28">
        <f>IF($A32="","",IF($O32="","",IF($O32&lt;=trv_kovaEsik1,"0-30",IF($O32&lt;=trv_kovaEsik2,"31-60",IF($O32&lt;=trv_kovaEsik3,"61-90","90+")))))</f>
        <v/>
      </c>
      <c r="Q32" s="28">
        <f>IF(OR($A32="",$G32="TAHSIL",$G32="KAPALI"),"",IF($P32="0-30",trv_olasilikK1,IF($P32="31-60",trv_olasilikK2,IF($P32="61-90",trv_olasilikK3,trv_olasilikK4))))</f>
        <v/>
      </c>
      <c r="R32" s="28">
        <f>IF(OR($A32="",$Q32=""),"",$J32*(1-$Q32)*MAX(trv_riskTaban,$K32/100))</f>
        <v/>
      </c>
      <c r="S32" s="28">
        <f>IF($A32="","",IF($B32="","YETİM",IF(COUNTIF(tblKartlar[KartId],$B32)=0,"YETİM","")))</f>
        <v/>
      </c>
      <c r="T32" s="28">
        <f>IF(OR($A32="",$F32=""),"",IF(OR($F32&amp;"|"&amp;$G32="",COUNTIF(ListeIzinliGecis,$F32&amp;"|"&amp;$G32)&gt;0),"","GEÇERSİZ GEÇİŞ"))</f>
        <v/>
      </c>
      <c r="U32" s="28">
        <f>IF($A32="","",IF(OR($G32="TAHSIL",$I32&gt;0),IF(OR($H32="",$I32=""),"",IF(ABS($I32-$H32)&gt;zincirTolerans,"ZİNCİR KIRIK","OK")),"OK"))</f>
        <v/>
      </c>
      <c r="V32" s="28">
        <f>IF($A32="","",1)</f>
        <v/>
      </c>
    </row>
    <row r="33">
      <c r="A33" s="26" t="inlineStr">
        <is>
          <t>FAT-00028</t>
        </is>
      </c>
      <c r="B33" s="26" t="inlineStr">
        <is>
          <t>MUS-00004</t>
        </is>
      </c>
      <c r="C33" s="26" t="inlineStr">
        <is>
          <t>FR-2026-0028</t>
        </is>
      </c>
      <c r="D33" s="29" t="n">
        <v>46243</v>
      </c>
      <c r="E33" s="29" t="n">
        <v>46243</v>
      </c>
      <c r="F33" s="26" t="inlineStr">
        <is>
          <t>IHTAR</t>
        </is>
      </c>
      <c r="G33" s="26" t="inlineStr">
        <is>
          <t>TAHSIL</t>
        </is>
      </c>
      <c r="H33" s="27" t="n">
        <v>346000</v>
      </c>
      <c r="I33" s="27" t="n">
        <v>346000</v>
      </c>
      <c r="J33" s="27" t="n">
        <v>0</v>
      </c>
      <c r="K33" s="30" t="n">
        <v>34</v>
      </c>
      <c r="L33" s="26" t="inlineStr">
        <is>
          <t>Lojistik</t>
        </is>
      </c>
      <c r="M33" s="26" t="inlineStr">
        <is>
          <t>B</t>
        </is>
      </c>
      <c r="N33" s="26" t="inlineStr">
        <is>
          <t>Takip notu 28</t>
        </is>
      </c>
      <c r="O33" s="28">
        <f>IF($A33="","",IF(OR($G33="TAHSIL",$G33="KAPALI"),0,IF($D33="","",raporTarihi-$D33)))</f>
        <v/>
      </c>
      <c r="P33" s="28">
        <f>IF($A33="","",IF($O33="","",IF($O33&lt;=trv_kovaEsik1,"0-30",IF($O33&lt;=trv_kovaEsik2,"31-60",IF($O33&lt;=trv_kovaEsik3,"61-90","90+")))))</f>
        <v/>
      </c>
      <c r="Q33" s="28">
        <f>IF(OR($A33="",$G33="TAHSIL",$G33="KAPALI"),"",IF($P33="0-30",trv_olasilikK1,IF($P33="31-60",trv_olasilikK2,IF($P33="61-90",trv_olasilikK3,trv_olasilikK4))))</f>
        <v/>
      </c>
      <c r="R33" s="28">
        <f>IF(OR($A33="",$Q33=""),"",$J33*(1-$Q33)*MAX(trv_riskTaban,$K33/100))</f>
        <v/>
      </c>
      <c r="S33" s="28">
        <f>IF($A33="","",IF($B33="","YETİM",IF(COUNTIF(tblKartlar[KartId],$B33)=0,"YETİM","")))</f>
        <v/>
      </c>
      <c r="T33" s="28">
        <f>IF(OR($A33="",$F33=""),"",IF(OR($F33&amp;"|"&amp;$G33="",COUNTIF(ListeIzinliGecis,$F33&amp;"|"&amp;$G33)&gt;0),"","GEÇERSİZ GEÇİŞ"))</f>
        <v/>
      </c>
      <c r="U33" s="28">
        <f>IF($A33="","",IF(OR($G33="TAHSIL",$I33&gt;0),IF(OR($H33="",$I33=""),"",IF(ABS($I33-$H33)&gt;zincirTolerans,"ZİNCİR KIRIK","OK")),"OK"))</f>
        <v/>
      </c>
      <c r="V33" s="28">
        <f>IF($A33="","",1)</f>
        <v/>
      </c>
    </row>
    <row r="34">
      <c r="A34" s="26" t="n"/>
      <c r="B34" s="26" t="n"/>
      <c r="C34" s="26" t="n"/>
      <c r="D34" s="29" t="n"/>
      <c r="E34" s="29" t="n"/>
      <c r="F34" s="26" t="n"/>
      <c r="G34" s="26" t="n"/>
      <c r="H34" s="27" t="n"/>
      <c r="I34" s="27" t="n"/>
      <c r="J34" s="27" t="n"/>
      <c r="K34" s="30" t="n"/>
      <c r="L34" s="26" t="n"/>
      <c r="M34" s="26" t="n"/>
      <c r="N34" s="26" t="n"/>
      <c r="O34" s="28">
        <f>IF($A34="","",IF(OR($G34="TAHSIL",$G34="KAPALI"),0,IF($D34="","",raporTarihi-$D34)))</f>
        <v/>
      </c>
      <c r="P34" s="28">
        <f>IF($A34="","",IF($O34="","",IF($O34&lt;=trv_kovaEsik1,"0-30",IF($O34&lt;=trv_kovaEsik2,"31-60",IF($O34&lt;=trv_kovaEsik3,"61-90","90+")))))</f>
        <v/>
      </c>
      <c r="Q34" s="28">
        <f>IF(OR($A34="",$G34="TAHSIL",$G34="KAPALI"),"",IF($P34="0-30",trv_olasilikK1,IF($P34="31-60",trv_olasilikK2,IF($P34="61-90",trv_olasilikK3,trv_olasilikK4))))</f>
        <v/>
      </c>
      <c r="R34" s="28">
        <f>IF(OR($A34="",$Q34=""),"",$J34*(1-$Q34)*MAX(trv_riskTaban,$K34/100))</f>
        <v/>
      </c>
      <c r="S34" s="28">
        <f>IF($A34="","",IF($B34="","YETİM",IF(COUNTIF(tblKartlar[KartId],$B34)=0,"YETİM","")))</f>
        <v/>
      </c>
      <c r="T34" s="28">
        <f>IF(OR($A34="",$F34=""),"",IF(OR($F34&amp;"|"&amp;$G34="",COUNTIF(ListeIzinliGecis,$F34&amp;"|"&amp;$G34)&gt;0),"","GEÇERSİZ GEÇİŞ"))</f>
        <v/>
      </c>
      <c r="U34" s="28">
        <f>IF($A34="","",IF(OR($G34="TAHSIL",$I34&gt;0),IF(OR($H34="",$I34=""),"",IF(ABS($I34-$H34)&gt;zincirTolerans,"ZİNCİR KIRIK","OK")),"OK"))</f>
        <v/>
      </c>
      <c r="V34" s="28">
        <f>IF($A34="","",1)</f>
        <v/>
      </c>
    </row>
    <row r="35">
      <c r="A35" s="26" t="n"/>
      <c r="B35" s="26" t="n"/>
      <c r="C35" s="26" t="n"/>
      <c r="D35" s="29" t="n"/>
      <c r="E35" s="29" t="n"/>
      <c r="F35" s="26" t="n"/>
      <c r="G35" s="26" t="n"/>
      <c r="H35" s="27" t="n"/>
      <c r="I35" s="27" t="n"/>
      <c r="J35" s="27" t="n"/>
      <c r="K35" s="30" t="n"/>
      <c r="L35" s="26" t="n"/>
      <c r="M35" s="26" t="n"/>
      <c r="N35" s="26" t="n"/>
      <c r="O35" s="28">
        <f>IF($A35="","",IF(OR($G35="TAHSIL",$G35="KAPALI"),0,IF($D35="","",raporTarihi-$D35)))</f>
        <v/>
      </c>
      <c r="P35" s="28">
        <f>IF($A35="","",IF($O35="","",IF($O35&lt;=trv_kovaEsik1,"0-30",IF($O35&lt;=trv_kovaEsik2,"31-60",IF($O35&lt;=trv_kovaEsik3,"61-90","90+")))))</f>
        <v/>
      </c>
      <c r="Q35" s="28">
        <f>IF(OR($A35="",$G35="TAHSIL",$G35="KAPALI"),"",IF($P35="0-30",trv_olasilikK1,IF($P35="31-60",trv_olasilikK2,IF($P35="61-90",trv_olasilikK3,trv_olasilikK4))))</f>
        <v/>
      </c>
      <c r="R35" s="28">
        <f>IF(OR($A35="",$Q35=""),"",$J35*(1-$Q35)*MAX(trv_riskTaban,$K35/100))</f>
        <v/>
      </c>
      <c r="S35" s="28">
        <f>IF($A35="","",IF($B35="","YETİM",IF(COUNTIF(tblKartlar[KartId],$B35)=0,"YETİM","")))</f>
        <v/>
      </c>
      <c r="T35" s="28">
        <f>IF(OR($A35="",$F35=""),"",IF(OR($F35&amp;"|"&amp;$G35="",COUNTIF(ListeIzinliGecis,$F35&amp;"|"&amp;$G35)&gt;0),"","GEÇERSİZ GEÇİŞ"))</f>
        <v/>
      </c>
      <c r="U35" s="28">
        <f>IF($A35="","",IF(OR($G35="TAHSIL",$I35&gt;0),IF(OR($H35="",$I35=""),"",IF(ABS($I35-$H35)&gt;zincirTolerans,"ZİNCİR KIRIK","OK")),"OK"))</f>
        <v/>
      </c>
      <c r="V35" s="28">
        <f>IF($A35="","",1)</f>
        <v/>
      </c>
    </row>
    <row r="36">
      <c r="A36" s="26" t="n"/>
      <c r="B36" s="26" t="n"/>
      <c r="C36" s="26" t="n"/>
      <c r="D36" s="29" t="n"/>
      <c r="E36" s="29" t="n"/>
      <c r="F36" s="26" t="n"/>
      <c r="G36" s="26" t="n"/>
      <c r="H36" s="27" t="n"/>
      <c r="I36" s="27" t="n"/>
      <c r="J36" s="27" t="n"/>
      <c r="K36" s="30" t="n"/>
      <c r="L36" s="26" t="n"/>
      <c r="M36" s="26" t="n"/>
      <c r="N36" s="26" t="n"/>
      <c r="O36" s="28">
        <f>IF($A36="","",IF(OR($G36="TAHSIL",$G36="KAPALI"),0,IF($D36="","",raporTarihi-$D36)))</f>
        <v/>
      </c>
      <c r="P36" s="28">
        <f>IF($A36="","",IF($O36="","",IF($O36&lt;=trv_kovaEsik1,"0-30",IF($O36&lt;=trv_kovaEsik2,"31-60",IF($O36&lt;=trv_kovaEsik3,"61-90","90+")))))</f>
        <v/>
      </c>
      <c r="Q36" s="28">
        <f>IF(OR($A36="",$G36="TAHSIL",$G36="KAPALI"),"",IF($P36="0-30",trv_olasilikK1,IF($P36="31-60",trv_olasilikK2,IF($P36="61-90",trv_olasilikK3,trv_olasilikK4))))</f>
        <v/>
      </c>
      <c r="R36" s="28">
        <f>IF(OR($A36="",$Q36=""),"",$J36*(1-$Q36)*MAX(trv_riskTaban,$K36/100))</f>
        <v/>
      </c>
      <c r="S36" s="28">
        <f>IF($A36="","",IF($B36="","YETİM",IF(COUNTIF(tblKartlar[KartId],$B36)=0,"YETİM","")))</f>
        <v/>
      </c>
      <c r="T36" s="28">
        <f>IF(OR($A36="",$F36=""),"",IF(OR($F36&amp;"|"&amp;$G36="",COUNTIF(ListeIzinliGecis,$F36&amp;"|"&amp;$G36)&gt;0),"","GEÇERSİZ GEÇİŞ"))</f>
        <v/>
      </c>
      <c r="U36" s="28">
        <f>IF($A36="","",IF(OR($G36="TAHSIL",$I36&gt;0),IF(OR($H36="",$I36=""),"",IF(ABS($I36-$H36)&gt;zincirTolerans,"ZİNCİR KIRIK","OK")),"OK"))</f>
        <v/>
      </c>
      <c r="V36" s="28">
        <f>IF($A36="","",1)</f>
        <v/>
      </c>
    </row>
    <row r="37">
      <c r="A37" s="26" t="n"/>
      <c r="B37" s="26" t="n"/>
      <c r="C37" s="26" t="n"/>
      <c r="D37" s="29" t="n"/>
      <c r="E37" s="29" t="n"/>
      <c r="F37" s="26" t="n"/>
      <c r="G37" s="26" t="n"/>
      <c r="H37" s="27" t="n"/>
      <c r="I37" s="27" t="n"/>
      <c r="J37" s="27" t="n"/>
      <c r="K37" s="30" t="n"/>
      <c r="L37" s="26" t="n"/>
      <c r="M37" s="26" t="n"/>
      <c r="N37" s="26" t="n"/>
      <c r="O37" s="28">
        <f>IF($A37="","",IF(OR($G37="TAHSIL",$G37="KAPALI"),0,IF($D37="","",raporTarihi-$D37)))</f>
        <v/>
      </c>
      <c r="P37" s="28">
        <f>IF($A37="","",IF($O37="","",IF($O37&lt;=trv_kovaEsik1,"0-30",IF($O37&lt;=trv_kovaEsik2,"31-60",IF($O37&lt;=trv_kovaEsik3,"61-90","90+")))))</f>
        <v/>
      </c>
      <c r="Q37" s="28">
        <f>IF(OR($A37="",$G37="TAHSIL",$G37="KAPALI"),"",IF($P37="0-30",trv_olasilikK1,IF($P37="31-60",trv_olasilikK2,IF($P37="61-90",trv_olasilikK3,trv_olasilikK4))))</f>
        <v/>
      </c>
      <c r="R37" s="28">
        <f>IF(OR($A37="",$Q37=""),"",$J37*(1-$Q37)*MAX(trv_riskTaban,$K37/100))</f>
        <v/>
      </c>
      <c r="S37" s="28">
        <f>IF($A37="","",IF($B37="","YETİM",IF(COUNTIF(tblKartlar[KartId],$B37)=0,"YETİM","")))</f>
        <v/>
      </c>
      <c r="T37" s="28">
        <f>IF(OR($A37="",$F37=""),"",IF(OR($F37&amp;"|"&amp;$G37="",COUNTIF(ListeIzinliGecis,$F37&amp;"|"&amp;$G37)&gt;0),"","GEÇERSİZ GEÇİŞ"))</f>
        <v/>
      </c>
      <c r="U37" s="28">
        <f>IF($A37="","",IF(OR($G37="TAHSIL",$I37&gt;0),IF(OR($H37="",$I37=""),"",IF(ABS($I37-$H37)&gt;zincirTolerans,"ZİNCİR KIRIK","OK")),"OK"))</f>
        <v/>
      </c>
      <c r="V37" s="28">
        <f>IF($A37="","",1)</f>
        <v/>
      </c>
    </row>
    <row r="38">
      <c r="A38" s="26" t="n"/>
      <c r="B38" s="26" t="n"/>
      <c r="C38" s="26" t="n"/>
      <c r="D38" s="29" t="n"/>
      <c r="E38" s="29" t="n"/>
      <c r="F38" s="26" t="n"/>
      <c r="G38" s="26" t="n"/>
      <c r="H38" s="27" t="n"/>
      <c r="I38" s="27" t="n"/>
      <c r="J38" s="27" t="n"/>
      <c r="K38" s="30" t="n"/>
      <c r="L38" s="26" t="n"/>
      <c r="M38" s="26" t="n"/>
      <c r="N38" s="26" t="n"/>
      <c r="O38" s="28">
        <f>IF($A38="","",IF(OR($G38="TAHSIL",$G38="KAPALI"),0,IF($D38="","",raporTarihi-$D38)))</f>
        <v/>
      </c>
      <c r="P38" s="28">
        <f>IF($A38="","",IF($O38="","",IF($O38&lt;=trv_kovaEsik1,"0-30",IF($O38&lt;=trv_kovaEsik2,"31-60",IF($O38&lt;=trv_kovaEsik3,"61-90","90+")))))</f>
        <v/>
      </c>
      <c r="Q38" s="28">
        <f>IF(OR($A38="",$G38="TAHSIL",$G38="KAPALI"),"",IF($P38="0-30",trv_olasilikK1,IF($P38="31-60",trv_olasilikK2,IF($P38="61-90",trv_olasilikK3,trv_olasilikK4))))</f>
        <v/>
      </c>
      <c r="R38" s="28">
        <f>IF(OR($A38="",$Q38=""),"",$J38*(1-$Q38)*MAX(trv_riskTaban,$K38/100))</f>
        <v/>
      </c>
      <c r="S38" s="28">
        <f>IF($A38="","",IF($B38="","YETİM",IF(COUNTIF(tblKartlar[KartId],$B38)=0,"YETİM","")))</f>
        <v/>
      </c>
      <c r="T38" s="28">
        <f>IF(OR($A38="",$F38=""),"",IF(OR($F38&amp;"|"&amp;$G38="",COUNTIF(ListeIzinliGecis,$F38&amp;"|"&amp;$G38)&gt;0),"","GEÇERSİZ GEÇİŞ"))</f>
        <v/>
      </c>
      <c r="U38" s="28">
        <f>IF($A38="","",IF(OR($G38="TAHSIL",$I38&gt;0),IF(OR($H38="",$I38=""),"",IF(ABS($I38-$H38)&gt;zincirTolerans,"ZİNCİR KIRIK","OK")),"OK"))</f>
        <v/>
      </c>
      <c r="V38" s="28">
        <f>IF($A38="","",1)</f>
        <v/>
      </c>
    </row>
    <row r="39">
      <c r="A39" s="26" t="n"/>
      <c r="B39" s="26" t="n"/>
      <c r="C39" s="26" t="n"/>
      <c r="D39" s="29" t="n"/>
      <c r="E39" s="29" t="n"/>
      <c r="F39" s="26" t="n"/>
      <c r="G39" s="26" t="n"/>
      <c r="H39" s="27" t="n"/>
      <c r="I39" s="27" t="n"/>
      <c r="J39" s="27" t="n"/>
      <c r="K39" s="30" t="n"/>
      <c r="L39" s="26" t="n"/>
      <c r="M39" s="26" t="n"/>
      <c r="N39" s="26" t="n"/>
      <c r="O39" s="28">
        <f>IF($A39="","",IF(OR($G39="TAHSIL",$G39="KAPALI"),0,IF($D39="","",raporTarihi-$D39)))</f>
        <v/>
      </c>
      <c r="P39" s="28">
        <f>IF($A39="","",IF($O39="","",IF($O39&lt;=trv_kovaEsik1,"0-30",IF($O39&lt;=trv_kovaEsik2,"31-60",IF($O39&lt;=trv_kovaEsik3,"61-90","90+")))))</f>
        <v/>
      </c>
      <c r="Q39" s="28">
        <f>IF(OR($A39="",$G39="TAHSIL",$G39="KAPALI"),"",IF($P39="0-30",trv_olasilikK1,IF($P39="31-60",trv_olasilikK2,IF($P39="61-90",trv_olasilikK3,trv_olasilikK4))))</f>
        <v/>
      </c>
      <c r="R39" s="28">
        <f>IF(OR($A39="",$Q39=""),"",$J39*(1-$Q39)*MAX(trv_riskTaban,$K39/100))</f>
        <v/>
      </c>
      <c r="S39" s="28">
        <f>IF($A39="","",IF($B39="","YETİM",IF(COUNTIF(tblKartlar[KartId],$B39)=0,"YETİM","")))</f>
        <v/>
      </c>
      <c r="T39" s="28">
        <f>IF(OR($A39="",$F39=""),"",IF(OR($F39&amp;"|"&amp;$G39="",COUNTIF(ListeIzinliGecis,$F39&amp;"|"&amp;$G39)&gt;0),"","GEÇERSİZ GEÇİŞ"))</f>
        <v/>
      </c>
      <c r="U39" s="28">
        <f>IF($A39="","",IF(OR($G39="TAHSIL",$I39&gt;0),IF(OR($H39="",$I39=""),"",IF(ABS($I39-$H39)&gt;zincirTolerans,"ZİNCİR KIRIK","OK")),"OK"))</f>
        <v/>
      </c>
      <c r="V39" s="28">
        <f>IF($A39="","",1)</f>
        <v/>
      </c>
    </row>
    <row r="40">
      <c r="A40" s="26" t="n"/>
      <c r="B40" s="26" t="n"/>
      <c r="C40" s="26" t="n"/>
      <c r="D40" s="29" t="n"/>
      <c r="E40" s="29" t="n"/>
      <c r="F40" s="26" t="n"/>
      <c r="G40" s="26" t="n"/>
      <c r="H40" s="27" t="n"/>
      <c r="I40" s="27" t="n"/>
      <c r="J40" s="27" t="n"/>
      <c r="K40" s="30" t="n"/>
      <c r="L40" s="26" t="n"/>
      <c r="M40" s="26" t="n"/>
      <c r="N40" s="26" t="n"/>
      <c r="O40" s="28">
        <f>IF($A40="","",IF(OR($G40="TAHSIL",$G40="KAPALI"),0,IF($D40="","",raporTarihi-$D40)))</f>
        <v/>
      </c>
      <c r="P40" s="28">
        <f>IF($A40="","",IF($O40="","",IF($O40&lt;=trv_kovaEsik1,"0-30",IF($O40&lt;=trv_kovaEsik2,"31-60",IF($O40&lt;=trv_kovaEsik3,"61-90","90+")))))</f>
        <v/>
      </c>
      <c r="Q40" s="28">
        <f>IF(OR($A40="",$G40="TAHSIL",$G40="KAPALI"),"",IF($P40="0-30",trv_olasilikK1,IF($P40="31-60",trv_olasilikK2,IF($P40="61-90",trv_olasilikK3,trv_olasilikK4))))</f>
        <v/>
      </c>
      <c r="R40" s="28">
        <f>IF(OR($A40="",$Q40=""),"",$J40*(1-$Q40)*MAX(trv_riskTaban,$K40/100))</f>
        <v/>
      </c>
      <c r="S40" s="28">
        <f>IF($A40="","",IF($B40="","YETİM",IF(COUNTIF(tblKartlar[KartId],$B40)=0,"YETİM","")))</f>
        <v/>
      </c>
      <c r="T40" s="28">
        <f>IF(OR($A40="",$F40=""),"",IF(OR($F40&amp;"|"&amp;$G40="",COUNTIF(ListeIzinliGecis,$F40&amp;"|"&amp;$G40)&gt;0),"","GEÇERSİZ GEÇİŞ"))</f>
        <v/>
      </c>
      <c r="U40" s="28">
        <f>IF($A40="","",IF(OR($G40="TAHSIL",$I40&gt;0),IF(OR($H40="",$I40=""),"",IF(ABS($I40-$H40)&gt;zincirTolerans,"ZİNCİR KIRIK","OK")),"OK"))</f>
        <v/>
      </c>
      <c r="V40" s="28">
        <f>IF($A40="","",1)</f>
        <v/>
      </c>
    </row>
    <row r="41">
      <c r="A41" s="26" t="n"/>
      <c r="B41" s="26" t="n"/>
      <c r="C41" s="26" t="n"/>
      <c r="D41" s="29" t="n"/>
      <c r="E41" s="29" t="n"/>
      <c r="F41" s="26" t="n"/>
      <c r="G41" s="26" t="n"/>
      <c r="H41" s="27" t="n"/>
      <c r="I41" s="27" t="n"/>
      <c r="J41" s="27" t="n"/>
      <c r="K41" s="30" t="n"/>
      <c r="L41" s="26" t="n"/>
      <c r="M41" s="26" t="n"/>
      <c r="N41" s="26" t="n"/>
      <c r="O41" s="28">
        <f>IF($A41="","",IF(OR($G41="TAHSIL",$G41="KAPALI"),0,IF($D41="","",raporTarihi-$D41)))</f>
        <v/>
      </c>
      <c r="P41" s="28">
        <f>IF($A41="","",IF($O41="","",IF($O41&lt;=trv_kovaEsik1,"0-30",IF($O41&lt;=trv_kovaEsik2,"31-60",IF($O41&lt;=trv_kovaEsik3,"61-90","90+")))))</f>
        <v/>
      </c>
      <c r="Q41" s="28">
        <f>IF(OR($A41="",$G41="TAHSIL",$G41="KAPALI"),"",IF($P41="0-30",trv_olasilikK1,IF($P41="31-60",trv_olasilikK2,IF($P41="61-90",trv_olasilikK3,trv_olasilikK4))))</f>
        <v/>
      </c>
      <c r="R41" s="28">
        <f>IF(OR($A41="",$Q41=""),"",$J41*(1-$Q41)*MAX(trv_riskTaban,$K41/100))</f>
        <v/>
      </c>
      <c r="S41" s="28">
        <f>IF($A41="","",IF($B41="","YETİM",IF(COUNTIF(tblKartlar[KartId],$B41)=0,"YETİM","")))</f>
        <v/>
      </c>
      <c r="T41" s="28">
        <f>IF(OR($A41="",$F41=""),"",IF(OR($F41&amp;"|"&amp;$G41="",COUNTIF(ListeIzinliGecis,$F41&amp;"|"&amp;$G41)&gt;0),"","GEÇERSİZ GEÇİŞ"))</f>
        <v/>
      </c>
      <c r="U41" s="28">
        <f>IF($A41="","",IF(OR($G41="TAHSIL",$I41&gt;0),IF(OR($H41="",$I41=""),"",IF(ABS($I41-$H41)&gt;zincirTolerans,"ZİNCİR KIRIK","OK")),"OK"))</f>
        <v/>
      </c>
      <c r="V41" s="28">
        <f>IF($A41="","",1)</f>
        <v/>
      </c>
    </row>
    <row r="42">
      <c r="A42" s="26" t="n"/>
      <c r="B42" s="26" t="n"/>
      <c r="C42" s="26" t="n"/>
      <c r="D42" s="29" t="n"/>
      <c r="E42" s="29" t="n"/>
      <c r="F42" s="26" t="n"/>
      <c r="G42" s="26" t="n"/>
      <c r="H42" s="27" t="n"/>
      <c r="I42" s="27" t="n"/>
      <c r="J42" s="27" t="n"/>
      <c r="K42" s="30" t="n"/>
      <c r="L42" s="26" t="n"/>
      <c r="M42" s="26" t="n"/>
      <c r="N42" s="26" t="n"/>
      <c r="O42" s="28">
        <f>IF($A42="","",IF(OR($G42="TAHSIL",$G42="KAPALI"),0,IF($D42="","",raporTarihi-$D42)))</f>
        <v/>
      </c>
      <c r="P42" s="28">
        <f>IF($A42="","",IF($O42="","",IF($O42&lt;=trv_kovaEsik1,"0-30",IF($O42&lt;=trv_kovaEsik2,"31-60",IF($O42&lt;=trv_kovaEsik3,"61-90","90+")))))</f>
        <v/>
      </c>
      <c r="Q42" s="28">
        <f>IF(OR($A42="",$G42="TAHSIL",$G42="KAPALI"),"",IF($P42="0-30",trv_olasilikK1,IF($P42="31-60",trv_olasilikK2,IF($P42="61-90",trv_olasilikK3,trv_olasilikK4))))</f>
        <v/>
      </c>
      <c r="R42" s="28">
        <f>IF(OR($A42="",$Q42=""),"",$J42*(1-$Q42)*MAX(trv_riskTaban,$K42/100))</f>
        <v/>
      </c>
      <c r="S42" s="28">
        <f>IF($A42="","",IF($B42="","YETİM",IF(COUNTIF(tblKartlar[KartId],$B42)=0,"YETİM","")))</f>
        <v/>
      </c>
      <c r="T42" s="28">
        <f>IF(OR($A42="",$F42=""),"",IF(OR($F42&amp;"|"&amp;$G42="",COUNTIF(ListeIzinliGecis,$F42&amp;"|"&amp;$G42)&gt;0),"","GEÇERSİZ GEÇİŞ"))</f>
        <v/>
      </c>
      <c r="U42" s="28">
        <f>IF($A42="","",IF(OR($G42="TAHSIL",$I42&gt;0),IF(OR($H42="",$I42=""),"",IF(ABS($I42-$H42)&gt;zincirTolerans,"ZİNCİR KIRIK","OK")),"OK"))</f>
        <v/>
      </c>
      <c r="V42" s="28">
        <f>IF($A42="","",1)</f>
        <v/>
      </c>
    </row>
    <row r="43">
      <c r="A43" s="26" t="n"/>
      <c r="B43" s="26" t="n"/>
      <c r="C43" s="26" t="n"/>
      <c r="D43" s="29" t="n"/>
      <c r="E43" s="29" t="n"/>
      <c r="F43" s="26" t="n"/>
      <c r="G43" s="26" t="n"/>
      <c r="H43" s="27" t="n"/>
      <c r="I43" s="27" t="n"/>
      <c r="J43" s="27" t="n"/>
      <c r="K43" s="30" t="n"/>
      <c r="L43" s="26" t="n"/>
      <c r="M43" s="26" t="n"/>
      <c r="N43" s="26" t="n"/>
      <c r="O43" s="28">
        <f>IF($A43="","",IF(OR($G43="TAHSIL",$G43="KAPALI"),0,IF($D43="","",raporTarihi-$D43)))</f>
        <v/>
      </c>
      <c r="P43" s="28">
        <f>IF($A43="","",IF($O43="","",IF($O43&lt;=trv_kovaEsik1,"0-30",IF($O43&lt;=trv_kovaEsik2,"31-60",IF($O43&lt;=trv_kovaEsik3,"61-90","90+")))))</f>
        <v/>
      </c>
      <c r="Q43" s="28">
        <f>IF(OR($A43="",$G43="TAHSIL",$G43="KAPALI"),"",IF($P43="0-30",trv_olasilikK1,IF($P43="31-60",trv_olasilikK2,IF($P43="61-90",trv_olasilikK3,trv_olasilikK4))))</f>
        <v/>
      </c>
      <c r="R43" s="28">
        <f>IF(OR($A43="",$Q43=""),"",$J43*(1-$Q43)*MAX(trv_riskTaban,$K43/100))</f>
        <v/>
      </c>
      <c r="S43" s="28">
        <f>IF($A43="","",IF($B43="","YETİM",IF(COUNTIF(tblKartlar[KartId],$B43)=0,"YETİM","")))</f>
        <v/>
      </c>
      <c r="T43" s="28">
        <f>IF(OR($A43="",$F43=""),"",IF(OR($F43&amp;"|"&amp;$G43="",COUNTIF(ListeIzinliGecis,$F43&amp;"|"&amp;$G43)&gt;0),"","GEÇERSİZ GEÇİŞ"))</f>
        <v/>
      </c>
      <c r="U43" s="28">
        <f>IF($A43="","",IF(OR($G43="TAHSIL",$I43&gt;0),IF(OR($H43="",$I43=""),"",IF(ABS($I43-$H43)&gt;zincirTolerans,"ZİNCİR KIRIK","OK")),"OK"))</f>
        <v/>
      </c>
      <c r="V43" s="28">
        <f>IF($A43="","",1)</f>
        <v/>
      </c>
    </row>
    <row r="44">
      <c r="A44" s="26" t="n"/>
      <c r="B44" s="26" t="n"/>
      <c r="C44" s="26" t="n"/>
      <c r="D44" s="29" t="n"/>
      <c r="E44" s="29" t="n"/>
      <c r="F44" s="26" t="n"/>
      <c r="G44" s="26" t="n"/>
      <c r="H44" s="27" t="n"/>
      <c r="I44" s="27" t="n"/>
      <c r="J44" s="27" t="n"/>
      <c r="K44" s="30" t="n"/>
      <c r="L44" s="26" t="n"/>
      <c r="M44" s="26" t="n"/>
      <c r="N44" s="26" t="n"/>
      <c r="O44" s="28">
        <f>IF($A44="","",IF(OR($G44="TAHSIL",$G44="KAPALI"),0,IF($D44="","",raporTarihi-$D44)))</f>
        <v/>
      </c>
      <c r="P44" s="28">
        <f>IF($A44="","",IF($O44="","",IF($O44&lt;=trv_kovaEsik1,"0-30",IF($O44&lt;=trv_kovaEsik2,"31-60",IF($O44&lt;=trv_kovaEsik3,"61-90","90+")))))</f>
        <v/>
      </c>
      <c r="Q44" s="28">
        <f>IF(OR($A44="",$G44="TAHSIL",$G44="KAPALI"),"",IF($P44="0-30",trv_olasilikK1,IF($P44="31-60",trv_olasilikK2,IF($P44="61-90",trv_olasilikK3,trv_olasilikK4))))</f>
        <v/>
      </c>
      <c r="R44" s="28">
        <f>IF(OR($A44="",$Q44=""),"",$J44*(1-$Q44)*MAX(trv_riskTaban,$K44/100))</f>
        <v/>
      </c>
      <c r="S44" s="28">
        <f>IF($A44="","",IF($B44="","YETİM",IF(COUNTIF(tblKartlar[KartId],$B44)=0,"YETİM","")))</f>
        <v/>
      </c>
      <c r="T44" s="28">
        <f>IF(OR($A44="",$F44=""),"",IF(OR($F44&amp;"|"&amp;$G44="",COUNTIF(ListeIzinliGecis,$F44&amp;"|"&amp;$G44)&gt;0),"","GEÇERSİZ GEÇİŞ"))</f>
        <v/>
      </c>
      <c r="U44" s="28">
        <f>IF($A44="","",IF(OR($G44="TAHSIL",$I44&gt;0),IF(OR($H44="",$I44=""),"",IF(ABS($I44-$H44)&gt;zincirTolerans,"ZİNCİR KIRIK","OK")),"OK"))</f>
        <v/>
      </c>
      <c r="V44" s="28">
        <f>IF($A44="","",1)</f>
        <v/>
      </c>
    </row>
    <row r="45">
      <c r="A45" s="26" t="n"/>
      <c r="B45" s="26" t="n"/>
      <c r="C45" s="26" t="n"/>
      <c r="D45" s="29" t="n"/>
      <c r="E45" s="29" t="n"/>
      <c r="F45" s="26" t="n"/>
      <c r="G45" s="26" t="n"/>
      <c r="H45" s="27" t="n"/>
      <c r="I45" s="27" t="n"/>
      <c r="J45" s="27" t="n"/>
      <c r="K45" s="30" t="n"/>
      <c r="L45" s="26" t="n"/>
      <c r="M45" s="26" t="n"/>
      <c r="N45" s="26" t="n"/>
      <c r="O45" s="28">
        <f>IF($A45="","",IF(OR($G45="TAHSIL",$G45="KAPALI"),0,IF($D45="","",raporTarihi-$D45)))</f>
        <v/>
      </c>
      <c r="P45" s="28">
        <f>IF($A45="","",IF($O45="","",IF($O45&lt;=trv_kovaEsik1,"0-30",IF($O45&lt;=trv_kovaEsik2,"31-60",IF($O45&lt;=trv_kovaEsik3,"61-90","90+")))))</f>
        <v/>
      </c>
      <c r="Q45" s="28">
        <f>IF(OR($A45="",$G45="TAHSIL",$G45="KAPALI"),"",IF($P45="0-30",trv_olasilikK1,IF($P45="31-60",trv_olasilikK2,IF($P45="61-90",trv_olasilikK3,trv_olasilikK4))))</f>
        <v/>
      </c>
      <c r="R45" s="28">
        <f>IF(OR($A45="",$Q45=""),"",$J45*(1-$Q45)*MAX(trv_riskTaban,$K45/100))</f>
        <v/>
      </c>
      <c r="S45" s="28">
        <f>IF($A45="","",IF($B45="","YETİM",IF(COUNTIF(tblKartlar[KartId],$B45)=0,"YETİM","")))</f>
        <v/>
      </c>
      <c r="T45" s="28">
        <f>IF(OR($A45="",$F45=""),"",IF(OR($F45&amp;"|"&amp;$G45="",COUNTIF(ListeIzinliGecis,$F45&amp;"|"&amp;$G45)&gt;0),"","GEÇERSİZ GEÇİŞ"))</f>
        <v/>
      </c>
      <c r="U45" s="28">
        <f>IF($A45="","",IF(OR($G45="TAHSIL",$I45&gt;0),IF(OR($H45="",$I45=""),"",IF(ABS($I45-$H45)&gt;zincirTolerans,"ZİNCİR KIRIK","OK")),"OK"))</f>
        <v/>
      </c>
      <c r="V45" s="28">
        <f>IF($A45="","",1)</f>
        <v/>
      </c>
    </row>
    <row r="46">
      <c r="A46" s="26" t="n"/>
      <c r="B46" s="26" t="n"/>
      <c r="C46" s="26" t="n"/>
      <c r="D46" s="29" t="n"/>
      <c r="E46" s="29" t="n"/>
      <c r="F46" s="26" t="n"/>
      <c r="G46" s="26" t="n"/>
      <c r="H46" s="27" t="n"/>
      <c r="I46" s="27" t="n"/>
      <c r="J46" s="27" t="n"/>
      <c r="K46" s="30" t="n"/>
      <c r="L46" s="26" t="n"/>
      <c r="M46" s="26" t="n"/>
      <c r="N46" s="26" t="n"/>
      <c r="O46" s="28">
        <f>IF($A46="","",IF(OR($G46="TAHSIL",$G46="KAPALI"),0,IF($D46="","",raporTarihi-$D46)))</f>
        <v/>
      </c>
      <c r="P46" s="28">
        <f>IF($A46="","",IF($O46="","",IF($O46&lt;=trv_kovaEsik1,"0-30",IF($O46&lt;=trv_kovaEsik2,"31-60",IF($O46&lt;=trv_kovaEsik3,"61-90","90+")))))</f>
        <v/>
      </c>
      <c r="Q46" s="28">
        <f>IF(OR($A46="",$G46="TAHSIL",$G46="KAPALI"),"",IF($P46="0-30",trv_olasilikK1,IF($P46="31-60",trv_olasilikK2,IF($P46="61-90",trv_olasilikK3,trv_olasilikK4))))</f>
        <v/>
      </c>
      <c r="R46" s="28">
        <f>IF(OR($A46="",$Q46=""),"",$J46*(1-$Q46)*MAX(trv_riskTaban,$K46/100))</f>
        <v/>
      </c>
      <c r="S46" s="28">
        <f>IF($A46="","",IF($B46="","YETİM",IF(COUNTIF(tblKartlar[KartId],$B46)=0,"YETİM","")))</f>
        <v/>
      </c>
      <c r="T46" s="28">
        <f>IF(OR($A46="",$F46=""),"",IF(OR($F46&amp;"|"&amp;$G46="",COUNTIF(ListeIzinliGecis,$F46&amp;"|"&amp;$G46)&gt;0),"","GEÇERSİZ GEÇİŞ"))</f>
        <v/>
      </c>
      <c r="U46" s="28">
        <f>IF($A46="","",IF(OR($G46="TAHSIL",$I46&gt;0),IF(OR($H46="",$I46=""),"",IF(ABS($I46-$H46)&gt;zincirTolerans,"ZİNCİR KIRIK","OK")),"OK"))</f>
        <v/>
      </c>
      <c r="V46" s="28">
        <f>IF($A46="","",1)</f>
        <v/>
      </c>
    </row>
    <row r="47">
      <c r="A47" s="26" t="n"/>
      <c r="B47" s="26" t="n"/>
      <c r="C47" s="26" t="n"/>
      <c r="D47" s="29" t="n"/>
      <c r="E47" s="29" t="n"/>
      <c r="F47" s="26" t="n"/>
      <c r="G47" s="26" t="n"/>
      <c r="H47" s="27" t="n"/>
      <c r="I47" s="27" t="n"/>
      <c r="J47" s="27" t="n"/>
      <c r="K47" s="30" t="n"/>
      <c r="L47" s="26" t="n"/>
      <c r="M47" s="26" t="n"/>
      <c r="N47" s="26" t="n"/>
      <c r="O47" s="28">
        <f>IF($A47="","",IF(OR($G47="TAHSIL",$G47="KAPALI"),0,IF($D47="","",raporTarihi-$D47)))</f>
        <v/>
      </c>
      <c r="P47" s="28">
        <f>IF($A47="","",IF($O47="","",IF($O47&lt;=trv_kovaEsik1,"0-30",IF($O47&lt;=trv_kovaEsik2,"31-60",IF($O47&lt;=trv_kovaEsik3,"61-90","90+")))))</f>
        <v/>
      </c>
      <c r="Q47" s="28">
        <f>IF(OR($A47="",$G47="TAHSIL",$G47="KAPALI"),"",IF($P47="0-30",trv_olasilikK1,IF($P47="31-60",trv_olasilikK2,IF($P47="61-90",trv_olasilikK3,trv_olasilikK4))))</f>
        <v/>
      </c>
      <c r="R47" s="28">
        <f>IF(OR($A47="",$Q47=""),"",$J47*(1-$Q47)*MAX(trv_riskTaban,$K47/100))</f>
        <v/>
      </c>
      <c r="S47" s="28">
        <f>IF($A47="","",IF($B47="","YETİM",IF(COUNTIF(tblKartlar[KartId],$B47)=0,"YETİM","")))</f>
        <v/>
      </c>
      <c r="T47" s="28">
        <f>IF(OR($A47="",$F47=""),"",IF(OR($F47&amp;"|"&amp;$G47="",COUNTIF(ListeIzinliGecis,$F47&amp;"|"&amp;$G47)&gt;0),"","GEÇERSİZ GEÇİŞ"))</f>
        <v/>
      </c>
      <c r="U47" s="28">
        <f>IF($A47="","",IF(OR($G47="TAHSIL",$I47&gt;0),IF(OR($H47="",$I47=""),"",IF(ABS($I47-$H47)&gt;zincirTolerans,"ZİNCİR KIRIK","OK")),"OK"))</f>
        <v/>
      </c>
      <c r="V47" s="28">
        <f>IF($A47="","",1)</f>
        <v/>
      </c>
    </row>
    <row r="48">
      <c r="A48" s="26" t="n"/>
      <c r="B48" s="26" t="n"/>
      <c r="C48" s="26" t="n"/>
      <c r="D48" s="29" t="n"/>
      <c r="E48" s="29" t="n"/>
      <c r="F48" s="26" t="n"/>
      <c r="G48" s="26" t="n"/>
      <c r="H48" s="27" t="n"/>
      <c r="I48" s="27" t="n"/>
      <c r="J48" s="27" t="n"/>
      <c r="K48" s="30" t="n"/>
      <c r="L48" s="26" t="n"/>
      <c r="M48" s="26" t="n"/>
      <c r="N48" s="26" t="n"/>
      <c r="O48" s="28">
        <f>IF($A48="","",IF(OR($G48="TAHSIL",$G48="KAPALI"),0,IF($D48="","",raporTarihi-$D48)))</f>
        <v/>
      </c>
      <c r="P48" s="28">
        <f>IF($A48="","",IF($O48="","",IF($O48&lt;=trv_kovaEsik1,"0-30",IF($O48&lt;=trv_kovaEsik2,"31-60",IF($O48&lt;=trv_kovaEsik3,"61-90","90+")))))</f>
        <v/>
      </c>
      <c r="Q48" s="28">
        <f>IF(OR($A48="",$G48="TAHSIL",$G48="KAPALI"),"",IF($P48="0-30",trv_olasilikK1,IF($P48="31-60",trv_olasilikK2,IF($P48="61-90",trv_olasilikK3,trv_olasilikK4))))</f>
        <v/>
      </c>
      <c r="R48" s="28">
        <f>IF(OR($A48="",$Q48=""),"",$J48*(1-$Q48)*MAX(trv_riskTaban,$K48/100))</f>
        <v/>
      </c>
      <c r="S48" s="28">
        <f>IF($A48="","",IF($B48="","YETİM",IF(COUNTIF(tblKartlar[KartId],$B48)=0,"YETİM","")))</f>
        <v/>
      </c>
      <c r="T48" s="28">
        <f>IF(OR($A48="",$F48=""),"",IF(OR($F48&amp;"|"&amp;$G48="",COUNTIF(ListeIzinliGecis,$F48&amp;"|"&amp;$G48)&gt;0),"","GEÇERSİZ GEÇİŞ"))</f>
        <v/>
      </c>
      <c r="U48" s="28">
        <f>IF($A48="","",IF(OR($G48="TAHSIL",$I48&gt;0),IF(OR($H48="",$I48=""),"",IF(ABS($I48-$H48)&gt;zincirTolerans,"ZİNCİR KIRIK","OK")),"OK"))</f>
        <v/>
      </c>
      <c r="V48" s="28">
        <f>IF($A48="","",1)</f>
        <v/>
      </c>
    </row>
    <row r="49">
      <c r="A49" s="26" t="n"/>
      <c r="B49" s="26" t="n"/>
      <c r="C49" s="26" t="n"/>
      <c r="D49" s="29" t="n"/>
      <c r="E49" s="29" t="n"/>
      <c r="F49" s="26" t="n"/>
      <c r="G49" s="26" t="n"/>
      <c r="H49" s="27" t="n"/>
      <c r="I49" s="27" t="n"/>
      <c r="J49" s="27" t="n"/>
      <c r="K49" s="30" t="n"/>
      <c r="L49" s="26" t="n"/>
      <c r="M49" s="26" t="n"/>
      <c r="N49" s="26" t="n"/>
      <c r="O49" s="28">
        <f>IF($A49="","",IF(OR($G49="TAHSIL",$G49="KAPALI"),0,IF($D49="","",raporTarihi-$D49)))</f>
        <v/>
      </c>
      <c r="P49" s="28">
        <f>IF($A49="","",IF($O49="","",IF($O49&lt;=trv_kovaEsik1,"0-30",IF($O49&lt;=trv_kovaEsik2,"31-60",IF($O49&lt;=trv_kovaEsik3,"61-90","90+")))))</f>
        <v/>
      </c>
      <c r="Q49" s="28">
        <f>IF(OR($A49="",$G49="TAHSIL",$G49="KAPALI"),"",IF($P49="0-30",trv_olasilikK1,IF($P49="31-60",trv_olasilikK2,IF($P49="61-90",trv_olasilikK3,trv_olasilikK4))))</f>
        <v/>
      </c>
      <c r="R49" s="28">
        <f>IF(OR($A49="",$Q49=""),"",$J49*(1-$Q49)*MAX(trv_riskTaban,$K49/100))</f>
        <v/>
      </c>
      <c r="S49" s="28">
        <f>IF($A49="","",IF($B49="","YETİM",IF(COUNTIF(tblKartlar[KartId],$B49)=0,"YETİM","")))</f>
        <v/>
      </c>
      <c r="T49" s="28">
        <f>IF(OR($A49="",$F49=""),"",IF(OR($F49&amp;"|"&amp;$G49="",COUNTIF(ListeIzinliGecis,$F49&amp;"|"&amp;$G49)&gt;0),"","GEÇERSİZ GEÇİŞ"))</f>
        <v/>
      </c>
      <c r="U49" s="28">
        <f>IF($A49="","",IF(OR($G49="TAHSIL",$I49&gt;0),IF(OR($H49="",$I49=""),"",IF(ABS($I49-$H49)&gt;zincirTolerans,"ZİNCİR KIRIK","OK")),"OK"))</f>
        <v/>
      </c>
      <c r="V49" s="28">
        <f>IF($A49="","",1)</f>
        <v/>
      </c>
    </row>
    <row r="50">
      <c r="A50" s="26" t="n"/>
      <c r="B50" s="26" t="n"/>
      <c r="C50" s="26" t="n"/>
      <c r="D50" s="29" t="n"/>
      <c r="E50" s="29" t="n"/>
      <c r="F50" s="26" t="n"/>
      <c r="G50" s="26" t="n"/>
      <c r="H50" s="27" t="n"/>
      <c r="I50" s="27" t="n"/>
      <c r="J50" s="27" t="n"/>
      <c r="K50" s="30" t="n"/>
      <c r="L50" s="26" t="n"/>
      <c r="M50" s="26" t="n"/>
      <c r="N50" s="26" t="n"/>
      <c r="O50" s="28">
        <f>IF($A50="","",IF(OR($G50="TAHSIL",$G50="KAPALI"),0,IF($D50="","",raporTarihi-$D50)))</f>
        <v/>
      </c>
      <c r="P50" s="28">
        <f>IF($A50="","",IF($O50="","",IF($O50&lt;=trv_kovaEsik1,"0-30",IF($O50&lt;=trv_kovaEsik2,"31-60",IF($O50&lt;=trv_kovaEsik3,"61-90","90+")))))</f>
        <v/>
      </c>
      <c r="Q50" s="28">
        <f>IF(OR($A50="",$G50="TAHSIL",$G50="KAPALI"),"",IF($P50="0-30",trv_olasilikK1,IF($P50="31-60",trv_olasilikK2,IF($P50="61-90",trv_olasilikK3,trv_olasilikK4))))</f>
        <v/>
      </c>
      <c r="R50" s="28">
        <f>IF(OR($A50="",$Q50=""),"",$J50*(1-$Q50)*MAX(trv_riskTaban,$K50/100))</f>
        <v/>
      </c>
      <c r="S50" s="28">
        <f>IF($A50="","",IF($B50="","YETİM",IF(COUNTIF(tblKartlar[KartId],$B50)=0,"YETİM","")))</f>
        <v/>
      </c>
      <c r="T50" s="28">
        <f>IF(OR($A50="",$F50=""),"",IF(OR($F50&amp;"|"&amp;$G50="",COUNTIF(ListeIzinliGecis,$F50&amp;"|"&amp;$G50)&gt;0),"","GEÇERSİZ GEÇİŞ"))</f>
        <v/>
      </c>
      <c r="U50" s="28">
        <f>IF($A50="","",IF(OR($G50="TAHSIL",$I50&gt;0),IF(OR($H50="",$I50=""),"",IF(ABS($I50-$H50)&gt;zincirTolerans,"ZİNCİR KIRIK","OK")),"OK"))</f>
        <v/>
      </c>
      <c r="V50" s="28">
        <f>IF($A50="","",1)</f>
        <v/>
      </c>
    </row>
    <row r="51">
      <c r="A51" s="26" t="n"/>
      <c r="B51" s="26" t="n"/>
      <c r="C51" s="26" t="n"/>
      <c r="D51" s="29" t="n"/>
      <c r="E51" s="29" t="n"/>
      <c r="F51" s="26" t="n"/>
      <c r="G51" s="26" t="n"/>
      <c r="H51" s="27" t="n"/>
      <c r="I51" s="27" t="n"/>
      <c r="J51" s="27" t="n"/>
      <c r="K51" s="30" t="n"/>
      <c r="L51" s="26" t="n"/>
      <c r="M51" s="26" t="n"/>
      <c r="N51" s="26" t="n"/>
      <c r="O51" s="28">
        <f>IF($A51="","",IF(OR($G51="TAHSIL",$G51="KAPALI"),0,IF($D51="","",raporTarihi-$D51)))</f>
        <v/>
      </c>
      <c r="P51" s="28">
        <f>IF($A51="","",IF($O51="","",IF($O51&lt;=trv_kovaEsik1,"0-30",IF($O51&lt;=trv_kovaEsik2,"31-60",IF($O51&lt;=trv_kovaEsik3,"61-90","90+")))))</f>
        <v/>
      </c>
      <c r="Q51" s="28">
        <f>IF(OR($A51="",$G51="TAHSIL",$G51="KAPALI"),"",IF($P51="0-30",trv_olasilikK1,IF($P51="31-60",trv_olasilikK2,IF($P51="61-90",trv_olasilikK3,trv_olasilikK4))))</f>
        <v/>
      </c>
      <c r="R51" s="28">
        <f>IF(OR($A51="",$Q51=""),"",$J51*(1-$Q51)*MAX(trv_riskTaban,$K51/100))</f>
        <v/>
      </c>
      <c r="S51" s="28">
        <f>IF($A51="","",IF($B51="","YETİM",IF(COUNTIF(tblKartlar[KartId],$B51)=0,"YETİM","")))</f>
        <v/>
      </c>
      <c r="T51" s="28">
        <f>IF(OR($A51="",$F51=""),"",IF(OR($F51&amp;"|"&amp;$G51="",COUNTIF(ListeIzinliGecis,$F51&amp;"|"&amp;$G51)&gt;0),"","GEÇERSİZ GEÇİŞ"))</f>
        <v/>
      </c>
      <c r="U51" s="28">
        <f>IF($A51="","",IF(OR($G51="TAHSIL",$I51&gt;0),IF(OR($H51="",$I51=""),"",IF(ABS($I51-$H51)&gt;zincirTolerans,"ZİNCİR KIRIK","OK")),"OK"))</f>
        <v/>
      </c>
      <c r="V51" s="28">
        <f>IF($A51="","",1)</f>
        <v/>
      </c>
    </row>
    <row r="52">
      <c r="A52" s="26" t="n"/>
      <c r="B52" s="26" t="n"/>
      <c r="C52" s="26" t="n"/>
      <c r="D52" s="29" t="n"/>
      <c r="E52" s="29" t="n"/>
      <c r="F52" s="26" t="n"/>
      <c r="G52" s="26" t="n"/>
      <c r="H52" s="27" t="n"/>
      <c r="I52" s="27" t="n"/>
      <c r="J52" s="27" t="n"/>
      <c r="K52" s="30" t="n"/>
      <c r="L52" s="26" t="n"/>
      <c r="M52" s="26" t="n"/>
      <c r="N52" s="26" t="n"/>
      <c r="O52" s="28">
        <f>IF($A52="","",IF(OR($G52="TAHSIL",$G52="KAPALI"),0,IF($D52="","",raporTarihi-$D52)))</f>
        <v/>
      </c>
      <c r="P52" s="28">
        <f>IF($A52="","",IF($O52="","",IF($O52&lt;=trv_kovaEsik1,"0-30",IF($O52&lt;=trv_kovaEsik2,"31-60",IF($O52&lt;=trv_kovaEsik3,"61-90","90+")))))</f>
        <v/>
      </c>
      <c r="Q52" s="28">
        <f>IF(OR($A52="",$G52="TAHSIL",$G52="KAPALI"),"",IF($P52="0-30",trv_olasilikK1,IF($P52="31-60",trv_olasilikK2,IF($P52="61-90",trv_olasilikK3,trv_olasilikK4))))</f>
        <v/>
      </c>
      <c r="R52" s="28">
        <f>IF(OR($A52="",$Q52=""),"",$J52*(1-$Q52)*MAX(trv_riskTaban,$K52/100))</f>
        <v/>
      </c>
      <c r="S52" s="28">
        <f>IF($A52="","",IF($B52="","YETİM",IF(COUNTIF(tblKartlar[KartId],$B52)=0,"YETİM","")))</f>
        <v/>
      </c>
      <c r="T52" s="28">
        <f>IF(OR($A52="",$F52=""),"",IF(OR($F52&amp;"|"&amp;$G52="",COUNTIF(ListeIzinliGecis,$F52&amp;"|"&amp;$G52)&gt;0),"","GEÇERSİZ GEÇİŞ"))</f>
        <v/>
      </c>
      <c r="U52" s="28">
        <f>IF($A52="","",IF(OR($G52="TAHSIL",$I52&gt;0),IF(OR($H52="",$I52=""),"",IF(ABS($I52-$H52)&gt;zincirTolerans,"ZİNCİR KIRIK","OK")),"OK"))</f>
        <v/>
      </c>
      <c r="V52" s="28">
        <f>IF($A52="","",1)</f>
        <v/>
      </c>
    </row>
    <row r="53">
      <c r="A53" s="26" t="n"/>
      <c r="B53" s="26" t="n"/>
      <c r="C53" s="26" t="n"/>
      <c r="D53" s="29" t="n"/>
      <c r="E53" s="29" t="n"/>
      <c r="F53" s="26" t="n"/>
      <c r="G53" s="26" t="n"/>
      <c r="H53" s="27" t="n"/>
      <c r="I53" s="27" t="n"/>
      <c r="J53" s="27" t="n"/>
      <c r="K53" s="30" t="n"/>
      <c r="L53" s="26" t="n"/>
      <c r="M53" s="26" t="n"/>
      <c r="N53" s="26" t="n"/>
      <c r="O53" s="28">
        <f>IF($A53="","",IF(OR($G53="TAHSIL",$G53="KAPALI"),0,IF($D53="","",raporTarihi-$D53)))</f>
        <v/>
      </c>
      <c r="P53" s="28">
        <f>IF($A53="","",IF($O53="","",IF($O53&lt;=trv_kovaEsik1,"0-30",IF($O53&lt;=trv_kovaEsik2,"31-60",IF($O53&lt;=trv_kovaEsik3,"61-90","90+")))))</f>
        <v/>
      </c>
      <c r="Q53" s="28">
        <f>IF(OR($A53="",$G53="TAHSIL",$G53="KAPALI"),"",IF($P53="0-30",trv_olasilikK1,IF($P53="31-60",trv_olasilikK2,IF($P53="61-90",trv_olasilikK3,trv_olasilikK4))))</f>
        <v/>
      </c>
      <c r="R53" s="28">
        <f>IF(OR($A53="",$Q53=""),"",$J53*(1-$Q53)*MAX(trv_riskTaban,$K53/100))</f>
        <v/>
      </c>
      <c r="S53" s="28">
        <f>IF($A53="","",IF($B53="","YETİM",IF(COUNTIF(tblKartlar[KartId],$B53)=0,"YETİM","")))</f>
        <v/>
      </c>
      <c r="T53" s="28">
        <f>IF(OR($A53="",$F53=""),"",IF(OR($F53&amp;"|"&amp;$G53="",COUNTIF(ListeIzinliGecis,$F53&amp;"|"&amp;$G53)&gt;0),"","GEÇERSİZ GEÇİŞ"))</f>
        <v/>
      </c>
      <c r="U53" s="28">
        <f>IF($A53="","",IF(OR($G53="TAHSIL",$I53&gt;0),IF(OR($H53="",$I53=""),"",IF(ABS($I53-$H53)&gt;zincirTolerans,"ZİNCİR KIRIK","OK")),"OK"))</f>
        <v/>
      </c>
      <c r="V53" s="28">
        <f>IF($A53="","",1)</f>
        <v/>
      </c>
    </row>
    <row r="54">
      <c r="A54" s="26" t="n"/>
      <c r="B54" s="26" t="n"/>
      <c r="C54" s="26" t="n"/>
      <c r="D54" s="29" t="n"/>
      <c r="E54" s="29" t="n"/>
      <c r="F54" s="26" t="n"/>
      <c r="G54" s="26" t="n"/>
      <c r="H54" s="27" t="n"/>
      <c r="I54" s="27" t="n"/>
      <c r="J54" s="27" t="n"/>
      <c r="K54" s="30" t="n"/>
      <c r="L54" s="26" t="n"/>
      <c r="M54" s="26" t="n"/>
      <c r="N54" s="26" t="n"/>
      <c r="O54" s="28">
        <f>IF($A54="","",IF(OR($G54="TAHSIL",$G54="KAPALI"),0,IF($D54="","",raporTarihi-$D54)))</f>
        <v/>
      </c>
      <c r="P54" s="28">
        <f>IF($A54="","",IF($O54="","",IF($O54&lt;=trv_kovaEsik1,"0-30",IF($O54&lt;=trv_kovaEsik2,"31-60",IF($O54&lt;=trv_kovaEsik3,"61-90","90+")))))</f>
        <v/>
      </c>
      <c r="Q54" s="28">
        <f>IF(OR($A54="",$G54="TAHSIL",$G54="KAPALI"),"",IF($P54="0-30",trv_olasilikK1,IF($P54="31-60",trv_olasilikK2,IF($P54="61-90",trv_olasilikK3,trv_olasilikK4))))</f>
        <v/>
      </c>
      <c r="R54" s="28">
        <f>IF(OR($A54="",$Q54=""),"",$J54*(1-$Q54)*MAX(trv_riskTaban,$K54/100))</f>
        <v/>
      </c>
      <c r="S54" s="28">
        <f>IF($A54="","",IF($B54="","YETİM",IF(COUNTIF(tblKartlar[KartId],$B54)=0,"YETİM","")))</f>
        <v/>
      </c>
      <c r="T54" s="28">
        <f>IF(OR($A54="",$F54=""),"",IF(OR($F54&amp;"|"&amp;$G54="",COUNTIF(ListeIzinliGecis,$F54&amp;"|"&amp;$G54)&gt;0),"","GEÇERSİZ GEÇİŞ"))</f>
        <v/>
      </c>
      <c r="U54" s="28">
        <f>IF($A54="","",IF(OR($G54="TAHSIL",$I54&gt;0),IF(OR($H54="",$I54=""),"",IF(ABS($I54-$H54)&gt;zincirTolerans,"ZİNCİR KIRIK","OK")),"OK"))</f>
        <v/>
      </c>
      <c r="V54" s="28">
        <f>IF($A54="","",1)</f>
        <v/>
      </c>
    </row>
    <row r="55">
      <c r="A55" s="26" t="n"/>
      <c r="B55" s="26" t="n"/>
      <c r="C55" s="26" t="n"/>
      <c r="D55" s="29" t="n"/>
      <c r="E55" s="29" t="n"/>
      <c r="F55" s="26" t="n"/>
      <c r="G55" s="26" t="n"/>
      <c r="H55" s="27" t="n"/>
      <c r="I55" s="27" t="n"/>
      <c r="J55" s="27" t="n"/>
      <c r="K55" s="30" t="n"/>
      <c r="L55" s="26" t="n"/>
      <c r="M55" s="26" t="n"/>
      <c r="N55" s="26" t="n"/>
      <c r="O55" s="28">
        <f>IF($A55="","",IF(OR($G55="TAHSIL",$G55="KAPALI"),0,IF($D55="","",raporTarihi-$D55)))</f>
        <v/>
      </c>
      <c r="P55" s="28">
        <f>IF($A55="","",IF($O55="","",IF($O55&lt;=trv_kovaEsik1,"0-30",IF($O55&lt;=trv_kovaEsik2,"31-60",IF($O55&lt;=trv_kovaEsik3,"61-90","90+")))))</f>
        <v/>
      </c>
      <c r="Q55" s="28">
        <f>IF(OR($A55="",$G55="TAHSIL",$G55="KAPALI"),"",IF($P55="0-30",trv_olasilikK1,IF($P55="31-60",trv_olasilikK2,IF($P55="61-90",trv_olasilikK3,trv_olasilikK4))))</f>
        <v/>
      </c>
      <c r="R55" s="28">
        <f>IF(OR($A55="",$Q55=""),"",$J55*(1-$Q55)*MAX(trv_riskTaban,$K55/100))</f>
        <v/>
      </c>
      <c r="S55" s="28">
        <f>IF($A55="","",IF($B55="","YETİM",IF(COUNTIF(tblKartlar[KartId],$B55)=0,"YETİM","")))</f>
        <v/>
      </c>
      <c r="T55" s="28">
        <f>IF(OR($A55="",$F55=""),"",IF(OR($F55&amp;"|"&amp;$G55="",COUNTIF(ListeIzinliGecis,$F55&amp;"|"&amp;$G55)&gt;0),"","GEÇERSİZ GEÇİŞ"))</f>
        <v/>
      </c>
      <c r="U55" s="28">
        <f>IF($A55="","",IF(OR($G55="TAHSIL",$I55&gt;0),IF(OR($H55="",$I55=""),"",IF(ABS($I55-$H55)&gt;zincirTolerans,"ZİNCİR KIRIK","OK")),"OK"))</f>
        <v/>
      </c>
      <c r="V55" s="28">
        <f>IF($A55="","",1)</f>
        <v/>
      </c>
    </row>
    <row r="56">
      <c r="A56" s="26" t="n"/>
      <c r="B56" s="26" t="n"/>
      <c r="C56" s="26" t="n"/>
      <c r="D56" s="29" t="n"/>
      <c r="E56" s="29" t="n"/>
      <c r="F56" s="26" t="n"/>
      <c r="G56" s="26" t="n"/>
      <c r="H56" s="27" t="n"/>
      <c r="I56" s="27" t="n"/>
      <c r="J56" s="27" t="n"/>
      <c r="K56" s="30" t="n"/>
      <c r="L56" s="26" t="n"/>
      <c r="M56" s="26" t="n"/>
      <c r="N56" s="26" t="n"/>
      <c r="O56" s="28">
        <f>IF($A56="","",IF(OR($G56="TAHSIL",$G56="KAPALI"),0,IF($D56="","",raporTarihi-$D56)))</f>
        <v/>
      </c>
      <c r="P56" s="28">
        <f>IF($A56="","",IF($O56="","",IF($O56&lt;=trv_kovaEsik1,"0-30",IF($O56&lt;=trv_kovaEsik2,"31-60",IF($O56&lt;=trv_kovaEsik3,"61-90","90+")))))</f>
        <v/>
      </c>
      <c r="Q56" s="28">
        <f>IF(OR($A56="",$G56="TAHSIL",$G56="KAPALI"),"",IF($P56="0-30",trv_olasilikK1,IF($P56="31-60",trv_olasilikK2,IF($P56="61-90",trv_olasilikK3,trv_olasilikK4))))</f>
        <v/>
      </c>
      <c r="R56" s="28">
        <f>IF(OR($A56="",$Q56=""),"",$J56*(1-$Q56)*MAX(trv_riskTaban,$K56/100))</f>
        <v/>
      </c>
      <c r="S56" s="28">
        <f>IF($A56="","",IF($B56="","YETİM",IF(COUNTIF(tblKartlar[KartId],$B56)=0,"YETİM","")))</f>
        <v/>
      </c>
      <c r="T56" s="28">
        <f>IF(OR($A56="",$F56=""),"",IF(OR($F56&amp;"|"&amp;$G56="",COUNTIF(ListeIzinliGecis,$F56&amp;"|"&amp;$G56)&gt;0),"","GEÇERSİZ GEÇİŞ"))</f>
        <v/>
      </c>
      <c r="U56" s="28">
        <f>IF($A56="","",IF(OR($G56="TAHSIL",$I56&gt;0),IF(OR($H56="",$I56=""),"",IF(ABS($I56-$H56)&gt;zincirTolerans,"ZİNCİR KIRIK","OK")),"OK"))</f>
        <v/>
      </c>
      <c r="V56" s="28">
        <f>IF($A56="","",1)</f>
        <v/>
      </c>
    </row>
    <row r="57">
      <c r="A57" s="26" t="n"/>
      <c r="B57" s="26" t="n"/>
      <c r="C57" s="26" t="n"/>
      <c r="D57" s="29" t="n"/>
      <c r="E57" s="29" t="n"/>
      <c r="F57" s="26" t="n"/>
      <c r="G57" s="26" t="n"/>
      <c r="H57" s="27" t="n"/>
      <c r="I57" s="27" t="n"/>
      <c r="J57" s="27" t="n"/>
      <c r="K57" s="30" t="n"/>
      <c r="L57" s="26" t="n"/>
      <c r="M57" s="26" t="n"/>
      <c r="N57" s="26" t="n"/>
      <c r="O57" s="28">
        <f>IF($A57="","",IF(OR($G57="TAHSIL",$G57="KAPALI"),0,IF($D57="","",raporTarihi-$D57)))</f>
        <v/>
      </c>
      <c r="P57" s="28">
        <f>IF($A57="","",IF($O57="","",IF($O57&lt;=trv_kovaEsik1,"0-30",IF($O57&lt;=trv_kovaEsik2,"31-60",IF($O57&lt;=trv_kovaEsik3,"61-90","90+")))))</f>
        <v/>
      </c>
      <c r="Q57" s="28">
        <f>IF(OR($A57="",$G57="TAHSIL",$G57="KAPALI"),"",IF($P57="0-30",trv_olasilikK1,IF($P57="31-60",trv_olasilikK2,IF($P57="61-90",trv_olasilikK3,trv_olasilikK4))))</f>
        <v/>
      </c>
      <c r="R57" s="28">
        <f>IF(OR($A57="",$Q57=""),"",$J57*(1-$Q57)*MAX(trv_riskTaban,$K57/100))</f>
        <v/>
      </c>
      <c r="S57" s="28">
        <f>IF($A57="","",IF($B57="","YETİM",IF(COUNTIF(tblKartlar[KartId],$B57)=0,"YETİM","")))</f>
        <v/>
      </c>
      <c r="T57" s="28">
        <f>IF(OR($A57="",$F57=""),"",IF(OR($F57&amp;"|"&amp;$G57="",COUNTIF(ListeIzinliGecis,$F57&amp;"|"&amp;$G57)&gt;0),"","GEÇERSİZ GEÇİŞ"))</f>
        <v/>
      </c>
      <c r="U57" s="28">
        <f>IF($A57="","",IF(OR($G57="TAHSIL",$I57&gt;0),IF(OR($H57="",$I57=""),"",IF(ABS($I57-$H57)&gt;zincirTolerans,"ZİNCİR KIRIK","OK")),"OK"))</f>
        <v/>
      </c>
      <c r="V57" s="28">
        <f>IF($A57="","",1)</f>
        <v/>
      </c>
    </row>
    <row r="58">
      <c r="A58" s="26" t="n"/>
      <c r="B58" s="26" t="n"/>
      <c r="C58" s="26" t="n"/>
      <c r="D58" s="29" t="n"/>
      <c r="E58" s="29" t="n"/>
      <c r="F58" s="26" t="n"/>
      <c r="G58" s="26" t="n"/>
      <c r="H58" s="27" t="n"/>
      <c r="I58" s="27" t="n"/>
      <c r="J58" s="27" t="n"/>
      <c r="K58" s="30" t="n"/>
      <c r="L58" s="26" t="n"/>
      <c r="M58" s="26" t="n"/>
      <c r="N58" s="26" t="n"/>
      <c r="O58" s="28">
        <f>IF($A58="","",IF(OR($G58="TAHSIL",$G58="KAPALI"),0,IF($D58="","",raporTarihi-$D58)))</f>
        <v/>
      </c>
      <c r="P58" s="28">
        <f>IF($A58="","",IF($O58="","",IF($O58&lt;=trv_kovaEsik1,"0-30",IF($O58&lt;=trv_kovaEsik2,"31-60",IF($O58&lt;=trv_kovaEsik3,"61-90","90+")))))</f>
        <v/>
      </c>
      <c r="Q58" s="28">
        <f>IF(OR($A58="",$G58="TAHSIL",$G58="KAPALI"),"",IF($P58="0-30",trv_olasilikK1,IF($P58="31-60",trv_olasilikK2,IF($P58="61-90",trv_olasilikK3,trv_olasilikK4))))</f>
        <v/>
      </c>
      <c r="R58" s="28">
        <f>IF(OR($A58="",$Q58=""),"",$J58*(1-$Q58)*MAX(trv_riskTaban,$K58/100))</f>
        <v/>
      </c>
      <c r="S58" s="28">
        <f>IF($A58="","",IF($B58="","YETİM",IF(COUNTIF(tblKartlar[KartId],$B58)=0,"YETİM","")))</f>
        <v/>
      </c>
      <c r="T58" s="28">
        <f>IF(OR($A58="",$F58=""),"",IF(OR($F58&amp;"|"&amp;$G58="",COUNTIF(ListeIzinliGecis,$F58&amp;"|"&amp;$G58)&gt;0),"","GEÇERSİZ GEÇİŞ"))</f>
        <v/>
      </c>
      <c r="U58" s="28">
        <f>IF($A58="","",IF(OR($G58="TAHSIL",$I58&gt;0),IF(OR($H58="",$I58=""),"",IF(ABS($I58-$H58)&gt;zincirTolerans,"ZİNCİR KIRIK","OK")),"OK"))</f>
        <v/>
      </c>
      <c r="V58" s="28">
        <f>IF($A58="","",1)</f>
        <v/>
      </c>
    </row>
    <row r="59">
      <c r="A59" s="26" t="n"/>
      <c r="B59" s="26" t="n"/>
      <c r="C59" s="26" t="n"/>
      <c r="D59" s="29" t="n"/>
      <c r="E59" s="29" t="n"/>
      <c r="F59" s="26" t="n"/>
      <c r="G59" s="26" t="n"/>
      <c r="H59" s="27" t="n"/>
      <c r="I59" s="27" t="n"/>
      <c r="J59" s="27" t="n"/>
      <c r="K59" s="30" t="n"/>
      <c r="L59" s="26" t="n"/>
      <c r="M59" s="26" t="n"/>
      <c r="N59" s="26" t="n"/>
      <c r="O59" s="28">
        <f>IF($A59="","",IF(OR($G59="TAHSIL",$G59="KAPALI"),0,IF($D59="","",raporTarihi-$D59)))</f>
        <v/>
      </c>
      <c r="P59" s="28">
        <f>IF($A59="","",IF($O59="","",IF($O59&lt;=trv_kovaEsik1,"0-30",IF($O59&lt;=trv_kovaEsik2,"31-60",IF($O59&lt;=trv_kovaEsik3,"61-90","90+")))))</f>
        <v/>
      </c>
      <c r="Q59" s="28">
        <f>IF(OR($A59="",$G59="TAHSIL",$G59="KAPALI"),"",IF($P59="0-30",trv_olasilikK1,IF($P59="31-60",trv_olasilikK2,IF($P59="61-90",trv_olasilikK3,trv_olasilikK4))))</f>
        <v/>
      </c>
      <c r="R59" s="28">
        <f>IF(OR($A59="",$Q59=""),"",$J59*(1-$Q59)*MAX(trv_riskTaban,$K59/100))</f>
        <v/>
      </c>
      <c r="S59" s="28">
        <f>IF($A59="","",IF($B59="","YETİM",IF(COUNTIF(tblKartlar[KartId],$B59)=0,"YETİM","")))</f>
        <v/>
      </c>
      <c r="T59" s="28">
        <f>IF(OR($A59="",$F59=""),"",IF(OR($F59&amp;"|"&amp;$G59="",COUNTIF(ListeIzinliGecis,$F59&amp;"|"&amp;$G59)&gt;0),"","GEÇERSİZ GEÇİŞ"))</f>
        <v/>
      </c>
      <c r="U59" s="28">
        <f>IF($A59="","",IF(OR($G59="TAHSIL",$I59&gt;0),IF(OR($H59="",$I59=""),"",IF(ABS($I59-$H59)&gt;zincirTolerans,"ZİNCİR KIRIK","OK")),"OK"))</f>
        <v/>
      </c>
      <c r="V59" s="28">
        <f>IF($A59="","",1)</f>
        <v/>
      </c>
    </row>
    <row r="60">
      <c r="A60" s="26" t="n"/>
      <c r="B60" s="26" t="n"/>
      <c r="C60" s="26" t="n"/>
      <c r="D60" s="29" t="n"/>
      <c r="E60" s="29" t="n"/>
      <c r="F60" s="26" t="n"/>
      <c r="G60" s="26" t="n"/>
      <c r="H60" s="27" t="n"/>
      <c r="I60" s="27" t="n"/>
      <c r="J60" s="27" t="n"/>
      <c r="K60" s="30" t="n"/>
      <c r="L60" s="26" t="n"/>
      <c r="M60" s="26" t="n"/>
      <c r="N60" s="26" t="n"/>
      <c r="O60" s="28">
        <f>IF($A60="","",IF(OR($G60="TAHSIL",$G60="KAPALI"),0,IF($D60="","",raporTarihi-$D60)))</f>
        <v/>
      </c>
      <c r="P60" s="28">
        <f>IF($A60="","",IF($O60="","",IF($O60&lt;=trv_kovaEsik1,"0-30",IF($O60&lt;=trv_kovaEsik2,"31-60",IF($O60&lt;=trv_kovaEsik3,"61-90","90+")))))</f>
        <v/>
      </c>
      <c r="Q60" s="28">
        <f>IF(OR($A60="",$G60="TAHSIL",$G60="KAPALI"),"",IF($P60="0-30",trv_olasilikK1,IF($P60="31-60",trv_olasilikK2,IF($P60="61-90",trv_olasilikK3,trv_olasilikK4))))</f>
        <v/>
      </c>
      <c r="R60" s="28">
        <f>IF(OR($A60="",$Q60=""),"",$J60*(1-$Q60)*MAX(trv_riskTaban,$K60/100))</f>
        <v/>
      </c>
      <c r="S60" s="28">
        <f>IF($A60="","",IF($B60="","YETİM",IF(COUNTIF(tblKartlar[KartId],$B60)=0,"YETİM","")))</f>
        <v/>
      </c>
      <c r="T60" s="28">
        <f>IF(OR($A60="",$F60=""),"",IF(OR($F60&amp;"|"&amp;$G60="",COUNTIF(ListeIzinliGecis,$F60&amp;"|"&amp;$G60)&gt;0),"","GEÇERSİZ GEÇİŞ"))</f>
        <v/>
      </c>
      <c r="U60" s="28">
        <f>IF($A60="","",IF(OR($G60="TAHSIL",$I60&gt;0),IF(OR($H60="",$I60=""),"",IF(ABS($I60-$H60)&gt;zincirTolerans,"ZİNCİR KIRIK","OK")),"OK"))</f>
        <v/>
      </c>
      <c r="V60" s="28">
        <f>IF($A60="","",1)</f>
        <v/>
      </c>
    </row>
    <row r="61">
      <c r="A61" s="26" t="n"/>
      <c r="B61" s="26" t="n"/>
      <c r="C61" s="26" t="n"/>
      <c r="D61" s="29" t="n"/>
      <c r="E61" s="29" t="n"/>
      <c r="F61" s="26" t="n"/>
      <c r="G61" s="26" t="n"/>
      <c r="H61" s="27" t="n"/>
      <c r="I61" s="27" t="n"/>
      <c r="J61" s="27" t="n"/>
      <c r="K61" s="30" t="n"/>
      <c r="L61" s="26" t="n"/>
      <c r="M61" s="26" t="n"/>
      <c r="N61" s="26" t="n"/>
      <c r="O61" s="28">
        <f>IF($A61="","",IF(OR($G61="TAHSIL",$G61="KAPALI"),0,IF($D61="","",raporTarihi-$D61)))</f>
        <v/>
      </c>
      <c r="P61" s="28">
        <f>IF($A61="","",IF($O61="","",IF($O61&lt;=trv_kovaEsik1,"0-30",IF($O61&lt;=trv_kovaEsik2,"31-60",IF($O61&lt;=trv_kovaEsik3,"61-90","90+")))))</f>
        <v/>
      </c>
      <c r="Q61" s="28">
        <f>IF(OR($A61="",$G61="TAHSIL",$G61="KAPALI"),"",IF($P61="0-30",trv_olasilikK1,IF($P61="31-60",trv_olasilikK2,IF($P61="61-90",trv_olasilikK3,trv_olasilikK4))))</f>
        <v/>
      </c>
      <c r="R61" s="28">
        <f>IF(OR($A61="",$Q61=""),"",$J61*(1-$Q61)*MAX(trv_riskTaban,$K61/100))</f>
        <v/>
      </c>
      <c r="S61" s="28">
        <f>IF($A61="","",IF($B61="","YETİM",IF(COUNTIF(tblKartlar[KartId],$B61)=0,"YETİM","")))</f>
        <v/>
      </c>
      <c r="T61" s="28">
        <f>IF(OR($A61="",$F61=""),"",IF(OR($F61&amp;"|"&amp;$G61="",COUNTIF(ListeIzinliGecis,$F61&amp;"|"&amp;$G61)&gt;0),"","GEÇERSİZ GEÇİŞ"))</f>
        <v/>
      </c>
      <c r="U61" s="28">
        <f>IF($A61="","",IF(OR($G61="TAHSIL",$I61&gt;0),IF(OR($H61="",$I61=""),"",IF(ABS($I61-$H61)&gt;zincirTolerans,"ZİNCİR KIRIK","OK")),"OK"))</f>
        <v/>
      </c>
      <c r="V61" s="28">
        <f>IF($A61="","",1)</f>
        <v/>
      </c>
    </row>
    <row r="62">
      <c r="A62" s="26" t="n"/>
      <c r="B62" s="26" t="n"/>
      <c r="C62" s="26" t="n"/>
      <c r="D62" s="29" t="n"/>
      <c r="E62" s="29" t="n"/>
      <c r="F62" s="26" t="n"/>
      <c r="G62" s="26" t="n"/>
      <c r="H62" s="27" t="n"/>
      <c r="I62" s="27" t="n"/>
      <c r="J62" s="27" t="n"/>
      <c r="K62" s="30" t="n"/>
      <c r="L62" s="26" t="n"/>
      <c r="M62" s="26" t="n"/>
      <c r="N62" s="26" t="n"/>
      <c r="O62" s="28">
        <f>IF($A62="","",IF(OR($G62="TAHSIL",$G62="KAPALI"),0,IF($D62="","",raporTarihi-$D62)))</f>
        <v/>
      </c>
      <c r="P62" s="28">
        <f>IF($A62="","",IF($O62="","",IF($O62&lt;=trv_kovaEsik1,"0-30",IF($O62&lt;=trv_kovaEsik2,"31-60",IF($O62&lt;=trv_kovaEsik3,"61-90","90+")))))</f>
        <v/>
      </c>
      <c r="Q62" s="28">
        <f>IF(OR($A62="",$G62="TAHSIL",$G62="KAPALI"),"",IF($P62="0-30",trv_olasilikK1,IF($P62="31-60",trv_olasilikK2,IF($P62="61-90",trv_olasilikK3,trv_olasilikK4))))</f>
        <v/>
      </c>
      <c r="R62" s="28">
        <f>IF(OR($A62="",$Q62=""),"",$J62*(1-$Q62)*MAX(trv_riskTaban,$K62/100))</f>
        <v/>
      </c>
      <c r="S62" s="28">
        <f>IF($A62="","",IF($B62="","YETİM",IF(COUNTIF(tblKartlar[KartId],$B62)=0,"YETİM","")))</f>
        <v/>
      </c>
      <c r="T62" s="28">
        <f>IF(OR($A62="",$F62=""),"",IF(OR($F62&amp;"|"&amp;$G62="",COUNTIF(ListeIzinliGecis,$F62&amp;"|"&amp;$G62)&gt;0),"","GEÇERSİZ GEÇİŞ"))</f>
        <v/>
      </c>
      <c r="U62" s="28">
        <f>IF($A62="","",IF(OR($G62="TAHSIL",$I62&gt;0),IF(OR($H62="",$I62=""),"",IF(ABS($I62-$H62)&gt;zincirTolerans,"ZİNCİR KIRIK","OK")),"OK"))</f>
        <v/>
      </c>
      <c r="V62" s="28">
        <f>IF($A62="","",1)</f>
        <v/>
      </c>
    </row>
    <row r="63">
      <c r="A63" s="26" t="n"/>
      <c r="B63" s="26" t="n"/>
      <c r="C63" s="26" t="n"/>
      <c r="D63" s="29" t="n"/>
      <c r="E63" s="29" t="n"/>
      <c r="F63" s="26" t="n"/>
      <c r="G63" s="26" t="n"/>
      <c r="H63" s="27" t="n"/>
      <c r="I63" s="27" t="n"/>
      <c r="J63" s="27" t="n"/>
      <c r="K63" s="30" t="n"/>
      <c r="L63" s="26" t="n"/>
      <c r="M63" s="26" t="n"/>
      <c r="N63" s="26" t="n"/>
      <c r="O63" s="28">
        <f>IF($A63="","",IF(OR($G63="TAHSIL",$G63="KAPALI"),0,IF($D63="","",raporTarihi-$D63)))</f>
        <v/>
      </c>
      <c r="P63" s="28">
        <f>IF($A63="","",IF($O63="","",IF($O63&lt;=trv_kovaEsik1,"0-30",IF($O63&lt;=trv_kovaEsik2,"31-60",IF($O63&lt;=trv_kovaEsik3,"61-90","90+")))))</f>
        <v/>
      </c>
      <c r="Q63" s="28">
        <f>IF(OR($A63="",$G63="TAHSIL",$G63="KAPALI"),"",IF($P63="0-30",trv_olasilikK1,IF($P63="31-60",trv_olasilikK2,IF($P63="61-90",trv_olasilikK3,trv_olasilikK4))))</f>
        <v/>
      </c>
      <c r="R63" s="28">
        <f>IF(OR($A63="",$Q63=""),"",$J63*(1-$Q63)*MAX(trv_riskTaban,$K63/100))</f>
        <v/>
      </c>
      <c r="S63" s="28">
        <f>IF($A63="","",IF($B63="","YETİM",IF(COUNTIF(tblKartlar[KartId],$B63)=0,"YETİM","")))</f>
        <v/>
      </c>
      <c r="T63" s="28">
        <f>IF(OR($A63="",$F63=""),"",IF(OR($F63&amp;"|"&amp;$G63="",COUNTIF(ListeIzinliGecis,$F63&amp;"|"&amp;$G63)&gt;0),"","GEÇERSİZ GEÇİŞ"))</f>
        <v/>
      </c>
      <c r="U63" s="28">
        <f>IF($A63="","",IF(OR($G63="TAHSIL",$I63&gt;0),IF(OR($H63="",$I63=""),"",IF(ABS($I63-$H63)&gt;zincirTolerans,"ZİNCİR KIRIK","OK")),"OK"))</f>
        <v/>
      </c>
      <c r="V63" s="28">
        <f>IF($A63="","",1)</f>
        <v/>
      </c>
    </row>
    <row r="64">
      <c r="A64" s="26" t="n"/>
      <c r="B64" s="26" t="n"/>
      <c r="C64" s="26" t="n"/>
      <c r="D64" s="29" t="n"/>
      <c r="E64" s="29" t="n"/>
      <c r="F64" s="26" t="n"/>
      <c r="G64" s="26" t="n"/>
      <c r="H64" s="27" t="n"/>
      <c r="I64" s="27" t="n"/>
      <c r="J64" s="27" t="n"/>
      <c r="K64" s="30" t="n"/>
      <c r="L64" s="26" t="n"/>
      <c r="M64" s="26" t="n"/>
      <c r="N64" s="26" t="n"/>
      <c r="O64" s="28">
        <f>IF($A64="","",IF(OR($G64="TAHSIL",$G64="KAPALI"),0,IF($D64="","",raporTarihi-$D64)))</f>
        <v/>
      </c>
      <c r="P64" s="28">
        <f>IF($A64="","",IF($O64="","",IF($O64&lt;=trv_kovaEsik1,"0-30",IF($O64&lt;=trv_kovaEsik2,"31-60",IF($O64&lt;=trv_kovaEsik3,"61-90","90+")))))</f>
        <v/>
      </c>
      <c r="Q64" s="28">
        <f>IF(OR($A64="",$G64="TAHSIL",$G64="KAPALI"),"",IF($P64="0-30",trv_olasilikK1,IF($P64="31-60",trv_olasilikK2,IF($P64="61-90",trv_olasilikK3,trv_olasilikK4))))</f>
        <v/>
      </c>
      <c r="R64" s="28">
        <f>IF(OR($A64="",$Q64=""),"",$J64*(1-$Q64)*MAX(trv_riskTaban,$K64/100))</f>
        <v/>
      </c>
      <c r="S64" s="28">
        <f>IF($A64="","",IF($B64="","YETİM",IF(COUNTIF(tblKartlar[KartId],$B64)=0,"YETİM","")))</f>
        <v/>
      </c>
      <c r="T64" s="28">
        <f>IF(OR($A64="",$F64=""),"",IF(OR($F64&amp;"|"&amp;$G64="",COUNTIF(ListeIzinliGecis,$F64&amp;"|"&amp;$G64)&gt;0),"","GEÇERSİZ GEÇİŞ"))</f>
        <v/>
      </c>
      <c r="U64" s="28">
        <f>IF($A64="","",IF(OR($G64="TAHSIL",$I64&gt;0),IF(OR($H64="",$I64=""),"",IF(ABS($I64-$H64)&gt;zincirTolerans,"ZİNCİR KIRIK","OK")),"OK"))</f>
        <v/>
      </c>
      <c r="V64" s="28">
        <f>IF($A64="","",1)</f>
        <v/>
      </c>
    </row>
    <row r="65">
      <c r="A65" s="26" t="n"/>
      <c r="B65" s="26" t="n"/>
      <c r="C65" s="26" t="n"/>
      <c r="D65" s="29" t="n"/>
      <c r="E65" s="29" t="n"/>
      <c r="F65" s="26" t="n"/>
      <c r="G65" s="26" t="n"/>
      <c r="H65" s="27" t="n"/>
      <c r="I65" s="27" t="n"/>
      <c r="J65" s="27" t="n"/>
      <c r="K65" s="30" t="n"/>
      <c r="L65" s="26" t="n"/>
      <c r="M65" s="26" t="n"/>
      <c r="N65" s="26" t="n"/>
      <c r="O65" s="28">
        <f>IF($A65="","",IF(OR($G65="TAHSIL",$G65="KAPALI"),0,IF($D65="","",raporTarihi-$D65)))</f>
        <v/>
      </c>
      <c r="P65" s="28">
        <f>IF($A65="","",IF($O65="","",IF($O65&lt;=trv_kovaEsik1,"0-30",IF($O65&lt;=trv_kovaEsik2,"31-60",IF($O65&lt;=trv_kovaEsik3,"61-90","90+")))))</f>
        <v/>
      </c>
      <c r="Q65" s="28">
        <f>IF(OR($A65="",$G65="TAHSIL",$G65="KAPALI"),"",IF($P65="0-30",trv_olasilikK1,IF($P65="31-60",trv_olasilikK2,IF($P65="61-90",trv_olasilikK3,trv_olasilikK4))))</f>
        <v/>
      </c>
      <c r="R65" s="28">
        <f>IF(OR($A65="",$Q65=""),"",$J65*(1-$Q65)*MAX(trv_riskTaban,$K65/100))</f>
        <v/>
      </c>
      <c r="S65" s="28">
        <f>IF($A65="","",IF($B65="","YETİM",IF(COUNTIF(tblKartlar[KartId],$B65)=0,"YETİM","")))</f>
        <v/>
      </c>
      <c r="T65" s="28">
        <f>IF(OR($A65="",$F65=""),"",IF(OR($F65&amp;"|"&amp;$G65="",COUNTIF(ListeIzinliGecis,$F65&amp;"|"&amp;$G65)&gt;0),"","GEÇERSİZ GEÇİŞ"))</f>
        <v/>
      </c>
      <c r="U65" s="28">
        <f>IF($A65="","",IF(OR($G65="TAHSIL",$I65&gt;0),IF(OR($H65="",$I65=""),"",IF(ABS($I65-$H65)&gt;zincirTolerans,"ZİNCİR KIRIK","OK")),"OK"))</f>
        <v/>
      </c>
      <c r="V65" s="28">
        <f>IF($A65="","",1)</f>
        <v/>
      </c>
    </row>
    <row r="66">
      <c r="A66" s="26" t="n"/>
      <c r="B66" s="26" t="n"/>
      <c r="C66" s="26" t="n"/>
      <c r="D66" s="29" t="n"/>
      <c r="E66" s="29" t="n"/>
      <c r="F66" s="26" t="n"/>
      <c r="G66" s="26" t="n"/>
      <c r="H66" s="27" t="n"/>
      <c r="I66" s="27" t="n"/>
      <c r="J66" s="27" t="n"/>
      <c r="K66" s="30" t="n"/>
      <c r="L66" s="26" t="n"/>
      <c r="M66" s="26" t="n"/>
      <c r="N66" s="26" t="n"/>
      <c r="O66" s="28">
        <f>IF($A66="","",IF(OR($G66="TAHSIL",$G66="KAPALI"),0,IF($D66="","",raporTarihi-$D66)))</f>
        <v/>
      </c>
      <c r="P66" s="28">
        <f>IF($A66="","",IF($O66="","",IF($O66&lt;=trv_kovaEsik1,"0-30",IF($O66&lt;=trv_kovaEsik2,"31-60",IF($O66&lt;=trv_kovaEsik3,"61-90","90+")))))</f>
        <v/>
      </c>
      <c r="Q66" s="28">
        <f>IF(OR($A66="",$G66="TAHSIL",$G66="KAPALI"),"",IF($P66="0-30",trv_olasilikK1,IF($P66="31-60",trv_olasilikK2,IF($P66="61-90",trv_olasilikK3,trv_olasilikK4))))</f>
        <v/>
      </c>
      <c r="R66" s="28">
        <f>IF(OR($A66="",$Q66=""),"",$J66*(1-$Q66)*MAX(trv_riskTaban,$K66/100))</f>
        <v/>
      </c>
      <c r="S66" s="28">
        <f>IF($A66="","",IF($B66="","YETİM",IF(COUNTIF(tblKartlar[KartId],$B66)=0,"YETİM","")))</f>
        <v/>
      </c>
      <c r="T66" s="28">
        <f>IF(OR($A66="",$F66=""),"",IF(OR($F66&amp;"|"&amp;$G66="",COUNTIF(ListeIzinliGecis,$F66&amp;"|"&amp;$G66)&gt;0),"","GEÇERSİZ GEÇİŞ"))</f>
        <v/>
      </c>
      <c r="U66" s="28">
        <f>IF($A66="","",IF(OR($G66="TAHSIL",$I66&gt;0),IF(OR($H66="",$I66=""),"",IF(ABS($I66-$H66)&gt;zincirTolerans,"ZİNCİR KIRIK","OK")),"OK"))</f>
        <v/>
      </c>
      <c r="V66" s="28">
        <f>IF($A66="","",1)</f>
        <v/>
      </c>
    </row>
    <row r="67">
      <c r="A67" s="26" t="n"/>
      <c r="B67" s="26" t="n"/>
      <c r="C67" s="26" t="n"/>
      <c r="D67" s="29" t="n"/>
      <c r="E67" s="29" t="n"/>
      <c r="F67" s="26" t="n"/>
      <c r="G67" s="26" t="n"/>
      <c r="H67" s="27" t="n"/>
      <c r="I67" s="27" t="n"/>
      <c r="J67" s="27" t="n"/>
      <c r="K67" s="30" t="n"/>
      <c r="L67" s="26" t="n"/>
      <c r="M67" s="26" t="n"/>
      <c r="N67" s="26" t="n"/>
      <c r="O67" s="28">
        <f>IF($A67="","",IF(OR($G67="TAHSIL",$G67="KAPALI"),0,IF($D67="","",raporTarihi-$D67)))</f>
        <v/>
      </c>
      <c r="P67" s="28">
        <f>IF($A67="","",IF($O67="","",IF($O67&lt;=trv_kovaEsik1,"0-30",IF($O67&lt;=trv_kovaEsik2,"31-60",IF($O67&lt;=trv_kovaEsik3,"61-90","90+")))))</f>
        <v/>
      </c>
      <c r="Q67" s="28">
        <f>IF(OR($A67="",$G67="TAHSIL",$G67="KAPALI"),"",IF($P67="0-30",trv_olasilikK1,IF($P67="31-60",trv_olasilikK2,IF($P67="61-90",trv_olasilikK3,trv_olasilikK4))))</f>
        <v/>
      </c>
      <c r="R67" s="28">
        <f>IF(OR($A67="",$Q67=""),"",$J67*(1-$Q67)*MAX(trv_riskTaban,$K67/100))</f>
        <v/>
      </c>
      <c r="S67" s="28">
        <f>IF($A67="","",IF($B67="","YETİM",IF(COUNTIF(tblKartlar[KartId],$B67)=0,"YETİM","")))</f>
        <v/>
      </c>
      <c r="T67" s="28">
        <f>IF(OR($A67="",$F67=""),"",IF(OR($F67&amp;"|"&amp;$G67="",COUNTIF(ListeIzinliGecis,$F67&amp;"|"&amp;$G67)&gt;0),"","GEÇERSİZ GEÇİŞ"))</f>
        <v/>
      </c>
      <c r="U67" s="28">
        <f>IF($A67="","",IF(OR($G67="TAHSIL",$I67&gt;0),IF(OR($H67="",$I67=""),"",IF(ABS($I67-$H67)&gt;zincirTolerans,"ZİNCİR KIRIK","OK")),"OK"))</f>
        <v/>
      </c>
      <c r="V67" s="28">
        <f>IF($A67="","",1)</f>
        <v/>
      </c>
    </row>
    <row r="68">
      <c r="A68" s="26" t="n"/>
      <c r="B68" s="26" t="n"/>
      <c r="C68" s="26" t="n"/>
      <c r="D68" s="29" t="n"/>
      <c r="E68" s="29" t="n"/>
      <c r="F68" s="26" t="n"/>
      <c r="G68" s="26" t="n"/>
      <c r="H68" s="27" t="n"/>
      <c r="I68" s="27" t="n"/>
      <c r="J68" s="27" t="n"/>
      <c r="K68" s="30" t="n"/>
      <c r="L68" s="26" t="n"/>
      <c r="M68" s="26" t="n"/>
      <c r="N68" s="26" t="n"/>
      <c r="O68" s="28">
        <f>IF($A68="","",IF(OR($G68="TAHSIL",$G68="KAPALI"),0,IF($D68="","",raporTarihi-$D68)))</f>
        <v/>
      </c>
      <c r="P68" s="28">
        <f>IF($A68="","",IF($O68="","",IF($O68&lt;=trv_kovaEsik1,"0-30",IF($O68&lt;=trv_kovaEsik2,"31-60",IF($O68&lt;=trv_kovaEsik3,"61-90","90+")))))</f>
        <v/>
      </c>
      <c r="Q68" s="28">
        <f>IF(OR($A68="",$G68="TAHSIL",$G68="KAPALI"),"",IF($P68="0-30",trv_olasilikK1,IF($P68="31-60",trv_olasilikK2,IF($P68="61-90",trv_olasilikK3,trv_olasilikK4))))</f>
        <v/>
      </c>
      <c r="R68" s="28">
        <f>IF(OR($A68="",$Q68=""),"",$J68*(1-$Q68)*MAX(trv_riskTaban,$K68/100))</f>
        <v/>
      </c>
      <c r="S68" s="28">
        <f>IF($A68="","",IF($B68="","YETİM",IF(COUNTIF(tblKartlar[KartId],$B68)=0,"YETİM","")))</f>
        <v/>
      </c>
      <c r="T68" s="28">
        <f>IF(OR($A68="",$F68=""),"",IF(OR($F68&amp;"|"&amp;$G68="",COUNTIF(ListeIzinliGecis,$F68&amp;"|"&amp;$G68)&gt;0),"","GEÇERSİZ GEÇİŞ"))</f>
        <v/>
      </c>
      <c r="U68" s="28">
        <f>IF($A68="","",IF(OR($G68="TAHSIL",$I68&gt;0),IF(OR($H68="",$I68=""),"",IF(ABS($I68-$H68)&gt;zincirTolerans,"ZİNCİR KIRIK","OK")),"OK"))</f>
        <v/>
      </c>
      <c r="V68" s="28">
        <f>IF($A68="","",1)</f>
        <v/>
      </c>
    </row>
    <row r="69">
      <c r="A69" s="26" t="n"/>
      <c r="B69" s="26" t="n"/>
      <c r="C69" s="26" t="n"/>
      <c r="D69" s="29" t="n"/>
      <c r="E69" s="29" t="n"/>
      <c r="F69" s="26" t="n"/>
      <c r="G69" s="26" t="n"/>
      <c r="H69" s="27" t="n"/>
      <c r="I69" s="27" t="n"/>
      <c r="J69" s="27" t="n"/>
      <c r="K69" s="30" t="n"/>
      <c r="L69" s="26" t="n"/>
      <c r="M69" s="26" t="n"/>
      <c r="N69" s="26" t="n"/>
      <c r="O69" s="28">
        <f>IF($A69="","",IF(OR($G69="TAHSIL",$G69="KAPALI"),0,IF($D69="","",raporTarihi-$D69)))</f>
        <v/>
      </c>
      <c r="P69" s="28">
        <f>IF($A69="","",IF($O69="","",IF($O69&lt;=trv_kovaEsik1,"0-30",IF($O69&lt;=trv_kovaEsik2,"31-60",IF($O69&lt;=trv_kovaEsik3,"61-90","90+")))))</f>
        <v/>
      </c>
      <c r="Q69" s="28">
        <f>IF(OR($A69="",$G69="TAHSIL",$G69="KAPALI"),"",IF($P69="0-30",trv_olasilikK1,IF($P69="31-60",trv_olasilikK2,IF($P69="61-90",trv_olasilikK3,trv_olasilikK4))))</f>
        <v/>
      </c>
      <c r="R69" s="28">
        <f>IF(OR($A69="",$Q69=""),"",$J69*(1-$Q69)*MAX(trv_riskTaban,$K69/100))</f>
        <v/>
      </c>
      <c r="S69" s="28">
        <f>IF($A69="","",IF($B69="","YETİM",IF(COUNTIF(tblKartlar[KartId],$B69)=0,"YETİM","")))</f>
        <v/>
      </c>
      <c r="T69" s="28">
        <f>IF(OR($A69="",$F69=""),"",IF(OR($F69&amp;"|"&amp;$G69="",COUNTIF(ListeIzinliGecis,$F69&amp;"|"&amp;$G69)&gt;0),"","GEÇERSİZ GEÇİŞ"))</f>
        <v/>
      </c>
      <c r="U69" s="28">
        <f>IF($A69="","",IF(OR($G69="TAHSIL",$I69&gt;0),IF(OR($H69="",$I69=""),"",IF(ABS($I69-$H69)&gt;zincirTolerans,"ZİNCİR KIRIK","OK")),"OK"))</f>
        <v/>
      </c>
      <c r="V69" s="28">
        <f>IF($A69="","",1)</f>
        <v/>
      </c>
    </row>
    <row r="70">
      <c r="A70" s="26" t="n"/>
      <c r="B70" s="26" t="n"/>
      <c r="C70" s="26" t="n"/>
      <c r="D70" s="29" t="n"/>
      <c r="E70" s="29" t="n"/>
      <c r="F70" s="26" t="n"/>
      <c r="G70" s="26" t="n"/>
      <c r="H70" s="27" t="n"/>
      <c r="I70" s="27" t="n"/>
      <c r="J70" s="27" t="n"/>
      <c r="K70" s="30" t="n"/>
      <c r="L70" s="26" t="n"/>
      <c r="M70" s="26" t="n"/>
      <c r="N70" s="26" t="n"/>
      <c r="O70" s="28">
        <f>IF($A70="","",IF(OR($G70="TAHSIL",$G70="KAPALI"),0,IF($D70="","",raporTarihi-$D70)))</f>
        <v/>
      </c>
      <c r="P70" s="28">
        <f>IF($A70="","",IF($O70="","",IF($O70&lt;=trv_kovaEsik1,"0-30",IF($O70&lt;=trv_kovaEsik2,"31-60",IF($O70&lt;=trv_kovaEsik3,"61-90","90+")))))</f>
        <v/>
      </c>
      <c r="Q70" s="28">
        <f>IF(OR($A70="",$G70="TAHSIL",$G70="KAPALI"),"",IF($P70="0-30",trv_olasilikK1,IF($P70="31-60",trv_olasilikK2,IF($P70="61-90",trv_olasilikK3,trv_olasilikK4))))</f>
        <v/>
      </c>
      <c r="R70" s="28">
        <f>IF(OR($A70="",$Q70=""),"",$J70*(1-$Q70)*MAX(trv_riskTaban,$K70/100))</f>
        <v/>
      </c>
      <c r="S70" s="28">
        <f>IF($A70="","",IF($B70="","YETİM",IF(COUNTIF(tblKartlar[KartId],$B70)=0,"YETİM","")))</f>
        <v/>
      </c>
      <c r="T70" s="28">
        <f>IF(OR($A70="",$F70=""),"",IF(OR($F70&amp;"|"&amp;$G70="",COUNTIF(ListeIzinliGecis,$F70&amp;"|"&amp;$G70)&gt;0),"","GEÇERSİZ GEÇİŞ"))</f>
        <v/>
      </c>
      <c r="U70" s="28">
        <f>IF($A70="","",IF(OR($G70="TAHSIL",$I70&gt;0),IF(OR($H70="",$I70=""),"",IF(ABS($I70-$H70)&gt;zincirTolerans,"ZİNCİR KIRIK","OK")),"OK"))</f>
        <v/>
      </c>
      <c r="V70" s="28">
        <f>IF($A70="","",1)</f>
        <v/>
      </c>
    </row>
    <row r="71">
      <c r="A71" s="26" t="n"/>
      <c r="B71" s="26" t="n"/>
      <c r="C71" s="26" t="n"/>
      <c r="D71" s="29" t="n"/>
      <c r="E71" s="29" t="n"/>
      <c r="F71" s="26" t="n"/>
      <c r="G71" s="26" t="n"/>
      <c r="H71" s="27" t="n"/>
      <c r="I71" s="27" t="n"/>
      <c r="J71" s="27" t="n"/>
      <c r="K71" s="30" t="n"/>
      <c r="L71" s="26" t="n"/>
      <c r="M71" s="26" t="n"/>
      <c r="N71" s="26" t="n"/>
      <c r="O71" s="28">
        <f>IF($A71="","",IF(OR($G71="TAHSIL",$G71="KAPALI"),0,IF($D71="","",raporTarihi-$D71)))</f>
        <v/>
      </c>
      <c r="P71" s="28">
        <f>IF($A71="","",IF($O71="","",IF($O71&lt;=trv_kovaEsik1,"0-30",IF($O71&lt;=trv_kovaEsik2,"31-60",IF($O71&lt;=trv_kovaEsik3,"61-90","90+")))))</f>
        <v/>
      </c>
      <c r="Q71" s="28">
        <f>IF(OR($A71="",$G71="TAHSIL",$G71="KAPALI"),"",IF($P71="0-30",trv_olasilikK1,IF($P71="31-60",trv_olasilikK2,IF($P71="61-90",trv_olasilikK3,trv_olasilikK4))))</f>
        <v/>
      </c>
      <c r="R71" s="28">
        <f>IF(OR($A71="",$Q71=""),"",$J71*(1-$Q71)*MAX(trv_riskTaban,$K71/100))</f>
        <v/>
      </c>
      <c r="S71" s="28">
        <f>IF($A71="","",IF($B71="","YETİM",IF(COUNTIF(tblKartlar[KartId],$B71)=0,"YETİM","")))</f>
        <v/>
      </c>
      <c r="T71" s="28">
        <f>IF(OR($A71="",$F71=""),"",IF(OR($F71&amp;"|"&amp;$G71="",COUNTIF(ListeIzinliGecis,$F71&amp;"|"&amp;$G71)&gt;0),"","GEÇERSİZ GEÇİŞ"))</f>
        <v/>
      </c>
      <c r="U71" s="28">
        <f>IF($A71="","",IF(OR($G71="TAHSIL",$I71&gt;0),IF(OR($H71="",$I71=""),"",IF(ABS($I71-$H71)&gt;zincirTolerans,"ZİNCİR KIRIK","OK")),"OK"))</f>
        <v/>
      </c>
      <c r="V71" s="28">
        <f>IF($A71="","",1)</f>
        <v/>
      </c>
    </row>
    <row r="72">
      <c r="A72" s="26" t="n"/>
      <c r="B72" s="26" t="n"/>
      <c r="C72" s="26" t="n"/>
      <c r="D72" s="29" t="n"/>
      <c r="E72" s="29" t="n"/>
      <c r="F72" s="26" t="n"/>
      <c r="G72" s="26" t="n"/>
      <c r="H72" s="27" t="n"/>
      <c r="I72" s="27" t="n"/>
      <c r="J72" s="27" t="n"/>
      <c r="K72" s="30" t="n"/>
      <c r="L72" s="26" t="n"/>
      <c r="M72" s="26" t="n"/>
      <c r="N72" s="26" t="n"/>
      <c r="O72" s="28">
        <f>IF($A72="","",IF(OR($G72="TAHSIL",$G72="KAPALI"),0,IF($D72="","",raporTarihi-$D72)))</f>
        <v/>
      </c>
      <c r="P72" s="28">
        <f>IF($A72="","",IF($O72="","",IF($O72&lt;=trv_kovaEsik1,"0-30",IF($O72&lt;=trv_kovaEsik2,"31-60",IF($O72&lt;=trv_kovaEsik3,"61-90","90+")))))</f>
        <v/>
      </c>
      <c r="Q72" s="28">
        <f>IF(OR($A72="",$G72="TAHSIL",$G72="KAPALI"),"",IF($P72="0-30",trv_olasilikK1,IF($P72="31-60",trv_olasilikK2,IF($P72="61-90",trv_olasilikK3,trv_olasilikK4))))</f>
        <v/>
      </c>
      <c r="R72" s="28">
        <f>IF(OR($A72="",$Q72=""),"",$J72*(1-$Q72)*MAX(trv_riskTaban,$K72/100))</f>
        <v/>
      </c>
      <c r="S72" s="28">
        <f>IF($A72="","",IF($B72="","YETİM",IF(COUNTIF(tblKartlar[KartId],$B72)=0,"YETİM","")))</f>
        <v/>
      </c>
      <c r="T72" s="28">
        <f>IF(OR($A72="",$F72=""),"",IF(OR($F72&amp;"|"&amp;$G72="",COUNTIF(ListeIzinliGecis,$F72&amp;"|"&amp;$G72)&gt;0),"","GEÇERSİZ GEÇİŞ"))</f>
        <v/>
      </c>
      <c r="U72" s="28">
        <f>IF($A72="","",IF(OR($G72="TAHSIL",$I72&gt;0),IF(OR($H72="",$I72=""),"",IF(ABS($I72-$H72)&gt;zincirTolerans,"ZİNCİR KIRIK","OK")),"OK"))</f>
        <v/>
      </c>
      <c r="V72" s="28">
        <f>IF($A72="","",1)</f>
        <v/>
      </c>
    </row>
    <row r="73">
      <c r="A73" s="26" t="n"/>
      <c r="B73" s="26" t="n"/>
      <c r="C73" s="26" t="n"/>
      <c r="D73" s="29" t="n"/>
      <c r="E73" s="29" t="n"/>
      <c r="F73" s="26" t="n"/>
      <c r="G73" s="26" t="n"/>
      <c r="H73" s="27" t="n"/>
      <c r="I73" s="27" t="n"/>
      <c r="J73" s="27" t="n"/>
      <c r="K73" s="30" t="n"/>
      <c r="L73" s="26" t="n"/>
      <c r="M73" s="26" t="n"/>
      <c r="N73" s="26" t="n"/>
      <c r="O73" s="28">
        <f>IF($A73="","",IF(OR($G73="TAHSIL",$G73="KAPALI"),0,IF($D73="","",raporTarihi-$D73)))</f>
        <v/>
      </c>
      <c r="P73" s="28">
        <f>IF($A73="","",IF($O73="","",IF($O73&lt;=trv_kovaEsik1,"0-30",IF($O73&lt;=trv_kovaEsik2,"31-60",IF($O73&lt;=trv_kovaEsik3,"61-90","90+")))))</f>
        <v/>
      </c>
      <c r="Q73" s="28">
        <f>IF(OR($A73="",$G73="TAHSIL",$G73="KAPALI"),"",IF($P73="0-30",trv_olasilikK1,IF($P73="31-60",trv_olasilikK2,IF($P73="61-90",trv_olasilikK3,trv_olasilikK4))))</f>
        <v/>
      </c>
      <c r="R73" s="28">
        <f>IF(OR($A73="",$Q73=""),"",$J73*(1-$Q73)*MAX(trv_riskTaban,$K73/100))</f>
        <v/>
      </c>
      <c r="S73" s="28">
        <f>IF($A73="","",IF($B73="","YETİM",IF(COUNTIF(tblKartlar[KartId],$B73)=0,"YETİM","")))</f>
        <v/>
      </c>
      <c r="T73" s="28">
        <f>IF(OR($A73="",$F73=""),"",IF(OR($F73&amp;"|"&amp;$G73="",COUNTIF(ListeIzinliGecis,$F73&amp;"|"&amp;$G73)&gt;0),"","GEÇERSİZ GEÇİŞ"))</f>
        <v/>
      </c>
      <c r="U73" s="28">
        <f>IF($A73="","",IF(OR($G73="TAHSIL",$I73&gt;0),IF(OR($H73="",$I73=""),"",IF(ABS($I73-$H73)&gt;zincirTolerans,"ZİNCİR KIRIK","OK")),"OK"))</f>
        <v/>
      </c>
      <c r="V73" s="28">
        <f>IF($A73="","",1)</f>
        <v/>
      </c>
    </row>
    <row r="74">
      <c r="A74" s="26" t="n"/>
      <c r="B74" s="26" t="n"/>
      <c r="C74" s="26" t="n"/>
      <c r="D74" s="29" t="n"/>
      <c r="E74" s="29" t="n"/>
      <c r="F74" s="26" t="n"/>
      <c r="G74" s="26" t="n"/>
      <c r="H74" s="27" t="n"/>
      <c r="I74" s="27" t="n"/>
      <c r="J74" s="27" t="n"/>
      <c r="K74" s="30" t="n"/>
      <c r="L74" s="26" t="n"/>
      <c r="M74" s="26" t="n"/>
      <c r="N74" s="26" t="n"/>
      <c r="O74" s="28">
        <f>IF($A74="","",IF(OR($G74="TAHSIL",$G74="KAPALI"),0,IF($D74="","",raporTarihi-$D74)))</f>
        <v/>
      </c>
      <c r="P74" s="28">
        <f>IF($A74="","",IF($O74="","",IF($O74&lt;=trv_kovaEsik1,"0-30",IF($O74&lt;=trv_kovaEsik2,"31-60",IF($O74&lt;=trv_kovaEsik3,"61-90","90+")))))</f>
        <v/>
      </c>
      <c r="Q74" s="28">
        <f>IF(OR($A74="",$G74="TAHSIL",$G74="KAPALI"),"",IF($P74="0-30",trv_olasilikK1,IF($P74="31-60",trv_olasilikK2,IF($P74="61-90",trv_olasilikK3,trv_olasilikK4))))</f>
        <v/>
      </c>
      <c r="R74" s="28">
        <f>IF(OR($A74="",$Q74=""),"",$J74*(1-$Q74)*MAX(trv_riskTaban,$K74/100))</f>
        <v/>
      </c>
      <c r="S74" s="28">
        <f>IF($A74="","",IF($B74="","YETİM",IF(COUNTIF(tblKartlar[KartId],$B74)=0,"YETİM","")))</f>
        <v/>
      </c>
      <c r="T74" s="28">
        <f>IF(OR($A74="",$F74=""),"",IF(OR($F74&amp;"|"&amp;$G74="",COUNTIF(ListeIzinliGecis,$F74&amp;"|"&amp;$G74)&gt;0),"","GEÇERSİZ GEÇİŞ"))</f>
        <v/>
      </c>
      <c r="U74" s="28">
        <f>IF($A74="","",IF(OR($G74="TAHSIL",$I74&gt;0),IF(OR($H74="",$I74=""),"",IF(ABS($I74-$H74)&gt;zincirTolerans,"ZİNCİR KIRIK","OK")),"OK"))</f>
        <v/>
      </c>
      <c r="V74" s="28">
        <f>IF($A74="","",1)</f>
        <v/>
      </c>
    </row>
    <row r="75">
      <c r="A75" s="26" t="n"/>
      <c r="B75" s="26" t="n"/>
      <c r="C75" s="26" t="n"/>
      <c r="D75" s="29" t="n"/>
      <c r="E75" s="29" t="n"/>
      <c r="F75" s="26" t="n"/>
      <c r="G75" s="26" t="n"/>
      <c r="H75" s="27" t="n"/>
      <c r="I75" s="27" t="n"/>
      <c r="J75" s="27" t="n"/>
      <c r="K75" s="30" t="n"/>
      <c r="L75" s="26" t="n"/>
      <c r="M75" s="26" t="n"/>
      <c r="N75" s="26" t="n"/>
      <c r="O75" s="28">
        <f>IF($A75="","",IF(OR($G75="TAHSIL",$G75="KAPALI"),0,IF($D75="","",raporTarihi-$D75)))</f>
        <v/>
      </c>
      <c r="P75" s="28">
        <f>IF($A75="","",IF($O75="","",IF($O75&lt;=trv_kovaEsik1,"0-30",IF($O75&lt;=trv_kovaEsik2,"31-60",IF($O75&lt;=trv_kovaEsik3,"61-90","90+")))))</f>
        <v/>
      </c>
      <c r="Q75" s="28">
        <f>IF(OR($A75="",$G75="TAHSIL",$G75="KAPALI"),"",IF($P75="0-30",trv_olasilikK1,IF($P75="31-60",trv_olasilikK2,IF($P75="61-90",trv_olasilikK3,trv_olasilikK4))))</f>
        <v/>
      </c>
      <c r="R75" s="28">
        <f>IF(OR($A75="",$Q75=""),"",$J75*(1-$Q75)*MAX(trv_riskTaban,$K75/100))</f>
        <v/>
      </c>
      <c r="S75" s="28">
        <f>IF($A75="","",IF($B75="","YETİM",IF(COUNTIF(tblKartlar[KartId],$B75)=0,"YETİM","")))</f>
        <v/>
      </c>
      <c r="T75" s="28">
        <f>IF(OR($A75="",$F75=""),"",IF(OR($F75&amp;"|"&amp;$G75="",COUNTIF(ListeIzinliGecis,$F75&amp;"|"&amp;$G75)&gt;0),"","GEÇERSİZ GEÇİŞ"))</f>
        <v/>
      </c>
      <c r="U75" s="28">
        <f>IF($A75="","",IF(OR($G75="TAHSIL",$I75&gt;0),IF(OR($H75="",$I75=""),"",IF(ABS($I75-$H75)&gt;zincirTolerans,"ZİNCİR KIRIK","OK")),"OK"))</f>
        <v/>
      </c>
      <c r="V75" s="28">
        <f>IF($A75="","",1)</f>
        <v/>
      </c>
    </row>
    <row r="76">
      <c r="A76" s="26" t="n"/>
      <c r="B76" s="26" t="n"/>
      <c r="C76" s="26" t="n"/>
      <c r="D76" s="29" t="n"/>
      <c r="E76" s="29" t="n"/>
      <c r="F76" s="26" t="n"/>
      <c r="G76" s="26" t="n"/>
      <c r="H76" s="27" t="n"/>
      <c r="I76" s="27" t="n"/>
      <c r="J76" s="27" t="n"/>
      <c r="K76" s="30" t="n"/>
      <c r="L76" s="26" t="n"/>
      <c r="M76" s="26" t="n"/>
      <c r="N76" s="26" t="n"/>
      <c r="O76" s="28">
        <f>IF($A76="","",IF(OR($G76="TAHSIL",$G76="KAPALI"),0,IF($D76="","",raporTarihi-$D76)))</f>
        <v/>
      </c>
      <c r="P76" s="28">
        <f>IF($A76="","",IF($O76="","",IF($O76&lt;=trv_kovaEsik1,"0-30",IF($O76&lt;=trv_kovaEsik2,"31-60",IF($O76&lt;=trv_kovaEsik3,"61-90","90+")))))</f>
        <v/>
      </c>
      <c r="Q76" s="28">
        <f>IF(OR($A76="",$G76="TAHSIL",$G76="KAPALI"),"",IF($P76="0-30",trv_olasilikK1,IF($P76="31-60",trv_olasilikK2,IF($P76="61-90",trv_olasilikK3,trv_olasilikK4))))</f>
        <v/>
      </c>
      <c r="R76" s="28">
        <f>IF(OR($A76="",$Q76=""),"",$J76*(1-$Q76)*MAX(trv_riskTaban,$K76/100))</f>
        <v/>
      </c>
      <c r="S76" s="28">
        <f>IF($A76="","",IF($B76="","YETİM",IF(COUNTIF(tblKartlar[KartId],$B76)=0,"YETİM","")))</f>
        <v/>
      </c>
      <c r="T76" s="28">
        <f>IF(OR($A76="",$F76=""),"",IF(OR($F76&amp;"|"&amp;$G76="",COUNTIF(ListeIzinliGecis,$F76&amp;"|"&amp;$G76)&gt;0),"","GEÇERSİZ GEÇİŞ"))</f>
        <v/>
      </c>
      <c r="U76" s="28">
        <f>IF($A76="","",IF(OR($G76="TAHSIL",$I76&gt;0),IF(OR($H76="",$I76=""),"",IF(ABS($I76-$H76)&gt;zincirTolerans,"ZİNCİR KIRIK","OK")),"OK"))</f>
        <v/>
      </c>
      <c r="V76" s="28">
        <f>IF($A76="","",1)</f>
        <v/>
      </c>
    </row>
    <row r="77">
      <c r="A77" s="26" t="n"/>
      <c r="B77" s="26" t="n"/>
      <c r="C77" s="26" t="n"/>
      <c r="D77" s="29" t="n"/>
      <c r="E77" s="29" t="n"/>
      <c r="F77" s="26" t="n"/>
      <c r="G77" s="26" t="n"/>
      <c r="H77" s="27" t="n"/>
      <c r="I77" s="27" t="n"/>
      <c r="J77" s="27" t="n"/>
      <c r="K77" s="30" t="n"/>
      <c r="L77" s="26" t="n"/>
      <c r="M77" s="26" t="n"/>
      <c r="N77" s="26" t="n"/>
      <c r="O77" s="28">
        <f>IF($A77="","",IF(OR($G77="TAHSIL",$G77="KAPALI"),0,IF($D77="","",raporTarihi-$D77)))</f>
        <v/>
      </c>
      <c r="P77" s="28">
        <f>IF($A77="","",IF($O77="","",IF($O77&lt;=trv_kovaEsik1,"0-30",IF($O77&lt;=trv_kovaEsik2,"31-60",IF($O77&lt;=trv_kovaEsik3,"61-90","90+")))))</f>
        <v/>
      </c>
      <c r="Q77" s="28">
        <f>IF(OR($A77="",$G77="TAHSIL",$G77="KAPALI"),"",IF($P77="0-30",trv_olasilikK1,IF($P77="31-60",trv_olasilikK2,IF($P77="61-90",trv_olasilikK3,trv_olasilikK4))))</f>
        <v/>
      </c>
      <c r="R77" s="28">
        <f>IF(OR($A77="",$Q77=""),"",$J77*(1-$Q77)*MAX(trv_riskTaban,$K77/100))</f>
        <v/>
      </c>
      <c r="S77" s="28">
        <f>IF($A77="","",IF($B77="","YETİM",IF(COUNTIF(tblKartlar[KartId],$B77)=0,"YETİM","")))</f>
        <v/>
      </c>
      <c r="T77" s="28">
        <f>IF(OR($A77="",$F77=""),"",IF(OR($F77&amp;"|"&amp;$G77="",COUNTIF(ListeIzinliGecis,$F77&amp;"|"&amp;$G77)&gt;0),"","GEÇERSİZ GEÇİŞ"))</f>
        <v/>
      </c>
      <c r="U77" s="28">
        <f>IF($A77="","",IF(OR($G77="TAHSIL",$I77&gt;0),IF(OR($H77="",$I77=""),"",IF(ABS($I77-$H77)&gt;zincirTolerans,"ZİNCİR KIRIK","OK")),"OK"))</f>
        <v/>
      </c>
      <c r="V77" s="28">
        <f>IF($A77="","",1)</f>
        <v/>
      </c>
    </row>
    <row r="78">
      <c r="A78" s="26" t="n"/>
      <c r="B78" s="26" t="n"/>
      <c r="C78" s="26" t="n"/>
      <c r="D78" s="29" t="n"/>
      <c r="E78" s="29" t="n"/>
      <c r="F78" s="26" t="n"/>
      <c r="G78" s="26" t="n"/>
      <c r="H78" s="27" t="n"/>
      <c r="I78" s="27" t="n"/>
      <c r="J78" s="27" t="n"/>
      <c r="K78" s="30" t="n"/>
      <c r="L78" s="26" t="n"/>
      <c r="M78" s="26" t="n"/>
      <c r="N78" s="26" t="n"/>
      <c r="O78" s="28">
        <f>IF($A78="","",IF(OR($G78="TAHSIL",$G78="KAPALI"),0,IF($D78="","",raporTarihi-$D78)))</f>
        <v/>
      </c>
      <c r="P78" s="28">
        <f>IF($A78="","",IF($O78="","",IF($O78&lt;=trv_kovaEsik1,"0-30",IF($O78&lt;=trv_kovaEsik2,"31-60",IF($O78&lt;=trv_kovaEsik3,"61-90","90+")))))</f>
        <v/>
      </c>
      <c r="Q78" s="28">
        <f>IF(OR($A78="",$G78="TAHSIL",$G78="KAPALI"),"",IF($P78="0-30",trv_olasilikK1,IF($P78="31-60",trv_olasilikK2,IF($P78="61-90",trv_olasilikK3,trv_olasilikK4))))</f>
        <v/>
      </c>
      <c r="R78" s="28">
        <f>IF(OR($A78="",$Q78=""),"",$J78*(1-$Q78)*MAX(trv_riskTaban,$K78/100))</f>
        <v/>
      </c>
      <c r="S78" s="28">
        <f>IF($A78="","",IF($B78="","YETİM",IF(COUNTIF(tblKartlar[KartId],$B78)=0,"YETİM","")))</f>
        <v/>
      </c>
      <c r="T78" s="28">
        <f>IF(OR($A78="",$F78=""),"",IF(OR($F78&amp;"|"&amp;$G78="",COUNTIF(ListeIzinliGecis,$F78&amp;"|"&amp;$G78)&gt;0),"","GEÇERSİZ GEÇİŞ"))</f>
        <v/>
      </c>
      <c r="U78" s="28">
        <f>IF($A78="","",IF(OR($G78="TAHSIL",$I78&gt;0),IF(OR($H78="",$I78=""),"",IF(ABS($I78-$H78)&gt;zincirTolerans,"ZİNCİR KIRIK","OK")),"OK"))</f>
        <v/>
      </c>
      <c r="V78" s="28">
        <f>IF($A78="","",1)</f>
        <v/>
      </c>
    </row>
    <row r="79">
      <c r="A79" s="26" t="n"/>
      <c r="B79" s="26" t="n"/>
      <c r="C79" s="26" t="n"/>
      <c r="D79" s="29" t="n"/>
      <c r="E79" s="29" t="n"/>
      <c r="F79" s="26" t="n"/>
      <c r="G79" s="26" t="n"/>
      <c r="H79" s="27" t="n"/>
      <c r="I79" s="27" t="n"/>
      <c r="J79" s="27" t="n"/>
      <c r="K79" s="30" t="n"/>
      <c r="L79" s="26" t="n"/>
      <c r="M79" s="26" t="n"/>
      <c r="N79" s="26" t="n"/>
      <c r="O79" s="28">
        <f>IF($A79="","",IF(OR($G79="TAHSIL",$G79="KAPALI"),0,IF($D79="","",raporTarihi-$D79)))</f>
        <v/>
      </c>
      <c r="P79" s="28">
        <f>IF($A79="","",IF($O79="","",IF($O79&lt;=trv_kovaEsik1,"0-30",IF($O79&lt;=trv_kovaEsik2,"31-60",IF($O79&lt;=trv_kovaEsik3,"61-90","90+")))))</f>
        <v/>
      </c>
      <c r="Q79" s="28">
        <f>IF(OR($A79="",$G79="TAHSIL",$G79="KAPALI"),"",IF($P79="0-30",trv_olasilikK1,IF($P79="31-60",trv_olasilikK2,IF($P79="61-90",trv_olasilikK3,trv_olasilikK4))))</f>
        <v/>
      </c>
      <c r="R79" s="28">
        <f>IF(OR($A79="",$Q79=""),"",$J79*(1-$Q79)*MAX(trv_riskTaban,$K79/100))</f>
        <v/>
      </c>
      <c r="S79" s="28">
        <f>IF($A79="","",IF($B79="","YETİM",IF(COUNTIF(tblKartlar[KartId],$B79)=0,"YETİM","")))</f>
        <v/>
      </c>
      <c r="T79" s="28">
        <f>IF(OR($A79="",$F79=""),"",IF(OR($F79&amp;"|"&amp;$G79="",COUNTIF(ListeIzinliGecis,$F79&amp;"|"&amp;$G79)&gt;0),"","GEÇERSİZ GEÇİŞ"))</f>
        <v/>
      </c>
      <c r="U79" s="28">
        <f>IF($A79="","",IF(OR($G79="TAHSIL",$I79&gt;0),IF(OR($H79="",$I79=""),"",IF(ABS($I79-$H79)&gt;zincirTolerans,"ZİNCİR KIRIK","OK")),"OK"))</f>
        <v/>
      </c>
      <c r="V79" s="28">
        <f>IF($A79="","",1)</f>
        <v/>
      </c>
    </row>
    <row r="80">
      <c r="A80" s="26" t="n"/>
      <c r="B80" s="26" t="n"/>
      <c r="C80" s="26" t="n"/>
      <c r="D80" s="29" t="n"/>
      <c r="E80" s="29" t="n"/>
      <c r="F80" s="26" t="n"/>
      <c r="G80" s="26" t="n"/>
      <c r="H80" s="27" t="n"/>
      <c r="I80" s="27" t="n"/>
      <c r="J80" s="27" t="n"/>
      <c r="K80" s="30" t="n"/>
      <c r="L80" s="26" t="n"/>
      <c r="M80" s="26" t="n"/>
      <c r="N80" s="26" t="n"/>
      <c r="O80" s="28">
        <f>IF($A80="","",IF(OR($G80="TAHSIL",$G80="KAPALI"),0,IF($D80="","",raporTarihi-$D80)))</f>
        <v/>
      </c>
      <c r="P80" s="28">
        <f>IF($A80="","",IF($O80="","",IF($O80&lt;=trv_kovaEsik1,"0-30",IF($O80&lt;=trv_kovaEsik2,"31-60",IF($O80&lt;=trv_kovaEsik3,"61-90","90+")))))</f>
        <v/>
      </c>
      <c r="Q80" s="28">
        <f>IF(OR($A80="",$G80="TAHSIL",$G80="KAPALI"),"",IF($P80="0-30",trv_olasilikK1,IF($P80="31-60",trv_olasilikK2,IF($P80="61-90",trv_olasilikK3,trv_olasilikK4))))</f>
        <v/>
      </c>
      <c r="R80" s="28">
        <f>IF(OR($A80="",$Q80=""),"",$J80*(1-$Q80)*MAX(trv_riskTaban,$K80/100))</f>
        <v/>
      </c>
      <c r="S80" s="28">
        <f>IF($A80="","",IF($B80="","YETİM",IF(COUNTIF(tblKartlar[KartId],$B80)=0,"YETİM","")))</f>
        <v/>
      </c>
      <c r="T80" s="28">
        <f>IF(OR($A80="",$F80=""),"",IF(OR($F80&amp;"|"&amp;$G80="",COUNTIF(ListeIzinliGecis,$F80&amp;"|"&amp;$G80)&gt;0),"","GEÇERSİZ GEÇİŞ"))</f>
        <v/>
      </c>
      <c r="U80" s="28">
        <f>IF($A80="","",IF(OR($G80="TAHSIL",$I80&gt;0),IF(OR($H80="",$I80=""),"",IF(ABS($I80-$H80)&gt;zincirTolerans,"ZİNCİR KIRIK","OK")),"OK"))</f>
        <v/>
      </c>
      <c r="V80" s="28">
        <f>IF($A80="","",1)</f>
        <v/>
      </c>
    </row>
    <row r="81">
      <c r="A81" s="26" t="n"/>
      <c r="B81" s="26" t="n"/>
      <c r="C81" s="26" t="n"/>
      <c r="D81" s="29" t="n"/>
      <c r="E81" s="29" t="n"/>
      <c r="F81" s="26" t="n"/>
      <c r="G81" s="26" t="n"/>
      <c r="H81" s="27" t="n"/>
      <c r="I81" s="27" t="n"/>
      <c r="J81" s="27" t="n"/>
      <c r="K81" s="30" t="n"/>
      <c r="L81" s="26" t="n"/>
      <c r="M81" s="26" t="n"/>
      <c r="N81" s="26" t="n"/>
      <c r="O81" s="28">
        <f>IF($A81="","",IF(OR($G81="TAHSIL",$G81="KAPALI"),0,IF($D81="","",raporTarihi-$D81)))</f>
        <v/>
      </c>
      <c r="P81" s="28">
        <f>IF($A81="","",IF($O81="","",IF($O81&lt;=trv_kovaEsik1,"0-30",IF($O81&lt;=trv_kovaEsik2,"31-60",IF($O81&lt;=trv_kovaEsik3,"61-90","90+")))))</f>
        <v/>
      </c>
      <c r="Q81" s="28">
        <f>IF(OR($A81="",$G81="TAHSIL",$G81="KAPALI"),"",IF($P81="0-30",trv_olasilikK1,IF($P81="31-60",trv_olasilikK2,IF($P81="61-90",trv_olasilikK3,trv_olasilikK4))))</f>
        <v/>
      </c>
      <c r="R81" s="28">
        <f>IF(OR($A81="",$Q81=""),"",$J81*(1-$Q81)*MAX(trv_riskTaban,$K81/100))</f>
        <v/>
      </c>
      <c r="S81" s="28">
        <f>IF($A81="","",IF($B81="","YETİM",IF(COUNTIF(tblKartlar[KartId],$B81)=0,"YETİM","")))</f>
        <v/>
      </c>
      <c r="T81" s="28">
        <f>IF(OR($A81="",$F81=""),"",IF(OR($F81&amp;"|"&amp;$G81="",COUNTIF(ListeIzinliGecis,$F81&amp;"|"&amp;$G81)&gt;0),"","GEÇERSİZ GEÇİŞ"))</f>
        <v/>
      </c>
      <c r="U81" s="28">
        <f>IF($A81="","",IF(OR($G81="TAHSIL",$I81&gt;0),IF(OR($H81="",$I81=""),"",IF(ABS($I81-$H81)&gt;zincirTolerans,"ZİNCİR KIRIK","OK")),"OK"))</f>
        <v/>
      </c>
      <c r="V81" s="28">
        <f>IF($A81="","",1)</f>
        <v/>
      </c>
    </row>
    <row r="82">
      <c r="A82" s="26" t="n"/>
      <c r="B82" s="26" t="n"/>
      <c r="C82" s="26" t="n"/>
      <c r="D82" s="29" t="n"/>
      <c r="E82" s="29" t="n"/>
      <c r="F82" s="26" t="n"/>
      <c r="G82" s="26" t="n"/>
      <c r="H82" s="27" t="n"/>
      <c r="I82" s="27" t="n"/>
      <c r="J82" s="27" t="n"/>
      <c r="K82" s="30" t="n"/>
      <c r="L82" s="26" t="n"/>
      <c r="M82" s="26" t="n"/>
      <c r="N82" s="26" t="n"/>
      <c r="O82" s="28">
        <f>IF($A82="","",IF(OR($G82="TAHSIL",$G82="KAPALI"),0,IF($D82="","",raporTarihi-$D82)))</f>
        <v/>
      </c>
      <c r="P82" s="28">
        <f>IF($A82="","",IF($O82="","",IF($O82&lt;=trv_kovaEsik1,"0-30",IF($O82&lt;=trv_kovaEsik2,"31-60",IF($O82&lt;=trv_kovaEsik3,"61-90","90+")))))</f>
        <v/>
      </c>
      <c r="Q82" s="28">
        <f>IF(OR($A82="",$G82="TAHSIL",$G82="KAPALI"),"",IF($P82="0-30",trv_olasilikK1,IF($P82="31-60",trv_olasilikK2,IF($P82="61-90",trv_olasilikK3,trv_olasilikK4))))</f>
        <v/>
      </c>
      <c r="R82" s="28">
        <f>IF(OR($A82="",$Q82=""),"",$J82*(1-$Q82)*MAX(trv_riskTaban,$K82/100))</f>
        <v/>
      </c>
      <c r="S82" s="28">
        <f>IF($A82="","",IF($B82="","YETİM",IF(COUNTIF(tblKartlar[KartId],$B82)=0,"YETİM","")))</f>
        <v/>
      </c>
      <c r="T82" s="28">
        <f>IF(OR($A82="",$F82=""),"",IF(OR($F82&amp;"|"&amp;$G82="",COUNTIF(ListeIzinliGecis,$F82&amp;"|"&amp;$G82)&gt;0),"","GEÇERSİZ GEÇİŞ"))</f>
        <v/>
      </c>
      <c r="U82" s="28">
        <f>IF($A82="","",IF(OR($G82="TAHSIL",$I82&gt;0),IF(OR($H82="",$I82=""),"",IF(ABS($I82-$H82)&gt;zincirTolerans,"ZİNCİR KIRIK","OK")),"OK"))</f>
        <v/>
      </c>
      <c r="V82" s="28">
        <f>IF($A82="","",1)</f>
        <v/>
      </c>
    </row>
    <row r="83">
      <c r="A83" s="26" t="n"/>
      <c r="B83" s="26" t="n"/>
      <c r="C83" s="26" t="n"/>
      <c r="D83" s="29" t="n"/>
      <c r="E83" s="29" t="n"/>
      <c r="F83" s="26" t="n"/>
      <c r="G83" s="26" t="n"/>
      <c r="H83" s="27" t="n"/>
      <c r="I83" s="27" t="n"/>
      <c r="J83" s="27" t="n"/>
      <c r="K83" s="30" t="n"/>
      <c r="L83" s="26" t="n"/>
      <c r="M83" s="26" t="n"/>
      <c r="N83" s="26" t="n"/>
      <c r="O83" s="28">
        <f>IF($A83="","",IF(OR($G83="TAHSIL",$G83="KAPALI"),0,IF($D83="","",raporTarihi-$D83)))</f>
        <v/>
      </c>
      <c r="P83" s="28">
        <f>IF($A83="","",IF($O83="","",IF($O83&lt;=trv_kovaEsik1,"0-30",IF($O83&lt;=trv_kovaEsik2,"31-60",IF($O83&lt;=trv_kovaEsik3,"61-90","90+")))))</f>
        <v/>
      </c>
      <c r="Q83" s="28">
        <f>IF(OR($A83="",$G83="TAHSIL",$G83="KAPALI"),"",IF($P83="0-30",trv_olasilikK1,IF($P83="31-60",trv_olasilikK2,IF($P83="61-90",trv_olasilikK3,trv_olasilikK4))))</f>
        <v/>
      </c>
      <c r="R83" s="28">
        <f>IF(OR($A83="",$Q83=""),"",$J83*(1-$Q83)*MAX(trv_riskTaban,$K83/100))</f>
        <v/>
      </c>
      <c r="S83" s="28">
        <f>IF($A83="","",IF($B83="","YETİM",IF(COUNTIF(tblKartlar[KartId],$B83)=0,"YETİM","")))</f>
        <v/>
      </c>
      <c r="T83" s="28">
        <f>IF(OR($A83="",$F83=""),"",IF(OR($F83&amp;"|"&amp;$G83="",COUNTIF(ListeIzinliGecis,$F83&amp;"|"&amp;$G83)&gt;0),"","GEÇERSİZ GEÇİŞ"))</f>
        <v/>
      </c>
      <c r="U83" s="28">
        <f>IF($A83="","",IF(OR($G83="TAHSIL",$I83&gt;0),IF(OR($H83="",$I83=""),"",IF(ABS($I83-$H83)&gt;zincirTolerans,"ZİNCİR KIRIK","OK")),"OK"))</f>
        <v/>
      </c>
      <c r="V83" s="28">
        <f>IF($A83="","",1)</f>
        <v/>
      </c>
    </row>
    <row r="84">
      <c r="A84" s="26" t="n"/>
      <c r="B84" s="26" t="n"/>
      <c r="C84" s="26" t="n"/>
      <c r="D84" s="29" t="n"/>
      <c r="E84" s="29" t="n"/>
      <c r="F84" s="26" t="n"/>
      <c r="G84" s="26" t="n"/>
      <c r="H84" s="27" t="n"/>
      <c r="I84" s="27" t="n"/>
      <c r="J84" s="27" t="n"/>
      <c r="K84" s="30" t="n"/>
      <c r="L84" s="26" t="n"/>
      <c r="M84" s="26" t="n"/>
      <c r="N84" s="26" t="n"/>
      <c r="O84" s="28">
        <f>IF($A84="","",IF(OR($G84="TAHSIL",$G84="KAPALI"),0,IF($D84="","",raporTarihi-$D84)))</f>
        <v/>
      </c>
      <c r="P84" s="28">
        <f>IF($A84="","",IF($O84="","",IF($O84&lt;=trv_kovaEsik1,"0-30",IF($O84&lt;=trv_kovaEsik2,"31-60",IF($O84&lt;=trv_kovaEsik3,"61-90","90+")))))</f>
        <v/>
      </c>
      <c r="Q84" s="28">
        <f>IF(OR($A84="",$G84="TAHSIL",$G84="KAPALI"),"",IF($P84="0-30",trv_olasilikK1,IF($P84="31-60",trv_olasilikK2,IF($P84="61-90",trv_olasilikK3,trv_olasilikK4))))</f>
        <v/>
      </c>
      <c r="R84" s="28">
        <f>IF(OR($A84="",$Q84=""),"",$J84*(1-$Q84)*MAX(trv_riskTaban,$K84/100))</f>
        <v/>
      </c>
      <c r="S84" s="28">
        <f>IF($A84="","",IF($B84="","YETİM",IF(COUNTIF(tblKartlar[KartId],$B84)=0,"YETİM","")))</f>
        <v/>
      </c>
      <c r="T84" s="28">
        <f>IF(OR($A84="",$F84=""),"",IF(OR($F84&amp;"|"&amp;$G84="",COUNTIF(ListeIzinliGecis,$F84&amp;"|"&amp;$G84)&gt;0),"","GEÇERSİZ GEÇİŞ"))</f>
        <v/>
      </c>
      <c r="U84" s="28">
        <f>IF($A84="","",IF(OR($G84="TAHSIL",$I84&gt;0),IF(OR($H84="",$I84=""),"",IF(ABS($I84-$H84)&gt;zincirTolerans,"ZİNCİR KIRIK","OK")),"OK"))</f>
        <v/>
      </c>
      <c r="V84" s="28">
        <f>IF($A84="","",1)</f>
        <v/>
      </c>
    </row>
    <row r="85">
      <c r="A85" s="26" t="n"/>
      <c r="B85" s="26" t="n"/>
      <c r="C85" s="26" t="n"/>
      <c r="D85" s="29" t="n"/>
      <c r="E85" s="29" t="n"/>
      <c r="F85" s="26" t="n"/>
      <c r="G85" s="26" t="n"/>
      <c r="H85" s="27" t="n"/>
      <c r="I85" s="27" t="n"/>
      <c r="J85" s="27" t="n"/>
      <c r="K85" s="30" t="n"/>
      <c r="L85" s="26" t="n"/>
      <c r="M85" s="26" t="n"/>
      <c r="N85" s="26" t="n"/>
      <c r="O85" s="28">
        <f>IF($A85="","",IF(OR($G85="TAHSIL",$G85="KAPALI"),0,IF($D85="","",raporTarihi-$D85)))</f>
        <v/>
      </c>
      <c r="P85" s="28">
        <f>IF($A85="","",IF($O85="","",IF($O85&lt;=trv_kovaEsik1,"0-30",IF($O85&lt;=trv_kovaEsik2,"31-60",IF($O85&lt;=trv_kovaEsik3,"61-90","90+")))))</f>
        <v/>
      </c>
      <c r="Q85" s="28">
        <f>IF(OR($A85="",$G85="TAHSIL",$G85="KAPALI"),"",IF($P85="0-30",trv_olasilikK1,IF($P85="31-60",trv_olasilikK2,IF($P85="61-90",trv_olasilikK3,trv_olasilikK4))))</f>
        <v/>
      </c>
      <c r="R85" s="28">
        <f>IF(OR($A85="",$Q85=""),"",$J85*(1-$Q85)*MAX(trv_riskTaban,$K85/100))</f>
        <v/>
      </c>
      <c r="S85" s="28">
        <f>IF($A85="","",IF($B85="","YETİM",IF(COUNTIF(tblKartlar[KartId],$B85)=0,"YETİM","")))</f>
        <v/>
      </c>
      <c r="T85" s="28">
        <f>IF(OR($A85="",$F85=""),"",IF(OR($F85&amp;"|"&amp;$G85="",COUNTIF(ListeIzinliGecis,$F85&amp;"|"&amp;$G85)&gt;0),"","GEÇERSİZ GEÇİŞ"))</f>
        <v/>
      </c>
      <c r="U85" s="28">
        <f>IF($A85="","",IF(OR($G85="TAHSIL",$I85&gt;0),IF(OR($H85="",$I85=""),"",IF(ABS($I85-$H85)&gt;zincirTolerans,"ZİNCİR KIRIK","OK")),"OK"))</f>
        <v/>
      </c>
      <c r="V85" s="28">
        <f>IF($A85="","",1)</f>
        <v/>
      </c>
    </row>
    <row r="86">
      <c r="A86" s="26" t="n"/>
      <c r="B86" s="26" t="n"/>
      <c r="C86" s="26" t="n"/>
      <c r="D86" s="29" t="n"/>
      <c r="E86" s="29" t="n"/>
      <c r="F86" s="26" t="n"/>
      <c r="G86" s="26" t="n"/>
      <c r="H86" s="27" t="n"/>
      <c r="I86" s="27" t="n"/>
      <c r="J86" s="27" t="n"/>
      <c r="K86" s="30" t="n"/>
      <c r="L86" s="26" t="n"/>
      <c r="M86" s="26" t="n"/>
      <c r="N86" s="26" t="n"/>
      <c r="O86" s="28">
        <f>IF($A86="","",IF(OR($G86="TAHSIL",$G86="KAPALI"),0,IF($D86="","",raporTarihi-$D86)))</f>
        <v/>
      </c>
      <c r="P86" s="28">
        <f>IF($A86="","",IF($O86="","",IF($O86&lt;=trv_kovaEsik1,"0-30",IF($O86&lt;=trv_kovaEsik2,"31-60",IF($O86&lt;=trv_kovaEsik3,"61-90","90+")))))</f>
        <v/>
      </c>
      <c r="Q86" s="28">
        <f>IF(OR($A86="",$G86="TAHSIL",$G86="KAPALI"),"",IF($P86="0-30",trv_olasilikK1,IF($P86="31-60",trv_olasilikK2,IF($P86="61-90",trv_olasilikK3,trv_olasilikK4))))</f>
        <v/>
      </c>
      <c r="R86" s="28">
        <f>IF(OR($A86="",$Q86=""),"",$J86*(1-$Q86)*MAX(trv_riskTaban,$K86/100))</f>
        <v/>
      </c>
      <c r="S86" s="28">
        <f>IF($A86="","",IF($B86="","YETİM",IF(COUNTIF(tblKartlar[KartId],$B86)=0,"YETİM","")))</f>
        <v/>
      </c>
      <c r="T86" s="28">
        <f>IF(OR($A86="",$F86=""),"",IF(OR($F86&amp;"|"&amp;$G86="",COUNTIF(ListeIzinliGecis,$F86&amp;"|"&amp;$G86)&gt;0),"","GEÇERSİZ GEÇİŞ"))</f>
        <v/>
      </c>
      <c r="U86" s="28">
        <f>IF($A86="","",IF(OR($G86="TAHSIL",$I86&gt;0),IF(OR($H86="",$I86=""),"",IF(ABS($I86-$H86)&gt;zincirTolerans,"ZİNCİR KIRIK","OK")),"OK"))</f>
        <v/>
      </c>
      <c r="V86" s="28">
        <f>IF($A86="","",1)</f>
        <v/>
      </c>
    </row>
    <row r="87">
      <c r="A87" s="26" t="n"/>
      <c r="B87" s="26" t="n"/>
      <c r="C87" s="26" t="n"/>
      <c r="D87" s="29" t="n"/>
      <c r="E87" s="29" t="n"/>
      <c r="F87" s="26" t="n"/>
      <c r="G87" s="26" t="n"/>
      <c r="H87" s="27" t="n"/>
      <c r="I87" s="27" t="n"/>
      <c r="J87" s="27" t="n"/>
      <c r="K87" s="30" t="n"/>
      <c r="L87" s="26" t="n"/>
      <c r="M87" s="26" t="n"/>
      <c r="N87" s="26" t="n"/>
      <c r="O87" s="28">
        <f>IF($A87="","",IF(OR($G87="TAHSIL",$G87="KAPALI"),0,IF($D87="","",raporTarihi-$D87)))</f>
        <v/>
      </c>
      <c r="P87" s="28">
        <f>IF($A87="","",IF($O87="","",IF($O87&lt;=trv_kovaEsik1,"0-30",IF($O87&lt;=trv_kovaEsik2,"31-60",IF($O87&lt;=trv_kovaEsik3,"61-90","90+")))))</f>
        <v/>
      </c>
      <c r="Q87" s="28">
        <f>IF(OR($A87="",$G87="TAHSIL",$G87="KAPALI"),"",IF($P87="0-30",trv_olasilikK1,IF($P87="31-60",trv_olasilikK2,IF($P87="61-90",trv_olasilikK3,trv_olasilikK4))))</f>
        <v/>
      </c>
      <c r="R87" s="28">
        <f>IF(OR($A87="",$Q87=""),"",$J87*(1-$Q87)*MAX(trv_riskTaban,$K87/100))</f>
        <v/>
      </c>
      <c r="S87" s="28">
        <f>IF($A87="","",IF($B87="","YETİM",IF(COUNTIF(tblKartlar[KartId],$B87)=0,"YETİM","")))</f>
        <v/>
      </c>
      <c r="T87" s="28">
        <f>IF(OR($A87="",$F87=""),"",IF(OR($F87&amp;"|"&amp;$G87="",COUNTIF(ListeIzinliGecis,$F87&amp;"|"&amp;$G87)&gt;0),"","GEÇERSİZ GEÇİŞ"))</f>
        <v/>
      </c>
      <c r="U87" s="28">
        <f>IF($A87="","",IF(OR($G87="TAHSIL",$I87&gt;0),IF(OR($H87="",$I87=""),"",IF(ABS($I87-$H87)&gt;zincirTolerans,"ZİNCİR KIRIK","OK")),"OK"))</f>
        <v/>
      </c>
      <c r="V87" s="28">
        <f>IF($A87="","",1)</f>
        <v/>
      </c>
    </row>
    <row r="88">
      <c r="A88" s="26" t="n"/>
      <c r="B88" s="26" t="n"/>
      <c r="C88" s="26" t="n"/>
      <c r="D88" s="29" t="n"/>
      <c r="E88" s="29" t="n"/>
      <c r="F88" s="26" t="n"/>
      <c r="G88" s="26" t="n"/>
      <c r="H88" s="27" t="n"/>
      <c r="I88" s="27" t="n"/>
      <c r="J88" s="27" t="n"/>
      <c r="K88" s="30" t="n"/>
      <c r="L88" s="26" t="n"/>
      <c r="M88" s="26" t="n"/>
      <c r="N88" s="26" t="n"/>
      <c r="O88" s="28">
        <f>IF($A88="","",IF(OR($G88="TAHSIL",$G88="KAPALI"),0,IF($D88="","",raporTarihi-$D88)))</f>
        <v/>
      </c>
      <c r="P88" s="28">
        <f>IF($A88="","",IF($O88="","",IF($O88&lt;=trv_kovaEsik1,"0-30",IF($O88&lt;=trv_kovaEsik2,"31-60",IF($O88&lt;=trv_kovaEsik3,"61-90","90+")))))</f>
        <v/>
      </c>
      <c r="Q88" s="28">
        <f>IF(OR($A88="",$G88="TAHSIL",$G88="KAPALI"),"",IF($P88="0-30",trv_olasilikK1,IF($P88="31-60",trv_olasilikK2,IF($P88="61-90",trv_olasilikK3,trv_olasilikK4))))</f>
        <v/>
      </c>
      <c r="R88" s="28">
        <f>IF(OR($A88="",$Q88=""),"",$J88*(1-$Q88)*MAX(trv_riskTaban,$K88/100))</f>
        <v/>
      </c>
      <c r="S88" s="28">
        <f>IF($A88="","",IF($B88="","YETİM",IF(COUNTIF(tblKartlar[KartId],$B88)=0,"YETİM","")))</f>
        <v/>
      </c>
      <c r="T88" s="28">
        <f>IF(OR($A88="",$F88=""),"",IF(OR($F88&amp;"|"&amp;$G88="",COUNTIF(ListeIzinliGecis,$F88&amp;"|"&amp;$G88)&gt;0),"","GEÇERSİZ GEÇİŞ"))</f>
        <v/>
      </c>
      <c r="U88" s="28">
        <f>IF($A88="","",IF(OR($G88="TAHSIL",$I88&gt;0),IF(OR($H88="",$I88=""),"",IF(ABS($I88-$H88)&gt;zincirTolerans,"ZİNCİR KIRIK","OK")),"OK"))</f>
        <v/>
      </c>
      <c r="V88" s="28">
        <f>IF($A88="","",1)</f>
        <v/>
      </c>
    </row>
    <row r="89">
      <c r="A89" s="26" t="n"/>
      <c r="B89" s="26" t="n"/>
      <c r="C89" s="26" t="n"/>
      <c r="D89" s="29" t="n"/>
      <c r="E89" s="29" t="n"/>
      <c r="F89" s="26" t="n"/>
      <c r="G89" s="26" t="n"/>
      <c r="H89" s="27" t="n"/>
      <c r="I89" s="27" t="n"/>
      <c r="J89" s="27" t="n"/>
      <c r="K89" s="30" t="n"/>
      <c r="L89" s="26" t="n"/>
      <c r="M89" s="26" t="n"/>
      <c r="N89" s="26" t="n"/>
      <c r="O89" s="28">
        <f>IF($A89="","",IF(OR($G89="TAHSIL",$G89="KAPALI"),0,IF($D89="","",raporTarihi-$D89)))</f>
        <v/>
      </c>
      <c r="P89" s="28">
        <f>IF($A89="","",IF($O89="","",IF($O89&lt;=trv_kovaEsik1,"0-30",IF($O89&lt;=trv_kovaEsik2,"31-60",IF($O89&lt;=trv_kovaEsik3,"61-90","90+")))))</f>
        <v/>
      </c>
      <c r="Q89" s="28">
        <f>IF(OR($A89="",$G89="TAHSIL",$G89="KAPALI"),"",IF($P89="0-30",trv_olasilikK1,IF($P89="31-60",trv_olasilikK2,IF($P89="61-90",trv_olasilikK3,trv_olasilikK4))))</f>
        <v/>
      </c>
      <c r="R89" s="28">
        <f>IF(OR($A89="",$Q89=""),"",$J89*(1-$Q89)*MAX(trv_riskTaban,$K89/100))</f>
        <v/>
      </c>
      <c r="S89" s="28">
        <f>IF($A89="","",IF($B89="","YETİM",IF(COUNTIF(tblKartlar[KartId],$B89)=0,"YETİM","")))</f>
        <v/>
      </c>
      <c r="T89" s="28">
        <f>IF(OR($A89="",$F89=""),"",IF(OR($F89&amp;"|"&amp;$G89="",COUNTIF(ListeIzinliGecis,$F89&amp;"|"&amp;$G89)&gt;0),"","GEÇERSİZ GEÇİŞ"))</f>
        <v/>
      </c>
      <c r="U89" s="28">
        <f>IF($A89="","",IF(OR($G89="TAHSIL",$I89&gt;0),IF(OR($H89="",$I89=""),"",IF(ABS($I89-$H89)&gt;zincirTolerans,"ZİNCİR KIRIK","OK")),"OK"))</f>
        <v/>
      </c>
      <c r="V89" s="28">
        <f>IF($A89="","",1)</f>
        <v/>
      </c>
    </row>
    <row r="90">
      <c r="A90" s="26" t="n"/>
      <c r="B90" s="26" t="n"/>
      <c r="C90" s="26" t="n"/>
      <c r="D90" s="29" t="n"/>
      <c r="E90" s="29" t="n"/>
      <c r="F90" s="26" t="n"/>
      <c r="G90" s="26" t="n"/>
      <c r="H90" s="27" t="n"/>
      <c r="I90" s="27" t="n"/>
      <c r="J90" s="27" t="n"/>
      <c r="K90" s="30" t="n"/>
      <c r="L90" s="26" t="n"/>
      <c r="M90" s="26" t="n"/>
      <c r="N90" s="26" t="n"/>
      <c r="O90" s="28">
        <f>IF($A90="","",IF(OR($G90="TAHSIL",$G90="KAPALI"),0,IF($D90="","",raporTarihi-$D90)))</f>
        <v/>
      </c>
      <c r="P90" s="28">
        <f>IF($A90="","",IF($O90="","",IF($O90&lt;=trv_kovaEsik1,"0-30",IF($O90&lt;=trv_kovaEsik2,"31-60",IF($O90&lt;=trv_kovaEsik3,"61-90","90+")))))</f>
        <v/>
      </c>
      <c r="Q90" s="28">
        <f>IF(OR($A90="",$G90="TAHSIL",$G90="KAPALI"),"",IF($P90="0-30",trv_olasilikK1,IF($P90="31-60",trv_olasilikK2,IF($P90="61-90",trv_olasilikK3,trv_olasilikK4))))</f>
        <v/>
      </c>
      <c r="R90" s="28">
        <f>IF(OR($A90="",$Q90=""),"",$J90*(1-$Q90)*MAX(trv_riskTaban,$K90/100))</f>
        <v/>
      </c>
      <c r="S90" s="28">
        <f>IF($A90="","",IF($B90="","YETİM",IF(COUNTIF(tblKartlar[KartId],$B90)=0,"YETİM","")))</f>
        <v/>
      </c>
      <c r="T90" s="28">
        <f>IF(OR($A90="",$F90=""),"",IF(OR($F90&amp;"|"&amp;$G90="",COUNTIF(ListeIzinliGecis,$F90&amp;"|"&amp;$G90)&gt;0),"","GEÇERSİZ GEÇİŞ"))</f>
        <v/>
      </c>
      <c r="U90" s="28">
        <f>IF($A90="","",IF(OR($G90="TAHSIL",$I90&gt;0),IF(OR($H90="",$I90=""),"",IF(ABS($I90-$H90)&gt;zincirTolerans,"ZİNCİR KIRIK","OK")),"OK"))</f>
        <v/>
      </c>
      <c r="V90" s="28">
        <f>IF($A90="","",1)</f>
        <v/>
      </c>
    </row>
    <row r="91">
      <c r="A91" s="26" t="n"/>
      <c r="B91" s="26" t="n"/>
      <c r="C91" s="26" t="n"/>
      <c r="D91" s="29" t="n"/>
      <c r="E91" s="29" t="n"/>
      <c r="F91" s="26" t="n"/>
      <c r="G91" s="26" t="n"/>
      <c r="H91" s="27" t="n"/>
      <c r="I91" s="27" t="n"/>
      <c r="J91" s="27" t="n"/>
      <c r="K91" s="30" t="n"/>
      <c r="L91" s="26" t="n"/>
      <c r="M91" s="26" t="n"/>
      <c r="N91" s="26" t="n"/>
      <c r="O91" s="28">
        <f>IF($A91="","",IF(OR($G91="TAHSIL",$G91="KAPALI"),0,IF($D91="","",raporTarihi-$D91)))</f>
        <v/>
      </c>
      <c r="P91" s="28">
        <f>IF($A91="","",IF($O91="","",IF($O91&lt;=trv_kovaEsik1,"0-30",IF($O91&lt;=trv_kovaEsik2,"31-60",IF($O91&lt;=trv_kovaEsik3,"61-90","90+")))))</f>
        <v/>
      </c>
      <c r="Q91" s="28">
        <f>IF(OR($A91="",$G91="TAHSIL",$G91="KAPALI"),"",IF($P91="0-30",trv_olasilikK1,IF($P91="31-60",trv_olasilikK2,IF($P91="61-90",trv_olasilikK3,trv_olasilikK4))))</f>
        <v/>
      </c>
      <c r="R91" s="28">
        <f>IF(OR($A91="",$Q91=""),"",$J91*(1-$Q91)*MAX(trv_riskTaban,$K91/100))</f>
        <v/>
      </c>
      <c r="S91" s="28">
        <f>IF($A91="","",IF($B91="","YETİM",IF(COUNTIF(tblKartlar[KartId],$B91)=0,"YETİM","")))</f>
        <v/>
      </c>
      <c r="T91" s="28">
        <f>IF(OR($A91="",$F91=""),"",IF(OR($F91&amp;"|"&amp;$G91="",COUNTIF(ListeIzinliGecis,$F91&amp;"|"&amp;$G91)&gt;0),"","GEÇERSİZ GEÇİŞ"))</f>
        <v/>
      </c>
      <c r="U91" s="28">
        <f>IF($A91="","",IF(OR($G91="TAHSIL",$I91&gt;0),IF(OR($H91="",$I91=""),"",IF(ABS($I91-$H91)&gt;zincirTolerans,"ZİNCİR KIRIK","OK")),"OK"))</f>
        <v/>
      </c>
      <c r="V91" s="28">
        <f>IF($A91="","",1)</f>
        <v/>
      </c>
    </row>
    <row r="92">
      <c r="A92" s="26" t="n"/>
      <c r="B92" s="26" t="n"/>
      <c r="C92" s="26" t="n"/>
      <c r="D92" s="29" t="n"/>
      <c r="E92" s="29" t="n"/>
      <c r="F92" s="26" t="n"/>
      <c r="G92" s="26" t="n"/>
      <c r="H92" s="27" t="n"/>
      <c r="I92" s="27" t="n"/>
      <c r="J92" s="27" t="n"/>
      <c r="K92" s="30" t="n"/>
      <c r="L92" s="26" t="n"/>
      <c r="M92" s="26" t="n"/>
      <c r="N92" s="26" t="n"/>
      <c r="O92" s="28">
        <f>IF($A92="","",IF(OR($G92="TAHSIL",$G92="KAPALI"),0,IF($D92="","",raporTarihi-$D92)))</f>
        <v/>
      </c>
      <c r="P92" s="28">
        <f>IF($A92="","",IF($O92="","",IF($O92&lt;=trv_kovaEsik1,"0-30",IF($O92&lt;=trv_kovaEsik2,"31-60",IF($O92&lt;=trv_kovaEsik3,"61-90","90+")))))</f>
        <v/>
      </c>
      <c r="Q92" s="28">
        <f>IF(OR($A92="",$G92="TAHSIL",$G92="KAPALI"),"",IF($P92="0-30",trv_olasilikK1,IF($P92="31-60",trv_olasilikK2,IF($P92="61-90",trv_olasilikK3,trv_olasilikK4))))</f>
        <v/>
      </c>
      <c r="R92" s="28">
        <f>IF(OR($A92="",$Q92=""),"",$J92*(1-$Q92)*MAX(trv_riskTaban,$K92/100))</f>
        <v/>
      </c>
      <c r="S92" s="28">
        <f>IF($A92="","",IF($B92="","YETİM",IF(COUNTIF(tblKartlar[KartId],$B92)=0,"YETİM","")))</f>
        <v/>
      </c>
      <c r="T92" s="28">
        <f>IF(OR($A92="",$F92=""),"",IF(OR($F92&amp;"|"&amp;$G92="",COUNTIF(ListeIzinliGecis,$F92&amp;"|"&amp;$G92)&gt;0),"","GEÇERSİZ GEÇİŞ"))</f>
        <v/>
      </c>
      <c r="U92" s="28">
        <f>IF($A92="","",IF(OR($G92="TAHSIL",$I92&gt;0),IF(OR($H92="",$I92=""),"",IF(ABS($I92-$H92)&gt;zincirTolerans,"ZİNCİR KIRIK","OK")),"OK"))</f>
        <v/>
      </c>
      <c r="V92" s="28">
        <f>IF($A92="","",1)</f>
        <v/>
      </c>
    </row>
    <row r="93">
      <c r="A93" s="26" t="n"/>
      <c r="B93" s="26" t="n"/>
      <c r="C93" s="26" t="n"/>
      <c r="D93" s="29" t="n"/>
      <c r="E93" s="29" t="n"/>
      <c r="F93" s="26" t="n"/>
      <c r="G93" s="26" t="n"/>
      <c r="H93" s="27" t="n"/>
      <c r="I93" s="27" t="n"/>
      <c r="J93" s="27" t="n"/>
      <c r="K93" s="30" t="n"/>
      <c r="L93" s="26" t="n"/>
      <c r="M93" s="26" t="n"/>
      <c r="N93" s="26" t="n"/>
      <c r="O93" s="28">
        <f>IF($A93="","",IF(OR($G93="TAHSIL",$G93="KAPALI"),0,IF($D93="","",raporTarihi-$D93)))</f>
        <v/>
      </c>
      <c r="P93" s="28">
        <f>IF($A93="","",IF($O93="","",IF($O93&lt;=trv_kovaEsik1,"0-30",IF($O93&lt;=trv_kovaEsik2,"31-60",IF($O93&lt;=trv_kovaEsik3,"61-90","90+")))))</f>
        <v/>
      </c>
      <c r="Q93" s="28">
        <f>IF(OR($A93="",$G93="TAHSIL",$G93="KAPALI"),"",IF($P93="0-30",trv_olasilikK1,IF($P93="31-60",trv_olasilikK2,IF($P93="61-90",trv_olasilikK3,trv_olasilikK4))))</f>
        <v/>
      </c>
      <c r="R93" s="28">
        <f>IF(OR($A93="",$Q93=""),"",$J93*(1-$Q93)*MAX(trv_riskTaban,$K93/100))</f>
        <v/>
      </c>
      <c r="S93" s="28">
        <f>IF($A93="","",IF($B93="","YETİM",IF(COUNTIF(tblKartlar[KartId],$B93)=0,"YETİM","")))</f>
        <v/>
      </c>
      <c r="T93" s="28">
        <f>IF(OR($A93="",$F93=""),"",IF(OR($F93&amp;"|"&amp;$G93="",COUNTIF(ListeIzinliGecis,$F93&amp;"|"&amp;$G93)&gt;0),"","GEÇERSİZ GEÇİŞ"))</f>
        <v/>
      </c>
      <c r="U93" s="28">
        <f>IF($A93="","",IF(OR($G93="TAHSIL",$I93&gt;0),IF(OR($H93="",$I93=""),"",IF(ABS($I93-$H93)&gt;zincirTolerans,"ZİNCİR KIRIK","OK")),"OK"))</f>
        <v/>
      </c>
      <c r="V93" s="28">
        <f>IF($A93="","",1)</f>
        <v/>
      </c>
    </row>
    <row r="94">
      <c r="A94" s="26" t="n"/>
      <c r="B94" s="26" t="n"/>
      <c r="C94" s="26" t="n"/>
      <c r="D94" s="29" t="n"/>
      <c r="E94" s="29" t="n"/>
      <c r="F94" s="26" t="n"/>
      <c r="G94" s="26" t="n"/>
      <c r="H94" s="27" t="n"/>
      <c r="I94" s="27" t="n"/>
      <c r="J94" s="27" t="n"/>
      <c r="K94" s="30" t="n"/>
      <c r="L94" s="26" t="n"/>
      <c r="M94" s="26" t="n"/>
      <c r="N94" s="26" t="n"/>
      <c r="O94" s="28">
        <f>IF($A94="","",IF(OR($G94="TAHSIL",$G94="KAPALI"),0,IF($D94="","",raporTarihi-$D94)))</f>
        <v/>
      </c>
      <c r="P94" s="28">
        <f>IF($A94="","",IF($O94="","",IF($O94&lt;=trv_kovaEsik1,"0-30",IF($O94&lt;=trv_kovaEsik2,"31-60",IF($O94&lt;=trv_kovaEsik3,"61-90","90+")))))</f>
        <v/>
      </c>
      <c r="Q94" s="28">
        <f>IF(OR($A94="",$G94="TAHSIL",$G94="KAPALI"),"",IF($P94="0-30",trv_olasilikK1,IF($P94="31-60",trv_olasilikK2,IF($P94="61-90",trv_olasilikK3,trv_olasilikK4))))</f>
        <v/>
      </c>
      <c r="R94" s="28">
        <f>IF(OR($A94="",$Q94=""),"",$J94*(1-$Q94)*MAX(trv_riskTaban,$K94/100))</f>
        <v/>
      </c>
      <c r="S94" s="28">
        <f>IF($A94="","",IF($B94="","YETİM",IF(COUNTIF(tblKartlar[KartId],$B94)=0,"YETİM","")))</f>
        <v/>
      </c>
      <c r="T94" s="28">
        <f>IF(OR($A94="",$F94=""),"",IF(OR($F94&amp;"|"&amp;$G94="",COUNTIF(ListeIzinliGecis,$F94&amp;"|"&amp;$G94)&gt;0),"","GEÇERSİZ GEÇİŞ"))</f>
        <v/>
      </c>
      <c r="U94" s="28">
        <f>IF($A94="","",IF(OR($G94="TAHSIL",$I94&gt;0),IF(OR($H94="",$I94=""),"",IF(ABS($I94-$H94)&gt;zincirTolerans,"ZİNCİR KIRIK","OK")),"OK"))</f>
        <v/>
      </c>
      <c r="V94" s="28">
        <f>IF($A94="","",1)</f>
        <v/>
      </c>
    </row>
    <row r="95">
      <c r="A95" s="26" t="n"/>
      <c r="B95" s="26" t="n"/>
      <c r="C95" s="26" t="n"/>
      <c r="D95" s="29" t="n"/>
      <c r="E95" s="29" t="n"/>
      <c r="F95" s="26" t="n"/>
      <c r="G95" s="26" t="n"/>
      <c r="H95" s="27" t="n"/>
      <c r="I95" s="27" t="n"/>
      <c r="J95" s="27" t="n"/>
      <c r="K95" s="30" t="n"/>
      <c r="L95" s="26" t="n"/>
      <c r="M95" s="26" t="n"/>
      <c r="N95" s="26" t="n"/>
      <c r="O95" s="28">
        <f>IF($A95="","",IF(OR($G95="TAHSIL",$G95="KAPALI"),0,IF($D95="","",raporTarihi-$D95)))</f>
        <v/>
      </c>
      <c r="P95" s="28">
        <f>IF($A95="","",IF($O95="","",IF($O95&lt;=trv_kovaEsik1,"0-30",IF($O95&lt;=trv_kovaEsik2,"31-60",IF($O95&lt;=trv_kovaEsik3,"61-90","90+")))))</f>
        <v/>
      </c>
      <c r="Q95" s="28">
        <f>IF(OR($A95="",$G95="TAHSIL",$G95="KAPALI"),"",IF($P95="0-30",trv_olasilikK1,IF($P95="31-60",trv_olasilikK2,IF($P95="61-90",trv_olasilikK3,trv_olasilikK4))))</f>
        <v/>
      </c>
      <c r="R95" s="28">
        <f>IF(OR($A95="",$Q95=""),"",$J95*(1-$Q95)*MAX(trv_riskTaban,$K95/100))</f>
        <v/>
      </c>
      <c r="S95" s="28">
        <f>IF($A95="","",IF($B95="","YETİM",IF(COUNTIF(tblKartlar[KartId],$B95)=0,"YETİM","")))</f>
        <v/>
      </c>
      <c r="T95" s="28">
        <f>IF(OR($A95="",$F95=""),"",IF(OR($F95&amp;"|"&amp;$G95="",COUNTIF(ListeIzinliGecis,$F95&amp;"|"&amp;$G95)&gt;0),"","GEÇERSİZ GEÇİŞ"))</f>
        <v/>
      </c>
      <c r="U95" s="28">
        <f>IF($A95="","",IF(OR($G95="TAHSIL",$I95&gt;0),IF(OR($H95="",$I95=""),"",IF(ABS($I95-$H95)&gt;zincirTolerans,"ZİNCİR KIRIK","OK")),"OK"))</f>
        <v/>
      </c>
      <c r="V95" s="28">
        <f>IF($A95="","",1)</f>
        <v/>
      </c>
    </row>
    <row r="96">
      <c r="A96" s="26" t="n"/>
      <c r="B96" s="26" t="n"/>
      <c r="C96" s="26" t="n"/>
      <c r="D96" s="29" t="n"/>
      <c r="E96" s="29" t="n"/>
      <c r="F96" s="26" t="n"/>
      <c r="G96" s="26" t="n"/>
      <c r="H96" s="27" t="n"/>
      <c r="I96" s="27" t="n"/>
      <c r="J96" s="27" t="n"/>
      <c r="K96" s="30" t="n"/>
      <c r="L96" s="26" t="n"/>
      <c r="M96" s="26" t="n"/>
      <c r="N96" s="26" t="n"/>
      <c r="O96" s="28">
        <f>IF($A96="","",IF(OR($G96="TAHSIL",$G96="KAPALI"),0,IF($D96="","",raporTarihi-$D96)))</f>
        <v/>
      </c>
      <c r="P96" s="28">
        <f>IF($A96="","",IF($O96="","",IF($O96&lt;=trv_kovaEsik1,"0-30",IF($O96&lt;=trv_kovaEsik2,"31-60",IF($O96&lt;=trv_kovaEsik3,"61-90","90+")))))</f>
        <v/>
      </c>
      <c r="Q96" s="28">
        <f>IF(OR($A96="",$G96="TAHSIL",$G96="KAPALI"),"",IF($P96="0-30",trv_olasilikK1,IF($P96="31-60",trv_olasilikK2,IF($P96="61-90",trv_olasilikK3,trv_olasilikK4))))</f>
        <v/>
      </c>
      <c r="R96" s="28">
        <f>IF(OR($A96="",$Q96=""),"",$J96*(1-$Q96)*MAX(trv_riskTaban,$K96/100))</f>
        <v/>
      </c>
      <c r="S96" s="28">
        <f>IF($A96="","",IF($B96="","YETİM",IF(COUNTIF(tblKartlar[KartId],$B96)=0,"YETİM","")))</f>
        <v/>
      </c>
      <c r="T96" s="28">
        <f>IF(OR($A96="",$F96=""),"",IF(OR($F96&amp;"|"&amp;$G96="",COUNTIF(ListeIzinliGecis,$F96&amp;"|"&amp;$G96)&gt;0),"","GEÇERSİZ GEÇİŞ"))</f>
        <v/>
      </c>
      <c r="U96" s="28">
        <f>IF($A96="","",IF(OR($G96="TAHSIL",$I96&gt;0),IF(OR($H96="",$I96=""),"",IF(ABS($I96-$H96)&gt;zincirTolerans,"ZİNCİR KIRIK","OK")),"OK"))</f>
        <v/>
      </c>
      <c r="V96" s="28">
        <f>IF($A96="","",1)</f>
        <v/>
      </c>
    </row>
    <row r="97">
      <c r="A97" s="26" t="n"/>
      <c r="B97" s="26" t="n"/>
      <c r="C97" s="26" t="n"/>
      <c r="D97" s="29" t="n"/>
      <c r="E97" s="29" t="n"/>
      <c r="F97" s="26" t="n"/>
      <c r="G97" s="26" t="n"/>
      <c r="H97" s="27" t="n"/>
      <c r="I97" s="27" t="n"/>
      <c r="J97" s="27" t="n"/>
      <c r="K97" s="30" t="n"/>
      <c r="L97" s="26" t="n"/>
      <c r="M97" s="26" t="n"/>
      <c r="N97" s="26" t="n"/>
      <c r="O97" s="28">
        <f>IF($A97="","",IF(OR($G97="TAHSIL",$G97="KAPALI"),0,IF($D97="","",raporTarihi-$D97)))</f>
        <v/>
      </c>
      <c r="P97" s="28">
        <f>IF($A97="","",IF($O97="","",IF($O97&lt;=trv_kovaEsik1,"0-30",IF($O97&lt;=trv_kovaEsik2,"31-60",IF($O97&lt;=trv_kovaEsik3,"61-90","90+")))))</f>
        <v/>
      </c>
      <c r="Q97" s="28">
        <f>IF(OR($A97="",$G97="TAHSIL",$G97="KAPALI"),"",IF($P97="0-30",trv_olasilikK1,IF($P97="31-60",trv_olasilikK2,IF($P97="61-90",trv_olasilikK3,trv_olasilikK4))))</f>
        <v/>
      </c>
      <c r="R97" s="28">
        <f>IF(OR($A97="",$Q97=""),"",$J97*(1-$Q97)*MAX(trv_riskTaban,$K97/100))</f>
        <v/>
      </c>
      <c r="S97" s="28">
        <f>IF($A97="","",IF($B97="","YETİM",IF(COUNTIF(tblKartlar[KartId],$B97)=0,"YETİM","")))</f>
        <v/>
      </c>
      <c r="T97" s="28">
        <f>IF(OR($A97="",$F97=""),"",IF(OR($F97&amp;"|"&amp;$G97="",COUNTIF(ListeIzinliGecis,$F97&amp;"|"&amp;$G97)&gt;0),"","GEÇERSİZ GEÇİŞ"))</f>
        <v/>
      </c>
      <c r="U97" s="28">
        <f>IF($A97="","",IF(OR($G97="TAHSIL",$I97&gt;0),IF(OR($H97="",$I97=""),"",IF(ABS($I97-$H97)&gt;zincirTolerans,"ZİNCİR KIRIK","OK")),"OK"))</f>
        <v/>
      </c>
      <c r="V97" s="28">
        <f>IF($A97="","",1)</f>
        <v/>
      </c>
    </row>
    <row r="98">
      <c r="A98" s="26" t="n"/>
      <c r="B98" s="26" t="n"/>
      <c r="C98" s="26" t="n"/>
      <c r="D98" s="29" t="n"/>
      <c r="E98" s="29" t="n"/>
      <c r="F98" s="26" t="n"/>
      <c r="G98" s="26" t="n"/>
      <c r="H98" s="27" t="n"/>
      <c r="I98" s="27" t="n"/>
      <c r="J98" s="27" t="n"/>
      <c r="K98" s="30" t="n"/>
      <c r="L98" s="26" t="n"/>
      <c r="M98" s="26" t="n"/>
      <c r="N98" s="26" t="n"/>
      <c r="O98" s="28">
        <f>IF($A98="","",IF(OR($G98="TAHSIL",$G98="KAPALI"),0,IF($D98="","",raporTarihi-$D98)))</f>
        <v/>
      </c>
      <c r="P98" s="28">
        <f>IF($A98="","",IF($O98="","",IF($O98&lt;=trv_kovaEsik1,"0-30",IF($O98&lt;=trv_kovaEsik2,"31-60",IF($O98&lt;=trv_kovaEsik3,"61-90","90+")))))</f>
        <v/>
      </c>
      <c r="Q98" s="28">
        <f>IF(OR($A98="",$G98="TAHSIL",$G98="KAPALI"),"",IF($P98="0-30",trv_olasilikK1,IF($P98="31-60",trv_olasilikK2,IF($P98="61-90",trv_olasilikK3,trv_olasilikK4))))</f>
        <v/>
      </c>
      <c r="R98" s="28">
        <f>IF(OR($A98="",$Q98=""),"",$J98*(1-$Q98)*MAX(trv_riskTaban,$K98/100))</f>
        <v/>
      </c>
      <c r="S98" s="28">
        <f>IF($A98="","",IF($B98="","YETİM",IF(COUNTIF(tblKartlar[KartId],$B98)=0,"YETİM","")))</f>
        <v/>
      </c>
      <c r="T98" s="28">
        <f>IF(OR($A98="",$F98=""),"",IF(OR($F98&amp;"|"&amp;$G98="",COUNTIF(ListeIzinliGecis,$F98&amp;"|"&amp;$G98)&gt;0),"","GEÇERSİZ GEÇİŞ"))</f>
        <v/>
      </c>
      <c r="U98" s="28">
        <f>IF($A98="","",IF(OR($G98="TAHSIL",$I98&gt;0),IF(OR($H98="",$I98=""),"",IF(ABS($I98-$H98)&gt;zincirTolerans,"ZİNCİR KIRIK","OK")),"OK"))</f>
        <v/>
      </c>
      <c r="V98" s="28">
        <f>IF($A98="","",1)</f>
        <v/>
      </c>
    </row>
    <row r="99">
      <c r="A99" s="26" t="n"/>
      <c r="B99" s="26" t="n"/>
      <c r="C99" s="26" t="n"/>
      <c r="D99" s="29" t="n"/>
      <c r="E99" s="29" t="n"/>
      <c r="F99" s="26" t="n"/>
      <c r="G99" s="26" t="n"/>
      <c r="H99" s="27" t="n"/>
      <c r="I99" s="27" t="n"/>
      <c r="J99" s="27" t="n"/>
      <c r="K99" s="30" t="n"/>
      <c r="L99" s="26" t="n"/>
      <c r="M99" s="26" t="n"/>
      <c r="N99" s="26" t="n"/>
      <c r="O99" s="28">
        <f>IF($A99="","",IF(OR($G99="TAHSIL",$G99="KAPALI"),0,IF($D99="","",raporTarihi-$D99)))</f>
        <v/>
      </c>
      <c r="P99" s="28">
        <f>IF($A99="","",IF($O99="","",IF($O99&lt;=trv_kovaEsik1,"0-30",IF($O99&lt;=trv_kovaEsik2,"31-60",IF($O99&lt;=trv_kovaEsik3,"61-90","90+")))))</f>
        <v/>
      </c>
      <c r="Q99" s="28">
        <f>IF(OR($A99="",$G99="TAHSIL",$G99="KAPALI"),"",IF($P99="0-30",trv_olasilikK1,IF($P99="31-60",trv_olasilikK2,IF($P99="61-90",trv_olasilikK3,trv_olasilikK4))))</f>
        <v/>
      </c>
      <c r="R99" s="28">
        <f>IF(OR($A99="",$Q99=""),"",$J99*(1-$Q99)*MAX(trv_riskTaban,$K99/100))</f>
        <v/>
      </c>
      <c r="S99" s="28">
        <f>IF($A99="","",IF($B99="","YETİM",IF(COUNTIF(tblKartlar[KartId],$B99)=0,"YETİM","")))</f>
        <v/>
      </c>
      <c r="T99" s="28">
        <f>IF(OR($A99="",$F99=""),"",IF(OR($F99&amp;"|"&amp;$G99="",COUNTIF(ListeIzinliGecis,$F99&amp;"|"&amp;$G99)&gt;0),"","GEÇERSİZ GEÇİŞ"))</f>
        <v/>
      </c>
      <c r="U99" s="28">
        <f>IF($A99="","",IF(OR($G99="TAHSIL",$I99&gt;0),IF(OR($H99="",$I99=""),"",IF(ABS($I99-$H99)&gt;zincirTolerans,"ZİNCİR KIRIK","OK")),"OK"))</f>
        <v/>
      </c>
      <c r="V99" s="28">
        <f>IF($A99="","",1)</f>
        <v/>
      </c>
    </row>
    <row r="100">
      <c r="A100" s="26" t="n"/>
      <c r="B100" s="26" t="n"/>
      <c r="C100" s="26" t="n"/>
      <c r="D100" s="29" t="n"/>
      <c r="E100" s="29" t="n"/>
      <c r="F100" s="26" t="n"/>
      <c r="G100" s="26" t="n"/>
      <c r="H100" s="27" t="n"/>
      <c r="I100" s="27" t="n"/>
      <c r="J100" s="27" t="n"/>
      <c r="K100" s="30" t="n"/>
      <c r="L100" s="26" t="n"/>
      <c r="M100" s="26" t="n"/>
      <c r="N100" s="26" t="n"/>
      <c r="O100" s="28">
        <f>IF($A100="","",IF(OR($G100="TAHSIL",$G100="KAPALI"),0,IF($D100="","",raporTarihi-$D100)))</f>
        <v/>
      </c>
      <c r="P100" s="28">
        <f>IF($A100="","",IF($O100="","",IF($O100&lt;=trv_kovaEsik1,"0-30",IF($O100&lt;=trv_kovaEsik2,"31-60",IF($O100&lt;=trv_kovaEsik3,"61-90","90+")))))</f>
        <v/>
      </c>
      <c r="Q100" s="28">
        <f>IF(OR($A100="",$G100="TAHSIL",$G100="KAPALI"),"",IF($P100="0-30",trv_olasilikK1,IF($P100="31-60",trv_olasilikK2,IF($P100="61-90",trv_olasilikK3,trv_olasilikK4))))</f>
        <v/>
      </c>
      <c r="R100" s="28">
        <f>IF(OR($A100="",$Q100=""),"",$J100*(1-$Q100)*MAX(trv_riskTaban,$K100/100))</f>
        <v/>
      </c>
      <c r="S100" s="28">
        <f>IF($A100="","",IF($B100="","YETİM",IF(COUNTIF(tblKartlar[KartId],$B100)=0,"YETİM","")))</f>
        <v/>
      </c>
      <c r="T100" s="28">
        <f>IF(OR($A100="",$F100=""),"",IF(OR($F100&amp;"|"&amp;$G100="",COUNTIF(ListeIzinliGecis,$F100&amp;"|"&amp;$G100)&gt;0),"","GEÇERSİZ GEÇİŞ"))</f>
        <v/>
      </c>
      <c r="U100" s="28">
        <f>IF($A100="","",IF(OR($G100="TAHSIL",$I100&gt;0),IF(OR($H100="",$I100=""),"",IF(ABS($I100-$H100)&gt;zincirTolerans,"ZİNCİR KIRIK","OK")),"OK"))</f>
        <v/>
      </c>
      <c r="V100" s="28">
        <f>IF($A100="","",1)</f>
        <v/>
      </c>
    </row>
    <row r="101">
      <c r="A101" s="26" t="n"/>
      <c r="B101" s="26" t="n"/>
      <c r="C101" s="26" t="n"/>
      <c r="D101" s="29" t="n"/>
      <c r="E101" s="29" t="n"/>
      <c r="F101" s="26" t="n"/>
      <c r="G101" s="26" t="n"/>
      <c r="H101" s="27" t="n"/>
      <c r="I101" s="27" t="n"/>
      <c r="J101" s="27" t="n"/>
      <c r="K101" s="30" t="n"/>
      <c r="L101" s="26" t="n"/>
      <c r="M101" s="26" t="n"/>
      <c r="N101" s="26" t="n"/>
      <c r="O101" s="28">
        <f>IF($A101="","",IF(OR($G101="TAHSIL",$G101="KAPALI"),0,IF($D101="","",raporTarihi-$D101)))</f>
        <v/>
      </c>
      <c r="P101" s="28">
        <f>IF($A101="","",IF($O101="","",IF($O101&lt;=trv_kovaEsik1,"0-30",IF($O101&lt;=trv_kovaEsik2,"31-60",IF($O101&lt;=trv_kovaEsik3,"61-90","90+")))))</f>
        <v/>
      </c>
      <c r="Q101" s="28">
        <f>IF(OR($A101="",$G101="TAHSIL",$G101="KAPALI"),"",IF($P101="0-30",trv_olasilikK1,IF($P101="31-60",trv_olasilikK2,IF($P101="61-90",trv_olasilikK3,trv_olasilikK4))))</f>
        <v/>
      </c>
      <c r="R101" s="28">
        <f>IF(OR($A101="",$Q101=""),"",$J101*(1-$Q101)*MAX(trv_riskTaban,$K101/100))</f>
        <v/>
      </c>
      <c r="S101" s="28">
        <f>IF($A101="","",IF($B101="","YETİM",IF(COUNTIF(tblKartlar[KartId],$B101)=0,"YETİM","")))</f>
        <v/>
      </c>
      <c r="T101" s="28">
        <f>IF(OR($A101="",$F101=""),"",IF(OR($F101&amp;"|"&amp;$G101="",COUNTIF(ListeIzinliGecis,$F101&amp;"|"&amp;$G101)&gt;0),"","GEÇERSİZ GEÇİŞ"))</f>
        <v/>
      </c>
      <c r="U101" s="28">
        <f>IF($A101="","",IF(OR($G101="TAHSIL",$I101&gt;0),IF(OR($H101="",$I101=""),"",IF(ABS($I101-$H101)&gt;zincirTolerans,"ZİNCİR KIRIK","OK")),"OK"))</f>
        <v/>
      </c>
      <c r="V101" s="28">
        <f>IF($A101="","",1)</f>
        <v/>
      </c>
    </row>
    <row r="102">
      <c r="A102" s="26" t="n"/>
      <c r="B102" s="26" t="n"/>
      <c r="C102" s="26" t="n"/>
      <c r="D102" s="29" t="n"/>
      <c r="E102" s="29" t="n"/>
      <c r="F102" s="26" t="n"/>
      <c r="G102" s="26" t="n"/>
      <c r="H102" s="27" t="n"/>
      <c r="I102" s="27" t="n"/>
      <c r="J102" s="27" t="n"/>
      <c r="K102" s="30" t="n"/>
      <c r="L102" s="26" t="n"/>
      <c r="M102" s="26" t="n"/>
      <c r="N102" s="26" t="n"/>
      <c r="O102" s="28">
        <f>IF($A102="","",IF(OR($G102="TAHSIL",$G102="KAPALI"),0,IF($D102="","",raporTarihi-$D102)))</f>
        <v/>
      </c>
      <c r="P102" s="28">
        <f>IF($A102="","",IF($O102="","",IF($O102&lt;=trv_kovaEsik1,"0-30",IF($O102&lt;=trv_kovaEsik2,"31-60",IF($O102&lt;=trv_kovaEsik3,"61-90","90+")))))</f>
        <v/>
      </c>
      <c r="Q102" s="28">
        <f>IF(OR($A102="",$G102="TAHSIL",$G102="KAPALI"),"",IF($P102="0-30",trv_olasilikK1,IF($P102="31-60",trv_olasilikK2,IF($P102="61-90",trv_olasilikK3,trv_olasilikK4))))</f>
        <v/>
      </c>
      <c r="R102" s="28">
        <f>IF(OR($A102="",$Q102=""),"",$J102*(1-$Q102)*MAX(trv_riskTaban,$K102/100))</f>
        <v/>
      </c>
      <c r="S102" s="28">
        <f>IF($A102="","",IF($B102="","YETİM",IF(COUNTIF(tblKartlar[KartId],$B102)=0,"YETİM","")))</f>
        <v/>
      </c>
      <c r="T102" s="28">
        <f>IF(OR($A102="",$F102=""),"",IF(OR($F102&amp;"|"&amp;$G102="",COUNTIF(ListeIzinliGecis,$F102&amp;"|"&amp;$G102)&gt;0),"","GEÇERSİZ GEÇİŞ"))</f>
        <v/>
      </c>
      <c r="U102" s="28">
        <f>IF($A102="","",IF(OR($G102="TAHSIL",$I102&gt;0),IF(OR($H102="",$I102=""),"",IF(ABS($I102-$H102)&gt;zincirTolerans,"ZİNCİR KIRIK","OK")),"OK"))</f>
        <v/>
      </c>
      <c r="V102" s="28">
        <f>IF($A102="","",1)</f>
        <v/>
      </c>
    </row>
    <row r="103">
      <c r="A103" s="26" t="n"/>
      <c r="B103" s="26" t="n"/>
      <c r="C103" s="26" t="n"/>
      <c r="D103" s="29" t="n"/>
      <c r="E103" s="29" t="n"/>
      <c r="F103" s="26" t="n"/>
      <c r="G103" s="26" t="n"/>
      <c r="H103" s="27" t="n"/>
      <c r="I103" s="27" t="n"/>
      <c r="J103" s="27" t="n"/>
      <c r="K103" s="30" t="n"/>
      <c r="L103" s="26" t="n"/>
      <c r="M103" s="26" t="n"/>
      <c r="N103" s="26" t="n"/>
      <c r="O103" s="28">
        <f>IF($A103="","",IF(OR($G103="TAHSIL",$G103="KAPALI"),0,IF($D103="","",raporTarihi-$D103)))</f>
        <v/>
      </c>
      <c r="P103" s="28">
        <f>IF($A103="","",IF($O103="","",IF($O103&lt;=trv_kovaEsik1,"0-30",IF($O103&lt;=trv_kovaEsik2,"31-60",IF($O103&lt;=trv_kovaEsik3,"61-90","90+")))))</f>
        <v/>
      </c>
      <c r="Q103" s="28">
        <f>IF(OR($A103="",$G103="TAHSIL",$G103="KAPALI"),"",IF($P103="0-30",trv_olasilikK1,IF($P103="31-60",trv_olasilikK2,IF($P103="61-90",trv_olasilikK3,trv_olasilikK4))))</f>
        <v/>
      </c>
      <c r="R103" s="28">
        <f>IF(OR($A103="",$Q103=""),"",$J103*(1-$Q103)*MAX(trv_riskTaban,$K103/100))</f>
        <v/>
      </c>
      <c r="S103" s="28">
        <f>IF($A103="","",IF($B103="","YETİM",IF(COUNTIF(tblKartlar[KartId],$B103)=0,"YETİM","")))</f>
        <v/>
      </c>
      <c r="T103" s="28">
        <f>IF(OR($A103="",$F103=""),"",IF(OR($F103&amp;"|"&amp;$G103="",COUNTIF(ListeIzinliGecis,$F103&amp;"|"&amp;$G103)&gt;0),"","GEÇERSİZ GEÇİŞ"))</f>
        <v/>
      </c>
      <c r="U103" s="28">
        <f>IF($A103="","",IF(OR($G103="TAHSIL",$I103&gt;0),IF(OR($H103="",$I103=""),"",IF(ABS($I103-$H103)&gt;zincirTolerans,"ZİNCİR KIRIK","OK")),"OK"))</f>
        <v/>
      </c>
      <c r="V103" s="28">
        <f>IF($A103="","",1)</f>
        <v/>
      </c>
    </row>
    <row r="104">
      <c r="A104" s="26" t="n"/>
      <c r="B104" s="26" t="n"/>
      <c r="C104" s="26" t="n"/>
      <c r="D104" s="29" t="n"/>
      <c r="E104" s="29" t="n"/>
      <c r="F104" s="26" t="n"/>
      <c r="G104" s="26" t="n"/>
      <c r="H104" s="27" t="n"/>
      <c r="I104" s="27" t="n"/>
      <c r="J104" s="27" t="n"/>
      <c r="K104" s="30" t="n"/>
      <c r="L104" s="26" t="n"/>
      <c r="M104" s="26" t="n"/>
      <c r="N104" s="26" t="n"/>
      <c r="O104" s="28">
        <f>IF($A104="","",IF(OR($G104="TAHSIL",$G104="KAPALI"),0,IF($D104="","",raporTarihi-$D104)))</f>
        <v/>
      </c>
      <c r="P104" s="28">
        <f>IF($A104="","",IF($O104="","",IF($O104&lt;=trv_kovaEsik1,"0-30",IF($O104&lt;=trv_kovaEsik2,"31-60",IF($O104&lt;=trv_kovaEsik3,"61-90","90+")))))</f>
        <v/>
      </c>
      <c r="Q104" s="28">
        <f>IF(OR($A104="",$G104="TAHSIL",$G104="KAPALI"),"",IF($P104="0-30",trv_olasilikK1,IF($P104="31-60",trv_olasilikK2,IF($P104="61-90",trv_olasilikK3,trv_olasilikK4))))</f>
        <v/>
      </c>
      <c r="R104" s="28">
        <f>IF(OR($A104="",$Q104=""),"",$J104*(1-$Q104)*MAX(trv_riskTaban,$K104/100))</f>
        <v/>
      </c>
      <c r="S104" s="28">
        <f>IF($A104="","",IF($B104="","YETİM",IF(COUNTIF(tblKartlar[KartId],$B104)=0,"YETİM","")))</f>
        <v/>
      </c>
      <c r="T104" s="28">
        <f>IF(OR($A104="",$F104=""),"",IF(OR($F104&amp;"|"&amp;$G104="",COUNTIF(ListeIzinliGecis,$F104&amp;"|"&amp;$G104)&gt;0),"","GEÇERSİZ GEÇİŞ"))</f>
        <v/>
      </c>
      <c r="U104" s="28">
        <f>IF($A104="","",IF(OR($G104="TAHSIL",$I104&gt;0),IF(OR($H104="",$I104=""),"",IF(ABS($I104-$H104)&gt;zincirTolerans,"ZİNCİR KIRIK","OK")),"OK"))</f>
        <v/>
      </c>
      <c r="V104" s="28">
        <f>IF($A104="","",1)</f>
        <v/>
      </c>
    </row>
    <row r="105">
      <c r="A105" s="26" t="n"/>
      <c r="B105" s="26" t="n"/>
      <c r="C105" s="26" t="n"/>
      <c r="D105" s="29" t="n"/>
      <c r="E105" s="29" t="n"/>
      <c r="F105" s="26" t="n"/>
      <c r="G105" s="26" t="n"/>
      <c r="H105" s="27" t="n"/>
      <c r="I105" s="27" t="n"/>
      <c r="J105" s="27" t="n"/>
      <c r="K105" s="30" t="n"/>
      <c r="L105" s="26" t="n"/>
      <c r="M105" s="26" t="n"/>
      <c r="N105" s="26" t="n"/>
      <c r="O105" s="28">
        <f>IF($A105="","",IF(OR($G105="TAHSIL",$G105="KAPALI"),0,IF($D105="","",raporTarihi-$D105)))</f>
        <v/>
      </c>
      <c r="P105" s="28">
        <f>IF($A105="","",IF($O105="","",IF($O105&lt;=trv_kovaEsik1,"0-30",IF($O105&lt;=trv_kovaEsik2,"31-60",IF($O105&lt;=trv_kovaEsik3,"61-90","90+")))))</f>
        <v/>
      </c>
      <c r="Q105" s="28">
        <f>IF(OR($A105="",$G105="TAHSIL",$G105="KAPALI"),"",IF($P105="0-30",trv_olasilikK1,IF($P105="31-60",trv_olasilikK2,IF($P105="61-90",trv_olasilikK3,trv_olasilikK4))))</f>
        <v/>
      </c>
      <c r="R105" s="28">
        <f>IF(OR($A105="",$Q105=""),"",$J105*(1-$Q105)*MAX(trv_riskTaban,$K105/100))</f>
        <v/>
      </c>
      <c r="S105" s="28">
        <f>IF($A105="","",IF($B105="","YETİM",IF(COUNTIF(tblKartlar[KartId],$B105)=0,"YETİM","")))</f>
        <v/>
      </c>
      <c r="T105" s="28">
        <f>IF(OR($A105="",$F105=""),"",IF(OR($F105&amp;"|"&amp;$G105="",COUNTIF(ListeIzinliGecis,$F105&amp;"|"&amp;$G105)&gt;0),"","GEÇERSİZ GEÇİŞ"))</f>
        <v/>
      </c>
      <c r="U105" s="28">
        <f>IF($A105="","",IF(OR($G105="TAHSIL",$I105&gt;0),IF(OR($H105="",$I105=""),"",IF(ABS($I105-$H105)&gt;zincirTolerans,"ZİNCİR KIRIK","OK")),"OK"))</f>
        <v/>
      </c>
      <c r="V105" s="28">
        <f>IF($A105="","",1)</f>
        <v/>
      </c>
    </row>
    <row r="106">
      <c r="A106" s="26" t="n"/>
      <c r="B106" s="26" t="n"/>
      <c r="C106" s="26" t="n"/>
      <c r="D106" s="29" t="n"/>
      <c r="E106" s="29" t="n"/>
      <c r="F106" s="26" t="n"/>
      <c r="G106" s="26" t="n"/>
      <c r="H106" s="27" t="n"/>
      <c r="I106" s="27" t="n"/>
      <c r="J106" s="27" t="n"/>
      <c r="K106" s="30" t="n"/>
      <c r="L106" s="26" t="n"/>
      <c r="M106" s="26" t="n"/>
      <c r="N106" s="26" t="n"/>
      <c r="O106" s="28">
        <f>IF($A106="","",IF(OR($G106="TAHSIL",$G106="KAPALI"),0,IF($D106="","",raporTarihi-$D106)))</f>
        <v/>
      </c>
      <c r="P106" s="28">
        <f>IF($A106="","",IF($O106="","",IF($O106&lt;=trv_kovaEsik1,"0-30",IF($O106&lt;=trv_kovaEsik2,"31-60",IF($O106&lt;=trv_kovaEsik3,"61-90","90+")))))</f>
        <v/>
      </c>
      <c r="Q106" s="28">
        <f>IF(OR($A106="",$G106="TAHSIL",$G106="KAPALI"),"",IF($P106="0-30",trv_olasilikK1,IF($P106="31-60",trv_olasilikK2,IF($P106="61-90",trv_olasilikK3,trv_olasilikK4))))</f>
        <v/>
      </c>
      <c r="R106" s="28">
        <f>IF(OR($A106="",$Q106=""),"",$J106*(1-$Q106)*MAX(trv_riskTaban,$K106/100))</f>
        <v/>
      </c>
      <c r="S106" s="28">
        <f>IF($A106="","",IF($B106="","YETİM",IF(COUNTIF(tblKartlar[KartId],$B106)=0,"YETİM","")))</f>
        <v/>
      </c>
      <c r="T106" s="28">
        <f>IF(OR($A106="",$F106=""),"",IF(OR($F106&amp;"|"&amp;$G106="",COUNTIF(ListeIzinliGecis,$F106&amp;"|"&amp;$G106)&gt;0),"","GEÇERSİZ GEÇİŞ"))</f>
        <v/>
      </c>
      <c r="U106" s="28">
        <f>IF($A106="","",IF(OR($G106="TAHSIL",$I106&gt;0),IF(OR($H106="",$I106=""),"",IF(ABS($I106-$H106)&gt;zincirTolerans,"ZİNCİR KIRIK","OK")),"OK"))</f>
        <v/>
      </c>
      <c r="V106" s="28">
        <f>IF($A106="","",1)</f>
        <v/>
      </c>
    </row>
    <row r="107">
      <c r="A107" s="26" t="n"/>
      <c r="B107" s="26" t="n"/>
      <c r="C107" s="26" t="n"/>
      <c r="D107" s="29" t="n"/>
      <c r="E107" s="29" t="n"/>
      <c r="F107" s="26" t="n"/>
      <c r="G107" s="26" t="n"/>
      <c r="H107" s="27" t="n"/>
      <c r="I107" s="27" t="n"/>
      <c r="J107" s="27" t="n"/>
      <c r="K107" s="30" t="n"/>
      <c r="L107" s="26" t="n"/>
      <c r="M107" s="26" t="n"/>
      <c r="N107" s="26" t="n"/>
      <c r="O107" s="28">
        <f>IF($A107="","",IF(OR($G107="TAHSIL",$G107="KAPALI"),0,IF($D107="","",raporTarihi-$D107)))</f>
        <v/>
      </c>
      <c r="P107" s="28">
        <f>IF($A107="","",IF($O107="","",IF($O107&lt;=trv_kovaEsik1,"0-30",IF($O107&lt;=trv_kovaEsik2,"31-60",IF($O107&lt;=trv_kovaEsik3,"61-90","90+")))))</f>
        <v/>
      </c>
      <c r="Q107" s="28">
        <f>IF(OR($A107="",$G107="TAHSIL",$G107="KAPALI"),"",IF($P107="0-30",trv_olasilikK1,IF($P107="31-60",trv_olasilikK2,IF($P107="61-90",trv_olasilikK3,trv_olasilikK4))))</f>
        <v/>
      </c>
      <c r="R107" s="28">
        <f>IF(OR($A107="",$Q107=""),"",$J107*(1-$Q107)*MAX(trv_riskTaban,$K107/100))</f>
        <v/>
      </c>
      <c r="S107" s="28">
        <f>IF($A107="","",IF($B107="","YETİM",IF(COUNTIF(tblKartlar[KartId],$B107)=0,"YETİM","")))</f>
        <v/>
      </c>
      <c r="T107" s="28">
        <f>IF(OR($A107="",$F107=""),"",IF(OR($F107&amp;"|"&amp;$G107="",COUNTIF(ListeIzinliGecis,$F107&amp;"|"&amp;$G107)&gt;0),"","GEÇERSİZ GEÇİŞ"))</f>
        <v/>
      </c>
      <c r="U107" s="28">
        <f>IF($A107="","",IF(OR($G107="TAHSIL",$I107&gt;0),IF(OR($H107="",$I107=""),"",IF(ABS($I107-$H107)&gt;zincirTolerans,"ZİNCİR KIRIK","OK")),"OK"))</f>
        <v/>
      </c>
      <c r="V107" s="28">
        <f>IF($A107="","",1)</f>
        <v/>
      </c>
    </row>
    <row r="108">
      <c r="A108" s="26" t="n"/>
      <c r="B108" s="26" t="n"/>
      <c r="C108" s="26" t="n"/>
      <c r="D108" s="29" t="n"/>
      <c r="E108" s="29" t="n"/>
      <c r="F108" s="26" t="n"/>
      <c r="G108" s="26" t="n"/>
      <c r="H108" s="27" t="n"/>
      <c r="I108" s="27" t="n"/>
      <c r="J108" s="27" t="n"/>
      <c r="K108" s="30" t="n"/>
      <c r="L108" s="26" t="n"/>
      <c r="M108" s="26" t="n"/>
      <c r="N108" s="26" t="n"/>
      <c r="O108" s="28">
        <f>IF($A108="","",IF(OR($G108="TAHSIL",$G108="KAPALI"),0,IF($D108="","",raporTarihi-$D108)))</f>
        <v/>
      </c>
      <c r="P108" s="28">
        <f>IF($A108="","",IF($O108="","",IF($O108&lt;=trv_kovaEsik1,"0-30",IF($O108&lt;=trv_kovaEsik2,"31-60",IF($O108&lt;=trv_kovaEsik3,"61-90","90+")))))</f>
        <v/>
      </c>
      <c r="Q108" s="28">
        <f>IF(OR($A108="",$G108="TAHSIL",$G108="KAPALI"),"",IF($P108="0-30",trv_olasilikK1,IF($P108="31-60",trv_olasilikK2,IF($P108="61-90",trv_olasilikK3,trv_olasilikK4))))</f>
        <v/>
      </c>
      <c r="R108" s="28">
        <f>IF(OR($A108="",$Q108=""),"",$J108*(1-$Q108)*MAX(trv_riskTaban,$K108/100))</f>
        <v/>
      </c>
      <c r="S108" s="28">
        <f>IF($A108="","",IF($B108="","YETİM",IF(COUNTIF(tblKartlar[KartId],$B108)=0,"YETİM","")))</f>
        <v/>
      </c>
      <c r="T108" s="28">
        <f>IF(OR($A108="",$F108=""),"",IF(OR($F108&amp;"|"&amp;$G108="",COUNTIF(ListeIzinliGecis,$F108&amp;"|"&amp;$G108)&gt;0),"","GEÇERSİZ GEÇİŞ"))</f>
        <v/>
      </c>
      <c r="U108" s="28">
        <f>IF($A108="","",IF(OR($G108="TAHSIL",$I108&gt;0),IF(OR($H108="",$I108=""),"",IF(ABS($I108-$H108)&gt;zincirTolerans,"ZİNCİR KIRIK","OK")),"OK"))</f>
        <v/>
      </c>
      <c r="V108" s="28">
        <f>IF($A108="","",1)</f>
        <v/>
      </c>
    </row>
    <row r="109">
      <c r="A109" s="26" t="n"/>
      <c r="B109" s="26" t="n"/>
      <c r="C109" s="26" t="n"/>
      <c r="D109" s="29" t="n"/>
      <c r="E109" s="29" t="n"/>
      <c r="F109" s="26" t="n"/>
      <c r="G109" s="26" t="n"/>
      <c r="H109" s="27" t="n"/>
      <c r="I109" s="27" t="n"/>
      <c r="J109" s="27" t="n"/>
      <c r="K109" s="30" t="n"/>
      <c r="L109" s="26" t="n"/>
      <c r="M109" s="26" t="n"/>
      <c r="N109" s="26" t="n"/>
      <c r="O109" s="28">
        <f>IF($A109="","",IF(OR($G109="TAHSIL",$G109="KAPALI"),0,IF($D109="","",raporTarihi-$D109)))</f>
        <v/>
      </c>
      <c r="P109" s="28">
        <f>IF($A109="","",IF($O109="","",IF($O109&lt;=trv_kovaEsik1,"0-30",IF($O109&lt;=trv_kovaEsik2,"31-60",IF($O109&lt;=trv_kovaEsik3,"61-90","90+")))))</f>
        <v/>
      </c>
      <c r="Q109" s="28">
        <f>IF(OR($A109="",$G109="TAHSIL",$G109="KAPALI"),"",IF($P109="0-30",trv_olasilikK1,IF($P109="31-60",trv_olasilikK2,IF($P109="61-90",trv_olasilikK3,trv_olasilikK4))))</f>
        <v/>
      </c>
      <c r="R109" s="28">
        <f>IF(OR($A109="",$Q109=""),"",$J109*(1-$Q109)*MAX(trv_riskTaban,$K109/100))</f>
        <v/>
      </c>
      <c r="S109" s="28">
        <f>IF($A109="","",IF($B109="","YETİM",IF(COUNTIF(tblKartlar[KartId],$B109)=0,"YETİM","")))</f>
        <v/>
      </c>
      <c r="T109" s="28">
        <f>IF(OR($A109="",$F109=""),"",IF(OR($F109&amp;"|"&amp;$G109="",COUNTIF(ListeIzinliGecis,$F109&amp;"|"&amp;$G109)&gt;0),"","GEÇERSİZ GEÇİŞ"))</f>
        <v/>
      </c>
      <c r="U109" s="28">
        <f>IF($A109="","",IF(OR($G109="TAHSIL",$I109&gt;0),IF(OR($H109="",$I109=""),"",IF(ABS($I109-$H109)&gt;zincirTolerans,"ZİNCİR KIRIK","OK")),"OK"))</f>
        <v/>
      </c>
      <c r="V109" s="28">
        <f>IF($A109="","",1)</f>
        <v/>
      </c>
    </row>
    <row r="110">
      <c r="A110" s="26" t="n"/>
      <c r="B110" s="26" t="n"/>
      <c r="C110" s="26" t="n"/>
      <c r="D110" s="29" t="n"/>
      <c r="E110" s="29" t="n"/>
      <c r="F110" s="26" t="n"/>
      <c r="G110" s="26" t="n"/>
      <c r="H110" s="27" t="n"/>
      <c r="I110" s="27" t="n"/>
      <c r="J110" s="27" t="n"/>
      <c r="K110" s="30" t="n"/>
      <c r="L110" s="26" t="n"/>
      <c r="M110" s="26" t="n"/>
      <c r="N110" s="26" t="n"/>
      <c r="O110" s="28">
        <f>IF($A110="","",IF(OR($G110="TAHSIL",$G110="KAPALI"),0,IF($D110="","",raporTarihi-$D110)))</f>
        <v/>
      </c>
      <c r="P110" s="28">
        <f>IF($A110="","",IF($O110="","",IF($O110&lt;=trv_kovaEsik1,"0-30",IF($O110&lt;=trv_kovaEsik2,"31-60",IF($O110&lt;=trv_kovaEsik3,"61-90","90+")))))</f>
        <v/>
      </c>
      <c r="Q110" s="28">
        <f>IF(OR($A110="",$G110="TAHSIL",$G110="KAPALI"),"",IF($P110="0-30",trv_olasilikK1,IF($P110="31-60",trv_olasilikK2,IF($P110="61-90",trv_olasilikK3,trv_olasilikK4))))</f>
        <v/>
      </c>
      <c r="R110" s="28">
        <f>IF(OR($A110="",$Q110=""),"",$J110*(1-$Q110)*MAX(trv_riskTaban,$K110/100))</f>
        <v/>
      </c>
      <c r="S110" s="28">
        <f>IF($A110="","",IF($B110="","YETİM",IF(COUNTIF(tblKartlar[KartId],$B110)=0,"YETİM","")))</f>
        <v/>
      </c>
      <c r="T110" s="28">
        <f>IF(OR($A110="",$F110=""),"",IF(OR($F110&amp;"|"&amp;$G110="",COUNTIF(ListeIzinliGecis,$F110&amp;"|"&amp;$G110)&gt;0),"","GEÇERSİZ GEÇİŞ"))</f>
        <v/>
      </c>
      <c r="U110" s="28">
        <f>IF($A110="","",IF(OR($G110="TAHSIL",$I110&gt;0),IF(OR($H110="",$I110=""),"",IF(ABS($I110-$H110)&gt;zincirTolerans,"ZİNCİR KIRIK","OK")),"OK"))</f>
        <v/>
      </c>
      <c r="V110" s="28">
        <f>IF($A110="","",1)</f>
        <v/>
      </c>
    </row>
    <row r="111">
      <c r="A111" s="26" t="n"/>
      <c r="B111" s="26" t="n"/>
      <c r="C111" s="26" t="n"/>
      <c r="D111" s="29" t="n"/>
      <c r="E111" s="29" t="n"/>
      <c r="F111" s="26" t="n"/>
      <c r="G111" s="26" t="n"/>
      <c r="H111" s="27" t="n"/>
      <c r="I111" s="27" t="n"/>
      <c r="J111" s="27" t="n"/>
      <c r="K111" s="30" t="n"/>
      <c r="L111" s="26" t="n"/>
      <c r="M111" s="26" t="n"/>
      <c r="N111" s="26" t="n"/>
      <c r="O111" s="28">
        <f>IF($A111="","",IF(OR($G111="TAHSIL",$G111="KAPALI"),0,IF($D111="","",raporTarihi-$D111)))</f>
        <v/>
      </c>
      <c r="P111" s="28">
        <f>IF($A111="","",IF($O111="","",IF($O111&lt;=trv_kovaEsik1,"0-30",IF($O111&lt;=trv_kovaEsik2,"31-60",IF($O111&lt;=trv_kovaEsik3,"61-90","90+")))))</f>
        <v/>
      </c>
      <c r="Q111" s="28">
        <f>IF(OR($A111="",$G111="TAHSIL",$G111="KAPALI"),"",IF($P111="0-30",trv_olasilikK1,IF($P111="31-60",trv_olasilikK2,IF($P111="61-90",trv_olasilikK3,trv_olasilikK4))))</f>
        <v/>
      </c>
      <c r="R111" s="28">
        <f>IF(OR($A111="",$Q111=""),"",$J111*(1-$Q111)*MAX(trv_riskTaban,$K111/100))</f>
        <v/>
      </c>
      <c r="S111" s="28">
        <f>IF($A111="","",IF($B111="","YETİM",IF(COUNTIF(tblKartlar[KartId],$B111)=0,"YETİM","")))</f>
        <v/>
      </c>
      <c r="T111" s="28">
        <f>IF(OR($A111="",$F111=""),"",IF(OR($F111&amp;"|"&amp;$G111="",COUNTIF(ListeIzinliGecis,$F111&amp;"|"&amp;$G111)&gt;0),"","GEÇERSİZ GEÇİŞ"))</f>
        <v/>
      </c>
      <c r="U111" s="28">
        <f>IF($A111="","",IF(OR($G111="TAHSIL",$I111&gt;0),IF(OR($H111="",$I111=""),"",IF(ABS($I111-$H111)&gt;zincirTolerans,"ZİNCİR KIRIK","OK")),"OK"))</f>
        <v/>
      </c>
      <c r="V111" s="28">
        <f>IF($A111="","",1)</f>
        <v/>
      </c>
    </row>
    <row r="112">
      <c r="A112" s="26" t="n"/>
      <c r="B112" s="26" t="n"/>
      <c r="C112" s="26" t="n"/>
      <c r="D112" s="29" t="n"/>
      <c r="E112" s="29" t="n"/>
      <c r="F112" s="26" t="n"/>
      <c r="G112" s="26" t="n"/>
      <c r="H112" s="27" t="n"/>
      <c r="I112" s="27" t="n"/>
      <c r="J112" s="27" t="n"/>
      <c r="K112" s="30" t="n"/>
      <c r="L112" s="26" t="n"/>
      <c r="M112" s="26" t="n"/>
      <c r="N112" s="26" t="n"/>
      <c r="O112" s="28">
        <f>IF($A112="","",IF(OR($G112="TAHSIL",$G112="KAPALI"),0,IF($D112="","",raporTarihi-$D112)))</f>
        <v/>
      </c>
      <c r="P112" s="28">
        <f>IF($A112="","",IF($O112="","",IF($O112&lt;=trv_kovaEsik1,"0-30",IF($O112&lt;=trv_kovaEsik2,"31-60",IF($O112&lt;=trv_kovaEsik3,"61-90","90+")))))</f>
        <v/>
      </c>
      <c r="Q112" s="28">
        <f>IF(OR($A112="",$G112="TAHSIL",$G112="KAPALI"),"",IF($P112="0-30",trv_olasilikK1,IF($P112="31-60",trv_olasilikK2,IF($P112="61-90",trv_olasilikK3,trv_olasilikK4))))</f>
        <v/>
      </c>
      <c r="R112" s="28">
        <f>IF(OR($A112="",$Q112=""),"",$J112*(1-$Q112)*MAX(trv_riskTaban,$K112/100))</f>
        <v/>
      </c>
      <c r="S112" s="28">
        <f>IF($A112="","",IF($B112="","YETİM",IF(COUNTIF(tblKartlar[KartId],$B112)=0,"YETİM","")))</f>
        <v/>
      </c>
      <c r="T112" s="28">
        <f>IF(OR($A112="",$F112=""),"",IF(OR($F112&amp;"|"&amp;$G112="",COUNTIF(ListeIzinliGecis,$F112&amp;"|"&amp;$G112)&gt;0),"","GEÇERSİZ GEÇİŞ"))</f>
        <v/>
      </c>
      <c r="U112" s="28">
        <f>IF($A112="","",IF(OR($G112="TAHSIL",$I112&gt;0),IF(OR($H112="",$I112=""),"",IF(ABS($I112-$H112)&gt;zincirTolerans,"ZİNCİR KIRIK","OK")),"OK"))</f>
        <v/>
      </c>
      <c r="V112" s="28">
        <f>IF($A112="","",1)</f>
        <v/>
      </c>
    </row>
    <row r="113">
      <c r="A113" s="26" t="n"/>
      <c r="B113" s="26" t="n"/>
      <c r="C113" s="26" t="n"/>
      <c r="D113" s="29" t="n"/>
      <c r="E113" s="29" t="n"/>
      <c r="F113" s="26" t="n"/>
      <c r="G113" s="26" t="n"/>
      <c r="H113" s="27" t="n"/>
      <c r="I113" s="27" t="n"/>
      <c r="J113" s="27" t="n"/>
      <c r="K113" s="30" t="n"/>
      <c r="L113" s="26" t="n"/>
      <c r="M113" s="26" t="n"/>
      <c r="N113" s="26" t="n"/>
      <c r="O113" s="28">
        <f>IF($A113="","",IF(OR($G113="TAHSIL",$G113="KAPALI"),0,IF($D113="","",raporTarihi-$D113)))</f>
        <v/>
      </c>
      <c r="P113" s="28">
        <f>IF($A113="","",IF($O113="","",IF($O113&lt;=trv_kovaEsik1,"0-30",IF($O113&lt;=trv_kovaEsik2,"31-60",IF($O113&lt;=trv_kovaEsik3,"61-90","90+")))))</f>
        <v/>
      </c>
      <c r="Q113" s="28">
        <f>IF(OR($A113="",$G113="TAHSIL",$G113="KAPALI"),"",IF($P113="0-30",trv_olasilikK1,IF($P113="31-60",trv_olasilikK2,IF($P113="61-90",trv_olasilikK3,trv_olasilikK4))))</f>
        <v/>
      </c>
      <c r="R113" s="28">
        <f>IF(OR($A113="",$Q113=""),"",$J113*(1-$Q113)*MAX(trv_riskTaban,$K113/100))</f>
        <v/>
      </c>
      <c r="S113" s="28">
        <f>IF($A113="","",IF($B113="","YETİM",IF(COUNTIF(tblKartlar[KartId],$B113)=0,"YETİM","")))</f>
        <v/>
      </c>
      <c r="T113" s="28">
        <f>IF(OR($A113="",$F113=""),"",IF(OR($F113&amp;"|"&amp;$G113="",COUNTIF(ListeIzinliGecis,$F113&amp;"|"&amp;$G113)&gt;0),"","GEÇERSİZ GEÇİŞ"))</f>
        <v/>
      </c>
      <c r="U113" s="28">
        <f>IF($A113="","",IF(OR($G113="TAHSIL",$I113&gt;0),IF(OR($H113="",$I113=""),"",IF(ABS($I113-$H113)&gt;zincirTolerans,"ZİNCİR KIRIK","OK")),"OK"))</f>
        <v/>
      </c>
      <c r="V113" s="28">
        <f>IF($A113="","",1)</f>
        <v/>
      </c>
    </row>
    <row r="114">
      <c r="A114" s="26" t="n"/>
      <c r="B114" s="26" t="n"/>
      <c r="C114" s="26" t="n"/>
      <c r="D114" s="29" t="n"/>
      <c r="E114" s="29" t="n"/>
      <c r="F114" s="26" t="n"/>
      <c r="G114" s="26" t="n"/>
      <c r="H114" s="27" t="n"/>
      <c r="I114" s="27" t="n"/>
      <c r="J114" s="27" t="n"/>
      <c r="K114" s="30" t="n"/>
      <c r="L114" s="26" t="n"/>
      <c r="M114" s="26" t="n"/>
      <c r="N114" s="26" t="n"/>
      <c r="O114" s="28">
        <f>IF($A114="","",IF(OR($G114="TAHSIL",$G114="KAPALI"),0,IF($D114="","",raporTarihi-$D114)))</f>
        <v/>
      </c>
      <c r="P114" s="28">
        <f>IF($A114="","",IF($O114="","",IF($O114&lt;=trv_kovaEsik1,"0-30",IF($O114&lt;=trv_kovaEsik2,"31-60",IF($O114&lt;=trv_kovaEsik3,"61-90","90+")))))</f>
        <v/>
      </c>
      <c r="Q114" s="28">
        <f>IF(OR($A114="",$G114="TAHSIL",$G114="KAPALI"),"",IF($P114="0-30",trv_olasilikK1,IF($P114="31-60",trv_olasilikK2,IF($P114="61-90",trv_olasilikK3,trv_olasilikK4))))</f>
        <v/>
      </c>
      <c r="R114" s="28">
        <f>IF(OR($A114="",$Q114=""),"",$J114*(1-$Q114)*MAX(trv_riskTaban,$K114/100))</f>
        <v/>
      </c>
      <c r="S114" s="28">
        <f>IF($A114="","",IF($B114="","YETİM",IF(COUNTIF(tblKartlar[KartId],$B114)=0,"YETİM","")))</f>
        <v/>
      </c>
      <c r="T114" s="28">
        <f>IF(OR($A114="",$F114=""),"",IF(OR($F114&amp;"|"&amp;$G114="",COUNTIF(ListeIzinliGecis,$F114&amp;"|"&amp;$G114)&gt;0),"","GEÇERSİZ GEÇİŞ"))</f>
        <v/>
      </c>
      <c r="U114" s="28">
        <f>IF($A114="","",IF(OR($G114="TAHSIL",$I114&gt;0),IF(OR($H114="",$I114=""),"",IF(ABS($I114-$H114)&gt;zincirTolerans,"ZİNCİR KIRIK","OK")),"OK"))</f>
        <v/>
      </c>
      <c r="V114" s="28">
        <f>IF($A114="","",1)</f>
        <v/>
      </c>
    </row>
    <row r="115">
      <c r="A115" s="26" t="n"/>
      <c r="B115" s="26" t="n"/>
      <c r="C115" s="26" t="n"/>
      <c r="D115" s="29" t="n"/>
      <c r="E115" s="29" t="n"/>
      <c r="F115" s="26" t="n"/>
      <c r="G115" s="26" t="n"/>
      <c r="H115" s="27" t="n"/>
      <c r="I115" s="27" t="n"/>
      <c r="J115" s="27" t="n"/>
      <c r="K115" s="30" t="n"/>
      <c r="L115" s="26" t="n"/>
      <c r="M115" s="26" t="n"/>
      <c r="N115" s="26" t="n"/>
      <c r="O115" s="28">
        <f>IF($A115="","",IF(OR($G115="TAHSIL",$G115="KAPALI"),0,IF($D115="","",raporTarihi-$D115)))</f>
        <v/>
      </c>
      <c r="P115" s="28">
        <f>IF($A115="","",IF($O115="","",IF($O115&lt;=trv_kovaEsik1,"0-30",IF($O115&lt;=trv_kovaEsik2,"31-60",IF($O115&lt;=trv_kovaEsik3,"61-90","90+")))))</f>
        <v/>
      </c>
      <c r="Q115" s="28">
        <f>IF(OR($A115="",$G115="TAHSIL",$G115="KAPALI"),"",IF($P115="0-30",trv_olasilikK1,IF($P115="31-60",trv_olasilikK2,IF($P115="61-90",trv_olasilikK3,trv_olasilikK4))))</f>
        <v/>
      </c>
      <c r="R115" s="28">
        <f>IF(OR($A115="",$Q115=""),"",$J115*(1-$Q115)*MAX(trv_riskTaban,$K115/100))</f>
        <v/>
      </c>
      <c r="S115" s="28">
        <f>IF($A115="","",IF($B115="","YETİM",IF(COUNTIF(tblKartlar[KartId],$B115)=0,"YETİM","")))</f>
        <v/>
      </c>
      <c r="T115" s="28">
        <f>IF(OR($A115="",$F115=""),"",IF(OR($F115&amp;"|"&amp;$G115="",COUNTIF(ListeIzinliGecis,$F115&amp;"|"&amp;$G115)&gt;0),"","GEÇERSİZ GEÇİŞ"))</f>
        <v/>
      </c>
      <c r="U115" s="28">
        <f>IF($A115="","",IF(OR($G115="TAHSIL",$I115&gt;0),IF(OR($H115="",$I115=""),"",IF(ABS($I115-$H115)&gt;zincirTolerans,"ZİNCİR KIRIK","OK")),"OK"))</f>
        <v/>
      </c>
      <c r="V115" s="28">
        <f>IF($A115="","",1)</f>
        <v/>
      </c>
    </row>
    <row r="116">
      <c r="A116" s="26" t="n"/>
      <c r="B116" s="26" t="n"/>
      <c r="C116" s="26" t="n"/>
      <c r="D116" s="29" t="n"/>
      <c r="E116" s="29" t="n"/>
      <c r="F116" s="26" t="n"/>
      <c r="G116" s="26" t="n"/>
      <c r="H116" s="27" t="n"/>
      <c r="I116" s="27" t="n"/>
      <c r="J116" s="27" t="n"/>
      <c r="K116" s="30" t="n"/>
      <c r="L116" s="26" t="n"/>
      <c r="M116" s="26" t="n"/>
      <c r="N116" s="26" t="n"/>
      <c r="O116" s="28">
        <f>IF($A116="","",IF(OR($G116="TAHSIL",$G116="KAPALI"),0,IF($D116="","",raporTarihi-$D116)))</f>
        <v/>
      </c>
      <c r="P116" s="28">
        <f>IF($A116="","",IF($O116="","",IF($O116&lt;=trv_kovaEsik1,"0-30",IF($O116&lt;=trv_kovaEsik2,"31-60",IF($O116&lt;=trv_kovaEsik3,"61-90","90+")))))</f>
        <v/>
      </c>
      <c r="Q116" s="28">
        <f>IF(OR($A116="",$G116="TAHSIL",$G116="KAPALI"),"",IF($P116="0-30",trv_olasilikK1,IF($P116="31-60",trv_olasilikK2,IF($P116="61-90",trv_olasilikK3,trv_olasilikK4))))</f>
        <v/>
      </c>
      <c r="R116" s="28">
        <f>IF(OR($A116="",$Q116=""),"",$J116*(1-$Q116)*MAX(trv_riskTaban,$K116/100))</f>
        <v/>
      </c>
      <c r="S116" s="28">
        <f>IF($A116="","",IF($B116="","YETİM",IF(COUNTIF(tblKartlar[KartId],$B116)=0,"YETİM","")))</f>
        <v/>
      </c>
      <c r="T116" s="28">
        <f>IF(OR($A116="",$F116=""),"",IF(OR($F116&amp;"|"&amp;$G116="",COUNTIF(ListeIzinliGecis,$F116&amp;"|"&amp;$G116)&gt;0),"","GEÇERSİZ GEÇİŞ"))</f>
        <v/>
      </c>
      <c r="U116" s="28">
        <f>IF($A116="","",IF(OR($G116="TAHSIL",$I116&gt;0),IF(OR($H116="",$I116=""),"",IF(ABS($I116-$H116)&gt;zincirTolerans,"ZİNCİR KIRIK","OK")),"OK"))</f>
        <v/>
      </c>
      <c r="V116" s="28">
        <f>IF($A116="","",1)</f>
        <v/>
      </c>
    </row>
    <row r="117">
      <c r="A117" s="26" t="n"/>
      <c r="B117" s="26" t="n"/>
      <c r="C117" s="26" t="n"/>
      <c r="D117" s="29" t="n"/>
      <c r="E117" s="29" t="n"/>
      <c r="F117" s="26" t="n"/>
      <c r="G117" s="26" t="n"/>
      <c r="H117" s="27" t="n"/>
      <c r="I117" s="27" t="n"/>
      <c r="J117" s="27" t="n"/>
      <c r="K117" s="30" t="n"/>
      <c r="L117" s="26" t="n"/>
      <c r="M117" s="26" t="n"/>
      <c r="N117" s="26" t="n"/>
      <c r="O117" s="28">
        <f>IF($A117="","",IF(OR($G117="TAHSIL",$G117="KAPALI"),0,IF($D117="","",raporTarihi-$D117)))</f>
        <v/>
      </c>
      <c r="P117" s="28">
        <f>IF($A117="","",IF($O117="","",IF($O117&lt;=trv_kovaEsik1,"0-30",IF($O117&lt;=trv_kovaEsik2,"31-60",IF($O117&lt;=trv_kovaEsik3,"61-90","90+")))))</f>
        <v/>
      </c>
      <c r="Q117" s="28">
        <f>IF(OR($A117="",$G117="TAHSIL",$G117="KAPALI"),"",IF($P117="0-30",trv_olasilikK1,IF($P117="31-60",trv_olasilikK2,IF($P117="61-90",trv_olasilikK3,trv_olasilikK4))))</f>
        <v/>
      </c>
      <c r="R117" s="28">
        <f>IF(OR($A117="",$Q117=""),"",$J117*(1-$Q117)*MAX(trv_riskTaban,$K117/100))</f>
        <v/>
      </c>
      <c r="S117" s="28">
        <f>IF($A117="","",IF($B117="","YETİM",IF(COUNTIF(tblKartlar[KartId],$B117)=0,"YETİM","")))</f>
        <v/>
      </c>
      <c r="T117" s="28">
        <f>IF(OR($A117="",$F117=""),"",IF(OR($F117&amp;"|"&amp;$G117="",COUNTIF(ListeIzinliGecis,$F117&amp;"|"&amp;$G117)&gt;0),"","GEÇERSİZ GEÇİŞ"))</f>
        <v/>
      </c>
      <c r="U117" s="28">
        <f>IF($A117="","",IF(OR($G117="TAHSIL",$I117&gt;0),IF(OR($H117="",$I117=""),"",IF(ABS($I117-$H117)&gt;zincirTolerans,"ZİNCİR KIRIK","OK")),"OK"))</f>
        <v/>
      </c>
      <c r="V117" s="28">
        <f>IF($A117="","",1)</f>
        <v/>
      </c>
    </row>
    <row r="118">
      <c r="A118" s="26" t="n"/>
      <c r="B118" s="26" t="n"/>
      <c r="C118" s="26" t="n"/>
      <c r="D118" s="29" t="n"/>
      <c r="E118" s="29" t="n"/>
      <c r="F118" s="26" t="n"/>
      <c r="G118" s="26" t="n"/>
      <c r="H118" s="27" t="n"/>
      <c r="I118" s="27" t="n"/>
      <c r="J118" s="27" t="n"/>
      <c r="K118" s="30" t="n"/>
      <c r="L118" s="26" t="n"/>
      <c r="M118" s="26" t="n"/>
      <c r="N118" s="26" t="n"/>
      <c r="O118" s="28">
        <f>IF($A118="","",IF(OR($G118="TAHSIL",$G118="KAPALI"),0,IF($D118="","",raporTarihi-$D118)))</f>
        <v/>
      </c>
      <c r="P118" s="28">
        <f>IF($A118="","",IF($O118="","",IF($O118&lt;=trv_kovaEsik1,"0-30",IF($O118&lt;=trv_kovaEsik2,"31-60",IF($O118&lt;=trv_kovaEsik3,"61-90","90+")))))</f>
        <v/>
      </c>
      <c r="Q118" s="28">
        <f>IF(OR($A118="",$G118="TAHSIL",$G118="KAPALI"),"",IF($P118="0-30",trv_olasilikK1,IF($P118="31-60",trv_olasilikK2,IF($P118="61-90",trv_olasilikK3,trv_olasilikK4))))</f>
        <v/>
      </c>
      <c r="R118" s="28">
        <f>IF(OR($A118="",$Q118=""),"",$J118*(1-$Q118)*MAX(trv_riskTaban,$K118/100))</f>
        <v/>
      </c>
      <c r="S118" s="28">
        <f>IF($A118="","",IF($B118="","YETİM",IF(COUNTIF(tblKartlar[KartId],$B118)=0,"YETİM","")))</f>
        <v/>
      </c>
      <c r="T118" s="28">
        <f>IF(OR($A118="",$F118=""),"",IF(OR($F118&amp;"|"&amp;$G118="",COUNTIF(ListeIzinliGecis,$F118&amp;"|"&amp;$G118)&gt;0),"","GEÇERSİZ GEÇİŞ"))</f>
        <v/>
      </c>
      <c r="U118" s="28">
        <f>IF($A118="","",IF(OR($G118="TAHSIL",$I118&gt;0),IF(OR($H118="",$I118=""),"",IF(ABS($I118-$H118)&gt;zincirTolerans,"ZİNCİR KIRIK","OK")),"OK"))</f>
        <v/>
      </c>
      <c r="V118" s="28">
        <f>IF($A118="","",1)</f>
        <v/>
      </c>
    </row>
    <row r="119">
      <c r="A119" s="26" t="n"/>
      <c r="B119" s="26" t="n"/>
      <c r="C119" s="26" t="n"/>
      <c r="D119" s="29" t="n"/>
      <c r="E119" s="29" t="n"/>
      <c r="F119" s="26" t="n"/>
      <c r="G119" s="26" t="n"/>
      <c r="H119" s="27" t="n"/>
      <c r="I119" s="27" t="n"/>
      <c r="J119" s="27" t="n"/>
      <c r="K119" s="30" t="n"/>
      <c r="L119" s="26" t="n"/>
      <c r="M119" s="26" t="n"/>
      <c r="N119" s="26" t="n"/>
      <c r="O119" s="28">
        <f>IF($A119="","",IF(OR($G119="TAHSIL",$G119="KAPALI"),0,IF($D119="","",raporTarihi-$D119)))</f>
        <v/>
      </c>
      <c r="P119" s="28">
        <f>IF($A119="","",IF($O119="","",IF($O119&lt;=trv_kovaEsik1,"0-30",IF($O119&lt;=trv_kovaEsik2,"31-60",IF($O119&lt;=trv_kovaEsik3,"61-90","90+")))))</f>
        <v/>
      </c>
      <c r="Q119" s="28">
        <f>IF(OR($A119="",$G119="TAHSIL",$G119="KAPALI"),"",IF($P119="0-30",trv_olasilikK1,IF($P119="31-60",trv_olasilikK2,IF($P119="61-90",trv_olasilikK3,trv_olasilikK4))))</f>
        <v/>
      </c>
      <c r="R119" s="28">
        <f>IF(OR($A119="",$Q119=""),"",$J119*(1-$Q119)*MAX(trv_riskTaban,$K119/100))</f>
        <v/>
      </c>
      <c r="S119" s="28">
        <f>IF($A119="","",IF($B119="","YETİM",IF(COUNTIF(tblKartlar[KartId],$B119)=0,"YETİM","")))</f>
        <v/>
      </c>
      <c r="T119" s="28">
        <f>IF(OR($A119="",$F119=""),"",IF(OR($F119&amp;"|"&amp;$G119="",COUNTIF(ListeIzinliGecis,$F119&amp;"|"&amp;$G119)&gt;0),"","GEÇERSİZ GEÇİŞ"))</f>
        <v/>
      </c>
      <c r="U119" s="28">
        <f>IF($A119="","",IF(OR($G119="TAHSIL",$I119&gt;0),IF(OR($H119="",$I119=""),"",IF(ABS($I119-$H119)&gt;zincirTolerans,"ZİNCİR KIRIK","OK")),"OK"))</f>
        <v/>
      </c>
      <c r="V119" s="28">
        <f>IF($A119="","",1)</f>
        <v/>
      </c>
    </row>
    <row r="120">
      <c r="A120" s="26" t="n"/>
      <c r="B120" s="26" t="n"/>
      <c r="C120" s="26" t="n"/>
      <c r="D120" s="29" t="n"/>
      <c r="E120" s="29" t="n"/>
      <c r="F120" s="26" t="n"/>
      <c r="G120" s="26" t="n"/>
      <c r="H120" s="27" t="n"/>
      <c r="I120" s="27" t="n"/>
      <c r="J120" s="27" t="n"/>
      <c r="K120" s="30" t="n"/>
      <c r="L120" s="26" t="n"/>
      <c r="M120" s="26" t="n"/>
      <c r="N120" s="26" t="n"/>
      <c r="O120" s="28">
        <f>IF($A120="","",IF(OR($G120="TAHSIL",$G120="KAPALI"),0,IF($D120="","",raporTarihi-$D120)))</f>
        <v/>
      </c>
      <c r="P120" s="28">
        <f>IF($A120="","",IF($O120="","",IF($O120&lt;=trv_kovaEsik1,"0-30",IF($O120&lt;=trv_kovaEsik2,"31-60",IF($O120&lt;=trv_kovaEsik3,"61-90","90+")))))</f>
        <v/>
      </c>
      <c r="Q120" s="28">
        <f>IF(OR($A120="",$G120="TAHSIL",$G120="KAPALI"),"",IF($P120="0-30",trv_olasilikK1,IF($P120="31-60",trv_olasilikK2,IF($P120="61-90",trv_olasilikK3,trv_olasilikK4))))</f>
        <v/>
      </c>
      <c r="R120" s="28">
        <f>IF(OR($A120="",$Q120=""),"",$J120*(1-$Q120)*MAX(trv_riskTaban,$K120/100))</f>
        <v/>
      </c>
      <c r="S120" s="28">
        <f>IF($A120="","",IF($B120="","YETİM",IF(COUNTIF(tblKartlar[KartId],$B120)=0,"YETİM","")))</f>
        <v/>
      </c>
      <c r="T120" s="28">
        <f>IF(OR($A120="",$F120=""),"",IF(OR($F120&amp;"|"&amp;$G120="",COUNTIF(ListeIzinliGecis,$F120&amp;"|"&amp;$G120)&gt;0),"","GEÇERSİZ GEÇİŞ"))</f>
        <v/>
      </c>
      <c r="U120" s="28">
        <f>IF($A120="","",IF(OR($G120="TAHSIL",$I120&gt;0),IF(OR($H120="",$I120=""),"",IF(ABS($I120-$H120)&gt;zincirTolerans,"ZİNCİR KIRIK","OK")),"OK"))</f>
        <v/>
      </c>
      <c r="V120" s="28">
        <f>IF($A120="","",1)</f>
        <v/>
      </c>
    </row>
    <row r="121">
      <c r="A121" s="26" t="n"/>
      <c r="B121" s="26" t="n"/>
      <c r="C121" s="26" t="n"/>
      <c r="D121" s="29" t="n"/>
      <c r="E121" s="29" t="n"/>
      <c r="F121" s="26" t="n"/>
      <c r="G121" s="26" t="n"/>
      <c r="H121" s="27" t="n"/>
      <c r="I121" s="27" t="n"/>
      <c r="J121" s="27" t="n"/>
      <c r="K121" s="30" t="n"/>
      <c r="L121" s="26" t="n"/>
      <c r="M121" s="26" t="n"/>
      <c r="N121" s="26" t="n"/>
      <c r="O121" s="28">
        <f>IF($A121="","",IF(OR($G121="TAHSIL",$G121="KAPALI"),0,IF($D121="","",raporTarihi-$D121)))</f>
        <v/>
      </c>
      <c r="P121" s="28">
        <f>IF($A121="","",IF($O121="","",IF($O121&lt;=trv_kovaEsik1,"0-30",IF($O121&lt;=trv_kovaEsik2,"31-60",IF($O121&lt;=trv_kovaEsik3,"61-90","90+")))))</f>
        <v/>
      </c>
      <c r="Q121" s="28">
        <f>IF(OR($A121="",$G121="TAHSIL",$G121="KAPALI"),"",IF($P121="0-30",trv_olasilikK1,IF($P121="31-60",trv_olasilikK2,IF($P121="61-90",trv_olasilikK3,trv_olasilikK4))))</f>
        <v/>
      </c>
      <c r="R121" s="28">
        <f>IF(OR($A121="",$Q121=""),"",$J121*(1-$Q121)*MAX(trv_riskTaban,$K121/100))</f>
        <v/>
      </c>
      <c r="S121" s="28">
        <f>IF($A121="","",IF($B121="","YETİM",IF(COUNTIF(tblKartlar[KartId],$B121)=0,"YETİM","")))</f>
        <v/>
      </c>
      <c r="T121" s="28">
        <f>IF(OR($A121="",$F121=""),"",IF(OR($F121&amp;"|"&amp;$G121="",COUNTIF(ListeIzinliGecis,$F121&amp;"|"&amp;$G121)&gt;0),"","GEÇERSİZ GEÇİŞ"))</f>
        <v/>
      </c>
      <c r="U121" s="28">
        <f>IF($A121="","",IF(OR($G121="TAHSIL",$I121&gt;0),IF(OR($H121="",$I121=""),"",IF(ABS($I121-$H121)&gt;zincirTolerans,"ZİNCİR KIRIK","OK")),"OK"))</f>
        <v/>
      </c>
      <c r="V121" s="28">
        <f>IF($A121="","",1)</f>
        <v/>
      </c>
    </row>
    <row r="122">
      <c r="A122" s="26" t="n"/>
      <c r="B122" s="26" t="n"/>
      <c r="C122" s="26" t="n"/>
      <c r="D122" s="29" t="n"/>
      <c r="E122" s="29" t="n"/>
      <c r="F122" s="26" t="n"/>
      <c r="G122" s="26" t="n"/>
      <c r="H122" s="27" t="n"/>
      <c r="I122" s="27" t="n"/>
      <c r="J122" s="27" t="n"/>
      <c r="K122" s="30" t="n"/>
      <c r="L122" s="26" t="n"/>
      <c r="M122" s="26" t="n"/>
      <c r="N122" s="26" t="n"/>
      <c r="O122" s="28">
        <f>IF($A122="","",IF(OR($G122="TAHSIL",$G122="KAPALI"),0,IF($D122="","",raporTarihi-$D122)))</f>
        <v/>
      </c>
      <c r="P122" s="28">
        <f>IF($A122="","",IF($O122="","",IF($O122&lt;=trv_kovaEsik1,"0-30",IF($O122&lt;=trv_kovaEsik2,"31-60",IF($O122&lt;=trv_kovaEsik3,"61-90","90+")))))</f>
        <v/>
      </c>
      <c r="Q122" s="28">
        <f>IF(OR($A122="",$G122="TAHSIL",$G122="KAPALI"),"",IF($P122="0-30",trv_olasilikK1,IF($P122="31-60",trv_olasilikK2,IF($P122="61-90",trv_olasilikK3,trv_olasilikK4))))</f>
        <v/>
      </c>
      <c r="R122" s="28">
        <f>IF(OR($A122="",$Q122=""),"",$J122*(1-$Q122)*MAX(trv_riskTaban,$K122/100))</f>
        <v/>
      </c>
      <c r="S122" s="28">
        <f>IF($A122="","",IF($B122="","YETİM",IF(COUNTIF(tblKartlar[KartId],$B122)=0,"YETİM","")))</f>
        <v/>
      </c>
      <c r="T122" s="28">
        <f>IF(OR($A122="",$F122=""),"",IF(OR($F122&amp;"|"&amp;$G122="",COUNTIF(ListeIzinliGecis,$F122&amp;"|"&amp;$G122)&gt;0),"","GEÇERSİZ GEÇİŞ"))</f>
        <v/>
      </c>
      <c r="U122" s="28">
        <f>IF($A122="","",IF(OR($G122="TAHSIL",$I122&gt;0),IF(OR($H122="",$I122=""),"",IF(ABS($I122-$H122)&gt;zincirTolerans,"ZİNCİR KIRIK","OK")),"OK"))</f>
        <v/>
      </c>
      <c r="V122" s="28">
        <f>IF($A122="","",1)</f>
        <v/>
      </c>
    </row>
    <row r="123">
      <c r="A123" s="26" t="n"/>
      <c r="B123" s="26" t="n"/>
      <c r="C123" s="26" t="n"/>
      <c r="D123" s="29" t="n"/>
      <c r="E123" s="29" t="n"/>
      <c r="F123" s="26" t="n"/>
      <c r="G123" s="26" t="n"/>
      <c r="H123" s="27" t="n"/>
      <c r="I123" s="27" t="n"/>
      <c r="J123" s="27" t="n"/>
      <c r="K123" s="30" t="n"/>
      <c r="L123" s="26" t="n"/>
      <c r="M123" s="26" t="n"/>
      <c r="N123" s="26" t="n"/>
      <c r="O123" s="28">
        <f>IF($A123="","",IF(OR($G123="TAHSIL",$G123="KAPALI"),0,IF($D123="","",raporTarihi-$D123)))</f>
        <v/>
      </c>
      <c r="P123" s="28">
        <f>IF($A123="","",IF($O123="","",IF($O123&lt;=trv_kovaEsik1,"0-30",IF($O123&lt;=trv_kovaEsik2,"31-60",IF($O123&lt;=trv_kovaEsik3,"61-90","90+")))))</f>
        <v/>
      </c>
      <c r="Q123" s="28">
        <f>IF(OR($A123="",$G123="TAHSIL",$G123="KAPALI"),"",IF($P123="0-30",trv_olasilikK1,IF($P123="31-60",trv_olasilikK2,IF($P123="61-90",trv_olasilikK3,trv_olasilikK4))))</f>
        <v/>
      </c>
      <c r="R123" s="28">
        <f>IF(OR($A123="",$Q123=""),"",$J123*(1-$Q123)*MAX(trv_riskTaban,$K123/100))</f>
        <v/>
      </c>
      <c r="S123" s="28">
        <f>IF($A123="","",IF($B123="","YETİM",IF(COUNTIF(tblKartlar[KartId],$B123)=0,"YETİM","")))</f>
        <v/>
      </c>
      <c r="T123" s="28">
        <f>IF(OR($A123="",$F123=""),"",IF(OR($F123&amp;"|"&amp;$G123="",COUNTIF(ListeIzinliGecis,$F123&amp;"|"&amp;$G123)&gt;0),"","GEÇERSİZ GEÇİŞ"))</f>
        <v/>
      </c>
      <c r="U123" s="28">
        <f>IF($A123="","",IF(OR($G123="TAHSIL",$I123&gt;0),IF(OR($H123="",$I123=""),"",IF(ABS($I123-$H123)&gt;zincirTolerans,"ZİNCİR KIRIK","OK")),"OK"))</f>
        <v/>
      </c>
      <c r="V123" s="28">
        <f>IF($A123="","",1)</f>
        <v/>
      </c>
    </row>
    <row r="124">
      <c r="A124" s="26" t="n"/>
      <c r="B124" s="26" t="n"/>
      <c r="C124" s="26" t="n"/>
      <c r="D124" s="29" t="n"/>
      <c r="E124" s="29" t="n"/>
      <c r="F124" s="26" t="n"/>
      <c r="G124" s="26" t="n"/>
      <c r="H124" s="27" t="n"/>
      <c r="I124" s="27" t="n"/>
      <c r="J124" s="27" t="n"/>
      <c r="K124" s="30" t="n"/>
      <c r="L124" s="26" t="n"/>
      <c r="M124" s="26" t="n"/>
      <c r="N124" s="26" t="n"/>
      <c r="O124" s="28">
        <f>IF($A124="","",IF(OR($G124="TAHSIL",$G124="KAPALI"),0,IF($D124="","",raporTarihi-$D124)))</f>
        <v/>
      </c>
      <c r="P124" s="28">
        <f>IF($A124="","",IF($O124="","",IF($O124&lt;=trv_kovaEsik1,"0-30",IF($O124&lt;=trv_kovaEsik2,"31-60",IF($O124&lt;=trv_kovaEsik3,"61-90","90+")))))</f>
        <v/>
      </c>
      <c r="Q124" s="28">
        <f>IF(OR($A124="",$G124="TAHSIL",$G124="KAPALI"),"",IF($P124="0-30",trv_olasilikK1,IF($P124="31-60",trv_olasilikK2,IF($P124="61-90",trv_olasilikK3,trv_olasilikK4))))</f>
        <v/>
      </c>
      <c r="R124" s="28">
        <f>IF(OR($A124="",$Q124=""),"",$J124*(1-$Q124)*MAX(trv_riskTaban,$K124/100))</f>
        <v/>
      </c>
      <c r="S124" s="28">
        <f>IF($A124="","",IF($B124="","YETİM",IF(COUNTIF(tblKartlar[KartId],$B124)=0,"YETİM","")))</f>
        <v/>
      </c>
      <c r="T124" s="28">
        <f>IF(OR($A124="",$F124=""),"",IF(OR($F124&amp;"|"&amp;$G124="",COUNTIF(ListeIzinliGecis,$F124&amp;"|"&amp;$G124)&gt;0),"","GEÇERSİZ GEÇİŞ"))</f>
        <v/>
      </c>
      <c r="U124" s="28">
        <f>IF($A124="","",IF(OR($G124="TAHSIL",$I124&gt;0),IF(OR($H124="",$I124=""),"",IF(ABS($I124-$H124)&gt;zincirTolerans,"ZİNCİR KIRIK","OK")),"OK"))</f>
        <v/>
      </c>
      <c r="V124" s="28">
        <f>IF($A124="","",1)</f>
        <v/>
      </c>
    </row>
    <row r="125">
      <c r="A125" s="26" t="n"/>
      <c r="B125" s="26" t="n"/>
      <c r="C125" s="26" t="n"/>
      <c r="D125" s="29" t="n"/>
      <c r="E125" s="29" t="n"/>
      <c r="F125" s="26" t="n"/>
      <c r="G125" s="26" t="n"/>
      <c r="H125" s="27" t="n"/>
      <c r="I125" s="27" t="n"/>
      <c r="J125" s="27" t="n"/>
      <c r="K125" s="30" t="n"/>
      <c r="L125" s="26" t="n"/>
      <c r="M125" s="26" t="n"/>
      <c r="N125" s="26" t="n"/>
      <c r="O125" s="28">
        <f>IF($A125="","",IF(OR($G125="TAHSIL",$G125="KAPALI"),0,IF($D125="","",raporTarihi-$D125)))</f>
        <v/>
      </c>
      <c r="P125" s="28">
        <f>IF($A125="","",IF($O125="","",IF($O125&lt;=trv_kovaEsik1,"0-30",IF($O125&lt;=trv_kovaEsik2,"31-60",IF($O125&lt;=trv_kovaEsik3,"61-90","90+")))))</f>
        <v/>
      </c>
      <c r="Q125" s="28">
        <f>IF(OR($A125="",$G125="TAHSIL",$G125="KAPALI"),"",IF($P125="0-30",trv_olasilikK1,IF($P125="31-60",trv_olasilikK2,IF($P125="61-90",trv_olasilikK3,trv_olasilikK4))))</f>
        <v/>
      </c>
      <c r="R125" s="28">
        <f>IF(OR($A125="",$Q125=""),"",$J125*(1-$Q125)*MAX(trv_riskTaban,$K125/100))</f>
        <v/>
      </c>
      <c r="S125" s="28">
        <f>IF($A125="","",IF($B125="","YETİM",IF(COUNTIF(tblKartlar[KartId],$B125)=0,"YETİM","")))</f>
        <v/>
      </c>
      <c r="T125" s="28">
        <f>IF(OR($A125="",$F125=""),"",IF(OR($F125&amp;"|"&amp;$G125="",COUNTIF(ListeIzinliGecis,$F125&amp;"|"&amp;$G125)&gt;0),"","GEÇERSİZ GEÇİŞ"))</f>
        <v/>
      </c>
      <c r="U125" s="28">
        <f>IF($A125="","",IF(OR($G125="TAHSIL",$I125&gt;0),IF(OR($H125="",$I125=""),"",IF(ABS($I125-$H125)&gt;zincirTolerans,"ZİNCİR KIRIK","OK")),"OK"))</f>
        <v/>
      </c>
      <c r="V125" s="28">
        <f>IF($A125="","",1)</f>
        <v/>
      </c>
    </row>
    <row r="126">
      <c r="A126" s="26" t="n"/>
      <c r="B126" s="26" t="n"/>
      <c r="C126" s="26" t="n"/>
      <c r="D126" s="29" t="n"/>
      <c r="E126" s="29" t="n"/>
      <c r="F126" s="26" t="n"/>
      <c r="G126" s="26" t="n"/>
      <c r="H126" s="27" t="n"/>
      <c r="I126" s="27" t="n"/>
      <c r="J126" s="27" t="n"/>
      <c r="K126" s="30" t="n"/>
      <c r="L126" s="26" t="n"/>
      <c r="M126" s="26" t="n"/>
      <c r="N126" s="26" t="n"/>
      <c r="O126" s="28">
        <f>IF($A126="","",IF(OR($G126="TAHSIL",$G126="KAPALI"),0,IF($D126="","",raporTarihi-$D126)))</f>
        <v/>
      </c>
      <c r="P126" s="28">
        <f>IF($A126="","",IF($O126="","",IF($O126&lt;=trv_kovaEsik1,"0-30",IF($O126&lt;=trv_kovaEsik2,"31-60",IF($O126&lt;=trv_kovaEsik3,"61-90","90+")))))</f>
        <v/>
      </c>
      <c r="Q126" s="28">
        <f>IF(OR($A126="",$G126="TAHSIL",$G126="KAPALI"),"",IF($P126="0-30",trv_olasilikK1,IF($P126="31-60",trv_olasilikK2,IF($P126="61-90",trv_olasilikK3,trv_olasilikK4))))</f>
        <v/>
      </c>
      <c r="R126" s="28">
        <f>IF(OR($A126="",$Q126=""),"",$J126*(1-$Q126)*MAX(trv_riskTaban,$K126/100))</f>
        <v/>
      </c>
      <c r="S126" s="28">
        <f>IF($A126="","",IF($B126="","YETİM",IF(COUNTIF(tblKartlar[KartId],$B126)=0,"YETİM","")))</f>
        <v/>
      </c>
      <c r="T126" s="28">
        <f>IF(OR($A126="",$F126=""),"",IF(OR($F126&amp;"|"&amp;$G126="",COUNTIF(ListeIzinliGecis,$F126&amp;"|"&amp;$G126)&gt;0),"","GEÇERSİZ GEÇİŞ"))</f>
        <v/>
      </c>
      <c r="U126" s="28">
        <f>IF($A126="","",IF(OR($G126="TAHSIL",$I126&gt;0),IF(OR($H126="",$I126=""),"",IF(ABS($I126-$H126)&gt;zincirTolerans,"ZİNCİR KIRIK","OK")),"OK"))</f>
        <v/>
      </c>
      <c r="V126" s="28">
        <f>IF($A126="","",1)</f>
        <v/>
      </c>
    </row>
    <row r="127">
      <c r="A127" s="26" t="n"/>
      <c r="B127" s="26" t="n"/>
      <c r="C127" s="26" t="n"/>
      <c r="D127" s="29" t="n"/>
      <c r="E127" s="29" t="n"/>
      <c r="F127" s="26" t="n"/>
      <c r="G127" s="26" t="n"/>
      <c r="H127" s="27" t="n"/>
      <c r="I127" s="27" t="n"/>
      <c r="J127" s="27" t="n"/>
      <c r="K127" s="30" t="n"/>
      <c r="L127" s="26" t="n"/>
      <c r="M127" s="26" t="n"/>
      <c r="N127" s="26" t="n"/>
      <c r="O127" s="28">
        <f>IF($A127="","",IF(OR($G127="TAHSIL",$G127="KAPALI"),0,IF($D127="","",raporTarihi-$D127)))</f>
        <v/>
      </c>
      <c r="P127" s="28">
        <f>IF($A127="","",IF($O127="","",IF($O127&lt;=trv_kovaEsik1,"0-30",IF($O127&lt;=trv_kovaEsik2,"31-60",IF($O127&lt;=trv_kovaEsik3,"61-90","90+")))))</f>
        <v/>
      </c>
      <c r="Q127" s="28">
        <f>IF(OR($A127="",$G127="TAHSIL",$G127="KAPALI"),"",IF($P127="0-30",trv_olasilikK1,IF($P127="31-60",trv_olasilikK2,IF($P127="61-90",trv_olasilikK3,trv_olasilikK4))))</f>
        <v/>
      </c>
      <c r="R127" s="28">
        <f>IF(OR($A127="",$Q127=""),"",$J127*(1-$Q127)*MAX(trv_riskTaban,$K127/100))</f>
        <v/>
      </c>
      <c r="S127" s="28">
        <f>IF($A127="","",IF($B127="","YETİM",IF(COUNTIF(tblKartlar[KartId],$B127)=0,"YETİM","")))</f>
        <v/>
      </c>
      <c r="T127" s="28">
        <f>IF(OR($A127="",$F127=""),"",IF(OR($F127&amp;"|"&amp;$G127="",COUNTIF(ListeIzinliGecis,$F127&amp;"|"&amp;$G127)&gt;0),"","GEÇERSİZ GEÇİŞ"))</f>
        <v/>
      </c>
      <c r="U127" s="28">
        <f>IF($A127="","",IF(OR($G127="TAHSIL",$I127&gt;0),IF(OR($H127="",$I127=""),"",IF(ABS($I127-$H127)&gt;zincirTolerans,"ZİNCİR KIRIK","OK")),"OK"))</f>
        <v/>
      </c>
      <c r="V127" s="28">
        <f>IF($A127="","",1)</f>
        <v/>
      </c>
    </row>
    <row r="128">
      <c r="A128" s="26" t="n"/>
      <c r="B128" s="26" t="n"/>
      <c r="C128" s="26" t="n"/>
      <c r="D128" s="29" t="n"/>
      <c r="E128" s="29" t="n"/>
      <c r="F128" s="26" t="n"/>
      <c r="G128" s="26" t="n"/>
      <c r="H128" s="27" t="n"/>
      <c r="I128" s="27" t="n"/>
      <c r="J128" s="27" t="n"/>
      <c r="K128" s="30" t="n"/>
      <c r="L128" s="26" t="n"/>
      <c r="M128" s="26" t="n"/>
      <c r="N128" s="26" t="n"/>
      <c r="O128" s="28">
        <f>IF($A128="","",IF(OR($G128="TAHSIL",$G128="KAPALI"),0,IF($D128="","",raporTarihi-$D128)))</f>
        <v/>
      </c>
      <c r="P128" s="28">
        <f>IF($A128="","",IF($O128="","",IF($O128&lt;=trv_kovaEsik1,"0-30",IF($O128&lt;=trv_kovaEsik2,"31-60",IF($O128&lt;=trv_kovaEsik3,"61-90","90+")))))</f>
        <v/>
      </c>
      <c r="Q128" s="28">
        <f>IF(OR($A128="",$G128="TAHSIL",$G128="KAPALI"),"",IF($P128="0-30",trv_olasilikK1,IF($P128="31-60",trv_olasilikK2,IF($P128="61-90",trv_olasilikK3,trv_olasilikK4))))</f>
        <v/>
      </c>
      <c r="R128" s="28">
        <f>IF(OR($A128="",$Q128=""),"",$J128*(1-$Q128)*MAX(trv_riskTaban,$K128/100))</f>
        <v/>
      </c>
      <c r="S128" s="28">
        <f>IF($A128="","",IF($B128="","YETİM",IF(COUNTIF(tblKartlar[KartId],$B128)=0,"YETİM","")))</f>
        <v/>
      </c>
      <c r="T128" s="28">
        <f>IF(OR($A128="",$F128=""),"",IF(OR($F128&amp;"|"&amp;$G128="",COUNTIF(ListeIzinliGecis,$F128&amp;"|"&amp;$G128)&gt;0),"","GEÇERSİZ GEÇİŞ"))</f>
        <v/>
      </c>
      <c r="U128" s="28">
        <f>IF($A128="","",IF(OR($G128="TAHSIL",$I128&gt;0),IF(OR($H128="",$I128=""),"",IF(ABS($I128-$H128)&gt;zincirTolerans,"ZİNCİR KIRIK","OK")),"OK"))</f>
        <v/>
      </c>
      <c r="V128" s="28">
        <f>IF($A128="","",1)</f>
        <v/>
      </c>
    </row>
    <row r="129">
      <c r="A129" s="26" t="n"/>
      <c r="B129" s="26" t="n"/>
      <c r="C129" s="26" t="n"/>
      <c r="D129" s="29" t="n"/>
      <c r="E129" s="29" t="n"/>
      <c r="F129" s="26" t="n"/>
      <c r="G129" s="26" t="n"/>
      <c r="H129" s="27" t="n"/>
      <c r="I129" s="27" t="n"/>
      <c r="J129" s="27" t="n"/>
      <c r="K129" s="30" t="n"/>
      <c r="L129" s="26" t="n"/>
      <c r="M129" s="26" t="n"/>
      <c r="N129" s="26" t="n"/>
      <c r="O129" s="28">
        <f>IF($A129="","",IF(OR($G129="TAHSIL",$G129="KAPALI"),0,IF($D129="","",raporTarihi-$D129)))</f>
        <v/>
      </c>
      <c r="P129" s="28">
        <f>IF($A129="","",IF($O129="","",IF($O129&lt;=trv_kovaEsik1,"0-30",IF($O129&lt;=trv_kovaEsik2,"31-60",IF($O129&lt;=trv_kovaEsik3,"61-90","90+")))))</f>
        <v/>
      </c>
      <c r="Q129" s="28">
        <f>IF(OR($A129="",$G129="TAHSIL",$G129="KAPALI"),"",IF($P129="0-30",trv_olasilikK1,IF($P129="31-60",trv_olasilikK2,IF($P129="61-90",trv_olasilikK3,trv_olasilikK4))))</f>
        <v/>
      </c>
      <c r="R129" s="28">
        <f>IF(OR($A129="",$Q129=""),"",$J129*(1-$Q129)*MAX(trv_riskTaban,$K129/100))</f>
        <v/>
      </c>
      <c r="S129" s="28">
        <f>IF($A129="","",IF($B129="","YETİM",IF(COUNTIF(tblKartlar[KartId],$B129)=0,"YETİM","")))</f>
        <v/>
      </c>
      <c r="T129" s="28">
        <f>IF(OR($A129="",$F129=""),"",IF(OR($F129&amp;"|"&amp;$G129="",COUNTIF(ListeIzinliGecis,$F129&amp;"|"&amp;$G129)&gt;0),"","GEÇERSİZ GEÇİŞ"))</f>
        <v/>
      </c>
      <c r="U129" s="28">
        <f>IF($A129="","",IF(OR($G129="TAHSIL",$I129&gt;0),IF(OR($H129="",$I129=""),"",IF(ABS($I129-$H129)&gt;zincirTolerans,"ZİNCİR KIRIK","OK")),"OK"))</f>
        <v/>
      </c>
      <c r="V129" s="28">
        <f>IF($A129="","",1)</f>
        <v/>
      </c>
    </row>
    <row r="130">
      <c r="A130" s="26" t="n"/>
      <c r="B130" s="26" t="n"/>
      <c r="C130" s="26" t="n"/>
      <c r="D130" s="29" t="n"/>
      <c r="E130" s="29" t="n"/>
      <c r="F130" s="26" t="n"/>
      <c r="G130" s="26" t="n"/>
      <c r="H130" s="27" t="n"/>
      <c r="I130" s="27" t="n"/>
      <c r="J130" s="27" t="n"/>
      <c r="K130" s="30" t="n"/>
      <c r="L130" s="26" t="n"/>
      <c r="M130" s="26" t="n"/>
      <c r="N130" s="26" t="n"/>
      <c r="O130" s="28">
        <f>IF($A130="","",IF(OR($G130="TAHSIL",$G130="KAPALI"),0,IF($D130="","",raporTarihi-$D130)))</f>
        <v/>
      </c>
      <c r="P130" s="28">
        <f>IF($A130="","",IF($O130="","",IF($O130&lt;=trv_kovaEsik1,"0-30",IF($O130&lt;=trv_kovaEsik2,"31-60",IF($O130&lt;=trv_kovaEsik3,"61-90","90+")))))</f>
        <v/>
      </c>
      <c r="Q130" s="28">
        <f>IF(OR($A130="",$G130="TAHSIL",$G130="KAPALI"),"",IF($P130="0-30",trv_olasilikK1,IF($P130="31-60",trv_olasilikK2,IF($P130="61-90",trv_olasilikK3,trv_olasilikK4))))</f>
        <v/>
      </c>
      <c r="R130" s="28">
        <f>IF(OR($A130="",$Q130=""),"",$J130*(1-$Q130)*MAX(trv_riskTaban,$K130/100))</f>
        <v/>
      </c>
      <c r="S130" s="28">
        <f>IF($A130="","",IF($B130="","YETİM",IF(COUNTIF(tblKartlar[KartId],$B130)=0,"YETİM","")))</f>
        <v/>
      </c>
      <c r="T130" s="28">
        <f>IF(OR($A130="",$F130=""),"",IF(OR($F130&amp;"|"&amp;$G130="",COUNTIF(ListeIzinliGecis,$F130&amp;"|"&amp;$G130)&gt;0),"","GEÇERSİZ GEÇİŞ"))</f>
        <v/>
      </c>
      <c r="U130" s="28">
        <f>IF($A130="","",IF(OR($G130="TAHSIL",$I130&gt;0),IF(OR($H130="",$I130=""),"",IF(ABS($I130-$H130)&gt;zincirTolerans,"ZİNCİR KIRIK","OK")),"OK"))</f>
        <v/>
      </c>
      <c r="V130" s="28">
        <f>IF($A130="","",1)</f>
        <v/>
      </c>
    </row>
    <row r="131">
      <c r="A131" s="26" t="n"/>
      <c r="B131" s="26" t="n"/>
      <c r="C131" s="26" t="n"/>
      <c r="D131" s="29" t="n"/>
      <c r="E131" s="29" t="n"/>
      <c r="F131" s="26" t="n"/>
      <c r="G131" s="26" t="n"/>
      <c r="H131" s="27" t="n"/>
      <c r="I131" s="27" t="n"/>
      <c r="J131" s="27" t="n"/>
      <c r="K131" s="30" t="n"/>
      <c r="L131" s="26" t="n"/>
      <c r="M131" s="26" t="n"/>
      <c r="N131" s="26" t="n"/>
      <c r="O131" s="28">
        <f>IF($A131="","",IF(OR($G131="TAHSIL",$G131="KAPALI"),0,IF($D131="","",raporTarihi-$D131)))</f>
        <v/>
      </c>
      <c r="P131" s="28">
        <f>IF($A131="","",IF($O131="","",IF($O131&lt;=trv_kovaEsik1,"0-30",IF($O131&lt;=trv_kovaEsik2,"31-60",IF($O131&lt;=trv_kovaEsik3,"61-90","90+")))))</f>
        <v/>
      </c>
      <c r="Q131" s="28">
        <f>IF(OR($A131="",$G131="TAHSIL",$G131="KAPALI"),"",IF($P131="0-30",trv_olasilikK1,IF($P131="31-60",trv_olasilikK2,IF($P131="61-90",trv_olasilikK3,trv_olasilikK4))))</f>
        <v/>
      </c>
      <c r="R131" s="28">
        <f>IF(OR($A131="",$Q131=""),"",$J131*(1-$Q131)*MAX(trv_riskTaban,$K131/100))</f>
        <v/>
      </c>
      <c r="S131" s="28">
        <f>IF($A131="","",IF($B131="","YETİM",IF(COUNTIF(tblKartlar[KartId],$B131)=0,"YETİM","")))</f>
        <v/>
      </c>
      <c r="T131" s="28">
        <f>IF(OR($A131="",$F131=""),"",IF(OR($F131&amp;"|"&amp;$G131="",COUNTIF(ListeIzinliGecis,$F131&amp;"|"&amp;$G131)&gt;0),"","GEÇERSİZ GEÇİŞ"))</f>
        <v/>
      </c>
      <c r="U131" s="28">
        <f>IF($A131="","",IF(OR($G131="TAHSIL",$I131&gt;0),IF(OR($H131="",$I131=""),"",IF(ABS($I131-$H131)&gt;zincirTolerans,"ZİNCİR KIRIK","OK")),"OK"))</f>
        <v/>
      </c>
      <c r="V131" s="28">
        <f>IF($A131="","",1)</f>
        <v/>
      </c>
    </row>
    <row r="132">
      <c r="A132" s="26" t="n"/>
      <c r="B132" s="26" t="n"/>
      <c r="C132" s="26" t="n"/>
      <c r="D132" s="29" t="n"/>
      <c r="E132" s="29" t="n"/>
      <c r="F132" s="26" t="n"/>
      <c r="G132" s="26" t="n"/>
      <c r="H132" s="27" t="n"/>
      <c r="I132" s="27" t="n"/>
      <c r="J132" s="27" t="n"/>
      <c r="K132" s="30" t="n"/>
      <c r="L132" s="26" t="n"/>
      <c r="M132" s="26" t="n"/>
      <c r="N132" s="26" t="n"/>
      <c r="O132" s="28">
        <f>IF($A132="","",IF(OR($G132="TAHSIL",$G132="KAPALI"),0,IF($D132="","",raporTarihi-$D132)))</f>
        <v/>
      </c>
      <c r="P132" s="28">
        <f>IF($A132="","",IF($O132="","",IF($O132&lt;=trv_kovaEsik1,"0-30",IF($O132&lt;=trv_kovaEsik2,"31-60",IF($O132&lt;=trv_kovaEsik3,"61-90","90+")))))</f>
        <v/>
      </c>
      <c r="Q132" s="28">
        <f>IF(OR($A132="",$G132="TAHSIL",$G132="KAPALI"),"",IF($P132="0-30",trv_olasilikK1,IF($P132="31-60",trv_olasilikK2,IF($P132="61-90",trv_olasilikK3,trv_olasilikK4))))</f>
        <v/>
      </c>
      <c r="R132" s="28">
        <f>IF(OR($A132="",$Q132=""),"",$J132*(1-$Q132)*MAX(trv_riskTaban,$K132/100))</f>
        <v/>
      </c>
      <c r="S132" s="28">
        <f>IF($A132="","",IF($B132="","YETİM",IF(COUNTIF(tblKartlar[KartId],$B132)=0,"YETİM","")))</f>
        <v/>
      </c>
      <c r="T132" s="28">
        <f>IF(OR($A132="",$F132=""),"",IF(OR($F132&amp;"|"&amp;$G132="",COUNTIF(ListeIzinliGecis,$F132&amp;"|"&amp;$G132)&gt;0),"","GEÇERSİZ GEÇİŞ"))</f>
        <v/>
      </c>
      <c r="U132" s="28">
        <f>IF($A132="","",IF(OR($G132="TAHSIL",$I132&gt;0),IF(OR($H132="",$I132=""),"",IF(ABS($I132-$H132)&gt;zincirTolerans,"ZİNCİR KIRIK","OK")),"OK"))</f>
        <v/>
      </c>
      <c r="V132" s="28">
        <f>IF($A132="","",1)</f>
        <v/>
      </c>
    </row>
    <row r="133">
      <c r="A133" s="26" t="n"/>
      <c r="B133" s="26" t="n"/>
      <c r="C133" s="26" t="n"/>
      <c r="D133" s="29" t="n"/>
      <c r="E133" s="29" t="n"/>
      <c r="F133" s="26" t="n"/>
      <c r="G133" s="26" t="n"/>
      <c r="H133" s="27" t="n"/>
      <c r="I133" s="27" t="n"/>
      <c r="J133" s="27" t="n"/>
      <c r="K133" s="30" t="n"/>
      <c r="L133" s="26" t="n"/>
      <c r="M133" s="26" t="n"/>
      <c r="N133" s="26" t="n"/>
      <c r="O133" s="28">
        <f>IF($A133="","",IF(OR($G133="TAHSIL",$G133="KAPALI"),0,IF($D133="","",raporTarihi-$D133)))</f>
        <v/>
      </c>
      <c r="P133" s="28">
        <f>IF($A133="","",IF($O133="","",IF($O133&lt;=trv_kovaEsik1,"0-30",IF($O133&lt;=trv_kovaEsik2,"31-60",IF($O133&lt;=trv_kovaEsik3,"61-90","90+")))))</f>
        <v/>
      </c>
      <c r="Q133" s="28">
        <f>IF(OR($A133="",$G133="TAHSIL",$G133="KAPALI"),"",IF($P133="0-30",trv_olasilikK1,IF($P133="31-60",trv_olasilikK2,IF($P133="61-90",trv_olasilikK3,trv_olasilikK4))))</f>
        <v/>
      </c>
      <c r="R133" s="28">
        <f>IF(OR($A133="",$Q133=""),"",$J133*(1-$Q133)*MAX(trv_riskTaban,$K133/100))</f>
        <v/>
      </c>
      <c r="S133" s="28">
        <f>IF($A133="","",IF($B133="","YETİM",IF(COUNTIF(tblKartlar[KartId],$B133)=0,"YETİM","")))</f>
        <v/>
      </c>
      <c r="T133" s="28">
        <f>IF(OR($A133="",$F133=""),"",IF(OR($F133&amp;"|"&amp;$G133="",COUNTIF(ListeIzinliGecis,$F133&amp;"|"&amp;$G133)&gt;0),"","GEÇERSİZ GEÇİŞ"))</f>
        <v/>
      </c>
      <c r="U133" s="28">
        <f>IF($A133="","",IF(OR($G133="TAHSIL",$I133&gt;0),IF(OR($H133="",$I133=""),"",IF(ABS($I133-$H133)&gt;zincirTolerans,"ZİNCİR KIRIK","OK")),"OK"))</f>
        <v/>
      </c>
      <c r="V133" s="28">
        <f>IF($A133="","",1)</f>
        <v/>
      </c>
    </row>
    <row r="134">
      <c r="A134" s="26" t="n"/>
      <c r="B134" s="26" t="n"/>
      <c r="C134" s="26" t="n"/>
      <c r="D134" s="29" t="n"/>
      <c r="E134" s="29" t="n"/>
      <c r="F134" s="26" t="n"/>
      <c r="G134" s="26" t="n"/>
      <c r="H134" s="27" t="n"/>
      <c r="I134" s="27" t="n"/>
      <c r="J134" s="27" t="n"/>
      <c r="K134" s="30" t="n"/>
      <c r="L134" s="26" t="n"/>
      <c r="M134" s="26" t="n"/>
      <c r="N134" s="26" t="n"/>
      <c r="O134" s="28">
        <f>IF($A134="","",IF(OR($G134="TAHSIL",$G134="KAPALI"),0,IF($D134="","",raporTarihi-$D134)))</f>
        <v/>
      </c>
      <c r="P134" s="28">
        <f>IF($A134="","",IF($O134="","",IF($O134&lt;=trv_kovaEsik1,"0-30",IF($O134&lt;=trv_kovaEsik2,"31-60",IF($O134&lt;=trv_kovaEsik3,"61-90","90+")))))</f>
        <v/>
      </c>
      <c r="Q134" s="28">
        <f>IF(OR($A134="",$G134="TAHSIL",$G134="KAPALI"),"",IF($P134="0-30",trv_olasilikK1,IF($P134="31-60",trv_olasilikK2,IF($P134="61-90",trv_olasilikK3,trv_olasilikK4))))</f>
        <v/>
      </c>
      <c r="R134" s="28">
        <f>IF(OR($A134="",$Q134=""),"",$J134*(1-$Q134)*MAX(trv_riskTaban,$K134/100))</f>
        <v/>
      </c>
      <c r="S134" s="28">
        <f>IF($A134="","",IF($B134="","YETİM",IF(COUNTIF(tblKartlar[KartId],$B134)=0,"YETİM","")))</f>
        <v/>
      </c>
      <c r="T134" s="28">
        <f>IF(OR($A134="",$F134=""),"",IF(OR($F134&amp;"|"&amp;$G134="",COUNTIF(ListeIzinliGecis,$F134&amp;"|"&amp;$G134)&gt;0),"","GEÇERSİZ GEÇİŞ"))</f>
        <v/>
      </c>
      <c r="U134" s="28">
        <f>IF($A134="","",IF(OR($G134="TAHSIL",$I134&gt;0),IF(OR($H134="",$I134=""),"",IF(ABS($I134-$H134)&gt;zincirTolerans,"ZİNCİR KIRIK","OK")),"OK"))</f>
        <v/>
      </c>
      <c r="V134" s="28">
        <f>IF($A134="","",1)</f>
        <v/>
      </c>
    </row>
    <row r="135">
      <c r="A135" s="26" t="n"/>
      <c r="B135" s="26" t="n"/>
      <c r="C135" s="26" t="n"/>
      <c r="D135" s="29" t="n"/>
      <c r="E135" s="29" t="n"/>
      <c r="F135" s="26" t="n"/>
      <c r="G135" s="26" t="n"/>
      <c r="H135" s="27" t="n"/>
      <c r="I135" s="27" t="n"/>
      <c r="J135" s="27" t="n"/>
      <c r="K135" s="30" t="n"/>
      <c r="L135" s="26" t="n"/>
      <c r="M135" s="26" t="n"/>
      <c r="N135" s="26" t="n"/>
      <c r="O135" s="28">
        <f>IF($A135="","",IF(OR($G135="TAHSIL",$G135="KAPALI"),0,IF($D135="","",raporTarihi-$D135)))</f>
        <v/>
      </c>
      <c r="P135" s="28">
        <f>IF($A135="","",IF($O135="","",IF($O135&lt;=trv_kovaEsik1,"0-30",IF($O135&lt;=trv_kovaEsik2,"31-60",IF($O135&lt;=trv_kovaEsik3,"61-90","90+")))))</f>
        <v/>
      </c>
      <c r="Q135" s="28">
        <f>IF(OR($A135="",$G135="TAHSIL",$G135="KAPALI"),"",IF($P135="0-30",trv_olasilikK1,IF($P135="31-60",trv_olasilikK2,IF($P135="61-90",trv_olasilikK3,trv_olasilikK4))))</f>
        <v/>
      </c>
      <c r="R135" s="28">
        <f>IF(OR($A135="",$Q135=""),"",$J135*(1-$Q135)*MAX(trv_riskTaban,$K135/100))</f>
        <v/>
      </c>
      <c r="S135" s="28">
        <f>IF($A135="","",IF($B135="","YETİM",IF(COUNTIF(tblKartlar[KartId],$B135)=0,"YETİM","")))</f>
        <v/>
      </c>
      <c r="T135" s="28">
        <f>IF(OR($A135="",$F135=""),"",IF(OR($F135&amp;"|"&amp;$G135="",COUNTIF(ListeIzinliGecis,$F135&amp;"|"&amp;$G135)&gt;0),"","GEÇERSİZ GEÇİŞ"))</f>
        <v/>
      </c>
      <c r="U135" s="28">
        <f>IF($A135="","",IF(OR($G135="TAHSIL",$I135&gt;0),IF(OR($H135="",$I135=""),"",IF(ABS($I135-$H135)&gt;zincirTolerans,"ZİNCİR KIRIK","OK")),"OK"))</f>
        <v/>
      </c>
      <c r="V135" s="28">
        <f>IF($A135="","",1)</f>
        <v/>
      </c>
    </row>
    <row r="136">
      <c r="A136" s="26" t="n"/>
      <c r="B136" s="26" t="n"/>
      <c r="C136" s="26" t="n"/>
      <c r="D136" s="29" t="n"/>
      <c r="E136" s="29" t="n"/>
      <c r="F136" s="26" t="n"/>
      <c r="G136" s="26" t="n"/>
      <c r="H136" s="27" t="n"/>
      <c r="I136" s="27" t="n"/>
      <c r="J136" s="27" t="n"/>
      <c r="K136" s="30" t="n"/>
      <c r="L136" s="26" t="n"/>
      <c r="M136" s="26" t="n"/>
      <c r="N136" s="26" t="n"/>
      <c r="O136" s="28">
        <f>IF($A136="","",IF(OR($G136="TAHSIL",$G136="KAPALI"),0,IF($D136="","",raporTarihi-$D136)))</f>
        <v/>
      </c>
      <c r="P136" s="28">
        <f>IF($A136="","",IF($O136="","",IF($O136&lt;=trv_kovaEsik1,"0-30",IF($O136&lt;=trv_kovaEsik2,"31-60",IF($O136&lt;=trv_kovaEsik3,"61-90","90+")))))</f>
        <v/>
      </c>
      <c r="Q136" s="28">
        <f>IF(OR($A136="",$G136="TAHSIL",$G136="KAPALI"),"",IF($P136="0-30",trv_olasilikK1,IF($P136="31-60",trv_olasilikK2,IF($P136="61-90",trv_olasilikK3,trv_olasilikK4))))</f>
        <v/>
      </c>
      <c r="R136" s="28">
        <f>IF(OR($A136="",$Q136=""),"",$J136*(1-$Q136)*MAX(trv_riskTaban,$K136/100))</f>
        <v/>
      </c>
      <c r="S136" s="28">
        <f>IF($A136="","",IF($B136="","YETİM",IF(COUNTIF(tblKartlar[KartId],$B136)=0,"YETİM","")))</f>
        <v/>
      </c>
      <c r="T136" s="28">
        <f>IF(OR($A136="",$F136=""),"",IF(OR($F136&amp;"|"&amp;$G136="",COUNTIF(ListeIzinliGecis,$F136&amp;"|"&amp;$G136)&gt;0),"","GEÇERSİZ GEÇİŞ"))</f>
        <v/>
      </c>
      <c r="U136" s="28">
        <f>IF($A136="","",IF(OR($G136="TAHSIL",$I136&gt;0),IF(OR($H136="",$I136=""),"",IF(ABS($I136-$H136)&gt;zincirTolerans,"ZİNCİR KIRIK","OK")),"OK"))</f>
        <v/>
      </c>
      <c r="V136" s="28">
        <f>IF($A136="","",1)</f>
        <v/>
      </c>
    </row>
    <row r="137">
      <c r="A137" s="26" t="n"/>
      <c r="B137" s="26" t="n"/>
      <c r="C137" s="26" t="n"/>
      <c r="D137" s="29" t="n"/>
      <c r="E137" s="29" t="n"/>
      <c r="F137" s="26" t="n"/>
      <c r="G137" s="26" t="n"/>
      <c r="H137" s="27" t="n"/>
      <c r="I137" s="27" t="n"/>
      <c r="J137" s="27" t="n"/>
      <c r="K137" s="30" t="n"/>
      <c r="L137" s="26" t="n"/>
      <c r="M137" s="26" t="n"/>
      <c r="N137" s="26" t="n"/>
      <c r="O137" s="28">
        <f>IF($A137="","",IF(OR($G137="TAHSIL",$G137="KAPALI"),0,IF($D137="","",raporTarihi-$D137)))</f>
        <v/>
      </c>
      <c r="P137" s="28">
        <f>IF($A137="","",IF($O137="","",IF($O137&lt;=trv_kovaEsik1,"0-30",IF($O137&lt;=trv_kovaEsik2,"31-60",IF($O137&lt;=trv_kovaEsik3,"61-90","90+")))))</f>
        <v/>
      </c>
      <c r="Q137" s="28">
        <f>IF(OR($A137="",$G137="TAHSIL",$G137="KAPALI"),"",IF($P137="0-30",trv_olasilikK1,IF($P137="31-60",trv_olasilikK2,IF($P137="61-90",trv_olasilikK3,trv_olasilikK4))))</f>
        <v/>
      </c>
      <c r="R137" s="28">
        <f>IF(OR($A137="",$Q137=""),"",$J137*(1-$Q137)*MAX(trv_riskTaban,$K137/100))</f>
        <v/>
      </c>
      <c r="S137" s="28">
        <f>IF($A137="","",IF($B137="","YETİM",IF(COUNTIF(tblKartlar[KartId],$B137)=0,"YETİM","")))</f>
        <v/>
      </c>
      <c r="T137" s="28">
        <f>IF(OR($A137="",$F137=""),"",IF(OR($F137&amp;"|"&amp;$G137="",COUNTIF(ListeIzinliGecis,$F137&amp;"|"&amp;$G137)&gt;0),"","GEÇERSİZ GEÇİŞ"))</f>
        <v/>
      </c>
      <c r="U137" s="28">
        <f>IF($A137="","",IF(OR($G137="TAHSIL",$I137&gt;0),IF(OR($H137="",$I137=""),"",IF(ABS($I137-$H137)&gt;zincirTolerans,"ZİNCİR KIRIK","OK")),"OK"))</f>
        <v/>
      </c>
      <c r="V137" s="28">
        <f>IF($A137="","",1)</f>
        <v/>
      </c>
    </row>
    <row r="138">
      <c r="A138" s="26" t="n"/>
      <c r="B138" s="26" t="n"/>
      <c r="C138" s="26" t="n"/>
      <c r="D138" s="29" t="n"/>
      <c r="E138" s="29" t="n"/>
      <c r="F138" s="26" t="n"/>
      <c r="G138" s="26" t="n"/>
      <c r="H138" s="27" t="n"/>
      <c r="I138" s="27" t="n"/>
      <c r="J138" s="27" t="n"/>
      <c r="K138" s="30" t="n"/>
      <c r="L138" s="26" t="n"/>
      <c r="M138" s="26" t="n"/>
      <c r="N138" s="26" t="n"/>
      <c r="O138" s="28">
        <f>IF($A138="","",IF(OR($G138="TAHSIL",$G138="KAPALI"),0,IF($D138="","",raporTarihi-$D138)))</f>
        <v/>
      </c>
      <c r="P138" s="28">
        <f>IF($A138="","",IF($O138="","",IF($O138&lt;=trv_kovaEsik1,"0-30",IF($O138&lt;=trv_kovaEsik2,"31-60",IF($O138&lt;=trv_kovaEsik3,"61-90","90+")))))</f>
        <v/>
      </c>
      <c r="Q138" s="28">
        <f>IF(OR($A138="",$G138="TAHSIL",$G138="KAPALI"),"",IF($P138="0-30",trv_olasilikK1,IF($P138="31-60",trv_olasilikK2,IF($P138="61-90",trv_olasilikK3,trv_olasilikK4))))</f>
        <v/>
      </c>
      <c r="R138" s="28">
        <f>IF(OR($A138="",$Q138=""),"",$J138*(1-$Q138)*MAX(trv_riskTaban,$K138/100))</f>
        <v/>
      </c>
      <c r="S138" s="28">
        <f>IF($A138="","",IF($B138="","YETİM",IF(COUNTIF(tblKartlar[KartId],$B138)=0,"YETİM","")))</f>
        <v/>
      </c>
      <c r="T138" s="28">
        <f>IF(OR($A138="",$F138=""),"",IF(OR($F138&amp;"|"&amp;$G138="",COUNTIF(ListeIzinliGecis,$F138&amp;"|"&amp;$G138)&gt;0),"","GEÇERSİZ GEÇİŞ"))</f>
        <v/>
      </c>
      <c r="U138" s="28">
        <f>IF($A138="","",IF(OR($G138="TAHSIL",$I138&gt;0),IF(OR($H138="",$I138=""),"",IF(ABS($I138-$H138)&gt;zincirTolerans,"ZİNCİR KIRIK","OK")),"OK"))</f>
        <v/>
      </c>
      <c r="V138" s="28">
        <f>IF($A138="","",1)</f>
        <v/>
      </c>
    </row>
    <row r="139">
      <c r="A139" s="26" t="n"/>
      <c r="B139" s="26" t="n"/>
      <c r="C139" s="26" t="n"/>
      <c r="D139" s="29" t="n"/>
      <c r="E139" s="29" t="n"/>
      <c r="F139" s="26" t="n"/>
      <c r="G139" s="26" t="n"/>
      <c r="H139" s="27" t="n"/>
      <c r="I139" s="27" t="n"/>
      <c r="J139" s="27" t="n"/>
      <c r="K139" s="30" t="n"/>
      <c r="L139" s="26" t="n"/>
      <c r="M139" s="26" t="n"/>
      <c r="N139" s="26" t="n"/>
      <c r="O139" s="28">
        <f>IF($A139="","",IF(OR($G139="TAHSIL",$G139="KAPALI"),0,IF($D139="","",raporTarihi-$D139)))</f>
        <v/>
      </c>
      <c r="P139" s="28">
        <f>IF($A139="","",IF($O139="","",IF($O139&lt;=trv_kovaEsik1,"0-30",IF($O139&lt;=trv_kovaEsik2,"31-60",IF($O139&lt;=trv_kovaEsik3,"61-90","90+")))))</f>
        <v/>
      </c>
      <c r="Q139" s="28">
        <f>IF(OR($A139="",$G139="TAHSIL",$G139="KAPALI"),"",IF($P139="0-30",trv_olasilikK1,IF($P139="31-60",trv_olasilikK2,IF($P139="61-90",trv_olasilikK3,trv_olasilikK4))))</f>
        <v/>
      </c>
      <c r="R139" s="28">
        <f>IF(OR($A139="",$Q139=""),"",$J139*(1-$Q139)*MAX(trv_riskTaban,$K139/100))</f>
        <v/>
      </c>
      <c r="S139" s="28">
        <f>IF($A139="","",IF($B139="","YETİM",IF(COUNTIF(tblKartlar[KartId],$B139)=0,"YETİM","")))</f>
        <v/>
      </c>
      <c r="T139" s="28">
        <f>IF(OR($A139="",$F139=""),"",IF(OR($F139&amp;"|"&amp;$G139="",COUNTIF(ListeIzinliGecis,$F139&amp;"|"&amp;$G139)&gt;0),"","GEÇERSİZ GEÇİŞ"))</f>
        <v/>
      </c>
      <c r="U139" s="28">
        <f>IF($A139="","",IF(OR($G139="TAHSIL",$I139&gt;0),IF(OR($H139="",$I139=""),"",IF(ABS($I139-$H139)&gt;zincirTolerans,"ZİNCİR KIRIK","OK")),"OK"))</f>
        <v/>
      </c>
      <c r="V139" s="28">
        <f>IF($A139="","",1)</f>
        <v/>
      </c>
    </row>
    <row r="140">
      <c r="A140" s="26" t="n"/>
      <c r="B140" s="26" t="n"/>
      <c r="C140" s="26" t="n"/>
      <c r="D140" s="29" t="n"/>
      <c r="E140" s="29" t="n"/>
      <c r="F140" s="26" t="n"/>
      <c r="G140" s="26" t="n"/>
      <c r="H140" s="27" t="n"/>
      <c r="I140" s="27" t="n"/>
      <c r="J140" s="27" t="n"/>
      <c r="K140" s="30" t="n"/>
      <c r="L140" s="26" t="n"/>
      <c r="M140" s="26" t="n"/>
      <c r="N140" s="26" t="n"/>
      <c r="O140" s="28">
        <f>IF($A140="","",IF(OR($G140="TAHSIL",$G140="KAPALI"),0,IF($D140="","",raporTarihi-$D140)))</f>
        <v/>
      </c>
      <c r="P140" s="28">
        <f>IF($A140="","",IF($O140="","",IF($O140&lt;=trv_kovaEsik1,"0-30",IF($O140&lt;=trv_kovaEsik2,"31-60",IF($O140&lt;=trv_kovaEsik3,"61-90","90+")))))</f>
        <v/>
      </c>
      <c r="Q140" s="28">
        <f>IF(OR($A140="",$G140="TAHSIL",$G140="KAPALI"),"",IF($P140="0-30",trv_olasilikK1,IF($P140="31-60",trv_olasilikK2,IF($P140="61-90",trv_olasilikK3,trv_olasilikK4))))</f>
        <v/>
      </c>
      <c r="R140" s="28">
        <f>IF(OR($A140="",$Q140=""),"",$J140*(1-$Q140)*MAX(trv_riskTaban,$K140/100))</f>
        <v/>
      </c>
      <c r="S140" s="28">
        <f>IF($A140="","",IF($B140="","YETİM",IF(COUNTIF(tblKartlar[KartId],$B140)=0,"YETİM","")))</f>
        <v/>
      </c>
      <c r="T140" s="28">
        <f>IF(OR($A140="",$F140=""),"",IF(OR($F140&amp;"|"&amp;$G140="",COUNTIF(ListeIzinliGecis,$F140&amp;"|"&amp;$G140)&gt;0),"","GEÇERSİZ GEÇİŞ"))</f>
        <v/>
      </c>
      <c r="U140" s="28">
        <f>IF($A140="","",IF(OR($G140="TAHSIL",$I140&gt;0),IF(OR($H140="",$I140=""),"",IF(ABS($I140-$H140)&gt;zincirTolerans,"ZİNCİR KIRIK","OK")),"OK"))</f>
        <v/>
      </c>
      <c r="V140" s="28">
        <f>IF($A140="","",1)</f>
        <v/>
      </c>
    </row>
    <row r="141">
      <c r="A141" s="26" t="n"/>
      <c r="B141" s="26" t="n"/>
      <c r="C141" s="26" t="n"/>
      <c r="D141" s="29" t="n"/>
      <c r="E141" s="29" t="n"/>
      <c r="F141" s="26" t="n"/>
      <c r="G141" s="26" t="n"/>
      <c r="H141" s="27" t="n"/>
      <c r="I141" s="27" t="n"/>
      <c r="J141" s="27" t="n"/>
      <c r="K141" s="30" t="n"/>
      <c r="L141" s="26" t="n"/>
      <c r="M141" s="26" t="n"/>
      <c r="N141" s="26" t="n"/>
      <c r="O141" s="28">
        <f>IF($A141="","",IF(OR($G141="TAHSIL",$G141="KAPALI"),0,IF($D141="","",raporTarihi-$D141)))</f>
        <v/>
      </c>
      <c r="P141" s="28">
        <f>IF($A141="","",IF($O141="","",IF($O141&lt;=trv_kovaEsik1,"0-30",IF($O141&lt;=trv_kovaEsik2,"31-60",IF($O141&lt;=trv_kovaEsik3,"61-90","90+")))))</f>
        <v/>
      </c>
      <c r="Q141" s="28">
        <f>IF(OR($A141="",$G141="TAHSIL",$G141="KAPALI"),"",IF($P141="0-30",trv_olasilikK1,IF($P141="31-60",trv_olasilikK2,IF($P141="61-90",trv_olasilikK3,trv_olasilikK4))))</f>
        <v/>
      </c>
      <c r="R141" s="28">
        <f>IF(OR($A141="",$Q141=""),"",$J141*(1-$Q141)*MAX(trv_riskTaban,$K141/100))</f>
        <v/>
      </c>
      <c r="S141" s="28">
        <f>IF($A141="","",IF($B141="","YETİM",IF(COUNTIF(tblKartlar[KartId],$B141)=0,"YETİM","")))</f>
        <v/>
      </c>
      <c r="T141" s="28">
        <f>IF(OR($A141="",$F141=""),"",IF(OR($F141&amp;"|"&amp;$G141="",COUNTIF(ListeIzinliGecis,$F141&amp;"|"&amp;$G141)&gt;0),"","GEÇERSİZ GEÇİŞ"))</f>
        <v/>
      </c>
      <c r="U141" s="28">
        <f>IF($A141="","",IF(OR($G141="TAHSIL",$I141&gt;0),IF(OR($H141="",$I141=""),"",IF(ABS($I141-$H141)&gt;zincirTolerans,"ZİNCİR KIRIK","OK")),"OK"))</f>
        <v/>
      </c>
      <c r="V141" s="28">
        <f>IF($A141="","",1)</f>
        <v/>
      </c>
    </row>
    <row r="142">
      <c r="A142" s="26" t="n"/>
      <c r="B142" s="26" t="n"/>
      <c r="C142" s="26" t="n"/>
      <c r="D142" s="29" t="n"/>
      <c r="E142" s="29" t="n"/>
      <c r="F142" s="26" t="n"/>
      <c r="G142" s="26" t="n"/>
      <c r="H142" s="27" t="n"/>
      <c r="I142" s="27" t="n"/>
      <c r="J142" s="27" t="n"/>
      <c r="K142" s="30" t="n"/>
      <c r="L142" s="26" t="n"/>
      <c r="M142" s="26" t="n"/>
      <c r="N142" s="26" t="n"/>
      <c r="O142" s="28">
        <f>IF($A142="","",IF(OR($G142="TAHSIL",$G142="KAPALI"),0,IF($D142="","",raporTarihi-$D142)))</f>
        <v/>
      </c>
      <c r="P142" s="28">
        <f>IF($A142="","",IF($O142="","",IF($O142&lt;=trv_kovaEsik1,"0-30",IF($O142&lt;=trv_kovaEsik2,"31-60",IF($O142&lt;=trv_kovaEsik3,"61-90","90+")))))</f>
        <v/>
      </c>
      <c r="Q142" s="28">
        <f>IF(OR($A142="",$G142="TAHSIL",$G142="KAPALI"),"",IF($P142="0-30",trv_olasilikK1,IF($P142="31-60",trv_olasilikK2,IF($P142="61-90",trv_olasilikK3,trv_olasilikK4))))</f>
        <v/>
      </c>
      <c r="R142" s="28">
        <f>IF(OR($A142="",$Q142=""),"",$J142*(1-$Q142)*MAX(trv_riskTaban,$K142/100))</f>
        <v/>
      </c>
      <c r="S142" s="28">
        <f>IF($A142="","",IF($B142="","YETİM",IF(COUNTIF(tblKartlar[KartId],$B142)=0,"YETİM","")))</f>
        <v/>
      </c>
      <c r="T142" s="28">
        <f>IF(OR($A142="",$F142=""),"",IF(OR($F142&amp;"|"&amp;$G142="",COUNTIF(ListeIzinliGecis,$F142&amp;"|"&amp;$G142)&gt;0),"","GEÇERSİZ GEÇİŞ"))</f>
        <v/>
      </c>
      <c r="U142" s="28">
        <f>IF($A142="","",IF(OR($G142="TAHSIL",$I142&gt;0),IF(OR($H142="",$I142=""),"",IF(ABS($I142-$H142)&gt;zincirTolerans,"ZİNCİR KIRIK","OK")),"OK"))</f>
        <v/>
      </c>
      <c r="V142" s="28">
        <f>IF($A142="","",1)</f>
        <v/>
      </c>
    </row>
    <row r="143">
      <c r="A143" s="26" t="n"/>
      <c r="B143" s="26" t="n"/>
      <c r="C143" s="26" t="n"/>
      <c r="D143" s="29" t="n"/>
      <c r="E143" s="29" t="n"/>
      <c r="F143" s="26" t="n"/>
      <c r="G143" s="26" t="n"/>
      <c r="H143" s="27" t="n"/>
      <c r="I143" s="27" t="n"/>
      <c r="J143" s="27" t="n"/>
      <c r="K143" s="30" t="n"/>
      <c r="L143" s="26" t="n"/>
      <c r="M143" s="26" t="n"/>
      <c r="N143" s="26" t="n"/>
      <c r="O143" s="28">
        <f>IF($A143="","",IF(OR($G143="TAHSIL",$G143="KAPALI"),0,IF($D143="","",raporTarihi-$D143)))</f>
        <v/>
      </c>
      <c r="P143" s="28">
        <f>IF($A143="","",IF($O143="","",IF($O143&lt;=trv_kovaEsik1,"0-30",IF($O143&lt;=trv_kovaEsik2,"31-60",IF($O143&lt;=trv_kovaEsik3,"61-90","90+")))))</f>
        <v/>
      </c>
      <c r="Q143" s="28">
        <f>IF(OR($A143="",$G143="TAHSIL",$G143="KAPALI"),"",IF($P143="0-30",trv_olasilikK1,IF($P143="31-60",trv_olasilikK2,IF($P143="61-90",trv_olasilikK3,trv_olasilikK4))))</f>
        <v/>
      </c>
      <c r="R143" s="28">
        <f>IF(OR($A143="",$Q143=""),"",$J143*(1-$Q143)*MAX(trv_riskTaban,$K143/100))</f>
        <v/>
      </c>
      <c r="S143" s="28">
        <f>IF($A143="","",IF($B143="","YETİM",IF(COUNTIF(tblKartlar[KartId],$B143)=0,"YETİM","")))</f>
        <v/>
      </c>
      <c r="T143" s="28">
        <f>IF(OR($A143="",$F143=""),"",IF(OR($F143&amp;"|"&amp;$G143="",COUNTIF(ListeIzinliGecis,$F143&amp;"|"&amp;$G143)&gt;0),"","GEÇERSİZ GEÇİŞ"))</f>
        <v/>
      </c>
      <c r="U143" s="28">
        <f>IF($A143="","",IF(OR($G143="TAHSIL",$I143&gt;0),IF(OR($H143="",$I143=""),"",IF(ABS($I143-$H143)&gt;zincirTolerans,"ZİNCİR KIRIK","OK")),"OK"))</f>
        <v/>
      </c>
      <c r="V143" s="28">
        <f>IF($A143="","",1)</f>
        <v/>
      </c>
    </row>
    <row r="144">
      <c r="A144" s="26" t="n"/>
      <c r="B144" s="26" t="n"/>
      <c r="C144" s="26" t="n"/>
      <c r="D144" s="29" t="n"/>
      <c r="E144" s="29" t="n"/>
      <c r="F144" s="26" t="n"/>
      <c r="G144" s="26" t="n"/>
      <c r="H144" s="27" t="n"/>
      <c r="I144" s="27" t="n"/>
      <c r="J144" s="27" t="n"/>
      <c r="K144" s="30" t="n"/>
      <c r="L144" s="26" t="n"/>
      <c r="M144" s="26" t="n"/>
      <c r="N144" s="26" t="n"/>
      <c r="O144" s="28">
        <f>IF($A144="","",IF(OR($G144="TAHSIL",$G144="KAPALI"),0,IF($D144="","",raporTarihi-$D144)))</f>
        <v/>
      </c>
      <c r="P144" s="28">
        <f>IF($A144="","",IF($O144="","",IF($O144&lt;=trv_kovaEsik1,"0-30",IF($O144&lt;=trv_kovaEsik2,"31-60",IF($O144&lt;=trv_kovaEsik3,"61-90","90+")))))</f>
        <v/>
      </c>
      <c r="Q144" s="28">
        <f>IF(OR($A144="",$G144="TAHSIL",$G144="KAPALI"),"",IF($P144="0-30",trv_olasilikK1,IF($P144="31-60",trv_olasilikK2,IF($P144="61-90",trv_olasilikK3,trv_olasilikK4))))</f>
        <v/>
      </c>
      <c r="R144" s="28">
        <f>IF(OR($A144="",$Q144=""),"",$J144*(1-$Q144)*MAX(trv_riskTaban,$K144/100))</f>
        <v/>
      </c>
      <c r="S144" s="28">
        <f>IF($A144="","",IF($B144="","YETİM",IF(COUNTIF(tblKartlar[KartId],$B144)=0,"YETİM","")))</f>
        <v/>
      </c>
      <c r="T144" s="28">
        <f>IF(OR($A144="",$F144=""),"",IF(OR($F144&amp;"|"&amp;$G144="",COUNTIF(ListeIzinliGecis,$F144&amp;"|"&amp;$G144)&gt;0),"","GEÇERSİZ GEÇİŞ"))</f>
        <v/>
      </c>
      <c r="U144" s="28">
        <f>IF($A144="","",IF(OR($G144="TAHSIL",$I144&gt;0),IF(OR($H144="",$I144=""),"",IF(ABS($I144-$H144)&gt;zincirTolerans,"ZİNCİR KIRIK","OK")),"OK"))</f>
        <v/>
      </c>
      <c r="V144" s="28">
        <f>IF($A144="","",1)</f>
        <v/>
      </c>
    </row>
    <row r="145">
      <c r="A145" s="26" t="n"/>
      <c r="B145" s="26" t="n"/>
      <c r="C145" s="26" t="n"/>
      <c r="D145" s="29" t="n"/>
      <c r="E145" s="29" t="n"/>
      <c r="F145" s="26" t="n"/>
      <c r="G145" s="26" t="n"/>
      <c r="H145" s="27" t="n"/>
      <c r="I145" s="27" t="n"/>
      <c r="J145" s="27" t="n"/>
      <c r="K145" s="30" t="n"/>
      <c r="L145" s="26" t="n"/>
      <c r="M145" s="26" t="n"/>
      <c r="N145" s="26" t="n"/>
      <c r="O145" s="28">
        <f>IF($A145="","",IF(OR($G145="TAHSIL",$G145="KAPALI"),0,IF($D145="","",raporTarihi-$D145)))</f>
        <v/>
      </c>
      <c r="P145" s="28">
        <f>IF($A145="","",IF($O145="","",IF($O145&lt;=trv_kovaEsik1,"0-30",IF($O145&lt;=trv_kovaEsik2,"31-60",IF($O145&lt;=trv_kovaEsik3,"61-90","90+")))))</f>
        <v/>
      </c>
      <c r="Q145" s="28">
        <f>IF(OR($A145="",$G145="TAHSIL",$G145="KAPALI"),"",IF($P145="0-30",trv_olasilikK1,IF($P145="31-60",trv_olasilikK2,IF($P145="61-90",trv_olasilikK3,trv_olasilikK4))))</f>
        <v/>
      </c>
      <c r="R145" s="28">
        <f>IF(OR($A145="",$Q145=""),"",$J145*(1-$Q145)*MAX(trv_riskTaban,$K145/100))</f>
        <v/>
      </c>
      <c r="S145" s="28">
        <f>IF($A145="","",IF($B145="","YETİM",IF(COUNTIF(tblKartlar[KartId],$B145)=0,"YETİM","")))</f>
        <v/>
      </c>
      <c r="T145" s="28">
        <f>IF(OR($A145="",$F145=""),"",IF(OR($F145&amp;"|"&amp;$G145="",COUNTIF(ListeIzinliGecis,$F145&amp;"|"&amp;$G145)&gt;0),"","GEÇERSİZ GEÇİŞ"))</f>
        <v/>
      </c>
      <c r="U145" s="28">
        <f>IF($A145="","",IF(OR($G145="TAHSIL",$I145&gt;0),IF(OR($H145="",$I145=""),"",IF(ABS($I145-$H145)&gt;zincirTolerans,"ZİNCİR KIRIK","OK")),"OK"))</f>
        <v/>
      </c>
      <c r="V145" s="28">
        <f>IF($A145="","",1)</f>
        <v/>
      </c>
    </row>
    <row r="146">
      <c r="A146" s="26" t="n"/>
      <c r="B146" s="26" t="n"/>
      <c r="C146" s="26" t="n"/>
      <c r="D146" s="29" t="n"/>
      <c r="E146" s="29" t="n"/>
      <c r="F146" s="26" t="n"/>
      <c r="G146" s="26" t="n"/>
      <c r="H146" s="27" t="n"/>
      <c r="I146" s="27" t="n"/>
      <c r="J146" s="27" t="n"/>
      <c r="K146" s="30" t="n"/>
      <c r="L146" s="26" t="n"/>
      <c r="M146" s="26" t="n"/>
      <c r="N146" s="26" t="n"/>
      <c r="O146" s="28">
        <f>IF($A146="","",IF(OR($G146="TAHSIL",$G146="KAPALI"),0,IF($D146="","",raporTarihi-$D146)))</f>
        <v/>
      </c>
      <c r="P146" s="28">
        <f>IF($A146="","",IF($O146="","",IF($O146&lt;=trv_kovaEsik1,"0-30",IF($O146&lt;=trv_kovaEsik2,"31-60",IF($O146&lt;=trv_kovaEsik3,"61-90","90+")))))</f>
        <v/>
      </c>
      <c r="Q146" s="28">
        <f>IF(OR($A146="",$G146="TAHSIL",$G146="KAPALI"),"",IF($P146="0-30",trv_olasilikK1,IF($P146="31-60",trv_olasilikK2,IF($P146="61-90",trv_olasilikK3,trv_olasilikK4))))</f>
        <v/>
      </c>
      <c r="R146" s="28">
        <f>IF(OR($A146="",$Q146=""),"",$J146*(1-$Q146)*MAX(trv_riskTaban,$K146/100))</f>
        <v/>
      </c>
      <c r="S146" s="28">
        <f>IF($A146="","",IF($B146="","YETİM",IF(COUNTIF(tblKartlar[KartId],$B146)=0,"YETİM","")))</f>
        <v/>
      </c>
      <c r="T146" s="28">
        <f>IF(OR($A146="",$F146=""),"",IF(OR($F146&amp;"|"&amp;$G146="",COUNTIF(ListeIzinliGecis,$F146&amp;"|"&amp;$G146)&gt;0),"","GEÇERSİZ GEÇİŞ"))</f>
        <v/>
      </c>
      <c r="U146" s="28">
        <f>IF($A146="","",IF(OR($G146="TAHSIL",$I146&gt;0),IF(OR($H146="",$I146=""),"",IF(ABS($I146-$H146)&gt;zincirTolerans,"ZİNCİR KIRIK","OK")),"OK"))</f>
        <v/>
      </c>
      <c r="V146" s="28">
        <f>IF($A146="","",1)</f>
        <v/>
      </c>
    </row>
    <row r="147">
      <c r="A147" s="26" t="n"/>
      <c r="B147" s="26" t="n"/>
      <c r="C147" s="26" t="n"/>
      <c r="D147" s="29" t="n"/>
      <c r="E147" s="29" t="n"/>
      <c r="F147" s="26" t="n"/>
      <c r="G147" s="26" t="n"/>
      <c r="H147" s="27" t="n"/>
      <c r="I147" s="27" t="n"/>
      <c r="J147" s="27" t="n"/>
      <c r="K147" s="30" t="n"/>
      <c r="L147" s="26" t="n"/>
      <c r="M147" s="26" t="n"/>
      <c r="N147" s="26" t="n"/>
      <c r="O147" s="28">
        <f>IF($A147="","",IF(OR($G147="TAHSIL",$G147="KAPALI"),0,IF($D147="","",raporTarihi-$D147)))</f>
        <v/>
      </c>
      <c r="P147" s="28">
        <f>IF($A147="","",IF($O147="","",IF($O147&lt;=trv_kovaEsik1,"0-30",IF($O147&lt;=trv_kovaEsik2,"31-60",IF($O147&lt;=trv_kovaEsik3,"61-90","90+")))))</f>
        <v/>
      </c>
      <c r="Q147" s="28">
        <f>IF(OR($A147="",$G147="TAHSIL",$G147="KAPALI"),"",IF($P147="0-30",trv_olasilikK1,IF($P147="31-60",trv_olasilikK2,IF($P147="61-90",trv_olasilikK3,trv_olasilikK4))))</f>
        <v/>
      </c>
      <c r="R147" s="28">
        <f>IF(OR($A147="",$Q147=""),"",$J147*(1-$Q147)*MAX(trv_riskTaban,$K147/100))</f>
        <v/>
      </c>
      <c r="S147" s="28">
        <f>IF($A147="","",IF($B147="","YETİM",IF(COUNTIF(tblKartlar[KartId],$B147)=0,"YETİM","")))</f>
        <v/>
      </c>
      <c r="T147" s="28">
        <f>IF(OR($A147="",$F147=""),"",IF(OR($F147&amp;"|"&amp;$G147="",COUNTIF(ListeIzinliGecis,$F147&amp;"|"&amp;$G147)&gt;0),"","GEÇERSİZ GEÇİŞ"))</f>
        <v/>
      </c>
      <c r="U147" s="28">
        <f>IF($A147="","",IF(OR($G147="TAHSIL",$I147&gt;0),IF(OR($H147="",$I147=""),"",IF(ABS($I147-$H147)&gt;zincirTolerans,"ZİNCİR KIRIK","OK")),"OK"))</f>
        <v/>
      </c>
      <c r="V147" s="28">
        <f>IF($A147="","",1)</f>
        <v/>
      </c>
    </row>
    <row r="148">
      <c r="A148" s="26" t="n"/>
      <c r="B148" s="26" t="n"/>
      <c r="C148" s="26" t="n"/>
      <c r="D148" s="29" t="n"/>
      <c r="E148" s="29" t="n"/>
      <c r="F148" s="26" t="n"/>
      <c r="G148" s="26" t="n"/>
      <c r="H148" s="27" t="n"/>
      <c r="I148" s="27" t="n"/>
      <c r="J148" s="27" t="n"/>
      <c r="K148" s="30" t="n"/>
      <c r="L148" s="26" t="n"/>
      <c r="M148" s="26" t="n"/>
      <c r="N148" s="26" t="n"/>
      <c r="O148" s="28">
        <f>IF($A148="","",IF(OR($G148="TAHSIL",$G148="KAPALI"),0,IF($D148="","",raporTarihi-$D148)))</f>
        <v/>
      </c>
      <c r="P148" s="28">
        <f>IF($A148="","",IF($O148="","",IF($O148&lt;=trv_kovaEsik1,"0-30",IF($O148&lt;=trv_kovaEsik2,"31-60",IF($O148&lt;=trv_kovaEsik3,"61-90","90+")))))</f>
        <v/>
      </c>
      <c r="Q148" s="28">
        <f>IF(OR($A148="",$G148="TAHSIL",$G148="KAPALI"),"",IF($P148="0-30",trv_olasilikK1,IF($P148="31-60",trv_olasilikK2,IF($P148="61-90",trv_olasilikK3,trv_olasilikK4))))</f>
        <v/>
      </c>
      <c r="R148" s="28">
        <f>IF(OR($A148="",$Q148=""),"",$J148*(1-$Q148)*MAX(trv_riskTaban,$K148/100))</f>
        <v/>
      </c>
      <c r="S148" s="28">
        <f>IF($A148="","",IF($B148="","YETİM",IF(COUNTIF(tblKartlar[KartId],$B148)=0,"YETİM","")))</f>
        <v/>
      </c>
      <c r="T148" s="28">
        <f>IF(OR($A148="",$F148=""),"",IF(OR($F148&amp;"|"&amp;$G148="",COUNTIF(ListeIzinliGecis,$F148&amp;"|"&amp;$G148)&gt;0),"","GEÇERSİZ GEÇİŞ"))</f>
        <v/>
      </c>
      <c r="U148" s="28">
        <f>IF($A148="","",IF(OR($G148="TAHSIL",$I148&gt;0),IF(OR($H148="",$I148=""),"",IF(ABS($I148-$H148)&gt;zincirTolerans,"ZİNCİR KIRIK","OK")),"OK"))</f>
        <v/>
      </c>
      <c r="V148" s="28">
        <f>IF($A148="","",1)</f>
        <v/>
      </c>
    </row>
    <row r="149">
      <c r="A149" s="26" t="n"/>
      <c r="B149" s="26" t="n"/>
      <c r="C149" s="26" t="n"/>
      <c r="D149" s="29" t="n"/>
      <c r="E149" s="29" t="n"/>
      <c r="F149" s="26" t="n"/>
      <c r="G149" s="26" t="n"/>
      <c r="H149" s="27" t="n"/>
      <c r="I149" s="27" t="n"/>
      <c r="J149" s="27" t="n"/>
      <c r="K149" s="30" t="n"/>
      <c r="L149" s="26" t="n"/>
      <c r="M149" s="26" t="n"/>
      <c r="N149" s="26" t="n"/>
      <c r="O149" s="28">
        <f>IF($A149="","",IF(OR($G149="TAHSIL",$G149="KAPALI"),0,IF($D149="","",raporTarihi-$D149)))</f>
        <v/>
      </c>
      <c r="P149" s="28">
        <f>IF($A149="","",IF($O149="","",IF($O149&lt;=trv_kovaEsik1,"0-30",IF($O149&lt;=trv_kovaEsik2,"31-60",IF($O149&lt;=trv_kovaEsik3,"61-90","90+")))))</f>
        <v/>
      </c>
      <c r="Q149" s="28">
        <f>IF(OR($A149="",$G149="TAHSIL",$G149="KAPALI"),"",IF($P149="0-30",trv_olasilikK1,IF($P149="31-60",trv_olasilikK2,IF($P149="61-90",trv_olasilikK3,trv_olasilikK4))))</f>
        <v/>
      </c>
      <c r="R149" s="28">
        <f>IF(OR($A149="",$Q149=""),"",$J149*(1-$Q149)*MAX(trv_riskTaban,$K149/100))</f>
        <v/>
      </c>
      <c r="S149" s="28">
        <f>IF($A149="","",IF($B149="","YETİM",IF(COUNTIF(tblKartlar[KartId],$B149)=0,"YETİM","")))</f>
        <v/>
      </c>
      <c r="T149" s="28">
        <f>IF(OR($A149="",$F149=""),"",IF(OR($F149&amp;"|"&amp;$G149="",COUNTIF(ListeIzinliGecis,$F149&amp;"|"&amp;$G149)&gt;0),"","GEÇERSİZ GEÇİŞ"))</f>
        <v/>
      </c>
      <c r="U149" s="28">
        <f>IF($A149="","",IF(OR($G149="TAHSIL",$I149&gt;0),IF(OR($H149="",$I149=""),"",IF(ABS($I149-$H149)&gt;zincirTolerans,"ZİNCİR KIRIK","OK")),"OK"))</f>
        <v/>
      </c>
      <c r="V149" s="28">
        <f>IF($A149="","",1)</f>
        <v/>
      </c>
    </row>
    <row r="150">
      <c r="A150" s="26" t="n"/>
      <c r="B150" s="26" t="n"/>
      <c r="C150" s="26" t="n"/>
      <c r="D150" s="29" t="n"/>
      <c r="E150" s="29" t="n"/>
      <c r="F150" s="26" t="n"/>
      <c r="G150" s="26" t="n"/>
      <c r="H150" s="27" t="n"/>
      <c r="I150" s="27" t="n"/>
      <c r="J150" s="27" t="n"/>
      <c r="K150" s="30" t="n"/>
      <c r="L150" s="26" t="n"/>
      <c r="M150" s="26" t="n"/>
      <c r="N150" s="26" t="n"/>
      <c r="O150" s="28">
        <f>IF($A150="","",IF(OR($G150="TAHSIL",$G150="KAPALI"),0,IF($D150="","",raporTarihi-$D150)))</f>
        <v/>
      </c>
      <c r="P150" s="28">
        <f>IF($A150="","",IF($O150="","",IF($O150&lt;=trv_kovaEsik1,"0-30",IF($O150&lt;=trv_kovaEsik2,"31-60",IF($O150&lt;=trv_kovaEsik3,"61-90","90+")))))</f>
        <v/>
      </c>
      <c r="Q150" s="28">
        <f>IF(OR($A150="",$G150="TAHSIL",$G150="KAPALI"),"",IF($P150="0-30",trv_olasilikK1,IF($P150="31-60",trv_olasilikK2,IF($P150="61-90",trv_olasilikK3,trv_olasilikK4))))</f>
        <v/>
      </c>
      <c r="R150" s="28">
        <f>IF(OR($A150="",$Q150=""),"",$J150*(1-$Q150)*MAX(trv_riskTaban,$K150/100))</f>
        <v/>
      </c>
      <c r="S150" s="28">
        <f>IF($A150="","",IF($B150="","YETİM",IF(COUNTIF(tblKartlar[KartId],$B150)=0,"YETİM","")))</f>
        <v/>
      </c>
      <c r="T150" s="28">
        <f>IF(OR($A150="",$F150=""),"",IF(OR($F150&amp;"|"&amp;$G150="",COUNTIF(ListeIzinliGecis,$F150&amp;"|"&amp;$G150)&gt;0),"","GEÇERSİZ GEÇİŞ"))</f>
        <v/>
      </c>
      <c r="U150" s="28">
        <f>IF($A150="","",IF(OR($G150="TAHSIL",$I150&gt;0),IF(OR($H150="",$I150=""),"",IF(ABS($I150-$H150)&gt;zincirTolerans,"ZİNCİR KIRIK","OK")),"OK"))</f>
        <v/>
      </c>
      <c r="V150" s="28">
        <f>IF($A150="","",1)</f>
        <v/>
      </c>
    </row>
    <row r="151">
      <c r="A151" s="26" t="n"/>
      <c r="B151" s="26" t="n"/>
      <c r="C151" s="26" t="n"/>
      <c r="D151" s="29" t="n"/>
      <c r="E151" s="29" t="n"/>
      <c r="F151" s="26" t="n"/>
      <c r="G151" s="26" t="n"/>
      <c r="H151" s="27" t="n"/>
      <c r="I151" s="27" t="n"/>
      <c r="J151" s="27" t="n"/>
      <c r="K151" s="30" t="n"/>
      <c r="L151" s="26" t="n"/>
      <c r="M151" s="26" t="n"/>
      <c r="N151" s="26" t="n"/>
      <c r="O151" s="28">
        <f>IF($A151="","",IF(OR($G151="TAHSIL",$G151="KAPALI"),0,IF($D151="","",raporTarihi-$D151)))</f>
        <v/>
      </c>
      <c r="P151" s="28">
        <f>IF($A151="","",IF($O151="","",IF($O151&lt;=trv_kovaEsik1,"0-30",IF($O151&lt;=trv_kovaEsik2,"31-60",IF($O151&lt;=trv_kovaEsik3,"61-90","90+")))))</f>
        <v/>
      </c>
      <c r="Q151" s="28">
        <f>IF(OR($A151="",$G151="TAHSIL",$G151="KAPALI"),"",IF($P151="0-30",trv_olasilikK1,IF($P151="31-60",trv_olasilikK2,IF($P151="61-90",trv_olasilikK3,trv_olasilikK4))))</f>
        <v/>
      </c>
      <c r="R151" s="28">
        <f>IF(OR($A151="",$Q151=""),"",$J151*(1-$Q151)*MAX(trv_riskTaban,$K151/100))</f>
        <v/>
      </c>
      <c r="S151" s="28">
        <f>IF($A151="","",IF($B151="","YETİM",IF(COUNTIF(tblKartlar[KartId],$B151)=0,"YETİM","")))</f>
        <v/>
      </c>
      <c r="T151" s="28">
        <f>IF(OR($A151="",$F151=""),"",IF(OR($F151&amp;"|"&amp;$G151="",COUNTIF(ListeIzinliGecis,$F151&amp;"|"&amp;$G151)&gt;0),"","GEÇERSİZ GEÇİŞ"))</f>
        <v/>
      </c>
      <c r="U151" s="28">
        <f>IF($A151="","",IF(OR($G151="TAHSIL",$I151&gt;0),IF(OR($H151="",$I151=""),"",IF(ABS($I151-$H151)&gt;zincirTolerans,"ZİNCİR KIRIK","OK")),"OK"))</f>
        <v/>
      </c>
      <c r="V151" s="28">
        <f>IF($A151="","",1)</f>
        <v/>
      </c>
    </row>
    <row r="152">
      <c r="A152" s="26" t="n"/>
      <c r="B152" s="26" t="n"/>
      <c r="C152" s="26" t="n"/>
      <c r="D152" s="29" t="n"/>
      <c r="E152" s="29" t="n"/>
      <c r="F152" s="26" t="n"/>
      <c r="G152" s="26" t="n"/>
      <c r="H152" s="27" t="n"/>
      <c r="I152" s="27" t="n"/>
      <c r="J152" s="27" t="n"/>
      <c r="K152" s="30" t="n"/>
      <c r="L152" s="26" t="n"/>
      <c r="M152" s="26" t="n"/>
      <c r="N152" s="26" t="n"/>
      <c r="O152" s="28">
        <f>IF($A152="","",IF(OR($G152="TAHSIL",$G152="KAPALI"),0,IF($D152="","",raporTarihi-$D152)))</f>
        <v/>
      </c>
      <c r="P152" s="28">
        <f>IF($A152="","",IF($O152="","",IF($O152&lt;=trv_kovaEsik1,"0-30",IF($O152&lt;=trv_kovaEsik2,"31-60",IF($O152&lt;=trv_kovaEsik3,"61-90","90+")))))</f>
        <v/>
      </c>
      <c r="Q152" s="28">
        <f>IF(OR($A152="",$G152="TAHSIL",$G152="KAPALI"),"",IF($P152="0-30",trv_olasilikK1,IF($P152="31-60",trv_olasilikK2,IF($P152="61-90",trv_olasilikK3,trv_olasilikK4))))</f>
        <v/>
      </c>
      <c r="R152" s="28">
        <f>IF(OR($A152="",$Q152=""),"",$J152*(1-$Q152)*MAX(trv_riskTaban,$K152/100))</f>
        <v/>
      </c>
      <c r="S152" s="28">
        <f>IF($A152="","",IF($B152="","YETİM",IF(COUNTIF(tblKartlar[KartId],$B152)=0,"YETİM","")))</f>
        <v/>
      </c>
      <c r="T152" s="28">
        <f>IF(OR($A152="",$F152=""),"",IF(OR($F152&amp;"|"&amp;$G152="",COUNTIF(ListeIzinliGecis,$F152&amp;"|"&amp;$G152)&gt;0),"","GEÇERSİZ GEÇİŞ"))</f>
        <v/>
      </c>
      <c r="U152" s="28">
        <f>IF($A152="","",IF(OR($G152="TAHSIL",$I152&gt;0),IF(OR($H152="",$I152=""),"",IF(ABS($I152-$H152)&gt;zincirTolerans,"ZİNCİR KIRIK","OK")),"OK"))</f>
        <v/>
      </c>
      <c r="V152" s="28">
        <f>IF($A152="","",1)</f>
        <v/>
      </c>
    </row>
    <row r="153">
      <c r="A153" s="26" t="n"/>
      <c r="B153" s="26" t="n"/>
      <c r="C153" s="26" t="n"/>
      <c r="D153" s="29" t="n"/>
      <c r="E153" s="29" t="n"/>
      <c r="F153" s="26" t="n"/>
      <c r="G153" s="26" t="n"/>
      <c r="H153" s="27" t="n"/>
      <c r="I153" s="27" t="n"/>
      <c r="J153" s="27" t="n"/>
      <c r="K153" s="30" t="n"/>
      <c r="L153" s="26" t="n"/>
      <c r="M153" s="26" t="n"/>
      <c r="N153" s="26" t="n"/>
      <c r="O153" s="28">
        <f>IF($A153="","",IF(OR($G153="TAHSIL",$G153="KAPALI"),0,IF($D153="","",raporTarihi-$D153)))</f>
        <v/>
      </c>
      <c r="P153" s="28">
        <f>IF($A153="","",IF($O153="","",IF($O153&lt;=trv_kovaEsik1,"0-30",IF($O153&lt;=trv_kovaEsik2,"31-60",IF($O153&lt;=trv_kovaEsik3,"61-90","90+")))))</f>
        <v/>
      </c>
      <c r="Q153" s="28">
        <f>IF(OR($A153="",$G153="TAHSIL",$G153="KAPALI"),"",IF($P153="0-30",trv_olasilikK1,IF($P153="31-60",trv_olasilikK2,IF($P153="61-90",trv_olasilikK3,trv_olasilikK4))))</f>
        <v/>
      </c>
      <c r="R153" s="28">
        <f>IF(OR($A153="",$Q153=""),"",$J153*(1-$Q153)*MAX(trv_riskTaban,$K153/100))</f>
        <v/>
      </c>
      <c r="S153" s="28">
        <f>IF($A153="","",IF($B153="","YETİM",IF(COUNTIF(tblKartlar[KartId],$B153)=0,"YETİM","")))</f>
        <v/>
      </c>
      <c r="T153" s="28">
        <f>IF(OR($A153="",$F153=""),"",IF(OR($F153&amp;"|"&amp;$G153="",COUNTIF(ListeIzinliGecis,$F153&amp;"|"&amp;$G153)&gt;0),"","GEÇERSİZ GEÇİŞ"))</f>
        <v/>
      </c>
      <c r="U153" s="28">
        <f>IF($A153="","",IF(OR($G153="TAHSIL",$I153&gt;0),IF(OR($H153="",$I153=""),"",IF(ABS($I153-$H153)&gt;zincirTolerans,"ZİNCİR KIRIK","OK")),"OK"))</f>
        <v/>
      </c>
      <c r="V153" s="28">
        <f>IF($A153="","",1)</f>
        <v/>
      </c>
    </row>
    <row r="154">
      <c r="A154" s="26" t="n"/>
      <c r="B154" s="26" t="n"/>
      <c r="C154" s="26" t="n"/>
      <c r="D154" s="29" t="n"/>
      <c r="E154" s="29" t="n"/>
      <c r="F154" s="26" t="n"/>
      <c r="G154" s="26" t="n"/>
      <c r="H154" s="27" t="n"/>
      <c r="I154" s="27" t="n"/>
      <c r="J154" s="27" t="n"/>
      <c r="K154" s="30" t="n"/>
      <c r="L154" s="26" t="n"/>
      <c r="M154" s="26" t="n"/>
      <c r="N154" s="26" t="n"/>
      <c r="O154" s="28">
        <f>IF($A154="","",IF(OR($G154="TAHSIL",$G154="KAPALI"),0,IF($D154="","",raporTarihi-$D154)))</f>
        <v/>
      </c>
      <c r="P154" s="28">
        <f>IF($A154="","",IF($O154="","",IF($O154&lt;=trv_kovaEsik1,"0-30",IF($O154&lt;=trv_kovaEsik2,"31-60",IF($O154&lt;=trv_kovaEsik3,"61-90","90+")))))</f>
        <v/>
      </c>
      <c r="Q154" s="28">
        <f>IF(OR($A154="",$G154="TAHSIL",$G154="KAPALI"),"",IF($P154="0-30",trv_olasilikK1,IF($P154="31-60",trv_olasilikK2,IF($P154="61-90",trv_olasilikK3,trv_olasilikK4))))</f>
        <v/>
      </c>
      <c r="R154" s="28">
        <f>IF(OR($A154="",$Q154=""),"",$J154*(1-$Q154)*MAX(trv_riskTaban,$K154/100))</f>
        <v/>
      </c>
      <c r="S154" s="28">
        <f>IF($A154="","",IF($B154="","YETİM",IF(COUNTIF(tblKartlar[KartId],$B154)=0,"YETİM","")))</f>
        <v/>
      </c>
      <c r="T154" s="28">
        <f>IF(OR($A154="",$F154=""),"",IF(OR($F154&amp;"|"&amp;$G154="",COUNTIF(ListeIzinliGecis,$F154&amp;"|"&amp;$G154)&gt;0),"","GEÇERSİZ GEÇİŞ"))</f>
        <v/>
      </c>
      <c r="U154" s="28">
        <f>IF($A154="","",IF(OR($G154="TAHSIL",$I154&gt;0),IF(OR($H154="",$I154=""),"",IF(ABS($I154-$H154)&gt;zincirTolerans,"ZİNCİR KIRIK","OK")),"OK"))</f>
        <v/>
      </c>
      <c r="V154" s="28">
        <f>IF($A154="","",1)</f>
        <v/>
      </c>
    </row>
    <row r="155">
      <c r="A155" s="26" t="n"/>
      <c r="B155" s="26" t="n"/>
      <c r="C155" s="26" t="n"/>
      <c r="D155" s="29" t="n"/>
      <c r="E155" s="29" t="n"/>
      <c r="F155" s="26" t="n"/>
      <c r="G155" s="26" t="n"/>
      <c r="H155" s="27" t="n"/>
      <c r="I155" s="27" t="n"/>
      <c r="J155" s="27" t="n"/>
      <c r="K155" s="30" t="n"/>
      <c r="L155" s="26" t="n"/>
      <c r="M155" s="26" t="n"/>
      <c r="N155" s="26" t="n"/>
      <c r="O155" s="28">
        <f>IF($A155="","",IF(OR($G155="TAHSIL",$G155="KAPALI"),0,IF($D155="","",raporTarihi-$D155)))</f>
        <v/>
      </c>
      <c r="P155" s="28">
        <f>IF($A155="","",IF($O155="","",IF($O155&lt;=trv_kovaEsik1,"0-30",IF($O155&lt;=trv_kovaEsik2,"31-60",IF($O155&lt;=trv_kovaEsik3,"61-90","90+")))))</f>
        <v/>
      </c>
      <c r="Q155" s="28">
        <f>IF(OR($A155="",$G155="TAHSIL",$G155="KAPALI"),"",IF($P155="0-30",trv_olasilikK1,IF($P155="31-60",trv_olasilikK2,IF($P155="61-90",trv_olasilikK3,trv_olasilikK4))))</f>
        <v/>
      </c>
      <c r="R155" s="28">
        <f>IF(OR($A155="",$Q155=""),"",$J155*(1-$Q155)*MAX(trv_riskTaban,$K155/100))</f>
        <v/>
      </c>
      <c r="S155" s="28">
        <f>IF($A155="","",IF($B155="","YETİM",IF(COUNTIF(tblKartlar[KartId],$B155)=0,"YETİM","")))</f>
        <v/>
      </c>
      <c r="T155" s="28">
        <f>IF(OR($A155="",$F155=""),"",IF(OR($F155&amp;"|"&amp;$G155="",COUNTIF(ListeIzinliGecis,$F155&amp;"|"&amp;$G155)&gt;0),"","GEÇERSİZ GEÇİŞ"))</f>
        <v/>
      </c>
      <c r="U155" s="28">
        <f>IF($A155="","",IF(OR($G155="TAHSIL",$I155&gt;0),IF(OR($H155="",$I155=""),"",IF(ABS($I155-$H155)&gt;zincirTolerans,"ZİNCİR KIRIK","OK")),"OK"))</f>
        <v/>
      </c>
      <c r="V155" s="28">
        <f>IF($A155="","",1)</f>
        <v/>
      </c>
    </row>
    <row r="156">
      <c r="A156" s="26" t="n"/>
      <c r="B156" s="26" t="n"/>
      <c r="C156" s="26" t="n"/>
      <c r="D156" s="29" t="n"/>
      <c r="E156" s="29" t="n"/>
      <c r="F156" s="26" t="n"/>
      <c r="G156" s="26" t="n"/>
      <c r="H156" s="27" t="n"/>
      <c r="I156" s="27" t="n"/>
      <c r="J156" s="27" t="n"/>
      <c r="K156" s="30" t="n"/>
      <c r="L156" s="26" t="n"/>
      <c r="M156" s="26" t="n"/>
      <c r="N156" s="26" t="n"/>
      <c r="O156" s="28">
        <f>IF($A156="","",IF(OR($G156="TAHSIL",$G156="KAPALI"),0,IF($D156="","",raporTarihi-$D156)))</f>
        <v/>
      </c>
      <c r="P156" s="28">
        <f>IF($A156="","",IF($O156="","",IF($O156&lt;=trv_kovaEsik1,"0-30",IF($O156&lt;=trv_kovaEsik2,"31-60",IF($O156&lt;=trv_kovaEsik3,"61-90","90+")))))</f>
        <v/>
      </c>
      <c r="Q156" s="28">
        <f>IF(OR($A156="",$G156="TAHSIL",$G156="KAPALI"),"",IF($P156="0-30",trv_olasilikK1,IF($P156="31-60",trv_olasilikK2,IF($P156="61-90",trv_olasilikK3,trv_olasilikK4))))</f>
        <v/>
      </c>
      <c r="R156" s="28">
        <f>IF(OR($A156="",$Q156=""),"",$J156*(1-$Q156)*MAX(trv_riskTaban,$K156/100))</f>
        <v/>
      </c>
      <c r="S156" s="28">
        <f>IF($A156="","",IF($B156="","YETİM",IF(COUNTIF(tblKartlar[KartId],$B156)=0,"YETİM","")))</f>
        <v/>
      </c>
      <c r="T156" s="28">
        <f>IF(OR($A156="",$F156=""),"",IF(OR($F156&amp;"|"&amp;$G156="",COUNTIF(ListeIzinliGecis,$F156&amp;"|"&amp;$G156)&gt;0),"","GEÇERSİZ GEÇİŞ"))</f>
        <v/>
      </c>
      <c r="U156" s="28">
        <f>IF($A156="","",IF(OR($G156="TAHSIL",$I156&gt;0),IF(OR($H156="",$I156=""),"",IF(ABS($I156-$H156)&gt;zincirTolerans,"ZİNCİR KIRIK","OK")),"OK"))</f>
        <v/>
      </c>
      <c r="V156" s="28">
        <f>IF($A156="","",1)</f>
        <v/>
      </c>
    </row>
    <row r="157">
      <c r="A157" s="26" t="n"/>
      <c r="B157" s="26" t="n"/>
      <c r="C157" s="26" t="n"/>
      <c r="D157" s="29" t="n"/>
      <c r="E157" s="29" t="n"/>
      <c r="F157" s="26" t="n"/>
      <c r="G157" s="26" t="n"/>
      <c r="H157" s="27" t="n"/>
      <c r="I157" s="27" t="n"/>
      <c r="J157" s="27" t="n"/>
      <c r="K157" s="30" t="n"/>
      <c r="L157" s="26" t="n"/>
      <c r="M157" s="26" t="n"/>
      <c r="N157" s="26" t="n"/>
      <c r="O157" s="28">
        <f>IF($A157="","",IF(OR($G157="TAHSIL",$G157="KAPALI"),0,IF($D157="","",raporTarihi-$D157)))</f>
        <v/>
      </c>
      <c r="P157" s="28">
        <f>IF($A157="","",IF($O157="","",IF($O157&lt;=trv_kovaEsik1,"0-30",IF($O157&lt;=trv_kovaEsik2,"31-60",IF($O157&lt;=trv_kovaEsik3,"61-90","90+")))))</f>
        <v/>
      </c>
      <c r="Q157" s="28">
        <f>IF(OR($A157="",$G157="TAHSIL",$G157="KAPALI"),"",IF($P157="0-30",trv_olasilikK1,IF($P157="31-60",trv_olasilikK2,IF($P157="61-90",trv_olasilikK3,trv_olasilikK4))))</f>
        <v/>
      </c>
      <c r="R157" s="28">
        <f>IF(OR($A157="",$Q157=""),"",$J157*(1-$Q157)*MAX(trv_riskTaban,$K157/100))</f>
        <v/>
      </c>
      <c r="S157" s="28">
        <f>IF($A157="","",IF($B157="","YETİM",IF(COUNTIF(tblKartlar[KartId],$B157)=0,"YETİM","")))</f>
        <v/>
      </c>
      <c r="T157" s="28">
        <f>IF(OR($A157="",$F157=""),"",IF(OR($F157&amp;"|"&amp;$G157="",COUNTIF(ListeIzinliGecis,$F157&amp;"|"&amp;$G157)&gt;0),"","GEÇERSİZ GEÇİŞ"))</f>
        <v/>
      </c>
      <c r="U157" s="28">
        <f>IF($A157="","",IF(OR($G157="TAHSIL",$I157&gt;0),IF(OR($H157="",$I157=""),"",IF(ABS($I157-$H157)&gt;zincirTolerans,"ZİNCİR KIRIK","OK")),"OK"))</f>
        <v/>
      </c>
      <c r="V157" s="28">
        <f>IF($A157="","",1)</f>
        <v/>
      </c>
    </row>
    <row r="158">
      <c r="A158" s="26" t="n"/>
      <c r="B158" s="26" t="n"/>
      <c r="C158" s="26" t="n"/>
      <c r="D158" s="29" t="n"/>
      <c r="E158" s="29" t="n"/>
      <c r="F158" s="26" t="n"/>
      <c r="G158" s="26" t="n"/>
      <c r="H158" s="27" t="n"/>
      <c r="I158" s="27" t="n"/>
      <c r="J158" s="27" t="n"/>
      <c r="K158" s="30" t="n"/>
      <c r="L158" s="26" t="n"/>
      <c r="M158" s="26" t="n"/>
      <c r="N158" s="26" t="n"/>
      <c r="O158" s="28">
        <f>IF($A158="","",IF(OR($G158="TAHSIL",$G158="KAPALI"),0,IF($D158="","",raporTarihi-$D158)))</f>
        <v/>
      </c>
      <c r="P158" s="28">
        <f>IF($A158="","",IF($O158="","",IF($O158&lt;=trv_kovaEsik1,"0-30",IF($O158&lt;=trv_kovaEsik2,"31-60",IF($O158&lt;=trv_kovaEsik3,"61-90","90+")))))</f>
        <v/>
      </c>
      <c r="Q158" s="28">
        <f>IF(OR($A158="",$G158="TAHSIL",$G158="KAPALI"),"",IF($P158="0-30",trv_olasilikK1,IF($P158="31-60",trv_olasilikK2,IF($P158="61-90",trv_olasilikK3,trv_olasilikK4))))</f>
        <v/>
      </c>
      <c r="R158" s="28">
        <f>IF(OR($A158="",$Q158=""),"",$J158*(1-$Q158)*MAX(trv_riskTaban,$K158/100))</f>
        <v/>
      </c>
      <c r="S158" s="28">
        <f>IF($A158="","",IF($B158="","YETİM",IF(COUNTIF(tblKartlar[KartId],$B158)=0,"YETİM","")))</f>
        <v/>
      </c>
      <c r="T158" s="28">
        <f>IF(OR($A158="",$F158=""),"",IF(OR($F158&amp;"|"&amp;$G158="",COUNTIF(ListeIzinliGecis,$F158&amp;"|"&amp;$G158)&gt;0),"","GEÇERSİZ GEÇİŞ"))</f>
        <v/>
      </c>
      <c r="U158" s="28">
        <f>IF($A158="","",IF(OR($G158="TAHSIL",$I158&gt;0),IF(OR($H158="",$I158=""),"",IF(ABS($I158-$H158)&gt;zincirTolerans,"ZİNCİR KIRIK","OK")),"OK"))</f>
        <v/>
      </c>
      <c r="V158" s="28">
        <f>IF($A158="","",1)</f>
        <v/>
      </c>
    </row>
    <row r="159">
      <c r="A159" s="26" t="n"/>
      <c r="B159" s="26" t="n"/>
      <c r="C159" s="26" t="n"/>
      <c r="D159" s="29" t="n"/>
      <c r="E159" s="29" t="n"/>
      <c r="F159" s="26" t="n"/>
      <c r="G159" s="26" t="n"/>
      <c r="H159" s="27" t="n"/>
      <c r="I159" s="27" t="n"/>
      <c r="J159" s="27" t="n"/>
      <c r="K159" s="30" t="n"/>
      <c r="L159" s="26" t="n"/>
      <c r="M159" s="26" t="n"/>
      <c r="N159" s="26" t="n"/>
      <c r="O159" s="28">
        <f>IF($A159="","",IF(OR($G159="TAHSIL",$G159="KAPALI"),0,IF($D159="","",raporTarihi-$D159)))</f>
        <v/>
      </c>
      <c r="P159" s="28">
        <f>IF($A159="","",IF($O159="","",IF($O159&lt;=trv_kovaEsik1,"0-30",IF($O159&lt;=trv_kovaEsik2,"31-60",IF($O159&lt;=trv_kovaEsik3,"61-90","90+")))))</f>
        <v/>
      </c>
      <c r="Q159" s="28">
        <f>IF(OR($A159="",$G159="TAHSIL",$G159="KAPALI"),"",IF($P159="0-30",trv_olasilikK1,IF($P159="31-60",trv_olasilikK2,IF($P159="61-90",trv_olasilikK3,trv_olasilikK4))))</f>
        <v/>
      </c>
      <c r="R159" s="28">
        <f>IF(OR($A159="",$Q159=""),"",$J159*(1-$Q159)*MAX(trv_riskTaban,$K159/100))</f>
        <v/>
      </c>
      <c r="S159" s="28">
        <f>IF($A159="","",IF($B159="","YETİM",IF(COUNTIF(tblKartlar[KartId],$B159)=0,"YETİM","")))</f>
        <v/>
      </c>
      <c r="T159" s="28">
        <f>IF(OR($A159="",$F159=""),"",IF(OR($F159&amp;"|"&amp;$G159="",COUNTIF(ListeIzinliGecis,$F159&amp;"|"&amp;$G159)&gt;0),"","GEÇERSİZ GEÇİŞ"))</f>
        <v/>
      </c>
      <c r="U159" s="28">
        <f>IF($A159="","",IF(OR($G159="TAHSIL",$I159&gt;0),IF(OR($H159="",$I159=""),"",IF(ABS($I159-$H159)&gt;zincirTolerans,"ZİNCİR KIRIK","OK")),"OK"))</f>
        <v/>
      </c>
      <c r="V159" s="28">
        <f>IF($A159="","",1)</f>
        <v/>
      </c>
    </row>
    <row r="160">
      <c r="A160" s="26" t="n"/>
      <c r="B160" s="26" t="n"/>
      <c r="C160" s="26" t="n"/>
      <c r="D160" s="29" t="n"/>
      <c r="E160" s="29" t="n"/>
      <c r="F160" s="26" t="n"/>
      <c r="G160" s="26" t="n"/>
      <c r="H160" s="27" t="n"/>
      <c r="I160" s="27" t="n"/>
      <c r="J160" s="27" t="n"/>
      <c r="K160" s="30" t="n"/>
      <c r="L160" s="26" t="n"/>
      <c r="M160" s="26" t="n"/>
      <c r="N160" s="26" t="n"/>
      <c r="O160" s="28">
        <f>IF($A160="","",IF(OR($G160="TAHSIL",$G160="KAPALI"),0,IF($D160="","",raporTarihi-$D160)))</f>
        <v/>
      </c>
      <c r="P160" s="28">
        <f>IF($A160="","",IF($O160="","",IF($O160&lt;=trv_kovaEsik1,"0-30",IF($O160&lt;=trv_kovaEsik2,"31-60",IF($O160&lt;=trv_kovaEsik3,"61-90","90+")))))</f>
        <v/>
      </c>
      <c r="Q160" s="28">
        <f>IF(OR($A160="",$G160="TAHSIL",$G160="KAPALI"),"",IF($P160="0-30",trv_olasilikK1,IF($P160="31-60",trv_olasilikK2,IF($P160="61-90",trv_olasilikK3,trv_olasilikK4))))</f>
        <v/>
      </c>
      <c r="R160" s="28">
        <f>IF(OR($A160="",$Q160=""),"",$J160*(1-$Q160)*MAX(trv_riskTaban,$K160/100))</f>
        <v/>
      </c>
      <c r="S160" s="28">
        <f>IF($A160="","",IF($B160="","YETİM",IF(COUNTIF(tblKartlar[KartId],$B160)=0,"YETİM","")))</f>
        <v/>
      </c>
      <c r="T160" s="28">
        <f>IF(OR($A160="",$F160=""),"",IF(OR($F160&amp;"|"&amp;$G160="",COUNTIF(ListeIzinliGecis,$F160&amp;"|"&amp;$G160)&gt;0),"","GEÇERSİZ GEÇİŞ"))</f>
        <v/>
      </c>
      <c r="U160" s="28">
        <f>IF($A160="","",IF(OR($G160="TAHSIL",$I160&gt;0),IF(OR($H160="",$I160=""),"",IF(ABS($I160-$H160)&gt;zincirTolerans,"ZİNCİR KIRIK","OK")),"OK"))</f>
        <v/>
      </c>
      <c r="V160" s="28">
        <f>IF($A160="","",1)</f>
        <v/>
      </c>
    </row>
    <row r="161">
      <c r="A161" s="26" t="n"/>
      <c r="B161" s="26" t="n"/>
      <c r="C161" s="26" t="n"/>
      <c r="D161" s="29" t="n"/>
      <c r="E161" s="29" t="n"/>
      <c r="F161" s="26" t="n"/>
      <c r="G161" s="26" t="n"/>
      <c r="H161" s="27" t="n"/>
      <c r="I161" s="27" t="n"/>
      <c r="J161" s="27" t="n"/>
      <c r="K161" s="30" t="n"/>
      <c r="L161" s="26" t="n"/>
      <c r="M161" s="26" t="n"/>
      <c r="N161" s="26" t="n"/>
      <c r="O161" s="28">
        <f>IF($A161="","",IF(OR($G161="TAHSIL",$G161="KAPALI"),0,IF($D161="","",raporTarihi-$D161)))</f>
        <v/>
      </c>
      <c r="P161" s="28">
        <f>IF($A161="","",IF($O161="","",IF($O161&lt;=trv_kovaEsik1,"0-30",IF($O161&lt;=trv_kovaEsik2,"31-60",IF($O161&lt;=trv_kovaEsik3,"61-90","90+")))))</f>
        <v/>
      </c>
      <c r="Q161" s="28">
        <f>IF(OR($A161="",$G161="TAHSIL",$G161="KAPALI"),"",IF($P161="0-30",trv_olasilikK1,IF($P161="31-60",trv_olasilikK2,IF($P161="61-90",trv_olasilikK3,trv_olasilikK4))))</f>
        <v/>
      </c>
      <c r="R161" s="28">
        <f>IF(OR($A161="",$Q161=""),"",$J161*(1-$Q161)*MAX(trv_riskTaban,$K161/100))</f>
        <v/>
      </c>
      <c r="S161" s="28">
        <f>IF($A161="","",IF($B161="","YETİM",IF(COUNTIF(tblKartlar[KartId],$B161)=0,"YETİM","")))</f>
        <v/>
      </c>
      <c r="T161" s="28">
        <f>IF(OR($A161="",$F161=""),"",IF(OR($F161&amp;"|"&amp;$G161="",COUNTIF(ListeIzinliGecis,$F161&amp;"|"&amp;$G161)&gt;0),"","GEÇERSİZ GEÇİŞ"))</f>
        <v/>
      </c>
      <c r="U161" s="28">
        <f>IF($A161="","",IF(OR($G161="TAHSIL",$I161&gt;0),IF(OR($H161="",$I161=""),"",IF(ABS($I161-$H161)&gt;zincirTolerans,"ZİNCİR KIRIK","OK")),"OK"))</f>
        <v/>
      </c>
      <c r="V161" s="28">
        <f>IF($A161="","",1)</f>
        <v/>
      </c>
    </row>
    <row r="162">
      <c r="A162" s="26" t="n"/>
      <c r="B162" s="26" t="n"/>
      <c r="C162" s="26" t="n"/>
      <c r="D162" s="29" t="n"/>
      <c r="E162" s="29" t="n"/>
      <c r="F162" s="26" t="n"/>
      <c r="G162" s="26" t="n"/>
      <c r="H162" s="27" t="n"/>
      <c r="I162" s="27" t="n"/>
      <c r="J162" s="27" t="n"/>
      <c r="K162" s="30" t="n"/>
      <c r="L162" s="26" t="n"/>
      <c r="M162" s="26" t="n"/>
      <c r="N162" s="26" t="n"/>
      <c r="O162" s="28">
        <f>IF($A162="","",IF(OR($G162="TAHSIL",$G162="KAPALI"),0,IF($D162="","",raporTarihi-$D162)))</f>
        <v/>
      </c>
      <c r="P162" s="28">
        <f>IF($A162="","",IF($O162="","",IF($O162&lt;=trv_kovaEsik1,"0-30",IF($O162&lt;=trv_kovaEsik2,"31-60",IF($O162&lt;=trv_kovaEsik3,"61-90","90+")))))</f>
        <v/>
      </c>
      <c r="Q162" s="28">
        <f>IF(OR($A162="",$G162="TAHSIL",$G162="KAPALI"),"",IF($P162="0-30",trv_olasilikK1,IF($P162="31-60",trv_olasilikK2,IF($P162="61-90",trv_olasilikK3,trv_olasilikK4))))</f>
        <v/>
      </c>
      <c r="R162" s="28">
        <f>IF(OR($A162="",$Q162=""),"",$J162*(1-$Q162)*MAX(trv_riskTaban,$K162/100))</f>
        <v/>
      </c>
      <c r="S162" s="28">
        <f>IF($A162="","",IF($B162="","YETİM",IF(COUNTIF(tblKartlar[KartId],$B162)=0,"YETİM","")))</f>
        <v/>
      </c>
      <c r="T162" s="28">
        <f>IF(OR($A162="",$F162=""),"",IF(OR($F162&amp;"|"&amp;$G162="",COUNTIF(ListeIzinliGecis,$F162&amp;"|"&amp;$G162)&gt;0),"","GEÇERSİZ GEÇİŞ"))</f>
        <v/>
      </c>
      <c r="U162" s="28">
        <f>IF($A162="","",IF(OR($G162="TAHSIL",$I162&gt;0),IF(OR($H162="",$I162=""),"",IF(ABS($I162-$H162)&gt;zincirTolerans,"ZİNCİR KIRIK","OK")),"OK"))</f>
        <v/>
      </c>
      <c r="V162" s="28">
        <f>IF($A162="","",1)</f>
        <v/>
      </c>
    </row>
    <row r="163">
      <c r="A163" s="26" t="n"/>
      <c r="B163" s="26" t="n"/>
      <c r="C163" s="26" t="n"/>
      <c r="D163" s="29" t="n"/>
      <c r="E163" s="29" t="n"/>
      <c r="F163" s="26" t="n"/>
      <c r="G163" s="26" t="n"/>
      <c r="H163" s="27" t="n"/>
      <c r="I163" s="27" t="n"/>
      <c r="J163" s="27" t="n"/>
      <c r="K163" s="30" t="n"/>
      <c r="L163" s="26" t="n"/>
      <c r="M163" s="26" t="n"/>
      <c r="N163" s="26" t="n"/>
      <c r="O163" s="28">
        <f>IF($A163="","",IF(OR($G163="TAHSIL",$G163="KAPALI"),0,IF($D163="","",raporTarihi-$D163)))</f>
        <v/>
      </c>
      <c r="P163" s="28">
        <f>IF($A163="","",IF($O163="","",IF($O163&lt;=trv_kovaEsik1,"0-30",IF($O163&lt;=trv_kovaEsik2,"31-60",IF($O163&lt;=trv_kovaEsik3,"61-90","90+")))))</f>
        <v/>
      </c>
      <c r="Q163" s="28">
        <f>IF(OR($A163="",$G163="TAHSIL",$G163="KAPALI"),"",IF($P163="0-30",trv_olasilikK1,IF($P163="31-60",trv_olasilikK2,IF($P163="61-90",trv_olasilikK3,trv_olasilikK4))))</f>
        <v/>
      </c>
      <c r="R163" s="28">
        <f>IF(OR($A163="",$Q163=""),"",$J163*(1-$Q163)*MAX(trv_riskTaban,$K163/100))</f>
        <v/>
      </c>
      <c r="S163" s="28">
        <f>IF($A163="","",IF($B163="","YETİM",IF(COUNTIF(tblKartlar[KartId],$B163)=0,"YETİM","")))</f>
        <v/>
      </c>
      <c r="T163" s="28">
        <f>IF(OR($A163="",$F163=""),"",IF(OR($F163&amp;"|"&amp;$G163="",COUNTIF(ListeIzinliGecis,$F163&amp;"|"&amp;$G163)&gt;0),"","GEÇERSİZ GEÇİŞ"))</f>
        <v/>
      </c>
      <c r="U163" s="28">
        <f>IF($A163="","",IF(OR($G163="TAHSIL",$I163&gt;0),IF(OR($H163="",$I163=""),"",IF(ABS($I163-$H163)&gt;zincirTolerans,"ZİNCİR KIRIK","OK")),"OK"))</f>
        <v/>
      </c>
      <c r="V163" s="28">
        <f>IF($A163="","",1)</f>
        <v/>
      </c>
    </row>
    <row r="164">
      <c r="A164" s="26" t="n"/>
      <c r="B164" s="26" t="n"/>
      <c r="C164" s="26" t="n"/>
      <c r="D164" s="29" t="n"/>
      <c r="E164" s="29" t="n"/>
      <c r="F164" s="26" t="n"/>
      <c r="G164" s="26" t="n"/>
      <c r="H164" s="27" t="n"/>
      <c r="I164" s="27" t="n"/>
      <c r="J164" s="27" t="n"/>
      <c r="K164" s="30" t="n"/>
      <c r="L164" s="26" t="n"/>
      <c r="M164" s="26" t="n"/>
      <c r="N164" s="26" t="n"/>
      <c r="O164" s="28">
        <f>IF($A164="","",IF(OR($G164="TAHSIL",$G164="KAPALI"),0,IF($D164="","",raporTarihi-$D164)))</f>
        <v/>
      </c>
      <c r="P164" s="28">
        <f>IF($A164="","",IF($O164="","",IF($O164&lt;=trv_kovaEsik1,"0-30",IF($O164&lt;=trv_kovaEsik2,"31-60",IF($O164&lt;=trv_kovaEsik3,"61-90","90+")))))</f>
        <v/>
      </c>
      <c r="Q164" s="28">
        <f>IF(OR($A164="",$G164="TAHSIL",$G164="KAPALI"),"",IF($P164="0-30",trv_olasilikK1,IF($P164="31-60",trv_olasilikK2,IF($P164="61-90",trv_olasilikK3,trv_olasilikK4))))</f>
        <v/>
      </c>
      <c r="R164" s="28">
        <f>IF(OR($A164="",$Q164=""),"",$J164*(1-$Q164)*MAX(trv_riskTaban,$K164/100))</f>
        <v/>
      </c>
      <c r="S164" s="28">
        <f>IF($A164="","",IF($B164="","YETİM",IF(COUNTIF(tblKartlar[KartId],$B164)=0,"YETİM","")))</f>
        <v/>
      </c>
      <c r="T164" s="28">
        <f>IF(OR($A164="",$F164=""),"",IF(OR($F164&amp;"|"&amp;$G164="",COUNTIF(ListeIzinliGecis,$F164&amp;"|"&amp;$G164)&gt;0),"","GEÇERSİZ GEÇİŞ"))</f>
        <v/>
      </c>
      <c r="U164" s="28">
        <f>IF($A164="","",IF(OR($G164="TAHSIL",$I164&gt;0),IF(OR($H164="",$I164=""),"",IF(ABS($I164-$H164)&gt;zincirTolerans,"ZİNCİR KIRIK","OK")),"OK"))</f>
        <v/>
      </c>
      <c r="V164" s="28">
        <f>IF($A164="","",1)</f>
        <v/>
      </c>
    </row>
    <row r="165">
      <c r="A165" s="26" t="n"/>
      <c r="B165" s="26" t="n"/>
      <c r="C165" s="26" t="n"/>
      <c r="D165" s="29" t="n"/>
      <c r="E165" s="29" t="n"/>
      <c r="F165" s="26" t="n"/>
      <c r="G165" s="26" t="n"/>
      <c r="H165" s="27" t="n"/>
      <c r="I165" s="27" t="n"/>
      <c r="J165" s="27" t="n"/>
      <c r="K165" s="30" t="n"/>
      <c r="L165" s="26" t="n"/>
      <c r="M165" s="26" t="n"/>
      <c r="N165" s="26" t="n"/>
      <c r="O165" s="28">
        <f>IF($A165="","",IF(OR($G165="TAHSIL",$G165="KAPALI"),0,IF($D165="","",raporTarihi-$D165)))</f>
        <v/>
      </c>
      <c r="P165" s="28">
        <f>IF($A165="","",IF($O165="","",IF($O165&lt;=trv_kovaEsik1,"0-30",IF($O165&lt;=trv_kovaEsik2,"31-60",IF($O165&lt;=trv_kovaEsik3,"61-90","90+")))))</f>
        <v/>
      </c>
      <c r="Q165" s="28">
        <f>IF(OR($A165="",$G165="TAHSIL",$G165="KAPALI"),"",IF($P165="0-30",trv_olasilikK1,IF($P165="31-60",trv_olasilikK2,IF($P165="61-90",trv_olasilikK3,trv_olasilikK4))))</f>
        <v/>
      </c>
      <c r="R165" s="28">
        <f>IF(OR($A165="",$Q165=""),"",$J165*(1-$Q165)*MAX(trv_riskTaban,$K165/100))</f>
        <v/>
      </c>
      <c r="S165" s="28">
        <f>IF($A165="","",IF($B165="","YETİM",IF(COUNTIF(tblKartlar[KartId],$B165)=0,"YETİM","")))</f>
        <v/>
      </c>
      <c r="T165" s="28">
        <f>IF(OR($A165="",$F165=""),"",IF(OR($F165&amp;"|"&amp;$G165="",COUNTIF(ListeIzinliGecis,$F165&amp;"|"&amp;$G165)&gt;0),"","GEÇERSİZ GEÇİŞ"))</f>
        <v/>
      </c>
      <c r="U165" s="28">
        <f>IF($A165="","",IF(OR($G165="TAHSIL",$I165&gt;0),IF(OR($H165="",$I165=""),"",IF(ABS($I165-$H165)&gt;zincirTolerans,"ZİNCİR KIRIK","OK")),"OK"))</f>
        <v/>
      </c>
      <c r="V165" s="28">
        <f>IF($A165="","",1)</f>
        <v/>
      </c>
    </row>
    <row r="166">
      <c r="A166" s="26" t="n"/>
      <c r="B166" s="26" t="n"/>
      <c r="C166" s="26" t="n"/>
      <c r="D166" s="29" t="n"/>
      <c r="E166" s="29" t="n"/>
      <c r="F166" s="26" t="n"/>
      <c r="G166" s="26" t="n"/>
      <c r="H166" s="27" t="n"/>
      <c r="I166" s="27" t="n"/>
      <c r="J166" s="27" t="n"/>
      <c r="K166" s="30" t="n"/>
      <c r="L166" s="26" t="n"/>
      <c r="M166" s="26" t="n"/>
      <c r="N166" s="26" t="n"/>
      <c r="O166" s="28">
        <f>IF($A166="","",IF(OR($G166="TAHSIL",$G166="KAPALI"),0,IF($D166="","",raporTarihi-$D166)))</f>
        <v/>
      </c>
      <c r="P166" s="28">
        <f>IF($A166="","",IF($O166="","",IF($O166&lt;=trv_kovaEsik1,"0-30",IF($O166&lt;=trv_kovaEsik2,"31-60",IF($O166&lt;=trv_kovaEsik3,"61-90","90+")))))</f>
        <v/>
      </c>
      <c r="Q166" s="28">
        <f>IF(OR($A166="",$G166="TAHSIL",$G166="KAPALI"),"",IF($P166="0-30",trv_olasilikK1,IF($P166="31-60",trv_olasilikK2,IF($P166="61-90",trv_olasilikK3,trv_olasilikK4))))</f>
        <v/>
      </c>
      <c r="R166" s="28">
        <f>IF(OR($A166="",$Q166=""),"",$J166*(1-$Q166)*MAX(trv_riskTaban,$K166/100))</f>
        <v/>
      </c>
      <c r="S166" s="28">
        <f>IF($A166="","",IF($B166="","YETİM",IF(COUNTIF(tblKartlar[KartId],$B166)=0,"YETİM","")))</f>
        <v/>
      </c>
      <c r="T166" s="28">
        <f>IF(OR($A166="",$F166=""),"",IF(OR($F166&amp;"|"&amp;$G166="",COUNTIF(ListeIzinliGecis,$F166&amp;"|"&amp;$G166)&gt;0),"","GEÇERSİZ GEÇİŞ"))</f>
        <v/>
      </c>
      <c r="U166" s="28">
        <f>IF($A166="","",IF(OR($G166="TAHSIL",$I166&gt;0),IF(OR($H166="",$I166=""),"",IF(ABS($I166-$H166)&gt;zincirTolerans,"ZİNCİR KIRIK","OK")),"OK"))</f>
        <v/>
      </c>
      <c r="V166" s="28">
        <f>IF($A166="","",1)</f>
        <v/>
      </c>
    </row>
    <row r="167">
      <c r="A167" s="26" t="n"/>
      <c r="B167" s="26" t="n"/>
      <c r="C167" s="26" t="n"/>
      <c r="D167" s="29" t="n"/>
      <c r="E167" s="29" t="n"/>
      <c r="F167" s="26" t="n"/>
      <c r="G167" s="26" t="n"/>
      <c r="H167" s="27" t="n"/>
      <c r="I167" s="27" t="n"/>
      <c r="J167" s="27" t="n"/>
      <c r="K167" s="30" t="n"/>
      <c r="L167" s="26" t="n"/>
      <c r="M167" s="26" t="n"/>
      <c r="N167" s="26" t="n"/>
      <c r="O167" s="28">
        <f>IF($A167="","",IF(OR($G167="TAHSIL",$G167="KAPALI"),0,IF($D167="","",raporTarihi-$D167)))</f>
        <v/>
      </c>
      <c r="P167" s="28">
        <f>IF($A167="","",IF($O167="","",IF($O167&lt;=trv_kovaEsik1,"0-30",IF($O167&lt;=trv_kovaEsik2,"31-60",IF($O167&lt;=trv_kovaEsik3,"61-90","90+")))))</f>
        <v/>
      </c>
      <c r="Q167" s="28">
        <f>IF(OR($A167="",$G167="TAHSIL",$G167="KAPALI"),"",IF($P167="0-30",trv_olasilikK1,IF($P167="31-60",trv_olasilikK2,IF($P167="61-90",trv_olasilikK3,trv_olasilikK4))))</f>
        <v/>
      </c>
      <c r="R167" s="28">
        <f>IF(OR($A167="",$Q167=""),"",$J167*(1-$Q167)*MAX(trv_riskTaban,$K167/100))</f>
        <v/>
      </c>
      <c r="S167" s="28">
        <f>IF($A167="","",IF($B167="","YETİM",IF(COUNTIF(tblKartlar[KartId],$B167)=0,"YETİM","")))</f>
        <v/>
      </c>
      <c r="T167" s="28">
        <f>IF(OR($A167="",$F167=""),"",IF(OR($F167&amp;"|"&amp;$G167="",COUNTIF(ListeIzinliGecis,$F167&amp;"|"&amp;$G167)&gt;0),"","GEÇERSİZ GEÇİŞ"))</f>
        <v/>
      </c>
      <c r="U167" s="28">
        <f>IF($A167="","",IF(OR($G167="TAHSIL",$I167&gt;0),IF(OR($H167="",$I167=""),"",IF(ABS($I167-$H167)&gt;zincirTolerans,"ZİNCİR KIRIK","OK")),"OK"))</f>
        <v/>
      </c>
      <c r="V167" s="28">
        <f>IF($A167="","",1)</f>
        <v/>
      </c>
    </row>
    <row r="168">
      <c r="A168" s="26" t="n"/>
      <c r="B168" s="26" t="n"/>
      <c r="C168" s="26" t="n"/>
      <c r="D168" s="29" t="n"/>
      <c r="E168" s="29" t="n"/>
      <c r="F168" s="26" t="n"/>
      <c r="G168" s="26" t="n"/>
      <c r="H168" s="27" t="n"/>
      <c r="I168" s="27" t="n"/>
      <c r="J168" s="27" t="n"/>
      <c r="K168" s="30" t="n"/>
      <c r="L168" s="26" t="n"/>
      <c r="M168" s="26" t="n"/>
      <c r="N168" s="26" t="n"/>
      <c r="O168" s="28">
        <f>IF($A168="","",IF(OR($G168="TAHSIL",$G168="KAPALI"),0,IF($D168="","",raporTarihi-$D168)))</f>
        <v/>
      </c>
      <c r="P168" s="28">
        <f>IF($A168="","",IF($O168="","",IF($O168&lt;=trv_kovaEsik1,"0-30",IF($O168&lt;=trv_kovaEsik2,"31-60",IF($O168&lt;=trv_kovaEsik3,"61-90","90+")))))</f>
        <v/>
      </c>
      <c r="Q168" s="28">
        <f>IF(OR($A168="",$G168="TAHSIL",$G168="KAPALI"),"",IF($P168="0-30",trv_olasilikK1,IF($P168="31-60",trv_olasilikK2,IF($P168="61-90",trv_olasilikK3,trv_olasilikK4))))</f>
        <v/>
      </c>
      <c r="R168" s="28">
        <f>IF(OR($A168="",$Q168=""),"",$J168*(1-$Q168)*MAX(trv_riskTaban,$K168/100))</f>
        <v/>
      </c>
      <c r="S168" s="28">
        <f>IF($A168="","",IF($B168="","YETİM",IF(COUNTIF(tblKartlar[KartId],$B168)=0,"YETİM","")))</f>
        <v/>
      </c>
      <c r="T168" s="28">
        <f>IF(OR($A168="",$F168=""),"",IF(OR($F168&amp;"|"&amp;$G168="",COUNTIF(ListeIzinliGecis,$F168&amp;"|"&amp;$G168)&gt;0),"","GEÇERSİZ GEÇİŞ"))</f>
        <v/>
      </c>
      <c r="U168" s="28">
        <f>IF($A168="","",IF(OR($G168="TAHSIL",$I168&gt;0),IF(OR($H168="",$I168=""),"",IF(ABS($I168-$H168)&gt;zincirTolerans,"ZİNCİR KIRIK","OK")),"OK"))</f>
        <v/>
      </c>
      <c r="V168" s="28">
        <f>IF($A168="","",1)</f>
        <v/>
      </c>
    </row>
    <row r="169">
      <c r="A169" s="26" t="n"/>
      <c r="B169" s="26" t="n"/>
      <c r="C169" s="26" t="n"/>
      <c r="D169" s="29" t="n"/>
      <c r="E169" s="29" t="n"/>
      <c r="F169" s="26" t="n"/>
      <c r="G169" s="26" t="n"/>
      <c r="H169" s="27" t="n"/>
      <c r="I169" s="27" t="n"/>
      <c r="J169" s="27" t="n"/>
      <c r="K169" s="30" t="n"/>
      <c r="L169" s="26" t="n"/>
      <c r="M169" s="26" t="n"/>
      <c r="N169" s="26" t="n"/>
      <c r="O169" s="28">
        <f>IF($A169="","",IF(OR($G169="TAHSIL",$G169="KAPALI"),0,IF($D169="","",raporTarihi-$D169)))</f>
        <v/>
      </c>
      <c r="P169" s="28">
        <f>IF($A169="","",IF($O169="","",IF($O169&lt;=trv_kovaEsik1,"0-30",IF($O169&lt;=trv_kovaEsik2,"31-60",IF($O169&lt;=trv_kovaEsik3,"61-90","90+")))))</f>
        <v/>
      </c>
      <c r="Q169" s="28">
        <f>IF(OR($A169="",$G169="TAHSIL",$G169="KAPALI"),"",IF($P169="0-30",trv_olasilikK1,IF($P169="31-60",trv_olasilikK2,IF($P169="61-90",trv_olasilikK3,trv_olasilikK4))))</f>
        <v/>
      </c>
      <c r="R169" s="28">
        <f>IF(OR($A169="",$Q169=""),"",$J169*(1-$Q169)*MAX(trv_riskTaban,$K169/100))</f>
        <v/>
      </c>
      <c r="S169" s="28">
        <f>IF($A169="","",IF($B169="","YETİM",IF(COUNTIF(tblKartlar[KartId],$B169)=0,"YETİM","")))</f>
        <v/>
      </c>
      <c r="T169" s="28">
        <f>IF(OR($A169="",$F169=""),"",IF(OR($F169&amp;"|"&amp;$G169="",COUNTIF(ListeIzinliGecis,$F169&amp;"|"&amp;$G169)&gt;0),"","GEÇERSİZ GEÇİŞ"))</f>
        <v/>
      </c>
      <c r="U169" s="28">
        <f>IF($A169="","",IF(OR($G169="TAHSIL",$I169&gt;0),IF(OR($H169="",$I169=""),"",IF(ABS($I169-$H169)&gt;zincirTolerans,"ZİNCİR KIRIK","OK")),"OK"))</f>
        <v/>
      </c>
      <c r="V169" s="28">
        <f>IF($A169="","",1)</f>
        <v/>
      </c>
    </row>
    <row r="170">
      <c r="A170" s="26" t="n"/>
      <c r="B170" s="26" t="n"/>
      <c r="C170" s="26" t="n"/>
      <c r="D170" s="29" t="n"/>
      <c r="E170" s="29" t="n"/>
      <c r="F170" s="26" t="n"/>
      <c r="G170" s="26" t="n"/>
      <c r="H170" s="27" t="n"/>
      <c r="I170" s="27" t="n"/>
      <c r="J170" s="27" t="n"/>
      <c r="K170" s="30" t="n"/>
      <c r="L170" s="26" t="n"/>
      <c r="M170" s="26" t="n"/>
      <c r="N170" s="26" t="n"/>
      <c r="O170" s="28">
        <f>IF($A170="","",IF(OR($G170="TAHSIL",$G170="KAPALI"),0,IF($D170="","",raporTarihi-$D170)))</f>
        <v/>
      </c>
      <c r="P170" s="28">
        <f>IF($A170="","",IF($O170="","",IF($O170&lt;=trv_kovaEsik1,"0-30",IF($O170&lt;=trv_kovaEsik2,"31-60",IF($O170&lt;=trv_kovaEsik3,"61-90","90+")))))</f>
        <v/>
      </c>
      <c r="Q170" s="28">
        <f>IF(OR($A170="",$G170="TAHSIL",$G170="KAPALI"),"",IF($P170="0-30",trv_olasilikK1,IF($P170="31-60",trv_olasilikK2,IF($P170="61-90",trv_olasilikK3,trv_olasilikK4))))</f>
        <v/>
      </c>
      <c r="R170" s="28">
        <f>IF(OR($A170="",$Q170=""),"",$J170*(1-$Q170)*MAX(trv_riskTaban,$K170/100))</f>
        <v/>
      </c>
      <c r="S170" s="28">
        <f>IF($A170="","",IF($B170="","YETİM",IF(COUNTIF(tblKartlar[KartId],$B170)=0,"YETİM","")))</f>
        <v/>
      </c>
      <c r="T170" s="28">
        <f>IF(OR($A170="",$F170=""),"",IF(OR($F170&amp;"|"&amp;$G170="",COUNTIF(ListeIzinliGecis,$F170&amp;"|"&amp;$G170)&gt;0),"","GEÇERSİZ GEÇİŞ"))</f>
        <v/>
      </c>
      <c r="U170" s="28">
        <f>IF($A170="","",IF(OR($G170="TAHSIL",$I170&gt;0),IF(OR($H170="",$I170=""),"",IF(ABS($I170-$H170)&gt;zincirTolerans,"ZİNCİR KIRIK","OK")),"OK"))</f>
        <v/>
      </c>
      <c r="V170" s="28">
        <f>IF($A170="","",1)</f>
        <v/>
      </c>
    </row>
    <row r="171">
      <c r="A171" s="26" t="n"/>
      <c r="B171" s="26" t="n"/>
      <c r="C171" s="26" t="n"/>
      <c r="D171" s="29" t="n"/>
      <c r="E171" s="29" t="n"/>
      <c r="F171" s="26" t="n"/>
      <c r="G171" s="26" t="n"/>
      <c r="H171" s="27" t="n"/>
      <c r="I171" s="27" t="n"/>
      <c r="J171" s="27" t="n"/>
      <c r="K171" s="30" t="n"/>
      <c r="L171" s="26" t="n"/>
      <c r="M171" s="26" t="n"/>
      <c r="N171" s="26" t="n"/>
      <c r="O171" s="28">
        <f>IF($A171="","",IF(OR($G171="TAHSIL",$G171="KAPALI"),0,IF($D171="","",raporTarihi-$D171)))</f>
        <v/>
      </c>
      <c r="P171" s="28">
        <f>IF($A171="","",IF($O171="","",IF($O171&lt;=trv_kovaEsik1,"0-30",IF($O171&lt;=trv_kovaEsik2,"31-60",IF($O171&lt;=trv_kovaEsik3,"61-90","90+")))))</f>
        <v/>
      </c>
      <c r="Q171" s="28">
        <f>IF(OR($A171="",$G171="TAHSIL",$G171="KAPALI"),"",IF($P171="0-30",trv_olasilikK1,IF($P171="31-60",trv_olasilikK2,IF($P171="61-90",trv_olasilikK3,trv_olasilikK4))))</f>
        <v/>
      </c>
      <c r="R171" s="28">
        <f>IF(OR($A171="",$Q171=""),"",$J171*(1-$Q171)*MAX(trv_riskTaban,$K171/100))</f>
        <v/>
      </c>
      <c r="S171" s="28">
        <f>IF($A171="","",IF($B171="","YETİM",IF(COUNTIF(tblKartlar[KartId],$B171)=0,"YETİM","")))</f>
        <v/>
      </c>
      <c r="T171" s="28">
        <f>IF(OR($A171="",$F171=""),"",IF(OR($F171&amp;"|"&amp;$G171="",COUNTIF(ListeIzinliGecis,$F171&amp;"|"&amp;$G171)&gt;0),"","GEÇERSİZ GEÇİŞ"))</f>
        <v/>
      </c>
      <c r="U171" s="28">
        <f>IF($A171="","",IF(OR($G171="TAHSIL",$I171&gt;0),IF(OR($H171="",$I171=""),"",IF(ABS($I171-$H171)&gt;zincirTolerans,"ZİNCİR KIRIK","OK")),"OK"))</f>
        <v/>
      </c>
      <c r="V171" s="28">
        <f>IF($A171="","",1)</f>
        <v/>
      </c>
    </row>
    <row r="172">
      <c r="A172" s="26" t="n"/>
      <c r="B172" s="26" t="n"/>
      <c r="C172" s="26" t="n"/>
      <c r="D172" s="29" t="n"/>
      <c r="E172" s="29" t="n"/>
      <c r="F172" s="26" t="n"/>
      <c r="G172" s="26" t="n"/>
      <c r="H172" s="27" t="n"/>
      <c r="I172" s="27" t="n"/>
      <c r="J172" s="27" t="n"/>
      <c r="K172" s="30" t="n"/>
      <c r="L172" s="26" t="n"/>
      <c r="M172" s="26" t="n"/>
      <c r="N172" s="26" t="n"/>
      <c r="O172" s="28">
        <f>IF($A172="","",IF(OR($G172="TAHSIL",$G172="KAPALI"),0,IF($D172="","",raporTarihi-$D172)))</f>
        <v/>
      </c>
      <c r="P172" s="28">
        <f>IF($A172="","",IF($O172="","",IF($O172&lt;=trv_kovaEsik1,"0-30",IF($O172&lt;=trv_kovaEsik2,"31-60",IF($O172&lt;=trv_kovaEsik3,"61-90","90+")))))</f>
        <v/>
      </c>
      <c r="Q172" s="28">
        <f>IF(OR($A172="",$G172="TAHSIL",$G172="KAPALI"),"",IF($P172="0-30",trv_olasilikK1,IF($P172="31-60",trv_olasilikK2,IF($P172="61-90",trv_olasilikK3,trv_olasilikK4))))</f>
        <v/>
      </c>
      <c r="R172" s="28">
        <f>IF(OR($A172="",$Q172=""),"",$J172*(1-$Q172)*MAX(trv_riskTaban,$K172/100))</f>
        <v/>
      </c>
      <c r="S172" s="28">
        <f>IF($A172="","",IF($B172="","YETİM",IF(COUNTIF(tblKartlar[KartId],$B172)=0,"YETİM","")))</f>
        <v/>
      </c>
      <c r="T172" s="28">
        <f>IF(OR($A172="",$F172=""),"",IF(OR($F172&amp;"|"&amp;$G172="",COUNTIF(ListeIzinliGecis,$F172&amp;"|"&amp;$G172)&gt;0),"","GEÇERSİZ GEÇİŞ"))</f>
        <v/>
      </c>
      <c r="U172" s="28">
        <f>IF($A172="","",IF(OR($G172="TAHSIL",$I172&gt;0),IF(OR($H172="",$I172=""),"",IF(ABS($I172-$H172)&gt;zincirTolerans,"ZİNCİR KIRIK","OK")),"OK"))</f>
        <v/>
      </c>
      <c r="V172" s="28">
        <f>IF($A172="","",1)</f>
        <v/>
      </c>
    </row>
    <row r="173">
      <c r="A173" s="26" t="n"/>
      <c r="B173" s="26" t="n"/>
      <c r="C173" s="26" t="n"/>
      <c r="D173" s="29" t="n"/>
      <c r="E173" s="29" t="n"/>
      <c r="F173" s="26" t="n"/>
      <c r="G173" s="26" t="n"/>
      <c r="H173" s="27" t="n"/>
      <c r="I173" s="27" t="n"/>
      <c r="J173" s="27" t="n"/>
      <c r="K173" s="30" t="n"/>
      <c r="L173" s="26" t="n"/>
      <c r="M173" s="26" t="n"/>
      <c r="N173" s="26" t="n"/>
      <c r="O173" s="28">
        <f>IF($A173="","",IF(OR($G173="TAHSIL",$G173="KAPALI"),0,IF($D173="","",raporTarihi-$D173)))</f>
        <v/>
      </c>
      <c r="P173" s="28">
        <f>IF($A173="","",IF($O173="","",IF($O173&lt;=trv_kovaEsik1,"0-30",IF($O173&lt;=trv_kovaEsik2,"31-60",IF($O173&lt;=trv_kovaEsik3,"61-90","90+")))))</f>
        <v/>
      </c>
      <c r="Q173" s="28">
        <f>IF(OR($A173="",$G173="TAHSIL",$G173="KAPALI"),"",IF($P173="0-30",trv_olasilikK1,IF($P173="31-60",trv_olasilikK2,IF($P173="61-90",trv_olasilikK3,trv_olasilikK4))))</f>
        <v/>
      </c>
      <c r="R173" s="28">
        <f>IF(OR($A173="",$Q173=""),"",$J173*(1-$Q173)*MAX(trv_riskTaban,$K173/100))</f>
        <v/>
      </c>
      <c r="S173" s="28">
        <f>IF($A173="","",IF($B173="","YETİM",IF(COUNTIF(tblKartlar[KartId],$B173)=0,"YETİM","")))</f>
        <v/>
      </c>
      <c r="T173" s="28">
        <f>IF(OR($A173="",$F173=""),"",IF(OR($F173&amp;"|"&amp;$G173="",COUNTIF(ListeIzinliGecis,$F173&amp;"|"&amp;$G173)&gt;0),"","GEÇERSİZ GEÇİŞ"))</f>
        <v/>
      </c>
      <c r="U173" s="28">
        <f>IF($A173="","",IF(OR($G173="TAHSIL",$I173&gt;0),IF(OR($H173="",$I173=""),"",IF(ABS($I173-$H173)&gt;zincirTolerans,"ZİNCİR KIRIK","OK")),"OK"))</f>
        <v/>
      </c>
      <c r="V173" s="28">
        <f>IF($A173="","",1)</f>
        <v/>
      </c>
    </row>
    <row r="174">
      <c r="A174" s="26" t="n"/>
      <c r="B174" s="26" t="n"/>
      <c r="C174" s="26" t="n"/>
      <c r="D174" s="29" t="n"/>
      <c r="E174" s="29" t="n"/>
      <c r="F174" s="26" t="n"/>
      <c r="G174" s="26" t="n"/>
      <c r="H174" s="27" t="n"/>
      <c r="I174" s="27" t="n"/>
      <c r="J174" s="27" t="n"/>
      <c r="K174" s="30" t="n"/>
      <c r="L174" s="26" t="n"/>
      <c r="M174" s="26" t="n"/>
      <c r="N174" s="26" t="n"/>
      <c r="O174" s="28">
        <f>IF($A174="","",IF(OR($G174="TAHSIL",$G174="KAPALI"),0,IF($D174="","",raporTarihi-$D174)))</f>
        <v/>
      </c>
      <c r="P174" s="28">
        <f>IF($A174="","",IF($O174="","",IF($O174&lt;=trv_kovaEsik1,"0-30",IF($O174&lt;=trv_kovaEsik2,"31-60",IF($O174&lt;=trv_kovaEsik3,"61-90","90+")))))</f>
        <v/>
      </c>
      <c r="Q174" s="28">
        <f>IF(OR($A174="",$G174="TAHSIL",$G174="KAPALI"),"",IF($P174="0-30",trv_olasilikK1,IF($P174="31-60",trv_olasilikK2,IF($P174="61-90",trv_olasilikK3,trv_olasilikK4))))</f>
        <v/>
      </c>
      <c r="R174" s="28">
        <f>IF(OR($A174="",$Q174=""),"",$J174*(1-$Q174)*MAX(trv_riskTaban,$K174/100))</f>
        <v/>
      </c>
      <c r="S174" s="28">
        <f>IF($A174="","",IF($B174="","YETİM",IF(COUNTIF(tblKartlar[KartId],$B174)=0,"YETİM","")))</f>
        <v/>
      </c>
      <c r="T174" s="28">
        <f>IF(OR($A174="",$F174=""),"",IF(OR($F174&amp;"|"&amp;$G174="",COUNTIF(ListeIzinliGecis,$F174&amp;"|"&amp;$G174)&gt;0),"","GEÇERSİZ GEÇİŞ"))</f>
        <v/>
      </c>
      <c r="U174" s="28">
        <f>IF($A174="","",IF(OR($G174="TAHSIL",$I174&gt;0),IF(OR($H174="",$I174=""),"",IF(ABS($I174-$H174)&gt;zincirTolerans,"ZİNCİR KIRIK","OK")),"OK"))</f>
        <v/>
      </c>
      <c r="V174" s="28">
        <f>IF($A174="","",1)</f>
        <v/>
      </c>
    </row>
    <row r="175">
      <c r="A175" s="26" t="n"/>
      <c r="B175" s="26" t="n"/>
      <c r="C175" s="26" t="n"/>
      <c r="D175" s="29" t="n"/>
      <c r="E175" s="29" t="n"/>
      <c r="F175" s="26" t="n"/>
      <c r="G175" s="26" t="n"/>
      <c r="H175" s="27" t="n"/>
      <c r="I175" s="27" t="n"/>
      <c r="J175" s="27" t="n"/>
      <c r="K175" s="30" t="n"/>
      <c r="L175" s="26" t="n"/>
      <c r="M175" s="26" t="n"/>
      <c r="N175" s="26" t="n"/>
      <c r="O175" s="28">
        <f>IF($A175="","",IF(OR($G175="TAHSIL",$G175="KAPALI"),0,IF($D175="","",raporTarihi-$D175)))</f>
        <v/>
      </c>
      <c r="P175" s="28">
        <f>IF($A175="","",IF($O175="","",IF($O175&lt;=trv_kovaEsik1,"0-30",IF($O175&lt;=trv_kovaEsik2,"31-60",IF($O175&lt;=trv_kovaEsik3,"61-90","90+")))))</f>
        <v/>
      </c>
      <c r="Q175" s="28">
        <f>IF(OR($A175="",$G175="TAHSIL",$G175="KAPALI"),"",IF($P175="0-30",trv_olasilikK1,IF($P175="31-60",trv_olasilikK2,IF($P175="61-90",trv_olasilikK3,trv_olasilikK4))))</f>
        <v/>
      </c>
      <c r="R175" s="28">
        <f>IF(OR($A175="",$Q175=""),"",$J175*(1-$Q175)*MAX(trv_riskTaban,$K175/100))</f>
        <v/>
      </c>
      <c r="S175" s="28">
        <f>IF($A175="","",IF($B175="","YETİM",IF(COUNTIF(tblKartlar[KartId],$B175)=0,"YETİM","")))</f>
        <v/>
      </c>
      <c r="T175" s="28">
        <f>IF(OR($A175="",$F175=""),"",IF(OR($F175&amp;"|"&amp;$G175="",COUNTIF(ListeIzinliGecis,$F175&amp;"|"&amp;$G175)&gt;0),"","GEÇERSİZ GEÇİŞ"))</f>
        <v/>
      </c>
      <c r="U175" s="28">
        <f>IF($A175="","",IF(OR($G175="TAHSIL",$I175&gt;0),IF(OR($H175="",$I175=""),"",IF(ABS($I175-$H175)&gt;zincirTolerans,"ZİNCİR KIRIK","OK")),"OK"))</f>
        <v/>
      </c>
      <c r="V175" s="28">
        <f>IF($A175="","",1)</f>
        <v/>
      </c>
    </row>
    <row r="176">
      <c r="A176" s="26" t="n"/>
      <c r="B176" s="26" t="n"/>
      <c r="C176" s="26" t="n"/>
      <c r="D176" s="29" t="n"/>
      <c r="E176" s="29" t="n"/>
      <c r="F176" s="26" t="n"/>
      <c r="G176" s="26" t="n"/>
      <c r="H176" s="27" t="n"/>
      <c r="I176" s="27" t="n"/>
      <c r="J176" s="27" t="n"/>
      <c r="K176" s="30" t="n"/>
      <c r="L176" s="26" t="n"/>
      <c r="M176" s="26" t="n"/>
      <c r="N176" s="26" t="n"/>
      <c r="O176" s="28">
        <f>IF($A176="","",IF(OR($G176="TAHSIL",$G176="KAPALI"),0,IF($D176="","",raporTarihi-$D176)))</f>
        <v/>
      </c>
      <c r="P176" s="28">
        <f>IF($A176="","",IF($O176="","",IF($O176&lt;=trv_kovaEsik1,"0-30",IF($O176&lt;=trv_kovaEsik2,"31-60",IF($O176&lt;=trv_kovaEsik3,"61-90","90+")))))</f>
        <v/>
      </c>
      <c r="Q176" s="28">
        <f>IF(OR($A176="",$G176="TAHSIL",$G176="KAPALI"),"",IF($P176="0-30",trv_olasilikK1,IF($P176="31-60",trv_olasilikK2,IF($P176="61-90",trv_olasilikK3,trv_olasilikK4))))</f>
        <v/>
      </c>
      <c r="R176" s="28">
        <f>IF(OR($A176="",$Q176=""),"",$J176*(1-$Q176)*MAX(trv_riskTaban,$K176/100))</f>
        <v/>
      </c>
      <c r="S176" s="28">
        <f>IF($A176="","",IF($B176="","YETİM",IF(COUNTIF(tblKartlar[KartId],$B176)=0,"YETİM","")))</f>
        <v/>
      </c>
      <c r="T176" s="28">
        <f>IF(OR($A176="",$F176=""),"",IF(OR($F176&amp;"|"&amp;$G176="",COUNTIF(ListeIzinliGecis,$F176&amp;"|"&amp;$G176)&gt;0),"","GEÇERSİZ GEÇİŞ"))</f>
        <v/>
      </c>
      <c r="U176" s="28">
        <f>IF($A176="","",IF(OR($G176="TAHSIL",$I176&gt;0),IF(OR($H176="",$I176=""),"",IF(ABS($I176-$H176)&gt;zincirTolerans,"ZİNCİR KIRIK","OK")),"OK"))</f>
        <v/>
      </c>
      <c r="V176" s="28">
        <f>IF($A176="","",1)</f>
        <v/>
      </c>
    </row>
    <row r="177">
      <c r="A177" s="26" t="n"/>
      <c r="B177" s="26" t="n"/>
      <c r="C177" s="26" t="n"/>
      <c r="D177" s="29" t="n"/>
      <c r="E177" s="29" t="n"/>
      <c r="F177" s="26" t="n"/>
      <c r="G177" s="26" t="n"/>
      <c r="H177" s="27" t="n"/>
      <c r="I177" s="27" t="n"/>
      <c r="J177" s="27" t="n"/>
      <c r="K177" s="30" t="n"/>
      <c r="L177" s="26" t="n"/>
      <c r="M177" s="26" t="n"/>
      <c r="N177" s="26" t="n"/>
      <c r="O177" s="28">
        <f>IF($A177="","",IF(OR($G177="TAHSIL",$G177="KAPALI"),0,IF($D177="","",raporTarihi-$D177)))</f>
        <v/>
      </c>
      <c r="P177" s="28">
        <f>IF($A177="","",IF($O177="","",IF($O177&lt;=trv_kovaEsik1,"0-30",IF($O177&lt;=trv_kovaEsik2,"31-60",IF($O177&lt;=trv_kovaEsik3,"61-90","90+")))))</f>
        <v/>
      </c>
      <c r="Q177" s="28">
        <f>IF(OR($A177="",$G177="TAHSIL",$G177="KAPALI"),"",IF($P177="0-30",trv_olasilikK1,IF($P177="31-60",trv_olasilikK2,IF($P177="61-90",trv_olasilikK3,trv_olasilikK4))))</f>
        <v/>
      </c>
      <c r="R177" s="28">
        <f>IF(OR($A177="",$Q177=""),"",$J177*(1-$Q177)*MAX(trv_riskTaban,$K177/100))</f>
        <v/>
      </c>
      <c r="S177" s="28">
        <f>IF($A177="","",IF($B177="","YETİM",IF(COUNTIF(tblKartlar[KartId],$B177)=0,"YETİM","")))</f>
        <v/>
      </c>
      <c r="T177" s="28">
        <f>IF(OR($A177="",$F177=""),"",IF(OR($F177&amp;"|"&amp;$G177="",COUNTIF(ListeIzinliGecis,$F177&amp;"|"&amp;$G177)&gt;0),"","GEÇERSİZ GEÇİŞ"))</f>
        <v/>
      </c>
      <c r="U177" s="28">
        <f>IF($A177="","",IF(OR($G177="TAHSIL",$I177&gt;0),IF(OR($H177="",$I177=""),"",IF(ABS($I177-$H177)&gt;zincirTolerans,"ZİNCİR KIRIK","OK")),"OK"))</f>
        <v/>
      </c>
      <c r="V177" s="28">
        <f>IF($A177="","",1)</f>
        <v/>
      </c>
    </row>
    <row r="178">
      <c r="A178" s="26" t="n"/>
      <c r="B178" s="26" t="n"/>
      <c r="C178" s="26" t="n"/>
      <c r="D178" s="29" t="n"/>
      <c r="E178" s="29" t="n"/>
      <c r="F178" s="26" t="n"/>
      <c r="G178" s="26" t="n"/>
      <c r="H178" s="27" t="n"/>
      <c r="I178" s="27" t="n"/>
      <c r="J178" s="27" t="n"/>
      <c r="K178" s="30" t="n"/>
      <c r="L178" s="26" t="n"/>
      <c r="M178" s="26" t="n"/>
      <c r="N178" s="26" t="n"/>
      <c r="O178" s="28">
        <f>IF($A178="","",IF(OR($G178="TAHSIL",$G178="KAPALI"),0,IF($D178="","",raporTarihi-$D178)))</f>
        <v/>
      </c>
      <c r="P178" s="28">
        <f>IF($A178="","",IF($O178="","",IF($O178&lt;=trv_kovaEsik1,"0-30",IF($O178&lt;=trv_kovaEsik2,"31-60",IF($O178&lt;=trv_kovaEsik3,"61-90","90+")))))</f>
        <v/>
      </c>
      <c r="Q178" s="28">
        <f>IF(OR($A178="",$G178="TAHSIL",$G178="KAPALI"),"",IF($P178="0-30",trv_olasilikK1,IF($P178="31-60",trv_olasilikK2,IF($P178="61-90",trv_olasilikK3,trv_olasilikK4))))</f>
        <v/>
      </c>
      <c r="R178" s="28">
        <f>IF(OR($A178="",$Q178=""),"",$J178*(1-$Q178)*MAX(trv_riskTaban,$K178/100))</f>
        <v/>
      </c>
      <c r="S178" s="28">
        <f>IF($A178="","",IF($B178="","YETİM",IF(COUNTIF(tblKartlar[KartId],$B178)=0,"YETİM","")))</f>
        <v/>
      </c>
      <c r="T178" s="28">
        <f>IF(OR($A178="",$F178=""),"",IF(OR($F178&amp;"|"&amp;$G178="",COUNTIF(ListeIzinliGecis,$F178&amp;"|"&amp;$G178)&gt;0),"","GEÇERSİZ GEÇİŞ"))</f>
        <v/>
      </c>
      <c r="U178" s="28">
        <f>IF($A178="","",IF(OR($G178="TAHSIL",$I178&gt;0),IF(OR($H178="",$I178=""),"",IF(ABS($I178-$H178)&gt;zincirTolerans,"ZİNCİR KIRIK","OK")),"OK"))</f>
        <v/>
      </c>
      <c r="V178" s="28">
        <f>IF($A178="","",1)</f>
        <v/>
      </c>
    </row>
    <row r="179">
      <c r="A179" s="26" t="n"/>
      <c r="B179" s="26" t="n"/>
      <c r="C179" s="26" t="n"/>
      <c r="D179" s="29" t="n"/>
      <c r="E179" s="29" t="n"/>
      <c r="F179" s="26" t="n"/>
      <c r="G179" s="26" t="n"/>
      <c r="H179" s="27" t="n"/>
      <c r="I179" s="27" t="n"/>
      <c r="J179" s="27" t="n"/>
      <c r="K179" s="30" t="n"/>
      <c r="L179" s="26" t="n"/>
      <c r="M179" s="26" t="n"/>
      <c r="N179" s="26" t="n"/>
      <c r="O179" s="28">
        <f>IF($A179="","",IF(OR($G179="TAHSIL",$G179="KAPALI"),0,IF($D179="","",raporTarihi-$D179)))</f>
        <v/>
      </c>
      <c r="P179" s="28">
        <f>IF($A179="","",IF($O179="","",IF($O179&lt;=trv_kovaEsik1,"0-30",IF($O179&lt;=trv_kovaEsik2,"31-60",IF($O179&lt;=trv_kovaEsik3,"61-90","90+")))))</f>
        <v/>
      </c>
      <c r="Q179" s="28">
        <f>IF(OR($A179="",$G179="TAHSIL",$G179="KAPALI"),"",IF($P179="0-30",trv_olasilikK1,IF($P179="31-60",trv_olasilikK2,IF($P179="61-90",trv_olasilikK3,trv_olasilikK4))))</f>
        <v/>
      </c>
      <c r="R179" s="28">
        <f>IF(OR($A179="",$Q179=""),"",$J179*(1-$Q179)*MAX(trv_riskTaban,$K179/100))</f>
        <v/>
      </c>
      <c r="S179" s="28">
        <f>IF($A179="","",IF($B179="","YETİM",IF(COUNTIF(tblKartlar[KartId],$B179)=0,"YETİM","")))</f>
        <v/>
      </c>
      <c r="T179" s="28">
        <f>IF(OR($A179="",$F179=""),"",IF(OR($F179&amp;"|"&amp;$G179="",COUNTIF(ListeIzinliGecis,$F179&amp;"|"&amp;$G179)&gt;0),"","GEÇERSİZ GEÇİŞ"))</f>
        <v/>
      </c>
      <c r="U179" s="28">
        <f>IF($A179="","",IF(OR($G179="TAHSIL",$I179&gt;0),IF(OR($H179="",$I179=""),"",IF(ABS($I179-$H179)&gt;zincirTolerans,"ZİNCİR KIRIK","OK")),"OK"))</f>
        <v/>
      </c>
      <c r="V179" s="28">
        <f>IF($A179="","",1)</f>
        <v/>
      </c>
    </row>
    <row r="180">
      <c r="A180" s="26" t="n"/>
      <c r="B180" s="26" t="n"/>
      <c r="C180" s="26" t="n"/>
      <c r="D180" s="29" t="n"/>
      <c r="E180" s="29" t="n"/>
      <c r="F180" s="26" t="n"/>
      <c r="G180" s="26" t="n"/>
      <c r="H180" s="27" t="n"/>
      <c r="I180" s="27" t="n"/>
      <c r="J180" s="27" t="n"/>
      <c r="K180" s="30" t="n"/>
      <c r="L180" s="26" t="n"/>
      <c r="M180" s="26" t="n"/>
      <c r="N180" s="26" t="n"/>
      <c r="O180" s="28">
        <f>IF($A180="","",IF(OR($G180="TAHSIL",$G180="KAPALI"),0,IF($D180="","",raporTarihi-$D180)))</f>
        <v/>
      </c>
      <c r="P180" s="28">
        <f>IF($A180="","",IF($O180="","",IF($O180&lt;=trv_kovaEsik1,"0-30",IF($O180&lt;=trv_kovaEsik2,"31-60",IF($O180&lt;=trv_kovaEsik3,"61-90","90+")))))</f>
        <v/>
      </c>
      <c r="Q180" s="28">
        <f>IF(OR($A180="",$G180="TAHSIL",$G180="KAPALI"),"",IF($P180="0-30",trv_olasilikK1,IF($P180="31-60",trv_olasilikK2,IF($P180="61-90",trv_olasilikK3,trv_olasilikK4))))</f>
        <v/>
      </c>
      <c r="R180" s="28">
        <f>IF(OR($A180="",$Q180=""),"",$J180*(1-$Q180)*MAX(trv_riskTaban,$K180/100))</f>
        <v/>
      </c>
      <c r="S180" s="28">
        <f>IF($A180="","",IF($B180="","YETİM",IF(COUNTIF(tblKartlar[KartId],$B180)=0,"YETİM","")))</f>
        <v/>
      </c>
      <c r="T180" s="28">
        <f>IF(OR($A180="",$F180=""),"",IF(OR($F180&amp;"|"&amp;$G180="",COUNTIF(ListeIzinliGecis,$F180&amp;"|"&amp;$G180)&gt;0),"","GEÇERSİZ GEÇİŞ"))</f>
        <v/>
      </c>
      <c r="U180" s="28">
        <f>IF($A180="","",IF(OR($G180="TAHSIL",$I180&gt;0),IF(OR($H180="",$I180=""),"",IF(ABS($I180-$H180)&gt;zincirTolerans,"ZİNCİR KIRIK","OK")),"OK"))</f>
        <v/>
      </c>
      <c r="V180" s="28">
        <f>IF($A180="","",1)</f>
        <v/>
      </c>
    </row>
    <row r="181">
      <c r="A181" s="26" t="n"/>
      <c r="B181" s="26" t="n"/>
      <c r="C181" s="26" t="n"/>
      <c r="D181" s="29" t="n"/>
      <c r="E181" s="29" t="n"/>
      <c r="F181" s="26" t="n"/>
      <c r="G181" s="26" t="n"/>
      <c r="H181" s="27" t="n"/>
      <c r="I181" s="27" t="n"/>
      <c r="J181" s="27" t="n"/>
      <c r="K181" s="30" t="n"/>
      <c r="L181" s="26" t="n"/>
      <c r="M181" s="26" t="n"/>
      <c r="N181" s="26" t="n"/>
      <c r="O181" s="28">
        <f>IF($A181="","",IF(OR($G181="TAHSIL",$G181="KAPALI"),0,IF($D181="","",raporTarihi-$D181)))</f>
        <v/>
      </c>
      <c r="P181" s="28">
        <f>IF($A181="","",IF($O181="","",IF($O181&lt;=trv_kovaEsik1,"0-30",IF($O181&lt;=trv_kovaEsik2,"31-60",IF($O181&lt;=trv_kovaEsik3,"61-90","90+")))))</f>
        <v/>
      </c>
      <c r="Q181" s="28">
        <f>IF(OR($A181="",$G181="TAHSIL",$G181="KAPALI"),"",IF($P181="0-30",trv_olasilikK1,IF($P181="31-60",trv_olasilikK2,IF($P181="61-90",trv_olasilikK3,trv_olasilikK4))))</f>
        <v/>
      </c>
      <c r="R181" s="28">
        <f>IF(OR($A181="",$Q181=""),"",$J181*(1-$Q181)*MAX(trv_riskTaban,$K181/100))</f>
        <v/>
      </c>
      <c r="S181" s="28">
        <f>IF($A181="","",IF($B181="","YETİM",IF(COUNTIF(tblKartlar[KartId],$B181)=0,"YETİM","")))</f>
        <v/>
      </c>
      <c r="T181" s="28">
        <f>IF(OR($A181="",$F181=""),"",IF(OR($F181&amp;"|"&amp;$G181="",COUNTIF(ListeIzinliGecis,$F181&amp;"|"&amp;$G181)&gt;0),"","GEÇERSİZ GEÇİŞ"))</f>
        <v/>
      </c>
      <c r="U181" s="28">
        <f>IF($A181="","",IF(OR($G181="TAHSIL",$I181&gt;0),IF(OR($H181="",$I181=""),"",IF(ABS($I181-$H181)&gt;zincirTolerans,"ZİNCİR KIRIK","OK")),"OK"))</f>
        <v/>
      </c>
      <c r="V181" s="28">
        <f>IF($A181="","",1)</f>
        <v/>
      </c>
    </row>
    <row r="182">
      <c r="A182" s="26" t="n"/>
      <c r="B182" s="26" t="n"/>
      <c r="C182" s="26" t="n"/>
      <c r="D182" s="29" t="n"/>
      <c r="E182" s="29" t="n"/>
      <c r="F182" s="26" t="n"/>
      <c r="G182" s="26" t="n"/>
      <c r="H182" s="27" t="n"/>
      <c r="I182" s="27" t="n"/>
      <c r="J182" s="27" t="n"/>
      <c r="K182" s="30" t="n"/>
      <c r="L182" s="26" t="n"/>
      <c r="M182" s="26" t="n"/>
      <c r="N182" s="26" t="n"/>
      <c r="O182" s="28">
        <f>IF($A182="","",IF(OR($G182="TAHSIL",$G182="KAPALI"),0,IF($D182="","",raporTarihi-$D182)))</f>
        <v/>
      </c>
      <c r="P182" s="28">
        <f>IF($A182="","",IF($O182="","",IF($O182&lt;=trv_kovaEsik1,"0-30",IF($O182&lt;=trv_kovaEsik2,"31-60",IF($O182&lt;=trv_kovaEsik3,"61-90","90+")))))</f>
        <v/>
      </c>
      <c r="Q182" s="28">
        <f>IF(OR($A182="",$G182="TAHSIL",$G182="KAPALI"),"",IF($P182="0-30",trv_olasilikK1,IF($P182="31-60",trv_olasilikK2,IF($P182="61-90",trv_olasilikK3,trv_olasilikK4))))</f>
        <v/>
      </c>
      <c r="R182" s="28">
        <f>IF(OR($A182="",$Q182=""),"",$J182*(1-$Q182)*MAX(trv_riskTaban,$K182/100))</f>
        <v/>
      </c>
      <c r="S182" s="28">
        <f>IF($A182="","",IF($B182="","YETİM",IF(COUNTIF(tblKartlar[KartId],$B182)=0,"YETİM","")))</f>
        <v/>
      </c>
      <c r="T182" s="28">
        <f>IF(OR($A182="",$F182=""),"",IF(OR($F182&amp;"|"&amp;$G182="",COUNTIF(ListeIzinliGecis,$F182&amp;"|"&amp;$G182)&gt;0),"","GEÇERSİZ GEÇİŞ"))</f>
        <v/>
      </c>
      <c r="U182" s="28">
        <f>IF($A182="","",IF(OR($G182="TAHSIL",$I182&gt;0),IF(OR($H182="",$I182=""),"",IF(ABS($I182-$H182)&gt;zincirTolerans,"ZİNCİR KIRIK","OK")),"OK"))</f>
        <v/>
      </c>
      <c r="V182" s="28">
        <f>IF($A182="","",1)</f>
        <v/>
      </c>
    </row>
    <row r="183">
      <c r="A183" s="26" t="n"/>
      <c r="B183" s="26" t="n"/>
      <c r="C183" s="26" t="n"/>
      <c r="D183" s="29" t="n"/>
      <c r="E183" s="29" t="n"/>
      <c r="F183" s="26" t="n"/>
      <c r="G183" s="26" t="n"/>
      <c r="H183" s="27" t="n"/>
      <c r="I183" s="27" t="n"/>
      <c r="J183" s="27" t="n"/>
      <c r="K183" s="30" t="n"/>
      <c r="L183" s="26" t="n"/>
      <c r="M183" s="26" t="n"/>
      <c r="N183" s="26" t="n"/>
      <c r="O183" s="28">
        <f>IF($A183="","",IF(OR($G183="TAHSIL",$G183="KAPALI"),0,IF($D183="","",raporTarihi-$D183)))</f>
        <v/>
      </c>
      <c r="P183" s="28">
        <f>IF($A183="","",IF($O183="","",IF($O183&lt;=trv_kovaEsik1,"0-30",IF($O183&lt;=trv_kovaEsik2,"31-60",IF($O183&lt;=trv_kovaEsik3,"61-90","90+")))))</f>
        <v/>
      </c>
      <c r="Q183" s="28">
        <f>IF(OR($A183="",$G183="TAHSIL",$G183="KAPALI"),"",IF($P183="0-30",trv_olasilikK1,IF($P183="31-60",trv_olasilikK2,IF($P183="61-90",trv_olasilikK3,trv_olasilikK4))))</f>
        <v/>
      </c>
      <c r="R183" s="28">
        <f>IF(OR($A183="",$Q183=""),"",$J183*(1-$Q183)*MAX(trv_riskTaban,$K183/100))</f>
        <v/>
      </c>
      <c r="S183" s="28">
        <f>IF($A183="","",IF($B183="","YETİM",IF(COUNTIF(tblKartlar[KartId],$B183)=0,"YETİM","")))</f>
        <v/>
      </c>
      <c r="T183" s="28">
        <f>IF(OR($A183="",$F183=""),"",IF(OR($F183&amp;"|"&amp;$G183="",COUNTIF(ListeIzinliGecis,$F183&amp;"|"&amp;$G183)&gt;0),"","GEÇERSİZ GEÇİŞ"))</f>
        <v/>
      </c>
      <c r="U183" s="28">
        <f>IF($A183="","",IF(OR($G183="TAHSIL",$I183&gt;0),IF(OR($H183="",$I183=""),"",IF(ABS($I183-$H183)&gt;zincirTolerans,"ZİNCİR KIRIK","OK")),"OK"))</f>
        <v/>
      </c>
      <c r="V183" s="28">
        <f>IF($A183="","",1)</f>
        <v/>
      </c>
    </row>
    <row r="184">
      <c r="A184" s="26" t="n"/>
      <c r="B184" s="26" t="n"/>
      <c r="C184" s="26" t="n"/>
      <c r="D184" s="29" t="n"/>
      <c r="E184" s="29" t="n"/>
      <c r="F184" s="26" t="n"/>
      <c r="G184" s="26" t="n"/>
      <c r="H184" s="27" t="n"/>
      <c r="I184" s="27" t="n"/>
      <c r="J184" s="27" t="n"/>
      <c r="K184" s="30" t="n"/>
      <c r="L184" s="26" t="n"/>
      <c r="M184" s="26" t="n"/>
      <c r="N184" s="26" t="n"/>
      <c r="O184" s="28">
        <f>IF($A184="","",IF(OR($G184="TAHSIL",$G184="KAPALI"),0,IF($D184="","",raporTarihi-$D184)))</f>
        <v/>
      </c>
      <c r="P184" s="28">
        <f>IF($A184="","",IF($O184="","",IF($O184&lt;=trv_kovaEsik1,"0-30",IF($O184&lt;=trv_kovaEsik2,"31-60",IF($O184&lt;=trv_kovaEsik3,"61-90","90+")))))</f>
        <v/>
      </c>
      <c r="Q184" s="28">
        <f>IF(OR($A184="",$G184="TAHSIL",$G184="KAPALI"),"",IF($P184="0-30",trv_olasilikK1,IF($P184="31-60",trv_olasilikK2,IF($P184="61-90",trv_olasilikK3,trv_olasilikK4))))</f>
        <v/>
      </c>
      <c r="R184" s="28">
        <f>IF(OR($A184="",$Q184=""),"",$J184*(1-$Q184)*MAX(trv_riskTaban,$K184/100))</f>
        <v/>
      </c>
      <c r="S184" s="28">
        <f>IF($A184="","",IF($B184="","YETİM",IF(COUNTIF(tblKartlar[KartId],$B184)=0,"YETİM","")))</f>
        <v/>
      </c>
      <c r="T184" s="28">
        <f>IF(OR($A184="",$F184=""),"",IF(OR($F184&amp;"|"&amp;$G184="",COUNTIF(ListeIzinliGecis,$F184&amp;"|"&amp;$G184)&gt;0),"","GEÇERSİZ GEÇİŞ"))</f>
        <v/>
      </c>
      <c r="U184" s="28">
        <f>IF($A184="","",IF(OR($G184="TAHSIL",$I184&gt;0),IF(OR($H184="",$I184=""),"",IF(ABS($I184-$H184)&gt;zincirTolerans,"ZİNCİR KIRIK","OK")),"OK"))</f>
        <v/>
      </c>
      <c r="V184" s="28">
        <f>IF($A184="","",1)</f>
        <v/>
      </c>
    </row>
    <row r="185">
      <c r="A185" s="26" t="n"/>
      <c r="B185" s="26" t="n"/>
      <c r="C185" s="26" t="n"/>
      <c r="D185" s="29" t="n"/>
      <c r="E185" s="29" t="n"/>
      <c r="F185" s="26" t="n"/>
      <c r="G185" s="26" t="n"/>
      <c r="H185" s="27" t="n"/>
      <c r="I185" s="27" t="n"/>
      <c r="J185" s="27" t="n"/>
      <c r="K185" s="30" t="n"/>
      <c r="L185" s="26" t="n"/>
      <c r="M185" s="26" t="n"/>
      <c r="N185" s="26" t="n"/>
      <c r="O185" s="28">
        <f>IF($A185="","",IF(OR($G185="TAHSIL",$G185="KAPALI"),0,IF($D185="","",raporTarihi-$D185)))</f>
        <v/>
      </c>
      <c r="P185" s="28">
        <f>IF($A185="","",IF($O185="","",IF($O185&lt;=trv_kovaEsik1,"0-30",IF($O185&lt;=trv_kovaEsik2,"31-60",IF($O185&lt;=trv_kovaEsik3,"61-90","90+")))))</f>
        <v/>
      </c>
      <c r="Q185" s="28">
        <f>IF(OR($A185="",$G185="TAHSIL",$G185="KAPALI"),"",IF($P185="0-30",trv_olasilikK1,IF($P185="31-60",trv_olasilikK2,IF($P185="61-90",trv_olasilikK3,trv_olasilikK4))))</f>
        <v/>
      </c>
      <c r="R185" s="28">
        <f>IF(OR($A185="",$Q185=""),"",$J185*(1-$Q185)*MAX(trv_riskTaban,$K185/100))</f>
        <v/>
      </c>
      <c r="S185" s="28">
        <f>IF($A185="","",IF($B185="","YETİM",IF(COUNTIF(tblKartlar[KartId],$B185)=0,"YETİM","")))</f>
        <v/>
      </c>
      <c r="T185" s="28">
        <f>IF(OR($A185="",$F185=""),"",IF(OR($F185&amp;"|"&amp;$G185="",COUNTIF(ListeIzinliGecis,$F185&amp;"|"&amp;$G185)&gt;0),"","GEÇERSİZ GEÇİŞ"))</f>
        <v/>
      </c>
      <c r="U185" s="28">
        <f>IF($A185="","",IF(OR($G185="TAHSIL",$I185&gt;0),IF(OR($H185="",$I185=""),"",IF(ABS($I185-$H185)&gt;zincirTolerans,"ZİNCİR KIRIK","OK")),"OK"))</f>
        <v/>
      </c>
      <c r="V185" s="28">
        <f>IF($A185="","",1)</f>
        <v/>
      </c>
    </row>
    <row r="186">
      <c r="A186" s="26" t="n"/>
      <c r="B186" s="26" t="n"/>
      <c r="C186" s="26" t="n"/>
      <c r="D186" s="29" t="n"/>
      <c r="E186" s="29" t="n"/>
      <c r="F186" s="26" t="n"/>
      <c r="G186" s="26" t="n"/>
      <c r="H186" s="27" t="n"/>
      <c r="I186" s="27" t="n"/>
      <c r="J186" s="27" t="n"/>
      <c r="K186" s="30" t="n"/>
      <c r="L186" s="26" t="n"/>
      <c r="M186" s="26" t="n"/>
      <c r="N186" s="26" t="n"/>
      <c r="O186" s="28">
        <f>IF($A186="","",IF(OR($G186="TAHSIL",$G186="KAPALI"),0,IF($D186="","",raporTarihi-$D186)))</f>
        <v/>
      </c>
      <c r="P186" s="28">
        <f>IF($A186="","",IF($O186="","",IF($O186&lt;=trv_kovaEsik1,"0-30",IF($O186&lt;=trv_kovaEsik2,"31-60",IF($O186&lt;=trv_kovaEsik3,"61-90","90+")))))</f>
        <v/>
      </c>
      <c r="Q186" s="28">
        <f>IF(OR($A186="",$G186="TAHSIL",$G186="KAPALI"),"",IF($P186="0-30",trv_olasilikK1,IF($P186="31-60",trv_olasilikK2,IF($P186="61-90",trv_olasilikK3,trv_olasilikK4))))</f>
        <v/>
      </c>
      <c r="R186" s="28">
        <f>IF(OR($A186="",$Q186=""),"",$J186*(1-$Q186)*MAX(trv_riskTaban,$K186/100))</f>
        <v/>
      </c>
      <c r="S186" s="28">
        <f>IF($A186="","",IF($B186="","YETİM",IF(COUNTIF(tblKartlar[KartId],$B186)=0,"YETİM","")))</f>
        <v/>
      </c>
      <c r="T186" s="28">
        <f>IF(OR($A186="",$F186=""),"",IF(OR($F186&amp;"|"&amp;$G186="",COUNTIF(ListeIzinliGecis,$F186&amp;"|"&amp;$G186)&gt;0),"","GEÇERSİZ GEÇİŞ"))</f>
        <v/>
      </c>
      <c r="U186" s="28">
        <f>IF($A186="","",IF(OR($G186="TAHSIL",$I186&gt;0),IF(OR($H186="",$I186=""),"",IF(ABS($I186-$H186)&gt;zincirTolerans,"ZİNCİR KIRIK","OK")),"OK"))</f>
        <v/>
      </c>
      <c r="V186" s="28">
        <f>IF($A186="","",1)</f>
        <v/>
      </c>
    </row>
    <row r="187">
      <c r="A187" s="26" t="n"/>
      <c r="B187" s="26" t="n"/>
      <c r="C187" s="26" t="n"/>
      <c r="D187" s="29" t="n"/>
      <c r="E187" s="29" t="n"/>
      <c r="F187" s="26" t="n"/>
      <c r="G187" s="26" t="n"/>
      <c r="H187" s="27" t="n"/>
      <c r="I187" s="27" t="n"/>
      <c r="J187" s="27" t="n"/>
      <c r="K187" s="30" t="n"/>
      <c r="L187" s="26" t="n"/>
      <c r="M187" s="26" t="n"/>
      <c r="N187" s="26" t="n"/>
      <c r="O187" s="28">
        <f>IF($A187="","",IF(OR($G187="TAHSIL",$G187="KAPALI"),0,IF($D187="","",raporTarihi-$D187)))</f>
        <v/>
      </c>
      <c r="P187" s="28">
        <f>IF($A187="","",IF($O187="","",IF($O187&lt;=trv_kovaEsik1,"0-30",IF($O187&lt;=trv_kovaEsik2,"31-60",IF($O187&lt;=trv_kovaEsik3,"61-90","90+")))))</f>
        <v/>
      </c>
      <c r="Q187" s="28">
        <f>IF(OR($A187="",$G187="TAHSIL",$G187="KAPALI"),"",IF($P187="0-30",trv_olasilikK1,IF($P187="31-60",trv_olasilikK2,IF($P187="61-90",trv_olasilikK3,trv_olasilikK4))))</f>
        <v/>
      </c>
      <c r="R187" s="28">
        <f>IF(OR($A187="",$Q187=""),"",$J187*(1-$Q187)*MAX(trv_riskTaban,$K187/100))</f>
        <v/>
      </c>
      <c r="S187" s="28">
        <f>IF($A187="","",IF($B187="","YETİM",IF(COUNTIF(tblKartlar[KartId],$B187)=0,"YETİM","")))</f>
        <v/>
      </c>
      <c r="T187" s="28">
        <f>IF(OR($A187="",$F187=""),"",IF(OR($F187&amp;"|"&amp;$G187="",COUNTIF(ListeIzinliGecis,$F187&amp;"|"&amp;$G187)&gt;0),"","GEÇERSİZ GEÇİŞ"))</f>
        <v/>
      </c>
      <c r="U187" s="28">
        <f>IF($A187="","",IF(OR($G187="TAHSIL",$I187&gt;0),IF(OR($H187="",$I187=""),"",IF(ABS($I187-$H187)&gt;zincirTolerans,"ZİNCİR KIRIK","OK")),"OK"))</f>
        <v/>
      </c>
      <c r="V187" s="28">
        <f>IF($A187="","",1)</f>
        <v/>
      </c>
    </row>
    <row r="188">
      <c r="A188" s="26" t="n"/>
      <c r="B188" s="26" t="n"/>
      <c r="C188" s="26" t="n"/>
      <c r="D188" s="29" t="n"/>
      <c r="E188" s="29" t="n"/>
      <c r="F188" s="26" t="n"/>
      <c r="G188" s="26" t="n"/>
      <c r="H188" s="27" t="n"/>
      <c r="I188" s="27" t="n"/>
      <c r="J188" s="27" t="n"/>
      <c r="K188" s="30" t="n"/>
      <c r="L188" s="26" t="n"/>
      <c r="M188" s="26" t="n"/>
      <c r="N188" s="26" t="n"/>
      <c r="O188" s="28">
        <f>IF($A188="","",IF(OR($G188="TAHSIL",$G188="KAPALI"),0,IF($D188="","",raporTarihi-$D188)))</f>
        <v/>
      </c>
      <c r="P188" s="28">
        <f>IF($A188="","",IF($O188="","",IF($O188&lt;=trv_kovaEsik1,"0-30",IF($O188&lt;=trv_kovaEsik2,"31-60",IF($O188&lt;=trv_kovaEsik3,"61-90","90+")))))</f>
        <v/>
      </c>
      <c r="Q188" s="28">
        <f>IF(OR($A188="",$G188="TAHSIL",$G188="KAPALI"),"",IF($P188="0-30",trv_olasilikK1,IF($P188="31-60",trv_olasilikK2,IF($P188="61-90",trv_olasilikK3,trv_olasilikK4))))</f>
        <v/>
      </c>
      <c r="R188" s="28">
        <f>IF(OR($A188="",$Q188=""),"",$J188*(1-$Q188)*MAX(trv_riskTaban,$K188/100))</f>
        <v/>
      </c>
      <c r="S188" s="28">
        <f>IF($A188="","",IF($B188="","YETİM",IF(COUNTIF(tblKartlar[KartId],$B188)=0,"YETİM","")))</f>
        <v/>
      </c>
      <c r="T188" s="28">
        <f>IF(OR($A188="",$F188=""),"",IF(OR($F188&amp;"|"&amp;$G188="",COUNTIF(ListeIzinliGecis,$F188&amp;"|"&amp;$G188)&gt;0),"","GEÇERSİZ GEÇİŞ"))</f>
        <v/>
      </c>
      <c r="U188" s="28">
        <f>IF($A188="","",IF(OR($G188="TAHSIL",$I188&gt;0),IF(OR($H188="",$I188=""),"",IF(ABS($I188-$H188)&gt;zincirTolerans,"ZİNCİR KIRIK","OK")),"OK"))</f>
        <v/>
      </c>
      <c r="V188" s="28">
        <f>IF($A188="","",1)</f>
        <v/>
      </c>
    </row>
    <row r="189">
      <c r="A189" s="26" t="n"/>
      <c r="B189" s="26" t="n"/>
      <c r="C189" s="26" t="n"/>
      <c r="D189" s="29" t="n"/>
      <c r="E189" s="29" t="n"/>
      <c r="F189" s="26" t="n"/>
      <c r="G189" s="26" t="n"/>
      <c r="H189" s="27" t="n"/>
      <c r="I189" s="27" t="n"/>
      <c r="J189" s="27" t="n"/>
      <c r="K189" s="30" t="n"/>
      <c r="L189" s="26" t="n"/>
      <c r="M189" s="26" t="n"/>
      <c r="N189" s="26" t="n"/>
      <c r="O189" s="28">
        <f>IF($A189="","",IF(OR($G189="TAHSIL",$G189="KAPALI"),0,IF($D189="","",raporTarihi-$D189)))</f>
        <v/>
      </c>
      <c r="P189" s="28">
        <f>IF($A189="","",IF($O189="","",IF($O189&lt;=trv_kovaEsik1,"0-30",IF($O189&lt;=trv_kovaEsik2,"31-60",IF($O189&lt;=trv_kovaEsik3,"61-90","90+")))))</f>
        <v/>
      </c>
      <c r="Q189" s="28">
        <f>IF(OR($A189="",$G189="TAHSIL",$G189="KAPALI"),"",IF($P189="0-30",trv_olasilikK1,IF($P189="31-60",trv_olasilikK2,IF($P189="61-90",trv_olasilikK3,trv_olasilikK4))))</f>
        <v/>
      </c>
      <c r="R189" s="28">
        <f>IF(OR($A189="",$Q189=""),"",$J189*(1-$Q189)*MAX(trv_riskTaban,$K189/100))</f>
        <v/>
      </c>
      <c r="S189" s="28">
        <f>IF($A189="","",IF($B189="","YETİM",IF(COUNTIF(tblKartlar[KartId],$B189)=0,"YETİM","")))</f>
        <v/>
      </c>
      <c r="T189" s="28">
        <f>IF(OR($A189="",$F189=""),"",IF(OR($F189&amp;"|"&amp;$G189="",COUNTIF(ListeIzinliGecis,$F189&amp;"|"&amp;$G189)&gt;0),"","GEÇERSİZ GEÇİŞ"))</f>
        <v/>
      </c>
      <c r="U189" s="28">
        <f>IF($A189="","",IF(OR($G189="TAHSIL",$I189&gt;0),IF(OR($H189="",$I189=""),"",IF(ABS($I189-$H189)&gt;zincirTolerans,"ZİNCİR KIRIK","OK")),"OK"))</f>
        <v/>
      </c>
      <c r="V189" s="28">
        <f>IF($A189="","",1)</f>
        <v/>
      </c>
    </row>
    <row r="190">
      <c r="A190" s="26" t="n"/>
      <c r="B190" s="26" t="n"/>
      <c r="C190" s="26" t="n"/>
      <c r="D190" s="29" t="n"/>
      <c r="E190" s="29" t="n"/>
      <c r="F190" s="26" t="n"/>
      <c r="G190" s="26" t="n"/>
      <c r="H190" s="27" t="n"/>
      <c r="I190" s="27" t="n"/>
      <c r="J190" s="27" t="n"/>
      <c r="K190" s="30" t="n"/>
      <c r="L190" s="26" t="n"/>
      <c r="M190" s="26" t="n"/>
      <c r="N190" s="26" t="n"/>
      <c r="O190" s="28">
        <f>IF($A190="","",IF(OR($G190="TAHSIL",$G190="KAPALI"),0,IF($D190="","",raporTarihi-$D190)))</f>
        <v/>
      </c>
      <c r="P190" s="28">
        <f>IF($A190="","",IF($O190="","",IF($O190&lt;=trv_kovaEsik1,"0-30",IF($O190&lt;=trv_kovaEsik2,"31-60",IF($O190&lt;=trv_kovaEsik3,"61-90","90+")))))</f>
        <v/>
      </c>
      <c r="Q190" s="28">
        <f>IF(OR($A190="",$G190="TAHSIL",$G190="KAPALI"),"",IF($P190="0-30",trv_olasilikK1,IF($P190="31-60",trv_olasilikK2,IF($P190="61-90",trv_olasilikK3,trv_olasilikK4))))</f>
        <v/>
      </c>
      <c r="R190" s="28">
        <f>IF(OR($A190="",$Q190=""),"",$J190*(1-$Q190)*MAX(trv_riskTaban,$K190/100))</f>
        <v/>
      </c>
      <c r="S190" s="28">
        <f>IF($A190="","",IF($B190="","YETİM",IF(COUNTIF(tblKartlar[KartId],$B190)=0,"YETİM","")))</f>
        <v/>
      </c>
      <c r="T190" s="28">
        <f>IF(OR($A190="",$F190=""),"",IF(OR($F190&amp;"|"&amp;$G190="",COUNTIF(ListeIzinliGecis,$F190&amp;"|"&amp;$G190)&gt;0),"","GEÇERSİZ GEÇİŞ"))</f>
        <v/>
      </c>
      <c r="U190" s="28">
        <f>IF($A190="","",IF(OR($G190="TAHSIL",$I190&gt;0),IF(OR($H190="",$I190=""),"",IF(ABS($I190-$H190)&gt;zincirTolerans,"ZİNCİR KIRIK","OK")),"OK"))</f>
        <v/>
      </c>
      <c r="V190" s="28">
        <f>IF($A190="","",1)</f>
        <v/>
      </c>
    </row>
    <row r="191">
      <c r="A191" s="26" t="n"/>
      <c r="B191" s="26" t="n"/>
      <c r="C191" s="26" t="n"/>
      <c r="D191" s="29" t="n"/>
      <c r="E191" s="29" t="n"/>
      <c r="F191" s="26" t="n"/>
      <c r="G191" s="26" t="n"/>
      <c r="H191" s="27" t="n"/>
      <c r="I191" s="27" t="n"/>
      <c r="J191" s="27" t="n"/>
      <c r="K191" s="30" t="n"/>
      <c r="L191" s="26" t="n"/>
      <c r="M191" s="26" t="n"/>
      <c r="N191" s="26" t="n"/>
      <c r="O191" s="28">
        <f>IF($A191="","",IF(OR($G191="TAHSIL",$G191="KAPALI"),0,IF($D191="","",raporTarihi-$D191)))</f>
        <v/>
      </c>
      <c r="P191" s="28">
        <f>IF($A191="","",IF($O191="","",IF($O191&lt;=trv_kovaEsik1,"0-30",IF($O191&lt;=trv_kovaEsik2,"31-60",IF($O191&lt;=trv_kovaEsik3,"61-90","90+")))))</f>
        <v/>
      </c>
      <c r="Q191" s="28">
        <f>IF(OR($A191="",$G191="TAHSIL",$G191="KAPALI"),"",IF($P191="0-30",trv_olasilikK1,IF($P191="31-60",trv_olasilikK2,IF($P191="61-90",trv_olasilikK3,trv_olasilikK4))))</f>
        <v/>
      </c>
      <c r="R191" s="28">
        <f>IF(OR($A191="",$Q191=""),"",$J191*(1-$Q191)*MAX(trv_riskTaban,$K191/100))</f>
        <v/>
      </c>
      <c r="S191" s="28">
        <f>IF($A191="","",IF($B191="","YETİM",IF(COUNTIF(tblKartlar[KartId],$B191)=0,"YETİM","")))</f>
        <v/>
      </c>
      <c r="T191" s="28">
        <f>IF(OR($A191="",$F191=""),"",IF(OR($F191&amp;"|"&amp;$G191="",COUNTIF(ListeIzinliGecis,$F191&amp;"|"&amp;$G191)&gt;0),"","GEÇERSİZ GEÇİŞ"))</f>
        <v/>
      </c>
      <c r="U191" s="28">
        <f>IF($A191="","",IF(OR($G191="TAHSIL",$I191&gt;0),IF(OR($H191="",$I191=""),"",IF(ABS($I191-$H191)&gt;zincirTolerans,"ZİNCİR KIRIK","OK")),"OK"))</f>
        <v/>
      </c>
      <c r="V191" s="28">
        <f>IF($A191="","",1)</f>
        <v/>
      </c>
    </row>
    <row r="192">
      <c r="A192" s="26" t="n"/>
      <c r="B192" s="26" t="n"/>
      <c r="C192" s="26" t="n"/>
      <c r="D192" s="29" t="n"/>
      <c r="E192" s="29" t="n"/>
      <c r="F192" s="26" t="n"/>
      <c r="G192" s="26" t="n"/>
      <c r="H192" s="27" t="n"/>
      <c r="I192" s="27" t="n"/>
      <c r="J192" s="27" t="n"/>
      <c r="K192" s="30" t="n"/>
      <c r="L192" s="26" t="n"/>
      <c r="M192" s="26" t="n"/>
      <c r="N192" s="26" t="n"/>
      <c r="O192" s="28">
        <f>IF($A192="","",IF(OR($G192="TAHSIL",$G192="KAPALI"),0,IF($D192="","",raporTarihi-$D192)))</f>
        <v/>
      </c>
      <c r="P192" s="28">
        <f>IF($A192="","",IF($O192="","",IF($O192&lt;=trv_kovaEsik1,"0-30",IF($O192&lt;=trv_kovaEsik2,"31-60",IF($O192&lt;=trv_kovaEsik3,"61-90","90+")))))</f>
        <v/>
      </c>
      <c r="Q192" s="28">
        <f>IF(OR($A192="",$G192="TAHSIL",$G192="KAPALI"),"",IF($P192="0-30",trv_olasilikK1,IF($P192="31-60",trv_olasilikK2,IF($P192="61-90",trv_olasilikK3,trv_olasilikK4))))</f>
        <v/>
      </c>
      <c r="R192" s="28">
        <f>IF(OR($A192="",$Q192=""),"",$J192*(1-$Q192)*MAX(trv_riskTaban,$K192/100))</f>
        <v/>
      </c>
      <c r="S192" s="28">
        <f>IF($A192="","",IF($B192="","YETİM",IF(COUNTIF(tblKartlar[KartId],$B192)=0,"YETİM","")))</f>
        <v/>
      </c>
      <c r="T192" s="28">
        <f>IF(OR($A192="",$F192=""),"",IF(OR($F192&amp;"|"&amp;$G192="",COUNTIF(ListeIzinliGecis,$F192&amp;"|"&amp;$G192)&gt;0),"","GEÇERSİZ GEÇİŞ"))</f>
        <v/>
      </c>
      <c r="U192" s="28">
        <f>IF($A192="","",IF(OR($G192="TAHSIL",$I192&gt;0),IF(OR($H192="",$I192=""),"",IF(ABS($I192-$H192)&gt;zincirTolerans,"ZİNCİR KIRIK","OK")),"OK"))</f>
        <v/>
      </c>
      <c r="V192" s="28">
        <f>IF($A192="","",1)</f>
        <v/>
      </c>
    </row>
    <row r="193">
      <c r="A193" s="26" t="n"/>
      <c r="B193" s="26" t="n"/>
      <c r="C193" s="26" t="n"/>
      <c r="D193" s="29" t="n"/>
      <c r="E193" s="29" t="n"/>
      <c r="F193" s="26" t="n"/>
      <c r="G193" s="26" t="n"/>
      <c r="H193" s="27" t="n"/>
      <c r="I193" s="27" t="n"/>
      <c r="J193" s="27" t="n"/>
      <c r="K193" s="30" t="n"/>
      <c r="L193" s="26" t="n"/>
      <c r="M193" s="26" t="n"/>
      <c r="N193" s="26" t="n"/>
      <c r="O193" s="28">
        <f>IF($A193="","",IF(OR($G193="TAHSIL",$G193="KAPALI"),0,IF($D193="","",raporTarihi-$D193)))</f>
        <v/>
      </c>
      <c r="P193" s="28">
        <f>IF($A193="","",IF($O193="","",IF($O193&lt;=trv_kovaEsik1,"0-30",IF($O193&lt;=trv_kovaEsik2,"31-60",IF($O193&lt;=trv_kovaEsik3,"61-90","90+")))))</f>
        <v/>
      </c>
      <c r="Q193" s="28">
        <f>IF(OR($A193="",$G193="TAHSIL",$G193="KAPALI"),"",IF($P193="0-30",trv_olasilikK1,IF($P193="31-60",trv_olasilikK2,IF($P193="61-90",trv_olasilikK3,trv_olasilikK4))))</f>
        <v/>
      </c>
      <c r="R193" s="28">
        <f>IF(OR($A193="",$Q193=""),"",$J193*(1-$Q193)*MAX(trv_riskTaban,$K193/100))</f>
        <v/>
      </c>
      <c r="S193" s="28">
        <f>IF($A193="","",IF($B193="","YETİM",IF(COUNTIF(tblKartlar[KartId],$B193)=0,"YETİM","")))</f>
        <v/>
      </c>
      <c r="T193" s="28">
        <f>IF(OR($A193="",$F193=""),"",IF(OR($F193&amp;"|"&amp;$G193="",COUNTIF(ListeIzinliGecis,$F193&amp;"|"&amp;$G193)&gt;0),"","GEÇERSİZ GEÇİŞ"))</f>
        <v/>
      </c>
      <c r="U193" s="28">
        <f>IF($A193="","",IF(OR($G193="TAHSIL",$I193&gt;0),IF(OR($H193="",$I193=""),"",IF(ABS($I193-$H193)&gt;zincirTolerans,"ZİNCİR KIRIK","OK")),"OK"))</f>
        <v/>
      </c>
      <c r="V193" s="28">
        <f>IF($A193="","",1)</f>
        <v/>
      </c>
    </row>
    <row r="194">
      <c r="A194" s="26" t="n"/>
      <c r="B194" s="26" t="n"/>
      <c r="C194" s="26" t="n"/>
      <c r="D194" s="29" t="n"/>
      <c r="E194" s="29" t="n"/>
      <c r="F194" s="26" t="n"/>
      <c r="G194" s="26" t="n"/>
      <c r="H194" s="27" t="n"/>
      <c r="I194" s="27" t="n"/>
      <c r="J194" s="27" t="n"/>
      <c r="K194" s="30" t="n"/>
      <c r="L194" s="26" t="n"/>
      <c r="M194" s="26" t="n"/>
      <c r="N194" s="26" t="n"/>
      <c r="O194" s="28">
        <f>IF($A194="","",IF(OR($G194="TAHSIL",$G194="KAPALI"),0,IF($D194="","",raporTarihi-$D194)))</f>
        <v/>
      </c>
      <c r="P194" s="28">
        <f>IF($A194="","",IF($O194="","",IF($O194&lt;=trv_kovaEsik1,"0-30",IF($O194&lt;=trv_kovaEsik2,"31-60",IF($O194&lt;=trv_kovaEsik3,"61-90","90+")))))</f>
        <v/>
      </c>
      <c r="Q194" s="28">
        <f>IF(OR($A194="",$G194="TAHSIL",$G194="KAPALI"),"",IF($P194="0-30",trv_olasilikK1,IF($P194="31-60",trv_olasilikK2,IF($P194="61-90",trv_olasilikK3,trv_olasilikK4))))</f>
        <v/>
      </c>
      <c r="R194" s="28">
        <f>IF(OR($A194="",$Q194=""),"",$J194*(1-$Q194)*MAX(trv_riskTaban,$K194/100))</f>
        <v/>
      </c>
      <c r="S194" s="28">
        <f>IF($A194="","",IF($B194="","YETİM",IF(COUNTIF(tblKartlar[KartId],$B194)=0,"YETİM","")))</f>
        <v/>
      </c>
      <c r="T194" s="28">
        <f>IF(OR($A194="",$F194=""),"",IF(OR($F194&amp;"|"&amp;$G194="",COUNTIF(ListeIzinliGecis,$F194&amp;"|"&amp;$G194)&gt;0),"","GEÇERSİZ GEÇİŞ"))</f>
        <v/>
      </c>
      <c r="U194" s="28">
        <f>IF($A194="","",IF(OR($G194="TAHSIL",$I194&gt;0),IF(OR($H194="",$I194=""),"",IF(ABS($I194-$H194)&gt;zincirTolerans,"ZİNCİR KIRIK","OK")),"OK"))</f>
        <v/>
      </c>
      <c r="V194" s="28">
        <f>IF($A194="","",1)</f>
        <v/>
      </c>
    </row>
    <row r="195">
      <c r="A195" s="26" t="n"/>
      <c r="B195" s="26" t="n"/>
      <c r="C195" s="26" t="n"/>
      <c r="D195" s="29" t="n"/>
      <c r="E195" s="29" t="n"/>
      <c r="F195" s="26" t="n"/>
      <c r="G195" s="26" t="n"/>
      <c r="H195" s="27" t="n"/>
      <c r="I195" s="27" t="n"/>
      <c r="J195" s="27" t="n"/>
      <c r="K195" s="30" t="n"/>
      <c r="L195" s="26" t="n"/>
      <c r="M195" s="26" t="n"/>
      <c r="N195" s="26" t="n"/>
      <c r="O195" s="28">
        <f>IF($A195="","",IF(OR($G195="TAHSIL",$G195="KAPALI"),0,IF($D195="","",raporTarihi-$D195)))</f>
        <v/>
      </c>
      <c r="P195" s="28">
        <f>IF($A195="","",IF($O195="","",IF($O195&lt;=trv_kovaEsik1,"0-30",IF($O195&lt;=trv_kovaEsik2,"31-60",IF($O195&lt;=trv_kovaEsik3,"61-90","90+")))))</f>
        <v/>
      </c>
      <c r="Q195" s="28">
        <f>IF(OR($A195="",$G195="TAHSIL",$G195="KAPALI"),"",IF($P195="0-30",trv_olasilikK1,IF($P195="31-60",trv_olasilikK2,IF($P195="61-90",trv_olasilikK3,trv_olasilikK4))))</f>
        <v/>
      </c>
      <c r="R195" s="28">
        <f>IF(OR($A195="",$Q195=""),"",$J195*(1-$Q195)*MAX(trv_riskTaban,$K195/100))</f>
        <v/>
      </c>
      <c r="S195" s="28">
        <f>IF($A195="","",IF($B195="","YETİM",IF(COUNTIF(tblKartlar[KartId],$B195)=0,"YETİM","")))</f>
        <v/>
      </c>
      <c r="T195" s="28">
        <f>IF(OR($A195="",$F195=""),"",IF(OR($F195&amp;"|"&amp;$G195="",COUNTIF(ListeIzinliGecis,$F195&amp;"|"&amp;$G195)&gt;0),"","GEÇERSİZ GEÇİŞ"))</f>
        <v/>
      </c>
      <c r="U195" s="28">
        <f>IF($A195="","",IF(OR($G195="TAHSIL",$I195&gt;0),IF(OR($H195="",$I195=""),"",IF(ABS($I195-$H195)&gt;zincirTolerans,"ZİNCİR KIRIK","OK")),"OK"))</f>
        <v/>
      </c>
      <c r="V195" s="28">
        <f>IF($A195="","",1)</f>
        <v/>
      </c>
    </row>
    <row r="196">
      <c r="A196" s="26" t="n"/>
      <c r="B196" s="26" t="n"/>
      <c r="C196" s="26" t="n"/>
      <c r="D196" s="29" t="n"/>
      <c r="E196" s="29" t="n"/>
      <c r="F196" s="26" t="n"/>
      <c r="G196" s="26" t="n"/>
      <c r="H196" s="27" t="n"/>
      <c r="I196" s="27" t="n"/>
      <c r="J196" s="27" t="n"/>
      <c r="K196" s="30" t="n"/>
      <c r="L196" s="26" t="n"/>
      <c r="M196" s="26" t="n"/>
      <c r="N196" s="26" t="n"/>
      <c r="O196" s="28">
        <f>IF($A196="","",IF(OR($G196="TAHSIL",$G196="KAPALI"),0,IF($D196="","",raporTarihi-$D196)))</f>
        <v/>
      </c>
      <c r="P196" s="28">
        <f>IF($A196="","",IF($O196="","",IF($O196&lt;=trv_kovaEsik1,"0-30",IF($O196&lt;=trv_kovaEsik2,"31-60",IF($O196&lt;=trv_kovaEsik3,"61-90","90+")))))</f>
        <v/>
      </c>
      <c r="Q196" s="28">
        <f>IF(OR($A196="",$G196="TAHSIL",$G196="KAPALI"),"",IF($P196="0-30",trv_olasilikK1,IF($P196="31-60",trv_olasilikK2,IF($P196="61-90",trv_olasilikK3,trv_olasilikK4))))</f>
        <v/>
      </c>
      <c r="R196" s="28">
        <f>IF(OR($A196="",$Q196=""),"",$J196*(1-$Q196)*MAX(trv_riskTaban,$K196/100))</f>
        <v/>
      </c>
      <c r="S196" s="28">
        <f>IF($A196="","",IF($B196="","YETİM",IF(COUNTIF(tblKartlar[KartId],$B196)=0,"YETİM","")))</f>
        <v/>
      </c>
      <c r="T196" s="28">
        <f>IF(OR($A196="",$F196=""),"",IF(OR($F196&amp;"|"&amp;$G196="",COUNTIF(ListeIzinliGecis,$F196&amp;"|"&amp;$G196)&gt;0),"","GEÇERSİZ GEÇİŞ"))</f>
        <v/>
      </c>
      <c r="U196" s="28">
        <f>IF($A196="","",IF(OR($G196="TAHSIL",$I196&gt;0),IF(OR($H196="",$I196=""),"",IF(ABS($I196-$H196)&gt;zincirTolerans,"ZİNCİR KIRIK","OK")),"OK"))</f>
        <v/>
      </c>
      <c r="V196" s="28">
        <f>IF($A196="","",1)</f>
        <v/>
      </c>
    </row>
    <row r="197">
      <c r="A197" s="26" t="n"/>
      <c r="B197" s="26" t="n"/>
      <c r="C197" s="26" t="n"/>
      <c r="D197" s="29" t="n"/>
      <c r="E197" s="29" t="n"/>
      <c r="F197" s="26" t="n"/>
      <c r="G197" s="26" t="n"/>
      <c r="H197" s="27" t="n"/>
      <c r="I197" s="27" t="n"/>
      <c r="J197" s="27" t="n"/>
      <c r="K197" s="30" t="n"/>
      <c r="L197" s="26" t="n"/>
      <c r="M197" s="26" t="n"/>
      <c r="N197" s="26" t="n"/>
      <c r="O197" s="28">
        <f>IF($A197="","",IF(OR($G197="TAHSIL",$G197="KAPALI"),0,IF($D197="","",raporTarihi-$D197)))</f>
        <v/>
      </c>
      <c r="P197" s="28">
        <f>IF($A197="","",IF($O197="","",IF($O197&lt;=trv_kovaEsik1,"0-30",IF($O197&lt;=trv_kovaEsik2,"31-60",IF($O197&lt;=trv_kovaEsik3,"61-90","90+")))))</f>
        <v/>
      </c>
      <c r="Q197" s="28">
        <f>IF(OR($A197="",$G197="TAHSIL",$G197="KAPALI"),"",IF($P197="0-30",trv_olasilikK1,IF($P197="31-60",trv_olasilikK2,IF($P197="61-90",trv_olasilikK3,trv_olasilikK4))))</f>
        <v/>
      </c>
      <c r="R197" s="28">
        <f>IF(OR($A197="",$Q197=""),"",$J197*(1-$Q197)*MAX(trv_riskTaban,$K197/100))</f>
        <v/>
      </c>
      <c r="S197" s="28">
        <f>IF($A197="","",IF($B197="","YETİM",IF(COUNTIF(tblKartlar[KartId],$B197)=0,"YETİM","")))</f>
        <v/>
      </c>
      <c r="T197" s="28">
        <f>IF(OR($A197="",$F197=""),"",IF(OR($F197&amp;"|"&amp;$G197="",COUNTIF(ListeIzinliGecis,$F197&amp;"|"&amp;$G197)&gt;0),"","GEÇERSİZ GEÇİŞ"))</f>
        <v/>
      </c>
      <c r="U197" s="28">
        <f>IF($A197="","",IF(OR($G197="TAHSIL",$I197&gt;0),IF(OR($H197="",$I197=""),"",IF(ABS($I197-$H197)&gt;zincirTolerans,"ZİNCİR KIRIK","OK")),"OK"))</f>
        <v/>
      </c>
      <c r="V197" s="28">
        <f>IF($A197="","",1)</f>
        <v/>
      </c>
    </row>
    <row r="198">
      <c r="A198" s="26" t="n"/>
      <c r="B198" s="26" t="n"/>
      <c r="C198" s="26" t="n"/>
      <c r="D198" s="29" t="n"/>
      <c r="E198" s="29" t="n"/>
      <c r="F198" s="26" t="n"/>
      <c r="G198" s="26" t="n"/>
      <c r="H198" s="27" t="n"/>
      <c r="I198" s="27" t="n"/>
      <c r="J198" s="27" t="n"/>
      <c r="K198" s="30" t="n"/>
      <c r="L198" s="26" t="n"/>
      <c r="M198" s="26" t="n"/>
      <c r="N198" s="26" t="n"/>
      <c r="O198" s="28">
        <f>IF($A198="","",IF(OR($G198="TAHSIL",$G198="KAPALI"),0,IF($D198="","",raporTarihi-$D198)))</f>
        <v/>
      </c>
      <c r="P198" s="28">
        <f>IF($A198="","",IF($O198="","",IF($O198&lt;=trv_kovaEsik1,"0-30",IF($O198&lt;=trv_kovaEsik2,"31-60",IF($O198&lt;=trv_kovaEsik3,"61-90","90+")))))</f>
        <v/>
      </c>
      <c r="Q198" s="28">
        <f>IF(OR($A198="",$G198="TAHSIL",$G198="KAPALI"),"",IF($P198="0-30",trv_olasilikK1,IF($P198="31-60",trv_olasilikK2,IF($P198="61-90",trv_olasilikK3,trv_olasilikK4))))</f>
        <v/>
      </c>
      <c r="R198" s="28">
        <f>IF(OR($A198="",$Q198=""),"",$J198*(1-$Q198)*MAX(trv_riskTaban,$K198/100))</f>
        <v/>
      </c>
      <c r="S198" s="28">
        <f>IF($A198="","",IF($B198="","YETİM",IF(COUNTIF(tblKartlar[KartId],$B198)=0,"YETİM","")))</f>
        <v/>
      </c>
      <c r="T198" s="28">
        <f>IF(OR($A198="",$F198=""),"",IF(OR($F198&amp;"|"&amp;$G198="",COUNTIF(ListeIzinliGecis,$F198&amp;"|"&amp;$G198)&gt;0),"","GEÇERSİZ GEÇİŞ"))</f>
        <v/>
      </c>
      <c r="U198" s="28">
        <f>IF($A198="","",IF(OR($G198="TAHSIL",$I198&gt;0),IF(OR($H198="",$I198=""),"",IF(ABS($I198-$H198)&gt;zincirTolerans,"ZİNCİR KIRIK","OK")),"OK"))</f>
        <v/>
      </c>
      <c r="V198" s="28">
        <f>IF($A198="","",1)</f>
        <v/>
      </c>
    </row>
    <row r="199">
      <c r="A199" s="26" t="n"/>
      <c r="B199" s="26" t="n"/>
      <c r="C199" s="26" t="n"/>
      <c r="D199" s="29" t="n"/>
      <c r="E199" s="29" t="n"/>
      <c r="F199" s="26" t="n"/>
      <c r="G199" s="26" t="n"/>
      <c r="H199" s="27" t="n"/>
      <c r="I199" s="27" t="n"/>
      <c r="J199" s="27" t="n"/>
      <c r="K199" s="30" t="n"/>
      <c r="L199" s="26" t="n"/>
      <c r="M199" s="26" t="n"/>
      <c r="N199" s="26" t="n"/>
      <c r="O199" s="28">
        <f>IF($A199="","",IF(OR($G199="TAHSIL",$G199="KAPALI"),0,IF($D199="","",raporTarihi-$D199)))</f>
        <v/>
      </c>
      <c r="P199" s="28">
        <f>IF($A199="","",IF($O199="","",IF($O199&lt;=trv_kovaEsik1,"0-30",IF($O199&lt;=trv_kovaEsik2,"31-60",IF($O199&lt;=trv_kovaEsik3,"61-90","90+")))))</f>
        <v/>
      </c>
      <c r="Q199" s="28">
        <f>IF(OR($A199="",$G199="TAHSIL",$G199="KAPALI"),"",IF($P199="0-30",trv_olasilikK1,IF($P199="31-60",trv_olasilikK2,IF($P199="61-90",trv_olasilikK3,trv_olasilikK4))))</f>
        <v/>
      </c>
      <c r="R199" s="28">
        <f>IF(OR($A199="",$Q199=""),"",$J199*(1-$Q199)*MAX(trv_riskTaban,$K199/100))</f>
        <v/>
      </c>
      <c r="S199" s="28">
        <f>IF($A199="","",IF($B199="","YETİM",IF(COUNTIF(tblKartlar[KartId],$B199)=0,"YETİM","")))</f>
        <v/>
      </c>
      <c r="T199" s="28">
        <f>IF(OR($A199="",$F199=""),"",IF(OR($F199&amp;"|"&amp;$G199="",COUNTIF(ListeIzinliGecis,$F199&amp;"|"&amp;$G199)&gt;0),"","GEÇERSİZ GEÇİŞ"))</f>
        <v/>
      </c>
      <c r="U199" s="28">
        <f>IF($A199="","",IF(OR($G199="TAHSIL",$I199&gt;0),IF(OR($H199="",$I199=""),"",IF(ABS($I199-$H199)&gt;zincirTolerans,"ZİNCİR KIRIK","OK")),"OK"))</f>
        <v/>
      </c>
      <c r="V199" s="28">
        <f>IF($A199="","",1)</f>
        <v/>
      </c>
    </row>
    <row r="200">
      <c r="A200" s="26" t="n"/>
      <c r="B200" s="26" t="n"/>
      <c r="C200" s="26" t="n"/>
      <c r="D200" s="29" t="n"/>
      <c r="E200" s="29" t="n"/>
      <c r="F200" s="26" t="n"/>
      <c r="G200" s="26" t="n"/>
      <c r="H200" s="27" t="n"/>
      <c r="I200" s="27" t="n"/>
      <c r="J200" s="27" t="n"/>
      <c r="K200" s="30" t="n"/>
      <c r="L200" s="26" t="n"/>
      <c r="M200" s="26" t="n"/>
      <c r="N200" s="26" t="n"/>
      <c r="O200" s="28">
        <f>IF($A200="","",IF(OR($G200="TAHSIL",$G200="KAPALI"),0,IF($D200="","",raporTarihi-$D200)))</f>
        <v/>
      </c>
      <c r="P200" s="28">
        <f>IF($A200="","",IF($O200="","",IF($O200&lt;=trv_kovaEsik1,"0-30",IF($O200&lt;=trv_kovaEsik2,"31-60",IF($O200&lt;=trv_kovaEsik3,"61-90","90+")))))</f>
        <v/>
      </c>
      <c r="Q200" s="28">
        <f>IF(OR($A200="",$G200="TAHSIL",$G200="KAPALI"),"",IF($P200="0-30",trv_olasilikK1,IF($P200="31-60",trv_olasilikK2,IF($P200="61-90",trv_olasilikK3,trv_olasilikK4))))</f>
        <v/>
      </c>
      <c r="R200" s="28">
        <f>IF(OR($A200="",$Q200=""),"",$J200*(1-$Q200)*MAX(trv_riskTaban,$K200/100))</f>
        <v/>
      </c>
      <c r="S200" s="28">
        <f>IF($A200="","",IF($B200="","YETİM",IF(COUNTIF(tblKartlar[KartId],$B200)=0,"YETİM","")))</f>
        <v/>
      </c>
      <c r="T200" s="28">
        <f>IF(OR($A200="",$F200=""),"",IF(OR($F200&amp;"|"&amp;$G200="",COUNTIF(ListeIzinliGecis,$F200&amp;"|"&amp;$G200)&gt;0),"","GEÇERSİZ GEÇİŞ"))</f>
        <v/>
      </c>
      <c r="U200" s="28">
        <f>IF($A200="","",IF(OR($G200="TAHSIL",$I200&gt;0),IF(OR($H200="",$I200=""),"",IF(ABS($I200-$H200)&gt;zincirTolerans,"ZİNCİR KIRIK","OK")),"OK"))</f>
        <v/>
      </c>
      <c r="V200" s="28">
        <f>IF($A200="","",1)</f>
        <v/>
      </c>
    </row>
    <row r="201">
      <c r="A201" s="26" t="n"/>
      <c r="B201" s="26" t="n"/>
      <c r="C201" s="26" t="n"/>
      <c r="D201" s="29" t="n"/>
      <c r="E201" s="29" t="n"/>
      <c r="F201" s="26" t="n"/>
      <c r="G201" s="26" t="n"/>
      <c r="H201" s="27" t="n"/>
      <c r="I201" s="27" t="n"/>
      <c r="J201" s="27" t="n"/>
      <c r="K201" s="30" t="n"/>
      <c r="L201" s="26" t="n"/>
      <c r="M201" s="26" t="n"/>
      <c r="N201" s="26" t="n"/>
      <c r="O201" s="28">
        <f>IF($A201="","",IF(OR($G201="TAHSIL",$G201="KAPALI"),0,IF($D201="","",raporTarihi-$D201)))</f>
        <v/>
      </c>
      <c r="P201" s="28">
        <f>IF($A201="","",IF($O201="","",IF($O201&lt;=trv_kovaEsik1,"0-30",IF($O201&lt;=trv_kovaEsik2,"31-60",IF($O201&lt;=trv_kovaEsik3,"61-90","90+")))))</f>
        <v/>
      </c>
      <c r="Q201" s="28">
        <f>IF(OR($A201="",$G201="TAHSIL",$G201="KAPALI"),"",IF($P201="0-30",trv_olasilikK1,IF($P201="31-60",trv_olasilikK2,IF($P201="61-90",trv_olasilikK3,trv_olasilikK4))))</f>
        <v/>
      </c>
      <c r="R201" s="28">
        <f>IF(OR($A201="",$Q201=""),"",$J201*(1-$Q201)*MAX(trv_riskTaban,$K201/100))</f>
        <v/>
      </c>
      <c r="S201" s="28">
        <f>IF($A201="","",IF($B201="","YETİM",IF(COUNTIF(tblKartlar[KartId],$B201)=0,"YETİM","")))</f>
        <v/>
      </c>
      <c r="T201" s="28">
        <f>IF(OR($A201="",$F201=""),"",IF(OR($F201&amp;"|"&amp;$G201="",COUNTIF(ListeIzinliGecis,$F201&amp;"|"&amp;$G201)&gt;0),"","GEÇERSİZ GEÇİŞ"))</f>
        <v/>
      </c>
      <c r="U201" s="28">
        <f>IF($A201="","",IF(OR($G201="TAHSIL",$I201&gt;0),IF(OR($H201="",$I201=""),"",IF(ABS($I201-$H201)&gt;zincirTolerans,"ZİNCİR KIRIK","OK")),"OK"))</f>
        <v/>
      </c>
      <c r="V201" s="28">
        <f>IF($A201="","",1)</f>
        <v/>
      </c>
    </row>
    <row r="202">
      <c r="A202" s="26" t="n"/>
      <c r="B202" s="26" t="n"/>
      <c r="C202" s="26" t="n"/>
      <c r="D202" s="29" t="n"/>
      <c r="E202" s="29" t="n"/>
      <c r="F202" s="26" t="n"/>
      <c r="G202" s="26" t="n"/>
      <c r="H202" s="27" t="n"/>
      <c r="I202" s="27" t="n"/>
      <c r="J202" s="27" t="n"/>
      <c r="K202" s="30" t="n"/>
      <c r="L202" s="26" t="n"/>
      <c r="M202" s="26" t="n"/>
      <c r="N202" s="26" t="n"/>
      <c r="O202" s="28">
        <f>IF($A202="","",IF(OR($G202="TAHSIL",$G202="KAPALI"),0,IF($D202="","",raporTarihi-$D202)))</f>
        <v/>
      </c>
      <c r="P202" s="28">
        <f>IF($A202="","",IF($O202="","",IF($O202&lt;=trv_kovaEsik1,"0-30",IF($O202&lt;=trv_kovaEsik2,"31-60",IF($O202&lt;=trv_kovaEsik3,"61-90","90+")))))</f>
        <v/>
      </c>
      <c r="Q202" s="28">
        <f>IF(OR($A202="",$G202="TAHSIL",$G202="KAPALI"),"",IF($P202="0-30",trv_olasilikK1,IF($P202="31-60",trv_olasilikK2,IF($P202="61-90",trv_olasilikK3,trv_olasilikK4))))</f>
        <v/>
      </c>
      <c r="R202" s="28">
        <f>IF(OR($A202="",$Q202=""),"",$J202*(1-$Q202)*MAX(trv_riskTaban,$K202/100))</f>
        <v/>
      </c>
      <c r="S202" s="28">
        <f>IF($A202="","",IF($B202="","YETİM",IF(COUNTIF(tblKartlar[KartId],$B202)=0,"YETİM","")))</f>
        <v/>
      </c>
      <c r="T202" s="28">
        <f>IF(OR($A202="",$F202=""),"",IF(OR($F202&amp;"|"&amp;$G202="",COUNTIF(ListeIzinliGecis,$F202&amp;"|"&amp;$G202)&gt;0),"","GEÇERSİZ GEÇİŞ"))</f>
        <v/>
      </c>
      <c r="U202" s="28">
        <f>IF($A202="","",IF(OR($G202="TAHSIL",$I202&gt;0),IF(OR($H202="",$I202=""),"",IF(ABS($I202-$H202)&gt;zincirTolerans,"ZİNCİR KIRIK","OK")),"OK"))</f>
        <v/>
      </c>
      <c r="V202" s="28">
        <f>IF($A202="","",1)</f>
        <v/>
      </c>
    </row>
    <row r="203">
      <c r="A203" s="26" t="n"/>
      <c r="B203" s="26" t="n"/>
      <c r="C203" s="26" t="n"/>
      <c r="D203" s="29" t="n"/>
      <c r="E203" s="29" t="n"/>
      <c r="F203" s="26" t="n"/>
      <c r="G203" s="26" t="n"/>
      <c r="H203" s="27" t="n"/>
      <c r="I203" s="27" t="n"/>
      <c r="J203" s="27" t="n"/>
      <c r="K203" s="30" t="n"/>
      <c r="L203" s="26" t="n"/>
      <c r="M203" s="26" t="n"/>
      <c r="N203" s="26" t="n"/>
      <c r="O203" s="28">
        <f>IF($A203="","",IF(OR($G203="TAHSIL",$G203="KAPALI"),0,IF($D203="","",raporTarihi-$D203)))</f>
        <v/>
      </c>
      <c r="P203" s="28">
        <f>IF($A203="","",IF($O203="","",IF($O203&lt;=trv_kovaEsik1,"0-30",IF($O203&lt;=trv_kovaEsik2,"31-60",IF($O203&lt;=trv_kovaEsik3,"61-90","90+")))))</f>
        <v/>
      </c>
      <c r="Q203" s="28">
        <f>IF(OR($A203="",$G203="TAHSIL",$G203="KAPALI"),"",IF($P203="0-30",trv_olasilikK1,IF($P203="31-60",trv_olasilikK2,IF($P203="61-90",trv_olasilikK3,trv_olasilikK4))))</f>
        <v/>
      </c>
      <c r="R203" s="28">
        <f>IF(OR($A203="",$Q203=""),"",$J203*(1-$Q203)*MAX(trv_riskTaban,$K203/100))</f>
        <v/>
      </c>
      <c r="S203" s="28">
        <f>IF($A203="","",IF($B203="","YETİM",IF(COUNTIF(tblKartlar[KartId],$B203)=0,"YETİM","")))</f>
        <v/>
      </c>
      <c r="T203" s="28">
        <f>IF(OR($A203="",$F203=""),"",IF(OR($F203&amp;"|"&amp;$G203="",COUNTIF(ListeIzinliGecis,$F203&amp;"|"&amp;$G203)&gt;0),"","GEÇERSİZ GEÇİŞ"))</f>
        <v/>
      </c>
      <c r="U203" s="28">
        <f>IF($A203="","",IF(OR($G203="TAHSIL",$I203&gt;0),IF(OR($H203="",$I203=""),"",IF(ABS($I203-$H203)&gt;zincirTolerans,"ZİNCİR KIRIK","OK")),"OK"))</f>
        <v/>
      </c>
      <c r="V203" s="28">
        <f>IF($A203="","",1)</f>
        <v/>
      </c>
    </row>
    <row r="204">
      <c r="A204" s="26" t="n"/>
      <c r="B204" s="26" t="n"/>
      <c r="C204" s="26" t="n"/>
      <c r="D204" s="29" t="n"/>
      <c r="E204" s="29" t="n"/>
      <c r="F204" s="26" t="n"/>
      <c r="G204" s="26" t="n"/>
      <c r="H204" s="27" t="n"/>
      <c r="I204" s="27" t="n"/>
      <c r="J204" s="27" t="n"/>
      <c r="K204" s="30" t="n"/>
      <c r="L204" s="26" t="n"/>
      <c r="M204" s="26" t="n"/>
      <c r="N204" s="26" t="n"/>
      <c r="O204" s="28">
        <f>IF($A204="","",IF(OR($G204="TAHSIL",$G204="KAPALI"),0,IF($D204="","",raporTarihi-$D204)))</f>
        <v/>
      </c>
      <c r="P204" s="28">
        <f>IF($A204="","",IF($O204="","",IF($O204&lt;=trv_kovaEsik1,"0-30",IF($O204&lt;=trv_kovaEsik2,"31-60",IF($O204&lt;=trv_kovaEsik3,"61-90","90+")))))</f>
        <v/>
      </c>
      <c r="Q204" s="28">
        <f>IF(OR($A204="",$G204="TAHSIL",$G204="KAPALI"),"",IF($P204="0-30",trv_olasilikK1,IF($P204="31-60",trv_olasilikK2,IF($P204="61-90",trv_olasilikK3,trv_olasilikK4))))</f>
        <v/>
      </c>
      <c r="R204" s="28">
        <f>IF(OR($A204="",$Q204=""),"",$J204*(1-$Q204)*MAX(trv_riskTaban,$K204/100))</f>
        <v/>
      </c>
      <c r="S204" s="28">
        <f>IF($A204="","",IF($B204="","YETİM",IF(COUNTIF(tblKartlar[KartId],$B204)=0,"YETİM","")))</f>
        <v/>
      </c>
      <c r="T204" s="28">
        <f>IF(OR($A204="",$F204=""),"",IF(OR($F204&amp;"|"&amp;$G204="",COUNTIF(ListeIzinliGecis,$F204&amp;"|"&amp;$G204)&gt;0),"","GEÇERSİZ GEÇİŞ"))</f>
        <v/>
      </c>
      <c r="U204" s="28">
        <f>IF($A204="","",IF(OR($G204="TAHSIL",$I204&gt;0),IF(OR($H204="",$I204=""),"",IF(ABS($I204-$H204)&gt;zincirTolerans,"ZİNCİR KIRIK","OK")),"OK"))</f>
        <v/>
      </c>
      <c r="V204" s="28">
        <f>IF($A204="","",1)</f>
        <v/>
      </c>
    </row>
    <row r="205">
      <c r="A205" s="26" t="n"/>
      <c r="B205" s="26" t="n"/>
      <c r="C205" s="26" t="n"/>
      <c r="D205" s="29" t="n"/>
      <c r="E205" s="29" t="n"/>
      <c r="F205" s="26" t="n"/>
      <c r="G205" s="26" t="n"/>
      <c r="H205" s="27" t="n"/>
      <c r="I205" s="27" t="n"/>
      <c r="J205" s="27" t="n"/>
      <c r="K205" s="30" t="n"/>
      <c r="L205" s="26" t="n"/>
      <c r="M205" s="26" t="n"/>
      <c r="N205" s="26" t="n"/>
      <c r="O205" s="28">
        <f>IF($A205="","",IF(OR($G205="TAHSIL",$G205="KAPALI"),0,IF($D205="","",raporTarihi-$D205)))</f>
        <v/>
      </c>
      <c r="P205" s="28">
        <f>IF($A205="","",IF($O205="","",IF($O205&lt;=trv_kovaEsik1,"0-30",IF($O205&lt;=trv_kovaEsik2,"31-60",IF($O205&lt;=trv_kovaEsik3,"61-90","90+")))))</f>
        <v/>
      </c>
      <c r="Q205" s="28">
        <f>IF(OR($A205="",$G205="TAHSIL",$G205="KAPALI"),"",IF($P205="0-30",trv_olasilikK1,IF($P205="31-60",trv_olasilikK2,IF($P205="61-90",trv_olasilikK3,trv_olasilikK4))))</f>
        <v/>
      </c>
      <c r="R205" s="28">
        <f>IF(OR($A205="",$Q205=""),"",$J205*(1-$Q205)*MAX(trv_riskTaban,$K205/100))</f>
        <v/>
      </c>
      <c r="S205" s="28">
        <f>IF($A205="","",IF($B205="","YETİM",IF(COUNTIF(tblKartlar[KartId],$B205)=0,"YETİM","")))</f>
        <v/>
      </c>
      <c r="T205" s="28">
        <f>IF(OR($A205="",$F205=""),"",IF(OR($F205&amp;"|"&amp;$G205="",COUNTIF(ListeIzinliGecis,$F205&amp;"|"&amp;$G205)&gt;0),"","GEÇERSİZ GEÇİŞ"))</f>
        <v/>
      </c>
      <c r="U205" s="28">
        <f>IF($A205="","",IF(OR($G205="TAHSIL",$I205&gt;0),IF(OR($H205="",$I205=""),"",IF(ABS($I205-$H205)&gt;zincirTolerans,"ZİNCİR KIRIK","OK")),"OK"))</f>
        <v/>
      </c>
      <c r="V205" s="28">
        <f>IF($A205="","",1)</f>
        <v/>
      </c>
    </row>
    <row r="206">
      <c r="A206" s="26" t="n"/>
      <c r="B206" s="26" t="n"/>
      <c r="C206" s="26" t="n"/>
      <c r="D206" s="29" t="n"/>
      <c r="E206" s="29" t="n"/>
      <c r="F206" s="26" t="n"/>
      <c r="G206" s="26" t="n"/>
      <c r="H206" s="27" t="n"/>
      <c r="I206" s="27" t="n"/>
      <c r="J206" s="27" t="n"/>
      <c r="K206" s="30" t="n"/>
      <c r="L206" s="26" t="n"/>
      <c r="M206" s="26" t="n"/>
      <c r="N206" s="26" t="n"/>
      <c r="O206" s="28">
        <f>IF($A206="","",IF(OR($G206="TAHSIL",$G206="KAPALI"),0,IF($D206="","",raporTarihi-$D206)))</f>
        <v/>
      </c>
      <c r="P206" s="28">
        <f>IF($A206="","",IF($O206="","",IF($O206&lt;=trv_kovaEsik1,"0-30",IF($O206&lt;=trv_kovaEsik2,"31-60",IF($O206&lt;=trv_kovaEsik3,"61-90","90+")))))</f>
        <v/>
      </c>
      <c r="Q206" s="28">
        <f>IF(OR($A206="",$G206="TAHSIL",$G206="KAPALI"),"",IF($P206="0-30",trv_olasilikK1,IF($P206="31-60",trv_olasilikK2,IF($P206="61-90",trv_olasilikK3,trv_olasilikK4))))</f>
        <v/>
      </c>
      <c r="R206" s="28">
        <f>IF(OR($A206="",$Q206=""),"",$J206*(1-$Q206)*MAX(trv_riskTaban,$K206/100))</f>
        <v/>
      </c>
      <c r="S206" s="28">
        <f>IF($A206="","",IF($B206="","YETİM",IF(COUNTIF(tblKartlar[KartId],$B206)=0,"YETİM","")))</f>
        <v/>
      </c>
      <c r="T206" s="28">
        <f>IF(OR($A206="",$F206=""),"",IF(OR($F206&amp;"|"&amp;$G206="",COUNTIF(ListeIzinliGecis,$F206&amp;"|"&amp;$G206)&gt;0),"","GEÇERSİZ GEÇİŞ"))</f>
        <v/>
      </c>
      <c r="U206" s="28">
        <f>IF($A206="","",IF(OR($G206="TAHSIL",$I206&gt;0),IF(OR($H206="",$I206=""),"",IF(ABS($I206-$H206)&gt;zincirTolerans,"ZİNCİR KIRIK","OK")),"OK"))</f>
        <v/>
      </c>
      <c r="V206" s="28">
        <f>IF($A206="","",1)</f>
        <v/>
      </c>
    </row>
    <row r="207">
      <c r="A207" s="26" t="n"/>
      <c r="B207" s="26" t="n"/>
      <c r="C207" s="26" t="n"/>
      <c r="D207" s="29" t="n"/>
      <c r="E207" s="29" t="n"/>
      <c r="F207" s="26" t="n"/>
      <c r="G207" s="26" t="n"/>
      <c r="H207" s="27" t="n"/>
      <c r="I207" s="27" t="n"/>
      <c r="J207" s="27" t="n"/>
      <c r="K207" s="30" t="n"/>
      <c r="L207" s="26" t="n"/>
      <c r="M207" s="26" t="n"/>
      <c r="N207" s="26" t="n"/>
      <c r="O207" s="28">
        <f>IF($A207="","",IF(OR($G207="TAHSIL",$G207="KAPALI"),0,IF($D207="","",raporTarihi-$D207)))</f>
        <v/>
      </c>
      <c r="P207" s="28">
        <f>IF($A207="","",IF($O207="","",IF($O207&lt;=trv_kovaEsik1,"0-30",IF($O207&lt;=trv_kovaEsik2,"31-60",IF($O207&lt;=trv_kovaEsik3,"61-90","90+")))))</f>
        <v/>
      </c>
      <c r="Q207" s="28">
        <f>IF(OR($A207="",$G207="TAHSIL",$G207="KAPALI"),"",IF($P207="0-30",trv_olasilikK1,IF($P207="31-60",trv_olasilikK2,IF($P207="61-90",trv_olasilikK3,trv_olasilikK4))))</f>
        <v/>
      </c>
      <c r="R207" s="28">
        <f>IF(OR($A207="",$Q207=""),"",$J207*(1-$Q207)*MAX(trv_riskTaban,$K207/100))</f>
        <v/>
      </c>
      <c r="S207" s="28">
        <f>IF($A207="","",IF($B207="","YETİM",IF(COUNTIF(tblKartlar[KartId],$B207)=0,"YETİM","")))</f>
        <v/>
      </c>
      <c r="T207" s="28">
        <f>IF(OR($A207="",$F207=""),"",IF(OR($F207&amp;"|"&amp;$G207="",COUNTIF(ListeIzinliGecis,$F207&amp;"|"&amp;$G207)&gt;0),"","GEÇERSİZ GEÇİŞ"))</f>
        <v/>
      </c>
      <c r="U207" s="28">
        <f>IF($A207="","",IF(OR($G207="TAHSIL",$I207&gt;0),IF(OR($H207="",$I207=""),"",IF(ABS($I207-$H207)&gt;zincirTolerans,"ZİNCİR KIRIK","OK")),"OK"))</f>
        <v/>
      </c>
      <c r="V207" s="28">
        <f>IF($A207="","",1)</f>
        <v/>
      </c>
    </row>
    <row r="208">
      <c r="A208" s="26" t="n"/>
      <c r="B208" s="26" t="n"/>
      <c r="C208" s="26" t="n"/>
      <c r="D208" s="29" t="n"/>
      <c r="E208" s="29" t="n"/>
      <c r="F208" s="26" t="n"/>
      <c r="G208" s="26" t="n"/>
      <c r="H208" s="27" t="n"/>
      <c r="I208" s="27" t="n"/>
      <c r="J208" s="27" t="n"/>
      <c r="K208" s="30" t="n"/>
      <c r="L208" s="26" t="n"/>
      <c r="M208" s="26" t="n"/>
      <c r="N208" s="26" t="n"/>
      <c r="O208" s="28">
        <f>IF($A208="","",IF(OR($G208="TAHSIL",$G208="KAPALI"),0,IF($D208="","",raporTarihi-$D208)))</f>
        <v/>
      </c>
      <c r="P208" s="28">
        <f>IF($A208="","",IF($O208="","",IF($O208&lt;=trv_kovaEsik1,"0-30",IF($O208&lt;=trv_kovaEsik2,"31-60",IF($O208&lt;=trv_kovaEsik3,"61-90","90+")))))</f>
        <v/>
      </c>
      <c r="Q208" s="28">
        <f>IF(OR($A208="",$G208="TAHSIL",$G208="KAPALI"),"",IF($P208="0-30",trv_olasilikK1,IF($P208="31-60",trv_olasilikK2,IF($P208="61-90",trv_olasilikK3,trv_olasilikK4))))</f>
        <v/>
      </c>
      <c r="R208" s="28">
        <f>IF(OR($A208="",$Q208=""),"",$J208*(1-$Q208)*MAX(trv_riskTaban,$K208/100))</f>
        <v/>
      </c>
      <c r="S208" s="28">
        <f>IF($A208="","",IF($B208="","YETİM",IF(COUNTIF(tblKartlar[KartId],$B208)=0,"YETİM","")))</f>
        <v/>
      </c>
      <c r="T208" s="28">
        <f>IF(OR($A208="",$F208=""),"",IF(OR($F208&amp;"|"&amp;$G208="",COUNTIF(ListeIzinliGecis,$F208&amp;"|"&amp;$G208)&gt;0),"","GEÇERSİZ GEÇİŞ"))</f>
        <v/>
      </c>
      <c r="U208" s="28">
        <f>IF($A208="","",IF(OR($G208="TAHSIL",$I208&gt;0),IF(OR($H208="",$I208=""),"",IF(ABS($I208-$H208)&gt;zincirTolerans,"ZİNCİR KIRIK","OK")),"OK"))</f>
        <v/>
      </c>
      <c r="V208" s="28">
        <f>IF($A208="","",1)</f>
        <v/>
      </c>
    </row>
    <row r="209">
      <c r="A209" s="26" t="n"/>
      <c r="B209" s="26" t="n"/>
      <c r="C209" s="26" t="n"/>
      <c r="D209" s="29" t="n"/>
      <c r="E209" s="29" t="n"/>
      <c r="F209" s="26" t="n"/>
      <c r="G209" s="26" t="n"/>
      <c r="H209" s="27" t="n"/>
      <c r="I209" s="27" t="n"/>
      <c r="J209" s="27" t="n"/>
      <c r="K209" s="30" t="n"/>
      <c r="L209" s="26" t="n"/>
      <c r="M209" s="26" t="n"/>
      <c r="N209" s="26" t="n"/>
      <c r="O209" s="28">
        <f>IF($A209="","",IF(OR($G209="TAHSIL",$G209="KAPALI"),0,IF($D209="","",raporTarihi-$D209)))</f>
        <v/>
      </c>
      <c r="P209" s="28">
        <f>IF($A209="","",IF($O209="","",IF($O209&lt;=trv_kovaEsik1,"0-30",IF($O209&lt;=trv_kovaEsik2,"31-60",IF($O209&lt;=trv_kovaEsik3,"61-90","90+")))))</f>
        <v/>
      </c>
      <c r="Q209" s="28">
        <f>IF(OR($A209="",$G209="TAHSIL",$G209="KAPALI"),"",IF($P209="0-30",trv_olasilikK1,IF($P209="31-60",trv_olasilikK2,IF($P209="61-90",trv_olasilikK3,trv_olasilikK4))))</f>
        <v/>
      </c>
      <c r="R209" s="28">
        <f>IF(OR($A209="",$Q209=""),"",$J209*(1-$Q209)*MAX(trv_riskTaban,$K209/100))</f>
        <v/>
      </c>
      <c r="S209" s="28">
        <f>IF($A209="","",IF($B209="","YETİM",IF(COUNTIF(tblKartlar[KartId],$B209)=0,"YETİM","")))</f>
        <v/>
      </c>
      <c r="T209" s="28">
        <f>IF(OR($A209="",$F209=""),"",IF(OR($F209&amp;"|"&amp;$G209="",COUNTIF(ListeIzinliGecis,$F209&amp;"|"&amp;$G209)&gt;0),"","GEÇERSİZ GEÇİŞ"))</f>
        <v/>
      </c>
      <c r="U209" s="28">
        <f>IF($A209="","",IF(OR($G209="TAHSIL",$I209&gt;0),IF(OR($H209="",$I209=""),"",IF(ABS($I209-$H209)&gt;zincirTolerans,"ZİNCİR KIRIK","OK")),"OK"))</f>
        <v/>
      </c>
      <c r="V209" s="28">
        <f>IF($A209="","",1)</f>
        <v/>
      </c>
    </row>
    <row r="210">
      <c r="A210" s="26" t="n"/>
      <c r="B210" s="26" t="n"/>
      <c r="C210" s="26" t="n"/>
      <c r="D210" s="29" t="n"/>
      <c r="E210" s="29" t="n"/>
      <c r="F210" s="26" t="n"/>
      <c r="G210" s="26" t="n"/>
      <c r="H210" s="27" t="n"/>
      <c r="I210" s="27" t="n"/>
      <c r="J210" s="27" t="n"/>
      <c r="K210" s="30" t="n"/>
      <c r="L210" s="26" t="n"/>
      <c r="M210" s="26" t="n"/>
      <c r="N210" s="26" t="n"/>
      <c r="O210" s="28">
        <f>IF($A210="","",IF(OR($G210="TAHSIL",$G210="KAPALI"),0,IF($D210="","",raporTarihi-$D210)))</f>
        <v/>
      </c>
      <c r="P210" s="28">
        <f>IF($A210="","",IF($O210="","",IF($O210&lt;=trv_kovaEsik1,"0-30",IF($O210&lt;=trv_kovaEsik2,"31-60",IF($O210&lt;=trv_kovaEsik3,"61-90","90+")))))</f>
        <v/>
      </c>
      <c r="Q210" s="28">
        <f>IF(OR($A210="",$G210="TAHSIL",$G210="KAPALI"),"",IF($P210="0-30",trv_olasilikK1,IF($P210="31-60",trv_olasilikK2,IF($P210="61-90",trv_olasilikK3,trv_olasilikK4))))</f>
        <v/>
      </c>
      <c r="R210" s="28">
        <f>IF(OR($A210="",$Q210=""),"",$J210*(1-$Q210)*MAX(trv_riskTaban,$K210/100))</f>
        <v/>
      </c>
      <c r="S210" s="28">
        <f>IF($A210="","",IF($B210="","YETİM",IF(COUNTIF(tblKartlar[KartId],$B210)=0,"YETİM","")))</f>
        <v/>
      </c>
      <c r="T210" s="28">
        <f>IF(OR($A210="",$F210=""),"",IF(OR($F210&amp;"|"&amp;$G210="",COUNTIF(ListeIzinliGecis,$F210&amp;"|"&amp;$G210)&gt;0),"","GEÇERSİZ GEÇİŞ"))</f>
        <v/>
      </c>
      <c r="U210" s="28">
        <f>IF($A210="","",IF(OR($G210="TAHSIL",$I210&gt;0),IF(OR($H210="",$I210=""),"",IF(ABS($I210-$H210)&gt;zincirTolerans,"ZİNCİR KIRIK","OK")),"OK"))</f>
        <v/>
      </c>
      <c r="V210" s="28">
        <f>IF($A210="","",1)</f>
        <v/>
      </c>
    </row>
    <row r="211">
      <c r="A211" s="26" t="n"/>
      <c r="B211" s="26" t="n"/>
      <c r="C211" s="26" t="n"/>
      <c r="D211" s="29" t="n"/>
      <c r="E211" s="29" t="n"/>
      <c r="F211" s="26" t="n"/>
      <c r="G211" s="26" t="n"/>
      <c r="H211" s="27" t="n"/>
      <c r="I211" s="27" t="n"/>
      <c r="J211" s="27" t="n"/>
      <c r="K211" s="30" t="n"/>
      <c r="L211" s="26" t="n"/>
      <c r="M211" s="26" t="n"/>
      <c r="N211" s="26" t="n"/>
      <c r="O211" s="28">
        <f>IF($A211="","",IF(OR($G211="TAHSIL",$G211="KAPALI"),0,IF($D211="","",raporTarihi-$D211)))</f>
        <v/>
      </c>
      <c r="P211" s="28">
        <f>IF($A211="","",IF($O211="","",IF($O211&lt;=trv_kovaEsik1,"0-30",IF($O211&lt;=trv_kovaEsik2,"31-60",IF($O211&lt;=trv_kovaEsik3,"61-90","90+")))))</f>
        <v/>
      </c>
      <c r="Q211" s="28">
        <f>IF(OR($A211="",$G211="TAHSIL",$G211="KAPALI"),"",IF($P211="0-30",trv_olasilikK1,IF($P211="31-60",trv_olasilikK2,IF($P211="61-90",trv_olasilikK3,trv_olasilikK4))))</f>
        <v/>
      </c>
      <c r="R211" s="28">
        <f>IF(OR($A211="",$Q211=""),"",$J211*(1-$Q211)*MAX(trv_riskTaban,$K211/100))</f>
        <v/>
      </c>
      <c r="S211" s="28">
        <f>IF($A211="","",IF($B211="","YETİM",IF(COUNTIF(tblKartlar[KartId],$B211)=0,"YETİM","")))</f>
        <v/>
      </c>
      <c r="T211" s="28">
        <f>IF(OR($A211="",$F211=""),"",IF(OR($F211&amp;"|"&amp;$G211="",COUNTIF(ListeIzinliGecis,$F211&amp;"|"&amp;$G211)&gt;0),"","GEÇERSİZ GEÇİŞ"))</f>
        <v/>
      </c>
      <c r="U211" s="28">
        <f>IF($A211="","",IF(OR($G211="TAHSIL",$I211&gt;0),IF(OR($H211="",$I211=""),"",IF(ABS($I211-$H211)&gt;zincirTolerans,"ZİNCİR KIRIK","OK")),"OK"))</f>
        <v/>
      </c>
      <c r="V211" s="28">
        <f>IF($A211="","",1)</f>
        <v/>
      </c>
    </row>
    <row r="212">
      <c r="A212" s="26" t="n"/>
      <c r="B212" s="26" t="n"/>
      <c r="C212" s="26" t="n"/>
      <c r="D212" s="29" t="n"/>
      <c r="E212" s="29" t="n"/>
      <c r="F212" s="26" t="n"/>
      <c r="G212" s="26" t="n"/>
      <c r="H212" s="27" t="n"/>
      <c r="I212" s="27" t="n"/>
      <c r="J212" s="27" t="n"/>
      <c r="K212" s="30" t="n"/>
      <c r="L212" s="26" t="n"/>
      <c r="M212" s="26" t="n"/>
      <c r="N212" s="26" t="n"/>
      <c r="O212" s="28">
        <f>IF($A212="","",IF(OR($G212="TAHSIL",$G212="KAPALI"),0,IF($D212="","",raporTarihi-$D212)))</f>
        <v/>
      </c>
      <c r="P212" s="28">
        <f>IF($A212="","",IF($O212="","",IF($O212&lt;=trv_kovaEsik1,"0-30",IF($O212&lt;=trv_kovaEsik2,"31-60",IF($O212&lt;=trv_kovaEsik3,"61-90","90+")))))</f>
        <v/>
      </c>
      <c r="Q212" s="28">
        <f>IF(OR($A212="",$G212="TAHSIL",$G212="KAPALI"),"",IF($P212="0-30",trv_olasilikK1,IF($P212="31-60",trv_olasilikK2,IF($P212="61-90",trv_olasilikK3,trv_olasilikK4))))</f>
        <v/>
      </c>
      <c r="R212" s="28">
        <f>IF(OR($A212="",$Q212=""),"",$J212*(1-$Q212)*MAX(trv_riskTaban,$K212/100))</f>
        <v/>
      </c>
      <c r="S212" s="28">
        <f>IF($A212="","",IF($B212="","YETİM",IF(COUNTIF(tblKartlar[KartId],$B212)=0,"YETİM","")))</f>
        <v/>
      </c>
      <c r="T212" s="28">
        <f>IF(OR($A212="",$F212=""),"",IF(OR($F212&amp;"|"&amp;$G212="",COUNTIF(ListeIzinliGecis,$F212&amp;"|"&amp;$G212)&gt;0),"","GEÇERSİZ GEÇİŞ"))</f>
        <v/>
      </c>
      <c r="U212" s="28">
        <f>IF($A212="","",IF(OR($G212="TAHSIL",$I212&gt;0),IF(OR($H212="",$I212=""),"",IF(ABS($I212-$H212)&gt;zincirTolerans,"ZİNCİR KIRIK","OK")),"OK"))</f>
        <v/>
      </c>
      <c r="V212" s="28">
        <f>IF($A212="","",1)</f>
        <v/>
      </c>
    </row>
    <row r="213">
      <c r="A213" s="26" t="n"/>
      <c r="B213" s="26" t="n"/>
      <c r="C213" s="26" t="n"/>
      <c r="D213" s="29" t="n"/>
      <c r="E213" s="29" t="n"/>
      <c r="F213" s="26" t="n"/>
      <c r="G213" s="26" t="n"/>
      <c r="H213" s="27" t="n"/>
      <c r="I213" s="27" t="n"/>
      <c r="J213" s="27" t="n"/>
      <c r="K213" s="30" t="n"/>
      <c r="L213" s="26" t="n"/>
      <c r="M213" s="26" t="n"/>
      <c r="N213" s="26" t="n"/>
      <c r="O213" s="28">
        <f>IF($A213="","",IF(OR($G213="TAHSIL",$G213="KAPALI"),0,IF($D213="","",raporTarihi-$D213)))</f>
        <v/>
      </c>
      <c r="P213" s="28">
        <f>IF($A213="","",IF($O213="","",IF($O213&lt;=trv_kovaEsik1,"0-30",IF($O213&lt;=trv_kovaEsik2,"31-60",IF($O213&lt;=trv_kovaEsik3,"61-90","90+")))))</f>
        <v/>
      </c>
      <c r="Q213" s="28">
        <f>IF(OR($A213="",$G213="TAHSIL",$G213="KAPALI"),"",IF($P213="0-30",trv_olasilikK1,IF($P213="31-60",trv_olasilikK2,IF($P213="61-90",trv_olasilikK3,trv_olasilikK4))))</f>
        <v/>
      </c>
      <c r="R213" s="28">
        <f>IF(OR($A213="",$Q213=""),"",$J213*(1-$Q213)*MAX(trv_riskTaban,$K213/100))</f>
        <v/>
      </c>
      <c r="S213" s="28">
        <f>IF($A213="","",IF($B213="","YETİM",IF(COUNTIF(tblKartlar[KartId],$B213)=0,"YETİM","")))</f>
        <v/>
      </c>
      <c r="T213" s="28">
        <f>IF(OR($A213="",$F213=""),"",IF(OR($F213&amp;"|"&amp;$G213="",COUNTIF(ListeIzinliGecis,$F213&amp;"|"&amp;$G213)&gt;0),"","GEÇERSİZ GEÇİŞ"))</f>
        <v/>
      </c>
      <c r="U213" s="28">
        <f>IF($A213="","",IF(OR($G213="TAHSIL",$I213&gt;0),IF(OR($H213="",$I213=""),"",IF(ABS($I213-$H213)&gt;zincirTolerans,"ZİNCİR KIRIK","OK")),"OK"))</f>
        <v/>
      </c>
      <c r="V213" s="28">
        <f>IF($A213="","",1)</f>
        <v/>
      </c>
    </row>
    <row r="214">
      <c r="A214" s="26" t="n"/>
      <c r="B214" s="26" t="n"/>
      <c r="C214" s="26" t="n"/>
      <c r="D214" s="29" t="n"/>
      <c r="E214" s="29" t="n"/>
      <c r="F214" s="26" t="n"/>
      <c r="G214" s="26" t="n"/>
      <c r="H214" s="27" t="n"/>
      <c r="I214" s="27" t="n"/>
      <c r="J214" s="27" t="n"/>
      <c r="K214" s="30" t="n"/>
      <c r="L214" s="26" t="n"/>
      <c r="M214" s="26" t="n"/>
      <c r="N214" s="26" t="n"/>
      <c r="O214" s="28">
        <f>IF($A214="","",IF(OR($G214="TAHSIL",$G214="KAPALI"),0,IF($D214="","",raporTarihi-$D214)))</f>
        <v/>
      </c>
      <c r="P214" s="28">
        <f>IF($A214="","",IF($O214="","",IF($O214&lt;=trv_kovaEsik1,"0-30",IF($O214&lt;=trv_kovaEsik2,"31-60",IF($O214&lt;=trv_kovaEsik3,"61-90","90+")))))</f>
        <v/>
      </c>
      <c r="Q214" s="28">
        <f>IF(OR($A214="",$G214="TAHSIL",$G214="KAPALI"),"",IF($P214="0-30",trv_olasilikK1,IF($P214="31-60",trv_olasilikK2,IF($P214="61-90",trv_olasilikK3,trv_olasilikK4))))</f>
        <v/>
      </c>
      <c r="R214" s="28">
        <f>IF(OR($A214="",$Q214=""),"",$J214*(1-$Q214)*MAX(trv_riskTaban,$K214/100))</f>
        <v/>
      </c>
      <c r="S214" s="28">
        <f>IF($A214="","",IF($B214="","YETİM",IF(COUNTIF(tblKartlar[KartId],$B214)=0,"YETİM","")))</f>
        <v/>
      </c>
      <c r="T214" s="28">
        <f>IF(OR($A214="",$F214=""),"",IF(OR($F214&amp;"|"&amp;$G214="",COUNTIF(ListeIzinliGecis,$F214&amp;"|"&amp;$G214)&gt;0),"","GEÇERSİZ GEÇİŞ"))</f>
        <v/>
      </c>
      <c r="U214" s="28">
        <f>IF($A214="","",IF(OR($G214="TAHSIL",$I214&gt;0),IF(OR($H214="",$I214=""),"",IF(ABS($I214-$H214)&gt;zincirTolerans,"ZİNCİR KIRIK","OK")),"OK"))</f>
        <v/>
      </c>
      <c r="V214" s="28">
        <f>IF($A214="","",1)</f>
        <v/>
      </c>
    </row>
    <row r="215">
      <c r="A215" s="26" t="n"/>
      <c r="B215" s="26" t="n"/>
      <c r="C215" s="26" t="n"/>
      <c r="D215" s="29" t="n"/>
      <c r="E215" s="29" t="n"/>
      <c r="F215" s="26" t="n"/>
      <c r="G215" s="26" t="n"/>
      <c r="H215" s="27" t="n"/>
      <c r="I215" s="27" t="n"/>
      <c r="J215" s="27" t="n"/>
      <c r="K215" s="30" t="n"/>
      <c r="L215" s="26" t="n"/>
      <c r="M215" s="26" t="n"/>
      <c r="N215" s="26" t="n"/>
      <c r="O215" s="28">
        <f>IF($A215="","",IF(OR($G215="TAHSIL",$G215="KAPALI"),0,IF($D215="","",raporTarihi-$D215)))</f>
        <v/>
      </c>
      <c r="P215" s="28">
        <f>IF($A215="","",IF($O215="","",IF($O215&lt;=trv_kovaEsik1,"0-30",IF($O215&lt;=trv_kovaEsik2,"31-60",IF($O215&lt;=trv_kovaEsik3,"61-90","90+")))))</f>
        <v/>
      </c>
      <c r="Q215" s="28">
        <f>IF(OR($A215="",$G215="TAHSIL",$G215="KAPALI"),"",IF($P215="0-30",trv_olasilikK1,IF($P215="31-60",trv_olasilikK2,IF($P215="61-90",trv_olasilikK3,trv_olasilikK4))))</f>
        <v/>
      </c>
      <c r="R215" s="28">
        <f>IF(OR($A215="",$Q215=""),"",$J215*(1-$Q215)*MAX(trv_riskTaban,$K215/100))</f>
        <v/>
      </c>
      <c r="S215" s="28">
        <f>IF($A215="","",IF($B215="","YETİM",IF(COUNTIF(tblKartlar[KartId],$B215)=0,"YETİM","")))</f>
        <v/>
      </c>
      <c r="T215" s="28">
        <f>IF(OR($A215="",$F215=""),"",IF(OR($F215&amp;"|"&amp;$G215="",COUNTIF(ListeIzinliGecis,$F215&amp;"|"&amp;$G215)&gt;0),"","GEÇERSİZ GEÇİŞ"))</f>
        <v/>
      </c>
      <c r="U215" s="28">
        <f>IF($A215="","",IF(OR($G215="TAHSIL",$I215&gt;0),IF(OR($H215="",$I215=""),"",IF(ABS($I215-$H215)&gt;zincirTolerans,"ZİNCİR KIRIK","OK")),"OK"))</f>
        <v/>
      </c>
      <c r="V215" s="28">
        <f>IF($A215="","",1)</f>
        <v/>
      </c>
    </row>
    <row r="216">
      <c r="A216" s="26" t="n"/>
      <c r="B216" s="26" t="n"/>
      <c r="C216" s="26" t="n"/>
      <c r="D216" s="29" t="n"/>
      <c r="E216" s="29" t="n"/>
      <c r="F216" s="26" t="n"/>
      <c r="G216" s="26" t="n"/>
      <c r="H216" s="27" t="n"/>
      <c r="I216" s="27" t="n"/>
      <c r="J216" s="27" t="n"/>
      <c r="K216" s="30" t="n"/>
      <c r="L216" s="26" t="n"/>
      <c r="M216" s="26" t="n"/>
      <c r="N216" s="26" t="n"/>
      <c r="O216" s="28">
        <f>IF($A216="","",IF(OR($G216="TAHSIL",$G216="KAPALI"),0,IF($D216="","",raporTarihi-$D216)))</f>
        <v/>
      </c>
      <c r="P216" s="28">
        <f>IF($A216="","",IF($O216="","",IF($O216&lt;=trv_kovaEsik1,"0-30",IF($O216&lt;=trv_kovaEsik2,"31-60",IF($O216&lt;=trv_kovaEsik3,"61-90","90+")))))</f>
        <v/>
      </c>
      <c r="Q216" s="28">
        <f>IF(OR($A216="",$G216="TAHSIL",$G216="KAPALI"),"",IF($P216="0-30",trv_olasilikK1,IF($P216="31-60",trv_olasilikK2,IF($P216="61-90",trv_olasilikK3,trv_olasilikK4))))</f>
        <v/>
      </c>
      <c r="R216" s="28">
        <f>IF(OR($A216="",$Q216=""),"",$J216*(1-$Q216)*MAX(trv_riskTaban,$K216/100))</f>
        <v/>
      </c>
      <c r="S216" s="28">
        <f>IF($A216="","",IF($B216="","YETİM",IF(COUNTIF(tblKartlar[KartId],$B216)=0,"YETİM","")))</f>
        <v/>
      </c>
      <c r="T216" s="28">
        <f>IF(OR($A216="",$F216=""),"",IF(OR($F216&amp;"|"&amp;$G216="",COUNTIF(ListeIzinliGecis,$F216&amp;"|"&amp;$G216)&gt;0),"","GEÇERSİZ GEÇİŞ"))</f>
        <v/>
      </c>
      <c r="U216" s="28">
        <f>IF($A216="","",IF(OR($G216="TAHSIL",$I216&gt;0),IF(OR($H216="",$I216=""),"",IF(ABS($I216-$H216)&gt;zincirTolerans,"ZİNCİR KIRIK","OK")),"OK"))</f>
        <v/>
      </c>
      <c r="V216" s="28">
        <f>IF($A216="","",1)</f>
        <v/>
      </c>
    </row>
    <row r="217">
      <c r="A217" s="26" t="n"/>
      <c r="B217" s="26" t="n"/>
      <c r="C217" s="26" t="n"/>
      <c r="D217" s="29" t="n"/>
      <c r="E217" s="29" t="n"/>
      <c r="F217" s="26" t="n"/>
      <c r="G217" s="26" t="n"/>
      <c r="H217" s="27" t="n"/>
      <c r="I217" s="27" t="n"/>
      <c r="J217" s="27" t="n"/>
      <c r="K217" s="30" t="n"/>
      <c r="L217" s="26" t="n"/>
      <c r="M217" s="26" t="n"/>
      <c r="N217" s="26" t="n"/>
      <c r="O217" s="28">
        <f>IF($A217="","",IF(OR($G217="TAHSIL",$G217="KAPALI"),0,IF($D217="","",raporTarihi-$D217)))</f>
        <v/>
      </c>
      <c r="P217" s="28">
        <f>IF($A217="","",IF($O217="","",IF($O217&lt;=trv_kovaEsik1,"0-30",IF($O217&lt;=trv_kovaEsik2,"31-60",IF($O217&lt;=trv_kovaEsik3,"61-90","90+")))))</f>
        <v/>
      </c>
      <c r="Q217" s="28">
        <f>IF(OR($A217="",$G217="TAHSIL",$G217="KAPALI"),"",IF($P217="0-30",trv_olasilikK1,IF($P217="31-60",trv_olasilikK2,IF($P217="61-90",trv_olasilikK3,trv_olasilikK4))))</f>
        <v/>
      </c>
      <c r="R217" s="28">
        <f>IF(OR($A217="",$Q217=""),"",$J217*(1-$Q217)*MAX(trv_riskTaban,$K217/100))</f>
        <v/>
      </c>
      <c r="S217" s="28">
        <f>IF($A217="","",IF($B217="","YETİM",IF(COUNTIF(tblKartlar[KartId],$B217)=0,"YETİM","")))</f>
        <v/>
      </c>
      <c r="T217" s="28">
        <f>IF(OR($A217="",$F217=""),"",IF(OR($F217&amp;"|"&amp;$G217="",COUNTIF(ListeIzinliGecis,$F217&amp;"|"&amp;$G217)&gt;0),"","GEÇERSİZ GEÇİŞ"))</f>
        <v/>
      </c>
      <c r="U217" s="28">
        <f>IF($A217="","",IF(OR($G217="TAHSIL",$I217&gt;0),IF(OR($H217="",$I217=""),"",IF(ABS($I217-$H217)&gt;zincirTolerans,"ZİNCİR KIRIK","OK")),"OK"))</f>
        <v/>
      </c>
      <c r="V217" s="28">
        <f>IF($A217="","",1)</f>
        <v/>
      </c>
    </row>
    <row r="218">
      <c r="A218" s="26" t="n"/>
      <c r="B218" s="26" t="n"/>
      <c r="C218" s="26" t="n"/>
      <c r="D218" s="29" t="n"/>
      <c r="E218" s="29" t="n"/>
      <c r="F218" s="26" t="n"/>
      <c r="G218" s="26" t="n"/>
      <c r="H218" s="27" t="n"/>
      <c r="I218" s="27" t="n"/>
      <c r="J218" s="27" t="n"/>
      <c r="K218" s="30" t="n"/>
      <c r="L218" s="26" t="n"/>
      <c r="M218" s="26" t="n"/>
      <c r="N218" s="26" t="n"/>
      <c r="O218" s="28">
        <f>IF($A218="","",IF(OR($G218="TAHSIL",$G218="KAPALI"),0,IF($D218="","",raporTarihi-$D218)))</f>
        <v/>
      </c>
      <c r="P218" s="28">
        <f>IF($A218="","",IF($O218="","",IF($O218&lt;=trv_kovaEsik1,"0-30",IF($O218&lt;=trv_kovaEsik2,"31-60",IF($O218&lt;=trv_kovaEsik3,"61-90","90+")))))</f>
        <v/>
      </c>
      <c r="Q218" s="28">
        <f>IF(OR($A218="",$G218="TAHSIL",$G218="KAPALI"),"",IF($P218="0-30",trv_olasilikK1,IF($P218="31-60",trv_olasilikK2,IF($P218="61-90",trv_olasilikK3,trv_olasilikK4))))</f>
        <v/>
      </c>
      <c r="R218" s="28">
        <f>IF(OR($A218="",$Q218=""),"",$J218*(1-$Q218)*MAX(trv_riskTaban,$K218/100))</f>
        <v/>
      </c>
      <c r="S218" s="28">
        <f>IF($A218="","",IF($B218="","YETİM",IF(COUNTIF(tblKartlar[KartId],$B218)=0,"YETİM","")))</f>
        <v/>
      </c>
      <c r="T218" s="28">
        <f>IF(OR($A218="",$F218=""),"",IF(OR($F218&amp;"|"&amp;$G218="",COUNTIF(ListeIzinliGecis,$F218&amp;"|"&amp;$G218)&gt;0),"","GEÇERSİZ GEÇİŞ"))</f>
        <v/>
      </c>
      <c r="U218" s="28">
        <f>IF($A218="","",IF(OR($G218="TAHSIL",$I218&gt;0),IF(OR($H218="",$I218=""),"",IF(ABS($I218-$H218)&gt;zincirTolerans,"ZİNCİR KIRIK","OK")),"OK"))</f>
        <v/>
      </c>
      <c r="V218" s="28">
        <f>IF($A218="","",1)</f>
        <v/>
      </c>
    </row>
    <row r="219">
      <c r="A219" s="26" t="n"/>
      <c r="B219" s="26" t="n"/>
      <c r="C219" s="26" t="n"/>
      <c r="D219" s="29" t="n"/>
      <c r="E219" s="29" t="n"/>
      <c r="F219" s="26" t="n"/>
      <c r="G219" s="26" t="n"/>
      <c r="H219" s="27" t="n"/>
      <c r="I219" s="27" t="n"/>
      <c r="J219" s="27" t="n"/>
      <c r="K219" s="30" t="n"/>
      <c r="L219" s="26" t="n"/>
      <c r="M219" s="26" t="n"/>
      <c r="N219" s="26" t="n"/>
      <c r="O219" s="28">
        <f>IF($A219="","",IF(OR($G219="TAHSIL",$G219="KAPALI"),0,IF($D219="","",raporTarihi-$D219)))</f>
        <v/>
      </c>
      <c r="P219" s="28">
        <f>IF($A219="","",IF($O219="","",IF($O219&lt;=trv_kovaEsik1,"0-30",IF($O219&lt;=trv_kovaEsik2,"31-60",IF($O219&lt;=trv_kovaEsik3,"61-90","90+")))))</f>
        <v/>
      </c>
      <c r="Q219" s="28">
        <f>IF(OR($A219="",$G219="TAHSIL",$G219="KAPALI"),"",IF($P219="0-30",trv_olasilikK1,IF($P219="31-60",trv_olasilikK2,IF($P219="61-90",trv_olasilikK3,trv_olasilikK4))))</f>
        <v/>
      </c>
      <c r="R219" s="28">
        <f>IF(OR($A219="",$Q219=""),"",$J219*(1-$Q219)*MAX(trv_riskTaban,$K219/100))</f>
        <v/>
      </c>
      <c r="S219" s="28">
        <f>IF($A219="","",IF($B219="","YETİM",IF(COUNTIF(tblKartlar[KartId],$B219)=0,"YETİM","")))</f>
        <v/>
      </c>
      <c r="T219" s="28">
        <f>IF(OR($A219="",$F219=""),"",IF(OR($F219&amp;"|"&amp;$G219="",COUNTIF(ListeIzinliGecis,$F219&amp;"|"&amp;$G219)&gt;0),"","GEÇERSİZ GEÇİŞ"))</f>
        <v/>
      </c>
      <c r="U219" s="28">
        <f>IF($A219="","",IF(OR($G219="TAHSIL",$I219&gt;0),IF(OR($H219="",$I219=""),"",IF(ABS($I219-$H219)&gt;zincirTolerans,"ZİNCİR KIRIK","OK")),"OK"))</f>
        <v/>
      </c>
      <c r="V219" s="28">
        <f>IF($A219="","",1)</f>
        <v/>
      </c>
    </row>
    <row r="220">
      <c r="A220" s="26" t="n"/>
      <c r="B220" s="26" t="n"/>
      <c r="C220" s="26" t="n"/>
      <c r="D220" s="29" t="n"/>
      <c r="E220" s="29" t="n"/>
      <c r="F220" s="26" t="n"/>
      <c r="G220" s="26" t="n"/>
      <c r="H220" s="27" t="n"/>
      <c r="I220" s="27" t="n"/>
      <c r="J220" s="27" t="n"/>
      <c r="K220" s="30" t="n"/>
      <c r="L220" s="26" t="n"/>
      <c r="M220" s="26" t="n"/>
      <c r="N220" s="26" t="n"/>
      <c r="O220" s="28">
        <f>IF($A220="","",IF(OR($G220="TAHSIL",$G220="KAPALI"),0,IF($D220="","",raporTarihi-$D220)))</f>
        <v/>
      </c>
      <c r="P220" s="28">
        <f>IF($A220="","",IF($O220="","",IF($O220&lt;=trv_kovaEsik1,"0-30",IF($O220&lt;=trv_kovaEsik2,"31-60",IF($O220&lt;=trv_kovaEsik3,"61-90","90+")))))</f>
        <v/>
      </c>
      <c r="Q220" s="28">
        <f>IF(OR($A220="",$G220="TAHSIL",$G220="KAPALI"),"",IF($P220="0-30",trv_olasilikK1,IF($P220="31-60",trv_olasilikK2,IF($P220="61-90",trv_olasilikK3,trv_olasilikK4))))</f>
        <v/>
      </c>
      <c r="R220" s="28">
        <f>IF(OR($A220="",$Q220=""),"",$J220*(1-$Q220)*MAX(trv_riskTaban,$K220/100))</f>
        <v/>
      </c>
      <c r="S220" s="28">
        <f>IF($A220="","",IF($B220="","YETİM",IF(COUNTIF(tblKartlar[KartId],$B220)=0,"YETİM","")))</f>
        <v/>
      </c>
      <c r="T220" s="28">
        <f>IF(OR($A220="",$F220=""),"",IF(OR($F220&amp;"|"&amp;$G220="",COUNTIF(ListeIzinliGecis,$F220&amp;"|"&amp;$G220)&gt;0),"","GEÇERSİZ GEÇİŞ"))</f>
        <v/>
      </c>
      <c r="U220" s="28">
        <f>IF($A220="","",IF(OR($G220="TAHSIL",$I220&gt;0),IF(OR($H220="",$I220=""),"",IF(ABS($I220-$H220)&gt;zincirTolerans,"ZİNCİR KIRIK","OK")),"OK"))</f>
        <v/>
      </c>
      <c r="V220" s="28">
        <f>IF($A220="","",1)</f>
        <v/>
      </c>
    </row>
    <row r="221">
      <c r="A221" s="26" t="n"/>
      <c r="B221" s="26" t="n"/>
      <c r="C221" s="26" t="n"/>
      <c r="D221" s="29" t="n"/>
      <c r="E221" s="29" t="n"/>
      <c r="F221" s="26" t="n"/>
      <c r="G221" s="26" t="n"/>
      <c r="H221" s="27" t="n"/>
      <c r="I221" s="27" t="n"/>
      <c r="J221" s="27" t="n"/>
      <c r="K221" s="30" t="n"/>
      <c r="L221" s="26" t="n"/>
      <c r="M221" s="26" t="n"/>
      <c r="N221" s="26" t="n"/>
      <c r="O221" s="28">
        <f>IF($A221="","",IF(OR($G221="TAHSIL",$G221="KAPALI"),0,IF($D221="","",raporTarihi-$D221)))</f>
        <v/>
      </c>
      <c r="P221" s="28">
        <f>IF($A221="","",IF($O221="","",IF($O221&lt;=trv_kovaEsik1,"0-30",IF($O221&lt;=trv_kovaEsik2,"31-60",IF($O221&lt;=trv_kovaEsik3,"61-90","90+")))))</f>
        <v/>
      </c>
      <c r="Q221" s="28">
        <f>IF(OR($A221="",$G221="TAHSIL",$G221="KAPALI"),"",IF($P221="0-30",trv_olasilikK1,IF($P221="31-60",trv_olasilikK2,IF($P221="61-90",trv_olasilikK3,trv_olasilikK4))))</f>
        <v/>
      </c>
      <c r="R221" s="28">
        <f>IF(OR($A221="",$Q221=""),"",$J221*(1-$Q221)*MAX(trv_riskTaban,$K221/100))</f>
        <v/>
      </c>
      <c r="S221" s="28">
        <f>IF($A221="","",IF($B221="","YETİM",IF(COUNTIF(tblKartlar[KartId],$B221)=0,"YETİM","")))</f>
        <v/>
      </c>
      <c r="T221" s="28">
        <f>IF(OR($A221="",$F221=""),"",IF(OR($F221&amp;"|"&amp;$G221="",COUNTIF(ListeIzinliGecis,$F221&amp;"|"&amp;$G221)&gt;0),"","GEÇERSİZ GEÇİŞ"))</f>
        <v/>
      </c>
      <c r="U221" s="28">
        <f>IF($A221="","",IF(OR($G221="TAHSIL",$I221&gt;0),IF(OR($H221="",$I221=""),"",IF(ABS($I221-$H221)&gt;zincirTolerans,"ZİNCİR KIRIK","OK")),"OK"))</f>
        <v/>
      </c>
      <c r="V221" s="28">
        <f>IF($A221="","",1)</f>
        <v/>
      </c>
    </row>
    <row r="222">
      <c r="A222" s="26" t="n"/>
      <c r="B222" s="26" t="n"/>
      <c r="C222" s="26" t="n"/>
      <c r="D222" s="29" t="n"/>
      <c r="E222" s="29" t="n"/>
      <c r="F222" s="26" t="n"/>
      <c r="G222" s="26" t="n"/>
      <c r="H222" s="27" t="n"/>
      <c r="I222" s="27" t="n"/>
      <c r="J222" s="27" t="n"/>
      <c r="K222" s="30" t="n"/>
      <c r="L222" s="26" t="n"/>
      <c r="M222" s="26" t="n"/>
      <c r="N222" s="26" t="n"/>
      <c r="O222" s="28">
        <f>IF($A222="","",IF(OR($G222="TAHSIL",$G222="KAPALI"),0,IF($D222="","",raporTarihi-$D222)))</f>
        <v/>
      </c>
      <c r="P222" s="28">
        <f>IF($A222="","",IF($O222="","",IF($O222&lt;=trv_kovaEsik1,"0-30",IF($O222&lt;=trv_kovaEsik2,"31-60",IF($O222&lt;=trv_kovaEsik3,"61-90","90+")))))</f>
        <v/>
      </c>
      <c r="Q222" s="28">
        <f>IF(OR($A222="",$G222="TAHSIL",$G222="KAPALI"),"",IF($P222="0-30",trv_olasilikK1,IF($P222="31-60",trv_olasilikK2,IF($P222="61-90",trv_olasilikK3,trv_olasilikK4))))</f>
        <v/>
      </c>
      <c r="R222" s="28">
        <f>IF(OR($A222="",$Q222=""),"",$J222*(1-$Q222)*MAX(trv_riskTaban,$K222/100))</f>
        <v/>
      </c>
      <c r="S222" s="28">
        <f>IF($A222="","",IF($B222="","YETİM",IF(COUNTIF(tblKartlar[KartId],$B222)=0,"YETİM","")))</f>
        <v/>
      </c>
      <c r="T222" s="28">
        <f>IF(OR($A222="",$F222=""),"",IF(OR($F222&amp;"|"&amp;$G222="",COUNTIF(ListeIzinliGecis,$F222&amp;"|"&amp;$G222)&gt;0),"","GEÇERSİZ GEÇİŞ"))</f>
        <v/>
      </c>
      <c r="U222" s="28">
        <f>IF($A222="","",IF(OR($G222="TAHSIL",$I222&gt;0),IF(OR($H222="",$I222=""),"",IF(ABS($I222-$H222)&gt;zincirTolerans,"ZİNCİR KIRIK","OK")),"OK"))</f>
        <v/>
      </c>
      <c r="V222" s="28">
        <f>IF($A222="","",1)</f>
        <v/>
      </c>
    </row>
    <row r="223">
      <c r="A223" s="26" t="n"/>
      <c r="B223" s="26" t="n"/>
      <c r="C223" s="26" t="n"/>
      <c r="D223" s="29" t="n"/>
      <c r="E223" s="29" t="n"/>
      <c r="F223" s="26" t="n"/>
      <c r="G223" s="26" t="n"/>
      <c r="H223" s="27" t="n"/>
      <c r="I223" s="27" t="n"/>
      <c r="J223" s="27" t="n"/>
      <c r="K223" s="30" t="n"/>
      <c r="L223" s="26" t="n"/>
      <c r="M223" s="26" t="n"/>
      <c r="N223" s="26" t="n"/>
      <c r="O223" s="28">
        <f>IF($A223="","",IF(OR($G223="TAHSIL",$G223="KAPALI"),0,IF($D223="","",raporTarihi-$D223)))</f>
        <v/>
      </c>
      <c r="P223" s="28">
        <f>IF($A223="","",IF($O223="","",IF($O223&lt;=trv_kovaEsik1,"0-30",IF($O223&lt;=trv_kovaEsik2,"31-60",IF($O223&lt;=trv_kovaEsik3,"61-90","90+")))))</f>
        <v/>
      </c>
      <c r="Q223" s="28">
        <f>IF(OR($A223="",$G223="TAHSIL",$G223="KAPALI"),"",IF($P223="0-30",trv_olasilikK1,IF($P223="31-60",trv_olasilikK2,IF($P223="61-90",trv_olasilikK3,trv_olasilikK4))))</f>
        <v/>
      </c>
      <c r="R223" s="28">
        <f>IF(OR($A223="",$Q223=""),"",$J223*(1-$Q223)*MAX(trv_riskTaban,$K223/100))</f>
        <v/>
      </c>
      <c r="S223" s="28">
        <f>IF($A223="","",IF($B223="","YETİM",IF(COUNTIF(tblKartlar[KartId],$B223)=0,"YETİM","")))</f>
        <v/>
      </c>
      <c r="T223" s="28">
        <f>IF(OR($A223="",$F223=""),"",IF(OR($F223&amp;"|"&amp;$G223="",COUNTIF(ListeIzinliGecis,$F223&amp;"|"&amp;$G223)&gt;0),"","GEÇERSİZ GEÇİŞ"))</f>
        <v/>
      </c>
      <c r="U223" s="28">
        <f>IF($A223="","",IF(OR($G223="TAHSIL",$I223&gt;0),IF(OR($H223="",$I223=""),"",IF(ABS($I223-$H223)&gt;zincirTolerans,"ZİNCİR KIRIK","OK")),"OK"))</f>
        <v/>
      </c>
      <c r="V223" s="28">
        <f>IF($A223="","",1)</f>
        <v/>
      </c>
    </row>
    <row r="224">
      <c r="A224" s="26" t="n"/>
      <c r="B224" s="26" t="n"/>
      <c r="C224" s="26" t="n"/>
      <c r="D224" s="29" t="n"/>
      <c r="E224" s="29" t="n"/>
      <c r="F224" s="26" t="n"/>
      <c r="G224" s="26" t="n"/>
      <c r="H224" s="27" t="n"/>
      <c r="I224" s="27" t="n"/>
      <c r="J224" s="27" t="n"/>
      <c r="K224" s="30" t="n"/>
      <c r="L224" s="26" t="n"/>
      <c r="M224" s="26" t="n"/>
      <c r="N224" s="26" t="n"/>
      <c r="O224" s="28">
        <f>IF($A224="","",IF(OR($G224="TAHSIL",$G224="KAPALI"),0,IF($D224="","",raporTarihi-$D224)))</f>
        <v/>
      </c>
      <c r="P224" s="28">
        <f>IF($A224="","",IF($O224="","",IF($O224&lt;=trv_kovaEsik1,"0-30",IF($O224&lt;=trv_kovaEsik2,"31-60",IF($O224&lt;=trv_kovaEsik3,"61-90","90+")))))</f>
        <v/>
      </c>
      <c r="Q224" s="28">
        <f>IF(OR($A224="",$G224="TAHSIL",$G224="KAPALI"),"",IF($P224="0-30",trv_olasilikK1,IF($P224="31-60",trv_olasilikK2,IF($P224="61-90",trv_olasilikK3,trv_olasilikK4))))</f>
        <v/>
      </c>
      <c r="R224" s="28">
        <f>IF(OR($A224="",$Q224=""),"",$J224*(1-$Q224)*MAX(trv_riskTaban,$K224/100))</f>
        <v/>
      </c>
      <c r="S224" s="28">
        <f>IF($A224="","",IF($B224="","YETİM",IF(COUNTIF(tblKartlar[KartId],$B224)=0,"YETİM","")))</f>
        <v/>
      </c>
      <c r="T224" s="28">
        <f>IF(OR($A224="",$F224=""),"",IF(OR($F224&amp;"|"&amp;$G224="",COUNTIF(ListeIzinliGecis,$F224&amp;"|"&amp;$G224)&gt;0),"","GEÇERSİZ GEÇİŞ"))</f>
        <v/>
      </c>
      <c r="U224" s="28">
        <f>IF($A224="","",IF(OR($G224="TAHSIL",$I224&gt;0),IF(OR($H224="",$I224=""),"",IF(ABS($I224-$H224)&gt;zincirTolerans,"ZİNCİR KIRIK","OK")),"OK"))</f>
        <v/>
      </c>
      <c r="V224" s="28">
        <f>IF($A224="","",1)</f>
        <v/>
      </c>
    </row>
    <row r="225">
      <c r="A225" s="26" t="n"/>
      <c r="B225" s="26" t="n"/>
      <c r="C225" s="26" t="n"/>
      <c r="D225" s="29" t="n"/>
      <c r="E225" s="29" t="n"/>
      <c r="F225" s="26" t="n"/>
      <c r="G225" s="26" t="n"/>
      <c r="H225" s="27" t="n"/>
      <c r="I225" s="27" t="n"/>
      <c r="J225" s="27" t="n"/>
      <c r="K225" s="30" t="n"/>
      <c r="L225" s="26" t="n"/>
      <c r="M225" s="26" t="n"/>
      <c r="N225" s="26" t="n"/>
      <c r="O225" s="28">
        <f>IF($A225="","",IF(OR($G225="TAHSIL",$G225="KAPALI"),0,IF($D225="","",raporTarihi-$D225)))</f>
        <v/>
      </c>
      <c r="P225" s="28">
        <f>IF($A225="","",IF($O225="","",IF($O225&lt;=trv_kovaEsik1,"0-30",IF($O225&lt;=trv_kovaEsik2,"31-60",IF($O225&lt;=trv_kovaEsik3,"61-90","90+")))))</f>
        <v/>
      </c>
      <c r="Q225" s="28">
        <f>IF(OR($A225="",$G225="TAHSIL",$G225="KAPALI"),"",IF($P225="0-30",trv_olasilikK1,IF($P225="31-60",trv_olasilikK2,IF($P225="61-90",trv_olasilikK3,trv_olasilikK4))))</f>
        <v/>
      </c>
      <c r="R225" s="28">
        <f>IF(OR($A225="",$Q225=""),"",$J225*(1-$Q225)*MAX(trv_riskTaban,$K225/100))</f>
        <v/>
      </c>
      <c r="S225" s="28">
        <f>IF($A225="","",IF($B225="","YETİM",IF(COUNTIF(tblKartlar[KartId],$B225)=0,"YETİM","")))</f>
        <v/>
      </c>
      <c r="T225" s="28">
        <f>IF(OR($A225="",$F225=""),"",IF(OR($F225&amp;"|"&amp;$G225="",COUNTIF(ListeIzinliGecis,$F225&amp;"|"&amp;$G225)&gt;0),"","GEÇERSİZ GEÇİŞ"))</f>
        <v/>
      </c>
      <c r="U225" s="28">
        <f>IF($A225="","",IF(OR($G225="TAHSIL",$I225&gt;0),IF(OR($H225="",$I225=""),"",IF(ABS($I225-$H225)&gt;zincirTolerans,"ZİNCİR KIRIK","OK")),"OK"))</f>
        <v/>
      </c>
      <c r="V225" s="28">
        <f>IF($A225="","",1)</f>
        <v/>
      </c>
    </row>
    <row r="226">
      <c r="A226" s="26" t="n"/>
      <c r="B226" s="26" t="n"/>
      <c r="C226" s="26" t="n"/>
      <c r="D226" s="29" t="n"/>
      <c r="E226" s="29" t="n"/>
      <c r="F226" s="26" t="n"/>
      <c r="G226" s="26" t="n"/>
      <c r="H226" s="27" t="n"/>
      <c r="I226" s="27" t="n"/>
      <c r="J226" s="27" t="n"/>
      <c r="K226" s="30" t="n"/>
      <c r="L226" s="26" t="n"/>
      <c r="M226" s="26" t="n"/>
      <c r="N226" s="26" t="n"/>
      <c r="O226" s="28">
        <f>IF($A226="","",IF(OR($G226="TAHSIL",$G226="KAPALI"),0,IF($D226="","",raporTarihi-$D226)))</f>
        <v/>
      </c>
      <c r="P226" s="28">
        <f>IF($A226="","",IF($O226="","",IF($O226&lt;=trv_kovaEsik1,"0-30",IF($O226&lt;=trv_kovaEsik2,"31-60",IF($O226&lt;=trv_kovaEsik3,"61-90","90+")))))</f>
        <v/>
      </c>
      <c r="Q226" s="28">
        <f>IF(OR($A226="",$G226="TAHSIL",$G226="KAPALI"),"",IF($P226="0-30",trv_olasilikK1,IF($P226="31-60",trv_olasilikK2,IF($P226="61-90",trv_olasilikK3,trv_olasilikK4))))</f>
        <v/>
      </c>
      <c r="R226" s="28">
        <f>IF(OR($A226="",$Q226=""),"",$J226*(1-$Q226)*MAX(trv_riskTaban,$K226/100))</f>
        <v/>
      </c>
      <c r="S226" s="28">
        <f>IF($A226="","",IF($B226="","YETİM",IF(COUNTIF(tblKartlar[KartId],$B226)=0,"YETİM","")))</f>
        <v/>
      </c>
      <c r="T226" s="28">
        <f>IF(OR($A226="",$F226=""),"",IF(OR($F226&amp;"|"&amp;$G226="",COUNTIF(ListeIzinliGecis,$F226&amp;"|"&amp;$G226)&gt;0),"","GEÇERSİZ GEÇİŞ"))</f>
        <v/>
      </c>
      <c r="U226" s="28">
        <f>IF($A226="","",IF(OR($G226="TAHSIL",$I226&gt;0),IF(OR($H226="",$I226=""),"",IF(ABS($I226-$H226)&gt;zincirTolerans,"ZİNCİR KIRIK","OK")),"OK"))</f>
        <v/>
      </c>
      <c r="V226" s="28">
        <f>IF($A226="","",1)</f>
        <v/>
      </c>
    </row>
    <row r="227">
      <c r="A227" s="26" t="n"/>
      <c r="B227" s="26" t="n"/>
      <c r="C227" s="26" t="n"/>
      <c r="D227" s="29" t="n"/>
      <c r="E227" s="29" t="n"/>
      <c r="F227" s="26" t="n"/>
      <c r="G227" s="26" t="n"/>
      <c r="H227" s="27" t="n"/>
      <c r="I227" s="27" t="n"/>
      <c r="J227" s="27" t="n"/>
      <c r="K227" s="30" t="n"/>
      <c r="L227" s="26" t="n"/>
      <c r="M227" s="26" t="n"/>
      <c r="N227" s="26" t="n"/>
      <c r="O227" s="28">
        <f>IF($A227="","",IF(OR($G227="TAHSIL",$G227="KAPALI"),0,IF($D227="","",raporTarihi-$D227)))</f>
        <v/>
      </c>
      <c r="P227" s="28">
        <f>IF($A227="","",IF($O227="","",IF($O227&lt;=trv_kovaEsik1,"0-30",IF($O227&lt;=trv_kovaEsik2,"31-60",IF($O227&lt;=trv_kovaEsik3,"61-90","90+")))))</f>
        <v/>
      </c>
      <c r="Q227" s="28">
        <f>IF(OR($A227="",$G227="TAHSIL",$G227="KAPALI"),"",IF($P227="0-30",trv_olasilikK1,IF($P227="31-60",trv_olasilikK2,IF($P227="61-90",trv_olasilikK3,trv_olasilikK4))))</f>
        <v/>
      </c>
      <c r="R227" s="28">
        <f>IF(OR($A227="",$Q227=""),"",$J227*(1-$Q227)*MAX(trv_riskTaban,$K227/100))</f>
        <v/>
      </c>
      <c r="S227" s="28">
        <f>IF($A227="","",IF($B227="","YETİM",IF(COUNTIF(tblKartlar[KartId],$B227)=0,"YETİM","")))</f>
        <v/>
      </c>
      <c r="T227" s="28">
        <f>IF(OR($A227="",$F227=""),"",IF(OR($F227&amp;"|"&amp;$G227="",COUNTIF(ListeIzinliGecis,$F227&amp;"|"&amp;$G227)&gt;0),"","GEÇERSİZ GEÇİŞ"))</f>
        <v/>
      </c>
      <c r="U227" s="28">
        <f>IF($A227="","",IF(OR($G227="TAHSIL",$I227&gt;0),IF(OR($H227="",$I227=""),"",IF(ABS($I227-$H227)&gt;zincirTolerans,"ZİNCİR KIRIK","OK")),"OK"))</f>
        <v/>
      </c>
      <c r="V227" s="28">
        <f>IF($A227="","",1)</f>
        <v/>
      </c>
    </row>
    <row r="228">
      <c r="A228" s="26" t="n"/>
      <c r="B228" s="26" t="n"/>
      <c r="C228" s="26" t="n"/>
      <c r="D228" s="29" t="n"/>
      <c r="E228" s="29" t="n"/>
      <c r="F228" s="26" t="n"/>
      <c r="G228" s="26" t="n"/>
      <c r="H228" s="27" t="n"/>
      <c r="I228" s="27" t="n"/>
      <c r="J228" s="27" t="n"/>
      <c r="K228" s="30" t="n"/>
      <c r="L228" s="26" t="n"/>
      <c r="M228" s="26" t="n"/>
      <c r="N228" s="26" t="n"/>
      <c r="O228" s="28">
        <f>IF($A228="","",IF(OR($G228="TAHSIL",$G228="KAPALI"),0,IF($D228="","",raporTarihi-$D228)))</f>
        <v/>
      </c>
      <c r="P228" s="28">
        <f>IF($A228="","",IF($O228="","",IF($O228&lt;=trv_kovaEsik1,"0-30",IF($O228&lt;=trv_kovaEsik2,"31-60",IF($O228&lt;=trv_kovaEsik3,"61-90","90+")))))</f>
        <v/>
      </c>
      <c r="Q228" s="28">
        <f>IF(OR($A228="",$G228="TAHSIL",$G228="KAPALI"),"",IF($P228="0-30",trv_olasilikK1,IF($P228="31-60",trv_olasilikK2,IF($P228="61-90",trv_olasilikK3,trv_olasilikK4))))</f>
        <v/>
      </c>
      <c r="R228" s="28">
        <f>IF(OR($A228="",$Q228=""),"",$J228*(1-$Q228)*MAX(trv_riskTaban,$K228/100))</f>
        <v/>
      </c>
      <c r="S228" s="28">
        <f>IF($A228="","",IF($B228="","YETİM",IF(COUNTIF(tblKartlar[KartId],$B228)=0,"YETİM","")))</f>
        <v/>
      </c>
      <c r="T228" s="28">
        <f>IF(OR($A228="",$F228=""),"",IF(OR($F228&amp;"|"&amp;$G228="",COUNTIF(ListeIzinliGecis,$F228&amp;"|"&amp;$G228)&gt;0),"","GEÇERSİZ GEÇİŞ"))</f>
        <v/>
      </c>
      <c r="U228" s="28">
        <f>IF($A228="","",IF(OR($G228="TAHSIL",$I228&gt;0),IF(OR($H228="",$I228=""),"",IF(ABS($I228-$H228)&gt;zincirTolerans,"ZİNCİR KIRIK","OK")),"OK"))</f>
        <v/>
      </c>
      <c r="V228" s="28">
        <f>IF($A228="","",1)</f>
        <v/>
      </c>
    </row>
    <row r="229">
      <c r="A229" s="26" t="n"/>
      <c r="B229" s="26" t="n"/>
      <c r="C229" s="26" t="n"/>
      <c r="D229" s="29" t="n"/>
      <c r="E229" s="29" t="n"/>
      <c r="F229" s="26" t="n"/>
      <c r="G229" s="26" t="n"/>
      <c r="H229" s="27" t="n"/>
      <c r="I229" s="27" t="n"/>
      <c r="J229" s="27" t="n"/>
      <c r="K229" s="30" t="n"/>
      <c r="L229" s="26" t="n"/>
      <c r="M229" s="26" t="n"/>
      <c r="N229" s="26" t="n"/>
      <c r="O229" s="28">
        <f>IF($A229="","",IF(OR($G229="TAHSIL",$G229="KAPALI"),0,IF($D229="","",raporTarihi-$D229)))</f>
        <v/>
      </c>
      <c r="P229" s="28">
        <f>IF($A229="","",IF($O229="","",IF($O229&lt;=trv_kovaEsik1,"0-30",IF($O229&lt;=trv_kovaEsik2,"31-60",IF($O229&lt;=trv_kovaEsik3,"61-90","90+")))))</f>
        <v/>
      </c>
      <c r="Q229" s="28">
        <f>IF(OR($A229="",$G229="TAHSIL",$G229="KAPALI"),"",IF($P229="0-30",trv_olasilikK1,IF($P229="31-60",trv_olasilikK2,IF($P229="61-90",trv_olasilikK3,trv_olasilikK4))))</f>
        <v/>
      </c>
      <c r="R229" s="28">
        <f>IF(OR($A229="",$Q229=""),"",$J229*(1-$Q229)*MAX(trv_riskTaban,$K229/100))</f>
        <v/>
      </c>
      <c r="S229" s="28">
        <f>IF($A229="","",IF($B229="","YETİM",IF(COUNTIF(tblKartlar[KartId],$B229)=0,"YETİM","")))</f>
        <v/>
      </c>
      <c r="T229" s="28">
        <f>IF(OR($A229="",$F229=""),"",IF(OR($F229&amp;"|"&amp;$G229="",COUNTIF(ListeIzinliGecis,$F229&amp;"|"&amp;$G229)&gt;0),"","GEÇERSİZ GEÇİŞ"))</f>
        <v/>
      </c>
      <c r="U229" s="28">
        <f>IF($A229="","",IF(OR($G229="TAHSIL",$I229&gt;0),IF(OR($H229="",$I229=""),"",IF(ABS($I229-$H229)&gt;zincirTolerans,"ZİNCİR KIRIK","OK")),"OK"))</f>
        <v/>
      </c>
      <c r="V229" s="28">
        <f>IF($A229="","",1)</f>
        <v/>
      </c>
    </row>
    <row r="230">
      <c r="A230" s="26" t="n"/>
      <c r="B230" s="26" t="n"/>
      <c r="C230" s="26" t="n"/>
      <c r="D230" s="29" t="n"/>
      <c r="E230" s="29" t="n"/>
      <c r="F230" s="26" t="n"/>
      <c r="G230" s="26" t="n"/>
      <c r="H230" s="27" t="n"/>
      <c r="I230" s="27" t="n"/>
      <c r="J230" s="27" t="n"/>
      <c r="K230" s="30" t="n"/>
      <c r="L230" s="26" t="n"/>
      <c r="M230" s="26" t="n"/>
      <c r="N230" s="26" t="n"/>
      <c r="O230" s="28">
        <f>IF($A230="","",IF(OR($G230="TAHSIL",$G230="KAPALI"),0,IF($D230="","",raporTarihi-$D230)))</f>
        <v/>
      </c>
      <c r="P230" s="28">
        <f>IF($A230="","",IF($O230="","",IF($O230&lt;=trv_kovaEsik1,"0-30",IF($O230&lt;=trv_kovaEsik2,"31-60",IF($O230&lt;=trv_kovaEsik3,"61-90","90+")))))</f>
        <v/>
      </c>
      <c r="Q230" s="28">
        <f>IF(OR($A230="",$G230="TAHSIL",$G230="KAPALI"),"",IF($P230="0-30",trv_olasilikK1,IF($P230="31-60",trv_olasilikK2,IF($P230="61-90",trv_olasilikK3,trv_olasilikK4))))</f>
        <v/>
      </c>
      <c r="R230" s="28">
        <f>IF(OR($A230="",$Q230=""),"",$J230*(1-$Q230)*MAX(trv_riskTaban,$K230/100))</f>
        <v/>
      </c>
      <c r="S230" s="28">
        <f>IF($A230="","",IF($B230="","YETİM",IF(COUNTIF(tblKartlar[KartId],$B230)=0,"YETİM","")))</f>
        <v/>
      </c>
      <c r="T230" s="28">
        <f>IF(OR($A230="",$F230=""),"",IF(OR($F230&amp;"|"&amp;$G230="",COUNTIF(ListeIzinliGecis,$F230&amp;"|"&amp;$G230)&gt;0),"","GEÇERSİZ GEÇİŞ"))</f>
        <v/>
      </c>
      <c r="U230" s="28">
        <f>IF($A230="","",IF(OR($G230="TAHSIL",$I230&gt;0),IF(OR($H230="",$I230=""),"",IF(ABS($I230-$H230)&gt;zincirTolerans,"ZİNCİR KIRIK","OK")),"OK"))</f>
        <v/>
      </c>
      <c r="V230" s="28">
        <f>IF($A230="","",1)</f>
        <v/>
      </c>
    </row>
    <row r="231">
      <c r="A231" s="26" t="n"/>
      <c r="B231" s="26" t="n"/>
      <c r="C231" s="26" t="n"/>
      <c r="D231" s="29" t="n"/>
      <c r="E231" s="29" t="n"/>
      <c r="F231" s="26" t="n"/>
      <c r="G231" s="26" t="n"/>
      <c r="H231" s="27" t="n"/>
      <c r="I231" s="27" t="n"/>
      <c r="J231" s="27" t="n"/>
      <c r="K231" s="30" t="n"/>
      <c r="L231" s="26" t="n"/>
      <c r="M231" s="26" t="n"/>
      <c r="N231" s="26" t="n"/>
      <c r="O231" s="28">
        <f>IF($A231="","",IF(OR($G231="TAHSIL",$G231="KAPALI"),0,IF($D231="","",raporTarihi-$D231)))</f>
        <v/>
      </c>
      <c r="P231" s="28">
        <f>IF($A231="","",IF($O231="","",IF($O231&lt;=trv_kovaEsik1,"0-30",IF($O231&lt;=trv_kovaEsik2,"31-60",IF($O231&lt;=trv_kovaEsik3,"61-90","90+")))))</f>
        <v/>
      </c>
      <c r="Q231" s="28">
        <f>IF(OR($A231="",$G231="TAHSIL",$G231="KAPALI"),"",IF($P231="0-30",trv_olasilikK1,IF($P231="31-60",trv_olasilikK2,IF($P231="61-90",trv_olasilikK3,trv_olasilikK4))))</f>
        <v/>
      </c>
      <c r="R231" s="28">
        <f>IF(OR($A231="",$Q231=""),"",$J231*(1-$Q231)*MAX(trv_riskTaban,$K231/100))</f>
        <v/>
      </c>
      <c r="S231" s="28">
        <f>IF($A231="","",IF($B231="","YETİM",IF(COUNTIF(tblKartlar[KartId],$B231)=0,"YETİM","")))</f>
        <v/>
      </c>
      <c r="T231" s="28">
        <f>IF(OR($A231="",$F231=""),"",IF(OR($F231&amp;"|"&amp;$G231="",COUNTIF(ListeIzinliGecis,$F231&amp;"|"&amp;$G231)&gt;0),"","GEÇERSİZ GEÇİŞ"))</f>
        <v/>
      </c>
      <c r="U231" s="28">
        <f>IF($A231="","",IF(OR($G231="TAHSIL",$I231&gt;0),IF(OR($H231="",$I231=""),"",IF(ABS($I231-$H231)&gt;zincirTolerans,"ZİNCİR KIRIK","OK")),"OK"))</f>
        <v/>
      </c>
      <c r="V231" s="28">
        <f>IF($A231="","",1)</f>
        <v/>
      </c>
    </row>
    <row r="232">
      <c r="A232" s="26" t="n"/>
      <c r="B232" s="26" t="n"/>
      <c r="C232" s="26" t="n"/>
      <c r="D232" s="29" t="n"/>
      <c r="E232" s="29" t="n"/>
      <c r="F232" s="26" t="n"/>
      <c r="G232" s="26" t="n"/>
      <c r="H232" s="27" t="n"/>
      <c r="I232" s="27" t="n"/>
      <c r="J232" s="27" t="n"/>
      <c r="K232" s="30" t="n"/>
      <c r="L232" s="26" t="n"/>
      <c r="M232" s="26" t="n"/>
      <c r="N232" s="26" t="n"/>
      <c r="O232" s="28">
        <f>IF($A232="","",IF(OR($G232="TAHSIL",$G232="KAPALI"),0,IF($D232="","",raporTarihi-$D232)))</f>
        <v/>
      </c>
      <c r="P232" s="28">
        <f>IF($A232="","",IF($O232="","",IF($O232&lt;=trv_kovaEsik1,"0-30",IF($O232&lt;=trv_kovaEsik2,"31-60",IF($O232&lt;=trv_kovaEsik3,"61-90","90+")))))</f>
        <v/>
      </c>
      <c r="Q232" s="28">
        <f>IF(OR($A232="",$G232="TAHSIL",$G232="KAPALI"),"",IF($P232="0-30",trv_olasilikK1,IF($P232="31-60",trv_olasilikK2,IF($P232="61-90",trv_olasilikK3,trv_olasilikK4))))</f>
        <v/>
      </c>
      <c r="R232" s="28">
        <f>IF(OR($A232="",$Q232=""),"",$J232*(1-$Q232)*MAX(trv_riskTaban,$K232/100))</f>
        <v/>
      </c>
      <c r="S232" s="28">
        <f>IF($A232="","",IF($B232="","YETİM",IF(COUNTIF(tblKartlar[KartId],$B232)=0,"YETİM","")))</f>
        <v/>
      </c>
      <c r="T232" s="28">
        <f>IF(OR($A232="",$F232=""),"",IF(OR($F232&amp;"|"&amp;$G232="",COUNTIF(ListeIzinliGecis,$F232&amp;"|"&amp;$G232)&gt;0),"","GEÇERSİZ GEÇİŞ"))</f>
        <v/>
      </c>
      <c r="U232" s="28">
        <f>IF($A232="","",IF(OR($G232="TAHSIL",$I232&gt;0),IF(OR($H232="",$I232=""),"",IF(ABS($I232-$H232)&gt;zincirTolerans,"ZİNCİR KIRIK","OK")),"OK"))</f>
        <v/>
      </c>
      <c r="V232" s="28">
        <f>IF($A232="","",1)</f>
        <v/>
      </c>
    </row>
    <row r="233">
      <c r="A233" s="26" t="n"/>
      <c r="B233" s="26" t="n"/>
      <c r="C233" s="26" t="n"/>
      <c r="D233" s="29" t="n"/>
      <c r="E233" s="29" t="n"/>
      <c r="F233" s="26" t="n"/>
      <c r="G233" s="26" t="n"/>
      <c r="H233" s="27" t="n"/>
      <c r="I233" s="27" t="n"/>
      <c r="J233" s="27" t="n"/>
      <c r="K233" s="30" t="n"/>
      <c r="L233" s="26" t="n"/>
      <c r="M233" s="26" t="n"/>
      <c r="N233" s="26" t="n"/>
      <c r="O233" s="28">
        <f>IF($A233="","",IF(OR($G233="TAHSIL",$G233="KAPALI"),0,IF($D233="","",raporTarihi-$D233)))</f>
        <v/>
      </c>
      <c r="P233" s="28">
        <f>IF($A233="","",IF($O233="","",IF($O233&lt;=trv_kovaEsik1,"0-30",IF($O233&lt;=trv_kovaEsik2,"31-60",IF($O233&lt;=trv_kovaEsik3,"61-90","90+")))))</f>
        <v/>
      </c>
      <c r="Q233" s="28">
        <f>IF(OR($A233="",$G233="TAHSIL",$G233="KAPALI"),"",IF($P233="0-30",trv_olasilikK1,IF($P233="31-60",trv_olasilikK2,IF($P233="61-90",trv_olasilikK3,trv_olasilikK4))))</f>
        <v/>
      </c>
      <c r="R233" s="28">
        <f>IF(OR($A233="",$Q233=""),"",$J233*(1-$Q233)*MAX(trv_riskTaban,$K233/100))</f>
        <v/>
      </c>
      <c r="S233" s="28">
        <f>IF($A233="","",IF($B233="","YETİM",IF(COUNTIF(tblKartlar[KartId],$B233)=0,"YETİM","")))</f>
        <v/>
      </c>
      <c r="T233" s="28">
        <f>IF(OR($A233="",$F233=""),"",IF(OR($F233&amp;"|"&amp;$G233="",COUNTIF(ListeIzinliGecis,$F233&amp;"|"&amp;$G233)&gt;0),"","GEÇERSİZ GEÇİŞ"))</f>
        <v/>
      </c>
      <c r="U233" s="28">
        <f>IF($A233="","",IF(OR($G233="TAHSIL",$I233&gt;0),IF(OR($H233="",$I233=""),"",IF(ABS($I233-$H233)&gt;zincirTolerans,"ZİNCİR KIRIK","OK")),"OK"))</f>
        <v/>
      </c>
      <c r="V233" s="28">
        <f>IF($A233="","",1)</f>
        <v/>
      </c>
    </row>
    <row r="234">
      <c r="A234" s="26" t="n"/>
      <c r="B234" s="26" t="n"/>
      <c r="C234" s="26" t="n"/>
      <c r="D234" s="29" t="n"/>
      <c r="E234" s="29" t="n"/>
      <c r="F234" s="26" t="n"/>
      <c r="G234" s="26" t="n"/>
      <c r="H234" s="27" t="n"/>
      <c r="I234" s="27" t="n"/>
      <c r="J234" s="27" t="n"/>
      <c r="K234" s="30" t="n"/>
      <c r="L234" s="26" t="n"/>
      <c r="M234" s="26" t="n"/>
      <c r="N234" s="26" t="n"/>
      <c r="O234" s="28">
        <f>IF($A234="","",IF(OR($G234="TAHSIL",$G234="KAPALI"),0,IF($D234="","",raporTarihi-$D234)))</f>
        <v/>
      </c>
      <c r="P234" s="28">
        <f>IF($A234="","",IF($O234="","",IF($O234&lt;=trv_kovaEsik1,"0-30",IF($O234&lt;=trv_kovaEsik2,"31-60",IF($O234&lt;=trv_kovaEsik3,"61-90","90+")))))</f>
        <v/>
      </c>
      <c r="Q234" s="28">
        <f>IF(OR($A234="",$G234="TAHSIL",$G234="KAPALI"),"",IF($P234="0-30",trv_olasilikK1,IF($P234="31-60",trv_olasilikK2,IF($P234="61-90",trv_olasilikK3,trv_olasilikK4))))</f>
        <v/>
      </c>
      <c r="R234" s="28">
        <f>IF(OR($A234="",$Q234=""),"",$J234*(1-$Q234)*MAX(trv_riskTaban,$K234/100))</f>
        <v/>
      </c>
      <c r="S234" s="28">
        <f>IF($A234="","",IF($B234="","YETİM",IF(COUNTIF(tblKartlar[KartId],$B234)=0,"YETİM","")))</f>
        <v/>
      </c>
      <c r="T234" s="28">
        <f>IF(OR($A234="",$F234=""),"",IF(OR($F234&amp;"|"&amp;$G234="",COUNTIF(ListeIzinliGecis,$F234&amp;"|"&amp;$G234)&gt;0),"","GEÇERSİZ GEÇİŞ"))</f>
        <v/>
      </c>
      <c r="U234" s="28">
        <f>IF($A234="","",IF(OR($G234="TAHSIL",$I234&gt;0),IF(OR($H234="",$I234=""),"",IF(ABS($I234-$H234)&gt;zincirTolerans,"ZİNCİR KIRIK","OK")),"OK"))</f>
        <v/>
      </c>
      <c r="V234" s="28">
        <f>IF($A234="","",1)</f>
        <v/>
      </c>
    </row>
    <row r="235">
      <c r="A235" s="26" t="n"/>
      <c r="B235" s="26" t="n"/>
      <c r="C235" s="26" t="n"/>
      <c r="D235" s="29" t="n"/>
      <c r="E235" s="29" t="n"/>
      <c r="F235" s="26" t="n"/>
      <c r="G235" s="26" t="n"/>
      <c r="H235" s="27" t="n"/>
      <c r="I235" s="27" t="n"/>
      <c r="J235" s="27" t="n"/>
      <c r="K235" s="30" t="n"/>
      <c r="L235" s="26" t="n"/>
      <c r="M235" s="26" t="n"/>
      <c r="N235" s="26" t="n"/>
      <c r="O235" s="28">
        <f>IF($A235="","",IF(OR($G235="TAHSIL",$G235="KAPALI"),0,IF($D235="","",raporTarihi-$D235)))</f>
        <v/>
      </c>
      <c r="P235" s="28">
        <f>IF($A235="","",IF($O235="","",IF($O235&lt;=trv_kovaEsik1,"0-30",IF($O235&lt;=trv_kovaEsik2,"31-60",IF($O235&lt;=trv_kovaEsik3,"61-90","90+")))))</f>
        <v/>
      </c>
      <c r="Q235" s="28">
        <f>IF(OR($A235="",$G235="TAHSIL",$G235="KAPALI"),"",IF($P235="0-30",trv_olasilikK1,IF($P235="31-60",trv_olasilikK2,IF($P235="61-90",trv_olasilikK3,trv_olasilikK4))))</f>
        <v/>
      </c>
      <c r="R235" s="28">
        <f>IF(OR($A235="",$Q235=""),"",$J235*(1-$Q235)*MAX(trv_riskTaban,$K235/100))</f>
        <v/>
      </c>
      <c r="S235" s="28">
        <f>IF($A235="","",IF($B235="","YETİM",IF(COUNTIF(tblKartlar[KartId],$B235)=0,"YETİM","")))</f>
        <v/>
      </c>
      <c r="T235" s="28">
        <f>IF(OR($A235="",$F235=""),"",IF(OR($F235&amp;"|"&amp;$G235="",COUNTIF(ListeIzinliGecis,$F235&amp;"|"&amp;$G235)&gt;0),"","GEÇERSİZ GEÇİŞ"))</f>
        <v/>
      </c>
      <c r="U235" s="28">
        <f>IF($A235="","",IF(OR($G235="TAHSIL",$I235&gt;0),IF(OR($H235="",$I235=""),"",IF(ABS($I235-$H235)&gt;zincirTolerans,"ZİNCİR KIRIK","OK")),"OK"))</f>
        <v/>
      </c>
      <c r="V235" s="28">
        <f>IF($A235="","",1)</f>
        <v/>
      </c>
    </row>
    <row r="236">
      <c r="A236" s="26" t="n"/>
      <c r="B236" s="26" t="n"/>
      <c r="C236" s="26" t="n"/>
      <c r="D236" s="29" t="n"/>
      <c r="E236" s="29" t="n"/>
      <c r="F236" s="26" t="n"/>
      <c r="G236" s="26" t="n"/>
      <c r="H236" s="27" t="n"/>
      <c r="I236" s="27" t="n"/>
      <c r="J236" s="27" t="n"/>
      <c r="K236" s="30" t="n"/>
      <c r="L236" s="26" t="n"/>
      <c r="M236" s="26" t="n"/>
      <c r="N236" s="26" t="n"/>
      <c r="O236" s="28">
        <f>IF($A236="","",IF(OR($G236="TAHSIL",$G236="KAPALI"),0,IF($D236="","",raporTarihi-$D236)))</f>
        <v/>
      </c>
      <c r="P236" s="28">
        <f>IF($A236="","",IF($O236="","",IF($O236&lt;=trv_kovaEsik1,"0-30",IF($O236&lt;=trv_kovaEsik2,"31-60",IF($O236&lt;=trv_kovaEsik3,"61-90","90+")))))</f>
        <v/>
      </c>
      <c r="Q236" s="28">
        <f>IF(OR($A236="",$G236="TAHSIL",$G236="KAPALI"),"",IF($P236="0-30",trv_olasilikK1,IF($P236="31-60",trv_olasilikK2,IF($P236="61-90",trv_olasilikK3,trv_olasilikK4))))</f>
        <v/>
      </c>
      <c r="R236" s="28">
        <f>IF(OR($A236="",$Q236=""),"",$J236*(1-$Q236)*MAX(trv_riskTaban,$K236/100))</f>
        <v/>
      </c>
      <c r="S236" s="28">
        <f>IF($A236="","",IF($B236="","YETİM",IF(COUNTIF(tblKartlar[KartId],$B236)=0,"YETİM","")))</f>
        <v/>
      </c>
      <c r="T236" s="28">
        <f>IF(OR($A236="",$F236=""),"",IF(OR($F236&amp;"|"&amp;$G236="",COUNTIF(ListeIzinliGecis,$F236&amp;"|"&amp;$G236)&gt;0),"","GEÇERSİZ GEÇİŞ"))</f>
        <v/>
      </c>
      <c r="U236" s="28">
        <f>IF($A236="","",IF(OR($G236="TAHSIL",$I236&gt;0),IF(OR($H236="",$I236=""),"",IF(ABS($I236-$H236)&gt;zincirTolerans,"ZİNCİR KIRIK","OK")),"OK"))</f>
        <v/>
      </c>
      <c r="V236" s="28">
        <f>IF($A236="","",1)</f>
        <v/>
      </c>
    </row>
    <row r="237">
      <c r="A237" s="26" t="n"/>
      <c r="B237" s="26" t="n"/>
      <c r="C237" s="26" t="n"/>
      <c r="D237" s="29" t="n"/>
      <c r="E237" s="29" t="n"/>
      <c r="F237" s="26" t="n"/>
      <c r="G237" s="26" t="n"/>
      <c r="H237" s="27" t="n"/>
      <c r="I237" s="27" t="n"/>
      <c r="J237" s="27" t="n"/>
      <c r="K237" s="30" t="n"/>
      <c r="L237" s="26" t="n"/>
      <c r="M237" s="26" t="n"/>
      <c r="N237" s="26" t="n"/>
      <c r="O237" s="28">
        <f>IF($A237="","",IF(OR($G237="TAHSIL",$G237="KAPALI"),0,IF($D237="","",raporTarihi-$D237)))</f>
        <v/>
      </c>
      <c r="P237" s="28">
        <f>IF($A237="","",IF($O237="","",IF($O237&lt;=trv_kovaEsik1,"0-30",IF($O237&lt;=trv_kovaEsik2,"31-60",IF($O237&lt;=trv_kovaEsik3,"61-90","90+")))))</f>
        <v/>
      </c>
      <c r="Q237" s="28">
        <f>IF(OR($A237="",$G237="TAHSIL",$G237="KAPALI"),"",IF($P237="0-30",trv_olasilikK1,IF($P237="31-60",trv_olasilikK2,IF($P237="61-90",trv_olasilikK3,trv_olasilikK4))))</f>
        <v/>
      </c>
      <c r="R237" s="28">
        <f>IF(OR($A237="",$Q237=""),"",$J237*(1-$Q237)*MAX(trv_riskTaban,$K237/100))</f>
        <v/>
      </c>
      <c r="S237" s="28">
        <f>IF($A237="","",IF($B237="","YETİM",IF(COUNTIF(tblKartlar[KartId],$B237)=0,"YETİM","")))</f>
        <v/>
      </c>
      <c r="T237" s="28">
        <f>IF(OR($A237="",$F237=""),"",IF(OR($F237&amp;"|"&amp;$G237="",COUNTIF(ListeIzinliGecis,$F237&amp;"|"&amp;$G237)&gt;0),"","GEÇERSİZ GEÇİŞ"))</f>
        <v/>
      </c>
      <c r="U237" s="28">
        <f>IF($A237="","",IF(OR($G237="TAHSIL",$I237&gt;0),IF(OR($H237="",$I237=""),"",IF(ABS($I237-$H237)&gt;zincirTolerans,"ZİNCİR KIRIK","OK")),"OK"))</f>
        <v/>
      </c>
      <c r="V237" s="28">
        <f>IF($A237="","",1)</f>
        <v/>
      </c>
    </row>
    <row r="238">
      <c r="A238" s="26" t="n"/>
      <c r="B238" s="26" t="n"/>
      <c r="C238" s="26" t="n"/>
      <c r="D238" s="29" t="n"/>
      <c r="E238" s="29" t="n"/>
      <c r="F238" s="26" t="n"/>
      <c r="G238" s="26" t="n"/>
      <c r="H238" s="27" t="n"/>
      <c r="I238" s="27" t="n"/>
      <c r="J238" s="27" t="n"/>
      <c r="K238" s="30" t="n"/>
      <c r="L238" s="26" t="n"/>
      <c r="M238" s="26" t="n"/>
      <c r="N238" s="26" t="n"/>
      <c r="O238" s="28">
        <f>IF($A238="","",IF(OR($G238="TAHSIL",$G238="KAPALI"),0,IF($D238="","",raporTarihi-$D238)))</f>
        <v/>
      </c>
      <c r="P238" s="28">
        <f>IF($A238="","",IF($O238="","",IF($O238&lt;=trv_kovaEsik1,"0-30",IF($O238&lt;=trv_kovaEsik2,"31-60",IF($O238&lt;=trv_kovaEsik3,"61-90","90+")))))</f>
        <v/>
      </c>
      <c r="Q238" s="28">
        <f>IF(OR($A238="",$G238="TAHSIL",$G238="KAPALI"),"",IF($P238="0-30",trv_olasilikK1,IF($P238="31-60",trv_olasilikK2,IF($P238="61-90",trv_olasilikK3,trv_olasilikK4))))</f>
        <v/>
      </c>
      <c r="R238" s="28">
        <f>IF(OR($A238="",$Q238=""),"",$J238*(1-$Q238)*MAX(trv_riskTaban,$K238/100))</f>
        <v/>
      </c>
      <c r="S238" s="28">
        <f>IF($A238="","",IF($B238="","YETİM",IF(COUNTIF(tblKartlar[KartId],$B238)=0,"YETİM","")))</f>
        <v/>
      </c>
      <c r="T238" s="28">
        <f>IF(OR($A238="",$F238=""),"",IF(OR($F238&amp;"|"&amp;$G238="",COUNTIF(ListeIzinliGecis,$F238&amp;"|"&amp;$G238)&gt;0),"","GEÇERSİZ GEÇİŞ"))</f>
        <v/>
      </c>
      <c r="U238" s="28">
        <f>IF($A238="","",IF(OR($G238="TAHSIL",$I238&gt;0),IF(OR($H238="",$I238=""),"",IF(ABS($I238-$H238)&gt;zincirTolerans,"ZİNCİR KIRIK","OK")),"OK"))</f>
        <v/>
      </c>
      <c r="V238" s="28">
        <f>IF($A238="","",1)</f>
        <v/>
      </c>
    </row>
    <row r="239">
      <c r="A239" s="26" t="n"/>
      <c r="B239" s="26" t="n"/>
      <c r="C239" s="26" t="n"/>
      <c r="D239" s="29" t="n"/>
      <c r="E239" s="29" t="n"/>
      <c r="F239" s="26" t="n"/>
      <c r="G239" s="26" t="n"/>
      <c r="H239" s="27" t="n"/>
      <c r="I239" s="27" t="n"/>
      <c r="J239" s="27" t="n"/>
      <c r="K239" s="30" t="n"/>
      <c r="L239" s="26" t="n"/>
      <c r="M239" s="26" t="n"/>
      <c r="N239" s="26" t="n"/>
      <c r="O239" s="28">
        <f>IF($A239="","",IF(OR($G239="TAHSIL",$G239="KAPALI"),0,IF($D239="","",raporTarihi-$D239)))</f>
        <v/>
      </c>
      <c r="P239" s="28">
        <f>IF($A239="","",IF($O239="","",IF($O239&lt;=trv_kovaEsik1,"0-30",IF($O239&lt;=trv_kovaEsik2,"31-60",IF($O239&lt;=trv_kovaEsik3,"61-90","90+")))))</f>
        <v/>
      </c>
      <c r="Q239" s="28">
        <f>IF(OR($A239="",$G239="TAHSIL",$G239="KAPALI"),"",IF($P239="0-30",trv_olasilikK1,IF($P239="31-60",trv_olasilikK2,IF($P239="61-90",trv_olasilikK3,trv_olasilikK4))))</f>
        <v/>
      </c>
      <c r="R239" s="28">
        <f>IF(OR($A239="",$Q239=""),"",$J239*(1-$Q239)*MAX(trv_riskTaban,$K239/100))</f>
        <v/>
      </c>
      <c r="S239" s="28">
        <f>IF($A239="","",IF($B239="","YETİM",IF(COUNTIF(tblKartlar[KartId],$B239)=0,"YETİM","")))</f>
        <v/>
      </c>
      <c r="T239" s="28">
        <f>IF(OR($A239="",$F239=""),"",IF(OR($F239&amp;"|"&amp;$G239="",COUNTIF(ListeIzinliGecis,$F239&amp;"|"&amp;$G239)&gt;0),"","GEÇERSİZ GEÇİŞ"))</f>
        <v/>
      </c>
      <c r="U239" s="28">
        <f>IF($A239="","",IF(OR($G239="TAHSIL",$I239&gt;0),IF(OR($H239="",$I239=""),"",IF(ABS($I239-$H239)&gt;zincirTolerans,"ZİNCİR KIRIK","OK")),"OK"))</f>
        <v/>
      </c>
      <c r="V239" s="28">
        <f>IF($A239="","",1)</f>
        <v/>
      </c>
    </row>
    <row r="240">
      <c r="A240" s="26" t="n"/>
      <c r="B240" s="26" t="n"/>
      <c r="C240" s="26" t="n"/>
      <c r="D240" s="29" t="n"/>
      <c r="E240" s="29" t="n"/>
      <c r="F240" s="26" t="n"/>
      <c r="G240" s="26" t="n"/>
      <c r="H240" s="27" t="n"/>
      <c r="I240" s="27" t="n"/>
      <c r="J240" s="27" t="n"/>
      <c r="K240" s="30" t="n"/>
      <c r="L240" s="26" t="n"/>
      <c r="M240" s="26" t="n"/>
      <c r="N240" s="26" t="n"/>
      <c r="O240" s="28">
        <f>IF($A240="","",IF(OR($G240="TAHSIL",$G240="KAPALI"),0,IF($D240="","",raporTarihi-$D240)))</f>
        <v/>
      </c>
      <c r="P240" s="28">
        <f>IF($A240="","",IF($O240="","",IF($O240&lt;=trv_kovaEsik1,"0-30",IF($O240&lt;=trv_kovaEsik2,"31-60",IF($O240&lt;=trv_kovaEsik3,"61-90","90+")))))</f>
        <v/>
      </c>
      <c r="Q240" s="28">
        <f>IF(OR($A240="",$G240="TAHSIL",$G240="KAPALI"),"",IF($P240="0-30",trv_olasilikK1,IF($P240="31-60",trv_olasilikK2,IF($P240="61-90",trv_olasilikK3,trv_olasilikK4))))</f>
        <v/>
      </c>
      <c r="R240" s="28">
        <f>IF(OR($A240="",$Q240=""),"",$J240*(1-$Q240)*MAX(trv_riskTaban,$K240/100))</f>
        <v/>
      </c>
      <c r="S240" s="28">
        <f>IF($A240="","",IF($B240="","YETİM",IF(COUNTIF(tblKartlar[KartId],$B240)=0,"YETİM","")))</f>
        <v/>
      </c>
      <c r="T240" s="28">
        <f>IF(OR($A240="",$F240=""),"",IF(OR($F240&amp;"|"&amp;$G240="",COUNTIF(ListeIzinliGecis,$F240&amp;"|"&amp;$G240)&gt;0),"","GEÇERSİZ GEÇİŞ"))</f>
        <v/>
      </c>
      <c r="U240" s="28">
        <f>IF($A240="","",IF(OR($G240="TAHSIL",$I240&gt;0),IF(OR($H240="",$I240=""),"",IF(ABS($I240-$H240)&gt;zincirTolerans,"ZİNCİR KIRIK","OK")),"OK"))</f>
        <v/>
      </c>
      <c r="V240" s="28">
        <f>IF($A240="","",1)</f>
        <v/>
      </c>
    </row>
    <row r="241">
      <c r="A241" s="26" t="n"/>
      <c r="B241" s="26" t="n"/>
      <c r="C241" s="26" t="n"/>
      <c r="D241" s="29" t="n"/>
      <c r="E241" s="29" t="n"/>
      <c r="F241" s="26" t="n"/>
      <c r="G241" s="26" t="n"/>
      <c r="H241" s="27" t="n"/>
      <c r="I241" s="27" t="n"/>
      <c r="J241" s="27" t="n"/>
      <c r="K241" s="30" t="n"/>
      <c r="L241" s="26" t="n"/>
      <c r="M241" s="26" t="n"/>
      <c r="N241" s="26" t="n"/>
      <c r="O241" s="28">
        <f>IF($A241="","",IF(OR($G241="TAHSIL",$G241="KAPALI"),0,IF($D241="","",raporTarihi-$D241)))</f>
        <v/>
      </c>
      <c r="P241" s="28">
        <f>IF($A241="","",IF($O241="","",IF($O241&lt;=trv_kovaEsik1,"0-30",IF($O241&lt;=trv_kovaEsik2,"31-60",IF($O241&lt;=trv_kovaEsik3,"61-90","90+")))))</f>
        <v/>
      </c>
      <c r="Q241" s="28">
        <f>IF(OR($A241="",$G241="TAHSIL",$G241="KAPALI"),"",IF($P241="0-30",trv_olasilikK1,IF($P241="31-60",trv_olasilikK2,IF($P241="61-90",trv_olasilikK3,trv_olasilikK4))))</f>
        <v/>
      </c>
      <c r="R241" s="28">
        <f>IF(OR($A241="",$Q241=""),"",$J241*(1-$Q241)*MAX(trv_riskTaban,$K241/100))</f>
        <v/>
      </c>
      <c r="S241" s="28">
        <f>IF($A241="","",IF($B241="","YETİM",IF(COUNTIF(tblKartlar[KartId],$B241)=0,"YETİM","")))</f>
        <v/>
      </c>
      <c r="T241" s="28">
        <f>IF(OR($A241="",$F241=""),"",IF(OR($F241&amp;"|"&amp;$G241="",COUNTIF(ListeIzinliGecis,$F241&amp;"|"&amp;$G241)&gt;0),"","GEÇERSİZ GEÇİŞ"))</f>
        <v/>
      </c>
      <c r="U241" s="28">
        <f>IF($A241="","",IF(OR($G241="TAHSIL",$I241&gt;0),IF(OR($H241="",$I241=""),"",IF(ABS($I241-$H241)&gt;zincirTolerans,"ZİNCİR KIRIK","OK")),"OK"))</f>
        <v/>
      </c>
      <c r="V241" s="28">
        <f>IF($A241="","",1)</f>
        <v/>
      </c>
    </row>
    <row r="242">
      <c r="A242" s="26" t="n"/>
      <c r="B242" s="26" t="n"/>
      <c r="C242" s="26" t="n"/>
      <c r="D242" s="29" t="n"/>
      <c r="E242" s="29" t="n"/>
      <c r="F242" s="26" t="n"/>
      <c r="G242" s="26" t="n"/>
      <c r="H242" s="27" t="n"/>
      <c r="I242" s="27" t="n"/>
      <c r="J242" s="27" t="n"/>
      <c r="K242" s="30" t="n"/>
      <c r="L242" s="26" t="n"/>
      <c r="M242" s="26" t="n"/>
      <c r="N242" s="26" t="n"/>
      <c r="O242" s="28">
        <f>IF($A242="","",IF(OR($G242="TAHSIL",$G242="KAPALI"),0,IF($D242="","",raporTarihi-$D242)))</f>
        <v/>
      </c>
      <c r="P242" s="28">
        <f>IF($A242="","",IF($O242="","",IF($O242&lt;=trv_kovaEsik1,"0-30",IF($O242&lt;=trv_kovaEsik2,"31-60",IF($O242&lt;=trv_kovaEsik3,"61-90","90+")))))</f>
        <v/>
      </c>
      <c r="Q242" s="28">
        <f>IF(OR($A242="",$G242="TAHSIL",$G242="KAPALI"),"",IF($P242="0-30",trv_olasilikK1,IF($P242="31-60",trv_olasilikK2,IF($P242="61-90",trv_olasilikK3,trv_olasilikK4))))</f>
        <v/>
      </c>
      <c r="R242" s="28">
        <f>IF(OR($A242="",$Q242=""),"",$J242*(1-$Q242)*MAX(trv_riskTaban,$K242/100))</f>
        <v/>
      </c>
      <c r="S242" s="28">
        <f>IF($A242="","",IF($B242="","YETİM",IF(COUNTIF(tblKartlar[KartId],$B242)=0,"YETİM","")))</f>
        <v/>
      </c>
      <c r="T242" s="28">
        <f>IF(OR($A242="",$F242=""),"",IF(OR($F242&amp;"|"&amp;$G242="",COUNTIF(ListeIzinliGecis,$F242&amp;"|"&amp;$G242)&gt;0),"","GEÇERSİZ GEÇİŞ"))</f>
        <v/>
      </c>
      <c r="U242" s="28">
        <f>IF($A242="","",IF(OR($G242="TAHSIL",$I242&gt;0),IF(OR($H242="",$I242=""),"",IF(ABS($I242-$H242)&gt;zincirTolerans,"ZİNCİR KIRIK","OK")),"OK"))</f>
        <v/>
      </c>
      <c r="V242" s="28">
        <f>IF($A242="","",1)</f>
        <v/>
      </c>
    </row>
    <row r="243">
      <c r="A243" s="26" t="n"/>
      <c r="B243" s="26" t="n"/>
      <c r="C243" s="26" t="n"/>
      <c r="D243" s="29" t="n"/>
      <c r="E243" s="29" t="n"/>
      <c r="F243" s="26" t="n"/>
      <c r="G243" s="26" t="n"/>
      <c r="H243" s="27" t="n"/>
      <c r="I243" s="27" t="n"/>
      <c r="J243" s="27" t="n"/>
      <c r="K243" s="30" t="n"/>
      <c r="L243" s="26" t="n"/>
      <c r="M243" s="26" t="n"/>
      <c r="N243" s="26" t="n"/>
      <c r="O243" s="28">
        <f>IF($A243="","",IF(OR($G243="TAHSIL",$G243="KAPALI"),0,IF($D243="","",raporTarihi-$D243)))</f>
        <v/>
      </c>
      <c r="P243" s="28">
        <f>IF($A243="","",IF($O243="","",IF($O243&lt;=trv_kovaEsik1,"0-30",IF($O243&lt;=trv_kovaEsik2,"31-60",IF($O243&lt;=trv_kovaEsik3,"61-90","90+")))))</f>
        <v/>
      </c>
      <c r="Q243" s="28">
        <f>IF(OR($A243="",$G243="TAHSIL",$G243="KAPALI"),"",IF($P243="0-30",trv_olasilikK1,IF($P243="31-60",trv_olasilikK2,IF($P243="61-90",trv_olasilikK3,trv_olasilikK4))))</f>
        <v/>
      </c>
      <c r="R243" s="28">
        <f>IF(OR($A243="",$Q243=""),"",$J243*(1-$Q243)*MAX(trv_riskTaban,$K243/100))</f>
        <v/>
      </c>
      <c r="S243" s="28">
        <f>IF($A243="","",IF($B243="","YETİM",IF(COUNTIF(tblKartlar[KartId],$B243)=0,"YETİM","")))</f>
        <v/>
      </c>
      <c r="T243" s="28">
        <f>IF(OR($A243="",$F243=""),"",IF(OR($F243&amp;"|"&amp;$G243="",COUNTIF(ListeIzinliGecis,$F243&amp;"|"&amp;$G243)&gt;0),"","GEÇERSİZ GEÇİŞ"))</f>
        <v/>
      </c>
      <c r="U243" s="28">
        <f>IF($A243="","",IF(OR($G243="TAHSIL",$I243&gt;0),IF(OR($H243="",$I243=""),"",IF(ABS($I243-$H243)&gt;zincirTolerans,"ZİNCİR KIRIK","OK")),"OK"))</f>
        <v/>
      </c>
      <c r="V243" s="28">
        <f>IF($A243="","",1)</f>
        <v/>
      </c>
    </row>
    <row r="244">
      <c r="A244" s="26" t="n"/>
      <c r="B244" s="26" t="n"/>
      <c r="C244" s="26" t="n"/>
      <c r="D244" s="29" t="n"/>
      <c r="E244" s="29" t="n"/>
      <c r="F244" s="26" t="n"/>
      <c r="G244" s="26" t="n"/>
      <c r="H244" s="27" t="n"/>
      <c r="I244" s="27" t="n"/>
      <c r="J244" s="27" t="n"/>
      <c r="K244" s="30" t="n"/>
      <c r="L244" s="26" t="n"/>
      <c r="M244" s="26" t="n"/>
      <c r="N244" s="26" t="n"/>
      <c r="O244" s="28">
        <f>IF($A244="","",IF(OR($G244="TAHSIL",$G244="KAPALI"),0,IF($D244="","",raporTarihi-$D244)))</f>
        <v/>
      </c>
      <c r="P244" s="28">
        <f>IF($A244="","",IF($O244="","",IF($O244&lt;=trv_kovaEsik1,"0-30",IF($O244&lt;=trv_kovaEsik2,"31-60",IF($O244&lt;=trv_kovaEsik3,"61-90","90+")))))</f>
        <v/>
      </c>
      <c r="Q244" s="28">
        <f>IF(OR($A244="",$G244="TAHSIL",$G244="KAPALI"),"",IF($P244="0-30",trv_olasilikK1,IF($P244="31-60",trv_olasilikK2,IF($P244="61-90",trv_olasilikK3,trv_olasilikK4))))</f>
        <v/>
      </c>
      <c r="R244" s="28">
        <f>IF(OR($A244="",$Q244=""),"",$J244*(1-$Q244)*MAX(trv_riskTaban,$K244/100))</f>
        <v/>
      </c>
      <c r="S244" s="28">
        <f>IF($A244="","",IF($B244="","YETİM",IF(COUNTIF(tblKartlar[KartId],$B244)=0,"YETİM","")))</f>
        <v/>
      </c>
      <c r="T244" s="28">
        <f>IF(OR($A244="",$F244=""),"",IF(OR($F244&amp;"|"&amp;$G244="",COUNTIF(ListeIzinliGecis,$F244&amp;"|"&amp;$G244)&gt;0),"","GEÇERSİZ GEÇİŞ"))</f>
        <v/>
      </c>
      <c r="U244" s="28">
        <f>IF($A244="","",IF(OR($G244="TAHSIL",$I244&gt;0),IF(OR($H244="",$I244=""),"",IF(ABS($I244-$H244)&gt;zincirTolerans,"ZİNCİR KIRIK","OK")),"OK"))</f>
        <v/>
      </c>
      <c r="V244" s="28">
        <f>IF($A244="","",1)</f>
        <v/>
      </c>
    </row>
    <row r="245">
      <c r="A245" s="26" t="n"/>
      <c r="B245" s="26" t="n"/>
      <c r="C245" s="26" t="n"/>
      <c r="D245" s="29" t="n"/>
      <c r="E245" s="29" t="n"/>
      <c r="F245" s="26" t="n"/>
      <c r="G245" s="26" t="n"/>
      <c r="H245" s="27" t="n"/>
      <c r="I245" s="27" t="n"/>
      <c r="J245" s="27" t="n"/>
      <c r="K245" s="30" t="n"/>
      <c r="L245" s="26" t="n"/>
      <c r="M245" s="26" t="n"/>
      <c r="N245" s="26" t="n"/>
      <c r="O245" s="28">
        <f>IF($A245="","",IF(OR($G245="TAHSIL",$G245="KAPALI"),0,IF($D245="","",raporTarihi-$D245)))</f>
        <v/>
      </c>
      <c r="P245" s="28">
        <f>IF($A245="","",IF($O245="","",IF($O245&lt;=trv_kovaEsik1,"0-30",IF($O245&lt;=trv_kovaEsik2,"31-60",IF($O245&lt;=trv_kovaEsik3,"61-90","90+")))))</f>
        <v/>
      </c>
      <c r="Q245" s="28">
        <f>IF(OR($A245="",$G245="TAHSIL",$G245="KAPALI"),"",IF($P245="0-30",trv_olasilikK1,IF($P245="31-60",trv_olasilikK2,IF($P245="61-90",trv_olasilikK3,trv_olasilikK4))))</f>
        <v/>
      </c>
      <c r="R245" s="28">
        <f>IF(OR($A245="",$Q245=""),"",$J245*(1-$Q245)*MAX(trv_riskTaban,$K245/100))</f>
        <v/>
      </c>
      <c r="S245" s="28">
        <f>IF($A245="","",IF($B245="","YETİM",IF(COUNTIF(tblKartlar[KartId],$B245)=0,"YETİM","")))</f>
        <v/>
      </c>
      <c r="T245" s="28">
        <f>IF(OR($A245="",$F245=""),"",IF(OR($F245&amp;"|"&amp;$G245="",COUNTIF(ListeIzinliGecis,$F245&amp;"|"&amp;$G245)&gt;0),"","GEÇERSİZ GEÇİŞ"))</f>
        <v/>
      </c>
      <c r="U245" s="28">
        <f>IF($A245="","",IF(OR($G245="TAHSIL",$I245&gt;0),IF(OR($H245="",$I245=""),"",IF(ABS($I245-$H245)&gt;zincirTolerans,"ZİNCİR KIRIK","OK")),"OK"))</f>
        <v/>
      </c>
      <c r="V245" s="28">
        <f>IF($A245="","",1)</f>
        <v/>
      </c>
    </row>
    <row r="246">
      <c r="A246" s="26" t="n"/>
      <c r="B246" s="26" t="n"/>
      <c r="C246" s="26" t="n"/>
      <c r="D246" s="29" t="n"/>
      <c r="E246" s="29" t="n"/>
      <c r="F246" s="26" t="n"/>
      <c r="G246" s="26" t="n"/>
      <c r="H246" s="27" t="n"/>
      <c r="I246" s="27" t="n"/>
      <c r="J246" s="27" t="n"/>
      <c r="K246" s="30" t="n"/>
      <c r="L246" s="26" t="n"/>
      <c r="M246" s="26" t="n"/>
      <c r="N246" s="26" t="n"/>
      <c r="O246" s="28">
        <f>IF($A246="","",IF(OR($G246="TAHSIL",$G246="KAPALI"),0,IF($D246="","",raporTarihi-$D246)))</f>
        <v/>
      </c>
      <c r="P246" s="28">
        <f>IF($A246="","",IF($O246="","",IF($O246&lt;=trv_kovaEsik1,"0-30",IF($O246&lt;=trv_kovaEsik2,"31-60",IF($O246&lt;=trv_kovaEsik3,"61-90","90+")))))</f>
        <v/>
      </c>
      <c r="Q246" s="28">
        <f>IF(OR($A246="",$G246="TAHSIL",$G246="KAPALI"),"",IF($P246="0-30",trv_olasilikK1,IF($P246="31-60",trv_olasilikK2,IF($P246="61-90",trv_olasilikK3,trv_olasilikK4))))</f>
        <v/>
      </c>
      <c r="R246" s="28">
        <f>IF(OR($A246="",$Q246=""),"",$J246*(1-$Q246)*MAX(trv_riskTaban,$K246/100))</f>
        <v/>
      </c>
      <c r="S246" s="28">
        <f>IF($A246="","",IF($B246="","YETİM",IF(COUNTIF(tblKartlar[KartId],$B246)=0,"YETİM","")))</f>
        <v/>
      </c>
      <c r="T246" s="28">
        <f>IF(OR($A246="",$F246=""),"",IF(OR($F246&amp;"|"&amp;$G246="",COUNTIF(ListeIzinliGecis,$F246&amp;"|"&amp;$G246)&gt;0),"","GEÇERSİZ GEÇİŞ"))</f>
        <v/>
      </c>
      <c r="U246" s="28">
        <f>IF($A246="","",IF(OR($G246="TAHSIL",$I246&gt;0),IF(OR($H246="",$I246=""),"",IF(ABS($I246-$H246)&gt;zincirTolerans,"ZİNCİR KIRIK","OK")),"OK"))</f>
        <v/>
      </c>
      <c r="V246" s="28">
        <f>IF($A246="","",1)</f>
        <v/>
      </c>
    </row>
    <row r="247">
      <c r="A247" s="26" t="n"/>
      <c r="B247" s="26" t="n"/>
      <c r="C247" s="26" t="n"/>
      <c r="D247" s="29" t="n"/>
      <c r="E247" s="29" t="n"/>
      <c r="F247" s="26" t="n"/>
      <c r="G247" s="26" t="n"/>
      <c r="H247" s="27" t="n"/>
      <c r="I247" s="27" t="n"/>
      <c r="J247" s="27" t="n"/>
      <c r="K247" s="30" t="n"/>
      <c r="L247" s="26" t="n"/>
      <c r="M247" s="26" t="n"/>
      <c r="N247" s="26" t="n"/>
      <c r="O247" s="28">
        <f>IF($A247="","",IF(OR($G247="TAHSIL",$G247="KAPALI"),0,IF($D247="","",raporTarihi-$D247)))</f>
        <v/>
      </c>
      <c r="P247" s="28">
        <f>IF($A247="","",IF($O247="","",IF($O247&lt;=trv_kovaEsik1,"0-30",IF($O247&lt;=trv_kovaEsik2,"31-60",IF($O247&lt;=trv_kovaEsik3,"61-90","90+")))))</f>
        <v/>
      </c>
      <c r="Q247" s="28">
        <f>IF(OR($A247="",$G247="TAHSIL",$G247="KAPALI"),"",IF($P247="0-30",trv_olasilikK1,IF($P247="31-60",trv_olasilikK2,IF($P247="61-90",trv_olasilikK3,trv_olasilikK4))))</f>
        <v/>
      </c>
      <c r="R247" s="28">
        <f>IF(OR($A247="",$Q247=""),"",$J247*(1-$Q247)*MAX(trv_riskTaban,$K247/100))</f>
        <v/>
      </c>
      <c r="S247" s="28">
        <f>IF($A247="","",IF($B247="","YETİM",IF(COUNTIF(tblKartlar[KartId],$B247)=0,"YETİM","")))</f>
        <v/>
      </c>
      <c r="T247" s="28">
        <f>IF(OR($A247="",$F247=""),"",IF(OR($F247&amp;"|"&amp;$G247="",COUNTIF(ListeIzinliGecis,$F247&amp;"|"&amp;$G247)&gt;0),"","GEÇERSİZ GEÇİŞ"))</f>
        <v/>
      </c>
      <c r="U247" s="28">
        <f>IF($A247="","",IF(OR($G247="TAHSIL",$I247&gt;0),IF(OR($H247="",$I247=""),"",IF(ABS($I247-$H247)&gt;zincirTolerans,"ZİNCİR KIRIK","OK")),"OK"))</f>
        <v/>
      </c>
      <c r="V247" s="28">
        <f>IF($A247="","",1)</f>
        <v/>
      </c>
    </row>
    <row r="248">
      <c r="A248" s="26" t="n"/>
      <c r="B248" s="26" t="n"/>
      <c r="C248" s="26" t="n"/>
      <c r="D248" s="29" t="n"/>
      <c r="E248" s="29" t="n"/>
      <c r="F248" s="26" t="n"/>
      <c r="G248" s="26" t="n"/>
      <c r="H248" s="27" t="n"/>
      <c r="I248" s="27" t="n"/>
      <c r="J248" s="27" t="n"/>
      <c r="K248" s="30" t="n"/>
      <c r="L248" s="26" t="n"/>
      <c r="M248" s="26" t="n"/>
      <c r="N248" s="26" t="n"/>
      <c r="O248" s="28">
        <f>IF($A248="","",IF(OR($G248="TAHSIL",$G248="KAPALI"),0,IF($D248="","",raporTarihi-$D248)))</f>
        <v/>
      </c>
      <c r="P248" s="28">
        <f>IF($A248="","",IF($O248="","",IF($O248&lt;=trv_kovaEsik1,"0-30",IF($O248&lt;=trv_kovaEsik2,"31-60",IF($O248&lt;=trv_kovaEsik3,"61-90","90+")))))</f>
        <v/>
      </c>
      <c r="Q248" s="28">
        <f>IF(OR($A248="",$G248="TAHSIL",$G248="KAPALI"),"",IF($P248="0-30",trv_olasilikK1,IF($P248="31-60",trv_olasilikK2,IF($P248="61-90",trv_olasilikK3,trv_olasilikK4))))</f>
        <v/>
      </c>
      <c r="R248" s="28">
        <f>IF(OR($A248="",$Q248=""),"",$J248*(1-$Q248)*MAX(trv_riskTaban,$K248/100))</f>
        <v/>
      </c>
      <c r="S248" s="28">
        <f>IF($A248="","",IF($B248="","YETİM",IF(COUNTIF(tblKartlar[KartId],$B248)=0,"YETİM","")))</f>
        <v/>
      </c>
      <c r="T248" s="28">
        <f>IF(OR($A248="",$F248=""),"",IF(OR($F248&amp;"|"&amp;$G248="",COUNTIF(ListeIzinliGecis,$F248&amp;"|"&amp;$G248)&gt;0),"","GEÇERSİZ GEÇİŞ"))</f>
        <v/>
      </c>
      <c r="U248" s="28">
        <f>IF($A248="","",IF(OR($G248="TAHSIL",$I248&gt;0),IF(OR($H248="",$I248=""),"",IF(ABS($I248-$H248)&gt;zincirTolerans,"ZİNCİR KIRIK","OK")),"OK"))</f>
        <v/>
      </c>
      <c r="V248" s="28">
        <f>IF($A248="","",1)</f>
        <v/>
      </c>
    </row>
    <row r="249">
      <c r="A249" s="26" t="n"/>
      <c r="B249" s="26" t="n"/>
      <c r="C249" s="26" t="n"/>
      <c r="D249" s="29" t="n"/>
      <c r="E249" s="29" t="n"/>
      <c r="F249" s="26" t="n"/>
      <c r="G249" s="26" t="n"/>
      <c r="H249" s="27" t="n"/>
      <c r="I249" s="27" t="n"/>
      <c r="J249" s="27" t="n"/>
      <c r="K249" s="30" t="n"/>
      <c r="L249" s="26" t="n"/>
      <c r="M249" s="26" t="n"/>
      <c r="N249" s="26" t="n"/>
      <c r="O249" s="28">
        <f>IF($A249="","",IF(OR($G249="TAHSIL",$G249="KAPALI"),0,IF($D249="","",raporTarihi-$D249)))</f>
        <v/>
      </c>
      <c r="P249" s="28">
        <f>IF($A249="","",IF($O249="","",IF($O249&lt;=trv_kovaEsik1,"0-30",IF($O249&lt;=trv_kovaEsik2,"31-60",IF($O249&lt;=trv_kovaEsik3,"61-90","90+")))))</f>
        <v/>
      </c>
      <c r="Q249" s="28">
        <f>IF(OR($A249="",$G249="TAHSIL",$G249="KAPALI"),"",IF($P249="0-30",trv_olasilikK1,IF($P249="31-60",trv_olasilikK2,IF($P249="61-90",trv_olasilikK3,trv_olasilikK4))))</f>
        <v/>
      </c>
      <c r="R249" s="28">
        <f>IF(OR($A249="",$Q249=""),"",$J249*(1-$Q249)*MAX(trv_riskTaban,$K249/100))</f>
        <v/>
      </c>
      <c r="S249" s="28">
        <f>IF($A249="","",IF($B249="","YETİM",IF(COUNTIF(tblKartlar[KartId],$B249)=0,"YETİM","")))</f>
        <v/>
      </c>
      <c r="T249" s="28">
        <f>IF(OR($A249="",$F249=""),"",IF(OR($F249&amp;"|"&amp;$G249="",COUNTIF(ListeIzinliGecis,$F249&amp;"|"&amp;$G249)&gt;0),"","GEÇERSİZ GEÇİŞ"))</f>
        <v/>
      </c>
      <c r="U249" s="28">
        <f>IF($A249="","",IF(OR($G249="TAHSIL",$I249&gt;0),IF(OR($H249="",$I249=""),"",IF(ABS($I249-$H249)&gt;zincirTolerans,"ZİNCİR KIRIK","OK")),"OK"))</f>
        <v/>
      </c>
      <c r="V249" s="28">
        <f>IF($A249="","",1)</f>
        <v/>
      </c>
    </row>
    <row r="250">
      <c r="A250" s="26" t="n"/>
      <c r="B250" s="26" t="n"/>
      <c r="C250" s="26" t="n"/>
      <c r="D250" s="29" t="n"/>
      <c r="E250" s="29" t="n"/>
      <c r="F250" s="26" t="n"/>
      <c r="G250" s="26" t="n"/>
      <c r="H250" s="27" t="n"/>
      <c r="I250" s="27" t="n"/>
      <c r="J250" s="27" t="n"/>
      <c r="K250" s="30" t="n"/>
      <c r="L250" s="26" t="n"/>
      <c r="M250" s="26" t="n"/>
      <c r="N250" s="26" t="n"/>
      <c r="O250" s="28">
        <f>IF($A250="","",IF(OR($G250="TAHSIL",$G250="KAPALI"),0,IF($D250="","",raporTarihi-$D250)))</f>
        <v/>
      </c>
      <c r="P250" s="28">
        <f>IF($A250="","",IF($O250="","",IF($O250&lt;=trv_kovaEsik1,"0-30",IF($O250&lt;=trv_kovaEsik2,"31-60",IF($O250&lt;=trv_kovaEsik3,"61-90","90+")))))</f>
        <v/>
      </c>
      <c r="Q250" s="28">
        <f>IF(OR($A250="",$G250="TAHSIL",$G250="KAPALI"),"",IF($P250="0-30",trv_olasilikK1,IF($P250="31-60",trv_olasilikK2,IF($P250="61-90",trv_olasilikK3,trv_olasilikK4))))</f>
        <v/>
      </c>
      <c r="R250" s="28">
        <f>IF(OR($A250="",$Q250=""),"",$J250*(1-$Q250)*MAX(trv_riskTaban,$K250/100))</f>
        <v/>
      </c>
      <c r="S250" s="28">
        <f>IF($A250="","",IF($B250="","YETİM",IF(COUNTIF(tblKartlar[KartId],$B250)=0,"YETİM","")))</f>
        <v/>
      </c>
      <c r="T250" s="28">
        <f>IF(OR($A250="",$F250=""),"",IF(OR($F250&amp;"|"&amp;$G250="",COUNTIF(ListeIzinliGecis,$F250&amp;"|"&amp;$G250)&gt;0),"","GEÇERSİZ GEÇİŞ"))</f>
        <v/>
      </c>
      <c r="U250" s="28">
        <f>IF($A250="","",IF(OR($G250="TAHSIL",$I250&gt;0),IF(OR($H250="",$I250=""),"",IF(ABS($I250-$H250)&gt;zincirTolerans,"ZİNCİR KIRIK","OK")),"OK"))</f>
        <v/>
      </c>
      <c r="V250" s="28">
        <f>IF($A250="","",1)</f>
        <v/>
      </c>
    </row>
    <row r="251">
      <c r="A251" s="26" t="n"/>
      <c r="B251" s="26" t="n"/>
      <c r="C251" s="26" t="n"/>
      <c r="D251" s="29" t="n"/>
      <c r="E251" s="29" t="n"/>
      <c r="F251" s="26" t="n"/>
      <c r="G251" s="26" t="n"/>
      <c r="H251" s="27" t="n"/>
      <c r="I251" s="27" t="n"/>
      <c r="J251" s="27" t="n"/>
      <c r="K251" s="30" t="n"/>
      <c r="L251" s="26" t="n"/>
      <c r="M251" s="26" t="n"/>
      <c r="N251" s="26" t="n"/>
      <c r="O251" s="28">
        <f>IF($A251="","",IF(OR($G251="TAHSIL",$G251="KAPALI"),0,IF($D251="","",raporTarihi-$D251)))</f>
        <v/>
      </c>
      <c r="P251" s="28">
        <f>IF($A251="","",IF($O251="","",IF($O251&lt;=trv_kovaEsik1,"0-30",IF($O251&lt;=trv_kovaEsik2,"31-60",IF($O251&lt;=trv_kovaEsik3,"61-90","90+")))))</f>
        <v/>
      </c>
      <c r="Q251" s="28">
        <f>IF(OR($A251="",$G251="TAHSIL",$G251="KAPALI"),"",IF($P251="0-30",trv_olasilikK1,IF($P251="31-60",trv_olasilikK2,IF($P251="61-90",trv_olasilikK3,trv_olasilikK4))))</f>
        <v/>
      </c>
      <c r="R251" s="28">
        <f>IF(OR($A251="",$Q251=""),"",$J251*(1-$Q251)*MAX(trv_riskTaban,$K251/100))</f>
        <v/>
      </c>
      <c r="S251" s="28">
        <f>IF($A251="","",IF($B251="","YETİM",IF(COUNTIF(tblKartlar[KartId],$B251)=0,"YETİM","")))</f>
        <v/>
      </c>
      <c r="T251" s="28">
        <f>IF(OR($A251="",$F251=""),"",IF(OR($F251&amp;"|"&amp;$G251="",COUNTIF(ListeIzinliGecis,$F251&amp;"|"&amp;$G251)&gt;0),"","GEÇERSİZ GEÇİŞ"))</f>
        <v/>
      </c>
      <c r="U251" s="28">
        <f>IF($A251="","",IF(OR($G251="TAHSIL",$I251&gt;0),IF(OR($H251="",$I251=""),"",IF(ABS($I251-$H251)&gt;zincirTolerans,"ZİNCİR KIRIK","OK")),"OK"))</f>
        <v/>
      </c>
      <c r="V251" s="28">
        <f>IF($A251="","",1)</f>
        <v/>
      </c>
    </row>
    <row r="252">
      <c r="A252" s="26" t="n"/>
      <c r="B252" s="26" t="n"/>
      <c r="C252" s="26" t="n"/>
      <c r="D252" s="29" t="n"/>
      <c r="E252" s="29" t="n"/>
      <c r="F252" s="26" t="n"/>
      <c r="G252" s="26" t="n"/>
      <c r="H252" s="27" t="n"/>
      <c r="I252" s="27" t="n"/>
      <c r="J252" s="27" t="n"/>
      <c r="K252" s="30" t="n"/>
      <c r="L252" s="26" t="n"/>
      <c r="M252" s="26" t="n"/>
      <c r="N252" s="26" t="n"/>
      <c r="O252" s="28">
        <f>IF($A252="","",IF(OR($G252="TAHSIL",$G252="KAPALI"),0,IF($D252="","",raporTarihi-$D252)))</f>
        <v/>
      </c>
      <c r="P252" s="28">
        <f>IF($A252="","",IF($O252="","",IF($O252&lt;=trv_kovaEsik1,"0-30",IF($O252&lt;=trv_kovaEsik2,"31-60",IF($O252&lt;=trv_kovaEsik3,"61-90","90+")))))</f>
        <v/>
      </c>
      <c r="Q252" s="28">
        <f>IF(OR($A252="",$G252="TAHSIL",$G252="KAPALI"),"",IF($P252="0-30",trv_olasilikK1,IF($P252="31-60",trv_olasilikK2,IF($P252="61-90",trv_olasilikK3,trv_olasilikK4))))</f>
        <v/>
      </c>
      <c r="R252" s="28">
        <f>IF(OR($A252="",$Q252=""),"",$J252*(1-$Q252)*MAX(trv_riskTaban,$K252/100))</f>
        <v/>
      </c>
      <c r="S252" s="28">
        <f>IF($A252="","",IF($B252="","YETİM",IF(COUNTIF(tblKartlar[KartId],$B252)=0,"YETİM","")))</f>
        <v/>
      </c>
      <c r="T252" s="28">
        <f>IF(OR($A252="",$F252=""),"",IF(OR($F252&amp;"|"&amp;$G252="",COUNTIF(ListeIzinliGecis,$F252&amp;"|"&amp;$G252)&gt;0),"","GEÇERSİZ GEÇİŞ"))</f>
        <v/>
      </c>
      <c r="U252" s="28">
        <f>IF($A252="","",IF(OR($G252="TAHSIL",$I252&gt;0),IF(OR($H252="",$I252=""),"",IF(ABS($I252-$H252)&gt;zincirTolerans,"ZİNCİR KIRIK","OK")),"OK"))</f>
        <v/>
      </c>
      <c r="V252" s="28">
        <f>IF($A252="","",1)</f>
        <v/>
      </c>
    </row>
    <row r="253">
      <c r="A253" s="26" t="n"/>
      <c r="B253" s="26" t="n"/>
      <c r="C253" s="26" t="n"/>
      <c r="D253" s="29" t="n"/>
      <c r="E253" s="29" t="n"/>
      <c r="F253" s="26" t="n"/>
      <c r="G253" s="26" t="n"/>
      <c r="H253" s="27" t="n"/>
      <c r="I253" s="27" t="n"/>
      <c r="J253" s="27" t="n"/>
      <c r="K253" s="30" t="n"/>
      <c r="L253" s="26" t="n"/>
      <c r="M253" s="26" t="n"/>
      <c r="N253" s="26" t="n"/>
      <c r="O253" s="28">
        <f>IF($A253="","",IF(OR($G253="TAHSIL",$G253="KAPALI"),0,IF($D253="","",raporTarihi-$D253)))</f>
        <v/>
      </c>
      <c r="P253" s="28">
        <f>IF($A253="","",IF($O253="","",IF($O253&lt;=trv_kovaEsik1,"0-30",IF($O253&lt;=trv_kovaEsik2,"31-60",IF($O253&lt;=trv_kovaEsik3,"61-90","90+")))))</f>
        <v/>
      </c>
      <c r="Q253" s="28">
        <f>IF(OR($A253="",$G253="TAHSIL",$G253="KAPALI"),"",IF($P253="0-30",trv_olasilikK1,IF($P253="31-60",trv_olasilikK2,IF($P253="61-90",trv_olasilikK3,trv_olasilikK4))))</f>
        <v/>
      </c>
      <c r="R253" s="28">
        <f>IF(OR($A253="",$Q253=""),"",$J253*(1-$Q253)*MAX(trv_riskTaban,$K253/100))</f>
        <v/>
      </c>
      <c r="S253" s="28">
        <f>IF($A253="","",IF($B253="","YETİM",IF(COUNTIF(tblKartlar[KartId],$B253)=0,"YETİM","")))</f>
        <v/>
      </c>
      <c r="T253" s="28">
        <f>IF(OR($A253="",$F253=""),"",IF(OR($F253&amp;"|"&amp;$G253="",COUNTIF(ListeIzinliGecis,$F253&amp;"|"&amp;$G253)&gt;0),"","GEÇERSİZ GEÇİŞ"))</f>
        <v/>
      </c>
      <c r="U253" s="28">
        <f>IF($A253="","",IF(OR($G253="TAHSIL",$I253&gt;0),IF(OR($H253="",$I253=""),"",IF(ABS($I253-$H253)&gt;zincirTolerans,"ZİNCİR KIRIK","OK")),"OK"))</f>
        <v/>
      </c>
      <c r="V253" s="28">
        <f>IF($A253="","",1)</f>
        <v/>
      </c>
    </row>
    <row r="254">
      <c r="A254" s="26" t="n"/>
      <c r="B254" s="26" t="n"/>
      <c r="C254" s="26" t="n"/>
      <c r="D254" s="29" t="n"/>
      <c r="E254" s="29" t="n"/>
      <c r="F254" s="26" t="n"/>
      <c r="G254" s="26" t="n"/>
      <c r="H254" s="27" t="n"/>
      <c r="I254" s="27" t="n"/>
      <c r="J254" s="27" t="n"/>
      <c r="K254" s="30" t="n"/>
      <c r="L254" s="26" t="n"/>
      <c r="M254" s="26" t="n"/>
      <c r="N254" s="26" t="n"/>
      <c r="O254" s="28">
        <f>IF($A254="","",IF(OR($G254="TAHSIL",$G254="KAPALI"),0,IF($D254="","",raporTarihi-$D254)))</f>
        <v/>
      </c>
      <c r="P254" s="28">
        <f>IF($A254="","",IF($O254="","",IF($O254&lt;=trv_kovaEsik1,"0-30",IF($O254&lt;=trv_kovaEsik2,"31-60",IF($O254&lt;=trv_kovaEsik3,"61-90","90+")))))</f>
        <v/>
      </c>
      <c r="Q254" s="28">
        <f>IF(OR($A254="",$G254="TAHSIL",$G254="KAPALI"),"",IF($P254="0-30",trv_olasilikK1,IF($P254="31-60",trv_olasilikK2,IF($P254="61-90",trv_olasilikK3,trv_olasilikK4))))</f>
        <v/>
      </c>
      <c r="R254" s="28">
        <f>IF(OR($A254="",$Q254=""),"",$J254*(1-$Q254)*MAX(trv_riskTaban,$K254/100))</f>
        <v/>
      </c>
      <c r="S254" s="28">
        <f>IF($A254="","",IF($B254="","YETİM",IF(COUNTIF(tblKartlar[KartId],$B254)=0,"YETİM","")))</f>
        <v/>
      </c>
      <c r="T254" s="28">
        <f>IF(OR($A254="",$F254=""),"",IF(OR($F254&amp;"|"&amp;$G254="",COUNTIF(ListeIzinliGecis,$F254&amp;"|"&amp;$G254)&gt;0),"","GEÇERSİZ GEÇİŞ"))</f>
        <v/>
      </c>
      <c r="U254" s="28">
        <f>IF($A254="","",IF(OR($G254="TAHSIL",$I254&gt;0),IF(OR($H254="",$I254=""),"",IF(ABS($I254-$H254)&gt;zincirTolerans,"ZİNCİR KIRIK","OK")),"OK"))</f>
        <v/>
      </c>
      <c r="V254" s="28">
        <f>IF($A254="","",1)</f>
        <v/>
      </c>
    </row>
    <row r="255">
      <c r="A255" s="26" t="n"/>
      <c r="B255" s="26" t="n"/>
      <c r="C255" s="26" t="n"/>
      <c r="D255" s="29" t="n"/>
      <c r="E255" s="29" t="n"/>
      <c r="F255" s="26" t="n"/>
      <c r="G255" s="26" t="n"/>
      <c r="H255" s="27" t="n"/>
      <c r="I255" s="27" t="n"/>
      <c r="J255" s="27" t="n"/>
      <c r="K255" s="30" t="n"/>
      <c r="L255" s="26" t="n"/>
      <c r="M255" s="26" t="n"/>
      <c r="N255" s="26" t="n"/>
      <c r="O255" s="28">
        <f>IF($A255="","",IF(OR($G255="TAHSIL",$G255="KAPALI"),0,IF($D255="","",raporTarihi-$D255)))</f>
        <v/>
      </c>
      <c r="P255" s="28">
        <f>IF($A255="","",IF($O255="","",IF($O255&lt;=trv_kovaEsik1,"0-30",IF($O255&lt;=trv_kovaEsik2,"31-60",IF($O255&lt;=trv_kovaEsik3,"61-90","90+")))))</f>
        <v/>
      </c>
      <c r="Q255" s="28">
        <f>IF(OR($A255="",$G255="TAHSIL",$G255="KAPALI"),"",IF($P255="0-30",trv_olasilikK1,IF($P255="31-60",trv_olasilikK2,IF($P255="61-90",trv_olasilikK3,trv_olasilikK4))))</f>
        <v/>
      </c>
      <c r="R255" s="28">
        <f>IF(OR($A255="",$Q255=""),"",$J255*(1-$Q255)*MAX(trv_riskTaban,$K255/100))</f>
        <v/>
      </c>
      <c r="S255" s="28">
        <f>IF($A255="","",IF($B255="","YETİM",IF(COUNTIF(tblKartlar[KartId],$B255)=0,"YETİM","")))</f>
        <v/>
      </c>
      <c r="T255" s="28">
        <f>IF(OR($A255="",$F255=""),"",IF(OR($F255&amp;"|"&amp;$G255="",COUNTIF(ListeIzinliGecis,$F255&amp;"|"&amp;$G255)&gt;0),"","GEÇERSİZ GEÇİŞ"))</f>
        <v/>
      </c>
      <c r="U255" s="28">
        <f>IF($A255="","",IF(OR($G255="TAHSIL",$I255&gt;0),IF(OR($H255="",$I255=""),"",IF(ABS($I255-$H255)&gt;zincirTolerans,"ZİNCİR KIRIK","OK")),"OK"))</f>
        <v/>
      </c>
      <c r="V255" s="28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V1"/>
    <mergeCell ref="A3:V3"/>
  </mergeCells>
  <conditionalFormatting sqref="S6:S255">
    <cfRule type="cellIs" priority="1" operator="equal" dxfId="2">
      <formula>"YETİM"</formula>
    </cfRule>
  </conditionalFormatting>
  <conditionalFormatting sqref="T6:T255">
    <cfRule type="cellIs" priority="2" operator="equal" dxfId="2">
      <formula>"GEÇERSİZ GEÇİŞ"</formula>
    </cfRule>
  </conditionalFormatting>
  <conditionalFormatting sqref="U6:U25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G6:G255">
    <cfRule type="cellIs" priority="5" operator="equal" dxfId="1">
      <formula>"HATIRLATMA"</formula>
    </cfRule>
    <cfRule type="cellIs" priority="6" operator="equal" dxfId="4">
      <formula>"IHTAR"</formula>
    </cfRule>
    <cfRule type="cellIs" priority="7" operator="equal" dxfId="3">
      <formula>"TAHSIL"</formula>
    </cfRule>
  </conditionalFormatting>
  <dataValidations count="12">
    <dataValidation sqref="A6:A255" showDropDown="0" showInputMessage="1" showErrorMessage="1" allowBlank="1" errorTitle="Kimlik" error="Boş olamaz" promptTitle="İşlem Kimliği" prompt="FAT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Fatura" error="Geçersiz" promptTitle="Fatura No" prompt="Fatura numarası" type="textLength" errorStyle="stop" operator="greaterThanOrEqual">
      <formula1>0</formula1>
      <formula2>40</formula2>
    </dataValidation>
    <dataValidation sqref="D6:D255" showDropDown="0" showInputMessage="1" showErrorMessage="1" allowBlank="1" errorTitle="Tarih" error="Geçerli tarih" promptTitle="Vade" prompt="Vade tarihi" type="date" errorStyle="stop" operator="greaterThan">
      <formula1>1</formula1>
    </dataValidation>
    <dataValidation sqref="E6:E255" showDropDown="0" showInputMessage="1" showErrorMessage="1" allowBlank="1" errorTitle="Tarih" error="Geçerli tarih" promptTitle="Ödeme" prompt="Ödeme tarihi (opsiyonel)" type="date" errorStyle="stop" operator="greaterThan">
      <formula1>1</formula1>
    </dataValidation>
    <dataValidation sqref="F6:F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G6:G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H6:H255" showDropDown="0" showInputMessage="1" showErrorMessage="1" allowBlank="1" errorTitle="Fatura" error="0 veya üzeri" promptTitle="Fatura" prompt="Fatura ≥ 0" type="decimal" errorStyle="stop" operator="greaterThanOrEqual">
      <formula1>0</formula1>
    </dataValidation>
    <dataValidation sqref="I6:I255" showDropDown="0" showInputMessage="1" showErrorMessage="1" allowBlank="1" errorTitle="Ödeme" error="0 veya üzeri" promptTitle="Ödeme" prompt="Ödeme ≥ 0" type="decimal" errorStyle="stop" operator="greaterThanOrEqual">
      <formula1>0</formula1>
    </dataValidation>
    <dataValidation sqref="J6:J25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K6:K255" showDropDown="0" showInputMessage="1" showErrorMessage="1" allowBlank="1" errorTitle="Risk" error="0-100 arası" promptTitle="Risk" prompt="0-100" type="whole" errorStyle="stop" operator="between">
      <formula1>0</formula1>
      <formula2>100</formula2>
    </dataValidation>
    <dataValidation sqref="M6:M255" showDropDown="0" showInputMessage="1" showErrorMessage="1" allowBlank="1" errorTitle="Liste" error="A veya B" promptTitle="Yorum A" prompt="A veya B" type="list" errorStyle="stop">
      <formula1>ListeYorumAB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44.5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KUYRUKLAR — Tahsilat Riski &amp; Vade Komuta Paneli</t>
        </is>
      </c>
    </row>
    <row r="2"/>
    <row r="3" ht="22" customHeight="1">
      <c r="A3" s="198" t="inlineStr">
        <is>
          <t>Durum bazlı canlı kuyruk — kapalı kayıtlar düşer</t>
        </is>
      </c>
    </row>
    <row r="4"/>
    <row r="5">
      <c r="A5" s="31" t="inlineStr">
        <is>
          <t>Kuyruk</t>
        </is>
      </c>
      <c r="B5" s="31" t="inlineStr">
        <is>
          <t>Adet</t>
        </is>
      </c>
      <c r="C5" s="31" t="inlineStr">
        <is>
          <t>Tutar</t>
        </is>
      </c>
    </row>
    <row r="6">
      <c r="A6" s="7" t="inlineStr">
        <is>
          <t>Kuyruk Açık</t>
        </is>
      </c>
      <c r="B6" s="20">
        <f>COUNTIFS(tblAkis[Durum],"ACIK",tblAkis[Tutar],"&gt;0")</f>
        <v/>
      </c>
      <c r="C6" s="21">
        <f>SUMIFS(tblAkis[Tutar],tblAkis[Durum],"ACIK")</f>
        <v/>
      </c>
    </row>
    <row r="7">
      <c r="A7" s="7" t="inlineStr">
        <is>
          <t>Kuyruk Hatırlatma</t>
        </is>
      </c>
      <c r="B7" s="20">
        <f>COUNTIFS(tblAkis[Durum],"HATIRLATMA",tblAkis[Tutar],"&gt;0")</f>
        <v/>
      </c>
      <c r="C7" s="21">
        <f>SUMIFS(tblAkis[Tutar],tblAkis[Durum],"HATIRLATMA")</f>
        <v/>
      </c>
    </row>
    <row r="8">
      <c r="A8" s="7" t="inlineStr">
        <is>
          <t>Kuyruk İhtar</t>
        </is>
      </c>
      <c r="B8" s="20">
        <f>COUNTIFS(tblAkis[Durum],"IHTAR",tblAkis[Tutar],"&gt;0")</f>
        <v/>
      </c>
      <c r="C8" s="21">
        <f>SUMIFS(tblAkis[Tutar],tblAkis[Durum],"IHTAR")</f>
        <v/>
      </c>
    </row>
    <row r="9">
      <c r="A9" s="7" t="inlineStr">
        <is>
          <t>Geciken (açık, yaş&gt;eşik)</t>
        </is>
      </c>
      <c r="B9" s="20">
        <f>COUNTIFS(tblAkis[GecikmeGun],"&gt;"&amp;trv_esikGecikmeGun,tblAkis[Durum],"&lt;&gt;TAHSIL",tblAkis[Durum],"&lt;&gt;KAPALI",tblAkis[Tutar],"&gt;0")</f>
        <v/>
      </c>
      <c r="C9" s="21">
        <f>SUMIFS(tblAkis[Tutar],tblAkis[GecikmeGun],"&gt;"&amp;trv_esikGecikmeGun,tblAkis[Durum],"&lt;&gt;TAHSIL",tblAkis[Durum],"&lt;&gt;KAPALI")</f>
        <v/>
      </c>
    </row>
    <row r="10"/>
    <row r="11">
      <c r="A11" s="16" t="inlineStr">
        <is>
          <t>Kapalı (Tahsil+Kapalı) — kuyruktan düşer</t>
        </is>
      </c>
    </row>
    <row r="12">
      <c r="A12" s="7" t="inlineStr">
        <is>
          <t>Tahsil</t>
        </is>
      </c>
      <c r="B12" s="20">
        <f>COUNTIF(tblAkis[Durum],"TAHSIL")</f>
        <v/>
      </c>
      <c r="C12" s="21">
        <f>SUMIF(tblAkis[Durum],"TAHSIL",tblAkis[OdemeTutari])</f>
        <v/>
      </c>
    </row>
    <row r="13">
      <c r="A13" s="7" t="inlineStr">
        <is>
          <t>Kapalı</t>
        </is>
      </c>
      <c r="B13" s="20">
        <f>COUNTIF(tblAkis[Durum],"KAPALI")</f>
        <v/>
      </c>
      <c r="C13" s="21">
        <f>SUMIF(tblAkis[Durum],"KAPALI",tblAkis[Tutar])</f>
        <v/>
      </c>
    </row>
    <row r="14"/>
    <row r="15">
      <c r="A15" s="24" t="inlineStr">
        <is>
          <t>Kuyruk Özeti</t>
        </is>
      </c>
      <c r="B15" s="8">
        <f>trv_kuyrukOzeti</f>
        <v/>
      </c>
    </row>
    <row r="16"/>
    <row r="17">
      <c r="A17" s="16" t="inlineStr">
        <is>
          <t>Yaş Kova Dağılımı</t>
        </is>
      </c>
    </row>
    <row r="18">
      <c r="A18" s="7" t="inlineStr">
        <is>
          <t>0-30</t>
        </is>
      </c>
      <c r="B18" s="20">
        <f>COUNTIF(tblAkis[YasKova],"0-30")</f>
        <v/>
      </c>
      <c r="C18" s="21">
        <f>SUMIF(tblAkis[YasKova],"0-30",tblAkis[Tutar])</f>
        <v/>
      </c>
    </row>
    <row r="19">
      <c r="A19" s="7" t="inlineStr">
        <is>
          <t>31-60</t>
        </is>
      </c>
      <c r="B19" s="20">
        <f>COUNTIF(tblAkis[YasKova],"31-60")</f>
        <v/>
      </c>
      <c r="C19" s="21">
        <f>SUMIF(tblAkis[YasKova],"31-60",tblAkis[Tutar])</f>
        <v/>
      </c>
    </row>
    <row r="20">
      <c r="A20" s="7" t="inlineStr">
        <is>
          <t>61-90</t>
        </is>
      </c>
      <c r="B20" s="20">
        <f>COUNTIF(tblAkis[YasKova],"61-90")</f>
        <v/>
      </c>
      <c r="C20" s="21">
        <f>SUMIF(tblAkis[YasKova],"61-90",tblAkis[Tutar])</f>
        <v/>
      </c>
    </row>
    <row r="21">
      <c r="A21" s="7" t="inlineStr">
        <is>
          <t>90+</t>
        </is>
      </c>
      <c r="B21" s="20">
        <f>COUNTIF(tblAkis[YasKova],"90+")</f>
        <v/>
      </c>
      <c r="C21" s="21">
        <f>SUMIF(tblAkis[YasKova],"90+",tblAkis[Tutar])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5:F15"/>
    <mergeCell ref="A3:I3"/>
  </mergeCells>
  <conditionalFormatting sqref="B6">
    <cfRule type="cellIs" priority="1" operator="greaterThan" dxfId="1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1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1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1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8">
    <cfRule type="cellIs" priority="9" operator="greaterThan" dxfId="3">
      <formula>0</formula>
    </cfRule>
  </conditionalFormatting>
  <conditionalFormatting sqref="B19">
    <cfRule type="cellIs" priority="10" operator="greaterThan" dxfId="3">
      <formula>0</formula>
    </cfRule>
  </conditionalFormatting>
  <conditionalFormatting sqref="B20">
    <cfRule type="cellIs" priority="11" operator="greaterThan" dxfId="3">
      <formula>0</formula>
    </cfRule>
  </conditionalFormatting>
  <conditionalFormatting sqref="B21">
    <cfRule type="cellIs" priority="12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I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HESAP — Tahsilat Riski &amp; Vade Komuta Paneli</t>
        </is>
      </c>
    </row>
    <row r="2"/>
    <row r="3" ht="22" customHeight="1">
      <c r="A3" s="198" t="inlineStr">
        <is>
          <t>Hesap motoru — ≥40 adım; sabitler AYARLAR'dan</t>
        </is>
      </c>
    </row>
    <row r="4"/>
    <row r="5">
      <c r="A5" s="31" t="inlineStr">
        <is>
          <t>Adım</t>
        </is>
      </c>
      <c r="B5" s="31" t="inlineStr">
        <is>
          <t>Açıklama</t>
        </is>
      </c>
      <c r="C5" s="31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2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3">
        <f>SUM(tblAkis[KayitDolu])</f>
        <v/>
      </c>
    </row>
    <row r="8">
      <c r="A8" s="7" t="inlineStr">
        <is>
          <t>H03</t>
        </is>
      </c>
      <c r="B8" s="7" t="inlineStr">
        <is>
          <t>Toplam açık tutar</t>
        </is>
      </c>
      <c r="C8" s="32">
        <f>SUM(tblAkis[Tutar])</f>
        <v/>
      </c>
    </row>
    <row r="9">
      <c r="A9" s="7" t="inlineStr">
        <is>
          <t>H04</t>
        </is>
      </c>
      <c r="B9" s="7" t="inlineStr">
        <is>
          <t>Fatura toplam</t>
        </is>
      </c>
      <c r="C9" s="32">
        <f>SUM(tblAkis[FaturaTutari])</f>
        <v/>
      </c>
    </row>
    <row r="10">
      <c r="A10" s="7" t="inlineStr">
        <is>
          <t>H05</t>
        </is>
      </c>
      <c r="B10" s="7" t="inlineStr">
        <is>
          <t>Ödeme toplam</t>
        </is>
      </c>
      <c r="C10" s="32">
        <f>SUM(tblAkis[OdemeTutari])</f>
        <v/>
      </c>
    </row>
    <row r="11">
      <c r="A11" s="7" t="inlineStr">
        <is>
          <t>H06</t>
        </is>
      </c>
      <c r="B11" s="7" t="inlineStr">
        <is>
          <t>Açık adet</t>
        </is>
      </c>
      <c r="C11" s="33">
        <f>COUNTIF(tblAkis[Durum],"ACIK")</f>
        <v/>
      </c>
    </row>
    <row r="12">
      <c r="A12" s="7" t="inlineStr">
        <is>
          <t>H07</t>
        </is>
      </c>
      <c r="B12" s="7" t="inlineStr">
        <is>
          <t>Hatırlatma adet</t>
        </is>
      </c>
      <c r="C12" s="33">
        <f>COUNTIF(tblAkis[Durum],"HATIRLATMA")</f>
        <v/>
      </c>
    </row>
    <row r="13">
      <c r="A13" s="7" t="inlineStr">
        <is>
          <t>H08</t>
        </is>
      </c>
      <c r="B13" s="7" t="inlineStr">
        <is>
          <t>İhtar adet</t>
        </is>
      </c>
      <c r="C13" s="33">
        <f>COUNTIF(tblAkis[Durum],"IHTAR")</f>
        <v/>
      </c>
    </row>
    <row r="14">
      <c r="A14" s="7" t="inlineStr">
        <is>
          <t>H09</t>
        </is>
      </c>
      <c r="B14" s="7" t="inlineStr">
        <is>
          <t>Tahsil adet</t>
        </is>
      </c>
      <c r="C14" s="33">
        <f>COUNTIF(tblAkis[Durum],"TAHSIL")</f>
        <v/>
      </c>
    </row>
    <row r="15">
      <c r="A15" s="7" t="inlineStr">
        <is>
          <t>H10</t>
        </is>
      </c>
      <c r="B15" s="7" t="inlineStr">
        <is>
          <t>Kapalı adet</t>
        </is>
      </c>
      <c r="C15" s="33">
        <f>COUNTIF(tblAkis[Durum],"KAPALI")</f>
        <v/>
      </c>
    </row>
    <row r="16">
      <c r="A16" s="7" t="inlineStr">
        <is>
          <t>H11</t>
        </is>
      </c>
      <c r="B16" s="7" t="inlineStr">
        <is>
          <t>Açık kuyruk adet</t>
        </is>
      </c>
      <c r="C16" s="33">
        <f>C11+C12+C13</f>
        <v/>
      </c>
    </row>
    <row r="17">
      <c r="A17" s="7" t="inlineStr">
        <is>
          <t>H12</t>
        </is>
      </c>
      <c r="B17" s="7" t="inlineStr">
        <is>
          <t>Kapalı düşüm adet</t>
        </is>
      </c>
      <c r="C17" s="33">
        <f>C14+C15</f>
        <v/>
      </c>
    </row>
    <row r="18">
      <c r="A18" s="7" t="inlineStr">
        <is>
          <t>H13</t>
        </is>
      </c>
      <c r="B18" s="7" t="inlineStr">
        <is>
          <t>Açık tutar kuyruk</t>
        </is>
      </c>
      <c r="C18" s="32">
        <f>SUMIF(tblAkis[Durum],"ACIK",tblAkis[Tutar])+SUMIF(tblAkis[Durum],"HATIRLATMA",tblAkis[Tutar])+SUMIF(tblAkis[Durum],"IHTAR",tblAkis[Tutar])</f>
        <v/>
      </c>
    </row>
    <row r="19">
      <c r="A19" s="7" t="inlineStr">
        <is>
          <t>H14</t>
        </is>
      </c>
      <c r="B19" s="7" t="inlineStr">
        <is>
          <t>Yetim adet</t>
        </is>
      </c>
      <c r="C19" s="33">
        <f>COUNTIF(tblAkis[YetimBayrak],"YETİM")</f>
        <v/>
      </c>
    </row>
    <row r="20">
      <c r="A20" s="7" t="inlineStr">
        <is>
          <t>H15</t>
        </is>
      </c>
      <c r="B20" s="7" t="inlineStr">
        <is>
          <t>Geçersiz geçiş</t>
        </is>
      </c>
      <c r="C20" s="33">
        <f>COUNTIF(tblAkis[GecisUyarisi],"GEÇERSİZ GEÇİŞ")</f>
        <v/>
      </c>
    </row>
    <row r="21">
      <c r="A21" s="7" t="inlineStr">
        <is>
          <t>H16</t>
        </is>
      </c>
      <c r="B21" s="7" t="inlineStr">
        <is>
          <t>Zincir kırık</t>
        </is>
      </c>
      <c r="C21" s="33">
        <f>COUNTIF(tblAkis[ZincirBayrak],"ZİNCİR KIRIK")</f>
        <v/>
      </c>
    </row>
    <row r="22">
      <c r="A22" s="7" t="inlineStr">
        <is>
          <t>H17</t>
        </is>
      </c>
      <c r="B22" s="7" t="inlineStr">
        <is>
          <t>Zincir OK</t>
        </is>
      </c>
      <c r="C22" s="33">
        <f>COUNTIF(tblAkis[ZincirBayrak],"OK")</f>
        <v/>
      </c>
    </row>
    <row r="23">
      <c r="A23" s="7" t="inlineStr">
        <is>
          <t>H18</t>
        </is>
      </c>
      <c r="B23" s="7" t="inlineStr">
        <is>
          <t>Yaş 0-30</t>
        </is>
      </c>
      <c r="C23" s="33">
        <f>COUNTIF(tblAkis[YasKova],"0-30")</f>
        <v/>
      </c>
    </row>
    <row r="24">
      <c r="A24" s="7" t="inlineStr">
        <is>
          <t>H19</t>
        </is>
      </c>
      <c r="B24" s="7" t="inlineStr">
        <is>
          <t>Yaş 31-60</t>
        </is>
      </c>
      <c r="C24" s="33">
        <f>COUNTIF(tblAkis[YasKova],"31-60")</f>
        <v/>
      </c>
    </row>
    <row r="25">
      <c r="A25" s="7" t="inlineStr">
        <is>
          <t>H20</t>
        </is>
      </c>
      <c r="B25" s="7" t="inlineStr">
        <is>
          <t>Yaş 61-90</t>
        </is>
      </c>
      <c r="C25" s="33">
        <f>COUNTIF(tblAkis[YasKova],"61-90")</f>
        <v/>
      </c>
    </row>
    <row r="26">
      <c r="A26" s="7" t="inlineStr">
        <is>
          <t>H21</t>
        </is>
      </c>
      <c r="B26" s="7" t="inlineStr">
        <is>
          <t>Yaş 90+</t>
        </is>
      </c>
      <c r="C26" s="33">
        <f>COUNTIF(tblAkis[YasKova],"90+")</f>
        <v/>
      </c>
    </row>
    <row r="27">
      <c r="A27" s="7" t="inlineStr">
        <is>
          <t>H22</t>
        </is>
      </c>
      <c r="B27" s="7" t="inlineStr">
        <is>
          <t>Ort gecikme gün</t>
        </is>
      </c>
      <c r="C27" s="66">
        <f>IFERROR(AVERAGEIF(tblAkis[KayitDolu],1,tblAkis[GecikmeGun]),0)</f>
        <v/>
      </c>
    </row>
    <row r="28">
      <c r="A28" s="7" t="inlineStr">
        <is>
          <t>H23</t>
        </is>
      </c>
      <c r="B28" s="7" t="inlineStr">
        <is>
          <t>Geciken adet</t>
        </is>
      </c>
      <c r="C28" s="33">
        <f>COUNTIFS(tblAkis[GecikmeGun],"&gt;"&amp;trv_esikGecikmeGun,tblAkis[Durum],"&lt;&gt;TAHSIL",tblAkis[Durum],"&lt;&gt;KAPALI",tblAkis[Tutar],"&gt;0")</f>
        <v/>
      </c>
    </row>
    <row r="29">
      <c r="A29" s="7" t="inlineStr">
        <is>
          <t>H24</t>
        </is>
      </c>
      <c r="B29" s="7" t="inlineStr">
        <is>
          <t>Geciken tutar</t>
        </is>
      </c>
      <c r="C29" s="32">
        <f>SUMIFS(tblAkis[Tutar],tblAkis[GecikmeGun],"&gt;"&amp;trv_esikGecikmeGun,tblAkis[Durum],"&lt;&gt;TAHSIL",tblAkis[Durum],"&lt;&gt;KAPALI")</f>
        <v/>
      </c>
    </row>
    <row r="30">
      <c r="A30" s="7" t="inlineStr">
        <is>
          <t>H25</t>
        </is>
      </c>
      <c r="B30" s="7" t="inlineStr">
        <is>
          <t>Beklenen kayıp</t>
        </is>
      </c>
      <c r="C30" s="32">
        <f>IFERROR(SUMIF(tblAkis[KayitDolu],1,tblAkis[BeklenenKayip]),0)</f>
        <v/>
      </c>
    </row>
    <row r="31">
      <c r="A31" s="7" t="inlineStr">
        <is>
          <t>H26</t>
        </is>
      </c>
      <c r="B31" s="7" t="inlineStr">
        <is>
          <t>İcra hazırlık adet</t>
        </is>
      </c>
      <c r="C31" s="35">
        <f>COUNTIFS(tblAkis[Durum],"IHTAR",tblAkis[Tutar],"&gt;0")+COUNTIFS(tblAkis[YasKova],"90+",tblAkis[Durum],"&lt;&gt;TAHSIL",tblAkis[Durum],"&lt;&gt;KAPALI")</f>
        <v/>
      </c>
    </row>
    <row r="32">
      <c r="A32" s="7" t="inlineStr">
        <is>
          <t>H27</t>
        </is>
      </c>
      <c r="B32" s="7" t="inlineStr">
        <is>
          <t>Tahsilat ort olasılık</t>
        </is>
      </c>
      <c r="C32" s="35">
        <f>IFERROR(AVERAGEIF(tblAkis[KayitDolu],1,tblAkis[TahsilatOlasilik]),0)</f>
        <v/>
      </c>
    </row>
    <row r="33">
      <c r="A33" s="7" t="inlineStr">
        <is>
          <t>H28</t>
        </is>
      </c>
      <c r="B33" s="7" t="inlineStr">
        <is>
          <t>Tahsilat sapma</t>
        </is>
      </c>
      <c r="C33" s="33">
        <f>C9-C10</f>
        <v/>
      </c>
    </row>
    <row r="34">
      <c r="A34" s="7" t="inlineStr">
        <is>
          <t>H29</t>
        </is>
      </c>
      <c r="B34" s="7" t="inlineStr">
        <is>
          <t>Temkinli senaryo</t>
        </is>
      </c>
      <c r="C34" s="32">
        <f>C18*trv_senaryoTemkinli</f>
        <v/>
      </c>
    </row>
    <row r="35">
      <c r="A35" s="7" t="inlineStr">
        <is>
          <t>H30</t>
        </is>
      </c>
      <c r="B35" s="7" t="inlineStr">
        <is>
          <t>Baz senaryo</t>
        </is>
      </c>
      <c r="C35" s="32">
        <f>C18*trv_senaryoBaz</f>
        <v/>
      </c>
    </row>
    <row r="36">
      <c r="A36" s="7" t="inlineStr">
        <is>
          <t>H31</t>
        </is>
      </c>
      <c r="B36" s="7" t="inlineStr">
        <is>
          <t>İyimser senaryo</t>
        </is>
      </c>
      <c r="C36" s="32">
        <f>C18*trv_senaryoIyimser</f>
        <v/>
      </c>
    </row>
    <row r="37">
      <c r="A37" s="7" t="inlineStr">
        <is>
          <t>H32</t>
        </is>
      </c>
      <c r="B37" s="7" t="inlineStr">
        <is>
          <t>Senaryo farkı</t>
        </is>
      </c>
      <c r="C37" s="32">
        <f>C36-C34</f>
        <v/>
      </c>
    </row>
    <row r="38">
      <c r="A38" s="7" t="inlineStr">
        <is>
          <t>H33</t>
        </is>
      </c>
      <c r="B38" s="7" t="inlineStr">
        <is>
          <t>Tornado (oran×tutar)</t>
        </is>
      </c>
      <c r="C38" s="35">
        <f>C18*trv_tornadoOran</f>
        <v/>
      </c>
    </row>
    <row r="39">
      <c r="A39" s="7" t="inlineStr">
        <is>
          <t>H34</t>
        </is>
      </c>
      <c r="B39" s="7" t="inlineStr">
        <is>
          <t>HHI proxy</t>
        </is>
      </c>
      <c r="C39" s="35">
        <f>IFERROR((MAX(C11,C12,C13)/MAX(C16,1))^2,0)</f>
        <v/>
      </c>
    </row>
    <row r="40">
      <c r="A40" s="7" t="inlineStr">
        <is>
          <t>H35</t>
        </is>
      </c>
      <c r="B40" s="7" t="inlineStr">
        <is>
          <t>Kalite skoru</t>
        </is>
      </c>
      <c r="C40" s="33">
        <f>IF(C6=0,0,MAX(0,100-C19*10-C20*10-C21*10-C28*2))</f>
        <v/>
      </c>
    </row>
    <row r="41">
      <c r="A41" s="7" t="inlineStr">
        <is>
          <t>H36</t>
        </is>
      </c>
      <c r="B41" s="7" t="inlineStr">
        <is>
          <t>Tahmin PERCENTILE</t>
        </is>
      </c>
      <c r="C41" s="32">
        <f>IFERROR(_xlfn.PERCENTILE.INC(tblAkis[Tutar],trv_yuzdelikOran),0)</f>
        <v/>
      </c>
    </row>
    <row r="42">
      <c r="A42" s="7" t="inlineStr">
        <is>
          <t>H37</t>
        </is>
      </c>
      <c r="B42" s="7" t="inlineStr">
        <is>
          <t>Tahmin FORECAST</t>
        </is>
      </c>
      <c r="C42" s="32">
        <f>IFERROR(FORECAST(COUNTA(tblAkis[IslemId])+1,tblAkis[Tutar],tblAkis[KayitDolu]),C41)</f>
        <v/>
      </c>
    </row>
    <row r="43">
      <c r="A43" s="7" t="inlineStr">
        <is>
          <t>H38</t>
        </is>
      </c>
      <c r="B43" s="7" t="inlineStr">
        <is>
          <t>Tahmin aralık</t>
        </is>
      </c>
      <c r="C43" s="32">
        <f>IFERROR((C41+C42)/2,0)</f>
        <v/>
      </c>
    </row>
    <row r="44">
      <c r="A44" s="7" t="inlineStr">
        <is>
          <t>H39</t>
        </is>
      </c>
      <c r="B44" s="7" t="inlineStr">
        <is>
          <t>P90 yüzdelik</t>
        </is>
      </c>
      <c r="C44" s="32">
        <f>IFERROR(_xlfn.PERCENTILE.INC(tblAkis[FaturaTutari],trv_yuzdelikOran),0)</f>
        <v/>
      </c>
    </row>
    <row r="45">
      <c r="A45" s="7" t="inlineStr">
        <is>
          <t>H40</t>
        </is>
      </c>
      <c r="B45" s="7" t="inlineStr">
        <is>
          <t>Kart sayısı</t>
        </is>
      </c>
      <c r="C45" s="33">
        <f>COUNTA(tblKartlar[KartId])</f>
        <v/>
      </c>
    </row>
    <row r="46">
      <c r="A46" s="7" t="inlineStr">
        <is>
          <t>H41</t>
        </is>
      </c>
      <c r="B46" s="7" t="inlineStr">
        <is>
          <t>Limit toplam</t>
        </is>
      </c>
      <c r="C46" s="32">
        <f>SUM(tblKartlar[LimitTl])</f>
        <v/>
      </c>
    </row>
    <row r="47">
      <c r="A47" s="7" t="inlineStr">
        <is>
          <t>H42</t>
        </is>
      </c>
      <c r="B47" s="7" t="inlineStr">
        <is>
          <t>Limit kullanım oranı</t>
        </is>
      </c>
      <c r="C47" s="35">
        <f>IFERROR(C18/MAX(C46,1),0)</f>
        <v/>
      </c>
    </row>
    <row r="48">
      <c r="A48" s="7" t="inlineStr">
        <is>
          <t>H43</t>
        </is>
      </c>
      <c r="B48" s="7" t="inlineStr">
        <is>
          <t>Kuyruk özeti metin</t>
        </is>
      </c>
      <c r="C48" s="24">
        <f>_xlfn.TEXTJOIN(" | ",TRUE,"Açık",C11,"Hatırlatma",C12,"İhtar",C13,"Geciken",C28)</f>
        <v/>
      </c>
    </row>
    <row r="49">
      <c r="A49" s="7" t="inlineStr">
        <is>
          <t>H44</t>
        </is>
      </c>
      <c r="B49" s="7" t="inlineStr">
        <is>
          <t>Yaş kova metin</t>
        </is>
      </c>
      <c r="C49" s="24">
        <f>_xlfn.TEXTJOIN("/",TRUE,C23,C24,C25,C26)</f>
        <v/>
      </c>
    </row>
    <row r="50">
      <c r="A50" s="7" t="inlineStr">
        <is>
          <t>H45</t>
        </is>
      </c>
      <c r="B50" s="7" t="inlineStr">
        <is>
          <t>Senaryo motor özet</t>
        </is>
      </c>
      <c r="C50" s="24">
        <f>_xlfn.TEXTJOIN(" | ",TRUE,"Temkinli",C34,"Baz",C35,"İyimser",C36)</f>
        <v/>
      </c>
    </row>
    <row r="51">
      <c r="A51" s="7" t="inlineStr">
        <is>
          <t>H46</t>
        </is>
      </c>
      <c r="B51" s="7" t="inlineStr">
        <is>
          <t>Veri hazırlık</t>
        </is>
      </c>
      <c r="C51" s="35">
        <f>IF(C6=0,0,C7/MAX(C6,1))</f>
        <v/>
      </c>
    </row>
    <row r="52"/>
    <row r="53"/>
    <row r="54"/>
    <row r="55">
      <c r="A55" s="31" t="inlineStr">
        <is>
          <t>Senaryo</t>
        </is>
      </c>
      <c r="B55" s="31" t="inlineStr">
        <is>
          <t>Çarpan</t>
        </is>
      </c>
      <c r="C55" s="31" t="inlineStr">
        <is>
          <t>Sonuç</t>
        </is>
      </c>
    </row>
    <row r="56">
      <c r="A56" s="7" t="inlineStr">
        <is>
          <t>Temkinli</t>
        </is>
      </c>
      <c r="B56" s="36">
        <f>trv_senaryoTemkinli*IF(COUNTA(tblAkis[IslemId])&gt;=0,1,1)</f>
        <v/>
      </c>
      <c r="C56" s="21">
        <f>C34</f>
        <v/>
      </c>
    </row>
    <row r="57">
      <c r="A57" s="7" t="inlineStr">
        <is>
          <t>Baz</t>
        </is>
      </c>
      <c r="B57" s="36">
        <f>trv_senaryoBaz*IF(COUNTA(tblAkis[IslemId])&gt;=0,1,1)</f>
        <v/>
      </c>
      <c r="C57" s="21">
        <f>C35</f>
        <v/>
      </c>
    </row>
    <row r="58">
      <c r="A58" s="7" t="inlineStr">
        <is>
          <t>İyimser</t>
        </is>
      </c>
      <c r="B58" s="36">
        <f>trv_senaryoIyimser*IF(COUNTA(tblAkis[IslemId])&gt;=0,1,1)</f>
        <v/>
      </c>
      <c r="C58" s="21">
        <f>C36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202.5" customWidth="1" min="1" max="1"/>
    <col width="40" customWidth="1" min="2" max="2"/>
    <col width="14" customWidth="1" min="3" max="3"/>
    <col width="12" customWidth="1" min="4" max="4"/>
    <col width="17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RAPOR — Tahsilat Riski &amp; Vade Komuta Paneli</t>
        </is>
      </c>
    </row>
    <row r="2"/>
    <row r="3" ht="22" customHeight="1">
      <c r="A3" s="197" t="inlineStr">
        <is>
          <t>Dönemsel Tahsilat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6"/>
    <row r="7">
      <c r="A7" s="24" t="inlineStr">
        <is>
          <t>KARAR</t>
        </is>
      </c>
      <c r="B7" s="38">
        <f>PANO!B4</f>
        <v/>
      </c>
    </row>
    <row r="8"/>
    <row r="9">
      <c r="A9" s="7" t="inlineStr">
        <is>
          <t>Açık Kuyruk</t>
        </is>
      </c>
      <c r="B9" s="33">
        <f>trv_acikAdet</f>
        <v/>
      </c>
    </row>
    <row r="10">
      <c r="A10" s="7" t="inlineStr">
        <is>
          <t>Açık Tutar</t>
        </is>
      </c>
      <c r="B10" s="32">
        <f>trv_acikTutar</f>
        <v/>
      </c>
    </row>
    <row r="11">
      <c r="A11" s="7" t="inlineStr">
        <is>
          <t>Beklenen Kayıp</t>
        </is>
      </c>
      <c r="B11" s="32">
        <f>trv_beklenenKayip</f>
        <v/>
      </c>
    </row>
    <row r="12">
      <c r="A12" s="7" t="inlineStr">
        <is>
          <t>Yetim</t>
        </is>
      </c>
      <c r="B12" s="33">
        <f>trv_yetimKayit</f>
        <v/>
      </c>
    </row>
    <row r="13">
      <c r="A13" s="7" t="inlineStr">
        <is>
          <t>Geçersiz Geçiş</t>
        </is>
      </c>
      <c r="B13" s="33">
        <f>trv_gecersizGecis</f>
        <v/>
      </c>
    </row>
    <row r="14">
      <c r="A14" s="7" t="inlineStr">
        <is>
          <t>Zincir Kırık</t>
        </is>
      </c>
      <c r="B14" s="33">
        <f>trv_zincirKirik</f>
        <v/>
      </c>
    </row>
    <row r="15">
      <c r="A15" s="7" t="inlineStr">
        <is>
          <t>Tahmin Aralık</t>
        </is>
      </c>
      <c r="B15" s="32">
        <f>trv_tahminAralik</f>
        <v/>
      </c>
    </row>
    <row r="16">
      <c r="A16" s="7" t="inlineStr">
        <is>
          <t>Kanıt Özeti</t>
        </is>
      </c>
      <c r="B16" s="24">
        <f>trv_kanitRaporu</f>
        <v/>
      </c>
    </row>
    <row r="17"/>
    <row r="18">
      <c r="A18" s="16" t="inlineStr">
        <is>
          <t>Varsayımlar</t>
        </is>
      </c>
    </row>
    <row r="19">
      <c r="A19" s="8" t="inlineStr">
        <is>
          <t>Durum haritası AYARLAR'dadır. Geçersiz geçiş engellenmez, görünür kılınır. Tahsilat olasılıkları yaş kovasına göre AYARLAR'dan gelir. Bu çıktı karar destektir; kesin mali/hukuki görüş yerine geçmez.</t>
        </is>
      </c>
    </row>
    <row r="20"/>
    <row r="21">
      <c r="A21" s="16" t="inlineStr">
        <is>
          <t>Önerilen Aksiyonlar</t>
        </is>
      </c>
    </row>
    <row r="22">
      <c r="A22" s="7" t="inlineStr">
        <is>
          <t>1. Yetim kayıtları KARTLAR'a bağlayın veya satırı düzeltin.</t>
        </is>
      </c>
    </row>
    <row r="23">
      <c r="A23" s="7" t="inlineStr">
        <is>
          <t>2. İhtar ve 90+ kovadaki müşteriler için icra hazırlığını başlatın.</t>
        </is>
      </c>
    </row>
    <row r="24">
      <c r="A24" s="7" t="inlineStr">
        <is>
          <t>3. Zincir kırık satırlarda fatura/ödeme farkını açıklayın.</t>
        </is>
      </c>
    </row>
    <row r="25"/>
    <row r="26">
      <c r="A26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9:H19"/>
    <mergeCell ref="A3:I3"/>
  </mergeCells>
  <conditionalFormatting sqref="B7">
    <cfRule type="cellIs" priority="1" operator="equal" dxfId="0">
      <formula>"İZLE"</formula>
    </cfRule>
    <cfRule type="cellIs" priority="2" operator="equal" dxfId="1">
      <formula>"ARA"</formula>
    </cfRule>
    <cfRule type="cellIs" priority="3" operator="equal" dxfId="2">
      <formula>"İCRA HAZIRLIĞI"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&amp;LTahsilat Riski &amp; Vade Komuta Paneli | Kanıt&amp;CExcelArşiv&amp;RSayfa &amp;P / &amp;N</oddFooter>
    <evenHeader/>
    <evenFooter>&amp;LTahsilat Riski &amp; Vade Komuta Paneli | Kanıt&amp;CExcelArşiv&amp;RSayfa &amp;P / &amp;N</evenFooter>
    <firstHeader/>
    <firstFooter/>
  </headerFooter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KONTROLLER — Tahsilat Riski &amp; Vade Komuta Paneli</t>
        </is>
      </c>
    </row>
    <row r="2"/>
    <row r="3" ht="22" customHeight="1">
      <c r="A3" s="199" t="inlineStr">
        <is>
          <t>Canlı Kontrol Paneli</t>
        </is>
      </c>
    </row>
    <row r="4"/>
    <row r="5">
      <c r="A5" s="7" t="inlineStr">
        <is>
          <t>İşlem sayısı</t>
        </is>
      </c>
      <c r="B5" s="33">
        <f>COUNTA(tblAkis[IslemId])</f>
        <v/>
      </c>
    </row>
    <row r="6">
      <c r="A6" s="7" t="inlineStr">
        <is>
          <t>Kart sayısı</t>
        </is>
      </c>
      <c r="B6" s="33">
        <f>COUNTA(tblKartlar[KartId])</f>
        <v/>
      </c>
    </row>
    <row r="7">
      <c r="A7" s="7" t="inlineStr">
        <is>
          <t>Açık</t>
        </is>
      </c>
      <c r="B7" s="33">
        <f>COUNTIF(tblAkis[Durum],"ACIK")</f>
        <v/>
      </c>
    </row>
    <row r="8">
      <c r="A8" s="7" t="inlineStr">
        <is>
          <t>Hatırlatma</t>
        </is>
      </c>
      <c r="B8" s="33">
        <f>COUNTIF(tblAkis[Durum],"HATIRLATMA")</f>
        <v/>
      </c>
    </row>
    <row r="9">
      <c r="A9" s="7" t="inlineStr">
        <is>
          <t>İhtar</t>
        </is>
      </c>
      <c r="B9" s="33">
        <f>COUNTIF(tblAkis[Durum],"IHTAR")</f>
        <v/>
      </c>
    </row>
    <row r="10">
      <c r="A10" s="7" t="inlineStr">
        <is>
          <t>Tahsil</t>
        </is>
      </c>
      <c r="B10" s="33">
        <f>COUNTIF(tblAkis[Durum],"TAHSIL")</f>
        <v/>
      </c>
    </row>
    <row r="11">
      <c r="A11" s="7" t="inlineStr">
        <is>
          <t>Kapalı</t>
        </is>
      </c>
      <c r="B11" s="33">
        <f>COUNTIF(tblAkis[Durum],"KAPALI")</f>
        <v/>
      </c>
    </row>
    <row r="12">
      <c r="A12" s="7" t="inlineStr">
        <is>
          <t>Açık toplam</t>
        </is>
      </c>
      <c r="B12" s="33">
        <f>B7+B8+B9</f>
        <v/>
      </c>
    </row>
    <row r="13">
      <c r="A13" s="7" t="inlineStr">
        <is>
          <t>Yetim</t>
        </is>
      </c>
      <c r="B13" s="33">
        <f>trv_yetimKayit</f>
        <v/>
      </c>
    </row>
    <row r="14">
      <c r="A14" s="7" t="inlineStr">
        <is>
          <t>Geçersiz</t>
        </is>
      </c>
      <c r="B14" s="33">
        <f>trv_gecersizGecis</f>
        <v/>
      </c>
    </row>
    <row r="15">
      <c r="A15" s="7" t="inlineStr">
        <is>
          <t>Zincir kırık</t>
        </is>
      </c>
      <c r="B15" s="33">
        <f>trv_zincirKirik</f>
        <v/>
      </c>
    </row>
    <row r="16">
      <c r="A16" s="7" t="inlineStr">
        <is>
          <t>Boş karar yolu</t>
        </is>
      </c>
      <c r="B16" s="24">
        <f>IF(B5=0,"VERİ YOK","VERİ VAR")</f>
        <v/>
      </c>
    </row>
    <row r="17">
      <c r="A17" s="7" t="inlineStr">
        <is>
          <t>Kalite skoru</t>
        </is>
      </c>
      <c r="B17" s="24">
        <f>trv_kaliteSkor</f>
        <v/>
      </c>
    </row>
    <row r="18">
      <c r="A18" s="7" t="inlineStr">
        <is>
          <t>Açık tutar</t>
        </is>
      </c>
      <c r="B18" s="32">
        <f>trv_acikTutar</f>
        <v/>
      </c>
    </row>
    <row r="19">
      <c r="A19" s="7" t="inlineStr">
        <is>
          <t>Beklenen kayıp</t>
        </is>
      </c>
      <c r="B19" s="32">
        <f>trv_beklenenKayip</f>
        <v/>
      </c>
    </row>
    <row r="20">
      <c r="A20" s="7" t="inlineStr">
        <is>
          <t>Kapalı düşüm</t>
        </is>
      </c>
      <c r="B20" s="32">
        <f>trv_kapaliDusum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6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7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ORNEK VERI — Tahsilat Riski &amp; Vade Komuta Paneli</t>
        </is>
      </c>
    </row>
    <row r="2"/>
    <row r="3" ht="22" customHeight="1">
      <c r="A3" s="199" t="inlineStr">
        <is>
          <t>Örnek Senaryo Açıklaması</t>
        </is>
      </c>
    </row>
    <row r="4">
      <c r="A4" s="8" t="inlineStr">
        <is>
          <t>Dosyada 8 müşteri kartı ve 28 fatura satırı vardır. Yetim (22, 25), geçersiz geçiş (18, 20) ve zincir kırık (12, 19) kasıtlıdır. KARTLAR ve AKIS'i temizleyip kendi verinizi girebilirsiniz.</t>
        </is>
      </c>
    </row>
    <row r="5"/>
    <row r="6">
      <c r="A6" s="7" t="inlineStr">
        <is>
          <t>Örnek özet (bilgi)</t>
        </is>
      </c>
    </row>
    <row r="7">
      <c r="A7" s="7" t="inlineStr">
        <is>
          <t>Durumlar: Açık/Hatırlatma/İhtar/Tahsil/Kapalı — kapalılar kuyruktan düşer</t>
        </is>
      </c>
    </row>
    <row r="8"/>
    <row r="9">
      <c r="A9" s="7" t="inlineStr">
        <is>
          <t>Ölçek sözleşmesi</t>
        </is>
      </c>
      <c r="B9" s="20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3" customWidth="1" min="8" max="8"/>
    <col width="14" customWidth="1" min="9" max="9"/>
    <col width="13" customWidth="1" min="10" max="10"/>
    <col width="13" customWidth="1" min="11" max="11"/>
  </cols>
  <sheetData>
    <row r="1" ht="32" customHeight="1">
      <c r="A1" s="178" t="inlineStr">
        <is>
          <t>LISTELER — Tahsilat Riski &amp; Vade Komuta Paneli</t>
        </is>
      </c>
    </row>
    <row r="2"/>
    <row r="3">
      <c r="A3" s="16" t="inlineStr">
        <is>
          <t>Durum Listesi</t>
        </is>
      </c>
      <c r="C3" s="16" t="inlineStr">
        <is>
          <t>İzinli Geçişler</t>
        </is>
      </c>
      <c r="E3" s="24" t="inlineStr">
        <is>
          <t>Evet / Hayır</t>
        </is>
      </c>
      <c r="G3" s="24" t="inlineStr">
        <is>
          <t>Yorum A/B</t>
        </is>
      </c>
      <c r="I3" s="24" t="inlineStr">
        <is>
          <t>Sektör</t>
        </is>
      </c>
    </row>
    <row r="4"/>
    <row r="5"/>
    <row r="6">
      <c r="A6" s="31" t="inlineStr">
        <is>
          <t>DurumId</t>
        </is>
      </c>
      <c r="C6" s="31" t="inlineStr">
        <is>
          <t>Gecis</t>
        </is>
      </c>
      <c r="E6" s="31" t="inlineStr">
        <is>
          <t>Secim</t>
        </is>
      </c>
      <c r="G6" s="31" t="inlineStr">
        <is>
          <t>Yorum</t>
        </is>
      </c>
      <c r="I6" s="31" t="inlineStr">
        <is>
          <t>Sektor</t>
        </is>
      </c>
    </row>
    <row r="7">
      <c r="A7" s="26" t="inlineStr">
        <is>
          <t>ACIK</t>
        </is>
      </c>
      <c r="C7" s="26" t="inlineStr">
        <is>
          <t>ACIK|HATIRLATMA</t>
        </is>
      </c>
      <c r="E7" s="26" t="inlineStr">
        <is>
          <t>EVET</t>
        </is>
      </c>
      <c r="G7" s="26" t="inlineStr">
        <is>
          <t>A</t>
        </is>
      </c>
      <c r="I7" s="26" t="inlineStr">
        <is>
          <t>Toptan</t>
        </is>
      </c>
    </row>
    <row r="8">
      <c r="A8" s="26" t="inlineStr">
        <is>
          <t>HATIRLATMA</t>
        </is>
      </c>
      <c r="C8" s="26" t="inlineStr">
        <is>
          <t>HATIRLATMA|IHTAR</t>
        </is>
      </c>
      <c r="E8" s="26" t="inlineStr">
        <is>
          <t>HAYIR</t>
        </is>
      </c>
      <c r="G8" s="26" t="inlineStr">
        <is>
          <t>B</t>
        </is>
      </c>
      <c r="I8" s="26" t="inlineStr">
        <is>
          <t>Perakende</t>
        </is>
      </c>
    </row>
    <row r="9">
      <c r="A9" s="26" t="inlineStr">
        <is>
          <t>IHTAR</t>
        </is>
      </c>
      <c r="C9" s="26" t="inlineStr">
        <is>
          <t>HATIRLATMA|ACIK</t>
        </is>
      </c>
      <c r="I9" s="26" t="inlineStr">
        <is>
          <t>Gıda</t>
        </is>
      </c>
    </row>
    <row r="10">
      <c r="A10" s="26" t="inlineStr">
        <is>
          <t>TAHSIL</t>
        </is>
      </c>
      <c r="C10" s="26" t="inlineStr">
        <is>
          <t>IHTAR|TAHSIL</t>
        </is>
      </c>
      <c r="I10" s="26" t="inlineStr">
        <is>
          <t>Lojistik</t>
        </is>
      </c>
    </row>
    <row r="11">
      <c r="A11" s="26" t="inlineStr">
        <is>
          <t>KAPALI</t>
        </is>
      </c>
      <c r="C11" s="26" t="inlineStr">
        <is>
          <t>IHTAR|KAPALI</t>
        </is>
      </c>
      <c r="I11" s="26" t="inlineStr">
        <is>
          <t>Enerji</t>
        </is>
      </c>
    </row>
    <row r="12">
      <c r="I12" s="26" t="inlineStr">
        <is>
          <t>İnşaat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0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L77"/>
  <sheetViews>
    <sheetView showGridLines="0" workbookViewId="0">
      <selection activeCell="A1" sqref="A1"/>
    </sheetView>
  </sheetViews>
  <sheetFormatPr baseColWidth="8" defaultRowHeight="15"/>
  <cols>
    <col width="25.5" customWidth="1" min="1" max="1"/>
    <col width="35.5" customWidth="1" min="2" max="2"/>
    <col width="10" customWidth="1" min="3" max="3"/>
    <col width="34.5" customWidth="1" min="4" max="4"/>
    <col width="19.5" customWidth="1" min="5" max="5"/>
    <col width="28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178" t="inlineStr">
        <is>
          <t>AYARLAR — Tahsilat Riski &amp; Vade Komuta Paneli</t>
        </is>
      </c>
    </row>
    <row r="2"/>
    <row r="3" ht="22" customHeight="1">
      <c r="A3" s="198" t="inlineStr">
        <is>
          <t>Tek kaynak parametreler + durum haritası (A01/A06)</t>
        </is>
      </c>
    </row>
    <row r="4"/>
    <row r="5" ht="30" customHeight="1">
      <c r="A5" s="25" t="inlineStr">
        <is>
          <t>anahtar</t>
        </is>
      </c>
      <c r="B5" s="25" t="inlineStr">
        <is>
          <t>deger</t>
        </is>
      </c>
      <c r="C5" s="25" t="inlineStr">
        <is>
          <t>birim</t>
        </is>
      </c>
      <c r="D5" s="25" t="inlineStr">
        <is>
          <t>kaynak</t>
        </is>
      </c>
      <c r="E5" s="25" t="inlineStr">
        <is>
          <t>yururluk_tarihi</t>
        </is>
      </c>
      <c r="F5" s="25" t="inlineStr">
        <is>
          <t>aciklama</t>
        </is>
      </c>
    </row>
    <row r="6">
      <c r="A6" s="7" t="inlineStr">
        <is>
          <t>raporTarihi</t>
        </is>
      </c>
      <c r="B6" s="29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7" t="n">
        <v>10000</v>
      </c>
      <c r="C7" s="7" t="inlineStr">
        <is>
          <t>TL</t>
        </is>
      </c>
      <c r="D7" s="7" t="inlineStr">
        <is>
          <t>İş kuralı — fatura/ödeme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trv_esikGecikmeGun</t>
        </is>
      </c>
      <c r="B8" s="30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trv_esikGeciken</t>
        </is>
      </c>
      <c r="B9" s="30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trv_kovaEsik1</t>
        </is>
      </c>
      <c r="B10" s="30" t="n">
        <v>30</v>
      </c>
      <c r="C10" s="7" t="inlineStr">
        <is>
          <t>gün</t>
        </is>
      </c>
      <c r="D10" s="7" t="inlineStr">
        <is>
          <t>Yaşlandırma</t>
        </is>
      </c>
      <c r="E10" s="7" t="inlineStr">
        <is>
          <t>01.01.2026</t>
        </is>
      </c>
      <c r="F10" s="8" t="inlineStr">
        <is>
          <t>Kova 1 üst sınır</t>
        </is>
      </c>
    </row>
    <row r="11">
      <c r="A11" s="7" t="inlineStr">
        <is>
          <t>trv_kovaEsik2</t>
        </is>
      </c>
      <c r="B11" s="30" t="n">
        <v>60</v>
      </c>
      <c r="C11" s="7" t="inlineStr">
        <is>
          <t>gün</t>
        </is>
      </c>
      <c r="D11" s="7" t="inlineStr">
        <is>
          <t>Yaşlandırma</t>
        </is>
      </c>
      <c r="E11" s="7" t="inlineStr">
        <is>
          <t>01.01.2026</t>
        </is>
      </c>
      <c r="F11" s="8" t="inlineStr">
        <is>
          <t>Kova 2 üst sınır</t>
        </is>
      </c>
    </row>
    <row r="12">
      <c r="A12" s="7" t="inlineStr">
        <is>
          <t>trv_kovaEsik3</t>
        </is>
      </c>
      <c r="B12" s="30" t="n">
        <v>90</v>
      </c>
      <c r="C12" s="7" t="inlineStr">
        <is>
          <t>gün</t>
        </is>
      </c>
      <c r="D12" s="7" t="inlineStr">
        <is>
          <t>Yaşlandırma</t>
        </is>
      </c>
      <c r="E12" s="7" t="inlineStr">
        <is>
          <t>01.01.2026</t>
        </is>
      </c>
      <c r="F12" s="8" t="inlineStr">
        <is>
          <t>Kova 3 üst sınır</t>
        </is>
      </c>
    </row>
    <row r="13">
      <c r="A13" s="7" t="inlineStr">
        <is>
          <t>trv_olasilikK1</t>
        </is>
      </c>
      <c r="B13" s="40" t="n">
        <v>0.95</v>
      </c>
      <c r="C13" s="7" t="inlineStr">
        <is>
          <t>oran</t>
        </is>
      </c>
      <c r="D13" s="7" t="inlineStr">
        <is>
          <t>Tahsilat modeli</t>
        </is>
      </c>
      <c r="E13" s="7" t="inlineStr">
        <is>
          <t>01.01.2026</t>
        </is>
      </c>
      <c r="F13" s="8" t="inlineStr">
        <is>
          <t>0-30 gün olasılık</t>
        </is>
      </c>
    </row>
    <row r="14">
      <c r="A14" s="7" t="inlineStr">
        <is>
          <t>trv_olasilikK2</t>
        </is>
      </c>
      <c r="B14" s="40" t="n">
        <v>0.75</v>
      </c>
      <c r="C14" s="7" t="inlineStr">
        <is>
          <t>oran</t>
        </is>
      </c>
      <c r="D14" s="7" t="inlineStr">
        <is>
          <t>Tahsilat modeli</t>
        </is>
      </c>
      <c r="E14" s="7" t="inlineStr">
        <is>
          <t>01.01.2026</t>
        </is>
      </c>
      <c r="F14" s="8" t="inlineStr">
        <is>
          <t>31-60 gün olasılık</t>
        </is>
      </c>
    </row>
    <row r="15">
      <c r="A15" s="7" t="inlineStr">
        <is>
          <t>trv_olasilikK3</t>
        </is>
      </c>
      <c r="B15" s="40" t="n">
        <v>0.5</v>
      </c>
      <c r="C15" s="7" t="inlineStr">
        <is>
          <t>oran</t>
        </is>
      </c>
      <c r="D15" s="7" t="inlineStr">
        <is>
          <t>Tahsilat modeli</t>
        </is>
      </c>
      <c r="E15" s="7" t="inlineStr">
        <is>
          <t>01.01.2026</t>
        </is>
      </c>
      <c r="F15" s="8" t="inlineStr">
        <is>
          <t>61-90 gün olasılık</t>
        </is>
      </c>
    </row>
    <row r="16">
      <c r="A16" s="7" t="inlineStr">
        <is>
          <t>trv_olasilikK4</t>
        </is>
      </c>
      <c r="B16" s="40" t="n">
        <v>0.25</v>
      </c>
      <c r="C16" s="7" t="inlineStr">
        <is>
          <t>oran</t>
        </is>
      </c>
      <c r="D16" s="7" t="inlineStr">
        <is>
          <t>Tahsilat modeli</t>
        </is>
      </c>
      <c r="E16" s="7" t="inlineStr">
        <is>
          <t>01.01.2026</t>
        </is>
      </c>
      <c r="F16" s="8" t="inlineStr">
        <is>
          <t>90+ gün olasılık</t>
        </is>
      </c>
    </row>
    <row r="17">
      <c r="A17" s="7" t="inlineStr">
        <is>
          <t>trv_riskTaban</t>
        </is>
      </c>
      <c r="B17" s="40" t="n">
        <v>0.5</v>
      </c>
      <c r="C17" s="7" t="inlineStr">
        <is>
          <t>oran</t>
        </is>
      </c>
      <c r="D17" s="7" t="inlineStr">
        <is>
          <t>Risk modeli</t>
        </is>
      </c>
      <c r="E17" s="7" t="inlineStr">
        <is>
          <t>01.01.2026</t>
        </is>
      </c>
      <c r="F17" s="8" t="inlineStr">
        <is>
          <t>Risk çarpan tabanı</t>
        </is>
      </c>
    </row>
    <row r="18">
      <c r="A18" s="7" t="inlineStr">
        <is>
          <t>trv_senaryoTemkinli</t>
        </is>
      </c>
      <c r="B18" s="40" t="n">
        <v>0.85</v>
      </c>
      <c r="C18" s="7" t="inlineStr">
        <is>
          <t>oran</t>
        </is>
      </c>
      <c r="D18" s="7" t="inlineStr">
        <is>
          <t>Senaryo motoru</t>
        </is>
      </c>
      <c r="E18" s="7" t="inlineStr">
        <is>
          <t>01.01.2026</t>
        </is>
      </c>
      <c r="F18" s="8" t="inlineStr">
        <is>
          <t>Temkinli çarpan</t>
        </is>
      </c>
    </row>
    <row r="19">
      <c r="A19" s="7" t="inlineStr">
        <is>
          <t>trv_senaryoBaz</t>
        </is>
      </c>
      <c r="B19" s="40" t="n">
        <v>1</v>
      </c>
      <c r="C19" s="7" t="inlineStr">
        <is>
          <t>oran</t>
        </is>
      </c>
      <c r="D19" s="7" t="inlineStr">
        <is>
          <t>Senaryo motoru</t>
        </is>
      </c>
      <c r="E19" s="7" t="inlineStr">
        <is>
          <t>01.01.2026</t>
        </is>
      </c>
      <c r="F19" s="8" t="inlineStr">
        <is>
          <t>Baz çarpan</t>
        </is>
      </c>
    </row>
    <row r="20">
      <c r="A20" s="7" t="inlineStr">
        <is>
          <t>trv_senaryoIyimser</t>
        </is>
      </c>
      <c r="B20" s="40" t="n">
        <v>1.15</v>
      </c>
      <c r="C20" s="7" t="inlineStr">
        <is>
          <t>oran</t>
        </is>
      </c>
      <c r="D20" s="7" t="inlineStr">
        <is>
          <t>Senaryo motoru</t>
        </is>
      </c>
      <c r="E20" s="7" t="inlineStr">
        <is>
          <t>01.01.2026</t>
        </is>
      </c>
      <c r="F20" s="8" t="inlineStr">
        <is>
          <t>İyimser çarpan</t>
        </is>
      </c>
    </row>
    <row r="21">
      <c r="A21" s="7" t="inlineStr">
        <is>
          <t>trv_tornadoOran</t>
        </is>
      </c>
      <c r="B21" s="40" t="n">
        <v>0.08</v>
      </c>
      <c r="C21" s="7" t="inlineStr">
        <is>
          <t>oran</t>
        </is>
      </c>
      <c r="D21" s="7" t="inlineStr">
        <is>
          <t>Duyarlılık</t>
        </is>
      </c>
      <c r="E21" s="7" t="inlineStr">
        <is>
          <t>01.01.2026</t>
        </is>
      </c>
      <c r="F21" s="8" t="inlineStr">
        <is>
          <t>Tornado etki oranı</t>
        </is>
      </c>
    </row>
    <row r="22">
      <c r="A22" s="7" t="inlineStr">
        <is>
          <t>trv_yuzdelikOran</t>
        </is>
      </c>
      <c r="B22" s="40" t="n">
        <v>0.9</v>
      </c>
      <c r="C22" s="7" t="inlineStr">
        <is>
          <t>oran</t>
        </is>
      </c>
      <c r="D22" s="7" t="inlineStr">
        <is>
          <t>İstatistik kuralı</t>
        </is>
      </c>
      <c r="E22" s="7" t="inlineStr">
        <is>
          <t>01.01.2026</t>
        </is>
      </c>
      <c r="F22" s="8" t="inlineStr">
        <is>
          <t>PERCENTILE oranı</t>
        </is>
      </c>
    </row>
    <row r="23">
      <c r="A23" s="7" t="inlineStr">
        <is>
          <t>trv_olcekHedef</t>
        </is>
      </c>
      <c r="B23" s="30" t="n">
        <v>20000</v>
      </c>
      <c r="C23" s="7" t="inlineStr">
        <is>
          <t>satir</t>
        </is>
      </c>
      <c r="D23" s="7" t="inlineStr">
        <is>
          <t>Manda A3 Ö1</t>
        </is>
      </c>
      <c r="E23" s="7" t="inlineStr">
        <is>
          <t>01.01.2026</t>
        </is>
      </c>
      <c r="F23" s="8" t="inlineStr">
        <is>
          <t>Ölçek sözleşmesi</t>
        </is>
      </c>
    </row>
    <row r="24">
      <c r="A24" s="7" t="inlineStr">
        <is>
          <t>trv_azamiTutar</t>
        </is>
      </c>
      <c r="B24" s="27" t="n">
        <v>50000000</v>
      </c>
      <c r="C24" s="7" t="inlineStr">
        <is>
          <t>TL</t>
        </is>
      </c>
      <c r="D24" s="7" t="inlineStr">
        <is>
          <t>İç politika — uç değer</t>
        </is>
      </c>
      <c r="E24" s="7" t="inlineStr">
        <is>
          <t>01.01.2026</t>
        </is>
      </c>
      <c r="F24" s="8" t="inlineStr">
        <is>
          <t>Azami makul</t>
        </is>
      </c>
    </row>
    <row r="25">
      <c r="A25" s="7" t="inlineStr">
        <is>
          <t>trv_durumHaritasi</t>
        </is>
      </c>
      <c r="B25" s="26" t="inlineStr">
        <is>
          <t>AYARLAR durum tablosu</t>
        </is>
      </c>
      <c r="C25" s="7" t="inlineStr">
        <is>
          <t>metin</t>
        </is>
      </c>
      <c r="D25" s="7" t="inlineStr">
        <is>
          <t>SPEC akis.durum_haritasi</t>
        </is>
      </c>
      <c r="E25" s="7" t="inlineStr">
        <is>
          <t>01.01.2026</t>
        </is>
      </c>
      <c r="F25" s="8" t="inlineStr">
        <is>
          <t>Durum makinesi kaynağı</t>
        </is>
      </c>
    </row>
    <row r="26">
      <c r="A26" s="7" t="inlineStr">
        <is>
          <t>trv_kuyrukOzeti_metin</t>
        </is>
      </c>
      <c r="B26" s="26" t="inlineStr">
        <is>
          <t>KUYRUKLAR canlı özet</t>
        </is>
      </c>
      <c r="C26" s="7" t="inlineStr">
        <is>
          <t>metin</t>
        </is>
      </c>
      <c r="D26" s="7" t="inlineStr">
        <is>
          <t>A05 kuyruk</t>
        </is>
      </c>
      <c r="E26" s="7" t="inlineStr">
        <is>
          <t>01.01.2026</t>
        </is>
      </c>
      <c r="F26" s="8" t="inlineStr">
        <is>
          <t>Kuyruk görünümü</t>
        </is>
      </c>
    </row>
    <row r="27">
      <c r="A27" s="7" t="inlineStr">
        <is>
          <t>trv_kapaliDusum_metin</t>
        </is>
      </c>
      <c r="B27" s="26" t="inlineStr">
        <is>
          <t>kapali kategori kuyruktan düşer</t>
        </is>
      </c>
      <c r="C27" s="7" t="inlineStr">
        <is>
          <t>metin</t>
        </is>
      </c>
      <c r="D27" s="7" t="inlineStr">
        <is>
          <t>A06</t>
        </is>
      </c>
      <c r="E27" s="7" t="inlineStr">
        <is>
          <t>01.01.2026</t>
        </is>
      </c>
      <c r="F27" s="8" t="inlineStr">
        <is>
          <t>Kapalı düşüm kuralı</t>
        </is>
      </c>
    </row>
    <row r="28">
      <c r="A28" s="7" t="inlineStr">
        <is>
          <t>trv_kanitRaporu_metin</t>
        </is>
      </c>
      <c r="B28" s="26" t="inlineStr">
        <is>
          <t>RAPOR kanıt çıktısı</t>
        </is>
      </c>
      <c r="C28" s="7" t="inlineStr">
        <is>
          <t>metin</t>
        </is>
      </c>
      <c r="D28" s="7" t="inlineStr">
        <is>
          <t>Dönemsel rapor</t>
        </is>
      </c>
      <c r="E28" s="7" t="inlineStr">
        <is>
          <t>01.01.2026</t>
        </is>
      </c>
      <c r="F28" s="8" t="inlineStr">
        <is>
          <t>Kanıt raporu</t>
        </is>
      </c>
    </row>
    <row r="29">
      <c r="A29" s="7" t="inlineStr">
        <is>
          <t>trv_dosyaSurumu</t>
        </is>
      </c>
      <c r="B29" s="26" t="inlineStr">
        <is>
          <t>1.0.0</t>
        </is>
      </c>
      <c r="C29" s="7" t="inlineStr">
        <is>
          <t>metin</t>
        </is>
      </c>
      <c r="D29" s="7" t="inlineStr">
        <is>
          <t>Sürüm yönetimi</t>
        </is>
      </c>
      <c r="E29" s="7" t="inlineStr">
        <is>
          <t>01.01.2026</t>
        </is>
      </c>
      <c r="F29" s="8" t="inlineStr">
        <is>
          <t>Ürün sürümü</t>
        </is>
      </c>
    </row>
    <row r="30">
      <c r="A30" s="7" t="inlineStr">
        <is>
          <t>trv_firmaUnvan</t>
        </is>
      </c>
      <c r="B30" s="26" t="inlineStr">
        <is>
          <t>Örnek Ticaret A.Ş.</t>
        </is>
      </c>
      <c r="C30" s="7" t="inlineStr">
        <is>
          <t>metin</t>
        </is>
      </c>
      <c r="D30" s="7" t="inlineStr">
        <is>
          <t>Kullanıcı girişi</t>
        </is>
      </c>
      <c r="E30" s="7" t="inlineStr">
        <is>
          <t>01.01.2026</t>
        </is>
      </c>
      <c r="F30" s="8" t="inlineStr">
        <is>
          <t>Firma</t>
        </is>
      </c>
    </row>
    <row r="31"/>
    <row r="32"/>
    <row r="33">
      <c r="H33" s="5" t="inlineStr">
        <is>
          <t>Durum Haritası</t>
        </is>
      </c>
    </row>
    <row r="34" ht="30" customHeight="1">
      <c r="H34" s="25" t="inlineStr">
        <is>
          <t>durum_id</t>
        </is>
      </c>
      <c r="I34" s="25" t="inlineStr">
        <is>
          <t>durum_adi</t>
        </is>
      </c>
      <c r="J34" s="25" t="inlineStr">
        <is>
          <t>sira</t>
        </is>
      </c>
      <c r="K34" s="25" t="inlineStr">
        <is>
          <t>izinli_sonraki_durumlar</t>
        </is>
      </c>
      <c r="L34" s="25" t="inlineStr">
        <is>
          <t>kategori</t>
        </is>
      </c>
    </row>
    <row r="35">
      <c r="H35" s="7" t="inlineStr">
        <is>
          <t>ACIK</t>
        </is>
      </c>
      <c r="I35" s="7" t="inlineStr">
        <is>
          <t>Açık</t>
        </is>
      </c>
      <c r="J35" s="20" t="n">
        <v>1</v>
      </c>
      <c r="K35" s="7" t="inlineStr">
        <is>
          <t>HATIRLATMA</t>
        </is>
      </c>
      <c r="L35" s="7" t="inlineStr">
        <is>
          <t>acik</t>
        </is>
      </c>
    </row>
    <row r="36">
      <c r="H36" s="7" t="inlineStr">
        <is>
          <t>HATIRLATMA</t>
        </is>
      </c>
      <c r="I36" s="7" t="inlineStr">
        <is>
          <t>Hatırlatma</t>
        </is>
      </c>
      <c r="J36" s="20" t="n">
        <v>2</v>
      </c>
      <c r="K36" s="7" t="inlineStr">
        <is>
          <t>IHTAR|ACIK</t>
        </is>
      </c>
      <c r="L36" s="7" t="inlineStr">
        <is>
          <t>acik</t>
        </is>
      </c>
    </row>
    <row r="37">
      <c r="H37" s="7" t="inlineStr">
        <is>
          <t>IHTAR</t>
        </is>
      </c>
      <c r="I37" s="7" t="inlineStr">
        <is>
          <t>İhtar</t>
        </is>
      </c>
      <c r="J37" s="20" t="n">
        <v>3</v>
      </c>
      <c r="K37" s="7" t="inlineStr">
        <is>
          <t>TAHSIL|KAPALI</t>
        </is>
      </c>
      <c r="L37" s="7" t="inlineStr">
        <is>
          <t>acik</t>
        </is>
      </c>
    </row>
    <row r="38">
      <c r="H38" s="7" t="inlineStr">
        <is>
          <t>TAHSIL</t>
        </is>
      </c>
      <c r="I38" s="7" t="inlineStr">
        <is>
          <t>Tahsil</t>
        </is>
      </c>
      <c r="J38" s="20" t="n">
        <v>4</v>
      </c>
      <c r="K38" s="7" t="inlineStr"/>
      <c r="L38" s="7" t="inlineStr">
        <is>
          <t>kapali</t>
        </is>
      </c>
    </row>
    <row r="39">
      <c r="H39" s="7" t="inlineStr">
        <is>
          <t>KAPALI</t>
        </is>
      </c>
      <c r="I39" s="7" t="inlineStr">
        <is>
          <t>Kapalı</t>
        </is>
      </c>
      <c r="J39" s="20" t="n">
        <v>5</v>
      </c>
      <c r="K39" s="7" t="inlineStr"/>
      <c r="L39" s="7" t="inlineStr">
        <is>
          <t>kapali</t>
        </is>
      </c>
    </row>
    <row r="40"/>
    <row r="41"/>
    <row r="42">
      <c r="H42" s="16" t="inlineStr">
        <is>
          <t>Motor Çıktıları</t>
        </is>
      </c>
    </row>
    <row r="43">
      <c r="H43" s="31" t="inlineStr">
        <is>
          <t>anahtar</t>
        </is>
      </c>
      <c r="I43" s="31" t="inlineStr">
        <is>
          <t>deger</t>
        </is>
      </c>
    </row>
    <row r="44">
      <c r="H44" s="7" t="inlineStr">
        <is>
          <t>trv_acikAdet</t>
        </is>
      </c>
      <c r="I44" s="8">
        <f>HESAP!C16</f>
        <v/>
      </c>
    </row>
    <row r="45">
      <c r="H45" s="7" t="inlineStr">
        <is>
          <t>trv_acikTutar</t>
        </is>
      </c>
      <c r="I45" s="8">
        <f>HESAP!C18</f>
        <v/>
      </c>
    </row>
    <row r="46">
      <c r="H46" s="7" t="inlineStr">
        <is>
          <t>trv_gecikenAdet</t>
        </is>
      </c>
      <c r="I46" s="8">
        <f>HESAP!C28</f>
        <v/>
      </c>
    </row>
    <row r="47">
      <c r="H47" s="7" t="inlineStr">
        <is>
          <t>trv_beklenenKayip</t>
        </is>
      </c>
      <c r="I47" s="8">
        <f>HESAP!C30</f>
        <v/>
      </c>
    </row>
    <row r="48">
      <c r="H48" s="7" t="inlineStr">
        <is>
          <t>trv_yetimKayit</t>
        </is>
      </c>
      <c r="I48" s="8">
        <f>HESAP!C19</f>
        <v/>
      </c>
    </row>
    <row r="49">
      <c r="H49" s="7" t="inlineStr">
        <is>
          <t>trv_gecersizGecis</t>
        </is>
      </c>
      <c r="I49" s="8">
        <f>HESAP!C20</f>
        <v/>
      </c>
    </row>
    <row r="50">
      <c r="H50" s="7" t="inlineStr">
        <is>
          <t>trv_zincirKirik</t>
        </is>
      </c>
      <c r="I50" s="8">
        <f>HESAP!C21</f>
        <v/>
      </c>
    </row>
    <row r="51">
      <c r="H51" s="7" t="inlineStr">
        <is>
          <t>trv_icraHazirlik</t>
        </is>
      </c>
      <c r="I51" s="8">
        <f>HESAP!C31</f>
        <v/>
      </c>
    </row>
    <row r="52">
      <c r="H52" s="7" t="inlineStr">
        <is>
          <t>trv_yasKova</t>
        </is>
      </c>
      <c r="I52" s="8">
        <f>HESAP!C49</f>
        <v/>
      </c>
    </row>
    <row r="53">
      <c r="H53" s="7" t="inlineStr">
        <is>
          <t>trv_tahsilatOrt</t>
        </is>
      </c>
      <c r="I53" s="8">
        <f>HESAP!C32</f>
        <v/>
      </c>
    </row>
    <row r="54">
      <c r="H54" s="7" t="inlineStr">
        <is>
          <t>trv_tahsilatSapma</t>
        </is>
      </c>
      <c r="I54" s="8">
        <f>HESAP!C33</f>
        <v/>
      </c>
    </row>
    <row r="55">
      <c r="H55" s="7" t="inlineStr">
        <is>
          <t>trv_tahminAralik</t>
        </is>
      </c>
      <c r="I55" s="8">
        <f>HESAP!C43</f>
        <v/>
      </c>
    </row>
    <row r="56">
      <c r="H56" s="7" t="inlineStr">
        <is>
          <t>trv_senaryoKarsilastirma</t>
        </is>
      </c>
      <c r="I56" s="8">
        <f>HESAP!C37</f>
        <v/>
      </c>
    </row>
    <row r="57">
      <c r="H57" s="7" t="inlineStr">
        <is>
          <t>trv_tornadoZirve</t>
        </is>
      </c>
      <c r="I57" s="8">
        <f>HESAP!C38</f>
        <v/>
      </c>
    </row>
    <row r="58">
      <c r="H58" s="7" t="inlineStr">
        <is>
          <t>trv_hhi</t>
        </is>
      </c>
      <c r="I58" s="8">
        <f>HESAP!C39</f>
        <v/>
      </c>
    </row>
    <row r="59">
      <c r="H59" s="7" t="inlineStr">
        <is>
          <t>trv_kaliteSkor</t>
        </is>
      </c>
      <c r="I59" s="8">
        <f>HESAP!C40</f>
        <v/>
      </c>
    </row>
    <row r="60">
      <c r="H60" s="7" t="inlineStr">
        <is>
          <t>trv_yuzdelikP90</t>
        </is>
      </c>
      <c r="I60" s="8">
        <f>HESAP!C44</f>
        <v/>
      </c>
    </row>
    <row r="61">
      <c r="H61" s="7" t="inlineStr">
        <is>
          <t>trv_senaryoMotor</t>
        </is>
      </c>
      <c r="I61" s="8">
        <f>HESAP!C50</f>
        <v/>
      </c>
    </row>
    <row r="62">
      <c r="H62" s="7" t="inlineStr">
        <is>
          <t>trv_kapaliDusum</t>
        </is>
      </c>
      <c r="I62" s="8">
        <f>HESAP!C17</f>
        <v/>
      </c>
    </row>
    <row r="63">
      <c r="H63" s="7" t="inlineStr">
        <is>
          <t>trv_kuyrukOzeti</t>
        </is>
      </c>
      <c r="I63" s="8">
        <f>HESAP!C48</f>
        <v/>
      </c>
    </row>
    <row r="64">
      <c r="H64" s="7" t="inlineStr">
        <is>
          <t>trv_kanitRaporu</t>
        </is>
      </c>
      <c r="I64" s="8">
        <f>_xlfn.TEXTJOIN(" | ",TRUE,"Açık",HESAP!C16,"Yetim",HESAP!C19,"Zincir",HESAP!C21,"Geciken",HESAP!C28,"Kayıp",HESAP!C30)</f>
        <v/>
      </c>
    </row>
    <row r="65">
      <c r="H65" s="7" t="inlineStr">
        <is>
          <t>trv_sonrakiKimlik</t>
        </is>
      </c>
      <c r="I65" s="8">
        <f>"MUS-"&amp;TEXT(COUNTA(tblKartlar[KartId])+1,"00000")</f>
        <v/>
      </c>
    </row>
    <row r="66"/>
    <row r="67">
      <c r="H67" s="16" t="inlineStr">
        <is>
          <t>Yorumlar</t>
        </is>
      </c>
    </row>
    <row r="68">
      <c r="H68" s="7" t="inlineStr">
        <is>
          <t>trv_yorumYas</t>
        </is>
      </c>
      <c r="I68" s="8">
        <f>_xlfn.TEXTJOIN(" ",TRUE,"Yaş kovaları",trv_yasKova)</f>
        <v/>
      </c>
    </row>
    <row r="69">
      <c r="H69" s="7" t="inlineStr">
        <is>
          <t>trv_yorumTahsilatOrt</t>
        </is>
      </c>
      <c r="I69" s="8">
        <f>_xlfn.TEXTJOIN(" ",TRUE,"Ort tahsilat olasılığı",TEXT(trv_tahsilatOrt,"0.0%"))</f>
        <v/>
      </c>
    </row>
    <row r="70">
      <c r="H70" s="7" t="inlineStr">
        <is>
          <t>trv_yorumSapma</t>
        </is>
      </c>
      <c r="I70" s="8">
        <f>_xlfn.TEXTJOIN(" ",TRUE,"Fatura-ödeme sapması",TEXT(trv_tahsilatSapma,"0.00"),"TL")</f>
        <v/>
      </c>
    </row>
    <row r="71">
      <c r="H71" s="7" t="inlineStr">
        <is>
          <t>trv_yorumTornado</t>
        </is>
      </c>
      <c r="I71" s="8">
        <f>_xlfn.TEXTJOIN(" ",TRUE,"Tornado zirve",TEXT(trv_tornadoZirve,"0.00"),"TL")</f>
        <v/>
      </c>
    </row>
    <row r="72">
      <c r="H72" s="7" t="inlineStr">
        <is>
          <t>trv_yorumSenaryo</t>
        </is>
      </c>
      <c r="I72" s="8">
        <f>_xlfn.TEXTJOIN(" ",TRUE,"Senaryo farkı",TEXT(trv_senaryoKarsilastirma,"0.00"),"TL")</f>
        <v/>
      </c>
    </row>
    <row r="73">
      <c r="H73" s="7" t="inlineStr">
        <is>
          <t>trv_yorumHhi</t>
        </is>
      </c>
      <c r="I73" s="8">
        <f>_xlfn.TEXTJOIN(" ",TRUE,"Yoğunlaşma HHI",TEXT(trv_hhi,"0.0%"))</f>
        <v/>
      </c>
    </row>
    <row r="74">
      <c r="H74" s="7" t="inlineStr">
        <is>
          <t>trv_yorumKalite</t>
        </is>
      </c>
      <c r="I74" s="8">
        <f>_xlfn.TEXTJOIN(" ",TRUE,"Kalite skoru",trv_kaliteSkor)</f>
        <v/>
      </c>
    </row>
    <row r="75">
      <c r="H75" s="7" t="inlineStr">
        <is>
          <t>trv_yorumSenMotor</t>
        </is>
      </c>
      <c r="I75" s="8">
        <f>_xlfn.TEXTJOIN(" ",TRUE,"Senaryo motoru",trv_senaryoMotor)</f>
        <v/>
      </c>
    </row>
    <row r="76">
      <c r="H76" s="7" t="inlineStr">
        <is>
          <t>trv_yorumTahmin</t>
        </is>
      </c>
      <c r="I76" s="8">
        <f>_xlfn.TEXTJOIN(" ",TRUE,"Tahmin aralık",TEXT(trv_tahminAralik,"0.00"),"TL")</f>
        <v/>
      </c>
    </row>
    <row r="77">
      <c r="H77" s="7" t="inlineStr">
        <is>
          <t>trv_yorumP90</t>
        </is>
      </c>
      <c r="I77" s="8">
        <f>_xlfn.TEXTJOIN(" ",TRUE,"P90 fatura",TEXT(trv_yuzdelikP90,"0.00"),"TL")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5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87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KILAVUZ — Tahsilat Riski &amp; Vade Komuta Paneli</t>
        </is>
      </c>
    </row>
    <row r="2"/>
    <row r="3" ht="22" customHeight="1">
      <c r="A3" s="199" t="inlineStr">
        <is>
          <t>Kullanım Kılavuzu</t>
        </is>
      </c>
    </row>
    <row r="4"/>
    <row r="5">
      <c r="A5" s="8" t="inlineStr">
        <is>
          <t>1. KARTLAR sayfasına müşteri kartı ekleyin; sonraki kimliği kullanın.</t>
        </is>
      </c>
    </row>
    <row r="6">
      <c r="A6" s="8" t="inlineStr">
        <is>
          <t>2. AKIS sayfasına her fatura/vade satırını yazın; durum kolonunu listeden seçin.</t>
        </is>
      </c>
    </row>
    <row r="7">
      <c r="A7" s="8" t="inlineStr">
        <is>
          <t>3. Önceki durum boş bırakılırsa geçiş uyarısı çalışmaz; bilinçli geçişte doldurun.</t>
        </is>
      </c>
    </row>
    <row r="8">
      <c r="A8" s="8" t="inlineStr">
        <is>
          <t>4. Geçersiz geçiş engellenmez — kırmızı uyarı üretir (makrosuz kural).</t>
        </is>
      </c>
    </row>
    <row r="9">
      <c r="A9" s="8" t="inlineStr">
        <is>
          <t>5. Kapalı durumlar (Tahsil/Kapalı) açık kuyruklardan düşer.</t>
        </is>
      </c>
    </row>
    <row r="10">
      <c r="A10" s="8" t="inlineStr">
        <is>
          <t>6. raporTarihi AYARLAR'dadır; TODAY kullanılmaz. Yaşlandırma vade tarihine göredir.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J5"/>
    <mergeCell ref="A8:J8"/>
    <mergeCell ref="A6:J6"/>
    <mergeCell ref="A9:J9"/>
    <mergeCell ref="A1:I1"/>
    <mergeCell ref="A12:J12"/>
    <mergeCell ref="A7:J7"/>
    <mergeCell ref="A3:I3"/>
    <mergeCell ref="A10:J10"/>
    <mergeCell ref="A13:J13"/>
    <mergeCell ref="A11:J11"/>
  </mergeCells>
  <dataValidations count="9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2026-08-11T11:05:10Z</dcterms:created>
  <dcterms:modified xmlns:dcterms="http://purl.org/dc/terms/" xmlns:xsi="http://www.w3.org/2001/XMLSchema-instance" xsi:type="dcterms:W3CDTF">2026-09-25T21:22:39Z</dcterms:modified>
</cp:coreProperties>
</file>