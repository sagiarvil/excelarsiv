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">'PANO'!$A$1:$N$36</definedName>
    <definedName name="_xlnm.Print_Area" localSheetId="6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Tahsilat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Beklenen Kayıp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İZLE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Tahsilat Riski &amp; Vade Komuta Paneli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YOK",IF(OR(trv_yetimKayit&gt;0,trv_gecersizGecis&gt;0,trv_icraHazirlik&gt;0),"İCRA HAZIRLIĞI",IF(trv_gecikenAdet&gt;trv_esikGeciken,"ARA","İZLE")))</f>
        <v/>
      </c>
    </row>
    <row r="6">
      <c r="A6" s="14" t="inlineStr">
        <is>
          <t>Açık Kuyruk Adet</t>
        </is>
      </c>
      <c r="B6" s="15">
        <f>trv_acikAdet</f>
        <v/>
      </c>
      <c r="D6" s="16" t="inlineStr">
        <is>
          <t>Modül Yorumları</t>
        </is>
      </c>
    </row>
    <row r="7">
      <c r="A7" s="14" t="inlineStr">
        <is>
          <t>Hatırlatma Adet</t>
        </is>
      </c>
      <c r="B7" s="15">
        <f>COUNTIFS(tblAkis[Durum],"HATIRLATMA",tblAkis[Tutar],"&gt;0")</f>
        <v/>
      </c>
      <c r="D7" s="8">
        <f>trv_yorumYas</f>
        <v/>
      </c>
    </row>
    <row r="8">
      <c r="A8" s="14" t="inlineStr">
        <is>
          <t>İhtar Adet</t>
        </is>
      </c>
      <c r="B8" s="15">
        <f>COUNTIFS(tblAkis[Durum],"IHTAR",tblAkis[Tutar],"&gt;0")</f>
        <v/>
      </c>
      <c r="D8" s="8">
        <f>trv_yorumTahsilatOrt</f>
        <v/>
      </c>
    </row>
    <row r="9">
      <c r="A9" s="14" t="inlineStr">
        <is>
          <t>Geciken Adet</t>
        </is>
      </c>
      <c r="B9" s="15">
        <f>trv_gecikenAdet</f>
        <v/>
      </c>
      <c r="D9" s="8">
        <f>trv_yorumSapma</f>
        <v/>
      </c>
    </row>
    <row r="10">
      <c r="A10" s="14" t="inlineStr">
        <is>
          <t>Açık Tutar</t>
        </is>
      </c>
      <c r="B10" s="17">
        <f>trv_acikTutar</f>
        <v/>
      </c>
      <c r="D10" s="8">
        <f>trv_yorumTornado</f>
        <v/>
      </c>
    </row>
    <row r="11">
      <c r="A11" s="14" t="inlineStr">
        <is>
          <t>Beklenen Kayıp</t>
        </is>
      </c>
      <c r="B11" s="17">
        <f>trv_beklenenKayip</f>
        <v/>
      </c>
      <c r="D11" s="8">
        <f>trv_yorumSenaryo</f>
        <v/>
      </c>
    </row>
    <row r="12">
      <c r="A12" s="14" t="inlineStr">
        <is>
          <t>Yetim Kayıt</t>
        </is>
      </c>
      <c r="B12" s="15">
        <f>trv_yetimKayit</f>
        <v/>
      </c>
      <c r="D12" s="8">
        <f>trv_yorumHhi</f>
        <v/>
      </c>
    </row>
    <row r="13">
      <c r="A13" s="14" t="inlineStr">
        <is>
          <t>Geçersiz Geçiş</t>
        </is>
      </c>
      <c r="B13" s="15">
        <f>trv_gecersizGecis</f>
        <v/>
      </c>
      <c r="D13" s="8">
        <f>trv_yorumKalite</f>
        <v/>
      </c>
    </row>
    <row r="14">
      <c r="A14" s="14" t="inlineStr">
        <is>
          <t>Zincir Kırık</t>
        </is>
      </c>
      <c r="B14" s="15">
        <f>trv_zincirKirik</f>
        <v/>
      </c>
      <c r="D14" s="8">
        <f>trv_yorumSenMotor</f>
        <v/>
      </c>
    </row>
    <row r="15">
      <c r="A15" s="14" t="inlineStr">
        <is>
          <t>Yaş Kova Özeti</t>
        </is>
      </c>
      <c r="B15" s="18">
        <f>trv_yasKova</f>
        <v/>
      </c>
      <c r="D15" s="8">
        <f>trv_yorumTahmin</f>
        <v/>
      </c>
    </row>
    <row r="16">
      <c r="A16" s="14" t="inlineStr">
        <is>
          <t>Tahsilat Ort.</t>
        </is>
      </c>
      <c r="B16" s="19">
        <f>trv_tahsilatOrt</f>
        <v/>
      </c>
      <c r="D16" s="8">
        <f>trv_yorumP90</f>
        <v/>
      </c>
    </row>
    <row r="17">
      <c r="A17" s="14" t="inlineStr">
        <is>
          <t>Tahmin Aralık</t>
        </is>
      </c>
      <c r="B17" s="17">
        <f>trv_tahminAralik</f>
        <v/>
      </c>
    </row>
    <row r="18">
      <c r="A18" s="14" t="inlineStr">
        <is>
          <t>Senaryo Farkı</t>
        </is>
      </c>
      <c r="B18" s="17">
        <f>trv_senaryoKarsilastirma</f>
        <v/>
      </c>
    </row>
    <row r="19">
      <c r="A19" s="14" t="inlineStr">
        <is>
          <t>Tornado Zirve</t>
        </is>
      </c>
      <c r="B19" s="17">
        <f>trv_tornadoZirve</f>
        <v/>
      </c>
    </row>
    <row r="20">
      <c r="A20" s="14" t="inlineStr">
        <is>
          <t>HHI Yoğunlaşma</t>
        </is>
      </c>
      <c r="B20" s="19">
        <f>trv_hhi</f>
        <v/>
      </c>
    </row>
    <row r="21">
      <c r="A21" s="14" t="inlineStr">
        <is>
          <t>Kalite Skoru</t>
        </is>
      </c>
      <c r="B21" s="15">
        <f>trv_kaliteSkor</f>
        <v/>
      </c>
    </row>
    <row r="22">
      <c r="A22" s="14" t="inlineStr">
        <is>
          <t>P90 Yüzdelik</t>
        </is>
      </c>
      <c r="B22" s="17">
        <f>trv_yuzdelikP90</f>
        <v/>
      </c>
    </row>
    <row r="23">
      <c r="A23" s="14" t="inlineStr">
        <is>
          <t>Kapalı Düşüm</t>
        </is>
      </c>
      <c r="B23" s="15">
        <f>trv_kapaliDusum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Tahsilat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Kayıp</t>
        </is>
      </c>
    </row>
    <row r="27">
      <c r="A27" s="7" t="inlineStr">
        <is>
          <t>Durum Açık</t>
        </is>
      </c>
      <c r="B27" s="20" t="n">
        <v>6</v>
      </c>
      <c r="D27" s="7" t="inlineStr">
        <is>
          <t>0-30</t>
        </is>
      </c>
      <c r="E27" s="20" t="n">
        <v>7</v>
      </c>
      <c r="G27" s="20" t="n">
        <v>1</v>
      </c>
      <c r="H27" s="21" t="n">
        <v>220000</v>
      </c>
      <c r="J27" s="7" t="inlineStr">
        <is>
          <t>Temkinli</t>
        </is>
      </c>
      <c r="K27" s="21" t="n">
        <v>3800000</v>
      </c>
      <c r="M27" s="7" t="inlineStr">
        <is>
          <t>Yetim</t>
        </is>
      </c>
      <c r="N27" s="20" t="n">
        <v>2</v>
      </c>
      <c r="P27" s="20" t="n">
        <v>1</v>
      </c>
      <c r="Q27" s="21" t="n">
        <v>120000</v>
      </c>
    </row>
    <row r="28">
      <c r="A28" s="7" t="inlineStr">
        <is>
          <t>Durum Hatırlatma</t>
        </is>
      </c>
      <c r="B28" s="20" t="n">
        <v>8</v>
      </c>
      <c r="D28" s="7" t="inlineStr">
        <is>
          <t>31-60</t>
        </is>
      </c>
      <c r="E28" s="20" t="n">
        <v>8</v>
      </c>
      <c r="G28" s="20" t="n">
        <v>2</v>
      </c>
      <c r="H28" s="21" t="n">
        <v>238000</v>
      </c>
      <c r="J28" s="7" t="inlineStr">
        <is>
          <t>Baz</t>
        </is>
      </c>
      <c r="K28" s="21" t="n">
        <v>4500000</v>
      </c>
      <c r="M28" s="7" t="inlineStr">
        <is>
          <t>Geçersiz</t>
        </is>
      </c>
      <c r="N28" s="20" t="n">
        <v>2</v>
      </c>
      <c r="P28" s="20" t="n">
        <v>2</v>
      </c>
      <c r="Q28" s="21" t="n">
        <v>145000</v>
      </c>
    </row>
    <row r="29">
      <c r="A29" s="7" t="inlineStr">
        <is>
          <t>Durum İhtar</t>
        </is>
      </c>
      <c r="B29" s="20" t="n">
        <v>5</v>
      </c>
      <c r="D29" s="7" t="inlineStr">
        <is>
          <t>61-90</t>
        </is>
      </c>
      <c r="E29" s="20" t="n">
        <v>6</v>
      </c>
      <c r="G29" s="20" t="n">
        <v>3</v>
      </c>
      <c r="H29" s="21" t="n">
        <v>256000</v>
      </c>
      <c r="J29" s="7" t="inlineStr">
        <is>
          <t>İyimser</t>
        </is>
      </c>
      <c r="K29" s="21" t="n">
        <v>5200000</v>
      </c>
      <c r="M29" s="7" t="inlineStr">
        <is>
          <t>Zincir</t>
        </is>
      </c>
      <c r="N29" s="20" t="n">
        <v>2</v>
      </c>
      <c r="P29" s="20" t="n">
        <v>3</v>
      </c>
      <c r="Q29" s="21" t="n">
        <v>170000</v>
      </c>
    </row>
    <row r="30">
      <c r="A30" s="7" t="inlineStr">
        <is>
          <t>Durum Tahsil</t>
        </is>
      </c>
      <c r="B30" s="20" t="n">
        <v>5</v>
      </c>
      <c r="D30" s="7" t="inlineStr">
        <is>
          <t>90+</t>
        </is>
      </c>
      <c r="E30" s="20" t="n">
        <v>7</v>
      </c>
      <c r="G30" s="20" t="n">
        <v>4</v>
      </c>
      <c r="H30" s="21" t="n">
        <v>274000</v>
      </c>
      <c r="M30" s="7" t="inlineStr">
        <is>
          <t>Geciken</t>
        </is>
      </c>
      <c r="N30" s="20" t="n">
        <v>9</v>
      </c>
      <c r="P30" s="20" t="n">
        <v>4</v>
      </c>
      <c r="Q30" s="21" t="n">
        <v>195000</v>
      </c>
    </row>
    <row r="31">
      <c r="A31" s="7" t="inlineStr">
        <is>
          <t>Durum Kapalı</t>
        </is>
      </c>
      <c r="B31" s="20" t="n">
        <v>4</v>
      </c>
      <c r="G31" s="20" t="n">
        <v>5</v>
      </c>
      <c r="H31" s="21" t="n">
        <v>292000</v>
      </c>
      <c r="P31" s="20" t="n">
        <v>5</v>
      </c>
      <c r="Q31" s="21" t="n">
        <v>220000</v>
      </c>
    </row>
    <row r="32">
      <c r="G32" s="20" t="n">
        <v>6</v>
      </c>
      <c r="H32" s="21" t="n">
        <v>310000</v>
      </c>
      <c r="P32" s="20" t="n">
        <v>6</v>
      </c>
      <c r="Q32" s="21" t="n">
        <v>245000</v>
      </c>
    </row>
    <row r="33">
      <c r="G33" s="20" t="n">
        <v>7</v>
      </c>
      <c r="H33" s="21" t="n">
        <v>328000</v>
      </c>
    </row>
    <row r="34">
      <c r="G34" s="20" t="n">
        <v>8</v>
      </c>
      <c r="H34" s="21" t="n">
        <v>346000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&amp;LTahsilat Riski &amp; Vade Komuta Paneli | Pano | 1.0.0&amp;CExcelArşiv&amp;RSayfa &amp;P / &amp;N</oddFooter>
    <evenHeader/>
    <evenFooter>&amp;LTahsilat Riski &amp; Vade Komuta Paneli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Müşteri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3" ht="20" customHeight="1">
      <c r="A3" s="22" t="inlineStr">
        <is>
          <t>Fatura/vade satırları — durum makinesi + yetim + geçersiz geçiş + zincir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5">
      <c r="A15" s="24" t="inlineStr">
        <is>
          <t>Kuyruk Özeti</t>
        </is>
      </c>
      <c r="B15" s="8">
        <f>trv_kuyrukOzeti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34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Dönemsel Tahsilat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Tahsilat Riski &amp; Vade Komuta Paneli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2026-08-11T11:05:10Z</dcterms:created>
  <dcterms:modified xsi:type="dcterms:W3CDTF">2026-08-11T11:05:10Z</dcterms:modified>
</cp:coreProperties>
</file>