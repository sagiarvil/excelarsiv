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5.xml" ContentType="application/vnd.openxmlformats-officedocument.spreadsheetml.comments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GIRDI" sheetId="6" state="visible" r:id="rId6"/>
    <sheet xmlns:r="http://schemas.openxmlformats.org/officeDocument/2006/relationships" name="KURALLA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SENARYO" sheetId="9" state="visible" r:id="rId9"/>
    <sheet xmlns:r="http://schemas.openxmlformats.org/officeDocument/2006/relationships" name="VAKALAR" sheetId="10" state="visible" r:id="rId10"/>
    <sheet xmlns:r="http://schemas.openxmlformats.org/officeDocument/2006/relationships" name="KANIT_RAPORU" sheetId="11" state="visible" r:id="rId11"/>
    <sheet xmlns:r="http://schemas.openxmlformats.org/officeDocument/2006/relationships" name="KONTROLLER" sheetId="12" state="visible" r:id="rId12"/>
    <sheet xmlns:r="http://schemas.openxmlformats.org/officeDocument/2006/relationships" name="ORNEK_VERI" sheetId="13" state="visible" r:id="rId13"/>
    <sheet xmlns:r="http://schemas.openxmlformats.org/officeDocument/2006/relationships" name="LISTELER" sheetId="14" state="visible" r:id="rId14"/>
    <sheet xmlns:r="http://schemas.openxmlformats.org/officeDocument/2006/relationships" name="AYARLAR" sheetId="15" state="visible" r:id="rId15"/>
    <sheet xmlns:r="http://schemas.openxmlformats.org/officeDocument/2006/relationships" name="KILAVUZ" sheetId="16" state="visible" r:id="rId16"/>
  </sheets>
  <definedNames>
    <definedName name="hesapYili">GIRDI!$B$8</definedName>
    <definedName name="raporTarihi">AYARLAR!$B$6</definedName>
    <definedName name="tdu_tahminiDestek">MOTOR!$G$40</definedName>
    <definedName name="tdu_kararMetni">MOTOR!$G$37</definedName>
    <definedName name="tdu_kararGerekce">MOTOR!$G$38</definedName>
    <definedName name="tdu_maddeAtifMetni">MOTOR!$G$56</definedName>
    <definedName name="tdu_kanitRaporu">MOTOR!$G$57</definedName>
    <definedName name="tdu_kuralYilMatris">KURALLAR!$B$20</definedName>
    <definedName name="tdu_parmakIzi">AYARLAR!$B$18</definedName>
    <definedName name="tdu_senaryoKarsilastirma">SENARYO!$B$11</definedName>
    <definedName name="tdu_yorumSenaryo">SENARYO!$B$12</definedName>
    <definedName name="tdu_duyarlilikSira">SENARYO!$B$19</definedName>
    <definedName name="tdu_yorumDuyarlilik">SENARYO!$B$20</definedName>
    <definedName name="tdu_kuralDegisimSenaryo">SENARYO!$B$22</definedName>
    <definedName name="tdu_yorumKuralDegisim">SENARYO!$B$23</definedName>
    <definedName name="tdu_tahminAralik">SENARYO!$B$32</definedName>
    <definedName name="tdu_yorumTahmin">SENARYO!$B$33</definedName>
    <definedName name="tdu_vakaDurum">VAKALAR!$B$12</definedName>
    <definedName name="tdu_vakaFark">VAKALAR!$B$13</definedName>
    <definedName name="tdu_tolerans">AYARLAR!$B$7</definedName>
    <definedName name="tdu_sartliBand">AYARLAR!$B$8</definedName>
    <definedName name="tdu_farkEsik">AYARLAR!$B$9</definedName>
    <definedName name="tdu_senaryoIyi">AYARLAR!$B$10</definedName>
    <definedName name="tdu_senaryoKotu">AYARLAR!$B$11</definedName>
    <definedName name="tdu_oranArtisPuan">AYARLAR!$B$12</definedName>
    <definedName name="tdu_tahminAlt">AYARLAR!$B$13</definedName>
    <definedName name="tdu_tahminUst">AYARLAR!$B$14</definedName>
    <definedName name="tdu_tornadoDekar">AYARLAR!$B$15</definedName>
    <definedName name="tdu_tornadoYas">AYARLAR!$B$16</definedName>
    <definedName name="tdu_yuzdelikOran">AYARLAR!$B$17</definedName>
    <definedName name="tdu_girisBeklenen">AYARLAR!$B$19</definedName>
    <definedName name="tdu_riskDusuk">AYARLAR!$B$20</definedName>
    <definedName name="tdu_riskOrta">AYARLAR!$B$21</definedName>
    <definedName name="tdu_riskYuksek">AYARLAR!$B$22</definedName>
    <definedName name="tdu_kararEsik">AYARLAR!$B$23</definedName>
    <definedName name="tdu_yilTaban">AYARLAR!$B$24</definedName>
    <definedName name="tdu_bir">AYARLAR!$B$25</definedName>
    <definedName name="tdu_puanCks">AYARLAR!$B$26</definedName>
    <definedName name="tdu_puanBorc">AYARLAR!$B$27</definedName>
    <definedName name="tdu_puanProgram">AYARLAR!$B$28</definedName>
    <definedName name="tdu_puanAlanMax">AYARLAR!$B$29</definedName>
    <definedName name="tdu_puanAlanCarpan">AYARLAR!$B$30</definedName>
    <definedName name="tdu_puanYorumA">AYARLAR!$B$31</definedName>
    <definedName name="tdu_puanYorumB">AYARLAR!$B$32</definedName>
    <definedName name="tdu_puanOrganikEk">AYARLAR!$B$33</definedName>
    <definedName name="tdu_puanHayvanEk">AYARLAR!$B$34</definedName>
    <definedName name="tdu_dekarMinGecerli">AYARLAR!$B$35</definedName>
    <definedName name="tdu_dekarAzami">AYARLAR!$B$36</definedName>
    <definedName name="tdu_yasMinGecerli">AYARLAR!$B$37</definedName>
    <definedName name="tdu_yasAzami">AYARLAR!$B$38</definedName>
    <definedName name="tdu_hayvanAzami">AYARLAR!$B$39</definedName>
    <definedName name="tdu_yatirimAzami">AYARLAR!$B$40</definedName>
    <definedName name="vaka_dekar_1">AYARLAR!$B$41</definedName>
    <definedName name="vaka_dekar_2">AYARLAR!$B$42</definedName>
    <definedName name="vaka_yas_1">AYARLAR!$B$43</definedName>
    <definedName name="vaka_yatirim_1">AYARLAR!$B$44</definedName>
    <definedName name="tdu_birimMazot">AYARLAR!$B$45</definedName>
    <definedName name="tdu_birimAlan">AYARLAR!$B$46</definedName>
    <definedName name="tdu_birimGenc">AYARLAR!$B$47</definedName>
    <definedName name="tdu_birimOrganik">AYARLAR!$B$48</definedName>
    <definedName name="tdu_birimHayvan">AYARLAR!$B$49</definedName>
    <definedName name="tdu_birimIpard">AYARLAR!$B$50</definedName>
    <definedName name="tdu_ornekTaban">AYARLAR!$B$51</definedName>
    <definedName name="tdu_ornekMinDekar">AYARLAR!$B$52</definedName>
    <definedName name="tdu_ornekEsik">AYARLAR!$B$53</definedName>
    <definedName name="dosya_surumu">AYARLAR!$B$54</definedName>
    <definedName name="tdu_modulT1">PANO!$C$11</definedName>
    <definedName name="tdu_modulT1Yorum">PANO!$D$11</definedName>
    <definedName name="tdu_modulT2">PANO!$C$12</definedName>
    <definedName name="tdu_modulT2Yorum">PANO!$D$12</definedName>
    <definedName name="tdu_modulO1">PANO!$C$13</definedName>
    <definedName name="tdu_modulO1Yorum">PANO!$D$13</definedName>
    <definedName name="tdu_modulO6">PANO!$C$16</definedName>
    <definedName name="tdu_modulO6Yorum">PANO!$D$16</definedName>
    <definedName name="tdu_modulO8">PANO!$C$17</definedName>
    <definedName name="tdu_modulO8Yorum">PANO!$D$17</definedName>
    <definedName name="tdu_modulI2">PANO!$C$20</definedName>
    <definedName name="tdu_modulI2Yorum">PANO!$D$20</definedName>
    <definedName name="ListeYillar">LISTELER!$A$6:$A$8</definedName>
    <definedName name="ListeYorumAB">LISTELER!$C$6:$C$7</definedName>
    <definedName name="ListeEvetHayir">LISTELER!$E$6:$E$7</definedName>
    <definedName name="ListeUrun">LISTELER!$G$6:$G$8</definedName>
    <definedName name="ListeCagri">LISTELER!$I$6:$I$11</definedName>
    <definedName name="_xlnm.Print_Area" localSheetId="10">'KANIT_RAPORU'!$A$1:$F$26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₺ #,##0;[Red](₺ #,##0);-"/>
    <numFmt numFmtId="166" formatCode="0.0%;[Red](0.0%);-"/>
    <numFmt numFmtId="167" formatCode="dd.mm.yyyy"/>
    <numFmt numFmtId="168" formatCode="#,##0 &quot;TL&quot;"/>
    <numFmt numFmtId="169" formatCode="0.0%"/>
    <numFmt numFmtId="170" formatCode="₺#,##0"/>
  </numFmts>
  <fonts count="7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FFFFFF"/>
      <sz val="10"/>
    </font>
    <font>
      <name val="Segoe UI"/>
      <b val="1"/>
      <color rgb="00B3261E"/>
      <sz val="10"/>
    </font>
    <font>
      <name val="Segoe UI"/>
      <b val="1"/>
      <color rgb="001F7A4D"/>
      <sz val="10"/>
    </font>
    <font>
      <name val="Segoe UI"/>
      <b val="1"/>
      <color rgb="000F2742"/>
      <sz val="13"/>
    </font>
    <font>
      <name val="Segoe UI"/>
      <color rgb="001F4E79"/>
      <sz val="10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B08948"/>
      <sz val="10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0"/>
    </font>
    <font>
      <name val="Segoe UI"/>
      <b val="1"/>
      <color rgb="00B3261E"/>
      <sz val="12"/>
    </font>
    <font>
      <name val="Segoe UI"/>
      <b val="1"/>
      <color rgb="0059595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B4332"/>
        <bgColor rgb="001B433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7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3" fillId="5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164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0" fillId="5" borderId="0" applyProtection="1" pivotButton="0" quotePrefix="0" xfId="0">
      <protection locked="0" hidden="0"/>
    </xf>
    <xf numFmtId="0" fontId="0" fillId="6" borderId="0" pivotButton="0" quotePrefix="0" xfId="0"/>
    <xf numFmtId="3" fontId="0" fillId="5" borderId="0" applyProtection="1" pivotButton="0" quotePrefix="0" xfId="0">
      <protection locked="0" hidden="0"/>
    </xf>
    <xf numFmtId="164" fontId="0" fillId="5" borderId="0" applyProtection="1" pivotButton="0" quotePrefix="0" xfId="0">
      <protection locked="0" hidden="0"/>
    </xf>
    <xf numFmtId="165" fontId="0" fillId="5" borderId="0" applyProtection="1" pivotButton="0" quotePrefix="0" xfId="0">
      <protection locked="0" hidden="0"/>
    </xf>
    <xf numFmtId="3" fontId="5" fillId="5" borderId="0" applyAlignment="1" applyProtection="1" pivotButton="0" quotePrefix="0" xfId="0">
      <alignment horizontal="left" vertical="center"/>
      <protection locked="0" hidden="0"/>
    </xf>
    <xf numFmtId="165" fontId="5" fillId="5" borderId="0" applyAlignment="1" applyProtection="1" pivotButton="0" quotePrefix="0" xfId="0">
      <alignment horizontal="left" vertical="center"/>
      <protection locked="0" hidden="0"/>
    </xf>
    <xf numFmtId="166" fontId="5" fillId="5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 wrapText="1"/>
    </xf>
    <xf numFmtId="3" fontId="18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7" fontId="15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7" fontId="5" fillId="5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2" fontId="5" fillId="5" borderId="0" applyAlignment="1" applyProtection="1" pivotButton="0" quotePrefix="0" xfId="0">
      <alignment horizontal="left" vertical="center"/>
      <protection locked="0" hidden="0"/>
    </xf>
    <xf numFmtId="0" fontId="5" fillId="5" borderId="0" applyAlignment="1" applyProtection="1" pivotButton="0" quotePrefix="0" xfId="0">
      <alignment horizontal="left" vertical="center"/>
      <protection locked="0" hidden="0"/>
    </xf>
    <xf numFmtId="164" fontId="5" fillId="5" borderId="0" applyAlignment="1" applyProtection="1" pivotButton="0" quotePrefix="0" xfId="0">
      <alignment horizontal="left" vertical="center"/>
      <protection locked="0" hidden="0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7" fillId="7" borderId="0" applyAlignment="1" pivotButton="0" quotePrefix="0" xfId="0">
      <alignment horizontal="center" vertical="center"/>
    </xf>
    <xf numFmtId="0" fontId="33" fillId="0" borderId="0" pivotButton="0" quotePrefix="0" xfId="0"/>
    <xf numFmtId="168" fontId="33" fillId="0" borderId="0" pivotButton="0" quotePrefix="0" xfId="0"/>
    <xf numFmtId="168" fontId="34" fillId="0" borderId="0" pivotButton="0" quotePrefix="0" xfId="0"/>
    <xf numFmtId="169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7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7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70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70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70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70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7" fillId="7" borderId="0" applyAlignment="1" pivotButton="0" quotePrefix="0" xfId="0">
      <alignment vertical="center" indent="1"/>
    </xf>
    <xf numFmtId="170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</dxf>
    <dxf>
      <font>
        <b val="1"/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Uygunluk Puanı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'SENARYO'!$A$26:$A$29</f>
            </numRef>
          </cat>
          <val>
            <numRef>
              <f>'SENARYO'!$B$26:$B$29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 Sırası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ve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Puan Tahmini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'ORNEK_VERI'!$A$6:$A$11</f>
            </numRef>
          </cat>
          <val>
            <numRef>
              <f>'ORNEK_VERI'!$K$6:$K$11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İşletme Adı | Neden önemli: Destek başvuru uygunluğunu etkiler | Doğru kullanım: Resmi işletme unvanını yazın. | Örnek: demo satırına bakın | Yanlışsa: Karar ve tahmini destek bozulur | Kaynak: Tarım ve Orman Bakanlığı destek tebliğleri</t>
      </text>
    </comment>
    <comment ref="B7" authorId="0" shapeId="0">
      <text>
        <t>Tanım: Dönem / Çağrı Etiketi | Neden önemli: Destek başvuru uygunluğunu etkiler | Doğru kullanım: Çağrı dönemini yazın. | Örnek: demo satırına bakın | Yanlışsa: Karar ve tahmini destek bozulur | Kaynak: Tarım ve Orman Bakanlığı destek tebliğleri</t>
      </text>
    </comment>
    <comment ref="B8" authorId="0" shapeId="0">
      <text>
        <t>Tanım: Hesap Yılı | Neden önemli: Destek başvuru uygunluğunu etkiler | Doğru kullanım: 2025 / 2026 / 2027. | Örnek: demo satırına bakın | Yanlışsa: Karar ve tahmini destek bozulur | Kaynak: Tarım ve Orman Bakanlığı destek tebliğleri</t>
      </text>
    </comment>
    <comment ref="B9" authorId="0" shapeId="0">
      <text>
        <t>Tanım: ÇKS Kayıt | Neden önemli: Destek başvuru uygunluğunu etkiler | Doğru kullanım: Evet veya Hayır. | Örnek: demo satırına bakın | Yanlışsa: Karar ve tahmini destek bozulur | Kaynak: Tarım ve Orman Bakanlığı destek tebliğleri</t>
      </text>
    </comment>
    <comment ref="B10" authorId="0" shapeId="0">
      <text>
        <t>Tanım: Toplam Alan [dekar] | Neden önemli: Destek başvuru uygunluğunu etkiler | Doğru kullanım: Dekar cinsinden alan. | Örnek: demo satırına bakın | Yanlışsa: Karar ve tahmini destek bozulur | Kaynak: Tarım ve Orman Bakanlığı destek tebliğleri</t>
      </text>
    </comment>
    <comment ref="B11" authorId="0" shapeId="0">
      <text>
        <t>Tanım: Ürün Grubu | Neden önemli: Destek başvuru uygunluğunu etkiler | Doğru kullanım: Bitkisel / Hayvansal / Karma. | Örnek: demo satırına bakın | Yanlışsa: Karar ve tahmini destek bozulur | Kaynak: Tarım ve Orman Bakanlığı destek tebliğleri</t>
      </text>
    </comment>
    <comment ref="B12" authorId="0" shapeId="0">
      <text>
        <t>Tanım: Çağrı Programı | Neden önemli: Destek başvuru uygunluğunu etkiler | Doğru kullanım: MazotGubre / AlanBazli / GencCiftci / Organik / Hayvancilik / IPARD. | Örnek: demo satırına bakın | Yanlışsa: Karar ve tahmini destek bozulur | Kaynak: Tarım ve Orman Bakanlığı destek tebliğleri</t>
      </text>
    </comment>
    <comment ref="B13" authorId="0" shapeId="0">
      <text>
        <t>Tanım: Başvuran Yaşı | Neden önemli: Destek başvuru uygunluğunu etkiler | Doğru kullanım: Tam yaş (yıl). | Örnek: demo satırına bakın | Yanlışsa: Karar ve tahmini destek bozulur | Kaynak: Tarım ve Orman Bakanlığı destek tebliğleri</t>
      </text>
    </comment>
    <comment ref="B14" authorId="0" shapeId="0">
      <text>
        <t>Tanım: Organik Sertifika | Neden önemli: Destek başvuru uygunluğunu etkiler | Doğru kullanım: Evet veya Hayır. | Örnek: demo satırına bakın | Yanlışsa: Karar ve tahmini destek bozulur | Kaynak: Tarım ve Orman Bakanlığı destek tebliğleri</t>
      </text>
    </comment>
    <comment ref="B15" authorId="0" shapeId="0">
      <text>
        <t>Tanım: Hayvan Adedi | Neden önemli: Destek başvuru uygunluğunu etkiler | Doğru kullanım: Küpe kayıtlı hayvan sayısı. | Örnek: demo satırına bakın | Yanlışsa: Karar ve tahmini destek bozulur | Kaynak: Tarım ve Orman Bakanlığı destek tebliğleri</t>
      </text>
    </comment>
    <comment ref="B16" authorId="0" shapeId="0">
      <text>
        <t>Tanım: Yatırım Tutarı [₺] | Neden önemli: Destek başvuru uygunluğunu etkiler | Doğru kullanım: IPARD için yatırım tutarı. | Örnek: demo satırına bakın | Yanlışsa: Karar ve tahmini destek bozulur | Kaynak: Tarım ve Orman Bakanlığı destek tebliğleri</t>
      </text>
    </comment>
    <comment ref="B17" authorId="0" shapeId="0">
      <text>
        <t>Tanım: Vergi/SGK Borcu | Neden önemli: Destek başvuru uygunluğunu etkiler | Doğru kullanım: Evet veya Hayır. | Örnek: demo satırına bakın | Yanlışsa: Karar ve tahmini destek bozulur | Kaynak: Tarım ve Orman Bakanlığı destek tebliğleri</t>
      </text>
    </comment>
    <comment ref="B18" authorId="0" shapeId="0">
      <text>
        <t>Tanım: Başvuru Yorumu (A/B) | Neden önemli: Destek başvuru uygunluğunu etkiler | Doğru kullanım: A=sıkı ÇKS penceresi, B=geniş yorum. | Örnek: demo satırına bakın | Yanlışsa: Karar ve tahmini destek bozulur | Kaynak: Tarım ve Orman Bakanlığı destek tebliğleri</t>
      </text>
    </comment>
    <comment ref="A24" authorId="0" shapeId="0">
      <text>
        <t>Tanım: isletme_adi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24" authorId="0" shapeId="0">
      <text>
        <t>Tanım: isletme_adi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24" authorId="0" shapeId="0">
      <text>
        <t>Tanım: isletme_adi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24" authorId="0" shapeId="0">
      <text>
        <t>Tanım: isletme_adi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24" authorId="0" shapeId="0">
      <text>
        <t>Tanım: isletme_adi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25" authorId="0" shapeId="0">
      <text>
        <t>Tanım: donem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25" authorId="0" shapeId="0">
      <text>
        <t>Tanım: donem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25" authorId="0" shapeId="0">
      <text>
        <t>Tanım: donem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25" authorId="0" shapeId="0">
      <text>
        <t>Tanım: donem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25" authorId="0" shapeId="0">
      <text>
        <t>Tanım: donem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26" authorId="0" shapeId="0">
      <text>
        <t>Tanım: hesapYili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26" authorId="0" shapeId="0">
      <text>
        <t>Tanım: hesapYili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26" authorId="0" shapeId="0">
      <text>
        <t>Tanım: hesapYili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26" authorId="0" shapeId="0">
      <text>
        <t>Tanım: hesapYili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26" authorId="0" shapeId="0">
      <text>
        <t>Tanım: hesapYili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27" authorId="0" shapeId="0">
      <text>
        <t>Tanım: cks_kayit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27" authorId="0" shapeId="0">
      <text>
        <t>Tanım: cks_kayit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27" authorId="0" shapeId="0">
      <text>
        <t>Tanım: cks_kayit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27" authorId="0" shapeId="0">
      <text>
        <t>Tanım: cks_kayit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27" authorId="0" shapeId="0">
      <text>
        <t>Tanım: cks_kayit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28" authorId="0" shapeId="0">
      <text>
        <t>Tanım: toplam_dekar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28" authorId="0" shapeId="0">
      <text>
        <t>Tanım: toplam_dekar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28" authorId="0" shapeId="0">
      <text>
        <t>Tanım: toplam_dekar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28" authorId="0" shapeId="0">
      <text>
        <t>Tanım: toplam_dekar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28" authorId="0" shapeId="0">
      <text>
        <t>Tanım: toplam_dekar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29" authorId="0" shapeId="0">
      <text>
        <t>Tanım: urun_grubu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29" authorId="0" shapeId="0">
      <text>
        <t>Tanım: urun_grubu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29" authorId="0" shapeId="0">
      <text>
        <t>Tanım: urun_grubu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29" authorId="0" shapeId="0">
      <text>
        <t>Tanım: urun_grubu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29" authorId="0" shapeId="0">
      <text>
        <t>Tanım: urun_grubu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30" authorId="0" shapeId="0">
      <text>
        <t>Tanım: cagri_programi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30" authorId="0" shapeId="0">
      <text>
        <t>Tanım: cagri_programi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30" authorId="0" shapeId="0">
      <text>
        <t>Tanım: cagri_programi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30" authorId="0" shapeId="0">
      <text>
        <t>Tanım: cagri_programi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30" authorId="0" shapeId="0">
      <text>
        <t>Tanım: cagri_programi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31" authorId="0" shapeId="0">
      <text>
        <t>Tanım: yas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31" authorId="0" shapeId="0">
      <text>
        <t>Tanım: yas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31" authorId="0" shapeId="0">
      <text>
        <t>Tanım: yas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31" authorId="0" shapeId="0">
      <text>
        <t>Tanım: yas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31" authorId="0" shapeId="0">
      <text>
        <t>Tanım: yas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32" authorId="0" shapeId="0">
      <text>
        <t>Tanım: organik_sertifika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32" authorId="0" shapeId="0">
      <text>
        <t>Tanım: organik_sertifika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32" authorId="0" shapeId="0">
      <text>
        <t>Tanım: organik_sertifika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32" authorId="0" shapeId="0">
      <text>
        <t>Tanım: organik_sertifika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32" authorId="0" shapeId="0">
      <text>
        <t>Tanım: organik_sertifika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33" authorId="0" shapeId="0">
      <text>
        <t>Tanım: hayvan_adet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33" authorId="0" shapeId="0">
      <text>
        <t>Tanım: hayvan_adet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33" authorId="0" shapeId="0">
      <text>
        <t>Tanım: hayvan_adet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33" authorId="0" shapeId="0">
      <text>
        <t>Tanım: hayvan_adet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33" authorId="0" shapeId="0">
      <text>
        <t>Tanım: hayvan_adet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34" authorId="0" shapeId="0">
      <text>
        <t>Tanım: yatirim_tutari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34" authorId="0" shapeId="0">
      <text>
        <t>Tanım: yatirim_tutari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34" authorId="0" shapeId="0">
      <text>
        <t>Tanım: yatirim_tutari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34" authorId="0" shapeId="0">
      <text>
        <t>Tanım: yatirim_tutari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34" authorId="0" shapeId="0">
      <text>
        <t>Tanım: yatirim_tutari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35" authorId="0" shapeId="0">
      <text>
        <t>Tanım: vergi_sgk_borcu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35" authorId="0" shapeId="0">
      <text>
        <t>Tanım: vergi_sgk_borcu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35" authorId="0" shapeId="0">
      <text>
        <t>Tanım: vergi_sgk_borcu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35" authorId="0" shapeId="0">
      <text>
        <t>Tanım: vergi_sgk_borcu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35" authorId="0" shapeId="0">
      <text>
        <t>Tanım: vergi_sgk_borcu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A36" authorId="0" shapeId="0">
      <text>
        <t>Tanım: basvuru_yorumu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B36" authorId="0" shapeId="0">
      <text>
        <t>Tanım: basvuru_yorumu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C36" authorId="0" shapeId="0">
      <text>
        <t>Tanım: basvuru_yorumu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D36" authorId="0" shapeId="0">
      <text>
        <t>Tanım: basvuru_yorumu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  <comment ref="E36" authorId="0" shapeId="0">
      <text>
        <t>Tanım: basvuru_yorumu | Neden önemli: Destek başvuru uygunluğunu etkiler | Doğru kullanım: Giriş tablosu alanı — otomasyon/boş-mod | Örnek: demo satırına bakın | Yanlışsa: Karar ve tahmini destek bozulur | Kaynak: Tarım ve Orman Bakanlığı destek tebliğleri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cks_zorunlu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7" authorId="0" shapeId="0">
      <text>
        <t>Tanım: cks_zorunlu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7" authorId="0" shapeId="0">
      <text>
        <t>Tanım: cks_zorunlu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8" authorId="0" shapeId="0">
      <text>
        <t>Tanım: min_dekar_mazot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8" authorId="0" shapeId="0">
      <text>
        <t>Tanım: min_dekar_mazot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8" authorId="0" shapeId="0">
      <text>
        <t>Tanım: min_dekar_mazot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9" authorId="0" shapeId="0">
      <text>
        <t>Tanım: min_dekar_alan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9" authorId="0" shapeId="0">
      <text>
        <t>Tanım: min_dekar_alan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9" authorId="0" shapeId="0">
      <text>
        <t>Tanım: min_dekar_alan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10" authorId="0" shapeId="0">
      <text>
        <t>Tanım: yas_ust_sinir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10" authorId="0" shapeId="0">
      <text>
        <t>Tanım: yas_ust_sinir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10" authorId="0" shapeId="0">
      <text>
        <t>Tanım: yas_ust_sinir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11" authorId="0" shapeId="0">
      <text>
        <t>Tanım: organik_min_dekar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11" authorId="0" shapeId="0">
      <text>
        <t>Tanım: organik_min_dekar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11" authorId="0" shapeId="0">
      <text>
        <t>Tanım: organik_min_dekar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12" authorId="0" shapeId="0">
      <text>
        <t>Tanım: hayvan_min_adet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12" authorId="0" shapeId="0">
      <text>
        <t>Tanım: hayvan_min_adet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12" authorId="0" shapeId="0">
      <text>
        <t>Tanım: hayvan_min_adet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13" authorId="0" shapeId="0">
      <text>
        <t>Tanım: yatirim_min_tl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13" authorId="0" shapeId="0">
      <text>
        <t>Tanım: yatirim_min_tl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13" authorId="0" shapeId="0">
      <text>
        <t>Tanım: yatirim_min_tl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14" authorId="0" shapeId="0">
      <text>
        <t>Tanım: puan_esik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14" authorId="0" shapeId="0">
      <text>
        <t>Tanım: puan_esik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14" authorId="0" shapeId="0">
      <text>
        <t>Tanım: puan_esik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F15" authorId="0" shapeId="0">
      <text>
        <t>Tanım: ipard_hibe_oran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G15" authorId="0" shapeId="0">
      <text>
        <t>Tanım: ipard_hibe_oran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  <comment ref="H15" authorId="0" shapeId="0">
      <text>
        <t>Tanım: ipard_hibe_oran | Neden önemli: Destek başvuru uygunluğunu etkiler | Doğru kullanım: Yıl bazlı parametre; kaynak kolonuna bakın | Örnek: demo satırına bakın | Yanlışsa: Karar ve tahmini destek bozulur | Kaynak: Tarım ve Orman Bakanlığı destek tebliğleri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dekar?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Borç blok aktif mi?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ÇKS şartı?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Destek başvuru uygunluğunu etkiler | Doğru kullanım: Rapor tarihi | Örnek: demo satırına bakın | Yanlışsa: Karar ve tahmini destek bozulur | Kaynak: Tarım ve Orman Bakanlığı destek tebliğleri</t>
      </text>
    </comment>
    <comment ref="B7" authorId="0" shapeId="0">
      <text>
        <t>Tanım: tdu_tolerans | Neden önemli: Destek başvuru uygunluğunu etkiler | Doğru kullanım: Vaka tutarlılık toleransı | Örnek: demo satırına bakın | Yanlışsa: Karar ve tahmini destek bozulur | Kaynak: Tarım ve Orman Bakanlığı destek tebliğleri</t>
      </text>
    </comment>
    <comment ref="B8" authorId="0" shapeId="0">
      <text>
        <t>Tanım: tdu_sartliBand | Neden önemli: Destek başvuru uygunluğunu etkiler | Doğru kullanım: Şartlı puan bandı | Örnek: demo satırına bakın | Yanlışsa: Karar ve tahmini destek bozulur | Kaynak: Tarım ve Orman Bakanlığı destek tebliğleri</t>
      </text>
    </comment>
    <comment ref="B9" authorId="0" shapeId="0">
      <text>
        <t>Tanım: tdu_farkEsik | Neden önemli: Destek başvuru uygunluğunu etkiler | Doğru kullanım: PANO uyarı eşiği | Örnek: demo satırına bakın | Yanlışsa: Karar ve tahmini destek bozulur | Kaynak: Tarım ve Orman Bakanlığı destek tebliğleri</t>
      </text>
    </comment>
    <comment ref="B10" authorId="0" shapeId="0">
      <text>
        <t>Tanım: tdu_senaryoIyi | Neden önemli: Destek başvuru uygunluğunu etkiler | Doğru kullanım: İyimser dekar çarpanı | Örnek: demo satırına bakın | Yanlışsa: Karar ve tahmini destek bozulur | Kaynak: Tarım ve Orman Bakanlığı destek tebliğleri</t>
      </text>
    </comment>
    <comment ref="B11" authorId="0" shapeId="0">
      <text>
        <t>Tanım: tdu_senaryoKotu | Neden önemli: Destek başvuru uygunluğunu etkiler | Doğru kullanım: Kötümser dekar çarpanı | Örnek: demo satırına bakın | Yanlışsa: Karar ve tahmini destek bozulur | Kaynak: Tarım ve Orman Bakanlığı destek tebliğleri</t>
      </text>
    </comment>
    <comment ref="B12" authorId="0" shapeId="0">
      <text>
        <t>Tanım: tdu_oranArtisPuan | Neden önemli: Destek başvuru uygunluğunu etkiler | Doğru kullanım: M-SEN eşik artışı | Örnek: demo satırına bakın | Yanlışsa: Karar ve tahmini destek bozulur | Kaynak: Tarım ve Orman Bakanlığı destek tebliğleri</t>
      </text>
    </comment>
    <comment ref="B13" authorId="0" shapeId="0">
      <text>
        <t>Tanım: tdu_tahminAlt | Neden önemli: Destek başvuru uygunluğunu etkiler | Doğru kullanım: Tahmin alt bant | Örnek: demo satırına bakın | Yanlışsa: Karar ve tahmini destek bozulur | Kaynak: Tarım ve Orman Bakanlığı destek tebliğleri</t>
      </text>
    </comment>
    <comment ref="B14" authorId="0" shapeId="0">
      <text>
        <t>Tanım: tdu_tahminUst | Neden önemli: Destek başvuru uygunluğunu etkiler | Doğru kullanım: Tahmin üst bant | Örnek: demo satırına bakın | Yanlışsa: Karar ve tahmini destek bozulur | Kaynak: Tarım ve Orman Bakanlığı destek tebliğleri</t>
      </text>
    </comment>
    <comment ref="B15" authorId="0" shapeId="0">
      <text>
        <t>Tanım: tdu_tornadoDekar | Neden önemli: Destek başvuru uygunluğunu etkiler | Doğru kullanım: Tornado dekar şoku | Örnek: demo satırına bakın | Yanlışsa: Karar ve tahmini destek bozulur | Kaynak: Tarım ve Orman Bakanlığı destek tebliğleri</t>
      </text>
    </comment>
    <comment ref="B16" authorId="0" shapeId="0">
      <text>
        <t>Tanım: tdu_tornadoYas | Neden önemli: Destek başvuru uygunluğunu etkiler | Doğru kullanım: Tornado yaş şoku | Örnek: demo satırına bakın | Yanlışsa: Karar ve tahmini destek bozulur | Kaynak: Tarım ve Orman Bakanlığı destek tebliğleri</t>
      </text>
    </comment>
    <comment ref="B17" authorId="0" shapeId="0">
      <text>
        <t>Tanım: tdu_yuzdelikOran | Neden önemli: Destek başvuru uygunluğunu etkiler | Doğru kullanım: Yüzdelik P90 | Örnek: demo satırına bakın | Yanlışsa: Karar ve tahmini destek bozulur | Kaynak: Tarım ve Orman Bakanlığı destek tebliğleri</t>
      </text>
    </comment>
    <comment ref="B18" authorId="0" shapeId="0">
      <text>
        <t>Tanım: tdu_parmakIzi | Neden önemli: Destek başvuru uygunluğunu etkiler | Doğru kullanım: Dosya parmak izi | Örnek: demo satırına bakın | Yanlışsa: Karar ve tahmini destek bozulur | Kaynak: Tarım ve Orman Bakanlığı destek tebliğleri</t>
      </text>
    </comment>
    <comment ref="B19" authorId="0" shapeId="0">
      <text>
        <t>Tanım: tdu_girisBeklenen | Neden önemli: Destek başvuru uygunluğunu etkiler | Doğru kullanım: Zorunlu giriş alanı sayısı | Örnek: demo satırına bakın | Yanlışsa: Karar ve tahmini destek bozulur | Kaynak: Tarım ve Orman Bakanlığı destek tebliğleri</t>
      </text>
    </comment>
    <comment ref="B20" authorId="0" shapeId="0">
      <text>
        <t>Tanım: tdu_riskDusuk | Neden önemli: Destek başvuru uygunluğunu etkiler | Doğru kullanım: Düşük risk puanı | Örnek: demo satırına bakın | Yanlışsa: Karar ve tahmini destek bozulur | Kaynak: Tarım ve Orman Bakanlığı destek tebliğleri</t>
      </text>
    </comment>
    <comment ref="B21" authorId="0" shapeId="0">
      <text>
        <t>Tanım: tdu_riskOrta | Neden önemli: Destek başvuru uygunluğunu etkiler | Doğru kullanım: Orta risk puanı | Örnek: demo satırına bakın | Yanlışsa: Karar ve tahmini destek bozulur | Kaynak: Tarım ve Orman Bakanlığı destek tebliğleri</t>
      </text>
    </comment>
    <comment ref="B22" authorId="0" shapeId="0">
      <text>
        <t>Tanım: tdu_riskYuksek | Neden önemli: Destek başvuru uygunluğunu etkiler | Doğru kullanım: Yüksek risk puanı | Örnek: demo satırına bakın | Yanlışsa: Karar ve tahmini destek bozulur | Kaynak: Tarım ve Orman Bakanlığı destek tebliğleri</t>
      </text>
    </comment>
    <comment ref="B23" authorId="0" shapeId="0">
      <text>
        <t>Tanım: tdu_kararEsik | Neden önemli: Destek başvuru uygunluğunu etkiler | Doğru kullanım: Yedek karar eşiği | Örnek: demo satırına bakın | Yanlışsa: Karar ve tahmini destek bozulur | Kaynak: Tarım ve Orman Bakanlığı destek tebliğleri</t>
      </text>
    </comment>
    <comment ref="B24" authorId="0" shapeId="0">
      <text>
        <t>Tanım: tdu_yilTaban | Neden önemli: Destek başvuru uygunluğunu etkiler | Doğru kullanım: CHOOSE yıl tabanı | Örnek: demo satırına bakın | Yanlışsa: Karar ve tahmini destek bozulur | Kaynak: Tarım ve Orman Bakanlığı destek tebliğleri</t>
      </text>
    </comment>
    <comment ref="B25" authorId="0" shapeId="0">
      <text>
        <t>Tanım: tdu_bir | Neden önemli: Destek başvuru uygunluğunu etkiler | Doğru kullanım: Mantıksal bir | Örnek: demo satırına bakın | Yanlışsa: Karar ve tahmini destek bozulur | Kaynak: Tarım ve Orman Bakanlığı destek tebliğleri</t>
      </text>
    </comment>
    <comment ref="B26" authorId="0" shapeId="0">
      <text>
        <t>Tanım: tdu_puanCks | Neden önemli: Destek başvuru uygunluğunu etkiler | Doğru kullanım: ÇKS şart puanı | Örnek: demo satırına bakın | Yanlışsa: Karar ve tahmini destek bozulur | Kaynak: Tarım ve Orman Bakanlığı destek tebliğleri</t>
      </text>
    </comment>
    <comment ref="B27" authorId="0" shapeId="0">
      <text>
        <t>Tanım: tdu_puanBorc | Neden önemli: Destek başvuru uygunluğunu etkiler | Doğru kullanım: Borçsuzluk puanı | Örnek: demo satırına bakın | Yanlışsa: Karar ve tahmini destek bozulur | Kaynak: Tarım ve Orman Bakanlığı destek tebliğleri</t>
      </text>
    </comment>
    <comment ref="B28" authorId="0" shapeId="0">
      <text>
        <t>Tanım: tdu_puanProgram | Neden önemli: Destek başvuru uygunluğunu etkiler | Doğru kullanım: Program şart puanı | Örnek: demo satırına bakın | Yanlışsa: Karar ve tahmini destek bozulur | Kaynak: Tarım ve Orman Bakanlığı destek tebliğleri</t>
      </text>
    </comment>
    <comment ref="B29" authorId="0" shapeId="0">
      <text>
        <t>Tanım: tdu_puanAlanMax | Neden önemli: Destek başvuru uygunluğunu etkiler | Doğru kullanım: Alan puan tavanı | Örnek: demo satırına bakın | Yanlışsa: Karar ve tahmini destek bozulur | Kaynak: Tarım ve Orman Bakanlığı destek tebliğleri</t>
      </text>
    </comment>
    <comment ref="B30" authorId="0" shapeId="0">
      <text>
        <t>Tanım: tdu_puanAlanCarpan | Neden önemli: Destek başvuru uygunluğunu etkiler | Doğru kullanım: Alan puan çarpanı | Örnek: demo satırına bakın | Yanlışsa: Karar ve tahmini destek bozulur | Kaynak: Tarım ve Orman Bakanlığı destek tebliğleri</t>
      </text>
    </comment>
    <comment ref="B31" authorId="0" shapeId="0">
      <text>
        <t>Tanım: tdu_puanYorumA | Neden önemli: Destek başvuru uygunluğunu etkiler | Doğru kullanım: Yorum A belge puanı | Örnek: demo satırına bakın | Yanlışsa: Karar ve tahmini destek bozulur | Kaynak: Tarım ve Orman Bakanlığı destek tebliğleri</t>
      </text>
    </comment>
    <comment ref="B32" authorId="0" shapeId="0">
      <text>
        <t>Tanım: tdu_puanYorumB | Neden önemli: Destek başvuru uygunluğunu etkiler | Doğru kullanım: Yorum B belge puanı | Örnek: demo satırına bakın | Yanlışsa: Karar ve tahmini destek bozulur | Kaynak: Tarım ve Orman Bakanlığı destek tebliğleri</t>
      </text>
    </comment>
    <comment ref="B33" authorId="0" shapeId="0">
      <text>
        <t>Tanım: tdu_puanOrganikEk | Neden önemli: Destek başvuru uygunluğunu etkiler | Doğru kullanım: Organik ek puan | Örnek: demo satırına bakın | Yanlışsa: Karar ve tahmini destek bozulur | Kaynak: Tarım ve Orman Bakanlığı destek tebliğleri</t>
      </text>
    </comment>
    <comment ref="B34" authorId="0" shapeId="0">
      <text>
        <t>Tanım: tdu_puanHayvanEk | Neden önemli: Destek başvuru uygunluğunu etkiler | Doğru kullanım: Hayvan ek puan | Örnek: demo satırına bakın | Yanlışsa: Karar ve tahmini destek bozulur | Kaynak: Tarım ve Orman Bakanlığı destek tebliğleri</t>
      </text>
    </comment>
    <comment ref="B35" authorId="0" shapeId="0">
      <text>
        <t>Tanım: tdu_dekarMinGecerli | Neden önemli: Destek başvuru uygunluğunu etkiler | Doğru kullanım: Geçerli min dekar | Örnek: demo satırına bakın | Yanlışsa: Karar ve tahmini destek bozulur | Kaynak: Tarım ve Orman Bakanlığı destek tebliğleri</t>
      </text>
    </comment>
    <comment ref="B36" authorId="0" shapeId="0">
      <text>
        <t>Tanım: tdu_dekarAzami | Neden önemli: Destek başvuru uygunluğunu etkiler | Doğru kullanım: Azami dekar tavanı | Örnek: demo satırına bakın | Yanlışsa: Karar ve tahmini destek bozulur | Kaynak: Tarım ve Orman Bakanlığı destek tebliğleri</t>
      </text>
    </comment>
    <comment ref="B37" authorId="0" shapeId="0">
      <text>
        <t>Tanım: tdu_yasMinGecerli | Neden önemli: Destek başvuru uygunluğunu etkiler | Doğru kullanım: Geçerli min yaş | Örnek: demo satırına bakın | Yanlışsa: Karar ve tahmini destek bozulur | Kaynak: Tarım ve Orman Bakanlığı destek tebliğleri</t>
      </text>
    </comment>
    <comment ref="B38" authorId="0" shapeId="0">
      <text>
        <t>Tanım: tdu_yasAzami | Neden önemli: Destek başvuru uygunluğunu etkiler | Doğru kullanım: Azami yaş tavanı | Örnek: demo satırına bakın | Yanlışsa: Karar ve tahmini destek bozulur | Kaynak: Tarım ve Orman Bakanlığı destek tebliğleri</t>
      </text>
    </comment>
    <comment ref="B39" authorId="0" shapeId="0">
      <text>
        <t>Tanım: tdu_hayvanAzami | Neden önemli: Destek başvuru uygunluğunu etkiler | Doğru kullanım: Azami hayvan | Örnek: demo satırına bakın | Yanlışsa: Karar ve tahmini destek bozulur | Kaynak: Tarım ve Orman Bakanlığı destek tebliğleri</t>
      </text>
    </comment>
    <comment ref="B40" authorId="0" shapeId="0">
      <text>
        <t>Tanım: tdu_yatirimAzami | Neden önemli: Destek başvuru uygunluğunu etkiler | Doğru kullanım: Azami yatırım | Örnek: demo satırına bakın | Yanlışsa: Karar ve tahmini destek bozulur | Kaynak: Tarım ve Orman Bakanlığı destek tebliğleri</t>
      </text>
    </comment>
    <comment ref="B41" authorId="0" shapeId="0">
      <text>
        <t>Tanım: vaka_dekar_1 | Neden önemli: Destek başvuru uygunluğunu etkiler | Doğru kullanım: Vaka1 dekar | Örnek: demo satırına bakın | Yanlışsa: Karar ve tahmini destek bozulur | Kaynak: Tarım ve Orman Bakanlığı destek tebliğleri</t>
      </text>
    </comment>
    <comment ref="B42" authorId="0" shapeId="0">
      <text>
        <t>Tanım: vaka_dekar_2 | Neden önemli: Destek başvuru uygunluğunu etkiler | Doğru kullanım: Vaka2 dekar | Örnek: demo satırına bakın | Yanlışsa: Karar ve tahmini destek bozulur | Kaynak: Tarım ve Orman Bakanlığı destek tebliğleri</t>
      </text>
    </comment>
    <comment ref="B43" authorId="0" shapeId="0">
      <text>
        <t>Tanım: vaka_yas_1 | Neden önemli: Destek başvuru uygunluğunu etkiler | Doğru kullanım: Vaka3 yaş | Örnek: demo satırına bakın | Yanlışsa: Karar ve tahmini destek bozulur | Kaynak: Tarım ve Orman Bakanlığı destek tebliğleri</t>
      </text>
    </comment>
    <comment ref="B44" authorId="0" shapeId="0">
      <text>
        <t>Tanım: vaka_yatirim_1 | Neden önemli: Destek başvuru uygunluğunu etkiler | Doğru kullanım: Vaka4 yatırım | Örnek: demo satırına bakın | Yanlışsa: Karar ve tahmini destek bozulur | Kaynak: Tarım ve Orman Bakanlığı destek tebliğleri</t>
      </text>
    </comment>
    <comment ref="B45" authorId="0" shapeId="0">
      <text>
        <t>Tanım: tdu_birimMazot | Neden önemli: Destek başvuru uygunluğunu etkiler | Doğru kullanım: Mazot birim tutar | Örnek: demo satırına bakın | Yanlışsa: Karar ve tahmini destek bozulur | Kaynak: Tarım ve Orman Bakanlığı destek tebliğleri</t>
      </text>
    </comment>
    <comment ref="B46" authorId="0" shapeId="0">
      <text>
        <t>Tanım: tdu_birimAlan | Neden önemli: Destek başvuru uygunluğunu etkiler | Doğru kullanım: Alan bazlı birim | Örnek: demo satırına bakın | Yanlışsa: Karar ve tahmini destek bozulur | Kaynak: Tarım ve Orman Bakanlığı destek tebliğleri</t>
      </text>
    </comment>
    <comment ref="B47" authorId="0" shapeId="0">
      <text>
        <t>Tanım: tdu_birimGenc | Neden önemli: Destek başvuru uygunluğunu etkiler | Doğru kullanım: Genç çiftçi birim | Örnek: demo satırına bakın | Yanlışsa: Karar ve tahmini destek bozulur | Kaynak: Tarım ve Orman Bakanlığı destek tebliğleri</t>
      </text>
    </comment>
    <comment ref="B48" authorId="0" shapeId="0">
      <text>
        <t>Tanım: tdu_birimOrganik | Neden önemli: Destek başvuru uygunluğunu etkiler | Doğru kullanım: Organik birim | Örnek: demo satırına bakın | Yanlışsa: Karar ve tahmini destek bozulur | Kaynak: Tarım ve Orman Bakanlığı destek tebliğleri</t>
      </text>
    </comment>
    <comment ref="B49" authorId="0" shapeId="0">
      <text>
        <t>Tanım: tdu_birimHayvan | Neden önemli: Destek başvuru uygunluğunu etkiler | Doğru kullanım: Hayvan birim | Örnek: demo satırına bakın | Yanlışsa: Karar ve tahmini destek bozulur | Kaynak: Tarım ve Orman Bakanlığı destek tebliğleri</t>
      </text>
    </comment>
    <comment ref="B50" authorId="0" shapeId="0">
      <text>
        <t>Tanım: tdu_birimIpard | Neden önemli: Destek başvuru uygunluğunu etkiler | Doğru kullanım: IPARD gösterge birim | Örnek: demo satırına bakın | Yanlışsa: Karar ve tahmini destek bozulur | Kaynak: Tarım ve Orman Bakanlığı destek tebliğleri</t>
      </text>
    </comment>
    <comment ref="B51" authorId="0" shapeId="0">
      <text>
        <t>Tanım: tdu_ornekTaban | Neden önemli: Destek başvuru uygunluğunu etkiler | Doğru kullanım: Örnek puan tabanı | Örnek: demo satırına bakın | Yanlışsa: Karar ve tahmini destek bozulur | Kaynak: Tarım ve Orman Bakanlığı destek tebliğleri</t>
      </text>
    </comment>
    <comment ref="B52" authorId="0" shapeId="0">
      <text>
        <t>Tanım: tdu_ornekMinDekar | Neden önemli: Destek başvuru uygunluğunu etkiler | Doğru kullanım: Örnek min dekar | Örnek: demo satırına bakın | Yanlışsa: Karar ve tahmini destek bozulur | Kaynak: Tarım ve Orman Bakanlığı destek tebliğleri</t>
      </text>
    </comment>
    <comment ref="B53" authorId="0" shapeId="0">
      <text>
        <t>Tanım: tdu_ornekEsik | Neden önemli: Destek başvuru uygunluğunu etkiler | Doğru kullanım: Örnek karar eşiği | Örnek: demo satırına bakın | Yanlışsa: Karar ve tahmini destek bozulur | Kaynak: Tarım ve Orman Bakanlığı destek tebliğleri</t>
      </text>
    </comment>
    <comment ref="B54" authorId="0" shapeId="0">
      <text>
        <t>Tanım: dosya_surumu | Neden önemli: Destek başvuru uygunluğunu etkiler | Doğru kullanım: Ürün sürümü | Örnek: demo satırına bakın | Yanlışsa: Karar ve tahmini destek bozulur | Kaynak: Tarım ve Orman Bakanlığı destek tebliğleri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5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Row],[kural_id]]="","",IFERROR(CHOOSE(MAX(tdu_bir,MIN(3,IF(OR(hesapYili="",hesapYili=0),tdu_bir,hesapYili-tdu_yilTaban))),tblKurallar[[#This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Row],[fark]])&lt;=tdu_tolerans,"TUTARLI","KIRIK"),"KIRIK"))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5" headerRowCount="1">
  <tableColumns count="9">
    <tableColumn id="1" name="Senaryo"/>
    <tableColumn id="2" name="Dekar"/>
    <tableColumn id="3" name="Cagri"/>
    <tableColumn id="4" name="Yas"/>
    <tableColumn id="5" name="Cks"/>
    <tableColumn id="6" name="Borc"/>
    <tableColumn id="7" name="ProgramSart">
      <calculatedColumnFormula>=IF(tblOrnek[[#This Row],[Senaryo]]="","",IFERROR(IF(AND(tblOrnek[[#This Row],[Cks]]="Evet",tblOrnek[[#This Row],[Borc]]="Hayır",tblOrnek[[#This Row],[Dekar]]&gt;=tdu_ornekMinDekar),tdu_bir,0),0))</calculatedColumnFormula>
    </tableColumn>
    <tableColumn id="8" name="PuanTahmin">
      <calculatedColumnFormula>=IF(tblOrnek[[#This Row],[Senaryo]]="","",IFERROR(tdu_ornekTaban+IF(tblOrnek[[#This Row],[ProgramSart]]=tdu_bir,tdu_puanProgram,0)+MIN(tdu_puanAlanMax,ROUND(tblOrnek[[#This Row],[Dekar]]/tdu_puanAlanCarpan,0)),0))</calculatedColumnFormula>
    </tableColumn>
    <tableColumn id="9" name="Karar">
      <calculatedColumnFormula>=IF(tblOrnek[[#This Row],[Senaryo]]="","",IFERROR(IF(tblOrnek[[#This Row],[PuanTahmin]]&gt;=tdu_ornekEsik,"UYGUN · BAŞVUR",IF(tblOrnek[[#This Row],[PuanTahmin]]&gt;=tdu_ornekEsik-tdu_sartliBand,"ŞARTLI · BELGE EKLE","UYGUN DEĞİL · DURDUR")),"UYGUN DEĞİL · DURDUR"))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95" t="inlineStr">
        <is>
          <t>TARIMSAL DESTEK UYGUNLUK — YÖNETİM VE KARAR SİSTEMİ</t>
        </is>
      </c>
      <c r="L2" s="96" t="inlineStr">
        <is>
          <t>Dönem: 2026 / Tam ▼</t>
        </is>
      </c>
      <c r="M2" s="97" t="inlineStr">
        <is>
          <t>★ DOĞRULANMIŞ</t>
        </is>
      </c>
    </row>
    <row r="3">
      <c r="B3" s="98" t="inlineStr">
        <is>
          <t>Yönetici Karar Kokpiti, Otomatik Doğrulama ve Dinamik Hesaplama Sistemi · 2026</t>
        </is>
      </c>
    </row>
    <row r="5">
      <c r="B5" s="99" t="inlineStr">
        <is>
          <t>TOPLAM İŞLEM HACMİ</t>
        </is>
      </c>
      <c r="C5" s="100" t="n"/>
      <c r="D5" s="101" t="inlineStr">
        <is>
          <t>DOĞRULANMIŞ</t>
        </is>
      </c>
      <c r="E5" s="102" t="inlineStr">
        <is>
          <t>RİSKLİ / BEKLEYEN İŞLEM</t>
        </is>
      </c>
      <c r="F5" s="100" t="n"/>
      <c r="G5" s="103" t="inlineStr">
        <is>
          <t>MİNİMUM</t>
        </is>
      </c>
      <c r="H5" s="99" t="inlineStr">
        <is>
          <t>OPERASYONEL NET MARJ</t>
        </is>
      </c>
      <c r="I5" s="100" t="n"/>
      <c r="J5" s="104" t="inlineStr">
        <is>
          <t>GÜVENLİ</t>
        </is>
      </c>
      <c r="K5" s="105" t="inlineStr">
        <is>
          <t>SİSTEM GÜVEN SKORU</t>
        </is>
      </c>
      <c r="L5" s="100" t="n"/>
      <c r="M5" s="101" t="inlineStr">
        <is>
          <t>DENETLENDİ</t>
        </is>
      </c>
    </row>
    <row r="6">
      <c r="B6" s="106" t="n"/>
      <c r="C6" s="100" t="n"/>
      <c r="D6" s="100" t="n"/>
      <c r="E6" s="107" t="n"/>
      <c r="F6" s="100" t="n"/>
      <c r="G6" s="100" t="n"/>
      <c r="H6" s="106" t="n"/>
      <c r="I6" s="100" t="n"/>
      <c r="J6" s="100" t="n"/>
      <c r="K6" s="108" t="n"/>
      <c r="L6" s="100" t="n"/>
      <c r="M6" s="100" t="n"/>
    </row>
    <row r="7">
      <c r="B7" s="109" t="inlineStr">
        <is>
          <t>₺28.450.000</t>
        </is>
      </c>
      <c r="C7" s="100" t="n"/>
      <c r="D7" s="100" t="n"/>
      <c r="E7" s="110" t="inlineStr">
        <is>
          <t>₺940.000</t>
        </is>
      </c>
      <c r="F7" s="100" t="n"/>
      <c r="G7" s="100" t="n"/>
      <c r="H7" s="109" t="inlineStr">
        <is>
          <t>₺8.120.000</t>
        </is>
      </c>
      <c r="I7" s="100" t="n"/>
      <c r="J7" s="100" t="n"/>
      <c r="K7" s="111" t="inlineStr">
        <is>
          <t>98/100</t>
        </is>
      </c>
      <c r="L7" s="100" t="n"/>
      <c r="M7" s="100" t="n"/>
    </row>
    <row r="8">
      <c r="B8" s="106" t="n"/>
      <c r="C8" s="100" t="n"/>
      <c r="D8" s="100" t="n"/>
      <c r="E8" s="107" t="n"/>
      <c r="F8" s="100" t="n"/>
      <c r="G8" s="100" t="n"/>
      <c r="H8" s="106" t="n"/>
      <c r="I8" s="100" t="n"/>
      <c r="J8" s="100" t="n"/>
      <c r="K8" s="108" t="n"/>
      <c r="L8" s="100" t="n"/>
      <c r="M8" s="100" t="n"/>
    </row>
    <row r="9">
      <c r="B9" s="112" t="inlineStr">
        <is>
          <t>↑ Konsolide yıllıklandırılmış büyüme</t>
        </is>
      </c>
      <c r="C9" s="100" t="n"/>
      <c r="D9" s="100" t="n"/>
      <c r="E9" s="113" t="inlineStr">
        <is>
          <t>● Tüm riskli kayıtlar kontrol altında</t>
        </is>
      </c>
      <c r="F9" s="100" t="n"/>
      <c r="G9" s="100" t="n"/>
      <c r="H9" s="112" t="inlineStr">
        <is>
          <t>██████████░░░░░ %28.5 NET MARJ</t>
        </is>
      </c>
      <c r="I9" s="100" t="n"/>
      <c r="J9" s="100" t="n"/>
      <c r="K9" s="114" t="inlineStr">
        <is>
          <t>✓ 0 Formül ve Döngüsel Hata</t>
        </is>
      </c>
      <c r="L9" s="100" t="n"/>
      <c r="M9" s="100" t="n"/>
    </row>
    <row r="11">
      <c r="B11" s="93" t="inlineStr">
        <is>
          <t>12 AYLIK NAKİT GİRİŞ / ÇIKIŞ &amp; LİKİDİTE BAŞARIMI</t>
        </is>
      </c>
      <c r="F11" s="115" t="inlineStr">
        <is>
          <t>+%32 Verim</t>
        </is>
      </c>
      <c r="H11" s="93" t="inlineStr">
        <is>
          <t>KONSOLİDE OPERASYON VE KARAR MATRİSİ</t>
        </is>
      </c>
    </row>
    <row r="12">
      <c r="B12" s="92" t="inlineStr">
        <is>
          <t>Kümülatif Tahsilat vs. Tedarikçi/Kredi Ödeme Projeksiyonu</t>
        </is>
      </c>
      <c r="H12" s="92" t="inlineStr">
        <is>
          <t>Anlık Hesaplama Sonuçları, Dinamik Formül Çıktıları ve Durum Puanlaması</t>
        </is>
      </c>
    </row>
    <row r="14">
      <c r="B14" s="116" t="inlineStr">
        <is>
          <t>Dönem</t>
        </is>
      </c>
      <c r="C14" s="116" t="inlineStr">
        <is>
          <t>Aktif Hacim</t>
        </is>
      </c>
      <c r="D14" s="116" t="inlineStr">
        <is>
          <t>Maliyet/Yük</t>
        </is>
      </c>
      <c r="E14" s="116" t="inlineStr">
        <is>
          <t>Hedef</t>
        </is>
      </c>
      <c r="H14" s="117" t="inlineStr">
        <is>
          <t>PARAMETRE / KALEM</t>
        </is>
      </c>
      <c r="I14" s="117" t="inlineStr">
        <is>
          <t>ANA TUTAR</t>
        </is>
      </c>
      <c r="J14" s="117" t="inlineStr">
        <is>
          <t>FARK / MARJ</t>
        </is>
      </c>
      <c r="K14" s="117" t="inlineStr">
        <is>
          <t>VADE</t>
        </is>
      </c>
      <c r="L14" s="117" t="inlineStr">
        <is>
          <t>KONTROL DURUMU</t>
        </is>
      </c>
    </row>
    <row r="15">
      <c r="B15" s="92" t="inlineStr">
        <is>
          <t>D1</t>
        </is>
      </c>
      <c r="C15" s="92" t="n">
        <v>65</v>
      </c>
      <c r="D15" s="92" t="n">
        <v>45</v>
      </c>
      <c r="E15" s="92" t="n">
        <v>60</v>
      </c>
      <c r="H15" s="118" t="inlineStr">
        <is>
          <t>13 haftalık kümülatif bakiye...</t>
        </is>
      </c>
      <c r="I15" s="118" t="inlineStr">
        <is>
          <t>₺8.450.000</t>
        </is>
      </c>
      <c r="J15" s="119" t="inlineStr">
        <is>
          <t>₺425.000</t>
        </is>
      </c>
      <c r="K15" s="120" t="inlineStr">
        <is>
          <t>12 Ay</t>
        </is>
      </c>
      <c r="L15" s="104" t="inlineStr">
        <is>
          <t>✓ DÜZENLİ</t>
        </is>
      </c>
    </row>
    <row r="16">
      <c r="B16" s="92" t="inlineStr">
        <is>
          <t>D2</t>
        </is>
      </c>
      <c r="C16" s="92" t="n">
        <v>78</v>
      </c>
      <c r="D16" s="92" t="n">
        <v>48</v>
      </c>
      <c r="E16" s="92" t="n">
        <v>70</v>
      </c>
      <c r="H16" s="118" t="inlineStr">
        <is>
          <t>Kritik (eksi) hafta uyarısı</t>
        </is>
      </c>
      <c r="I16" s="118" t="inlineStr">
        <is>
          <t>₺12.200.000</t>
        </is>
      </c>
      <c r="J16" s="119" t="inlineStr">
        <is>
          <t>₺580.400</t>
        </is>
      </c>
      <c r="K16" s="120" t="inlineStr">
        <is>
          <t>24 Ay</t>
        </is>
      </c>
      <c r="L16" s="101" t="inlineStr">
        <is>
          <t>★ AVANTAJ</t>
        </is>
      </c>
    </row>
    <row r="17">
      <c r="B17" s="92" t="inlineStr">
        <is>
          <t>D3</t>
        </is>
      </c>
      <c r="C17" s="92" t="n">
        <v>85</v>
      </c>
      <c r="D17" s="92" t="n">
        <v>55</v>
      </c>
      <c r="E17" s="92" t="n">
        <v>80</v>
      </c>
      <c r="H17" s="118" t="inlineStr">
        <is>
          <t>Dönem net nakit değişimi</t>
        </is>
      </c>
      <c r="I17" s="118" t="inlineStr">
        <is>
          <t>₺4.850.000</t>
        </is>
      </c>
      <c r="J17" s="119" t="inlineStr">
        <is>
          <t>₺235.200</t>
        </is>
      </c>
      <c r="K17" s="120" t="inlineStr">
        <is>
          <t>8 Ay</t>
        </is>
      </c>
      <c r="L17" s="121" t="inlineStr">
        <is>
          <t>● YAKLAŞAN</t>
        </is>
      </c>
    </row>
    <row r="18">
      <c r="B18" s="92" t="inlineStr">
        <is>
          <t>D4</t>
        </is>
      </c>
      <c r="C18" s="92" t="n">
        <v>75</v>
      </c>
      <c r="D18" s="92" t="n">
        <v>42</v>
      </c>
      <c r="E18" s="92" t="n">
        <v>75</v>
      </c>
      <c r="H18" s="118" t="inlineStr">
        <is>
          <t>13 haftalık kümülatif bakiye...</t>
        </is>
      </c>
      <c r="I18" s="118" t="inlineStr">
        <is>
          <t>₺2.140.000</t>
        </is>
      </c>
      <c r="J18" s="119" t="inlineStr">
        <is>
          <t>₺118.000</t>
        </is>
      </c>
      <c r="K18" s="120" t="inlineStr">
        <is>
          <t>16 Ay</t>
        </is>
      </c>
      <c r="L18" s="104" t="inlineStr">
        <is>
          <t>✓ TAM UYUM</t>
        </is>
      </c>
    </row>
    <row r="19">
      <c r="B19" s="92" t="inlineStr">
        <is>
          <t>D5</t>
        </is>
      </c>
      <c r="C19" s="92" t="n">
        <v>90</v>
      </c>
      <c r="D19" s="92" t="n">
        <v>40</v>
      </c>
      <c r="E19" s="92" t="n">
        <v>85</v>
      </c>
      <c r="H19" s="122" t="inlineStr">
        <is>
          <t>KONSOLİDE SİSTEM TOPLAMI</t>
        </is>
      </c>
      <c r="I19" s="123" t="inlineStr">
        <is>
          <t>₺42.850.000</t>
        </is>
      </c>
      <c r="J19" s="124" t="inlineStr">
        <is>
          <t>₺3.420.000</t>
        </is>
      </c>
      <c r="K19" s="125" t="inlineStr"/>
      <c r="L19" s="126" t="inlineStr">
        <is>
          <t>TAM DOĞRULANDI (0 HATA)</t>
        </is>
      </c>
    </row>
    <row r="20">
      <c r="B20" s="92" t="inlineStr">
        <is>
          <t>D6</t>
        </is>
      </c>
      <c r="C20" s="92" t="n">
        <v>96</v>
      </c>
      <c r="D20" s="92" t="n">
        <v>32</v>
      </c>
      <c r="E20" s="92" t="n">
        <v>92</v>
      </c>
    </row>
    <row r="22">
      <c r="B22" s="127" t="inlineStr">
        <is>
          <t>KONSOLİDE PAY VE AĞIRLIK</t>
        </is>
      </c>
      <c r="F22" s="127" t="inlineStr">
        <is>
          <t>LİKİDİTE RİSKİ &amp; ERKEN UYARI SİNYALLERİ</t>
        </is>
      </c>
      <c r="K22" s="128" t="inlineStr">
        <is>
          <t>KARAR MOTORU</t>
        </is>
      </c>
      <c r="L22" s="129" t="n"/>
      <c r="M22" s="129" t="n"/>
    </row>
    <row r="23">
      <c r="B23" s="77" t="inlineStr">
        <is>
          <t>■ Ana Segment (%42)</t>
        </is>
      </c>
      <c r="F23" s="92" t="inlineStr">
        <is>
          <t>Nakit Açığı Riski (30 Gün)</t>
        </is>
      </c>
      <c r="I23" s="130" t="inlineStr">
        <is>
          <t>0.00 TL (Sıfır Risk)</t>
        </is>
      </c>
      <c r="K23" s="131" t="inlineStr">
        <is>
          <t>OPERASYONEL VERİMLİLİK FIRSATI</t>
        </is>
      </c>
      <c r="L23" s="129" t="n"/>
      <c r="M23" s="129" t="n"/>
    </row>
    <row r="24">
      <c r="B24" s="78" t="inlineStr">
        <is>
          <t>■ İkincil Grup (%30)</t>
        </is>
      </c>
      <c r="F24" s="92" t="inlineStr">
        <is>
          <t>Tahsilat Gecikme Toleransı</t>
        </is>
      </c>
      <c r="I24" s="130" t="inlineStr">
        <is>
          <t>48 Gün Güvenli Eşik</t>
        </is>
      </c>
      <c r="K24" s="132" t="inlineStr">
        <is>
          <t>Süreç optimizasyonuyla birim operasyonel maliyeti düşürme potansiyeli mevcuttur.</t>
        </is>
      </c>
    </row>
    <row r="25">
      <c r="B25" s="133" t="inlineStr">
        <is>
          <t>■ Destek Birimi (%15)</t>
        </is>
      </c>
      <c r="F25" s="77" t="inlineStr">
        <is>
          <t>██████████████████████████████████████ Güvenli Bölge (%100)</t>
        </is>
      </c>
    </row>
    <row r="26">
      <c r="B26" s="134" t="inlineStr">
        <is>
          <t>■ Rezervler (%13)</t>
        </is>
      </c>
      <c r="F26" s="135" t="inlineStr">
        <is>
          <t>✓ 90 GÜNLÜK PROJEKSİYONDA NAKİT SIKIŞIKLIĞI TESPİT EDİLMEDİ</t>
        </is>
      </c>
      <c r="K26" s="136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37" t="inlineStr">
        <is>
          <t>🔍  Kayıt veya hesap ara...</t>
        </is>
      </c>
      <c r="G3" s="138" t="inlineStr">
        <is>
          <t>TOPLAM: 1.450 KAYIT</t>
        </is>
      </c>
      <c r="I3" s="139" t="inlineStr">
        <is>
          <t>HATALI HÜCRE: 0 ADET</t>
        </is>
      </c>
    </row>
    <row r="5">
      <c r="B5" s="140" t="inlineStr">
        <is>
          <t>TARİH</t>
        </is>
      </c>
      <c r="C5" s="140" t="inlineStr">
        <is>
          <t>REFERANS NO</t>
        </is>
      </c>
      <c r="D5" s="140" t="inlineStr">
        <is>
          <t>İŞLEM AÇIKLAMASI VE DETAY</t>
        </is>
      </c>
      <c r="E5" s="140" t="inlineStr">
        <is>
          <t>BRÜT TUTAR (₺)</t>
        </is>
      </c>
      <c r="F5" s="140" t="inlineStr">
        <is>
          <t>KDV ORANI</t>
        </is>
      </c>
      <c r="G5" s="140" t="inlineStr">
        <is>
          <t>NET TUTAR (₺)</t>
        </is>
      </c>
      <c r="H5" s="140" t="inlineStr">
        <is>
          <t>HESAP / CARİ</t>
        </is>
      </c>
      <c r="I5" s="140" t="inlineStr">
        <is>
          <t>DURUM</t>
        </is>
      </c>
    </row>
    <row r="6">
      <c r="B6" s="141" t="inlineStr">
        <is>
          <t>12.10.2026</t>
        </is>
      </c>
      <c r="C6" s="142" t="inlineStr">
        <is>
          <t>TR-0428-A</t>
        </is>
      </c>
      <c r="D6" s="143" t="inlineStr">
        <is>
          <t>Haftalık nakit girişi tahmini</t>
        </is>
      </c>
      <c r="E6" s="144" t="n">
        <v>845200</v>
      </c>
      <c r="F6" s="145" t="n">
        <v>0.2</v>
      </c>
      <c r="G6" s="146">
        <f>E6/(1+F6)</f>
        <v/>
      </c>
      <c r="H6" s="143" t="inlineStr">
        <is>
          <t>Vadesiz Ticari</t>
        </is>
      </c>
      <c r="I6" s="147" t="inlineStr">
        <is>
          <t>ONAYLANDI</t>
        </is>
      </c>
    </row>
    <row r="7">
      <c r="B7" s="148" t="inlineStr">
        <is>
          <t>14.10.2026</t>
        </is>
      </c>
      <c r="C7" s="149" t="inlineStr">
        <is>
          <t>TR-0429-B</t>
        </is>
      </c>
      <c r="D7" s="150" t="inlineStr">
        <is>
          <t>Haftalık nakit çıkışı tahmini</t>
        </is>
      </c>
      <c r="E7" s="151" t="n">
        <v>1240000</v>
      </c>
      <c r="F7" s="152" t="n">
        <v>0.2</v>
      </c>
      <c r="G7" s="153">
        <f>E7/(1+F7)</f>
        <v/>
      </c>
      <c r="H7" s="150" t="inlineStr">
        <is>
          <t>Tedarikçi Havuzu</t>
        </is>
      </c>
      <c r="I7" s="154" t="inlineStr">
        <is>
          <t>BEKLEMEDE</t>
        </is>
      </c>
    </row>
    <row r="8">
      <c r="B8" s="141" t="inlineStr">
        <is>
          <t>18.10.2026</t>
        </is>
      </c>
      <c r="C8" s="142" t="inlineStr">
        <is>
          <t>TR-0430-C</t>
        </is>
      </c>
      <c r="D8" s="143" t="inlineStr">
        <is>
          <t>Ödeme takvimi notları</t>
        </is>
      </c>
      <c r="E8" s="144" t="n">
        <v>620500</v>
      </c>
      <c r="F8" s="145" t="n">
        <v>0.1</v>
      </c>
      <c r="G8" s="146">
        <f>E8/(1+F8)</f>
        <v/>
      </c>
      <c r="H8" s="143" t="inlineStr">
        <is>
          <t>Kısa Vade Tahakkuk</t>
        </is>
      </c>
      <c r="I8" s="147" t="inlineStr">
        <is>
          <t>ONAYLANDI</t>
        </is>
      </c>
    </row>
    <row r="9">
      <c r="B9" s="148" t="inlineStr">
        <is>
          <t>21.10.2026</t>
        </is>
      </c>
      <c r="C9" s="149" t="inlineStr">
        <is>
          <t>TR-0431-D</t>
        </is>
      </c>
      <c r="D9" s="150" t="inlineStr">
        <is>
          <t>Haftalık nakit girişi tahmini</t>
        </is>
      </c>
      <c r="E9" s="151" t="n">
        <v>415000</v>
      </c>
      <c r="F9" s="152" t="n">
        <v>0.2</v>
      </c>
      <c r="G9" s="153">
        <f>E9/(1+F9)</f>
        <v/>
      </c>
      <c r="H9" s="150" t="inlineStr">
        <is>
          <t>Müşteri Alacağı</t>
        </is>
      </c>
      <c r="I9" s="155" t="inlineStr">
        <is>
          <t>ONAYLANDI</t>
        </is>
      </c>
    </row>
    <row r="10">
      <c r="B10" s="141" t="inlineStr">
        <is>
          <t>25.10.2026</t>
        </is>
      </c>
      <c r="C10" s="142" t="inlineStr">
        <is>
          <t>TR-0432-E</t>
        </is>
      </c>
      <c r="D10" s="143" t="inlineStr">
        <is>
          <t>Haftalık nakit girişi tahmini</t>
        </is>
      </c>
      <c r="E10" s="144" t="n">
        <v>980400</v>
      </c>
      <c r="F10" s="145" t="n">
        <v>0.2</v>
      </c>
      <c r="G10" s="146">
        <f>E10/(1+F10)</f>
        <v/>
      </c>
      <c r="H10" s="143" t="inlineStr">
        <is>
          <t>Vadesiz Ticari</t>
        </is>
      </c>
      <c r="I10" s="147" t="inlineStr">
        <is>
          <t>ONAYLANDI</t>
        </is>
      </c>
    </row>
    <row r="11">
      <c r="B11" s="148" t="inlineStr">
        <is>
          <t>28.10.2026</t>
        </is>
      </c>
      <c r="C11" s="149" t="inlineStr">
        <is>
          <t>TR-0433-F</t>
        </is>
      </c>
      <c r="D11" s="150" t="inlineStr">
        <is>
          <t>Haftalık nakit çıkışı tahmini</t>
        </is>
      </c>
      <c r="E11" s="151" t="n">
        <v>1850000</v>
      </c>
      <c r="F11" s="152" t="n">
        <v>0.2</v>
      </c>
      <c r="G11" s="153">
        <f>E11/(1+F11)</f>
        <v/>
      </c>
      <c r="H11" s="150" t="inlineStr">
        <is>
          <t>Banka Kredi Taksiti</t>
        </is>
      </c>
      <c r="I11" s="156" t="inlineStr">
        <is>
          <t>BLOKE</t>
        </is>
      </c>
    </row>
    <row r="12">
      <c r="B12" s="141" t="inlineStr">
        <is>
          <t>02.11.2026</t>
        </is>
      </c>
      <c r="C12" s="142" t="inlineStr">
        <is>
          <t>TR-0434-G</t>
        </is>
      </c>
      <c r="D12" s="143" t="inlineStr">
        <is>
          <t>Ödeme takvimi notları</t>
        </is>
      </c>
      <c r="E12" s="144" t="n">
        <v>740000</v>
      </c>
      <c r="F12" s="145" t="n">
        <v>0.2</v>
      </c>
      <c r="G12" s="146">
        <f>E12/(1+F12)</f>
        <v/>
      </c>
      <c r="H12" s="143" t="inlineStr">
        <is>
          <t>Kira &amp; Sabit Gider</t>
        </is>
      </c>
      <c r="I12" s="147" t="inlineStr">
        <is>
          <t>ONAYLANDI</t>
        </is>
      </c>
    </row>
    <row r="13">
      <c r="B13" s="148" t="inlineStr">
        <is>
          <t>05.11.2026</t>
        </is>
      </c>
      <c r="C13" s="149" t="inlineStr">
        <is>
          <t>TR-0435-H</t>
        </is>
      </c>
      <c r="D13" s="150" t="inlineStr">
        <is>
          <t>Haftalık nakit girişi tahmini</t>
        </is>
      </c>
      <c r="E13" s="151" t="n">
        <v>520800</v>
      </c>
      <c r="F13" s="152" t="n">
        <v>0.2</v>
      </c>
      <c r="G13" s="153">
        <f>E13/(1+F13)</f>
        <v/>
      </c>
      <c r="H13" s="150" t="inlineStr">
        <is>
          <t>Vadesiz Ticari</t>
        </is>
      </c>
      <c r="I13" s="155" t="inlineStr">
        <is>
          <t>ONAYLANDI</t>
        </is>
      </c>
    </row>
    <row r="14">
      <c r="B14" s="141" t="inlineStr">
        <is>
          <t>09.11.2026</t>
        </is>
      </c>
      <c r="C14" s="142" t="inlineStr">
        <is>
          <t>TR-0436-I</t>
        </is>
      </c>
      <c r="D14" s="143" t="inlineStr">
        <is>
          <t>Haftalık nakit girişi tahmini</t>
        </is>
      </c>
      <c r="E14" s="144" t="n">
        <v>1120000</v>
      </c>
      <c r="F14" s="145" t="n">
        <v>0.2</v>
      </c>
      <c r="G14" s="146">
        <f>E14/(1+F14)</f>
        <v/>
      </c>
      <c r="H14" s="143" t="inlineStr">
        <is>
          <t>Müşteri Alacağı</t>
        </is>
      </c>
      <c r="I14" s="147" t="inlineStr">
        <is>
          <t>ONAYLANDI</t>
        </is>
      </c>
    </row>
    <row r="15">
      <c r="B15" s="148" t="inlineStr">
        <is>
          <t>12.11.2026</t>
        </is>
      </c>
      <c r="C15" s="149" t="inlineStr">
        <is>
          <t>TR-0437-J</t>
        </is>
      </c>
      <c r="D15" s="150" t="inlineStr">
        <is>
          <t>Haftalık nakit çıkışı tahmini</t>
        </is>
      </c>
      <c r="E15" s="151" t="n">
        <v>890000</v>
      </c>
      <c r="F15" s="152" t="n">
        <v>0.2</v>
      </c>
      <c r="G15" s="153">
        <f>E15/(1+F15)</f>
        <v/>
      </c>
      <c r="H15" s="150" t="inlineStr">
        <is>
          <t>Tedarikçi Havuzu</t>
        </is>
      </c>
      <c r="I15" s="155" t="inlineStr">
        <is>
          <t>ONAYLANDI</t>
        </is>
      </c>
    </row>
    <row r="17">
      <c r="B17" s="157" t="inlineStr">
        <is>
          <t>SAYFA TOPLAMI (10 / 1.450 KAYIT)</t>
        </is>
      </c>
      <c r="C17" s="125" t="n"/>
      <c r="D17" s="125" t="n"/>
      <c r="E17" s="158">
        <f>TOPLA(E6:E15)</f>
        <v/>
      </c>
      <c r="F17" s="125" t="n"/>
      <c r="G17" s="125" t="n"/>
      <c r="H17" s="125" t="n"/>
      <c r="I17" s="12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59" t="inlineStr">
        <is>
          <t>TARIMSAL DESTEK UYGUNLUK — YÖNETİM VE KARAR SİSTEMİ — NİHAİ KARAR VE DEĞERLEME</t>
        </is>
      </c>
    </row>
    <row r="3">
      <c r="B3" s="160" t="inlineStr">
        <is>
          <t>Yönetim Kurulu ve İcra Komitesi için Otomatik Türetilen Finansal Stres Testi Raporu</t>
        </is>
      </c>
    </row>
    <row r="4">
      <c r="B4" s="161" t="inlineStr">
        <is>
          <t>DÖNEM: 2026 Q3 · DENETİM PROTOKOLÜ: ISO/VUK/IFRS UYUMLU · DURUM: ONAYLANDI</t>
        </is>
      </c>
    </row>
    <row r="6">
      <c r="B6" s="162" t="inlineStr">
        <is>
          <t>SENARYO A: KÖTÜMSER (STRES TESTİ -%20)</t>
        </is>
      </c>
      <c r="C6" s="100" t="n"/>
      <c r="D6" s="100" t="n"/>
      <c r="E6" s="100" t="n"/>
      <c r="F6" s="100" t="n"/>
      <c r="H6" s="163" t="inlineStr">
        <is>
          <t>SENARYO B: BAZ MODEL (HEDEFLENEN)</t>
        </is>
      </c>
      <c r="I6" s="100" t="n"/>
      <c r="J6" s="100" t="n"/>
      <c r="K6" s="100" t="n"/>
      <c r="L6" s="100" t="n"/>
    </row>
    <row r="7">
      <c r="B7" s="100" t="n"/>
      <c r="C7" s="100" t="n"/>
      <c r="D7" s="100" t="n"/>
      <c r="E7" s="100" t="n"/>
      <c r="F7" s="100" t="n"/>
      <c r="H7" s="100" t="n"/>
      <c r="I7" s="100" t="n"/>
      <c r="J7" s="100" t="n"/>
      <c r="K7" s="100" t="n"/>
      <c r="L7" s="100" t="n"/>
    </row>
    <row r="8">
      <c r="B8" s="164" t="inlineStr">
        <is>
          <t>Ciro / Hacim Düşüşü:</t>
        </is>
      </c>
      <c r="C8" s="100" t="n"/>
      <c r="D8" s="100" t="n"/>
      <c r="E8" s="165" t="inlineStr">
        <is>
          <t>-%20.0 (Kriz Eşiği)</t>
        </is>
      </c>
      <c r="F8" s="100" t="n"/>
      <c r="H8" s="164" t="inlineStr">
        <is>
          <t>Ciro / Hacim Gerçekleşmesi:</t>
        </is>
      </c>
      <c r="I8" s="100" t="n"/>
      <c r="J8" s="100" t="n"/>
      <c r="K8" s="166" t="inlineStr">
        <is>
          <t>%100.0 (Tam Bütçe)</t>
        </is>
      </c>
      <c r="L8" s="100" t="n"/>
    </row>
    <row r="9">
      <c r="B9" s="164" t="inlineStr">
        <is>
          <t>Beklenen Net Kâr / Getiri:</t>
        </is>
      </c>
      <c r="C9" s="100" t="n"/>
      <c r="D9" s="100" t="n"/>
      <c r="E9" s="167" t="inlineStr">
        <is>
          <t>₺4.280.000</t>
        </is>
      </c>
      <c r="F9" s="100" t="n"/>
      <c r="H9" s="164" t="inlineStr">
        <is>
          <t>Beklenen Net Kâr / Getiri:</t>
        </is>
      </c>
      <c r="I9" s="100" t="n"/>
      <c r="J9" s="100" t="n"/>
      <c r="K9" s="167" t="inlineStr">
        <is>
          <t>₺12.450.000</t>
        </is>
      </c>
      <c r="L9" s="100" t="n"/>
    </row>
    <row r="10">
      <c r="B10" s="164" t="inlineStr">
        <is>
          <t>Minimum Nakit Tamponu:</t>
        </is>
      </c>
      <c r="C10" s="100" t="n"/>
      <c r="D10" s="100" t="n"/>
      <c r="E10" s="168" t="inlineStr">
        <is>
          <t>₺1.850.000 (Yeterli)</t>
        </is>
      </c>
      <c r="F10" s="100" t="n"/>
      <c r="H10" s="164" t="inlineStr">
        <is>
          <t>Serbest Nakit Akımı:</t>
        </is>
      </c>
      <c r="I10" s="100" t="n"/>
      <c r="J10" s="100" t="n"/>
      <c r="K10" s="168" t="inlineStr">
        <is>
          <t>₺8.240.000</t>
        </is>
      </c>
      <c r="L10" s="100" t="n"/>
    </row>
    <row r="11">
      <c r="B11" s="164" t="inlineStr">
        <is>
          <t>Likidite Karşılama Oranı:</t>
        </is>
      </c>
      <c r="C11" s="100" t="n"/>
      <c r="D11" s="100" t="n"/>
      <c r="E11" s="168" t="inlineStr">
        <is>
          <t>1.28x (Eşik: 1.10x)</t>
        </is>
      </c>
      <c r="F11" s="100" t="n"/>
      <c r="H11" s="164" t="inlineStr">
        <is>
          <t>Yatırım Geri Dönüşü (ROI):</t>
        </is>
      </c>
      <c r="I11" s="100" t="n"/>
      <c r="J11" s="100" t="n"/>
      <c r="K11" s="168" t="inlineStr">
        <is>
          <t>%38.4 Yıllık</t>
        </is>
      </c>
      <c r="L11" s="100" t="n"/>
    </row>
    <row r="12">
      <c r="B12" s="100" t="n"/>
      <c r="C12" s="100" t="n"/>
      <c r="D12" s="100" t="n"/>
      <c r="E12" s="100" t="n"/>
      <c r="F12" s="100" t="n"/>
      <c r="H12" s="100" t="n"/>
      <c r="I12" s="100" t="n"/>
      <c r="J12" s="100" t="n"/>
      <c r="K12" s="100" t="n"/>
      <c r="L12" s="100" t="n"/>
    </row>
    <row r="13">
      <c r="B13" s="100" t="n"/>
      <c r="C13" s="100" t="n"/>
      <c r="D13" s="100" t="n"/>
      <c r="E13" s="100" t="n"/>
      <c r="F13" s="100" t="n"/>
      <c r="H13" s="100" t="n"/>
      <c r="I13" s="100" t="n"/>
      <c r="J13" s="100" t="n"/>
      <c r="K13" s="100" t="n"/>
      <c r="L13" s="100" t="n"/>
    </row>
    <row r="14">
      <c r="B14" s="169" t="inlineStr">
        <is>
          <t>STRES SENARYOSUNDA DAHİ İFLAS RİSKİ YOK</t>
        </is>
      </c>
      <c r="C14" s="100" t="n"/>
      <c r="D14" s="100" t="n"/>
      <c r="E14" s="100" t="n"/>
      <c r="F14" s="100" t="n"/>
      <c r="H14" s="170" t="inlineStr">
        <is>
          <t>OPTİMUM İCRA VE PLANLAMA REÇETESİ</t>
        </is>
      </c>
      <c r="I14" s="100" t="n"/>
      <c r="J14" s="100" t="n"/>
      <c r="K14" s="100" t="n"/>
      <c r="L14" s="100" t="n"/>
    </row>
    <row r="15">
      <c r="B15" s="100" t="n"/>
      <c r="C15" s="100" t="n"/>
      <c r="D15" s="100" t="n"/>
      <c r="E15" s="100" t="n"/>
      <c r="F15" s="100" t="n"/>
      <c r="H15" s="100" t="n"/>
      <c r="I15" s="100" t="n"/>
      <c r="J15" s="100" t="n"/>
      <c r="K15" s="100" t="n"/>
      <c r="L15" s="100" t="n"/>
    </row>
    <row r="17">
      <c r="B17" s="80" t="inlineStr">
        <is>
          <t>YÖNETİM KARAR MATRİSİ VE UYGULAMA REÇETESİ</t>
        </is>
      </c>
    </row>
    <row r="19">
      <c r="B19" s="127" t="inlineStr">
        <is>
          <t>●  Öncelik 1: Acil Likidite ve Borç Servis Planlaması</t>
        </is>
      </c>
    </row>
    <row r="20">
      <c r="B20" s="171" t="inlineStr">
        <is>
          <t xml:space="preserve">   Sistemde hesaplanan vade günlerine sadık kalınarak nakit blokajı 3 gün önceden hazır edilmelidir.</t>
        </is>
      </c>
    </row>
    <row r="21">
      <c r="B21" s="127" t="inlineStr">
        <is>
          <t>●  Öncelik 2: Formül Doğrulama ve Çapraz Sağlama</t>
        </is>
      </c>
    </row>
    <row r="22">
      <c r="B22" s="171" t="inlineStr">
        <is>
          <t xml:space="preserve">   Tüm hücreler kilitli formül korumasında olup girdi sayfalarında sıfır döngüsel başvuru (circular ref) garantilidir.</t>
        </is>
      </c>
    </row>
    <row r="23">
      <c r="B23" s="127" t="inlineStr">
        <is>
          <t>●  Öncelik 3: Resmi Mevzuat ve Vergi Kalkanı Entegrasyonu</t>
        </is>
      </c>
    </row>
    <row r="24">
      <c r="B24" s="171" t="inlineStr">
        <is>
          <t xml:space="preserve">   2026 güncel vergi dilimleri, amortisman ve SGK teşvik parametreleri tam otomatik yansıtılmaktadır.</t>
        </is>
      </c>
    </row>
    <row r="25">
      <c r="B25" s="127" t="inlineStr">
        <is>
          <t>●  Öncelik 4: Yönetici İmzası ve Rapor Paylaşımı</t>
        </is>
      </c>
    </row>
    <row r="26">
      <c r="B26" s="17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33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Tarımsal Destek/Teşvik Uygunluk Testi</t>
        </is>
      </c>
    </row>
    <row r="3">
      <c r="A3" s="3" t="inlineStr">
        <is>
          <t>Tarımsal Destek/Teşvik Uygunluk Testi</t>
        </is>
      </c>
    </row>
    <row r="4">
      <c r="A4" s="4" t="inlineStr">
        <is>
          <t>ÇKS, alan, çağrı programı ve borç durumunu yıllı kural tablosuyla karşılaştırıp hibe/teşvik başvurusuna UYGUN / ŞARTLI / UYGUN DEĞİL kararı üretir.</t>
        </is>
      </c>
    </row>
    <row r="6">
      <c r="A6" s="5" t="inlineStr">
        <is>
          <t>Bu ürün ne sağlar?</t>
        </is>
      </c>
    </row>
    <row r="7">
      <c r="A7" s="6" t="inlineStr">
        <is>
          <t>• Çok yıllı destek eşikleri (2025/2026/2027) — tebliğ güncellemesine hazır</t>
        </is>
      </c>
    </row>
    <row r="8">
      <c r="A8" s="6" t="inlineStr">
        <is>
          <t>• Çağrı programına göre uygunluk puanı + madde atıflı KANIT_RAPORU</t>
        </is>
      </c>
    </row>
    <row r="9">
      <c r="A9" s="6" t="inlineStr">
        <is>
          <t>• Senaryo / duyarlılık / M-SEN eşik değişimi</t>
        </is>
      </c>
    </row>
    <row r="10">
      <c r="A10" s="6" t="inlineStr">
        <is>
          <t>• Borç ve ÇKS zorunluluk kapısı — hatalı başvuruyu önler</t>
        </is>
      </c>
    </row>
    <row r="11">
      <c r="A11" s="6" t="inlineStr">
        <is>
          <t>• Belirsizlik beyanı: ÇKS güncelleme penceresi (yorum A / B)</t>
        </is>
      </c>
    </row>
    <row r="13">
      <c r="A13" s="5" t="inlineStr">
        <is>
          <t>Kimler için?</t>
        </is>
      </c>
    </row>
    <row r="14">
      <c r="A14" s="7" t="inlineStr">
        <is>
          <t>• Çiftçi / işletme — başvuru öncesi kendi uygunluğunu test eder</t>
        </is>
      </c>
    </row>
    <row r="15">
      <c r="A15" s="7" t="inlineStr">
        <is>
          <t>• Kooperatif / danışman — çağrı seçimi ve karar gerekçesini sunar</t>
        </is>
      </c>
    </row>
    <row r="16">
      <c r="A16" s="7" t="inlineStr">
        <is>
          <t>• Hibe / bakanlık kanıt tarafı — kural_id atıflı özeti dosyalar</t>
        </is>
      </c>
    </row>
    <row r="18">
      <c r="A18" s="5" t="inlineStr">
        <is>
          <t>Nasıl başlanır?</t>
        </is>
      </c>
    </row>
    <row r="19">
      <c r="A19" s="8" t="inlineStr">
        <is>
          <t>1) GIRDI sarı hücreler → 2) PANO karar → 3) SENARYO → 4) KANIT_RAPORU yazdır.</t>
        </is>
      </c>
    </row>
    <row r="21">
      <c r="A21" s="9" t="inlineStr">
        <is>
          <t>Sürüm 1.0.0 | 2026 | ExcelArşiv | Lisans: Tek kullanıcı | TDU-PRO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3:N3"/>
    <mergeCell ref="A8:T8"/>
    <mergeCell ref="A4:N4"/>
    <mergeCell ref="A9:T9"/>
    <mergeCell ref="A7:T7"/>
    <mergeCell ref="A19:N19"/>
    <mergeCell ref="A10:T10"/>
    <mergeCell ref="A11:T11"/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6A4F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HIZLI BASLANGIC — Tarımsal Destek/Teşvik Uygunluk Testi</t>
        </is>
      </c>
    </row>
    <row r="3">
      <c r="A3" s="10" t="inlineStr">
        <is>
          <t>3 adımda başvuru uygunluğu</t>
        </is>
      </c>
    </row>
    <row r="5" ht="28" customHeight="1">
      <c r="A5" s="11" t="inlineStr">
        <is>
          <t>1 · Giriş</t>
        </is>
      </c>
      <c r="B5" s="6" t="inlineStr">
        <is>
          <t>GIRDI sayfasında ÇKS, dekar, çağrı programı ve borç alanlarını doldurun.</t>
        </is>
      </c>
    </row>
    <row r="6" ht="28" customHeight="1">
      <c r="A6" s="11" t="inlineStr">
        <is>
          <t>2 · Karar</t>
        </is>
      </c>
      <c r="B6" s="6" t="inlineStr">
        <is>
          <t>PANO'da UYGUN / ŞARTLI / UYGUN DEĞİL kararını ve puanı görün.</t>
        </is>
      </c>
    </row>
    <row r="7" ht="28" customHeight="1">
      <c r="A7" s="11" t="inlineStr">
        <is>
          <t>3 · Kanıt</t>
        </is>
      </c>
      <c r="B7" s="6" t="inlineStr">
        <is>
          <t>KANIT_RAPORU'nu yazdırıp kooperatif veya danışmana sunun.</t>
        </is>
      </c>
    </row>
    <row r="9">
      <c r="A9" s="12" t="inlineStr">
        <is>
          <t>Sık hata</t>
        </is>
      </c>
    </row>
    <row r="10">
      <c r="A10" s="4" t="inlineStr">
        <is>
          <t>ÇKS kaydı yokken veya vergi/SGK borcu varken başvurmak — motor UYGUN DEĞİL üretir.</t>
        </is>
      </c>
    </row>
    <row r="12">
      <c r="A12" s="13" t="inlineStr">
        <is>
          <t>Demo hazır</t>
        </is>
      </c>
    </row>
    <row r="13">
      <c r="A13" s="8" t="inlineStr">
        <is>
          <t>Dosya örnek veriyle açılır. Boş moda almak için GIRDI tablosunu temizleyin → VERİ YOK.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7:J7"/>
    <mergeCell ref="B5:J5"/>
    <mergeCell ref="A10:J10"/>
    <mergeCell ref="A13:J13"/>
    <mergeCell ref="B6:J6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8948"/>
    <outlinePr summaryBelow="1" summaryRight="1"/>
    <pageSetUpPr/>
  </sheetPr>
  <dimension ref="A1:AD1004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Tarımsal Destek/Teşvik Uygunluk Testi</t>
        </is>
      </c>
    </row>
    <row r="3">
      <c r="A3" s="14" t="inlineStr">
        <is>
          <t>İşletme ve başvuru girişi</t>
        </is>
      </c>
    </row>
    <row r="4">
      <c r="A4" s="4" t="inlineStr">
        <is>
          <t>Sarı hücreler manuel giriştir. Eşikler KURALLAR'dan çekilir.</t>
        </is>
      </c>
    </row>
    <row r="5">
      <c r="A5" s="15" t="inlineStr">
        <is>
          <t>Alan</t>
        </is>
      </c>
      <c r="B5" s="15" t="inlineStr">
        <is>
          <t>Değer</t>
        </is>
      </c>
      <c r="C5" s="15" t="inlineStr">
        <is>
          <t>Birim</t>
        </is>
      </c>
    </row>
    <row r="6">
      <c r="A6" s="16" t="inlineStr">
        <is>
          <t>İşletme Adı</t>
        </is>
      </c>
      <c r="B6" s="17" t="inlineStr">
        <is>
          <t>Örnek Tarım İşletmesi</t>
        </is>
      </c>
      <c r="C6" s="18" t="inlineStr">
        <is>
          <t>metin</t>
        </is>
      </c>
    </row>
    <row r="7">
      <c r="A7" s="16" t="inlineStr">
        <is>
          <t>Dönem / Çağrı Etiketi</t>
        </is>
      </c>
      <c r="B7" s="17" t="inlineStr">
        <is>
          <t>2026 Çağrı</t>
        </is>
      </c>
      <c r="C7" s="18" t="inlineStr">
        <is>
          <t>metin</t>
        </is>
      </c>
    </row>
    <row r="8">
      <c r="A8" s="16" t="inlineStr">
        <is>
          <t>Hesap Yılı</t>
        </is>
      </c>
      <c r="B8" s="19" t="n">
        <v>2026</v>
      </c>
      <c r="C8" s="18" t="inlineStr">
        <is>
          <t>yıl</t>
        </is>
      </c>
    </row>
    <row r="9">
      <c r="A9" s="16" t="inlineStr">
        <is>
          <t>ÇKS Kayıt</t>
        </is>
      </c>
      <c r="B9" s="17" t="inlineStr">
        <is>
          <t>Evet</t>
        </is>
      </c>
      <c r="C9" s="18" t="inlineStr">
        <is>
          <t>Evet/Hayır</t>
        </is>
      </c>
    </row>
    <row r="10">
      <c r="A10" s="16" t="inlineStr">
        <is>
          <t>Toplam Alan [dekar]</t>
        </is>
      </c>
      <c r="B10" s="20" t="n">
        <v>45</v>
      </c>
      <c r="C10" s="18" t="inlineStr">
        <is>
          <t>dekar</t>
        </is>
      </c>
    </row>
    <row r="11">
      <c r="A11" s="16" t="inlineStr">
        <is>
          <t>Ürün Grubu</t>
        </is>
      </c>
      <c r="B11" s="17" t="inlineStr">
        <is>
          <t>Bitkisel</t>
        </is>
      </c>
      <c r="C11" s="18" t="inlineStr">
        <is>
          <t>liste</t>
        </is>
      </c>
    </row>
    <row r="12">
      <c r="A12" s="16" t="inlineStr">
        <is>
          <t>Çağrı Programı</t>
        </is>
      </c>
      <c r="B12" s="17" t="inlineStr">
        <is>
          <t>MazotGubre</t>
        </is>
      </c>
      <c r="C12" s="18" t="inlineStr">
        <is>
          <t>liste</t>
        </is>
      </c>
    </row>
    <row r="13">
      <c r="A13" s="16" t="inlineStr">
        <is>
          <t>Başvuran Yaşı</t>
        </is>
      </c>
      <c r="B13" s="19" t="n">
        <v>38</v>
      </c>
      <c r="C13" s="18" t="inlineStr">
        <is>
          <t>yıl</t>
        </is>
      </c>
    </row>
    <row r="14">
      <c r="A14" s="16" t="inlineStr">
        <is>
          <t>Organik Sertifika</t>
        </is>
      </c>
      <c r="B14" s="17" t="inlineStr">
        <is>
          <t>Hayır</t>
        </is>
      </c>
      <c r="C14" s="18" t="inlineStr">
        <is>
          <t>Evet/Hayır</t>
        </is>
      </c>
    </row>
    <row r="15">
      <c r="A15" s="16" t="inlineStr">
        <is>
          <t>Hayvan Adedi</t>
        </is>
      </c>
      <c r="B15" s="19" t="n">
        <v>0</v>
      </c>
      <c r="C15" s="18" t="inlineStr">
        <is>
          <t>adet</t>
        </is>
      </c>
    </row>
    <row r="16">
      <c r="A16" s="16" t="inlineStr">
        <is>
          <t>Yatırım Tutarı [₺]</t>
        </is>
      </c>
      <c r="B16" s="21" t="n">
        <v>0</v>
      </c>
      <c r="C16" s="18" t="inlineStr">
        <is>
          <t>₺</t>
        </is>
      </c>
    </row>
    <row r="17">
      <c r="A17" s="16" t="inlineStr">
        <is>
          <t>Vergi/SGK Borcu</t>
        </is>
      </c>
      <c r="B17" s="17" t="inlineStr">
        <is>
          <t>Hayır</t>
        </is>
      </c>
      <c r="C17" s="18" t="inlineStr">
        <is>
          <t>Evet/Hayır</t>
        </is>
      </c>
    </row>
    <row r="18">
      <c r="A18" s="16" t="inlineStr">
        <is>
          <t>Başvuru Yorumu (A/B)</t>
        </is>
      </c>
      <c r="B18" s="17" t="inlineStr">
        <is>
          <t>A</t>
        </is>
      </c>
      <c r="C18" s="18" t="inlineStr">
        <is>
          <t>A/B</t>
        </is>
      </c>
    </row>
    <row r="20">
      <c r="A20" s="22" t="inlineStr">
        <is>
          <t>Giriş doluluk (kalite)</t>
        </is>
      </c>
      <c r="B20" s="23">
        <f>IFERROR(IF(OR(COUNTA(B6:B18)=0,tdu_girisBeklenen=0),0,ROUND(COUNTA(B6:B18)/tdu_girisBeklenen*100,0)),0)</f>
        <v/>
      </c>
    </row>
    <row r="22">
      <c r="A22" s="22" t="inlineStr">
        <is>
          <t>Giriş tablosu (otomasyon / boş-mod)</t>
        </is>
      </c>
    </row>
    <row r="23" ht="30" customHeight="1">
      <c r="A23" s="24" t="inlineStr">
        <is>
          <t>Alan Anahtarı</t>
        </is>
      </c>
      <c r="B23" s="24" t="inlineStr">
        <is>
          <t>Değer</t>
        </is>
      </c>
      <c r="C23" s="24" t="inlineStr">
        <is>
          <t>Birim</t>
        </is>
      </c>
      <c r="D23" s="24" t="inlineStr">
        <is>
          <t>Zorunlu</t>
        </is>
      </c>
      <c r="E23" s="24" t="inlineStr">
        <is>
          <t>Kaynak</t>
        </is>
      </c>
      <c r="F23" s="24" t="inlineStr">
        <is>
          <t>Kontrol</t>
        </is>
      </c>
    </row>
    <row r="24">
      <c r="A24" s="25" t="inlineStr">
        <is>
          <t>isletme_adi</t>
        </is>
      </c>
      <c r="B24" s="25" t="inlineStr">
        <is>
          <t>Örnek Tarım İşletmesi</t>
        </is>
      </c>
      <c r="C24" s="25" t="inlineStr">
        <is>
          <t>metin</t>
        </is>
      </c>
      <c r="D24" s="25" t="inlineStr">
        <is>
          <t>Evet</t>
        </is>
      </c>
      <c r="E24" s="25" t="inlineStr">
        <is>
          <t>GIRDI</t>
        </is>
      </c>
      <c r="F24" s="26">
        <f>IF($A24="","",IF($B24="","EKSİK","TAM"))</f>
        <v/>
      </c>
    </row>
    <row r="25">
      <c r="A25" s="25" t="inlineStr">
        <is>
          <t>donem</t>
        </is>
      </c>
      <c r="B25" s="25" t="inlineStr">
        <is>
          <t>2026 Çağrı</t>
        </is>
      </c>
      <c r="C25" s="25" t="inlineStr">
        <is>
          <t>metin</t>
        </is>
      </c>
      <c r="D25" s="25" t="inlineStr">
        <is>
          <t>Evet</t>
        </is>
      </c>
      <c r="E25" s="25" t="inlineStr">
        <is>
          <t>GIRDI</t>
        </is>
      </c>
      <c r="F25" s="26">
        <f>IF($A25="","",IF($B25="","EKSİK","TAM"))</f>
        <v/>
      </c>
    </row>
    <row r="26">
      <c r="A26" s="25" t="inlineStr">
        <is>
          <t>hesapYili</t>
        </is>
      </c>
      <c r="B26" s="27" t="n">
        <v>2026</v>
      </c>
      <c r="C26" s="25" t="inlineStr">
        <is>
          <t>yıl</t>
        </is>
      </c>
      <c r="D26" s="25" t="inlineStr">
        <is>
          <t>Evet</t>
        </is>
      </c>
      <c r="E26" s="25" t="inlineStr">
        <is>
          <t>GIRDI</t>
        </is>
      </c>
      <c r="F26" s="26">
        <f>IF($A26="","",IF($B26="","EKSİK","TAM"))</f>
        <v/>
      </c>
    </row>
    <row r="27">
      <c r="A27" s="25" t="inlineStr">
        <is>
          <t>cks_kayit</t>
        </is>
      </c>
      <c r="B27" s="25" t="inlineStr">
        <is>
          <t>Evet</t>
        </is>
      </c>
      <c r="C27" s="25" t="inlineStr">
        <is>
          <t>Evet/Hayır</t>
        </is>
      </c>
      <c r="D27" s="25" t="inlineStr">
        <is>
          <t>Evet</t>
        </is>
      </c>
      <c r="E27" s="25" t="inlineStr">
        <is>
          <t>GIRDI</t>
        </is>
      </c>
      <c r="F27" s="26">
        <f>IF($A27="","",IF($B27="","EKSİK","TAM"))</f>
        <v/>
      </c>
    </row>
    <row r="28">
      <c r="A28" s="25" t="inlineStr">
        <is>
          <t>toplam_dekar</t>
        </is>
      </c>
      <c r="B28" s="28" t="n">
        <v>45</v>
      </c>
      <c r="C28" s="25" t="inlineStr">
        <is>
          <t>dekar</t>
        </is>
      </c>
      <c r="D28" s="25" t="inlineStr">
        <is>
          <t>Evet</t>
        </is>
      </c>
      <c r="E28" s="25" t="inlineStr">
        <is>
          <t>GIRDI</t>
        </is>
      </c>
      <c r="F28" s="26">
        <f>IF($A28="","",IF($B28="","EKSİK","TAM"))</f>
        <v/>
      </c>
    </row>
    <row r="29">
      <c r="A29" s="25" t="inlineStr">
        <is>
          <t>urun_grubu</t>
        </is>
      </c>
      <c r="B29" s="25" t="inlineStr">
        <is>
          <t>Bitkisel</t>
        </is>
      </c>
      <c r="C29" s="25" t="inlineStr">
        <is>
          <t>liste</t>
        </is>
      </c>
      <c r="D29" s="25" t="inlineStr">
        <is>
          <t>Evet</t>
        </is>
      </c>
      <c r="E29" s="25" t="inlineStr">
        <is>
          <t>GIRDI</t>
        </is>
      </c>
      <c r="F29" s="26">
        <f>IF($A29="","",IF($B29="","EKSİK","TAM"))</f>
        <v/>
      </c>
    </row>
    <row r="30">
      <c r="A30" s="25" t="inlineStr">
        <is>
          <t>cagri_programi</t>
        </is>
      </c>
      <c r="B30" s="25" t="inlineStr">
        <is>
          <t>MazotGubre</t>
        </is>
      </c>
      <c r="C30" s="25" t="inlineStr">
        <is>
          <t>liste</t>
        </is>
      </c>
      <c r="D30" s="25" t="inlineStr">
        <is>
          <t>Evet</t>
        </is>
      </c>
      <c r="E30" s="25" t="inlineStr">
        <is>
          <t>GIRDI</t>
        </is>
      </c>
      <c r="F30" s="26">
        <f>IF($A30="","",IF($B30="","EKSİK","TAM"))</f>
        <v/>
      </c>
    </row>
    <row r="31">
      <c r="A31" s="25" t="inlineStr">
        <is>
          <t>yas</t>
        </is>
      </c>
      <c r="B31" s="27" t="n">
        <v>38</v>
      </c>
      <c r="C31" s="25" t="inlineStr">
        <is>
          <t>yıl</t>
        </is>
      </c>
      <c r="D31" s="25" t="inlineStr">
        <is>
          <t>Evet</t>
        </is>
      </c>
      <c r="E31" s="25" t="inlineStr">
        <is>
          <t>GIRDI</t>
        </is>
      </c>
      <c r="F31" s="26">
        <f>IF($A31="","",IF($B31="","EKSİK","TAM"))</f>
        <v/>
      </c>
    </row>
    <row r="32">
      <c r="A32" s="25" t="inlineStr">
        <is>
          <t>organik_sertifika</t>
        </is>
      </c>
      <c r="B32" s="25" t="inlineStr">
        <is>
          <t>Hayır</t>
        </is>
      </c>
      <c r="C32" s="25" t="inlineStr">
        <is>
          <t>Evet/Hayır</t>
        </is>
      </c>
      <c r="D32" s="25" t="inlineStr">
        <is>
          <t>Hayır</t>
        </is>
      </c>
      <c r="E32" s="25" t="inlineStr">
        <is>
          <t>GIRDI</t>
        </is>
      </c>
      <c r="F32" s="26">
        <f>IF($A32="","",IF($B32="","EKSİK","TAM"))</f>
        <v/>
      </c>
    </row>
    <row r="33">
      <c r="A33" s="25" t="inlineStr">
        <is>
          <t>hayvan_adet</t>
        </is>
      </c>
      <c r="B33" s="27" t="n">
        <v>0</v>
      </c>
      <c r="C33" s="25" t="inlineStr">
        <is>
          <t>adet</t>
        </is>
      </c>
      <c r="D33" s="25" t="inlineStr">
        <is>
          <t>Hayır</t>
        </is>
      </c>
      <c r="E33" s="25" t="inlineStr">
        <is>
          <t>GIRDI</t>
        </is>
      </c>
      <c r="F33" s="26">
        <f>IF($A33="","",IF($B33="","EKSİK","TAM"))</f>
        <v/>
      </c>
    </row>
    <row r="34">
      <c r="A34" s="25" t="inlineStr">
        <is>
          <t>yatirim_tutari</t>
        </is>
      </c>
      <c r="B34" s="29" t="n">
        <v>0</v>
      </c>
      <c r="C34" s="25" t="inlineStr">
        <is>
          <t>TL</t>
        </is>
      </c>
      <c r="D34" s="25" t="inlineStr">
        <is>
          <t>Hayır</t>
        </is>
      </c>
      <c r="E34" s="25" t="inlineStr">
        <is>
          <t>GIRDI</t>
        </is>
      </c>
      <c r="F34" s="26">
        <f>IF($A34="","",IF($B34="","EKSİK","TAM"))</f>
        <v/>
      </c>
    </row>
    <row r="35">
      <c r="A35" s="25" t="inlineStr">
        <is>
          <t>vergi_sgk_borcu</t>
        </is>
      </c>
      <c r="B35" s="25" t="inlineStr">
        <is>
          <t>Hayır</t>
        </is>
      </c>
      <c r="C35" s="25" t="inlineStr">
        <is>
          <t>Evet/Hayır</t>
        </is>
      </c>
      <c r="D35" s="25" t="inlineStr">
        <is>
          <t>Evet</t>
        </is>
      </c>
      <c r="E35" s="25" t="inlineStr">
        <is>
          <t>GIRDI</t>
        </is>
      </c>
      <c r="F35" s="26">
        <f>IF($A35="","",IF($B35="","EKSİK","TAM"))</f>
        <v/>
      </c>
    </row>
    <row r="36">
      <c r="A36" s="25" t="inlineStr">
        <is>
          <t>basvuru_yorumu</t>
        </is>
      </c>
      <c r="B36" s="25" t="inlineStr">
        <is>
          <t>A</t>
        </is>
      </c>
      <c r="C36" s="25" t="inlineStr">
        <is>
          <t>A/B</t>
        </is>
      </c>
      <c r="D36" s="25" t="inlineStr">
        <is>
          <t>Evet</t>
        </is>
      </c>
      <c r="E36" s="25" t="inlineStr">
        <is>
          <t>GIRDI</t>
        </is>
      </c>
      <c r="F36" s="26">
        <f>IF($A36="","",IF($B36="","EKSİK","TAM"))</f>
        <v/>
      </c>
    </row>
    <row r="37">
      <c r="F37" s="26">
        <f>IF($A37="","",IF($B37="","EKSİK","TAM"))</f>
        <v/>
      </c>
    </row>
    <row r="38">
      <c r="F38" s="26">
        <f>IF($A38="","",IF($B38="","EKSİK","TAM"))</f>
        <v/>
      </c>
    </row>
    <row r="39">
      <c r="F39" s="26">
        <f>IF($A39="","",IF($B39="","EKSİK","TAM"))</f>
        <v/>
      </c>
    </row>
    <row r="40">
      <c r="F40" s="26">
        <f>IF($A40="","",IF($B40="","EKSİK","TAM"))</f>
        <v/>
      </c>
    </row>
    <row r="41">
      <c r="F41" s="26">
        <f>IF($A41="","",IF($B41="","EKSİK","TAM"))</f>
        <v/>
      </c>
    </row>
    <row r="42">
      <c r="F42" s="26">
        <f>IF($A42="","",IF($B42="","EKSİK","TAM"))</f>
        <v/>
      </c>
    </row>
    <row r="43">
      <c r="F43" s="26">
        <f>IF($A43="","",IF($B43="","EKSİK","TAM"))</f>
        <v/>
      </c>
    </row>
    <row r="44">
      <c r="F44" s="26">
        <f>IF($A44="","",IF($B44="","EKSİK","TAM"))</f>
        <v/>
      </c>
    </row>
    <row r="45">
      <c r="F45" s="26">
        <f>IF($A45="","",IF($B45="","EKSİK","TAM"))</f>
        <v/>
      </c>
    </row>
    <row r="46">
      <c r="F46" s="26">
        <f>IF($A46="","",IF($B46="","EKSİK","TAM"))</f>
        <v/>
      </c>
    </row>
    <row r="47">
      <c r="F47" s="26">
        <f>IF($A47="","",IF($B47="","EKSİK","TAM"))</f>
        <v/>
      </c>
    </row>
    <row r="48">
      <c r="F48" s="26">
        <f>IF($A48="","",IF($B48="","EKSİK","TAM"))</f>
        <v/>
      </c>
    </row>
    <row r="49">
      <c r="F49" s="26">
        <f>IF($A49="","",IF($B49="","EKSİK","TAM"))</f>
        <v/>
      </c>
    </row>
    <row r="50">
      <c r="F50" s="26">
        <f>IF($A50="","",IF($B50="","EKSİK","TAM"))</f>
        <v/>
      </c>
    </row>
    <row r="51">
      <c r="F51" s="26">
        <f>IF($A51="","",IF($B51="","EKSİK","TAM"))</f>
        <v/>
      </c>
    </row>
    <row r="52">
      <c r="F52" s="26">
        <f>IF($A52="","",IF($B52="","EKSİK","TAM"))</f>
        <v/>
      </c>
    </row>
    <row r="53">
      <c r="F53" s="26">
        <f>IF($A53="","",IF($B53="","EKSİK","TAM"))</f>
        <v/>
      </c>
    </row>
    <row r="54">
      <c r="F54" s="26">
        <f>IF($A54="","",IF($B54="","EKSİK","TAM"))</f>
        <v/>
      </c>
    </row>
    <row r="55">
      <c r="F55" s="26">
        <f>IF($A55="","",IF($B55="","EKSİK","TAM"))</f>
        <v/>
      </c>
    </row>
    <row r="56">
      <c r="F56" s="26">
        <f>IF($A56="","",IF($B56="","EKSİK","TAM"))</f>
        <v/>
      </c>
    </row>
    <row r="57">
      <c r="F57" s="26">
        <f>IF($A57="","",IF($B57="","EKSİK","TAM"))</f>
        <v/>
      </c>
    </row>
    <row r="58">
      <c r="F58" s="26">
        <f>IF($A58="","",IF($B58="","EKSİK","TAM"))</f>
        <v/>
      </c>
    </row>
    <row r="59">
      <c r="F59" s="26">
        <f>IF($A59="","",IF($B59="","EKSİK","TAM"))</f>
        <v/>
      </c>
    </row>
    <row r="60">
      <c r="F60" s="26">
        <f>IF($A60="","",IF($B60="","EKSİK","TAM"))</f>
        <v/>
      </c>
    </row>
    <row r="61">
      <c r="F61" s="26">
        <f>IF($A61="","",IF($B61="","EKSİK","TAM"))</f>
        <v/>
      </c>
    </row>
    <row r="62">
      <c r="F62" s="26">
        <f>IF($A62="","",IF($B62="","EKSİK","TAM"))</f>
        <v/>
      </c>
    </row>
    <row r="63">
      <c r="F63" s="26">
        <f>IF($A63="","",IF($B63="","EKSİK","TAM"))</f>
        <v/>
      </c>
    </row>
    <row r="64">
      <c r="F64" s="26">
        <f>IF($A64="","",IF($B64="","EKSİK","TAM"))</f>
        <v/>
      </c>
    </row>
    <row r="65">
      <c r="F65" s="26">
        <f>IF($A65="","",IF($B65="","EKSİK","TAM"))</f>
        <v/>
      </c>
    </row>
    <row r="66">
      <c r="F66" s="26">
        <f>IF($A66="","",IF($B66="","EKSİK","TAM"))</f>
        <v/>
      </c>
    </row>
    <row r="67">
      <c r="F67" s="26">
        <f>IF($A67="","",IF($B67="","EKSİK","TAM"))</f>
        <v/>
      </c>
    </row>
    <row r="68">
      <c r="F68" s="26">
        <f>IF($A68="","",IF($B68="","EKSİK","TAM"))</f>
        <v/>
      </c>
    </row>
    <row r="69">
      <c r="F69" s="26">
        <f>IF($A69="","",IF($B69="","EKSİK","TAM"))</f>
        <v/>
      </c>
    </row>
    <row r="70">
      <c r="F70" s="26">
        <f>IF($A70="","",IF($B70="","EKSİK","TAM"))</f>
        <v/>
      </c>
    </row>
    <row r="71">
      <c r="F71" s="26">
        <f>IF($A71="","",IF($B71="","EKSİK","TAM"))</f>
        <v/>
      </c>
    </row>
    <row r="72">
      <c r="F72" s="26">
        <f>IF($A72="","",IF($B72="","EKSİK","TAM"))</f>
        <v/>
      </c>
    </row>
    <row r="73">
      <c r="F73" s="26">
        <f>IF($A73="","",IF($B73="","EKSİK","TAM"))</f>
        <v/>
      </c>
    </row>
    <row r="74">
      <c r="F74" s="26">
        <f>IF($A74="","",IF($B74="","EKSİK","TAM"))</f>
        <v/>
      </c>
    </row>
    <row r="75">
      <c r="F75" s="26">
        <f>IF($A75="","",IF($B75="","EKSİK","TAM"))</f>
        <v/>
      </c>
    </row>
    <row r="76">
      <c r="F76" s="26">
        <f>IF($A76="","",IF($B76="","EKSİK","TAM"))</f>
        <v/>
      </c>
    </row>
    <row r="77">
      <c r="F77" s="26">
        <f>IF($A77="","",IF($B77="","EKSİK","TAM"))</f>
        <v/>
      </c>
    </row>
    <row r="78">
      <c r="F78" s="26">
        <f>IF($A78="","",IF($B78="","EKSİK","TAM"))</f>
        <v/>
      </c>
    </row>
    <row r="79">
      <c r="F79" s="26">
        <f>IF($A79="","",IF($B79="","EKSİK","TAM"))</f>
        <v/>
      </c>
    </row>
    <row r="80">
      <c r="F80" s="26">
        <f>IF($A80="","",IF($B80="","EKSİK","TAM"))</f>
        <v/>
      </c>
    </row>
    <row r="81">
      <c r="F81" s="26">
        <f>IF($A81="","",IF($B81="","EKSİK","TAM"))</f>
        <v/>
      </c>
    </row>
    <row r="82">
      <c r="F82" s="26">
        <f>IF($A82="","",IF($B82="","EKSİK","TAM"))</f>
        <v/>
      </c>
    </row>
    <row r="83">
      <c r="F83" s="26">
        <f>IF($A83="","",IF($B83="","EKSİK","TAM"))</f>
        <v/>
      </c>
    </row>
    <row r="84">
      <c r="F84" s="26">
        <f>IF($A84="","",IF($B84="","EKSİK","TAM"))</f>
        <v/>
      </c>
    </row>
    <row r="85">
      <c r="F85" s="26">
        <f>IF($A85="","",IF($B85="","EKSİK","TAM"))</f>
        <v/>
      </c>
    </row>
    <row r="86">
      <c r="F86" s="26">
        <f>IF($A86="","",IF($B86="","EKSİK","TAM"))</f>
        <v/>
      </c>
    </row>
    <row r="87">
      <c r="F87" s="26">
        <f>IF($A87="","",IF($B87="","EKSİK","TAM"))</f>
        <v/>
      </c>
    </row>
    <row r="88">
      <c r="F88" s="26">
        <f>IF($A88="","",IF($B88="","EKSİK","TAM"))</f>
        <v/>
      </c>
    </row>
    <row r="89">
      <c r="F89" s="26">
        <f>IF($A89="","",IF($B89="","EKSİK","TAM"))</f>
        <v/>
      </c>
    </row>
    <row r="90">
      <c r="F90" s="26">
        <f>IF($A90="","",IF($B90="","EKSİK","TAM"))</f>
        <v/>
      </c>
    </row>
    <row r="91">
      <c r="F91" s="26">
        <f>IF($A91="","",IF($B91="","EKSİK","TAM"))</f>
        <v/>
      </c>
    </row>
    <row r="92">
      <c r="F92" s="26">
        <f>IF($A92="","",IF($B92="","EKSİK","TAM"))</f>
        <v/>
      </c>
    </row>
    <row r="93">
      <c r="F93" s="26">
        <f>IF($A93="","",IF($B93="","EKSİK","TAM"))</f>
        <v/>
      </c>
    </row>
    <row r="94">
      <c r="F94" s="26">
        <f>IF($A94="","",IF($B94="","EKSİK","TAM"))</f>
        <v/>
      </c>
    </row>
    <row r="95">
      <c r="F95" s="26">
        <f>IF($A95="","",IF($B95="","EKSİK","TAM"))</f>
        <v/>
      </c>
    </row>
    <row r="96">
      <c r="F96" s="26">
        <f>IF($A96="","",IF($B96="","EKSİK","TAM"))</f>
        <v/>
      </c>
    </row>
    <row r="97">
      <c r="F97" s="26">
        <f>IF($A97="","",IF($B97="","EKSİK","TAM"))</f>
        <v/>
      </c>
    </row>
    <row r="98">
      <c r="F98" s="26">
        <f>IF($A98="","",IF($B98="","EKSİK","TAM"))</f>
        <v/>
      </c>
    </row>
    <row r="99">
      <c r="F99" s="26">
        <f>IF($A99="","",IF($B99="","EKSİK","TAM"))</f>
        <v/>
      </c>
    </row>
    <row r="100">
      <c r="F100" s="26">
        <f>IF($A100="","",IF($B100="","EKSİK","TAM"))</f>
        <v/>
      </c>
    </row>
    <row r="101">
      <c r="F101" s="26">
        <f>IF($A101="","",IF($B101="","EKSİK","TAM"))</f>
        <v/>
      </c>
    </row>
    <row r="102">
      <c r="F102" s="26">
        <f>IF($A102="","",IF($B102="","EKSİK","TAM"))</f>
        <v/>
      </c>
    </row>
    <row r="103">
      <c r="F103" s="26">
        <f>IF($A103="","",IF($B103="","EKSİK","TAM"))</f>
        <v/>
      </c>
    </row>
    <row r="104">
      <c r="F104" s="26">
        <f>IF($A104="","",IF($B104="","EKSİK","TAM"))</f>
        <v/>
      </c>
    </row>
    <row r="105">
      <c r="F105" s="26">
        <f>IF($A105="","",IF($B105="","EKSİK","TAM"))</f>
        <v/>
      </c>
    </row>
    <row r="106">
      <c r="F106" s="26">
        <f>IF($A106="","",IF($B106="","EKSİK","TAM"))</f>
        <v/>
      </c>
    </row>
    <row r="107">
      <c r="F107" s="26">
        <f>IF($A107="","",IF($B107="","EKSİK","TAM"))</f>
        <v/>
      </c>
    </row>
    <row r="108">
      <c r="F108" s="26">
        <f>IF($A108="","",IF($B108="","EKSİK","TAM"))</f>
        <v/>
      </c>
    </row>
    <row r="109">
      <c r="F109" s="26">
        <f>IF($A109="","",IF($B109="","EKSİK","TAM"))</f>
        <v/>
      </c>
    </row>
    <row r="110">
      <c r="F110" s="26">
        <f>IF($A110="","",IF($B110="","EKSİK","TAM"))</f>
        <v/>
      </c>
    </row>
    <row r="111">
      <c r="F111" s="26">
        <f>IF($A111="","",IF($B111="","EKSİK","TAM"))</f>
        <v/>
      </c>
    </row>
    <row r="112">
      <c r="F112" s="26">
        <f>IF($A112="","",IF($B112="","EKSİK","TAM"))</f>
        <v/>
      </c>
    </row>
    <row r="113">
      <c r="F113" s="26">
        <f>IF($A113="","",IF($B113="","EKSİK","TAM"))</f>
        <v/>
      </c>
    </row>
    <row r="114">
      <c r="F114" s="26">
        <f>IF($A114="","",IF($B114="","EKSİK","TAM"))</f>
        <v/>
      </c>
    </row>
    <row r="115">
      <c r="F115" s="26">
        <f>IF($A115="","",IF($B115="","EKSİK","TAM"))</f>
        <v/>
      </c>
    </row>
    <row r="116">
      <c r="F116" s="26">
        <f>IF($A116="","",IF($B116="","EKSİK","TAM"))</f>
        <v/>
      </c>
    </row>
    <row r="117">
      <c r="F117" s="26">
        <f>IF($A117="","",IF($B117="","EKSİK","TAM"))</f>
        <v/>
      </c>
    </row>
    <row r="118">
      <c r="F118" s="26">
        <f>IF($A118="","",IF($B118="","EKSİK","TAM"))</f>
        <v/>
      </c>
    </row>
    <row r="119">
      <c r="F119" s="26">
        <f>IF($A119="","",IF($B119="","EKSİK","TAM"))</f>
        <v/>
      </c>
    </row>
    <row r="120">
      <c r="F120" s="26">
        <f>IF($A120="","",IF($B120="","EKSİK","TAM"))</f>
        <v/>
      </c>
    </row>
    <row r="121">
      <c r="F121" s="26">
        <f>IF($A121="","",IF($B121="","EKSİK","TAM"))</f>
        <v/>
      </c>
    </row>
    <row r="122">
      <c r="F122" s="26">
        <f>IF($A122="","",IF($B122="","EKSİK","TAM"))</f>
        <v/>
      </c>
    </row>
    <row r="123">
      <c r="F123" s="26">
        <f>IF($A123="","",IF($B123="","EKSİK","TAM"))</f>
        <v/>
      </c>
    </row>
    <row r="124">
      <c r="F124" s="26">
        <f>IF($A124="","",IF($B124="","EKSİK","TAM"))</f>
        <v/>
      </c>
    </row>
    <row r="125">
      <c r="F125" s="26">
        <f>IF($A125="","",IF($B125="","EKSİK","TAM"))</f>
        <v/>
      </c>
    </row>
    <row r="126">
      <c r="F126" s="26">
        <f>IF($A126="","",IF($B126="","EKSİK","TAM"))</f>
        <v/>
      </c>
    </row>
    <row r="127">
      <c r="F127" s="26">
        <f>IF($A127="","",IF($B127="","EKSİK","TAM"))</f>
        <v/>
      </c>
    </row>
    <row r="128">
      <c r="F128" s="26">
        <f>IF($A128="","",IF($B128="","EKSİK","TAM"))</f>
        <v/>
      </c>
    </row>
    <row r="129">
      <c r="F129" s="26">
        <f>IF($A129="","",IF($B129="","EKSİK","TAM"))</f>
        <v/>
      </c>
    </row>
    <row r="130">
      <c r="F130" s="26">
        <f>IF($A130="","",IF($B130="","EKSİK","TAM"))</f>
        <v/>
      </c>
    </row>
    <row r="131">
      <c r="F131" s="26">
        <f>IF($A131="","",IF($B131="","EKSİK","TAM"))</f>
        <v/>
      </c>
    </row>
    <row r="132">
      <c r="F132" s="26">
        <f>IF($A132="","",IF($B132="","EKSİK","TAM"))</f>
        <v/>
      </c>
    </row>
    <row r="133">
      <c r="F133" s="26">
        <f>IF($A133="","",IF($B133="","EKSİK","TAM"))</f>
        <v/>
      </c>
    </row>
    <row r="134">
      <c r="F134" s="26">
        <f>IF($A134="","",IF($B134="","EKSİK","TAM"))</f>
        <v/>
      </c>
    </row>
    <row r="135">
      <c r="F135" s="26">
        <f>IF($A135="","",IF($B135="","EKSİK","TAM"))</f>
        <v/>
      </c>
    </row>
    <row r="136">
      <c r="F136" s="26">
        <f>IF($A136="","",IF($B136="","EKSİK","TAM"))</f>
        <v/>
      </c>
    </row>
    <row r="137">
      <c r="F137" s="26">
        <f>IF($A137="","",IF($B137="","EKSİK","TAM"))</f>
        <v/>
      </c>
    </row>
    <row r="138">
      <c r="F138" s="26">
        <f>IF($A138="","",IF($B138="","EKSİK","TAM"))</f>
        <v/>
      </c>
    </row>
    <row r="139">
      <c r="F139" s="26">
        <f>IF($A139="","",IF($B139="","EKSİK","TAM"))</f>
        <v/>
      </c>
    </row>
    <row r="140">
      <c r="F140" s="26">
        <f>IF($A140="","",IF($B140="","EKSİK","TAM"))</f>
        <v/>
      </c>
    </row>
    <row r="141">
      <c r="F141" s="26">
        <f>IF($A141="","",IF($B141="","EKSİK","TAM"))</f>
        <v/>
      </c>
    </row>
    <row r="142">
      <c r="F142" s="26">
        <f>IF($A142="","",IF($B142="","EKSİK","TAM"))</f>
        <v/>
      </c>
    </row>
    <row r="143">
      <c r="F143" s="26">
        <f>IF($A143="","",IF($B143="","EKSİK","TAM"))</f>
        <v/>
      </c>
    </row>
    <row r="144">
      <c r="F144" s="26">
        <f>IF($A144="","",IF($B144="","EKSİK","TAM"))</f>
        <v/>
      </c>
    </row>
    <row r="145">
      <c r="F145" s="26">
        <f>IF($A145="","",IF($B145="","EKSİK","TAM"))</f>
        <v/>
      </c>
    </row>
    <row r="146">
      <c r="F146" s="26">
        <f>IF($A146="","",IF($B146="","EKSİK","TAM"))</f>
        <v/>
      </c>
    </row>
    <row r="147">
      <c r="F147" s="26">
        <f>IF($A147="","",IF($B147="","EKSİK","TAM"))</f>
        <v/>
      </c>
    </row>
    <row r="148">
      <c r="F148" s="26">
        <f>IF($A148="","",IF($B148="","EKSİK","TAM"))</f>
        <v/>
      </c>
    </row>
    <row r="149">
      <c r="F149" s="26">
        <f>IF($A149="","",IF($B149="","EKSİK","TAM"))</f>
        <v/>
      </c>
    </row>
    <row r="150">
      <c r="F150" s="26">
        <f>IF($A150="","",IF($B150="","EKSİK","TAM"))</f>
        <v/>
      </c>
    </row>
    <row r="151">
      <c r="F151" s="26">
        <f>IF($A151="","",IF($B151="","EKSİK","TAM"))</f>
        <v/>
      </c>
    </row>
    <row r="152">
      <c r="F152" s="26">
        <f>IF($A152="","",IF($B152="","EKSİK","TAM"))</f>
        <v/>
      </c>
    </row>
    <row r="153">
      <c r="F153" s="26">
        <f>IF($A153="","",IF($B153="","EKSİK","TAM"))</f>
        <v/>
      </c>
    </row>
    <row r="154">
      <c r="F154" s="26">
        <f>IF($A154="","",IF($B154="","EKSİK","TAM"))</f>
        <v/>
      </c>
    </row>
    <row r="155">
      <c r="F155" s="26">
        <f>IF($A155="","",IF($B155="","EKSİK","TAM"))</f>
        <v/>
      </c>
    </row>
    <row r="156">
      <c r="F156" s="26">
        <f>IF($A156="","",IF($B156="","EKSİK","TAM"))</f>
        <v/>
      </c>
    </row>
    <row r="157">
      <c r="F157" s="26">
        <f>IF($A157="","",IF($B157="","EKSİK","TAM"))</f>
        <v/>
      </c>
    </row>
    <row r="158">
      <c r="F158" s="26">
        <f>IF($A158="","",IF($B158="","EKSİK","TAM"))</f>
        <v/>
      </c>
    </row>
    <row r="159">
      <c r="F159" s="26">
        <f>IF($A159="","",IF($B159="","EKSİK","TAM"))</f>
        <v/>
      </c>
    </row>
    <row r="160">
      <c r="F160" s="26">
        <f>IF($A160="","",IF($B160="","EKSİK","TAM"))</f>
        <v/>
      </c>
    </row>
    <row r="161">
      <c r="F161" s="26">
        <f>IF($A161="","",IF($B161="","EKSİK","TAM"))</f>
        <v/>
      </c>
    </row>
    <row r="162">
      <c r="F162" s="26">
        <f>IF($A162="","",IF($B162="","EKSİK","TAM"))</f>
        <v/>
      </c>
    </row>
    <row r="163">
      <c r="F163" s="26">
        <f>IF($A163="","",IF($B163="","EKSİK","TAM"))</f>
        <v/>
      </c>
    </row>
    <row r="164">
      <c r="F164" s="26">
        <f>IF($A164="","",IF($B164="","EKSİK","TAM"))</f>
        <v/>
      </c>
    </row>
    <row r="165">
      <c r="F165" s="26">
        <f>IF($A165="","",IF($B165="","EKSİK","TAM"))</f>
        <v/>
      </c>
    </row>
    <row r="166">
      <c r="F166" s="26">
        <f>IF($A166="","",IF($B166="","EKSİK","TAM"))</f>
        <v/>
      </c>
    </row>
    <row r="167">
      <c r="F167" s="26">
        <f>IF($A167="","",IF($B167="","EKSİK","TAM"))</f>
        <v/>
      </c>
    </row>
    <row r="168">
      <c r="F168" s="26">
        <f>IF($A168="","",IF($B168="","EKSİK","TAM"))</f>
        <v/>
      </c>
    </row>
    <row r="169">
      <c r="F169" s="26">
        <f>IF($A169="","",IF($B169="","EKSİK","TAM"))</f>
        <v/>
      </c>
    </row>
    <row r="170">
      <c r="F170" s="26">
        <f>IF($A170="","",IF($B170="","EKSİK","TAM"))</f>
        <v/>
      </c>
    </row>
    <row r="171">
      <c r="F171" s="26">
        <f>IF($A171="","",IF($B171="","EKSİK","TAM"))</f>
        <v/>
      </c>
    </row>
    <row r="172">
      <c r="F172" s="26">
        <f>IF($A172="","",IF($B172="","EKSİK","TAM"))</f>
        <v/>
      </c>
    </row>
    <row r="173">
      <c r="F173" s="26">
        <f>IF($A173="","",IF($B173="","EKSİK","TAM"))</f>
        <v/>
      </c>
    </row>
    <row r="174">
      <c r="F174" s="26">
        <f>IF($A174="","",IF($B174="","EKSİK","TAM"))</f>
        <v/>
      </c>
    </row>
    <row r="175">
      <c r="F175" s="26">
        <f>IF($A175="","",IF($B175="","EKSİK","TAM"))</f>
        <v/>
      </c>
    </row>
    <row r="176">
      <c r="F176" s="26">
        <f>IF($A176="","",IF($B176="","EKSİK","TAM"))</f>
        <v/>
      </c>
    </row>
    <row r="177">
      <c r="F177" s="26">
        <f>IF($A177="","",IF($B177="","EKSİK","TAM"))</f>
        <v/>
      </c>
    </row>
    <row r="178">
      <c r="F178" s="26">
        <f>IF($A178="","",IF($B178="","EKSİK","TAM"))</f>
        <v/>
      </c>
    </row>
    <row r="179">
      <c r="F179" s="26">
        <f>IF($A179="","",IF($B179="","EKSİK","TAM"))</f>
        <v/>
      </c>
    </row>
    <row r="180">
      <c r="F180" s="26">
        <f>IF($A180="","",IF($B180="","EKSİK","TAM"))</f>
        <v/>
      </c>
    </row>
    <row r="181">
      <c r="F181" s="26">
        <f>IF($A181="","",IF($B181="","EKSİK","TAM"))</f>
        <v/>
      </c>
    </row>
    <row r="182">
      <c r="F182" s="26">
        <f>IF($A182="","",IF($B182="","EKSİK","TAM"))</f>
        <v/>
      </c>
    </row>
    <row r="183">
      <c r="F183" s="26">
        <f>IF($A183="","",IF($B183="","EKSİK","TAM"))</f>
        <v/>
      </c>
    </row>
    <row r="184">
      <c r="F184" s="26">
        <f>IF($A184="","",IF($B184="","EKSİK","TAM"))</f>
        <v/>
      </c>
    </row>
    <row r="185">
      <c r="F185" s="26">
        <f>IF($A185="","",IF($B185="","EKSİK","TAM"))</f>
        <v/>
      </c>
    </row>
    <row r="186">
      <c r="F186" s="26">
        <f>IF($A186="","",IF($B186="","EKSİK","TAM"))</f>
        <v/>
      </c>
    </row>
    <row r="187">
      <c r="F187" s="26">
        <f>IF($A187="","",IF($B187="","EKSİK","TAM"))</f>
        <v/>
      </c>
    </row>
    <row r="188">
      <c r="F188" s="26">
        <f>IF($A188="","",IF($B188="","EKSİK","TAM"))</f>
        <v/>
      </c>
    </row>
    <row r="189">
      <c r="F189" s="26">
        <f>IF($A189="","",IF($B189="","EKSİK","TAM"))</f>
        <v/>
      </c>
    </row>
    <row r="190">
      <c r="F190" s="26">
        <f>IF($A190="","",IF($B190="","EKSİK","TAM"))</f>
        <v/>
      </c>
    </row>
    <row r="191">
      <c r="F191" s="26">
        <f>IF($A191="","",IF($B191="","EKSİK","TAM"))</f>
        <v/>
      </c>
    </row>
    <row r="192">
      <c r="F192" s="26">
        <f>IF($A192="","",IF($B192="","EKSİK","TAM"))</f>
        <v/>
      </c>
    </row>
    <row r="193">
      <c r="F193" s="26">
        <f>IF($A193="","",IF($B193="","EKSİK","TAM"))</f>
        <v/>
      </c>
    </row>
    <row r="194">
      <c r="F194" s="26">
        <f>IF($A194="","",IF($B194="","EKSİK","TAM"))</f>
        <v/>
      </c>
    </row>
    <row r="195">
      <c r="F195" s="26">
        <f>IF($A195="","",IF($B195="","EKSİK","TAM"))</f>
        <v/>
      </c>
    </row>
    <row r="196">
      <c r="F196" s="26">
        <f>IF($A196="","",IF($B196="","EKSİK","TAM"))</f>
        <v/>
      </c>
    </row>
    <row r="197">
      <c r="F197" s="26">
        <f>IF($A197="","",IF($B197="","EKSİK","TAM"))</f>
        <v/>
      </c>
    </row>
    <row r="198">
      <c r="F198" s="26">
        <f>IF($A198="","",IF($B198="","EKSİK","TAM"))</f>
        <v/>
      </c>
    </row>
    <row r="199">
      <c r="F199" s="26">
        <f>IF($A199="","",IF($B199="","EKSİK","TAM"))</f>
        <v/>
      </c>
    </row>
    <row r="200">
      <c r="F200" s="26">
        <f>IF($A200="","",IF($B200="","EKSİK","TAM"))</f>
        <v/>
      </c>
    </row>
    <row r="201">
      <c r="F201" s="26">
        <f>IF($A201="","",IF($B201="","EKSİK","TAM"))</f>
        <v/>
      </c>
    </row>
    <row r="202">
      <c r="F202" s="26">
        <f>IF($A202="","",IF($B202="","EKSİK","TAM"))</f>
        <v/>
      </c>
    </row>
    <row r="203">
      <c r="F203" s="26">
        <f>IF($A203="","",IF($B203="","EKSİK","TAM"))</f>
        <v/>
      </c>
    </row>
    <row r="204">
      <c r="F204" s="26">
        <f>IF($A204="","",IF($B204="","EKSİK","TAM"))</f>
        <v/>
      </c>
    </row>
    <row r="205">
      <c r="F205" s="26">
        <f>IF($A205="","",IF($B205="","EKSİK","TAM"))</f>
        <v/>
      </c>
    </row>
    <row r="206">
      <c r="F206" s="26">
        <f>IF($A206="","",IF($B206="","EKSİK","TAM"))</f>
        <v/>
      </c>
    </row>
    <row r="207">
      <c r="F207" s="26">
        <f>IF($A207="","",IF($B207="","EKSİK","TAM"))</f>
        <v/>
      </c>
    </row>
    <row r="208">
      <c r="F208" s="26">
        <f>IF($A208="","",IF($B208="","EKSİK","TAM"))</f>
        <v/>
      </c>
    </row>
    <row r="209">
      <c r="F209" s="26">
        <f>IF($A209="","",IF($B209="","EKSİK","TAM"))</f>
        <v/>
      </c>
    </row>
    <row r="210">
      <c r="F210" s="26">
        <f>IF($A210="","",IF($B210="","EKSİK","TAM"))</f>
        <v/>
      </c>
    </row>
    <row r="211">
      <c r="F211" s="26">
        <f>IF($A211="","",IF($B211="","EKSİK","TAM"))</f>
        <v/>
      </c>
    </row>
    <row r="212">
      <c r="F212" s="26">
        <f>IF($A212="","",IF($B212="","EKSİK","TAM"))</f>
        <v/>
      </c>
    </row>
    <row r="213">
      <c r="F213" s="26">
        <f>IF($A213="","",IF($B213="","EKSİK","TAM"))</f>
        <v/>
      </c>
    </row>
    <row r="214">
      <c r="F214" s="26">
        <f>IF($A214="","",IF($B214="","EKSİK","TAM"))</f>
        <v/>
      </c>
    </row>
    <row r="215">
      <c r="F215" s="26">
        <f>IF($A215="","",IF($B215="","EKSİK","TAM"))</f>
        <v/>
      </c>
    </row>
    <row r="216">
      <c r="F216" s="26">
        <f>IF($A216="","",IF($B216="","EKSİK","TAM"))</f>
        <v/>
      </c>
    </row>
    <row r="217">
      <c r="F217" s="26">
        <f>IF($A217="","",IF($B217="","EKSİK","TAM"))</f>
        <v/>
      </c>
    </row>
    <row r="218">
      <c r="F218" s="26">
        <f>IF($A218="","",IF($B218="","EKSİK","TAM"))</f>
        <v/>
      </c>
    </row>
    <row r="219">
      <c r="F219" s="26">
        <f>IF($A219="","",IF($B219="","EKSİK","TAM"))</f>
        <v/>
      </c>
    </row>
    <row r="220">
      <c r="F220" s="26">
        <f>IF($A220="","",IF($B220="","EKSİK","TAM"))</f>
        <v/>
      </c>
    </row>
    <row r="221">
      <c r="F221" s="26">
        <f>IF($A221="","",IF($B221="","EKSİK","TAM"))</f>
        <v/>
      </c>
    </row>
    <row r="222">
      <c r="F222" s="26">
        <f>IF($A222="","",IF($B222="","EKSİK","TAM"))</f>
        <v/>
      </c>
    </row>
    <row r="223">
      <c r="F223" s="26">
        <f>IF($A223="","",IF($B223="","EKSİK","TAM"))</f>
        <v/>
      </c>
    </row>
    <row r="224">
      <c r="F224" s="26">
        <f>IF($A224="","",IF($B224="","EKSİK","TAM"))</f>
        <v/>
      </c>
    </row>
    <row r="225">
      <c r="F225" s="26">
        <f>IF($A225="","",IF($B225="","EKSİK","TAM"))</f>
        <v/>
      </c>
    </row>
    <row r="226">
      <c r="F226" s="26">
        <f>IF($A226="","",IF($B226="","EKSİK","TAM"))</f>
        <v/>
      </c>
    </row>
    <row r="227">
      <c r="F227" s="26">
        <f>IF($A227="","",IF($B227="","EKSİK","TAM"))</f>
        <v/>
      </c>
    </row>
    <row r="228">
      <c r="F228" s="26">
        <f>IF($A228="","",IF($B228="","EKSİK","TAM"))</f>
        <v/>
      </c>
    </row>
    <row r="229">
      <c r="F229" s="26">
        <f>IF($A229="","",IF($B229="","EKSİK","TAM"))</f>
        <v/>
      </c>
    </row>
    <row r="230">
      <c r="F230" s="26">
        <f>IF($A230="","",IF($B230="","EKSİK","TAM"))</f>
        <v/>
      </c>
    </row>
    <row r="231">
      <c r="F231" s="26">
        <f>IF($A231="","",IF($B231="","EKSİK","TAM"))</f>
        <v/>
      </c>
    </row>
    <row r="232">
      <c r="F232" s="26">
        <f>IF($A232="","",IF($B232="","EKSİK","TAM"))</f>
        <v/>
      </c>
    </row>
    <row r="233">
      <c r="F233" s="26">
        <f>IF($A233="","",IF($B233="","EKSİK","TAM"))</f>
        <v/>
      </c>
    </row>
    <row r="234">
      <c r="F234" s="26">
        <f>IF($A234="","",IF($B234="","EKSİK","TAM"))</f>
        <v/>
      </c>
    </row>
    <row r="235">
      <c r="F235" s="26">
        <f>IF($A235="","",IF($B235="","EKSİK","TAM"))</f>
        <v/>
      </c>
    </row>
    <row r="236">
      <c r="F236" s="26">
        <f>IF($A236="","",IF($B236="","EKSİK","TAM"))</f>
        <v/>
      </c>
    </row>
    <row r="237">
      <c r="F237" s="26">
        <f>IF($A237="","",IF($B237="","EKSİK","TAM"))</f>
        <v/>
      </c>
    </row>
    <row r="238">
      <c r="F238" s="26">
        <f>IF($A238="","",IF($B238="","EKSİK","TAM"))</f>
        <v/>
      </c>
    </row>
    <row r="239">
      <c r="F239" s="26">
        <f>IF($A239="","",IF($B239="","EKSİK","TAM"))</f>
        <v/>
      </c>
    </row>
    <row r="240">
      <c r="F240" s="26">
        <f>IF($A240="","",IF($B240="","EKSİK","TAM"))</f>
        <v/>
      </c>
    </row>
    <row r="241">
      <c r="F241" s="26">
        <f>IF($A241="","",IF($B241="","EKSİK","TAM"))</f>
        <v/>
      </c>
    </row>
    <row r="242">
      <c r="F242" s="26">
        <f>IF($A242="","",IF($B242="","EKSİK","TAM"))</f>
        <v/>
      </c>
    </row>
    <row r="243">
      <c r="F243" s="26">
        <f>IF($A243="","",IF($B243="","EKSİK","TAM"))</f>
        <v/>
      </c>
    </row>
    <row r="244">
      <c r="F244" s="26">
        <f>IF($A244="","",IF($B244="","EKSİK","TAM"))</f>
        <v/>
      </c>
    </row>
    <row r="245">
      <c r="F245" s="26">
        <f>IF($A245="","",IF($B245="","EKSİK","TAM"))</f>
        <v/>
      </c>
    </row>
    <row r="246">
      <c r="F246" s="26">
        <f>IF($A246="","",IF($B246="","EKSİK","TAM"))</f>
        <v/>
      </c>
    </row>
    <row r="247">
      <c r="F247" s="26">
        <f>IF($A247="","",IF($B247="","EKSİK","TAM"))</f>
        <v/>
      </c>
    </row>
    <row r="248">
      <c r="F248" s="26">
        <f>IF($A248="","",IF($B248="","EKSİK","TAM"))</f>
        <v/>
      </c>
    </row>
    <row r="249">
      <c r="F249" s="26">
        <f>IF($A249="","",IF($B249="","EKSİK","TAM"))</f>
        <v/>
      </c>
    </row>
    <row r="250">
      <c r="F250" s="26">
        <f>IF($A250="","",IF($B250="","EKSİK","TAM"))</f>
        <v/>
      </c>
    </row>
    <row r="251">
      <c r="F251" s="26">
        <f>IF($A251="","",IF($B251="","EKSİK","TAM"))</f>
        <v/>
      </c>
    </row>
    <row r="252">
      <c r="F252" s="26">
        <f>IF($A252="","",IF($B252="","EKSİK","TAM"))</f>
        <v/>
      </c>
    </row>
    <row r="253">
      <c r="F253" s="26">
        <f>IF($A253="","",IF($B253="","EKSİK","TAM"))</f>
        <v/>
      </c>
    </row>
    <row r="254">
      <c r="F254" s="26">
        <f>IF($A254="","",IF($B254="","EKSİK","TAM"))</f>
        <v/>
      </c>
    </row>
    <row r="255">
      <c r="F255" s="26">
        <f>IF($A255="","",IF($B255="","EKSİK","TAM"))</f>
        <v/>
      </c>
    </row>
    <row r="256">
      <c r="F256" s="26">
        <f>IF($A256="","",IF($B256="","EKSİK","TAM"))</f>
        <v/>
      </c>
    </row>
    <row r="257">
      <c r="F257" s="26">
        <f>IF($A257="","",IF($B257="","EKSİK","TAM"))</f>
        <v/>
      </c>
    </row>
    <row r="258">
      <c r="F258" s="26">
        <f>IF($A258="","",IF($B258="","EKSİK","TAM"))</f>
        <v/>
      </c>
    </row>
    <row r="259">
      <c r="F259" s="26">
        <f>IF($A259="","",IF($B259="","EKSİK","TAM"))</f>
        <v/>
      </c>
    </row>
    <row r="260">
      <c r="F260" s="26">
        <f>IF($A260="","",IF($B260="","EKSİK","TAM"))</f>
        <v/>
      </c>
    </row>
    <row r="261">
      <c r="F261" s="26">
        <f>IF($A261="","",IF($B261="","EKSİK","TAM"))</f>
        <v/>
      </c>
    </row>
    <row r="262">
      <c r="F262" s="26">
        <f>IF($A262="","",IF($B262="","EKSİK","TAM"))</f>
        <v/>
      </c>
    </row>
    <row r="263">
      <c r="F263" s="26">
        <f>IF($A263="","",IF($B263="","EKSİK","TAM"))</f>
        <v/>
      </c>
    </row>
    <row r="264">
      <c r="F264" s="26">
        <f>IF($A264="","",IF($B264="","EKSİK","TAM"))</f>
        <v/>
      </c>
    </row>
    <row r="265">
      <c r="F265" s="26">
        <f>IF($A265="","",IF($B265="","EKSİK","TAM"))</f>
        <v/>
      </c>
    </row>
    <row r="266">
      <c r="F266" s="26">
        <f>IF($A266="","",IF($B266="","EKSİK","TAM"))</f>
        <v/>
      </c>
    </row>
    <row r="267">
      <c r="F267" s="26">
        <f>IF($A267="","",IF($B267="","EKSİK","TAM"))</f>
        <v/>
      </c>
    </row>
    <row r="268">
      <c r="F268" s="26">
        <f>IF($A268="","",IF($B268="","EKSİK","TAM"))</f>
        <v/>
      </c>
    </row>
    <row r="269">
      <c r="F269" s="26">
        <f>IF($A269="","",IF($B269="","EKSİK","TAM"))</f>
        <v/>
      </c>
    </row>
    <row r="270">
      <c r="F270" s="26">
        <f>IF($A270="","",IF($B270="","EKSİK","TAM"))</f>
        <v/>
      </c>
    </row>
    <row r="271">
      <c r="F271" s="26">
        <f>IF($A271="","",IF($B271="","EKSİK","TAM"))</f>
        <v/>
      </c>
    </row>
    <row r="272">
      <c r="F272" s="26">
        <f>IF($A272="","",IF($B272="","EKSİK","TAM"))</f>
        <v/>
      </c>
    </row>
    <row r="273">
      <c r="F273" s="26">
        <f>IF($A273="","",IF($B273="","EKSİK","TAM"))</f>
        <v/>
      </c>
    </row>
    <row r="274">
      <c r="F274" s="26">
        <f>IF($A274="","",IF($B274="","EKSİK","TAM"))</f>
        <v/>
      </c>
    </row>
    <row r="275">
      <c r="F275" s="26">
        <f>IF($A275="","",IF($B275="","EKSİK","TAM"))</f>
        <v/>
      </c>
    </row>
    <row r="276">
      <c r="F276" s="26">
        <f>IF($A276="","",IF($B276="","EKSİK","TAM"))</f>
        <v/>
      </c>
    </row>
    <row r="277">
      <c r="F277" s="26">
        <f>IF($A277="","",IF($B277="","EKSİK","TAM"))</f>
        <v/>
      </c>
    </row>
    <row r="278">
      <c r="F278" s="26">
        <f>IF($A278="","",IF($B278="","EKSİK","TAM"))</f>
        <v/>
      </c>
    </row>
    <row r="279">
      <c r="F279" s="26">
        <f>IF($A279="","",IF($B279="","EKSİK","TAM"))</f>
        <v/>
      </c>
    </row>
    <row r="280">
      <c r="F280" s="26">
        <f>IF($A280="","",IF($B280="","EKSİK","TAM"))</f>
        <v/>
      </c>
    </row>
    <row r="281">
      <c r="F281" s="26">
        <f>IF($A281="","",IF($B281="","EKSİK","TAM"))</f>
        <v/>
      </c>
    </row>
    <row r="282">
      <c r="F282" s="26">
        <f>IF($A282="","",IF($B282="","EKSİK","TAM"))</f>
        <v/>
      </c>
    </row>
    <row r="283">
      <c r="F283" s="26">
        <f>IF($A283="","",IF($B283="","EKSİK","TAM"))</f>
        <v/>
      </c>
    </row>
    <row r="284">
      <c r="F284" s="26">
        <f>IF($A284="","",IF($B284="","EKSİK","TAM"))</f>
        <v/>
      </c>
    </row>
    <row r="285">
      <c r="F285" s="26">
        <f>IF($A285="","",IF($B285="","EKSİK","TAM"))</f>
        <v/>
      </c>
    </row>
    <row r="286">
      <c r="F286" s="26">
        <f>IF($A286="","",IF($B286="","EKSİK","TAM"))</f>
        <v/>
      </c>
    </row>
    <row r="287">
      <c r="F287" s="26">
        <f>IF($A287="","",IF($B287="","EKSİK","TAM"))</f>
        <v/>
      </c>
    </row>
    <row r="288">
      <c r="F288" s="26">
        <f>IF($A288="","",IF($B288="","EKSİK","TAM"))</f>
        <v/>
      </c>
    </row>
    <row r="289">
      <c r="F289" s="26">
        <f>IF($A289="","",IF($B289="","EKSİK","TAM"))</f>
        <v/>
      </c>
    </row>
    <row r="290">
      <c r="F290" s="26">
        <f>IF($A290="","",IF($B290="","EKSİK","TAM"))</f>
        <v/>
      </c>
    </row>
    <row r="291">
      <c r="F291" s="26">
        <f>IF($A291="","",IF($B291="","EKSİK","TAM"))</f>
        <v/>
      </c>
    </row>
    <row r="292">
      <c r="F292" s="26">
        <f>IF($A292="","",IF($B292="","EKSİK","TAM"))</f>
        <v/>
      </c>
    </row>
    <row r="293">
      <c r="F293" s="26">
        <f>IF($A293="","",IF($B293="","EKSİK","TAM"))</f>
        <v/>
      </c>
    </row>
    <row r="294">
      <c r="F294" s="26">
        <f>IF($A294="","",IF($B294="","EKSİK","TAM"))</f>
        <v/>
      </c>
    </row>
    <row r="295">
      <c r="F295" s="26">
        <f>IF($A295="","",IF($B295="","EKSİK","TAM"))</f>
        <v/>
      </c>
    </row>
    <row r="296">
      <c r="F296" s="26">
        <f>IF($A296="","",IF($B296="","EKSİK","TAM"))</f>
        <v/>
      </c>
    </row>
    <row r="297">
      <c r="F297" s="26">
        <f>IF($A297="","",IF($B297="","EKSİK","TAM"))</f>
        <v/>
      </c>
    </row>
    <row r="298">
      <c r="F298" s="26">
        <f>IF($A298="","",IF($B298="","EKSİK","TAM"))</f>
        <v/>
      </c>
    </row>
    <row r="299">
      <c r="F299" s="26">
        <f>IF($A299="","",IF($B299="","EKSİK","TAM"))</f>
        <v/>
      </c>
    </row>
    <row r="300">
      <c r="F300" s="26">
        <f>IF($A300="","",IF($B300="","EKSİK","TAM"))</f>
        <v/>
      </c>
    </row>
    <row r="301">
      <c r="F301" s="26">
        <f>IF($A301="","",IF($B301="","EKSİK","TAM"))</f>
        <v/>
      </c>
    </row>
    <row r="302">
      <c r="F302" s="26">
        <f>IF($A302="","",IF($B302="","EKSİK","TAM"))</f>
        <v/>
      </c>
    </row>
    <row r="303">
      <c r="F303" s="26">
        <f>IF($A303="","",IF($B303="","EKSİK","TAM"))</f>
        <v/>
      </c>
    </row>
    <row r="304">
      <c r="F304" s="26">
        <f>IF($A304="","",IF($B304="","EKSİK","TAM"))</f>
        <v/>
      </c>
    </row>
    <row r="305">
      <c r="F305" s="26">
        <f>IF($A305="","",IF($B305="","EKSİK","TAM"))</f>
        <v/>
      </c>
    </row>
    <row r="306">
      <c r="F306" s="26">
        <f>IF($A306="","",IF($B306="","EKSİK","TAM"))</f>
        <v/>
      </c>
    </row>
    <row r="307">
      <c r="F307" s="26">
        <f>IF($A307="","",IF($B307="","EKSİK","TAM"))</f>
        <v/>
      </c>
    </row>
    <row r="308">
      <c r="F308" s="26">
        <f>IF($A308="","",IF($B308="","EKSİK","TAM"))</f>
        <v/>
      </c>
    </row>
    <row r="309">
      <c r="F309" s="26">
        <f>IF($A309="","",IF($B309="","EKSİK","TAM"))</f>
        <v/>
      </c>
    </row>
    <row r="310">
      <c r="F310" s="26">
        <f>IF($A310="","",IF($B310="","EKSİK","TAM"))</f>
        <v/>
      </c>
    </row>
    <row r="311">
      <c r="F311" s="26">
        <f>IF($A311="","",IF($B311="","EKSİK","TAM"))</f>
        <v/>
      </c>
    </row>
    <row r="312">
      <c r="F312" s="26">
        <f>IF($A312="","",IF($B312="","EKSİK","TAM"))</f>
        <v/>
      </c>
    </row>
    <row r="313">
      <c r="F313" s="26">
        <f>IF($A313="","",IF($B313="","EKSİK","TAM"))</f>
        <v/>
      </c>
    </row>
    <row r="314">
      <c r="F314" s="26">
        <f>IF($A314="","",IF($B314="","EKSİK","TAM"))</f>
        <v/>
      </c>
    </row>
    <row r="315">
      <c r="F315" s="26">
        <f>IF($A315="","",IF($B315="","EKSİK","TAM"))</f>
        <v/>
      </c>
    </row>
    <row r="316">
      <c r="F316" s="26">
        <f>IF($A316="","",IF($B316="","EKSİK","TAM"))</f>
        <v/>
      </c>
    </row>
    <row r="317">
      <c r="F317" s="26">
        <f>IF($A317="","",IF($B317="","EKSİK","TAM"))</f>
        <v/>
      </c>
    </row>
    <row r="318">
      <c r="F318" s="26">
        <f>IF($A318="","",IF($B318="","EKSİK","TAM"))</f>
        <v/>
      </c>
    </row>
    <row r="319">
      <c r="F319" s="26">
        <f>IF($A319="","",IF($B319="","EKSİK","TAM"))</f>
        <v/>
      </c>
    </row>
    <row r="320">
      <c r="F320" s="26">
        <f>IF($A320="","",IF($B320="","EKSİK","TAM"))</f>
        <v/>
      </c>
    </row>
    <row r="321">
      <c r="F321" s="26">
        <f>IF($A321="","",IF($B321="","EKSİK","TAM"))</f>
        <v/>
      </c>
    </row>
    <row r="322">
      <c r="F322" s="26">
        <f>IF($A322="","",IF($B322="","EKSİK","TAM"))</f>
        <v/>
      </c>
    </row>
    <row r="323">
      <c r="F323" s="26">
        <f>IF($A323="","",IF($B323="","EKSİK","TAM"))</f>
        <v/>
      </c>
    </row>
    <row r="324">
      <c r="F324" s="26">
        <f>IF($A324="","",IF($B324="","EKSİK","TAM"))</f>
        <v/>
      </c>
    </row>
    <row r="325">
      <c r="F325" s="26">
        <f>IF($A325="","",IF($B325="","EKSİK","TAM"))</f>
        <v/>
      </c>
    </row>
    <row r="326">
      <c r="F326" s="26">
        <f>IF($A326="","",IF($B326="","EKSİK","TAM"))</f>
        <v/>
      </c>
    </row>
    <row r="327">
      <c r="F327" s="26">
        <f>IF($A327="","",IF($B327="","EKSİK","TAM"))</f>
        <v/>
      </c>
    </row>
    <row r="328">
      <c r="F328" s="26">
        <f>IF($A328="","",IF($B328="","EKSİK","TAM"))</f>
        <v/>
      </c>
    </row>
    <row r="329">
      <c r="F329" s="26">
        <f>IF($A329="","",IF($B329="","EKSİK","TAM"))</f>
        <v/>
      </c>
    </row>
    <row r="330">
      <c r="F330" s="26">
        <f>IF($A330="","",IF($B330="","EKSİK","TAM"))</f>
        <v/>
      </c>
    </row>
    <row r="331">
      <c r="F331" s="26">
        <f>IF($A331="","",IF($B331="","EKSİK","TAM"))</f>
        <v/>
      </c>
    </row>
    <row r="332">
      <c r="F332" s="26">
        <f>IF($A332="","",IF($B332="","EKSİK","TAM"))</f>
        <v/>
      </c>
    </row>
    <row r="333">
      <c r="F333" s="26">
        <f>IF($A333="","",IF($B333="","EKSİK","TAM"))</f>
        <v/>
      </c>
    </row>
    <row r="334">
      <c r="F334" s="26">
        <f>IF($A334="","",IF($B334="","EKSİK","TAM"))</f>
        <v/>
      </c>
    </row>
    <row r="335">
      <c r="F335" s="26">
        <f>IF($A335="","",IF($B335="","EKSİK","TAM"))</f>
        <v/>
      </c>
    </row>
    <row r="336">
      <c r="F336" s="26">
        <f>IF($A336="","",IF($B336="","EKSİK","TAM"))</f>
        <v/>
      </c>
    </row>
    <row r="337">
      <c r="F337" s="26">
        <f>IF($A337="","",IF($B337="","EKSİK","TAM"))</f>
        <v/>
      </c>
    </row>
    <row r="338">
      <c r="F338" s="26">
        <f>IF($A338="","",IF($B338="","EKSİK","TAM"))</f>
        <v/>
      </c>
    </row>
    <row r="339">
      <c r="F339" s="26">
        <f>IF($A339="","",IF($B339="","EKSİK","TAM"))</f>
        <v/>
      </c>
    </row>
    <row r="340">
      <c r="F340" s="26">
        <f>IF($A340="","",IF($B340="","EKSİK","TAM"))</f>
        <v/>
      </c>
    </row>
    <row r="341">
      <c r="F341" s="26">
        <f>IF($A341="","",IF($B341="","EKSİK","TAM"))</f>
        <v/>
      </c>
    </row>
    <row r="342">
      <c r="F342" s="26">
        <f>IF($A342="","",IF($B342="","EKSİK","TAM"))</f>
        <v/>
      </c>
    </row>
    <row r="343">
      <c r="F343" s="26">
        <f>IF($A343="","",IF($B343="","EKSİK","TAM"))</f>
        <v/>
      </c>
    </row>
    <row r="344">
      <c r="F344" s="26">
        <f>IF($A344="","",IF($B344="","EKSİK","TAM"))</f>
        <v/>
      </c>
    </row>
    <row r="345">
      <c r="F345" s="26">
        <f>IF($A345="","",IF($B345="","EKSİK","TAM"))</f>
        <v/>
      </c>
    </row>
    <row r="346">
      <c r="F346" s="26">
        <f>IF($A346="","",IF($B346="","EKSİK","TAM"))</f>
        <v/>
      </c>
    </row>
    <row r="347">
      <c r="F347" s="26">
        <f>IF($A347="","",IF($B347="","EKSİK","TAM"))</f>
        <v/>
      </c>
    </row>
    <row r="348">
      <c r="F348" s="26">
        <f>IF($A348="","",IF($B348="","EKSİK","TAM"))</f>
        <v/>
      </c>
    </row>
    <row r="349">
      <c r="F349" s="26">
        <f>IF($A349="","",IF($B349="","EKSİK","TAM"))</f>
        <v/>
      </c>
    </row>
    <row r="350">
      <c r="F350" s="26">
        <f>IF($A350="","",IF($B350="","EKSİK","TAM"))</f>
        <v/>
      </c>
    </row>
    <row r="351">
      <c r="F351" s="26">
        <f>IF($A351="","",IF($B351="","EKSİK","TAM"))</f>
        <v/>
      </c>
    </row>
    <row r="352">
      <c r="F352" s="26">
        <f>IF($A352="","",IF($B352="","EKSİK","TAM"))</f>
        <v/>
      </c>
    </row>
    <row r="353">
      <c r="F353" s="26">
        <f>IF($A353="","",IF($B353="","EKSİK","TAM"))</f>
        <v/>
      </c>
    </row>
    <row r="354">
      <c r="F354" s="26">
        <f>IF($A354="","",IF($B354="","EKSİK","TAM"))</f>
        <v/>
      </c>
    </row>
    <row r="355">
      <c r="F355" s="26">
        <f>IF($A355="","",IF($B355="","EKSİK","TAM"))</f>
        <v/>
      </c>
    </row>
    <row r="356">
      <c r="F356" s="26">
        <f>IF($A356="","",IF($B356="","EKSİK","TAM"))</f>
        <v/>
      </c>
    </row>
    <row r="357">
      <c r="F357" s="26">
        <f>IF($A357="","",IF($B357="","EKSİK","TAM"))</f>
        <v/>
      </c>
    </row>
    <row r="358">
      <c r="F358" s="26">
        <f>IF($A358="","",IF($B358="","EKSİK","TAM"))</f>
        <v/>
      </c>
    </row>
    <row r="359">
      <c r="F359" s="26">
        <f>IF($A359="","",IF($B359="","EKSİK","TAM"))</f>
        <v/>
      </c>
    </row>
    <row r="360">
      <c r="F360" s="26">
        <f>IF($A360="","",IF($B360="","EKSİK","TAM"))</f>
        <v/>
      </c>
    </row>
    <row r="361">
      <c r="F361" s="26">
        <f>IF($A361="","",IF($B361="","EKSİK","TAM"))</f>
        <v/>
      </c>
    </row>
    <row r="362">
      <c r="F362" s="26">
        <f>IF($A362="","",IF($B362="","EKSİK","TAM"))</f>
        <v/>
      </c>
    </row>
    <row r="363">
      <c r="F363" s="26">
        <f>IF($A363="","",IF($B363="","EKSİK","TAM"))</f>
        <v/>
      </c>
    </row>
    <row r="364">
      <c r="F364" s="26">
        <f>IF($A364="","",IF($B364="","EKSİK","TAM"))</f>
        <v/>
      </c>
    </row>
    <row r="365">
      <c r="F365" s="26">
        <f>IF($A365="","",IF($B365="","EKSİK","TAM"))</f>
        <v/>
      </c>
    </row>
    <row r="366">
      <c r="F366" s="26">
        <f>IF($A366="","",IF($B366="","EKSİK","TAM"))</f>
        <v/>
      </c>
    </row>
    <row r="367">
      <c r="F367" s="26">
        <f>IF($A367="","",IF($B367="","EKSİK","TAM"))</f>
        <v/>
      </c>
    </row>
    <row r="368">
      <c r="F368" s="26">
        <f>IF($A368="","",IF($B368="","EKSİK","TAM"))</f>
        <v/>
      </c>
    </row>
    <row r="369">
      <c r="F369" s="26">
        <f>IF($A369="","",IF($B369="","EKSİK","TAM"))</f>
        <v/>
      </c>
    </row>
    <row r="370">
      <c r="F370" s="26">
        <f>IF($A370="","",IF($B370="","EKSİK","TAM"))</f>
        <v/>
      </c>
    </row>
    <row r="371">
      <c r="F371" s="26">
        <f>IF($A371="","",IF($B371="","EKSİK","TAM"))</f>
        <v/>
      </c>
    </row>
    <row r="372">
      <c r="F372" s="26">
        <f>IF($A372="","",IF($B372="","EKSİK","TAM"))</f>
        <v/>
      </c>
    </row>
    <row r="373">
      <c r="F373" s="26">
        <f>IF($A373="","",IF($B373="","EKSİK","TAM"))</f>
        <v/>
      </c>
    </row>
    <row r="374">
      <c r="F374" s="26">
        <f>IF($A374="","",IF($B374="","EKSİK","TAM"))</f>
        <v/>
      </c>
    </row>
    <row r="375">
      <c r="F375" s="26">
        <f>IF($A375="","",IF($B375="","EKSİK","TAM"))</f>
        <v/>
      </c>
    </row>
    <row r="376">
      <c r="F376" s="26">
        <f>IF($A376="","",IF($B376="","EKSİK","TAM"))</f>
        <v/>
      </c>
    </row>
    <row r="377">
      <c r="F377" s="26">
        <f>IF($A377="","",IF($B377="","EKSİK","TAM"))</f>
        <v/>
      </c>
    </row>
    <row r="378">
      <c r="F378" s="26">
        <f>IF($A378="","",IF($B378="","EKSİK","TAM"))</f>
        <v/>
      </c>
    </row>
    <row r="379">
      <c r="F379" s="26">
        <f>IF($A379="","",IF($B379="","EKSİK","TAM"))</f>
        <v/>
      </c>
    </row>
    <row r="380">
      <c r="F380" s="26">
        <f>IF($A380="","",IF($B380="","EKSİK","TAM"))</f>
        <v/>
      </c>
    </row>
    <row r="381">
      <c r="F381" s="26">
        <f>IF($A381="","",IF($B381="","EKSİK","TAM"))</f>
        <v/>
      </c>
    </row>
    <row r="382">
      <c r="F382" s="26">
        <f>IF($A382="","",IF($B382="","EKSİK","TAM"))</f>
        <v/>
      </c>
    </row>
    <row r="383">
      <c r="F383" s="26">
        <f>IF($A383="","",IF($B383="","EKSİK","TAM"))</f>
        <v/>
      </c>
    </row>
    <row r="384">
      <c r="F384" s="26">
        <f>IF($A384="","",IF($B384="","EKSİK","TAM"))</f>
        <v/>
      </c>
    </row>
    <row r="385">
      <c r="F385" s="26">
        <f>IF($A385="","",IF($B385="","EKSİK","TAM"))</f>
        <v/>
      </c>
    </row>
    <row r="386">
      <c r="F386" s="26">
        <f>IF($A386="","",IF($B386="","EKSİK","TAM"))</f>
        <v/>
      </c>
    </row>
    <row r="387">
      <c r="F387" s="26">
        <f>IF($A387="","",IF($B387="","EKSİK","TAM"))</f>
        <v/>
      </c>
    </row>
    <row r="388">
      <c r="F388" s="26">
        <f>IF($A388="","",IF($B388="","EKSİK","TAM"))</f>
        <v/>
      </c>
    </row>
    <row r="389">
      <c r="F389" s="26">
        <f>IF($A389="","",IF($B389="","EKSİK","TAM"))</f>
        <v/>
      </c>
    </row>
    <row r="390">
      <c r="F390" s="26">
        <f>IF($A390="","",IF($B390="","EKSİK","TAM"))</f>
        <v/>
      </c>
    </row>
    <row r="391">
      <c r="F391" s="26">
        <f>IF($A391="","",IF($B391="","EKSİK","TAM"))</f>
        <v/>
      </c>
    </row>
    <row r="392">
      <c r="F392" s="26">
        <f>IF($A392="","",IF($B392="","EKSİK","TAM"))</f>
        <v/>
      </c>
    </row>
    <row r="393">
      <c r="F393" s="26">
        <f>IF($A393="","",IF($B393="","EKSİK","TAM"))</f>
        <v/>
      </c>
    </row>
    <row r="394">
      <c r="F394" s="26">
        <f>IF($A394="","",IF($B394="","EKSİK","TAM"))</f>
        <v/>
      </c>
    </row>
    <row r="395">
      <c r="F395" s="26">
        <f>IF($A395="","",IF($B395="","EKSİK","TAM"))</f>
        <v/>
      </c>
    </row>
    <row r="396">
      <c r="F396" s="26">
        <f>IF($A396="","",IF($B396="","EKSİK","TAM"))</f>
        <v/>
      </c>
    </row>
    <row r="397">
      <c r="F397" s="26">
        <f>IF($A397="","",IF($B397="","EKSİK","TAM"))</f>
        <v/>
      </c>
    </row>
    <row r="398">
      <c r="F398" s="26">
        <f>IF($A398="","",IF($B398="","EKSİK","TAM"))</f>
        <v/>
      </c>
    </row>
    <row r="399">
      <c r="F399" s="26">
        <f>IF($A399="","",IF($B399="","EKSİK","TAM"))</f>
        <v/>
      </c>
    </row>
    <row r="400">
      <c r="F400" s="26">
        <f>IF($A400="","",IF($B400="","EKSİK","TAM"))</f>
        <v/>
      </c>
    </row>
    <row r="401">
      <c r="F401" s="26">
        <f>IF($A401="","",IF($B401="","EKSİK","TAM"))</f>
        <v/>
      </c>
    </row>
    <row r="402">
      <c r="F402" s="26">
        <f>IF($A402="","",IF($B402="","EKSİK","TAM"))</f>
        <v/>
      </c>
    </row>
    <row r="403">
      <c r="F403" s="26">
        <f>IF($A403="","",IF($B403="","EKSİK","TAM"))</f>
        <v/>
      </c>
    </row>
    <row r="404">
      <c r="F404" s="26">
        <f>IF($A404="","",IF($B404="","EKSİK","TAM"))</f>
        <v/>
      </c>
    </row>
    <row r="405">
      <c r="F405" s="26">
        <f>IF($A405="","",IF($B405="","EKSİK","TAM"))</f>
        <v/>
      </c>
    </row>
    <row r="406">
      <c r="F406" s="26">
        <f>IF($A406="","",IF($B406="","EKSİK","TAM"))</f>
        <v/>
      </c>
    </row>
    <row r="407">
      <c r="F407" s="26">
        <f>IF($A407="","",IF($B407="","EKSİK","TAM"))</f>
        <v/>
      </c>
    </row>
    <row r="408">
      <c r="F408" s="26">
        <f>IF($A408="","",IF($B408="","EKSİK","TAM"))</f>
        <v/>
      </c>
    </row>
    <row r="409">
      <c r="F409" s="26">
        <f>IF($A409="","",IF($B409="","EKSİK","TAM"))</f>
        <v/>
      </c>
    </row>
    <row r="410">
      <c r="F410" s="26">
        <f>IF($A410="","",IF($B410="","EKSİK","TAM"))</f>
        <v/>
      </c>
    </row>
    <row r="411">
      <c r="F411" s="26">
        <f>IF($A411="","",IF($B411="","EKSİK","TAM"))</f>
        <v/>
      </c>
    </row>
    <row r="412">
      <c r="F412" s="26">
        <f>IF($A412="","",IF($B412="","EKSİK","TAM"))</f>
        <v/>
      </c>
    </row>
    <row r="413">
      <c r="F413" s="26">
        <f>IF($A413="","",IF($B413="","EKSİK","TAM"))</f>
        <v/>
      </c>
    </row>
    <row r="414">
      <c r="F414" s="26">
        <f>IF($A414="","",IF($B414="","EKSİK","TAM"))</f>
        <v/>
      </c>
    </row>
    <row r="415">
      <c r="F415" s="26">
        <f>IF($A415="","",IF($B415="","EKSİK","TAM"))</f>
        <v/>
      </c>
    </row>
    <row r="416">
      <c r="F416" s="26">
        <f>IF($A416="","",IF($B416="","EKSİK","TAM"))</f>
        <v/>
      </c>
    </row>
    <row r="417">
      <c r="F417" s="26">
        <f>IF($A417="","",IF($B417="","EKSİK","TAM"))</f>
        <v/>
      </c>
    </row>
    <row r="418">
      <c r="F418" s="26">
        <f>IF($A418="","",IF($B418="","EKSİK","TAM"))</f>
        <v/>
      </c>
    </row>
    <row r="419">
      <c r="F419" s="26">
        <f>IF($A419="","",IF($B419="","EKSİK","TAM"))</f>
        <v/>
      </c>
    </row>
    <row r="420">
      <c r="F420" s="26">
        <f>IF($A420="","",IF($B420="","EKSİK","TAM"))</f>
        <v/>
      </c>
    </row>
    <row r="421">
      <c r="F421" s="26">
        <f>IF($A421="","",IF($B421="","EKSİK","TAM"))</f>
        <v/>
      </c>
    </row>
    <row r="422">
      <c r="F422" s="26">
        <f>IF($A422="","",IF($B422="","EKSİK","TAM"))</f>
        <v/>
      </c>
    </row>
    <row r="423">
      <c r="F423" s="26">
        <f>IF($A423="","",IF($B423="","EKSİK","TAM"))</f>
        <v/>
      </c>
    </row>
    <row r="424">
      <c r="F424" s="26">
        <f>IF($A424="","",IF($B424="","EKSİK","TAM"))</f>
        <v/>
      </c>
    </row>
    <row r="425">
      <c r="F425" s="26">
        <f>IF($A425="","",IF($B425="","EKSİK","TAM"))</f>
        <v/>
      </c>
    </row>
    <row r="426">
      <c r="F426" s="26">
        <f>IF($A426="","",IF($B426="","EKSİK","TAM"))</f>
        <v/>
      </c>
    </row>
    <row r="427">
      <c r="F427" s="26">
        <f>IF($A427="","",IF($B427="","EKSİK","TAM"))</f>
        <v/>
      </c>
    </row>
    <row r="428">
      <c r="F428" s="26">
        <f>IF($A428="","",IF($B428="","EKSİK","TAM"))</f>
        <v/>
      </c>
    </row>
    <row r="429">
      <c r="F429" s="26">
        <f>IF($A429="","",IF($B429="","EKSİK","TAM"))</f>
        <v/>
      </c>
    </row>
    <row r="430">
      <c r="F430" s="26">
        <f>IF($A430="","",IF($B430="","EKSİK","TAM"))</f>
        <v/>
      </c>
    </row>
    <row r="431">
      <c r="F431" s="26">
        <f>IF($A431="","",IF($B431="","EKSİK","TAM"))</f>
        <v/>
      </c>
    </row>
    <row r="432">
      <c r="F432" s="26">
        <f>IF($A432="","",IF($B432="","EKSİK","TAM"))</f>
        <v/>
      </c>
    </row>
    <row r="433">
      <c r="F433" s="26">
        <f>IF($A433="","",IF($B433="","EKSİK","TAM"))</f>
        <v/>
      </c>
    </row>
    <row r="434">
      <c r="F434" s="26">
        <f>IF($A434="","",IF($B434="","EKSİK","TAM"))</f>
        <v/>
      </c>
    </row>
    <row r="435">
      <c r="F435" s="26">
        <f>IF($A435="","",IF($B435="","EKSİK","TAM"))</f>
        <v/>
      </c>
    </row>
    <row r="436">
      <c r="F436" s="26">
        <f>IF($A436="","",IF($B436="","EKSİK","TAM"))</f>
        <v/>
      </c>
    </row>
    <row r="437">
      <c r="F437" s="26">
        <f>IF($A437="","",IF($B437="","EKSİK","TAM"))</f>
        <v/>
      </c>
    </row>
    <row r="438">
      <c r="F438" s="26">
        <f>IF($A438="","",IF($B438="","EKSİK","TAM"))</f>
        <v/>
      </c>
    </row>
    <row r="439">
      <c r="F439" s="26">
        <f>IF($A439="","",IF($B439="","EKSİK","TAM"))</f>
        <v/>
      </c>
    </row>
    <row r="440">
      <c r="F440" s="26">
        <f>IF($A440="","",IF($B440="","EKSİK","TAM"))</f>
        <v/>
      </c>
    </row>
    <row r="441">
      <c r="F441" s="26">
        <f>IF($A441="","",IF($B441="","EKSİK","TAM"))</f>
        <v/>
      </c>
    </row>
    <row r="442">
      <c r="F442" s="26">
        <f>IF($A442="","",IF($B442="","EKSİK","TAM"))</f>
        <v/>
      </c>
    </row>
    <row r="443">
      <c r="F443" s="26">
        <f>IF($A443="","",IF($B443="","EKSİK","TAM"))</f>
        <v/>
      </c>
    </row>
    <row r="444">
      <c r="F444" s="26">
        <f>IF($A444="","",IF($B444="","EKSİK","TAM"))</f>
        <v/>
      </c>
    </row>
    <row r="445">
      <c r="F445" s="26">
        <f>IF($A445="","",IF($B445="","EKSİK","TAM"))</f>
        <v/>
      </c>
    </row>
    <row r="446">
      <c r="F446" s="26">
        <f>IF($A446="","",IF($B446="","EKSİK","TAM"))</f>
        <v/>
      </c>
    </row>
    <row r="447">
      <c r="F447" s="26">
        <f>IF($A447="","",IF($B447="","EKSİK","TAM"))</f>
        <v/>
      </c>
    </row>
    <row r="448">
      <c r="F448" s="26">
        <f>IF($A448="","",IF($B448="","EKSİK","TAM"))</f>
        <v/>
      </c>
    </row>
    <row r="449">
      <c r="F449" s="26">
        <f>IF($A449="","",IF($B449="","EKSİK","TAM"))</f>
        <v/>
      </c>
    </row>
    <row r="450">
      <c r="F450" s="26">
        <f>IF($A450="","",IF($B450="","EKSİK","TAM"))</f>
        <v/>
      </c>
    </row>
    <row r="451">
      <c r="F451" s="26">
        <f>IF($A451="","",IF($B451="","EKSİK","TAM"))</f>
        <v/>
      </c>
    </row>
    <row r="452">
      <c r="F452" s="26">
        <f>IF($A452="","",IF($B452="","EKSİK","TAM"))</f>
        <v/>
      </c>
    </row>
    <row r="453">
      <c r="F453" s="26">
        <f>IF($A453="","",IF($B453="","EKSİK","TAM"))</f>
        <v/>
      </c>
    </row>
    <row r="454">
      <c r="F454" s="26">
        <f>IF($A454="","",IF($B454="","EKSİK","TAM"))</f>
        <v/>
      </c>
    </row>
    <row r="455">
      <c r="F455" s="26">
        <f>IF($A455="","",IF($B455="","EKSİK","TAM"))</f>
        <v/>
      </c>
    </row>
    <row r="456">
      <c r="F456" s="26">
        <f>IF($A456="","",IF($B456="","EKSİK","TAM"))</f>
        <v/>
      </c>
    </row>
    <row r="457">
      <c r="F457" s="26">
        <f>IF($A457="","",IF($B457="","EKSİK","TAM"))</f>
        <v/>
      </c>
    </row>
    <row r="458">
      <c r="F458" s="26">
        <f>IF($A458="","",IF($B458="","EKSİK","TAM"))</f>
        <v/>
      </c>
    </row>
    <row r="459">
      <c r="F459" s="26">
        <f>IF($A459="","",IF($B459="","EKSİK","TAM"))</f>
        <v/>
      </c>
    </row>
    <row r="460">
      <c r="F460" s="26">
        <f>IF($A460="","",IF($B460="","EKSİK","TAM"))</f>
        <v/>
      </c>
    </row>
    <row r="461">
      <c r="F461" s="26">
        <f>IF($A461="","",IF($B461="","EKSİK","TAM"))</f>
        <v/>
      </c>
    </row>
    <row r="462">
      <c r="F462" s="26">
        <f>IF($A462="","",IF($B462="","EKSİK","TAM"))</f>
        <v/>
      </c>
    </row>
    <row r="463">
      <c r="F463" s="26">
        <f>IF($A463="","",IF($B463="","EKSİK","TAM"))</f>
        <v/>
      </c>
    </row>
    <row r="464">
      <c r="F464" s="26">
        <f>IF($A464="","",IF($B464="","EKSİK","TAM"))</f>
        <v/>
      </c>
    </row>
    <row r="465">
      <c r="F465" s="26">
        <f>IF($A465="","",IF($B465="","EKSİK","TAM"))</f>
        <v/>
      </c>
    </row>
    <row r="466">
      <c r="F466" s="26">
        <f>IF($A466="","",IF($B466="","EKSİK","TAM"))</f>
        <v/>
      </c>
    </row>
    <row r="467">
      <c r="F467" s="26">
        <f>IF($A467="","",IF($B467="","EKSİK","TAM"))</f>
        <v/>
      </c>
    </row>
    <row r="468">
      <c r="F468" s="26">
        <f>IF($A468="","",IF($B468="","EKSİK","TAM"))</f>
        <v/>
      </c>
    </row>
    <row r="469">
      <c r="F469" s="26">
        <f>IF($A469="","",IF($B469="","EKSİK","TAM"))</f>
        <v/>
      </c>
    </row>
    <row r="470">
      <c r="F470" s="26">
        <f>IF($A470="","",IF($B470="","EKSİK","TAM"))</f>
        <v/>
      </c>
    </row>
    <row r="471">
      <c r="F471" s="26">
        <f>IF($A471="","",IF($B471="","EKSİK","TAM"))</f>
        <v/>
      </c>
    </row>
    <row r="472">
      <c r="F472" s="26">
        <f>IF($A472="","",IF($B472="","EKSİK","TAM"))</f>
        <v/>
      </c>
    </row>
    <row r="473">
      <c r="F473" s="26">
        <f>IF($A473="","",IF($B473="","EKSİK","TAM"))</f>
        <v/>
      </c>
    </row>
    <row r="474">
      <c r="F474" s="26">
        <f>IF($A474="","",IF($B474="","EKSİK","TAM"))</f>
        <v/>
      </c>
    </row>
    <row r="475">
      <c r="F475" s="26">
        <f>IF($A475="","",IF($B475="","EKSİK","TAM"))</f>
        <v/>
      </c>
    </row>
    <row r="476">
      <c r="F476" s="26">
        <f>IF($A476="","",IF($B476="","EKSİK","TAM"))</f>
        <v/>
      </c>
    </row>
    <row r="477">
      <c r="F477" s="26">
        <f>IF($A477="","",IF($B477="","EKSİK","TAM"))</f>
        <v/>
      </c>
    </row>
    <row r="478">
      <c r="F478" s="26">
        <f>IF($A478="","",IF($B478="","EKSİK","TAM"))</f>
        <v/>
      </c>
    </row>
    <row r="479">
      <c r="F479" s="26">
        <f>IF($A479="","",IF($B479="","EKSİK","TAM"))</f>
        <v/>
      </c>
    </row>
    <row r="480">
      <c r="F480" s="26">
        <f>IF($A480="","",IF($B480="","EKSİK","TAM"))</f>
        <v/>
      </c>
    </row>
    <row r="481">
      <c r="F481" s="26">
        <f>IF($A481="","",IF($B481="","EKSİK","TAM"))</f>
        <v/>
      </c>
    </row>
    <row r="482">
      <c r="F482" s="26">
        <f>IF($A482="","",IF($B482="","EKSİK","TAM"))</f>
        <v/>
      </c>
    </row>
    <row r="483">
      <c r="F483" s="26">
        <f>IF($A483="","",IF($B483="","EKSİK","TAM"))</f>
        <v/>
      </c>
    </row>
    <row r="484">
      <c r="F484" s="26">
        <f>IF($A484="","",IF($B484="","EKSİK","TAM"))</f>
        <v/>
      </c>
    </row>
    <row r="485">
      <c r="F485" s="26">
        <f>IF($A485="","",IF($B485="","EKSİK","TAM"))</f>
        <v/>
      </c>
    </row>
    <row r="486">
      <c r="F486" s="26">
        <f>IF($A486="","",IF($B486="","EKSİK","TAM"))</f>
        <v/>
      </c>
    </row>
    <row r="487">
      <c r="F487" s="26">
        <f>IF($A487="","",IF($B487="","EKSİK","TAM"))</f>
        <v/>
      </c>
    </row>
    <row r="488">
      <c r="F488" s="26">
        <f>IF($A488="","",IF($B488="","EKSİK","TAM"))</f>
        <v/>
      </c>
    </row>
    <row r="489">
      <c r="F489" s="26">
        <f>IF($A489="","",IF($B489="","EKSİK","TAM"))</f>
        <v/>
      </c>
    </row>
    <row r="490">
      <c r="F490" s="26">
        <f>IF($A490="","",IF($B490="","EKSİK","TAM"))</f>
        <v/>
      </c>
    </row>
    <row r="491">
      <c r="F491" s="26">
        <f>IF($A491="","",IF($B491="","EKSİK","TAM"))</f>
        <v/>
      </c>
    </row>
    <row r="492">
      <c r="F492" s="26">
        <f>IF($A492="","",IF($B492="","EKSİK","TAM"))</f>
        <v/>
      </c>
    </row>
    <row r="493">
      <c r="F493" s="26">
        <f>IF($A493="","",IF($B493="","EKSİK","TAM"))</f>
        <v/>
      </c>
    </row>
    <row r="494">
      <c r="F494" s="26">
        <f>IF($A494="","",IF($B494="","EKSİK","TAM"))</f>
        <v/>
      </c>
    </row>
    <row r="495">
      <c r="F495" s="26">
        <f>IF($A495="","",IF($B495="","EKSİK","TAM"))</f>
        <v/>
      </c>
    </row>
    <row r="496">
      <c r="F496" s="26">
        <f>IF($A496="","",IF($B496="","EKSİK","TAM"))</f>
        <v/>
      </c>
    </row>
    <row r="497">
      <c r="F497" s="26">
        <f>IF($A497="","",IF($B497="","EKSİK","TAM"))</f>
        <v/>
      </c>
    </row>
    <row r="498">
      <c r="F498" s="26">
        <f>IF($A498="","",IF($B498="","EKSİK","TAM"))</f>
        <v/>
      </c>
    </row>
    <row r="499">
      <c r="F499" s="26">
        <f>IF($A499="","",IF($B499="","EKSİK","TAM"))</f>
        <v/>
      </c>
    </row>
    <row r="500">
      <c r="F500" s="26">
        <f>IF($A500="","",IF($B500="","EKSİK","TAM"))</f>
        <v/>
      </c>
    </row>
    <row r="501">
      <c r="F501" s="26">
        <f>IF($A501="","",IF($B501="","EKSİK","TAM"))</f>
        <v/>
      </c>
    </row>
    <row r="502">
      <c r="F502" s="26">
        <f>IF($A502="","",IF($B502="","EKSİK","TAM"))</f>
        <v/>
      </c>
    </row>
    <row r="503">
      <c r="F503" s="26">
        <f>IF($A503="","",IF($B503="","EKSİK","TAM"))</f>
        <v/>
      </c>
    </row>
    <row r="504">
      <c r="F504" s="26">
        <f>IF($A504="","",IF($B504="","EKSİK","TAM"))</f>
        <v/>
      </c>
    </row>
    <row r="505">
      <c r="F505" s="26">
        <f>IF($A505="","",IF($B505="","EKSİK","TAM"))</f>
        <v/>
      </c>
    </row>
    <row r="506">
      <c r="F506" s="26">
        <f>IF($A506="","",IF($B506="","EKSİK","TAM"))</f>
        <v/>
      </c>
    </row>
    <row r="507">
      <c r="F507" s="26">
        <f>IF($A507="","",IF($B507="","EKSİK","TAM"))</f>
        <v/>
      </c>
    </row>
    <row r="508">
      <c r="F508" s="26">
        <f>IF($A508="","",IF($B508="","EKSİK","TAM"))</f>
        <v/>
      </c>
    </row>
    <row r="509">
      <c r="F509" s="26">
        <f>IF($A509="","",IF($B509="","EKSİK","TAM"))</f>
        <v/>
      </c>
    </row>
    <row r="510">
      <c r="F510" s="26">
        <f>IF($A510="","",IF($B510="","EKSİK","TAM"))</f>
        <v/>
      </c>
    </row>
    <row r="511">
      <c r="F511" s="26">
        <f>IF($A511="","",IF($B511="","EKSİK","TAM"))</f>
        <v/>
      </c>
    </row>
    <row r="512">
      <c r="F512" s="26">
        <f>IF($A512="","",IF($B512="","EKSİK","TAM"))</f>
        <v/>
      </c>
    </row>
    <row r="513">
      <c r="F513" s="26">
        <f>IF($A513="","",IF($B513="","EKSİK","TAM"))</f>
        <v/>
      </c>
    </row>
    <row r="514">
      <c r="F514" s="26">
        <f>IF($A514="","",IF($B514="","EKSİK","TAM"))</f>
        <v/>
      </c>
    </row>
    <row r="515">
      <c r="F515" s="26">
        <f>IF($A515="","",IF($B515="","EKSİK","TAM"))</f>
        <v/>
      </c>
    </row>
    <row r="516">
      <c r="F516" s="26">
        <f>IF($A516="","",IF($B516="","EKSİK","TAM"))</f>
        <v/>
      </c>
    </row>
    <row r="517">
      <c r="F517" s="26">
        <f>IF($A517="","",IF($B517="","EKSİK","TAM"))</f>
        <v/>
      </c>
    </row>
    <row r="518">
      <c r="F518" s="26">
        <f>IF($A518="","",IF($B518="","EKSİK","TAM"))</f>
        <v/>
      </c>
    </row>
    <row r="519">
      <c r="F519" s="26">
        <f>IF($A519="","",IF($B519="","EKSİK","TAM"))</f>
        <v/>
      </c>
    </row>
    <row r="520">
      <c r="F520" s="26">
        <f>IF($A520="","",IF($B520="","EKSİK","TAM"))</f>
        <v/>
      </c>
    </row>
    <row r="521">
      <c r="F521" s="26">
        <f>IF($A521="","",IF($B521="","EKSİK","TAM"))</f>
        <v/>
      </c>
    </row>
    <row r="522">
      <c r="F522" s="26">
        <f>IF($A522="","",IF($B522="","EKSİK","TAM"))</f>
        <v/>
      </c>
    </row>
    <row r="523">
      <c r="F523" s="26">
        <f>IF($A523="","",IF($B523="","EKSİK","TAM"))</f>
        <v/>
      </c>
    </row>
    <row r="524">
      <c r="F524" s="26">
        <f>IF($A524="","",IF($B524="","EKSİK","TAM"))</f>
        <v/>
      </c>
    </row>
    <row r="525">
      <c r="F525" s="26">
        <f>IF($A525="","",IF($B525="","EKSİK","TAM"))</f>
        <v/>
      </c>
    </row>
    <row r="526">
      <c r="F526" s="26">
        <f>IF($A526="","",IF($B526="","EKSİK","TAM"))</f>
        <v/>
      </c>
    </row>
    <row r="527">
      <c r="F527" s="26">
        <f>IF($A527="","",IF($B527="","EKSİK","TAM"))</f>
        <v/>
      </c>
    </row>
    <row r="528">
      <c r="F528" s="26">
        <f>IF($A528="","",IF($B528="","EKSİK","TAM"))</f>
        <v/>
      </c>
    </row>
    <row r="529">
      <c r="F529" s="26">
        <f>IF($A529="","",IF($B529="","EKSİK","TAM"))</f>
        <v/>
      </c>
    </row>
    <row r="530">
      <c r="F530" s="26">
        <f>IF($A530="","",IF($B530="","EKSİK","TAM"))</f>
        <v/>
      </c>
    </row>
    <row r="531">
      <c r="F531" s="26">
        <f>IF($A531="","",IF($B531="","EKSİK","TAM"))</f>
        <v/>
      </c>
    </row>
    <row r="532">
      <c r="F532" s="26">
        <f>IF($A532="","",IF($B532="","EKSİK","TAM"))</f>
        <v/>
      </c>
    </row>
    <row r="533">
      <c r="F533" s="26">
        <f>IF($A533="","",IF($B533="","EKSİK","TAM"))</f>
        <v/>
      </c>
    </row>
    <row r="534">
      <c r="F534" s="26">
        <f>IF($A534="","",IF($B534="","EKSİK","TAM"))</f>
        <v/>
      </c>
    </row>
    <row r="535">
      <c r="F535" s="26">
        <f>IF($A535="","",IF($B535="","EKSİK","TAM"))</f>
        <v/>
      </c>
    </row>
    <row r="536">
      <c r="F536" s="26">
        <f>IF($A536="","",IF($B536="","EKSİK","TAM"))</f>
        <v/>
      </c>
    </row>
    <row r="537">
      <c r="F537" s="26">
        <f>IF($A537="","",IF($B537="","EKSİK","TAM"))</f>
        <v/>
      </c>
    </row>
    <row r="538">
      <c r="F538" s="26">
        <f>IF($A538="","",IF($B538="","EKSİK","TAM"))</f>
        <v/>
      </c>
    </row>
    <row r="539">
      <c r="F539" s="26">
        <f>IF($A539="","",IF($B539="","EKSİK","TAM"))</f>
        <v/>
      </c>
    </row>
    <row r="540">
      <c r="F540" s="26">
        <f>IF($A540="","",IF($B540="","EKSİK","TAM"))</f>
        <v/>
      </c>
    </row>
    <row r="541">
      <c r="F541" s="26">
        <f>IF($A541="","",IF($B541="","EKSİK","TAM"))</f>
        <v/>
      </c>
    </row>
    <row r="542">
      <c r="F542" s="26">
        <f>IF($A542="","",IF($B542="","EKSİK","TAM"))</f>
        <v/>
      </c>
    </row>
    <row r="543">
      <c r="F543" s="26">
        <f>IF($A543="","",IF($B543="","EKSİK","TAM"))</f>
        <v/>
      </c>
    </row>
    <row r="544">
      <c r="F544" s="26">
        <f>IF($A544="","",IF($B544="","EKSİK","TAM"))</f>
        <v/>
      </c>
    </row>
    <row r="545">
      <c r="F545" s="26">
        <f>IF($A545="","",IF($B545="","EKSİK","TAM"))</f>
        <v/>
      </c>
    </row>
    <row r="546">
      <c r="F546" s="26">
        <f>IF($A546="","",IF($B546="","EKSİK","TAM"))</f>
        <v/>
      </c>
    </row>
    <row r="547">
      <c r="F547" s="26">
        <f>IF($A547="","",IF($B547="","EKSİK","TAM"))</f>
        <v/>
      </c>
    </row>
    <row r="548">
      <c r="F548" s="26">
        <f>IF($A548="","",IF($B548="","EKSİK","TAM"))</f>
        <v/>
      </c>
    </row>
    <row r="549">
      <c r="F549" s="26">
        <f>IF($A549="","",IF($B549="","EKSİK","TAM"))</f>
        <v/>
      </c>
    </row>
    <row r="550">
      <c r="F550" s="26">
        <f>IF($A550="","",IF($B550="","EKSİK","TAM"))</f>
        <v/>
      </c>
    </row>
    <row r="551">
      <c r="F551" s="26">
        <f>IF($A551="","",IF($B551="","EKSİK","TAM"))</f>
        <v/>
      </c>
    </row>
    <row r="552">
      <c r="F552" s="26">
        <f>IF($A552="","",IF($B552="","EKSİK","TAM"))</f>
        <v/>
      </c>
    </row>
    <row r="553">
      <c r="F553" s="26">
        <f>IF($A553="","",IF($B553="","EKSİK","TAM"))</f>
        <v/>
      </c>
    </row>
    <row r="554">
      <c r="F554" s="26">
        <f>IF($A554="","",IF($B554="","EKSİK","TAM"))</f>
        <v/>
      </c>
    </row>
    <row r="555">
      <c r="F555" s="26">
        <f>IF($A555="","",IF($B555="","EKSİK","TAM"))</f>
        <v/>
      </c>
    </row>
    <row r="556">
      <c r="F556" s="26">
        <f>IF($A556="","",IF($B556="","EKSİK","TAM"))</f>
        <v/>
      </c>
    </row>
    <row r="557">
      <c r="F557" s="26">
        <f>IF($A557="","",IF($B557="","EKSİK","TAM"))</f>
        <v/>
      </c>
    </row>
    <row r="558">
      <c r="F558" s="26">
        <f>IF($A558="","",IF($B558="","EKSİK","TAM"))</f>
        <v/>
      </c>
    </row>
    <row r="559">
      <c r="F559" s="26">
        <f>IF($A559="","",IF($B559="","EKSİK","TAM"))</f>
        <v/>
      </c>
    </row>
    <row r="560">
      <c r="F560" s="26">
        <f>IF($A560="","",IF($B560="","EKSİK","TAM"))</f>
        <v/>
      </c>
    </row>
    <row r="561">
      <c r="F561" s="26">
        <f>IF($A561="","",IF($B561="","EKSİK","TAM"))</f>
        <v/>
      </c>
    </row>
    <row r="562">
      <c r="F562" s="26">
        <f>IF($A562="","",IF($B562="","EKSİK","TAM"))</f>
        <v/>
      </c>
    </row>
    <row r="563">
      <c r="F563" s="26">
        <f>IF($A563="","",IF($B563="","EKSİK","TAM"))</f>
        <v/>
      </c>
    </row>
    <row r="564">
      <c r="F564" s="26">
        <f>IF($A564="","",IF($B564="","EKSİK","TAM"))</f>
        <v/>
      </c>
    </row>
    <row r="565">
      <c r="F565" s="26">
        <f>IF($A565="","",IF($B565="","EKSİK","TAM"))</f>
        <v/>
      </c>
    </row>
    <row r="566">
      <c r="F566" s="26">
        <f>IF($A566="","",IF($B566="","EKSİK","TAM"))</f>
        <v/>
      </c>
    </row>
    <row r="567">
      <c r="F567" s="26">
        <f>IF($A567="","",IF($B567="","EKSİK","TAM"))</f>
        <v/>
      </c>
    </row>
    <row r="568">
      <c r="F568" s="26">
        <f>IF($A568="","",IF($B568="","EKSİK","TAM"))</f>
        <v/>
      </c>
    </row>
    <row r="569">
      <c r="F569" s="26">
        <f>IF($A569="","",IF($B569="","EKSİK","TAM"))</f>
        <v/>
      </c>
    </row>
    <row r="570">
      <c r="F570" s="26">
        <f>IF($A570="","",IF($B570="","EKSİK","TAM"))</f>
        <v/>
      </c>
    </row>
    <row r="571">
      <c r="F571" s="26">
        <f>IF($A571="","",IF($B571="","EKSİK","TAM"))</f>
        <v/>
      </c>
    </row>
    <row r="572">
      <c r="F572" s="26">
        <f>IF($A572="","",IF($B572="","EKSİK","TAM"))</f>
        <v/>
      </c>
    </row>
    <row r="573">
      <c r="F573" s="26">
        <f>IF($A573="","",IF($B573="","EKSİK","TAM"))</f>
        <v/>
      </c>
    </row>
    <row r="574">
      <c r="F574" s="26">
        <f>IF($A574="","",IF($B574="","EKSİK","TAM"))</f>
        <v/>
      </c>
    </row>
    <row r="575">
      <c r="F575" s="26">
        <f>IF($A575="","",IF($B575="","EKSİK","TAM"))</f>
        <v/>
      </c>
    </row>
    <row r="576">
      <c r="F576" s="26">
        <f>IF($A576="","",IF($B576="","EKSİK","TAM"))</f>
        <v/>
      </c>
    </row>
    <row r="577">
      <c r="F577" s="26">
        <f>IF($A577="","",IF($B577="","EKSİK","TAM"))</f>
        <v/>
      </c>
    </row>
    <row r="578">
      <c r="F578" s="26">
        <f>IF($A578="","",IF($B578="","EKSİK","TAM"))</f>
        <v/>
      </c>
    </row>
    <row r="579">
      <c r="F579" s="26">
        <f>IF($A579="","",IF($B579="","EKSİK","TAM"))</f>
        <v/>
      </c>
    </row>
    <row r="580">
      <c r="F580" s="26">
        <f>IF($A580="","",IF($B580="","EKSİK","TAM"))</f>
        <v/>
      </c>
    </row>
    <row r="581">
      <c r="F581" s="26">
        <f>IF($A581="","",IF($B581="","EKSİK","TAM"))</f>
        <v/>
      </c>
    </row>
    <row r="582">
      <c r="F582" s="26">
        <f>IF($A582="","",IF($B582="","EKSİK","TAM"))</f>
        <v/>
      </c>
    </row>
    <row r="583">
      <c r="F583" s="26">
        <f>IF($A583="","",IF($B583="","EKSİK","TAM"))</f>
        <v/>
      </c>
    </row>
    <row r="584">
      <c r="F584" s="26">
        <f>IF($A584="","",IF($B584="","EKSİK","TAM"))</f>
        <v/>
      </c>
    </row>
    <row r="585">
      <c r="F585" s="26">
        <f>IF($A585="","",IF($B585="","EKSİK","TAM"))</f>
        <v/>
      </c>
    </row>
    <row r="586">
      <c r="F586" s="26">
        <f>IF($A586="","",IF($B586="","EKSİK","TAM"))</f>
        <v/>
      </c>
    </row>
    <row r="587">
      <c r="F587" s="26">
        <f>IF($A587="","",IF($B587="","EKSİK","TAM"))</f>
        <v/>
      </c>
    </row>
    <row r="588">
      <c r="F588" s="26">
        <f>IF($A588="","",IF($B588="","EKSİK","TAM"))</f>
        <v/>
      </c>
    </row>
    <row r="589">
      <c r="F589" s="26">
        <f>IF($A589="","",IF($B589="","EKSİK","TAM"))</f>
        <v/>
      </c>
    </row>
    <row r="590">
      <c r="F590" s="26">
        <f>IF($A590="","",IF($B590="","EKSİK","TAM"))</f>
        <v/>
      </c>
    </row>
    <row r="591">
      <c r="F591" s="26">
        <f>IF($A591="","",IF($B591="","EKSİK","TAM"))</f>
        <v/>
      </c>
    </row>
    <row r="592">
      <c r="F592" s="26">
        <f>IF($A592="","",IF($B592="","EKSİK","TAM"))</f>
        <v/>
      </c>
    </row>
    <row r="593">
      <c r="F593" s="26">
        <f>IF($A593="","",IF($B593="","EKSİK","TAM"))</f>
        <v/>
      </c>
    </row>
    <row r="594">
      <c r="F594" s="26">
        <f>IF($A594="","",IF($B594="","EKSİK","TAM"))</f>
        <v/>
      </c>
    </row>
    <row r="595">
      <c r="F595" s="26">
        <f>IF($A595="","",IF($B595="","EKSİK","TAM"))</f>
        <v/>
      </c>
    </row>
    <row r="596">
      <c r="F596" s="26">
        <f>IF($A596="","",IF($B596="","EKSİK","TAM"))</f>
        <v/>
      </c>
    </row>
    <row r="597">
      <c r="F597" s="26">
        <f>IF($A597="","",IF($B597="","EKSİK","TAM"))</f>
        <v/>
      </c>
    </row>
    <row r="598">
      <c r="F598" s="26">
        <f>IF($A598="","",IF($B598="","EKSİK","TAM"))</f>
        <v/>
      </c>
    </row>
    <row r="599">
      <c r="F599" s="26">
        <f>IF($A599="","",IF($B599="","EKSİK","TAM"))</f>
        <v/>
      </c>
    </row>
    <row r="600">
      <c r="F600" s="26">
        <f>IF($A600="","",IF($B600="","EKSİK","TAM"))</f>
        <v/>
      </c>
    </row>
    <row r="601">
      <c r="F601" s="26">
        <f>IF($A601="","",IF($B601="","EKSİK","TAM"))</f>
        <v/>
      </c>
    </row>
    <row r="602">
      <c r="F602" s="26">
        <f>IF($A602="","",IF($B602="","EKSİK","TAM"))</f>
        <v/>
      </c>
    </row>
    <row r="603">
      <c r="F603" s="26">
        <f>IF($A603="","",IF($B603="","EKSİK","TAM"))</f>
        <v/>
      </c>
    </row>
    <row r="604">
      <c r="F604" s="26">
        <f>IF($A604="","",IF($B604="","EKSİK","TAM"))</f>
        <v/>
      </c>
    </row>
    <row r="605">
      <c r="F605" s="26">
        <f>IF($A605="","",IF($B605="","EKSİK","TAM"))</f>
        <v/>
      </c>
    </row>
    <row r="606">
      <c r="F606" s="26">
        <f>IF($A606="","",IF($B606="","EKSİK","TAM"))</f>
        <v/>
      </c>
    </row>
    <row r="607">
      <c r="F607" s="26">
        <f>IF($A607="","",IF($B607="","EKSİK","TAM"))</f>
        <v/>
      </c>
    </row>
    <row r="608">
      <c r="F608" s="26">
        <f>IF($A608="","",IF($B608="","EKSİK","TAM"))</f>
        <v/>
      </c>
    </row>
    <row r="609">
      <c r="F609" s="26">
        <f>IF($A609="","",IF($B609="","EKSİK","TAM"))</f>
        <v/>
      </c>
    </row>
    <row r="610">
      <c r="F610" s="26">
        <f>IF($A610="","",IF($B610="","EKSİK","TAM"))</f>
        <v/>
      </c>
    </row>
    <row r="611">
      <c r="F611" s="26">
        <f>IF($A611="","",IF($B611="","EKSİK","TAM"))</f>
        <v/>
      </c>
    </row>
    <row r="612">
      <c r="F612" s="26">
        <f>IF($A612="","",IF($B612="","EKSİK","TAM"))</f>
        <v/>
      </c>
    </row>
    <row r="613">
      <c r="F613" s="26">
        <f>IF($A613="","",IF($B613="","EKSİK","TAM"))</f>
        <v/>
      </c>
    </row>
    <row r="614">
      <c r="F614" s="26">
        <f>IF($A614="","",IF($B614="","EKSİK","TAM"))</f>
        <v/>
      </c>
    </row>
    <row r="615">
      <c r="F615" s="26">
        <f>IF($A615="","",IF($B615="","EKSİK","TAM"))</f>
        <v/>
      </c>
    </row>
    <row r="616">
      <c r="F616" s="26">
        <f>IF($A616="","",IF($B616="","EKSİK","TAM"))</f>
        <v/>
      </c>
    </row>
    <row r="617">
      <c r="F617" s="26">
        <f>IF($A617="","",IF($B617="","EKSİK","TAM"))</f>
        <v/>
      </c>
    </row>
    <row r="618">
      <c r="F618" s="26">
        <f>IF($A618="","",IF($B618="","EKSİK","TAM"))</f>
        <v/>
      </c>
    </row>
    <row r="619">
      <c r="F619" s="26">
        <f>IF($A619="","",IF($B619="","EKSİK","TAM"))</f>
        <v/>
      </c>
    </row>
    <row r="620">
      <c r="F620" s="26">
        <f>IF($A620="","",IF($B620="","EKSİK","TAM"))</f>
        <v/>
      </c>
    </row>
    <row r="621">
      <c r="F621" s="26">
        <f>IF($A621="","",IF($B621="","EKSİK","TAM"))</f>
        <v/>
      </c>
    </row>
    <row r="622">
      <c r="F622" s="26">
        <f>IF($A622="","",IF($B622="","EKSİK","TAM"))</f>
        <v/>
      </c>
    </row>
    <row r="623">
      <c r="F623" s="26">
        <f>IF($A623="","",IF($B623="","EKSİK","TAM"))</f>
        <v/>
      </c>
    </row>
    <row r="624">
      <c r="F624" s="26">
        <f>IF($A624="","",IF($B624="","EKSİK","TAM"))</f>
        <v/>
      </c>
    </row>
    <row r="625">
      <c r="F625" s="26">
        <f>IF($A625="","",IF($B625="","EKSİK","TAM"))</f>
        <v/>
      </c>
    </row>
    <row r="626">
      <c r="F626" s="26">
        <f>IF($A626="","",IF($B626="","EKSİK","TAM"))</f>
        <v/>
      </c>
    </row>
    <row r="627">
      <c r="F627" s="26">
        <f>IF($A627="","",IF($B627="","EKSİK","TAM"))</f>
        <v/>
      </c>
    </row>
    <row r="628">
      <c r="F628" s="26">
        <f>IF($A628="","",IF($B628="","EKSİK","TAM"))</f>
        <v/>
      </c>
    </row>
    <row r="629">
      <c r="F629" s="26">
        <f>IF($A629="","",IF($B629="","EKSİK","TAM"))</f>
        <v/>
      </c>
    </row>
    <row r="630">
      <c r="F630" s="26">
        <f>IF($A630="","",IF($B630="","EKSİK","TAM"))</f>
        <v/>
      </c>
    </row>
    <row r="631">
      <c r="F631" s="26">
        <f>IF($A631="","",IF($B631="","EKSİK","TAM"))</f>
        <v/>
      </c>
    </row>
    <row r="632">
      <c r="F632" s="26">
        <f>IF($A632="","",IF($B632="","EKSİK","TAM"))</f>
        <v/>
      </c>
    </row>
    <row r="633">
      <c r="F633" s="26">
        <f>IF($A633="","",IF($B633="","EKSİK","TAM"))</f>
        <v/>
      </c>
    </row>
    <row r="634">
      <c r="F634" s="26">
        <f>IF($A634="","",IF($B634="","EKSİK","TAM"))</f>
        <v/>
      </c>
    </row>
    <row r="635">
      <c r="F635" s="26">
        <f>IF($A635="","",IF($B635="","EKSİK","TAM"))</f>
        <v/>
      </c>
    </row>
    <row r="636">
      <c r="F636" s="26">
        <f>IF($A636="","",IF($B636="","EKSİK","TAM"))</f>
        <v/>
      </c>
    </row>
    <row r="637">
      <c r="F637" s="26">
        <f>IF($A637="","",IF($B637="","EKSİK","TAM"))</f>
        <v/>
      </c>
    </row>
    <row r="638">
      <c r="F638" s="26">
        <f>IF($A638="","",IF($B638="","EKSİK","TAM"))</f>
        <v/>
      </c>
    </row>
    <row r="639">
      <c r="F639" s="26">
        <f>IF($A639="","",IF($B639="","EKSİK","TAM"))</f>
        <v/>
      </c>
    </row>
    <row r="640">
      <c r="F640" s="26">
        <f>IF($A640="","",IF($B640="","EKSİK","TAM"))</f>
        <v/>
      </c>
    </row>
    <row r="641">
      <c r="F641" s="26">
        <f>IF($A641="","",IF($B641="","EKSİK","TAM"))</f>
        <v/>
      </c>
    </row>
    <row r="642">
      <c r="F642" s="26">
        <f>IF($A642="","",IF($B642="","EKSİK","TAM"))</f>
        <v/>
      </c>
    </row>
    <row r="643">
      <c r="F643" s="26">
        <f>IF($A643="","",IF($B643="","EKSİK","TAM"))</f>
        <v/>
      </c>
    </row>
    <row r="644">
      <c r="F644" s="26">
        <f>IF($A644="","",IF($B644="","EKSİK","TAM"))</f>
        <v/>
      </c>
    </row>
    <row r="645">
      <c r="F645" s="26">
        <f>IF($A645="","",IF($B645="","EKSİK","TAM"))</f>
        <v/>
      </c>
    </row>
    <row r="646">
      <c r="F646" s="26">
        <f>IF($A646="","",IF($B646="","EKSİK","TAM"))</f>
        <v/>
      </c>
    </row>
    <row r="647">
      <c r="F647" s="26">
        <f>IF($A647="","",IF($B647="","EKSİK","TAM"))</f>
        <v/>
      </c>
    </row>
    <row r="648">
      <c r="F648" s="26">
        <f>IF($A648="","",IF($B648="","EKSİK","TAM"))</f>
        <v/>
      </c>
    </row>
    <row r="649">
      <c r="F649" s="26">
        <f>IF($A649="","",IF($B649="","EKSİK","TAM"))</f>
        <v/>
      </c>
    </row>
    <row r="650">
      <c r="F650" s="26">
        <f>IF($A650="","",IF($B650="","EKSİK","TAM"))</f>
        <v/>
      </c>
    </row>
    <row r="651">
      <c r="F651" s="26">
        <f>IF($A651="","",IF($B651="","EKSİK","TAM"))</f>
        <v/>
      </c>
    </row>
    <row r="652">
      <c r="F652" s="26">
        <f>IF($A652="","",IF($B652="","EKSİK","TAM"))</f>
        <v/>
      </c>
    </row>
    <row r="653">
      <c r="F653" s="26">
        <f>IF($A653="","",IF($B653="","EKSİK","TAM"))</f>
        <v/>
      </c>
    </row>
    <row r="654">
      <c r="F654" s="26">
        <f>IF($A654="","",IF($B654="","EKSİK","TAM"))</f>
        <v/>
      </c>
    </row>
    <row r="655">
      <c r="F655" s="26">
        <f>IF($A655="","",IF($B655="","EKSİK","TAM"))</f>
        <v/>
      </c>
    </row>
    <row r="656">
      <c r="F656" s="26">
        <f>IF($A656="","",IF($B656="","EKSİK","TAM"))</f>
        <v/>
      </c>
    </row>
    <row r="657">
      <c r="F657" s="26">
        <f>IF($A657="","",IF($B657="","EKSİK","TAM"))</f>
        <v/>
      </c>
    </row>
    <row r="658">
      <c r="F658" s="26">
        <f>IF($A658="","",IF($B658="","EKSİK","TAM"))</f>
        <v/>
      </c>
    </row>
    <row r="659">
      <c r="F659" s="26">
        <f>IF($A659="","",IF($B659="","EKSİK","TAM"))</f>
        <v/>
      </c>
    </row>
    <row r="660">
      <c r="F660" s="26">
        <f>IF($A660="","",IF($B660="","EKSİK","TAM"))</f>
        <v/>
      </c>
    </row>
    <row r="661">
      <c r="F661" s="26">
        <f>IF($A661="","",IF($B661="","EKSİK","TAM"))</f>
        <v/>
      </c>
    </row>
    <row r="662">
      <c r="F662" s="26">
        <f>IF($A662="","",IF($B662="","EKSİK","TAM"))</f>
        <v/>
      </c>
    </row>
    <row r="663">
      <c r="F663" s="26">
        <f>IF($A663="","",IF($B663="","EKSİK","TAM"))</f>
        <v/>
      </c>
    </row>
    <row r="664">
      <c r="F664" s="26">
        <f>IF($A664="","",IF($B664="","EKSİK","TAM"))</f>
        <v/>
      </c>
    </row>
    <row r="665">
      <c r="F665" s="26">
        <f>IF($A665="","",IF($B665="","EKSİK","TAM"))</f>
        <v/>
      </c>
    </row>
    <row r="666">
      <c r="F666" s="26">
        <f>IF($A666="","",IF($B666="","EKSİK","TAM"))</f>
        <v/>
      </c>
    </row>
    <row r="667">
      <c r="F667" s="26">
        <f>IF($A667="","",IF($B667="","EKSİK","TAM"))</f>
        <v/>
      </c>
    </row>
    <row r="668">
      <c r="F668" s="26">
        <f>IF($A668="","",IF($B668="","EKSİK","TAM"))</f>
        <v/>
      </c>
    </row>
    <row r="669">
      <c r="F669" s="26">
        <f>IF($A669="","",IF($B669="","EKSİK","TAM"))</f>
        <v/>
      </c>
    </row>
    <row r="670">
      <c r="F670" s="26">
        <f>IF($A670="","",IF($B670="","EKSİK","TAM"))</f>
        <v/>
      </c>
    </row>
    <row r="671">
      <c r="F671" s="26">
        <f>IF($A671="","",IF($B671="","EKSİK","TAM"))</f>
        <v/>
      </c>
    </row>
    <row r="672">
      <c r="F672" s="26">
        <f>IF($A672="","",IF($B672="","EKSİK","TAM"))</f>
        <v/>
      </c>
    </row>
    <row r="673">
      <c r="F673" s="26">
        <f>IF($A673="","",IF($B673="","EKSİK","TAM"))</f>
        <v/>
      </c>
    </row>
    <row r="674">
      <c r="F674" s="26">
        <f>IF($A674="","",IF($B674="","EKSİK","TAM"))</f>
        <v/>
      </c>
    </row>
    <row r="675">
      <c r="F675" s="26">
        <f>IF($A675="","",IF($B675="","EKSİK","TAM"))</f>
        <v/>
      </c>
    </row>
    <row r="676">
      <c r="F676" s="26">
        <f>IF($A676="","",IF($B676="","EKSİK","TAM"))</f>
        <v/>
      </c>
    </row>
    <row r="677">
      <c r="F677" s="26">
        <f>IF($A677="","",IF($B677="","EKSİK","TAM"))</f>
        <v/>
      </c>
    </row>
    <row r="678">
      <c r="F678" s="26">
        <f>IF($A678="","",IF($B678="","EKSİK","TAM"))</f>
        <v/>
      </c>
    </row>
    <row r="679">
      <c r="F679" s="26">
        <f>IF($A679="","",IF($B679="","EKSİK","TAM"))</f>
        <v/>
      </c>
    </row>
    <row r="680">
      <c r="F680" s="26">
        <f>IF($A680="","",IF($B680="","EKSİK","TAM"))</f>
        <v/>
      </c>
    </row>
    <row r="681">
      <c r="F681" s="26">
        <f>IF($A681="","",IF($B681="","EKSİK","TAM"))</f>
        <v/>
      </c>
    </row>
    <row r="682">
      <c r="F682" s="26">
        <f>IF($A682="","",IF($B682="","EKSİK","TAM"))</f>
        <v/>
      </c>
    </row>
    <row r="683">
      <c r="F683" s="26">
        <f>IF($A683="","",IF($B683="","EKSİK","TAM"))</f>
        <v/>
      </c>
    </row>
    <row r="684">
      <c r="F684" s="26">
        <f>IF($A684="","",IF($B684="","EKSİK","TAM"))</f>
        <v/>
      </c>
    </row>
    <row r="685">
      <c r="F685" s="26">
        <f>IF($A685="","",IF($B685="","EKSİK","TAM"))</f>
        <v/>
      </c>
    </row>
    <row r="686">
      <c r="F686" s="26">
        <f>IF($A686="","",IF($B686="","EKSİK","TAM"))</f>
        <v/>
      </c>
    </row>
    <row r="687">
      <c r="F687" s="26">
        <f>IF($A687="","",IF($B687="","EKSİK","TAM"))</f>
        <v/>
      </c>
    </row>
    <row r="688">
      <c r="F688" s="26">
        <f>IF($A688="","",IF($B688="","EKSİK","TAM"))</f>
        <v/>
      </c>
    </row>
    <row r="689">
      <c r="F689" s="26">
        <f>IF($A689="","",IF($B689="","EKSİK","TAM"))</f>
        <v/>
      </c>
    </row>
    <row r="690">
      <c r="F690" s="26">
        <f>IF($A690="","",IF($B690="","EKSİK","TAM"))</f>
        <v/>
      </c>
    </row>
    <row r="691">
      <c r="F691" s="26">
        <f>IF($A691="","",IF($B691="","EKSİK","TAM"))</f>
        <v/>
      </c>
    </row>
    <row r="692">
      <c r="F692" s="26">
        <f>IF($A692="","",IF($B692="","EKSİK","TAM"))</f>
        <v/>
      </c>
    </row>
    <row r="693">
      <c r="F693" s="26">
        <f>IF($A693="","",IF($B693="","EKSİK","TAM"))</f>
        <v/>
      </c>
    </row>
    <row r="694">
      <c r="F694" s="26">
        <f>IF($A694="","",IF($B694="","EKSİK","TAM"))</f>
        <v/>
      </c>
    </row>
    <row r="695">
      <c r="F695" s="26">
        <f>IF($A695="","",IF($B695="","EKSİK","TAM"))</f>
        <v/>
      </c>
    </row>
    <row r="696">
      <c r="F696" s="26">
        <f>IF($A696="","",IF($B696="","EKSİK","TAM"))</f>
        <v/>
      </c>
    </row>
    <row r="697">
      <c r="F697" s="26">
        <f>IF($A697="","",IF($B697="","EKSİK","TAM"))</f>
        <v/>
      </c>
    </row>
    <row r="698">
      <c r="F698" s="26">
        <f>IF($A698="","",IF($B698="","EKSİK","TAM"))</f>
        <v/>
      </c>
    </row>
    <row r="699">
      <c r="F699" s="26">
        <f>IF($A699="","",IF($B699="","EKSİK","TAM"))</f>
        <v/>
      </c>
    </row>
    <row r="700">
      <c r="F700" s="26">
        <f>IF($A700="","",IF($B700="","EKSİK","TAM"))</f>
        <v/>
      </c>
    </row>
    <row r="701">
      <c r="F701" s="26">
        <f>IF($A701="","",IF($B701="","EKSİK","TAM"))</f>
        <v/>
      </c>
    </row>
    <row r="702">
      <c r="F702" s="26">
        <f>IF($A702="","",IF($B702="","EKSİK","TAM"))</f>
        <v/>
      </c>
    </row>
    <row r="703">
      <c r="F703" s="26">
        <f>IF($A703="","",IF($B703="","EKSİK","TAM"))</f>
        <v/>
      </c>
    </row>
    <row r="704">
      <c r="F704" s="26">
        <f>IF($A704="","",IF($B704="","EKSİK","TAM"))</f>
        <v/>
      </c>
    </row>
    <row r="705">
      <c r="F705" s="26">
        <f>IF($A705="","",IF($B705="","EKSİK","TAM"))</f>
        <v/>
      </c>
    </row>
    <row r="706">
      <c r="F706" s="26">
        <f>IF($A706="","",IF($B706="","EKSİK","TAM"))</f>
        <v/>
      </c>
    </row>
    <row r="707">
      <c r="F707" s="26">
        <f>IF($A707="","",IF($B707="","EKSİK","TAM"))</f>
        <v/>
      </c>
    </row>
    <row r="708">
      <c r="F708" s="26">
        <f>IF($A708="","",IF($B708="","EKSİK","TAM"))</f>
        <v/>
      </c>
    </row>
    <row r="709">
      <c r="F709" s="26">
        <f>IF($A709="","",IF($B709="","EKSİK","TAM"))</f>
        <v/>
      </c>
    </row>
    <row r="710">
      <c r="F710" s="26">
        <f>IF($A710="","",IF($B710="","EKSİK","TAM"))</f>
        <v/>
      </c>
    </row>
    <row r="711">
      <c r="F711" s="26">
        <f>IF($A711="","",IF($B711="","EKSİK","TAM"))</f>
        <v/>
      </c>
    </row>
    <row r="712">
      <c r="F712" s="26">
        <f>IF($A712="","",IF($B712="","EKSİK","TAM"))</f>
        <v/>
      </c>
    </row>
    <row r="713">
      <c r="F713" s="26">
        <f>IF($A713="","",IF($B713="","EKSİK","TAM"))</f>
        <v/>
      </c>
    </row>
    <row r="714">
      <c r="F714" s="26">
        <f>IF($A714="","",IF($B714="","EKSİK","TAM"))</f>
        <v/>
      </c>
    </row>
    <row r="715">
      <c r="F715" s="26">
        <f>IF($A715="","",IF($B715="","EKSİK","TAM"))</f>
        <v/>
      </c>
    </row>
    <row r="716">
      <c r="F716" s="26">
        <f>IF($A716="","",IF($B716="","EKSİK","TAM"))</f>
        <v/>
      </c>
    </row>
    <row r="717">
      <c r="F717" s="26">
        <f>IF($A717="","",IF($B717="","EKSİK","TAM"))</f>
        <v/>
      </c>
    </row>
    <row r="718">
      <c r="F718" s="26">
        <f>IF($A718="","",IF($B718="","EKSİK","TAM"))</f>
        <v/>
      </c>
    </row>
    <row r="719">
      <c r="F719" s="26">
        <f>IF($A719="","",IF($B719="","EKSİK","TAM"))</f>
        <v/>
      </c>
    </row>
    <row r="720">
      <c r="F720" s="26">
        <f>IF($A720="","",IF($B720="","EKSİK","TAM"))</f>
        <v/>
      </c>
    </row>
    <row r="721">
      <c r="F721" s="26">
        <f>IF($A721="","",IF($B721="","EKSİK","TAM"))</f>
        <v/>
      </c>
    </row>
    <row r="722">
      <c r="F722" s="26">
        <f>IF($A722="","",IF($B722="","EKSİK","TAM"))</f>
        <v/>
      </c>
    </row>
    <row r="723">
      <c r="F723" s="26">
        <f>IF($A723="","",IF($B723="","EKSİK","TAM"))</f>
        <v/>
      </c>
    </row>
    <row r="724">
      <c r="F724" s="26">
        <f>IF($A724="","",IF($B724="","EKSİK","TAM"))</f>
        <v/>
      </c>
    </row>
    <row r="725">
      <c r="F725" s="26">
        <f>IF($A725="","",IF($B725="","EKSİK","TAM"))</f>
        <v/>
      </c>
    </row>
    <row r="726">
      <c r="F726" s="26">
        <f>IF($A726="","",IF($B726="","EKSİK","TAM"))</f>
        <v/>
      </c>
    </row>
    <row r="727">
      <c r="F727" s="26">
        <f>IF($A727="","",IF($B727="","EKSİK","TAM"))</f>
        <v/>
      </c>
    </row>
    <row r="728">
      <c r="F728" s="26">
        <f>IF($A728="","",IF($B728="","EKSİK","TAM"))</f>
        <v/>
      </c>
    </row>
    <row r="729">
      <c r="F729" s="26">
        <f>IF($A729="","",IF($B729="","EKSİK","TAM"))</f>
        <v/>
      </c>
    </row>
    <row r="730">
      <c r="F730" s="26">
        <f>IF($A730="","",IF($B730="","EKSİK","TAM"))</f>
        <v/>
      </c>
    </row>
    <row r="731">
      <c r="F731" s="26">
        <f>IF($A731="","",IF($B731="","EKSİK","TAM"))</f>
        <v/>
      </c>
    </row>
    <row r="732">
      <c r="F732" s="26">
        <f>IF($A732="","",IF($B732="","EKSİK","TAM"))</f>
        <v/>
      </c>
    </row>
    <row r="733">
      <c r="F733" s="26">
        <f>IF($A733="","",IF($B733="","EKSİK","TAM"))</f>
        <v/>
      </c>
    </row>
    <row r="734">
      <c r="F734" s="26">
        <f>IF($A734="","",IF($B734="","EKSİK","TAM"))</f>
        <v/>
      </c>
    </row>
    <row r="735">
      <c r="F735" s="26">
        <f>IF($A735="","",IF($B735="","EKSİK","TAM"))</f>
        <v/>
      </c>
    </row>
    <row r="736">
      <c r="F736" s="26">
        <f>IF($A736="","",IF($B736="","EKSİK","TAM"))</f>
        <v/>
      </c>
    </row>
    <row r="737">
      <c r="F737" s="26">
        <f>IF($A737="","",IF($B737="","EKSİK","TAM"))</f>
        <v/>
      </c>
    </row>
    <row r="738">
      <c r="F738" s="26">
        <f>IF($A738="","",IF($B738="","EKSİK","TAM"))</f>
        <v/>
      </c>
    </row>
    <row r="739">
      <c r="F739" s="26">
        <f>IF($A739="","",IF($B739="","EKSİK","TAM"))</f>
        <v/>
      </c>
    </row>
    <row r="740">
      <c r="F740" s="26">
        <f>IF($A740="","",IF($B740="","EKSİK","TAM"))</f>
        <v/>
      </c>
    </row>
    <row r="741">
      <c r="F741" s="26">
        <f>IF($A741="","",IF($B741="","EKSİK","TAM"))</f>
        <v/>
      </c>
    </row>
    <row r="742">
      <c r="F742" s="26">
        <f>IF($A742="","",IF($B742="","EKSİK","TAM"))</f>
        <v/>
      </c>
    </row>
    <row r="743">
      <c r="F743" s="26">
        <f>IF($A743="","",IF($B743="","EKSİK","TAM"))</f>
        <v/>
      </c>
    </row>
    <row r="744">
      <c r="F744" s="26">
        <f>IF($A744="","",IF($B744="","EKSİK","TAM"))</f>
        <v/>
      </c>
    </row>
    <row r="745">
      <c r="F745" s="26">
        <f>IF($A745="","",IF($B745="","EKSİK","TAM"))</f>
        <v/>
      </c>
    </row>
    <row r="746">
      <c r="F746" s="26">
        <f>IF($A746="","",IF($B746="","EKSİK","TAM"))</f>
        <v/>
      </c>
    </row>
    <row r="747">
      <c r="F747" s="26">
        <f>IF($A747="","",IF($B747="","EKSİK","TAM"))</f>
        <v/>
      </c>
    </row>
    <row r="748">
      <c r="F748" s="26">
        <f>IF($A748="","",IF($B748="","EKSİK","TAM"))</f>
        <v/>
      </c>
    </row>
    <row r="749">
      <c r="F749" s="26">
        <f>IF($A749="","",IF($B749="","EKSİK","TAM"))</f>
        <v/>
      </c>
    </row>
    <row r="750">
      <c r="F750" s="26">
        <f>IF($A750="","",IF($B750="","EKSİK","TAM"))</f>
        <v/>
      </c>
    </row>
    <row r="751">
      <c r="F751" s="26">
        <f>IF($A751="","",IF($B751="","EKSİK","TAM"))</f>
        <v/>
      </c>
    </row>
    <row r="752">
      <c r="F752" s="26">
        <f>IF($A752="","",IF($B752="","EKSİK","TAM"))</f>
        <v/>
      </c>
    </row>
    <row r="753">
      <c r="F753" s="26">
        <f>IF($A753="","",IF($B753="","EKSİK","TAM"))</f>
        <v/>
      </c>
    </row>
    <row r="754">
      <c r="F754" s="26">
        <f>IF($A754="","",IF($B754="","EKSİK","TAM"))</f>
        <v/>
      </c>
    </row>
    <row r="755">
      <c r="F755" s="26">
        <f>IF($A755="","",IF($B755="","EKSİK","TAM"))</f>
        <v/>
      </c>
    </row>
    <row r="756">
      <c r="F756" s="26">
        <f>IF($A756="","",IF($B756="","EKSİK","TAM"))</f>
        <v/>
      </c>
    </row>
    <row r="757">
      <c r="F757" s="26">
        <f>IF($A757="","",IF($B757="","EKSİK","TAM"))</f>
        <v/>
      </c>
    </row>
    <row r="758">
      <c r="F758" s="26">
        <f>IF($A758="","",IF($B758="","EKSİK","TAM"))</f>
        <v/>
      </c>
    </row>
    <row r="759">
      <c r="F759" s="26">
        <f>IF($A759="","",IF($B759="","EKSİK","TAM"))</f>
        <v/>
      </c>
    </row>
    <row r="760">
      <c r="F760" s="26">
        <f>IF($A760="","",IF($B760="","EKSİK","TAM"))</f>
        <v/>
      </c>
    </row>
    <row r="761">
      <c r="F761" s="26">
        <f>IF($A761="","",IF($B761="","EKSİK","TAM"))</f>
        <v/>
      </c>
    </row>
    <row r="762">
      <c r="F762" s="26">
        <f>IF($A762="","",IF($B762="","EKSİK","TAM"))</f>
        <v/>
      </c>
    </row>
    <row r="763">
      <c r="F763" s="26">
        <f>IF($A763="","",IF($B763="","EKSİK","TAM"))</f>
        <v/>
      </c>
    </row>
    <row r="764">
      <c r="F764" s="26">
        <f>IF($A764="","",IF($B764="","EKSİK","TAM"))</f>
        <v/>
      </c>
    </row>
    <row r="765">
      <c r="F765" s="26">
        <f>IF($A765="","",IF($B765="","EKSİK","TAM"))</f>
        <v/>
      </c>
    </row>
    <row r="766">
      <c r="F766" s="26">
        <f>IF($A766="","",IF($B766="","EKSİK","TAM"))</f>
        <v/>
      </c>
    </row>
    <row r="767">
      <c r="F767" s="26">
        <f>IF($A767="","",IF($B767="","EKSİK","TAM"))</f>
        <v/>
      </c>
    </row>
    <row r="768">
      <c r="F768" s="26">
        <f>IF($A768="","",IF($B768="","EKSİK","TAM"))</f>
        <v/>
      </c>
    </row>
    <row r="769">
      <c r="F769" s="26">
        <f>IF($A769="","",IF($B769="","EKSİK","TAM"))</f>
        <v/>
      </c>
    </row>
    <row r="770">
      <c r="F770" s="26">
        <f>IF($A770="","",IF($B770="","EKSİK","TAM"))</f>
        <v/>
      </c>
    </row>
    <row r="771">
      <c r="F771" s="26">
        <f>IF($A771="","",IF($B771="","EKSİK","TAM"))</f>
        <v/>
      </c>
    </row>
    <row r="772">
      <c r="F772" s="26">
        <f>IF($A772="","",IF($B772="","EKSİK","TAM"))</f>
        <v/>
      </c>
    </row>
    <row r="773">
      <c r="F773" s="26">
        <f>IF($A773="","",IF($B773="","EKSİK","TAM"))</f>
        <v/>
      </c>
    </row>
    <row r="774">
      <c r="F774" s="26">
        <f>IF($A774="","",IF($B774="","EKSİK","TAM"))</f>
        <v/>
      </c>
    </row>
    <row r="775">
      <c r="F775" s="26">
        <f>IF($A775="","",IF($B775="","EKSİK","TAM"))</f>
        <v/>
      </c>
    </row>
    <row r="776">
      <c r="F776" s="26">
        <f>IF($A776="","",IF($B776="","EKSİK","TAM"))</f>
        <v/>
      </c>
    </row>
    <row r="777">
      <c r="F777" s="26">
        <f>IF($A777="","",IF($B777="","EKSİK","TAM"))</f>
        <v/>
      </c>
    </row>
    <row r="778">
      <c r="F778" s="26">
        <f>IF($A778="","",IF($B778="","EKSİK","TAM"))</f>
        <v/>
      </c>
    </row>
    <row r="779">
      <c r="F779" s="26">
        <f>IF($A779="","",IF($B779="","EKSİK","TAM"))</f>
        <v/>
      </c>
    </row>
    <row r="780">
      <c r="F780" s="26">
        <f>IF($A780="","",IF($B780="","EKSİK","TAM"))</f>
        <v/>
      </c>
    </row>
    <row r="781">
      <c r="F781" s="26">
        <f>IF($A781="","",IF($B781="","EKSİK","TAM"))</f>
        <v/>
      </c>
    </row>
    <row r="782">
      <c r="F782" s="26">
        <f>IF($A782="","",IF($B782="","EKSİK","TAM"))</f>
        <v/>
      </c>
    </row>
    <row r="783">
      <c r="F783" s="26">
        <f>IF($A783="","",IF($B783="","EKSİK","TAM"))</f>
        <v/>
      </c>
    </row>
    <row r="784">
      <c r="F784" s="26">
        <f>IF($A784="","",IF($B784="","EKSİK","TAM"))</f>
        <v/>
      </c>
    </row>
    <row r="785">
      <c r="F785" s="26">
        <f>IF($A785="","",IF($B785="","EKSİK","TAM"))</f>
        <v/>
      </c>
    </row>
    <row r="786">
      <c r="F786" s="26">
        <f>IF($A786="","",IF($B786="","EKSİK","TAM"))</f>
        <v/>
      </c>
    </row>
    <row r="787">
      <c r="F787" s="26">
        <f>IF($A787="","",IF($B787="","EKSİK","TAM"))</f>
        <v/>
      </c>
    </row>
    <row r="788">
      <c r="F788" s="26">
        <f>IF($A788="","",IF($B788="","EKSİK","TAM"))</f>
        <v/>
      </c>
    </row>
    <row r="789">
      <c r="F789" s="26">
        <f>IF($A789="","",IF($B789="","EKSİK","TAM"))</f>
        <v/>
      </c>
    </row>
    <row r="790">
      <c r="F790" s="26">
        <f>IF($A790="","",IF($B790="","EKSİK","TAM"))</f>
        <v/>
      </c>
    </row>
    <row r="791">
      <c r="F791" s="26">
        <f>IF($A791="","",IF($B791="","EKSİK","TAM"))</f>
        <v/>
      </c>
    </row>
    <row r="792">
      <c r="F792" s="26">
        <f>IF($A792="","",IF($B792="","EKSİK","TAM"))</f>
        <v/>
      </c>
    </row>
    <row r="793">
      <c r="F793" s="26">
        <f>IF($A793="","",IF($B793="","EKSİK","TAM"))</f>
        <v/>
      </c>
    </row>
    <row r="794">
      <c r="F794" s="26">
        <f>IF($A794="","",IF($B794="","EKSİK","TAM"))</f>
        <v/>
      </c>
    </row>
    <row r="795">
      <c r="F795" s="26">
        <f>IF($A795="","",IF($B795="","EKSİK","TAM"))</f>
        <v/>
      </c>
    </row>
    <row r="796">
      <c r="F796" s="26">
        <f>IF($A796="","",IF($B796="","EKSİK","TAM"))</f>
        <v/>
      </c>
    </row>
    <row r="797">
      <c r="F797" s="26">
        <f>IF($A797="","",IF($B797="","EKSİK","TAM"))</f>
        <v/>
      </c>
    </row>
    <row r="798">
      <c r="F798" s="26">
        <f>IF($A798="","",IF($B798="","EKSİK","TAM"))</f>
        <v/>
      </c>
    </row>
    <row r="799">
      <c r="F799" s="26">
        <f>IF($A799="","",IF($B799="","EKSİK","TAM"))</f>
        <v/>
      </c>
    </row>
    <row r="800">
      <c r="F800" s="26">
        <f>IF($A800="","",IF($B800="","EKSİK","TAM"))</f>
        <v/>
      </c>
    </row>
    <row r="801">
      <c r="F801" s="26">
        <f>IF($A801="","",IF($B801="","EKSİK","TAM"))</f>
        <v/>
      </c>
    </row>
    <row r="802">
      <c r="F802" s="26">
        <f>IF($A802="","",IF($B802="","EKSİK","TAM"))</f>
        <v/>
      </c>
    </row>
    <row r="803">
      <c r="F803" s="26">
        <f>IF($A803="","",IF($B803="","EKSİK","TAM"))</f>
        <v/>
      </c>
    </row>
    <row r="804">
      <c r="F804" s="26">
        <f>IF($A804="","",IF($B804="","EKSİK","TAM"))</f>
        <v/>
      </c>
    </row>
    <row r="805">
      <c r="F805" s="26">
        <f>IF($A805="","",IF($B805="","EKSİK","TAM"))</f>
        <v/>
      </c>
    </row>
    <row r="806">
      <c r="F806" s="26">
        <f>IF($A806="","",IF($B806="","EKSİK","TAM"))</f>
        <v/>
      </c>
    </row>
    <row r="807">
      <c r="F807" s="26">
        <f>IF($A807="","",IF($B807="","EKSİK","TAM"))</f>
        <v/>
      </c>
    </row>
    <row r="808">
      <c r="F808" s="26">
        <f>IF($A808="","",IF($B808="","EKSİK","TAM"))</f>
        <v/>
      </c>
    </row>
    <row r="809">
      <c r="F809" s="26">
        <f>IF($A809="","",IF($B809="","EKSİK","TAM"))</f>
        <v/>
      </c>
    </row>
    <row r="810">
      <c r="F810" s="26">
        <f>IF($A810="","",IF($B810="","EKSİK","TAM"))</f>
        <v/>
      </c>
    </row>
    <row r="811">
      <c r="F811" s="26">
        <f>IF($A811="","",IF($B811="","EKSİK","TAM"))</f>
        <v/>
      </c>
    </row>
    <row r="812">
      <c r="F812" s="26">
        <f>IF($A812="","",IF($B812="","EKSİK","TAM"))</f>
        <v/>
      </c>
    </row>
    <row r="813">
      <c r="F813" s="26">
        <f>IF($A813="","",IF($B813="","EKSİK","TAM"))</f>
        <v/>
      </c>
    </row>
    <row r="814">
      <c r="F814" s="26">
        <f>IF($A814="","",IF($B814="","EKSİK","TAM"))</f>
        <v/>
      </c>
    </row>
    <row r="815">
      <c r="F815" s="26">
        <f>IF($A815="","",IF($B815="","EKSİK","TAM"))</f>
        <v/>
      </c>
    </row>
    <row r="816">
      <c r="F816" s="26">
        <f>IF($A816="","",IF($B816="","EKSİK","TAM"))</f>
        <v/>
      </c>
    </row>
    <row r="817">
      <c r="F817" s="26">
        <f>IF($A817="","",IF($B817="","EKSİK","TAM"))</f>
        <v/>
      </c>
    </row>
    <row r="818">
      <c r="F818" s="26">
        <f>IF($A818="","",IF($B818="","EKSİK","TAM"))</f>
        <v/>
      </c>
    </row>
    <row r="819">
      <c r="F819" s="26">
        <f>IF($A819="","",IF($B819="","EKSİK","TAM"))</f>
        <v/>
      </c>
    </row>
    <row r="820">
      <c r="F820" s="26">
        <f>IF($A820="","",IF($B820="","EKSİK","TAM"))</f>
        <v/>
      </c>
    </row>
    <row r="821">
      <c r="F821" s="26">
        <f>IF($A821="","",IF($B821="","EKSİK","TAM"))</f>
        <v/>
      </c>
    </row>
    <row r="822">
      <c r="F822" s="26">
        <f>IF($A822="","",IF($B822="","EKSİK","TAM"))</f>
        <v/>
      </c>
    </row>
    <row r="823">
      <c r="F823" s="26">
        <f>IF($A823="","",IF($B823="","EKSİK","TAM"))</f>
        <v/>
      </c>
    </row>
    <row r="824">
      <c r="F824" s="26">
        <f>IF($A824="","",IF($B824="","EKSİK","TAM"))</f>
        <v/>
      </c>
    </row>
    <row r="825">
      <c r="F825" s="26">
        <f>IF($A825="","",IF($B825="","EKSİK","TAM"))</f>
        <v/>
      </c>
    </row>
    <row r="826">
      <c r="F826" s="26">
        <f>IF($A826="","",IF($B826="","EKSİK","TAM"))</f>
        <v/>
      </c>
    </row>
    <row r="827">
      <c r="F827" s="26">
        <f>IF($A827="","",IF($B827="","EKSİK","TAM"))</f>
        <v/>
      </c>
    </row>
    <row r="828">
      <c r="F828" s="26">
        <f>IF($A828="","",IF($B828="","EKSİK","TAM"))</f>
        <v/>
      </c>
    </row>
    <row r="829">
      <c r="F829" s="26">
        <f>IF($A829="","",IF($B829="","EKSİK","TAM"))</f>
        <v/>
      </c>
    </row>
    <row r="830">
      <c r="F830" s="26">
        <f>IF($A830="","",IF($B830="","EKSİK","TAM"))</f>
        <v/>
      </c>
    </row>
    <row r="831">
      <c r="F831" s="26">
        <f>IF($A831="","",IF($B831="","EKSİK","TAM"))</f>
        <v/>
      </c>
    </row>
    <row r="832">
      <c r="F832" s="26">
        <f>IF($A832="","",IF($B832="","EKSİK","TAM"))</f>
        <v/>
      </c>
    </row>
    <row r="833">
      <c r="F833" s="26">
        <f>IF($A833="","",IF($B833="","EKSİK","TAM"))</f>
        <v/>
      </c>
    </row>
    <row r="834">
      <c r="F834" s="26">
        <f>IF($A834="","",IF($B834="","EKSİK","TAM"))</f>
        <v/>
      </c>
    </row>
    <row r="835">
      <c r="F835" s="26">
        <f>IF($A835="","",IF($B835="","EKSİK","TAM"))</f>
        <v/>
      </c>
    </row>
    <row r="836">
      <c r="F836" s="26">
        <f>IF($A836="","",IF($B836="","EKSİK","TAM"))</f>
        <v/>
      </c>
    </row>
    <row r="837">
      <c r="F837" s="26">
        <f>IF($A837="","",IF($B837="","EKSİK","TAM"))</f>
        <v/>
      </c>
    </row>
    <row r="838">
      <c r="F838" s="26">
        <f>IF($A838="","",IF($B838="","EKSİK","TAM"))</f>
        <v/>
      </c>
    </row>
    <row r="839">
      <c r="F839" s="26">
        <f>IF($A839="","",IF($B839="","EKSİK","TAM"))</f>
        <v/>
      </c>
    </row>
    <row r="840">
      <c r="F840" s="26">
        <f>IF($A840="","",IF($B840="","EKSİK","TAM"))</f>
        <v/>
      </c>
    </row>
    <row r="841">
      <c r="F841" s="26">
        <f>IF($A841="","",IF($B841="","EKSİK","TAM"))</f>
        <v/>
      </c>
    </row>
    <row r="842">
      <c r="F842" s="26">
        <f>IF($A842="","",IF($B842="","EKSİK","TAM"))</f>
        <v/>
      </c>
    </row>
    <row r="843">
      <c r="F843" s="26">
        <f>IF($A843="","",IF($B843="","EKSİK","TAM"))</f>
        <v/>
      </c>
    </row>
    <row r="844">
      <c r="F844" s="26">
        <f>IF($A844="","",IF($B844="","EKSİK","TAM"))</f>
        <v/>
      </c>
    </row>
    <row r="845">
      <c r="F845" s="26">
        <f>IF($A845="","",IF($B845="","EKSİK","TAM"))</f>
        <v/>
      </c>
    </row>
    <row r="846">
      <c r="F846" s="26">
        <f>IF($A846="","",IF($B846="","EKSİK","TAM"))</f>
        <v/>
      </c>
    </row>
    <row r="847">
      <c r="F847" s="26">
        <f>IF($A847="","",IF($B847="","EKSİK","TAM"))</f>
        <v/>
      </c>
    </row>
    <row r="848">
      <c r="F848" s="26">
        <f>IF($A848="","",IF($B848="","EKSİK","TAM"))</f>
        <v/>
      </c>
    </row>
    <row r="849">
      <c r="F849" s="26">
        <f>IF($A849="","",IF($B849="","EKSİK","TAM"))</f>
        <v/>
      </c>
    </row>
    <row r="850">
      <c r="F850" s="26">
        <f>IF($A850="","",IF($B850="","EKSİK","TAM"))</f>
        <v/>
      </c>
    </row>
    <row r="851">
      <c r="F851" s="26">
        <f>IF($A851="","",IF($B851="","EKSİK","TAM"))</f>
        <v/>
      </c>
    </row>
    <row r="852">
      <c r="F852" s="26">
        <f>IF($A852="","",IF($B852="","EKSİK","TAM"))</f>
        <v/>
      </c>
    </row>
    <row r="853">
      <c r="F853" s="26">
        <f>IF($A853="","",IF($B853="","EKSİK","TAM"))</f>
        <v/>
      </c>
    </row>
    <row r="854">
      <c r="F854" s="26">
        <f>IF($A854="","",IF($B854="","EKSİK","TAM"))</f>
        <v/>
      </c>
    </row>
    <row r="855">
      <c r="F855" s="26">
        <f>IF($A855="","",IF($B855="","EKSİK","TAM"))</f>
        <v/>
      </c>
    </row>
    <row r="856">
      <c r="F856" s="26">
        <f>IF($A856="","",IF($B856="","EKSİK","TAM"))</f>
        <v/>
      </c>
    </row>
    <row r="857">
      <c r="F857" s="26">
        <f>IF($A857="","",IF($B857="","EKSİK","TAM"))</f>
        <v/>
      </c>
    </row>
    <row r="858">
      <c r="F858" s="26">
        <f>IF($A858="","",IF($B858="","EKSİK","TAM"))</f>
        <v/>
      </c>
    </row>
    <row r="859">
      <c r="F859" s="26">
        <f>IF($A859="","",IF($B859="","EKSİK","TAM"))</f>
        <v/>
      </c>
    </row>
    <row r="860">
      <c r="F860" s="26">
        <f>IF($A860="","",IF($B860="","EKSİK","TAM"))</f>
        <v/>
      </c>
    </row>
    <row r="861">
      <c r="F861" s="26">
        <f>IF($A861="","",IF($B861="","EKSİK","TAM"))</f>
        <v/>
      </c>
    </row>
    <row r="862">
      <c r="F862" s="26">
        <f>IF($A862="","",IF($B862="","EKSİK","TAM"))</f>
        <v/>
      </c>
    </row>
    <row r="863">
      <c r="F863" s="26">
        <f>IF($A863="","",IF($B863="","EKSİK","TAM"))</f>
        <v/>
      </c>
    </row>
    <row r="864">
      <c r="F864" s="26">
        <f>IF($A864="","",IF($B864="","EKSİK","TAM"))</f>
        <v/>
      </c>
    </row>
    <row r="865">
      <c r="F865" s="26">
        <f>IF($A865="","",IF($B865="","EKSİK","TAM"))</f>
        <v/>
      </c>
    </row>
    <row r="866">
      <c r="F866" s="26">
        <f>IF($A866="","",IF($B866="","EKSİK","TAM"))</f>
        <v/>
      </c>
    </row>
    <row r="867">
      <c r="F867" s="26">
        <f>IF($A867="","",IF($B867="","EKSİK","TAM"))</f>
        <v/>
      </c>
    </row>
    <row r="868">
      <c r="F868" s="26">
        <f>IF($A868="","",IF($B868="","EKSİK","TAM"))</f>
        <v/>
      </c>
    </row>
    <row r="869">
      <c r="F869" s="26">
        <f>IF($A869="","",IF($B869="","EKSİK","TAM"))</f>
        <v/>
      </c>
    </row>
    <row r="870">
      <c r="F870" s="26">
        <f>IF($A870="","",IF($B870="","EKSİK","TAM"))</f>
        <v/>
      </c>
    </row>
    <row r="871">
      <c r="F871" s="26">
        <f>IF($A871="","",IF($B871="","EKSİK","TAM"))</f>
        <v/>
      </c>
    </row>
    <row r="872">
      <c r="F872" s="26">
        <f>IF($A872="","",IF($B872="","EKSİK","TAM"))</f>
        <v/>
      </c>
    </row>
    <row r="873">
      <c r="F873" s="26">
        <f>IF($A873="","",IF($B873="","EKSİK","TAM"))</f>
        <v/>
      </c>
    </row>
    <row r="874">
      <c r="F874" s="26">
        <f>IF($A874="","",IF($B874="","EKSİK","TAM"))</f>
        <v/>
      </c>
    </row>
    <row r="875">
      <c r="F875" s="26">
        <f>IF($A875="","",IF($B875="","EKSİK","TAM"))</f>
        <v/>
      </c>
    </row>
    <row r="876">
      <c r="F876" s="26">
        <f>IF($A876="","",IF($B876="","EKSİK","TAM"))</f>
        <v/>
      </c>
    </row>
    <row r="877">
      <c r="F877" s="26">
        <f>IF($A877="","",IF($B877="","EKSİK","TAM"))</f>
        <v/>
      </c>
    </row>
    <row r="878">
      <c r="F878" s="26">
        <f>IF($A878="","",IF($B878="","EKSİK","TAM"))</f>
        <v/>
      </c>
    </row>
    <row r="879">
      <c r="F879" s="26">
        <f>IF($A879="","",IF($B879="","EKSİK","TAM"))</f>
        <v/>
      </c>
    </row>
    <row r="880">
      <c r="F880" s="26">
        <f>IF($A880="","",IF($B880="","EKSİK","TAM"))</f>
        <v/>
      </c>
    </row>
    <row r="881">
      <c r="F881" s="26">
        <f>IF($A881="","",IF($B881="","EKSİK","TAM"))</f>
        <v/>
      </c>
    </row>
    <row r="882">
      <c r="F882" s="26">
        <f>IF($A882="","",IF($B882="","EKSİK","TAM"))</f>
        <v/>
      </c>
    </row>
    <row r="883">
      <c r="F883" s="26">
        <f>IF($A883="","",IF($B883="","EKSİK","TAM"))</f>
        <v/>
      </c>
    </row>
    <row r="884">
      <c r="F884" s="26">
        <f>IF($A884="","",IF($B884="","EKSİK","TAM"))</f>
        <v/>
      </c>
    </row>
    <row r="885">
      <c r="F885" s="26">
        <f>IF($A885="","",IF($B885="","EKSİK","TAM"))</f>
        <v/>
      </c>
    </row>
    <row r="886">
      <c r="F886" s="26">
        <f>IF($A886="","",IF($B886="","EKSİK","TAM"))</f>
        <v/>
      </c>
    </row>
    <row r="887">
      <c r="F887" s="26">
        <f>IF($A887="","",IF($B887="","EKSİK","TAM"))</f>
        <v/>
      </c>
    </row>
    <row r="888">
      <c r="F888" s="26">
        <f>IF($A888="","",IF($B888="","EKSİK","TAM"))</f>
        <v/>
      </c>
    </row>
    <row r="889">
      <c r="F889" s="26">
        <f>IF($A889="","",IF($B889="","EKSİK","TAM"))</f>
        <v/>
      </c>
    </row>
    <row r="890">
      <c r="F890" s="26">
        <f>IF($A890="","",IF($B890="","EKSİK","TAM"))</f>
        <v/>
      </c>
    </row>
    <row r="891">
      <c r="F891" s="26">
        <f>IF($A891="","",IF($B891="","EKSİK","TAM"))</f>
        <v/>
      </c>
    </row>
    <row r="892">
      <c r="F892" s="26">
        <f>IF($A892="","",IF($B892="","EKSİK","TAM"))</f>
        <v/>
      </c>
    </row>
    <row r="893">
      <c r="F893" s="26">
        <f>IF($A893="","",IF($B893="","EKSİK","TAM"))</f>
        <v/>
      </c>
    </row>
    <row r="894">
      <c r="F894" s="26">
        <f>IF($A894="","",IF($B894="","EKSİK","TAM"))</f>
        <v/>
      </c>
    </row>
    <row r="895">
      <c r="F895" s="26">
        <f>IF($A895="","",IF($B895="","EKSİK","TAM"))</f>
        <v/>
      </c>
    </row>
    <row r="896">
      <c r="F896" s="26">
        <f>IF($A896="","",IF($B896="","EKSİK","TAM"))</f>
        <v/>
      </c>
    </row>
    <row r="897">
      <c r="F897" s="26">
        <f>IF($A897="","",IF($B897="","EKSİK","TAM"))</f>
        <v/>
      </c>
    </row>
    <row r="898">
      <c r="F898" s="26">
        <f>IF($A898="","",IF($B898="","EKSİK","TAM"))</f>
        <v/>
      </c>
    </row>
    <row r="899">
      <c r="F899" s="26">
        <f>IF($A899="","",IF($B899="","EKSİK","TAM"))</f>
        <v/>
      </c>
    </row>
    <row r="900">
      <c r="F900" s="26">
        <f>IF($A900="","",IF($B900="","EKSİK","TAM"))</f>
        <v/>
      </c>
    </row>
    <row r="901">
      <c r="F901" s="26">
        <f>IF($A901="","",IF($B901="","EKSİK","TAM"))</f>
        <v/>
      </c>
    </row>
    <row r="902">
      <c r="F902" s="26">
        <f>IF($A902="","",IF($B902="","EKSİK","TAM"))</f>
        <v/>
      </c>
    </row>
    <row r="903">
      <c r="F903" s="26">
        <f>IF($A903="","",IF($B903="","EKSİK","TAM"))</f>
        <v/>
      </c>
    </row>
    <row r="904">
      <c r="F904" s="26">
        <f>IF($A904="","",IF($B904="","EKSİK","TAM"))</f>
        <v/>
      </c>
    </row>
    <row r="905">
      <c r="F905" s="26">
        <f>IF($A905="","",IF($B905="","EKSİK","TAM"))</f>
        <v/>
      </c>
    </row>
    <row r="906">
      <c r="F906" s="26">
        <f>IF($A906="","",IF($B906="","EKSİK","TAM"))</f>
        <v/>
      </c>
    </row>
    <row r="907">
      <c r="F907" s="26">
        <f>IF($A907="","",IF($B907="","EKSİK","TAM"))</f>
        <v/>
      </c>
    </row>
    <row r="908">
      <c r="F908" s="26">
        <f>IF($A908="","",IF($B908="","EKSİK","TAM"))</f>
        <v/>
      </c>
    </row>
    <row r="909">
      <c r="F909" s="26">
        <f>IF($A909="","",IF($B909="","EKSİK","TAM"))</f>
        <v/>
      </c>
    </row>
    <row r="910">
      <c r="F910" s="26">
        <f>IF($A910="","",IF($B910="","EKSİK","TAM"))</f>
        <v/>
      </c>
    </row>
    <row r="911">
      <c r="F911" s="26">
        <f>IF($A911="","",IF($B911="","EKSİK","TAM"))</f>
        <v/>
      </c>
    </row>
    <row r="912">
      <c r="F912" s="26">
        <f>IF($A912="","",IF($B912="","EKSİK","TAM"))</f>
        <v/>
      </c>
    </row>
    <row r="913">
      <c r="F913" s="26">
        <f>IF($A913="","",IF($B913="","EKSİK","TAM"))</f>
        <v/>
      </c>
    </row>
    <row r="914">
      <c r="F914" s="26">
        <f>IF($A914="","",IF($B914="","EKSİK","TAM"))</f>
        <v/>
      </c>
    </row>
    <row r="915">
      <c r="F915" s="26">
        <f>IF($A915="","",IF($B915="","EKSİK","TAM"))</f>
        <v/>
      </c>
    </row>
    <row r="916">
      <c r="F916" s="26">
        <f>IF($A916="","",IF($B916="","EKSİK","TAM"))</f>
        <v/>
      </c>
    </row>
    <row r="917">
      <c r="F917" s="26">
        <f>IF($A917="","",IF($B917="","EKSİK","TAM"))</f>
        <v/>
      </c>
    </row>
    <row r="918">
      <c r="F918" s="26">
        <f>IF($A918="","",IF($B918="","EKSİK","TAM"))</f>
        <v/>
      </c>
    </row>
    <row r="919">
      <c r="F919" s="26">
        <f>IF($A919="","",IF($B919="","EKSİK","TAM"))</f>
        <v/>
      </c>
    </row>
    <row r="920">
      <c r="F920" s="26">
        <f>IF($A920="","",IF($B920="","EKSİK","TAM"))</f>
        <v/>
      </c>
    </row>
    <row r="921">
      <c r="F921" s="26">
        <f>IF($A921="","",IF($B921="","EKSİK","TAM"))</f>
        <v/>
      </c>
    </row>
    <row r="922">
      <c r="F922" s="26">
        <f>IF($A922="","",IF($B922="","EKSİK","TAM"))</f>
        <v/>
      </c>
    </row>
    <row r="923">
      <c r="F923" s="26">
        <f>IF($A923="","",IF($B923="","EKSİK","TAM"))</f>
        <v/>
      </c>
    </row>
    <row r="924">
      <c r="F924" s="26">
        <f>IF($A924="","",IF($B924="","EKSİK","TAM"))</f>
        <v/>
      </c>
    </row>
    <row r="925">
      <c r="F925" s="26">
        <f>IF($A925="","",IF($B925="","EKSİK","TAM"))</f>
        <v/>
      </c>
    </row>
    <row r="926">
      <c r="F926" s="26">
        <f>IF($A926="","",IF($B926="","EKSİK","TAM"))</f>
        <v/>
      </c>
    </row>
    <row r="927">
      <c r="F927" s="26">
        <f>IF($A927="","",IF($B927="","EKSİK","TAM"))</f>
        <v/>
      </c>
    </row>
    <row r="928">
      <c r="F928" s="26">
        <f>IF($A928="","",IF($B928="","EKSİK","TAM"))</f>
        <v/>
      </c>
    </row>
    <row r="929">
      <c r="F929" s="26">
        <f>IF($A929="","",IF($B929="","EKSİK","TAM"))</f>
        <v/>
      </c>
    </row>
    <row r="930">
      <c r="F930" s="26">
        <f>IF($A930="","",IF($B930="","EKSİK","TAM"))</f>
        <v/>
      </c>
    </row>
    <row r="931">
      <c r="F931" s="26">
        <f>IF($A931="","",IF($B931="","EKSİK","TAM"))</f>
        <v/>
      </c>
    </row>
    <row r="932">
      <c r="F932" s="26">
        <f>IF($A932="","",IF($B932="","EKSİK","TAM"))</f>
        <v/>
      </c>
    </row>
    <row r="933">
      <c r="F933" s="26">
        <f>IF($A933="","",IF($B933="","EKSİK","TAM"))</f>
        <v/>
      </c>
    </row>
    <row r="934">
      <c r="F934" s="26">
        <f>IF($A934="","",IF($B934="","EKSİK","TAM"))</f>
        <v/>
      </c>
    </row>
    <row r="935">
      <c r="F935" s="26">
        <f>IF($A935="","",IF($B935="","EKSİK","TAM"))</f>
        <v/>
      </c>
    </row>
    <row r="936">
      <c r="F936" s="26">
        <f>IF($A936="","",IF($B936="","EKSİK","TAM"))</f>
        <v/>
      </c>
    </row>
    <row r="937">
      <c r="F937" s="26">
        <f>IF($A937="","",IF($B937="","EKSİK","TAM"))</f>
        <v/>
      </c>
    </row>
    <row r="938">
      <c r="F938" s="26">
        <f>IF($A938="","",IF($B938="","EKSİK","TAM"))</f>
        <v/>
      </c>
    </row>
    <row r="939">
      <c r="F939" s="26">
        <f>IF($A939="","",IF($B939="","EKSİK","TAM"))</f>
        <v/>
      </c>
    </row>
    <row r="940">
      <c r="F940" s="26">
        <f>IF($A940="","",IF($B940="","EKSİK","TAM"))</f>
        <v/>
      </c>
    </row>
    <row r="941">
      <c r="F941" s="26">
        <f>IF($A941="","",IF($B941="","EKSİK","TAM"))</f>
        <v/>
      </c>
    </row>
    <row r="942">
      <c r="F942" s="26">
        <f>IF($A942="","",IF($B942="","EKSİK","TAM"))</f>
        <v/>
      </c>
    </row>
    <row r="943">
      <c r="F943" s="26">
        <f>IF($A943="","",IF($B943="","EKSİK","TAM"))</f>
        <v/>
      </c>
    </row>
    <row r="944">
      <c r="F944" s="26">
        <f>IF($A944="","",IF($B944="","EKSİK","TAM"))</f>
        <v/>
      </c>
    </row>
    <row r="945">
      <c r="F945" s="26">
        <f>IF($A945="","",IF($B945="","EKSİK","TAM"))</f>
        <v/>
      </c>
    </row>
    <row r="946">
      <c r="F946" s="26">
        <f>IF($A946="","",IF($B946="","EKSİK","TAM"))</f>
        <v/>
      </c>
    </row>
    <row r="947">
      <c r="F947" s="26">
        <f>IF($A947="","",IF($B947="","EKSİK","TAM"))</f>
        <v/>
      </c>
    </row>
    <row r="948">
      <c r="F948" s="26">
        <f>IF($A948="","",IF($B948="","EKSİK","TAM"))</f>
        <v/>
      </c>
    </row>
    <row r="949">
      <c r="F949" s="26">
        <f>IF($A949="","",IF($B949="","EKSİK","TAM"))</f>
        <v/>
      </c>
    </row>
    <row r="950">
      <c r="F950" s="26">
        <f>IF($A950="","",IF($B950="","EKSİK","TAM"))</f>
        <v/>
      </c>
    </row>
    <row r="951">
      <c r="F951" s="26">
        <f>IF($A951="","",IF($B951="","EKSİK","TAM"))</f>
        <v/>
      </c>
    </row>
    <row r="952">
      <c r="F952" s="26">
        <f>IF($A952="","",IF($B952="","EKSİK","TAM"))</f>
        <v/>
      </c>
    </row>
    <row r="953">
      <c r="F953" s="26">
        <f>IF($A953="","",IF($B953="","EKSİK","TAM"))</f>
        <v/>
      </c>
    </row>
    <row r="954">
      <c r="F954" s="26">
        <f>IF($A954="","",IF($B954="","EKSİK","TAM"))</f>
        <v/>
      </c>
    </row>
    <row r="955">
      <c r="F955" s="26">
        <f>IF($A955="","",IF($B955="","EKSİK","TAM"))</f>
        <v/>
      </c>
    </row>
    <row r="956">
      <c r="F956" s="26">
        <f>IF($A956="","",IF($B956="","EKSİK","TAM"))</f>
        <v/>
      </c>
    </row>
    <row r="957">
      <c r="F957" s="26">
        <f>IF($A957="","",IF($B957="","EKSİK","TAM"))</f>
        <v/>
      </c>
    </row>
    <row r="958">
      <c r="F958" s="26">
        <f>IF($A958="","",IF($B958="","EKSİK","TAM"))</f>
        <v/>
      </c>
    </row>
    <row r="959">
      <c r="F959" s="26">
        <f>IF($A959="","",IF($B959="","EKSİK","TAM"))</f>
        <v/>
      </c>
    </row>
    <row r="960">
      <c r="F960" s="26">
        <f>IF($A960="","",IF($B960="","EKSİK","TAM"))</f>
        <v/>
      </c>
    </row>
    <row r="961">
      <c r="F961" s="26">
        <f>IF($A961="","",IF($B961="","EKSİK","TAM"))</f>
        <v/>
      </c>
    </row>
    <row r="962">
      <c r="F962" s="26">
        <f>IF($A962="","",IF($B962="","EKSİK","TAM"))</f>
        <v/>
      </c>
    </row>
    <row r="963">
      <c r="F963" s="26">
        <f>IF($A963="","",IF($B963="","EKSİK","TAM"))</f>
        <v/>
      </c>
    </row>
    <row r="964">
      <c r="F964" s="26">
        <f>IF($A964="","",IF($B964="","EKSİK","TAM"))</f>
        <v/>
      </c>
    </row>
    <row r="965">
      <c r="F965" s="26">
        <f>IF($A965="","",IF($B965="","EKSİK","TAM"))</f>
        <v/>
      </c>
    </row>
    <row r="966">
      <c r="F966" s="26">
        <f>IF($A966="","",IF($B966="","EKSİK","TAM"))</f>
        <v/>
      </c>
    </row>
    <row r="967">
      <c r="F967" s="26">
        <f>IF($A967="","",IF($B967="","EKSİK","TAM"))</f>
        <v/>
      </c>
    </row>
    <row r="968">
      <c r="F968" s="26">
        <f>IF($A968="","",IF($B968="","EKSİK","TAM"))</f>
        <v/>
      </c>
    </row>
    <row r="969">
      <c r="F969" s="26">
        <f>IF($A969="","",IF($B969="","EKSİK","TAM"))</f>
        <v/>
      </c>
    </row>
    <row r="970">
      <c r="F970" s="26">
        <f>IF($A970="","",IF($B970="","EKSİK","TAM"))</f>
        <v/>
      </c>
    </row>
    <row r="971">
      <c r="F971" s="26">
        <f>IF($A971="","",IF($B971="","EKSİK","TAM"))</f>
        <v/>
      </c>
    </row>
    <row r="972">
      <c r="F972" s="26">
        <f>IF($A972="","",IF($B972="","EKSİK","TAM"))</f>
        <v/>
      </c>
    </row>
    <row r="973">
      <c r="F973" s="26">
        <f>IF($A973="","",IF($B973="","EKSİK","TAM"))</f>
        <v/>
      </c>
    </row>
    <row r="974">
      <c r="F974" s="26">
        <f>IF($A974="","",IF($B974="","EKSİK","TAM"))</f>
        <v/>
      </c>
    </row>
    <row r="975">
      <c r="F975" s="26">
        <f>IF($A975="","",IF($B975="","EKSİK","TAM"))</f>
        <v/>
      </c>
    </row>
    <row r="976">
      <c r="F976" s="26">
        <f>IF($A976="","",IF($B976="","EKSİK","TAM"))</f>
        <v/>
      </c>
    </row>
    <row r="977">
      <c r="F977" s="26">
        <f>IF($A977="","",IF($B977="","EKSİK","TAM"))</f>
        <v/>
      </c>
    </row>
    <row r="978">
      <c r="F978" s="26">
        <f>IF($A978="","",IF($B978="","EKSİK","TAM"))</f>
        <v/>
      </c>
    </row>
    <row r="979">
      <c r="F979" s="26">
        <f>IF($A979="","",IF($B979="","EKSİK","TAM"))</f>
        <v/>
      </c>
    </row>
    <row r="980">
      <c r="F980" s="26">
        <f>IF($A980="","",IF($B980="","EKSİK","TAM"))</f>
        <v/>
      </c>
    </row>
    <row r="981">
      <c r="F981" s="26">
        <f>IF($A981="","",IF($B981="","EKSİK","TAM"))</f>
        <v/>
      </c>
    </row>
    <row r="982">
      <c r="F982" s="26">
        <f>IF($A982="","",IF($B982="","EKSİK","TAM"))</f>
        <v/>
      </c>
    </row>
    <row r="983">
      <c r="F983" s="26">
        <f>IF($A983="","",IF($B983="","EKSİK","TAM"))</f>
        <v/>
      </c>
    </row>
    <row r="984">
      <c r="F984" s="26">
        <f>IF($A984="","",IF($B984="","EKSİK","TAM"))</f>
        <v/>
      </c>
    </row>
    <row r="985">
      <c r="F985" s="26">
        <f>IF($A985="","",IF($B985="","EKSİK","TAM"))</f>
        <v/>
      </c>
    </row>
    <row r="986">
      <c r="F986" s="26">
        <f>IF($A986="","",IF($B986="","EKSİK","TAM"))</f>
        <v/>
      </c>
    </row>
    <row r="987">
      <c r="F987" s="26">
        <f>IF($A987="","",IF($B987="","EKSİK","TAM"))</f>
        <v/>
      </c>
    </row>
    <row r="988">
      <c r="F988" s="26">
        <f>IF($A988="","",IF($B988="","EKSİK","TAM"))</f>
        <v/>
      </c>
    </row>
    <row r="989">
      <c r="F989" s="26">
        <f>IF($A989="","",IF($B989="","EKSİK","TAM"))</f>
        <v/>
      </c>
    </row>
    <row r="990">
      <c r="F990" s="26">
        <f>IF($A990="","",IF($B990="","EKSİK","TAM"))</f>
        <v/>
      </c>
    </row>
    <row r="991">
      <c r="F991" s="26">
        <f>IF($A991="","",IF($B991="","EKSİK","TAM"))</f>
        <v/>
      </c>
    </row>
    <row r="992">
      <c r="F992" s="26">
        <f>IF($A992="","",IF($B992="","EKSİK","TAM"))</f>
        <v/>
      </c>
    </row>
    <row r="993">
      <c r="F993" s="26">
        <f>IF($A993="","",IF($B993="","EKSİK","TAM"))</f>
        <v/>
      </c>
    </row>
    <row r="994">
      <c r="F994" s="26">
        <f>IF($A994="","",IF($B994="","EKSİK","TAM"))</f>
        <v/>
      </c>
    </row>
    <row r="995">
      <c r="F995" s="26">
        <f>IF($A995="","",IF($B995="","EKSİK","TAM"))</f>
        <v/>
      </c>
    </row>
    <row r="996">
      <c r="F996" s="26">
        <f>IF($A996="","",IF($B996="","EKSİK","TAM"))</f>
        <v/>
      </c>
    </row>
    <row r="997">
      <c r="F997" s="26">
        <f>IF($A997="","",IF($B997="","EKSİK","TAM"))</f>
        <v/>
      </c>
    </row>
    <row r="998">
      <c r="F998" s="26">
        <f>IF($A998="","",IF($B998="","EKSİK","TAM"))</f>
        <v/>
      </c>
    </row>
    <row r="999">
      <c r="F999" s="26">
        <f>IF($A999="","",IF($B999="","EKSİK","TAM"))</f>
        <v/>
      </c>
    </row>
    <row r="1000">
      <c r="F1000" s="26">
        <f>IF($A1000="","",IF($B1000="","EKSİK","TAM"))</f>
        <v/>
      </c>
    </row>
    <row r="1001">
      <c r="F1001" s="26">
        <f>IF($A1001="","",IF($B1001="","EKSİK","TAM"))</f>
        <v/>
      </c>
    </row>
    <row r="1002">
      <c r="F1002" s="26">
        <f>IF($A1002="","",IF($B1002="","EKSİK","TAM"))</f>
        <v/>
      </c>
    </row>
    <row r="1003">
      <c r="F1003" s="26">
        <f>IF($A1003="","",IF($B1003="","EKSİK","TAM"))</f>
        <v/>
      </c>
    </row>
    <row r="1004">
      <c r="F1004" s="26">
        <f>IF($A1004="","",IF($B1004="","EKSİK","TAM"))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10">
    <cfRule type="cellIs" priority="1" operator="lessThan" dxfId="0">
      <formula>0</formula>
    </cfRule>
  </conditionalFormatting>
  <conditionalFormatting sqref="B13">
    <cfRule type="cellIs" priority="2" operator="lessThan" dxfId="0">
      <formula>18</formula>
    </cfRule>
  </conditionalFormatting>
  <conditionalFormatting sqref="B16">
    <cfRule type="cellIs" priority="3" operator="lessThan" dxfId="0">
      <formula>0</formula>
    </cfRule>
  </conditionalFormatting>
  <conditionalFormatting sqref="B20">
    <cfRule type="cellIs" priority="4" operator="lessThan" dxfId="1">
      <formula>70</formula>
    </cfRule>
    <cfRule type="cellIs" priority="5" operator="greaterThanOrEqual" dxfId="2">
      <formula>85</formula>
    </cfRule>
  </conditionalFormatting>
  <dataValidations count="9">
    <dataValidation sqref="B8" showDropDown="0" showInputMessage="1" showErrorMessage="1" allowBlank="1" errorTitle="Geçersiz" error="Listeden seçin." promptTitle="Hesap Yılı" prompt="2025/2026/2027 seçin." type="list" errorStyle="stop">
      <formula1>ListeYillar</formula1>
    </dataValidation>
    <dataValidation sqref="B9" showDropDown="0" showInputMessage="1" showErrorMessage="1" allowBlank="1" errorTitle="Geçersiz" error="Listeden seçin." promptTitle="ÇKS" prompt="Evet veya Hayır." type="list" errorStyle="stop">
      <formula1>ListeEvetHayir</formula1>
    </dataValidation>
    <dataValidation sqref="B11" showDropDown="0" showInputMessage="1" showErrorMessage="1" allowBlank="1" errorTitle="Geçersiz" error="Listeden seçin." promptTitle="Ürün" prompt="Ürün grubunu seçin." type="list" errorStyle="stop">
      <formula1>ListeUrun</formula1>
    </dataValidation>
    <dataValidation sqref="B12" showDropDown="0" showInputMessage="1" showErrorMessage="1" allowBlank="1" errorTitle="Geçersiz" error="Listeden seçin." promptTitle="Çağrı" prompt="Programı seçin." type="list" errorStyle="stop">
      <formula1>ListeCagri</formula1>
    </dataValidation>
    <dataValidation sqref="B14" showDropDown="0" showInputMessage="1" showErrorMessage="1" allowBlank="1" errorTitle="Geçersiz" error="Listeden seçin." promptTitle="Organik" prompt="Evet veya Hayır." type="list" errorStyle="stop">
      <formula1>ListeEvetHayir</formula1>
    </dataValidation>
    <dataValidation sqref="B17" showDropDown="0" showInputMessage="1" showErrorMessage="1" allowBlank="1" errorTitle="Geçersiz" error="Listeden seçin." promptTitle="Borç" prompt="Evet veya Hayır." type="list" errorStyle="stop">
      <formula1>ListeEvetHayir</formula1>
    </dataValidation>
    <dataValidation sqref="B18" showDropDown="0" showInputMessage="1" showErrorMessage="1" allowBlank="1" errorTitle="Geçersiz" error="A veya B seçin." promptTitle="Yorum" prompt="A veya B." type="list" errorStyle="stop">
      <formula1>ListeYorumAB</formula1>
    </dataValidation>
    <dataValidation sqref="B10" showDropDown="0" showInputMessage="1" showErrorMessage="1" allowBlank="1" errorTitle="Geçersiz" error="Negatif olamaz." promptTitle="Dekar" prompt="0 veya daha büyük." type="decimal" errorStyle="stop" operator="greaterThanOrEqual">
      <formula1>0</formula1>
      <formula2>100000</formula2>
    </dataValidation>
    <dataValidation sqref="B13" showDropDown="0" showInputMessage="1" showErrorMessage="1" allowBlank="1" errorTitle="Geçersiz" error="18–80." promptTitle="Yaş" prompt="18–80 arası." type="whole" errorStyle="stop" operator="between">
      <formula1>18</formula1>
      <formula2>80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7A4D"/>
    <outlinePr summaryBelow="1" summaryRight="1"/>
    <pageSetUpPr/>
  </sheetPr>
  <dimension ref="A1:A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4" customWidth="1" min="11" max="11"/>
  </cols>
  <sheetData>
    <row r="1" ht="26" customHeight="1">
      <c r="A1" s="1" t="inlineStr">
        <is>
          <t>KURALLAR — Tarımsal Destek/Teşvik Uygunluk Testi</t>
        </is>
      </c>
    </row>
    <row r="3">
      <c r="A3" s="14" t="inlineStr">
        <is>
          <t>Destek mevzuat kural tablosu (yıl yan yana)</t>
        </is>
      </c>
    </row>
    <row r="4">
      <c r="A4" s="4" t="inlineStr">
        <is>
          <t>Eşikler MOTOR'da sabit yazılmaz; INDEX/MATCH ile buradan çekilir.</t>
        </is>
      </c>
    </row>
    <row r="6" ht="30" customHeight="1">
      <c r="A6" s="24" t="inlineStr">
        <is>
          <t>kural_id</t>
        </is>
      </c>
      <c r="B6" s="24" t="inlineStr">
        <is>
          <t>madde</t>
        </is>
      </c>
      <c r="C6" s="24" t="inlineStr">
        <is>
          <t>kural_adi</t>
        </is>
      </c>
      <c r="D6" s="24" t="inlineStr">
        <is>
          <t>kosul_metni</t>
        </is>
      </c>
      <c r="E6" s="24" t="inlineStr">
        <is>
          <t>parametre_adi</t>
        </is>
      </c>
      <c r="F6" s="24" t="inlineStr">
        <is>
          <t>deger_2025</t>
        </is>
      </c>
      <c r="G6" s="24" t="inlineStr">
        <is>
          <t>deger_2026</t>
        </is>
      </c>
      <c r="H6" s="24" t="inlineStr">
        <is>
          <t>deger_2027</t>
        </is>
      </c>
      <c r="I6" s="24" t="inlineStr">
        <is>
          <t>yururluk</t>
        </is>
      </c>
      <c r="J6" s="24" t="inlineStr">
        <is>
          <t>kaynak</t>
        </is>
      </c>
      <c r="K6" s="24" t="inlineStr">
        <is>
          <t>aktif_deger</t>
        </is>
      </c>
    </row>
    <row r="7">
      <c r="A7" s="16" t="inlineStr">
        <is>
          <t>TDU-001</t>
        </is>
      </c>
      <c r="B7" s="16" t="inlineStr">
        <is>
          <t>ÇKS Tebliği</t>
        </is>
      </c>
      <c r="C7" s="16" t="inlineStr">
        <is>
          <t>cks_zorunlu</t>
        </is>
      </c>
      <c r="D7" s="16" t="inlineStr">
        <is>
          <t>cks=Evet</t>
        </is>
      </c>
      <c r="E7" s="16" t="inlineStr">
        <is>
          <t>cks_zorunlu</t>
        </is>
      </c>
      <c r="F7" s="30" t="n">
        <v>1</v>
      </c>
      <c r="G7" s="30" t="n">
        <v>1</v>
      </c>
      <c r="H7" s="30" t="n">
        <v>1</v>
      </c>
      <c r="I7" s="16" t="inlineStr">
        <is>
          <t>01.01.2025</t>
        </is>
      </c>
      <c r="J7" s="16" t="inlineStr">
        <is>
          <t>ÇKS kayıt zorunluluğu</t>
        </is>
      </c>
      <c r="K7" s="26">
        <f>IF($A7="","",IFERROR(CHOOSE(MAX(tdu_bir,MIN(3,IF(OR(hesapYili="",hesapYili=0),tdu_bir,hesapYili-tdu_yilTaban))),$F7,$G7,$H7),0))</f>
        <v/>
      </c>
    </row>
    <row r="8">
      <c r="A8" s="16" t="inlineStr">
        <is>
          <t>TDU-002</t>
        </is>
      </c>
      <c r="B8" s="16" t="inlineStr">
        <is>
          <t>Mazot-Gübre</t>
        </is>
      </c>
      <c r="C8" s="16" t="inlineStr">
        <is>
          <t>min_dekar_mazot</t>
        </is>
      </c>
      <c r="D8" s="16" t="inlineStr">
        <is>
          <t>dekar&gt;=min</t>
        </is>
      </c>
      <c r="E8" s="16" t="inlineStr">
        <is>
          <t>min_dekar_mazot</t>
        </is>
      </c>
      <c r="F8" s="30" t="n">
        <v>10</v>
      </c>
      <c r="G8" s="30" t="n">
        <v>10</v>
      </c>
      <c r="H8" s="30" t="n">
        <v>12</v>
      </c>
      <c r="I8" s="16" t="inlineStr">
        <is>
          <t>01.01.2025</t>
        </is>
      </c>
      <c r="J8" s="16" t="inlineStr">
        <is>
          <t>Mazot-gübre destek tebliği</t>
        </is>
      </c>
      <c r="K8" s="26">
        <f>IF($A8="","",IFERROR(CHOOSE(MAX(tdu_bir,MIN(3,IF(OR(hesapYili="",hesapYili=0),tdu_bir,hesapYili-tdu_yilTaban))),$F8,$G8,$H8),0))</f>
        <v/>
      </c>
    </row>
    <row r="9">
      <c r="A9" s="16" t="inlineStr">
        <is>
          <t>TDU-003</t>
        </is>
      </c>
      <c r="B9" s="16" t="inlineStr">
        <is>
          <t>Alan Bazlı</t>
        </is>
      </c>
      <c r="C9" s="16" t="inlineStr">
        <is>
          <t>min_dekar_alan</t>
        </is>
      </c>
      <c r="D9" s="16" t="inlineStr">
        <is>
          <t>dekar&gt;=min</t>
        </is>
      </c>
      <c r="E9" s="16" t="inlineStr">
        <is>
          <t>min_dekar_alan</t>
        </is>
      </c>
      <c r="F9" s="30" t="n">
        <v>1</v>
      </c>
      <c r="G9" s="30" t="n">
        <v>1</v>
      </c>
      <c r="H9" s="30" t="n">
        <v>1</v>
      </c>
      <c r="I9" s="16" t="inlineStr">
        <is>
          <t>01.01.2025</t>
        </is>
      </c>
      <c r="J9" s="16" t="inlineStr">
        <is>
          <t>Alan bazlı destek tebliği</t>
        </is>
      </c>
      <c r="K9" s="26">
        <f>IF($A9="","",IFERROR(CHOOSE(MAX(tdu_bir,MIN(3,IF(OR(hesapYili="",hesapYili=0),tdu_bir,hesapYili-tdu_yilTaban))),$F9,$G9,$H9),0))</f>
        <v/>
      </c>
    </row>
    <row r="10">
      <c r="A10" s="16" t="inlineStr">
        <is>
          <t>TDU-004</t>
        </is>
      </c>
      <c r="B10" s="16" t="inlineStr">
        <is>
          <t>Genç Çiftçi</t>
        </is>
      </c>
      <c r="C10" s="16" t="inlineStr">
        <is>
          <t>yas_ust_sinir</t>
        </is>
      </c>
      <c r="D10" s="16" t="inlineStr">
        <is>
          <t>yas&lt;=ust</t>
        </is>
      </c>
      <c r="E10" s="16" t="inlineStr">
        <is>
          <t>yas_ust_sinir</t>
        </is>
      </c>
      <c r="F10" s="30" t="n">
        <v>40</v>
      </c>
      <c r="G10" s="30" t="n">
        <v>40</v>
      </c>
      <c r="H10" s="30" t="n">
        <v>41</v>
      </c>
      <c r="I10" s="16" t="inlineStr">
        <is>
          <t>01.01.2025</t>
        </is>
      </c>
      <c r="J10" s="16" t="inlineStr">
        <is>
          <t>Genç çiftçi destek tebliği</t>
        </is>
      </c>
      <c r="K10" s="26">
        <f>IF($A10="","",IFERROR(CHOOSE(MAX(tdu_bir,MIN(3,IF(OR(hesapYili="",hesapYili=0),tdu_bir,hesapYili-tdu_yilTaban))),$F10,$G10,$H10),0))</f>
        <v/>
      </c>
    </row>
    <row r="11">
      <c r="A11" s="16" t="inlineStr">
        <is>
          <t>TDU-005</t>
        </is>
      </c>
      <c r="B11" s="16" t="inlineStr">
        <is>
          <t>Organik</t>
        </is>
      </c>
      <c r="C11" s="16" t="inlineStr">
        <is>
          <t>organik_min_dekar</t>
        </is>
      </c>
      <c r="D11" s="16" t="inlineStr">
        <is>
          <t>sertifika+dekar</t>
        </is>
      </c>
      <c r="E11" s="16" t="inlineStr">
        <is>
          <t>organik_min_dekar</t>
        </is>
      </c>
      <c r="F11" s="30" t="n">
        <v>5</v>
      </c>
      <c r="G11" s="30" t="n">
        <v>5</v>
      </c>
      <c r="H11" s="30" t="n">
        <v>5</v>
      </c>
      <c r="I11" s="16" t="inlineStr">
        <is>
          <t>01.01.2025</t>
        </is>
      </c>
      <c r="J11" s="16" t="inlineStr">
        <is>
          <t>Organik tarım destek tebliği</t>
        </is>
      </c>
      <c r="K11" s="26">
        <f>IF($A11="","",IFERROR(CHOOSE(MAX(tdu_bir,MIN(3,IF(OR(hesapYili="",hesapYili=0),tdu_bir,hesapYili-tdu_yilTaban))),$F11,$G11,$H11),0))</f>
        <v/>
      </c>
    </row>
    <row r="12">
      <c r="A12" s="16" t="inlineStr">
        <is>
          <t>TDU-006</t>
        </is>
      </c>
      <c r="B12" s="16" t="inlineStr">
        <is>
          <t>Hayvancılık</t>
        </is>
      </c>
      <c r="C12" s="16" t="inlineStr">
        <is>
          <t>hayvan_min_adet</t>
        </is>
      </c>
      <c r="D12" s="16" t="inlineStr">
        <is>
          <t>adet&gt;=min</t>
        </is>
      </c>
      <c r="E12" s="16" t="inlineStr">
        <is>
          <t>hayvan_min_adet</t>
        </is>
      </c>
      <c r="F12" s="30" t="n">
        <v>10</v>
      </c>
      <c r="G12" s="30" t="n">
        <v>10</v>
      </c>
      <c r="H12" s="30" t="n">
        <v>10</v>
      </c>
      <c r="I12" s="16" t="inlineStr">
        <is>
          <t>01.01.2025</t>
        </is>
      </c>
      <c r="J12" s="16" t="inlineStr">
        <is>
          <t>Hayvancılık destek tebliği</t>
        </is>
      </c>
      <c r="K12" s="26">
        <f>IF($A12="","",IFERROR(CHOOSE(MAX(tdu_bir,MIN(3,IF(OR(hesapYili="",hesapYili=0),tdu_bir,hesapYili-tdu_yilTaban))),$F12,$G12,$H12),0))</f>
        <v/>
      </c>
    </row>
    <row r="13">
      <c r="A13" s="16" t="inlineStr">
        <is>
          <t>TDU-007</t>
        </is>
      </c>
      <c r="B13" s="16" t="inlineStr">
        <is>
          <t>IPARD</t>
        </is>
      </c>
      <c r="C13" s="16" t="inlineStr">
        <is>
          <t>yatirim_min_tl</t>
        </is>
      </c>
      <c r="D13" s="16" t="inlineStr">
        <is>
          <t>yatirim&gt;=min</t>
        </is>
      </c>
      <c r="E13" s="16" t="inlineStr">
        <is>
          <t>yatirim_min_tl</t>
        </is>
      </c>
      <c r="F13" s="31" t="n">
        <v>500000</v>
      </c>
      <c r="G13" s="31" t="n">
        <v>550000</v>
      </c>
      <c r="H13" s="31" t="n">
        <v>600000</v>
      </c>
      <c r="I13" s="16" t="inlineStr">
        <is>
          <t>01.01.2025</t>
        </is>
      </c>
      <c r="J13" s="16" t="inlineStr">
        <is>
          <t>IPARD başvuru rehberi</t>
        </is>
      </c>
      <c r="K13" s="26">
        <f>IF($A13="","",IFERROR(CHOOSE(MAX(tdu_bir,MIN(3,IF(OR(hesapYili="",hesapYili=0),tdu_bir,hesapYili-tdu_yilTaban))),$F13,$G13,$H13),0))</f>
        <v/>
      </c>
    </row>
    <row r="14">
      <c r="A14" s="16" t="inlineStr">
        <is>
          <t>TDU-008</t>
        </is>
      </c>
      <c r="B14" s="16" t="inlineStr">
        <is>
          <t>Uygunluk</t>
        </is>
      </c>
      <c r="C14" s="16" t="inlineStr">
        <is>
          <t>puan_esik</t>
        </is>
      </c>
      <c r="D14" s="16" t="inlineStr">
        <is>
          <t>puan&gt;=esik</t>
        </is>
      </c>
      <c r="E14" s="16" t="inlineStr">
        <is>
          <t>puan_esik</t>
        </is>
      </c>
      <c r="F14" s="30" t="n">
        <v>70</v>
      </c>
      <c r="G14" s="30" t="n">
        <v>70</v>
      </c>
      <c r="H14" s="30" t="n">
        <v>75</v>
      </c>
      <c r="I14" s="16" t="inlineStr">
        <is>
          <t>01.01.2025</t>
        </is>
      </c>
      <c r="J14" s="16" t="inlineStr">
        <is>
          <t>İç uygunluk eşik politikası</t>
        </is>
      </c>
      <c r="K14" s="26">
        <f>IF($A14="","",IFERROR(CHOOSE(MAX(tdu_bir,MIN(3,IF(OR(hesapYili="",hesapYili=0),tdu_bir,hesapYili-tdu_yilTaban))),$F14,$G14,$H14),0))</f>
        <v/>
      </c>
    </row>
    <row r="15">
      <c r="A15" s="16" t="inlineStr">
        <is>
          <t>TDU-009</t>
        </is>
      </c>
      <c r="B15" s="16" t="inlineStr">
        <is>
          <t>IPARD</t>
        </is>
      </c>
      <c r="C15" s="16" t="inlineStr">
        <is>
          <t>ipard_hibe_oran</t>
        </is>
      </c>
      <c r="D15" s="16" t="inlineStr">
        <is>
          <t>yatirim*oran</t>
        </is>
      </c>
      <c r="E15" s="16" t="inlineStr">
        <is>
          <t>ipard_hibe_oran</t>
        </is>
      </c>
      <c r="F15" s="32" t="n">
        <v>0.5</v>
      </c>
      <c r="G15" s="32" t="n">
        <v>0.5</v>
      </c>
      <c r="H15" s="32" t="n">
        <v>0.55</v>
      </c>
      <c r="I15" s="16" t="inlineStr">
        <is>
          <t>01.01.2025</t>
        </is>
      </c>
      <c r="J15" s="16" t="inlineStr">
        <is>
          <t>IPARD hibe oranı</t>
        </is>
      </c>
      <c r="K15" s="26">
        <f>IF($A15="","",IFERROR(CHOOSE(MAX(tdu_bir,MIN(3,IF(OR(hesapYili="",hesapYili=0),tdu_bir,hesapYili-tdu_yilTaban))),$F15,$G15,$H15),0))</f>
        <v/>
      </c>
    </row>
    <row r="17">
      <c r="A17" s="22" t="inlineStr">
        <is>
          <t>Kural-yıl matrisi özeti</t>
        </is>
      </c>
    </row>
    <row r="18">
      <c r="A18" s="16" t="inlineStr">
        <is>
          <t>Mazot min dekar (aktif yıl)</t>
        </is>
      </c>
      <c r="B18" s="23">
        <f>IFERROR(INDEX(CHOOSE(MAX(tdu_bir,MIN(3,IF(OR(hesapYili="",hesapYili=0),tdu_bir,hesapYili-tdu_yilTaban))),tblKurallar[deger_2025],tblKurallar[deger_2026],tblKurallar[deger_2027]),MATCH("TDU-002",tblKurallar[kural_id],0)),0)</f>
        <v/>
      </c>
    </row>
    <row r="19">
      <c r="A19" s="16" t="inlineStr">
        <is>
          <t>Uygunluk puan eşiği</t>
        </is>
      </c>
      <c r="B19" s="23">
        <f>IFERROR(INDEX(CHOOSE(MAX(tdu_bir,MIN(3,IF(OR(hesapYili="",hesapYili=0),tdu_bir,hesapYili-tdu_yilTaban))),tblKurallar[deger_2025],tblKurallar[deger_2026],tblKurallar[deger_2027]),MATCH("TDU-008",tblKurallar[kural_id],0)),0)</f>
        <v/>
      </c>
    </row>
    <row r="20">
      <c r="A20" s="16" t="inlineStr">
        <is>
          <t>Matris metni</t>
        </is>
      </c>
      <c r="B20" s="33">
        <f>_xlfn.TEXTJOIN(" | ",TRUE,"TDU-002=",TEXT(B18,"0"),"TDU-008=",TEXT(B19,"0"),"yıl=",hesapYili)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5" showDropDown="0" showInputMessage="1" showErrorMessage="1" allowBlank="1" errorTitle="Geçersiz" error="0 veya daha büyük." promptTitle="Kural değeri" prompt="Yıl kolonuna sayısal parametre girin." type="decimal" errorStyle="stop" operator="greaterThanOrEqual">
      <formula1>0</formula1>
      <formula2>100000000</formula2>
    </dataValidation>
    <dataValidation sqref="G7:G15" showDropDown="0" showInputMessage="1" showErrorMessage="1" allowBlank="1" errorTitle="Geçersiz" error="0 veya daha büyük." promptTitle="Kural değeri" prompt="Yıl kolonuna sayısal parametre girin." type="decimal" errorStyle="stop" operator="greaterThanOrEqual">
      <formula1>0</formula1>
      <formula2>100000000</formula2>
    </dataValidation>
    <dataValidation sqref="H7:H15" showDropDown="0" showInputMessage="1" showErrorMessage="1" allowBlank="1" errorTitle="Geçersiz" error="0 veya daha büyük." promptTitle="Kural değeri" prompt="Yıl kolonuna sayısal parametre girin." type="decimal" errorStyle="stop" operator="greaterThanOrEqual">
      <formula1>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AD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Tarımsal Destek/Teşvik Uygunluk Testi</t>
        </is>
      </c>
    </row>
    <row r="3">
      <c r="A3" s="14" t="inlineStr">
        <is>
          <t>Hesap zinciri — her adımda kural_id</t>
        </is>
      </c>
    </row>
    <row r="4">
      <c r="A4" s="4" t="inlineStr">
        <is>
          <t>Eşikler tblKurallar'dan çekilir; sabit eşik yoktur.</t>
        </is>
      </c>
    </row>
    <row r="6" ht="30" customHeight="1">
      <c r="A6" s="24" t="inlineStr">
        <is>
          <t>adim</t>
        </is>
      </c>
      <c r="B6" s="24" t="inlineStr">
        <is>
          <t>ad</t>
        </is>
      </c>
      <c r="C6" s="24" t="inlineStr">
        <is>
          <t>formul</t>
        </is>
      </c>
      <c r="D6" s="24" t="inlineStr">
        <is>
          <t>birim</t>
        </is>
      </c>
      <c r="E6" s="24" t="inlineStr">
        <is>
          <t>ne_ise_yarar</t>
        </is>
      </c>
      <c r="F6" s="24" t="inlineStr">
        <is>
          <t>kural_id</t>
        </is>
      </c>
      <c r="G6" s="24" t="inlineStr">
        <is>
          <t>deger</t>
        </is>
      </c>
    </row>
    <row r="7">
      <c r="A7" s="34" t="n">
        <v>1</v>
      </c>
      <c r="B7" s="8" t="inlineStr">
        <is>
          <t>Hesap yılı oku</t>
        </is>
      </c>
      <c r="C7" s="35">
        <f>IFERROR(hesapYili,0)</f>
        <v/>
      </c>
      <c r="D7" s="36" t="inlineStr">
        <is>
          <t>yıl</t>
        </is>
      </c>
      <c r="E7" s="6" t="inlineStr">
        <is>
          <t>Aktif mevzuat yılı</t>
        </is>
      </c>
      <c r="F7" s="37" t="inlineStr">
        <is>
          <t>TDU-008</t>
        </is>
      </c>
      <c r="G7" s="23">
        <f>IFERROR(hesapYili,0)</f>
        <v/>
      </c>
    </row>
    <row r="8">
      <c r="A8" s="34" t="n">
        <v>2</v>
      </c>
      <c r="B8" s="8" t="inlineStr">
        <is>
          <t>ÇKS zorunlu bayrak</t>
        </is>
      </c>
      <c r="C8" s="35">
        <f>IFERROR(INDEX(CHOOSE(MAX(tdu_bir,MIN(3,IF(OR(hesapYili="",hesapYili=0),tdu_bir,hesapYili-tdu_yilTaban))),tblKurallar[deger_2025],tblKurallar[deger_2026],tblKurallar[deger_2027]),MATCH("TDU-001",tblKurallar[kural_id],0)),0)</f>
        <v/>
      </c>
      <c r="D8" s="36" t="inlineStr">
        <is>
          <t>bayrak</t>
        </is>
      </c>
      <c r="E8" s="6" t="inlineStr">
        <is>
          <t>ÇKS zorunluluğu</t>
        </is>
      </c>
      <c r="F8" s="37" t="inlineStr">
        <is>
          <t>TDU-001</t>
        </is>
      </c>
      <c r="G8" s="23">
        <f>IFERROR(INDEX(CHOOSE(MAX(tdu_bir,MIN(3,IF(OR(hesapYili="",hesapYili=0),tdu_bir,hesapYili-tdu_yilTaban))),tblKurallar[deger_2025],tblKurallar[deger_2026],tblKurallar[deger_2027]),MATCH("TDU-001",tblKurallar[kural_id],0)),0)</f>
        <v/>
      </c>
    </row>
    <row r="9">
      <c r="A9" s="34" t="n">
        <v>3</v>
      </c>
      <c r="B9" s="8" t="inlineStr">
        <is>
          <t>Mazot min dekar</t>
        </is>
      </c>
      <c r="C9" s="38">
        <f>IFERROR(INDEX(CHOOSE(MAX(tdu_bir,MIN(3,IF(OR(hesapYili="",hesapYili=0),tdu_bir,hesapYili-tdu_yilTaban))),tblKurallar[deger_2025],tblKurallar[deger_2026],tblKurallar[deger_2027]),MATCH("TDU-002",tblKurallar[kural_id],0)),0)</f>
        <v/>
      </c>
      <c r="D9" s="36" t="inlineStr">
        <is>
          <t>dekar</t>
        </is>
      </c>
      <c r="E9" s="6" t="inlineStr">
        <is>
          <t>Mazot-gübre alt sınır</t>
        </is>
      </c>
      <c r="F9" s="37" t="inlineStr">
        <is>
          <t>TDU-002</t>
        </is>
      </c>
      <c r="G9" s="39">
        <f>IFERROR(INDEX(CHOOSE(MAX(tdu_bir,MIN(3,IF(OR(hesapYili="",hesapYili=0),tdu_bir,hesapYili-tdu_yilTaban))),tblKurallar[deger_2025],tblKurallar[deger_2026],tblKurallar[deger_2027]),MATCH("TDU-002",tblKurallar[kural_id],0)),0)</f>
        <v/>
      </c>
    </row>
    <row r="10">
      <c r="A10" s="34" t="n">
        <v>4</v>
      </c>
      <c r="B10" s="8" t="inlineStr">
        <is>
          <t>Alan bazlı min dekar</t>
        </is>
      </c>
      <c r="C10" s="38">
        <f>IFERROR(INDEX(CHOOSE(MAX(tdu_bir,MIN(3,IF(OR(hesapYili="",hesapYili=0),tdu_bir,hesapYili-tdu_yilTaban))),tblKurallar[deger_2025],tblKurallar[deger_2026],tblKurallar[deger_2027]),MATCH("TDU-003",tblKurallar[kural_id],0)),0)</f>
        <v/>
      </c>
      <c r="D10" s="36" t="inlineStr">
        <is>
          <t>dekar</t>
        </is>
      </c>
      <c r="E10" s="6" t="inlineStr">
        <is>
          <t>Alan bazlı alt sınır</t>
        </is>
      </c>
      <c r="F10" s="37" t="inlineStr">
        <is>
          <t>TDU-003</t>
        </is>
      </c>
      <c r="G10" s="39">
        <f>IFERROR(INDEX(CHOOSE(MAX(tdu_bir,MIN(3,IF(OR(hesapYili="",hesapYili=0),tdu_bir,hesapYili-tdu_yilTaban))),tblKurallar[deger_2025],tblKurallar[deger_2026],tblKurallar[deger_2027]),MATCH("TDU-003",tblKurallar[kural_id],0)),0)</f>
        <v/>
      </c>
    </row>
    <row r="11">
      <c r="A11" s="34" t="n">
        <v>5</v>
      </c>
      <c r="B11" s="8" t="inlineStr">
        <is>
          <t>Genç çiftçi yaş üst</t>
        </is>
      </c>
      <c r="C11" s="35">
        <f>IFERROR(INDEX(CHOOSE(MAX(tdu_bir,MIN(3,IF(OR(hesapYili="",hesapYili=0),tdu_bir,hesapYili-tdu_yilTaban))),tblKurallar[deger_2025],tblKurallar[deger_2026],tblKurallar[deger_2027]),MATCH("TDU-004",tblKurallar[kural_id],0)),0)</f>
        <v/>
      </c>
      <c r="D11" s="36" t="inlineStr">
        <is>
          <t>yıl</t>
        </is>
      </c>
      <c r="E11" s="6" t="inlineStr">
        <is>
          <t>Yaş üst sınırı</t>
        </is>
      </c>
      <c r="F11" s="37" t="inlineStr">
        <is>
          <t>TDU-004</t>
        </is>
      </c>
      <c r="G11" s="23">
        <f>IFERROR(INDEX(CHOOSE(MAX(tdu_bir,MIN(3,IF(OR(hesapYili="",hesapYili=0),tdu_bir,hesapYili-tdu_yilTaban))),tblKurallar[deger_2025],tblKurallar[deger_2026],tblKurallar[deger_2027]),MATCH("TDU-004",tblKurallar[kural_id],0)),0)</f>
        <v/>
      </c>
    </row>
    <row r="12">
      <c r="A12" s="34" t="n">
        <v>6</v>
      </c>
      <c r="B12" s="8" t="inlineStr">
        <is>
          <t>Organik min dekar</t>
        </is>
      </c>
      <c r="C12" s="38">
        <f>IFERROR(INDEX(CHOOSE(MAX(tdu_bir,MIN(3,IF(OR(hesapYili="",hesapYili=0),tdu_bir,hesapYili-tdu_yilTaban))),tblKurallar[deger_2025],tblKurallar[deger_2026],tblKurallar[deger_2027]),MATCH("TDU-005",tblKurallar[kural_id],0)),0)</f>
        <v/>
      </c>
      <c r="D12" s="36" t="inlineStr">
        <is>
          <t>dekar</t>
        </is>
      </c>
      <c r="E12" s="6" t="inlineStr">
        <is>
          <t>Organik alt sınır</t>
        </is>
      </c>
      <c r="F12" s="37" t="inlineStr">
        <is>
          <t>TDU-005</t>
        </is>
      </c>
      <c r="G12" s="39">
        <f>IFERROR(INDEX(CHOOSE(MAX(tdu_bir,MIN(3,IF(OR(hesapYili="",hesapYili=0),tdu_bir,hesapYili-tdu_yilTaban))),tblKurallar[deger_2025],tblKurallar[deger_2026],tblKurallar[deger_2027]),MATCH("TDU-005",tblKurallar[kural_id],0)),0)</f>
        <v/>
      </c>
    </row>
    <row r="13">
      <c r="A13" s="34" t="n">
        <v>7</v>
      </c>
      <c r="B13" s="8" t="inlineStr">
        <is>
          <t>Hayvan min adet</t>
        </is>
      </c>
      <c r="C13" s="35">
        <f>IFERROR(INDEX(CHOOSE(MAX(tdu_bir,MIN(3,IF(OR(hesapYili="",hesapYili=0),tdu_bir,hesapYili-tdu_yilTaban))),tblKurallar[deger_2025],tblKurallar[deger_2026],tblKurallar[deger_2027]),MATCH("TDU-006",tblKurallar[kural_id],0)),0)</f>
        <v/>
      </c>
      <c r="D13" s="36" t="inlineStr">
        <is>
          <t>adet</t>
        </is>
      </c>
      <c r="E13" s="6" t="inlineStr">
        <is>
          <t>Hayvancılık alt sınır</t>
        </is>
      </c>
      <c r="F13" s="37" t="inlineStr">
        <is>
          <t>TDU-006</t>
        </is>
      </c>
      <c r="G13" s="23">
        <f>IFERROR(INDEX(CHOOSE(MAX(tdu_bir,MIN(3,IF(OR(hesapYili="",hesapYili=0),tdu_bir,hesapYili-tdu_yilTaban))),tblKurallar[deger_2025],tblKurallar[deger_2026],tblKurallar[deger_2027]),MATCH("TDU-006",tblKurallar[kural_id],0)),0)</f>
        <v/>
      </c>
    </row>
    <row r="14">
      <c r="A14" s="34" t="n">
        <v>8</v>
      </c>
      <c r="B14" s="8" t="inlineStr">
        <is>
          <t>IPARD yatırım min</t>
        </is>
      </c>
      <c r="C14" s="40">
        <f>IFERROR(INDEX(CHOOSE(MAX(tdu_bir,MIN(3,IF(OR(hesapYili="",hesapYili=0),tdu_bir,hesapYili-tdu_yilTaban))),tblKurallar[deger_2025],tblKurallar[deger_2026],tblKurallar[deger_2027]),MATCH("TDU-007",tblKurallar[kural_id],0)),0)</f>
        <v/>
      </c>
      <c r="D14" s="36" t="inlineStr">
        <is>
          <t>TL</t>
        </is>
      </c>
      <c r="E14" s="6" t="inlineStr">
        <is>
          <t>IPARD yatırım eşiği</t>
        </is>
      </c>
      <c r="F14" s="37" t="inlineStr">
        <is>
          <t>TDU-007</t>
        </is>
      </c>
      <c r="G14" s="41">
        <f>IFERROR(INDEX(CHOOSE(MAX(tdu_bir,MIN(3,IF(OR(hesapYili="",hesapYili=0),tdu_bir,hesapYili-tdu_yilTaban))),tblKurallar[deger_2025],tblKurallar[deger_2026],tblKurallar[deger_2027]),MATCH("TDU-007",tblKurallar[kural_id],0)),0)</f>
        <v/>
      </c>
    </row>
    <row r="15">
      <c r="A15" s="34" t="n">
        <v>9</v>
      </c>
      <c r="B15" s="8" t="inlineStr">
        <is>
          <t>Uygunluk puan eşiği</t>
        </is>
      </c>
      <c r="C15" s="35">
        <f>IFERROR(INDEX(CHOOSE(MAX(tdu_bir,MIN(3,IF(OR(hesapYili="",hesapYili=0),tdu_bir,hesapYili-tdu_yilTaban))),tblKurallar[deger_2025],tblKurallar[deger_2026],tblKurallar[deger_2027]),MATCH("TDU-008",tblKurallar[kural_id],0)),0)</f>
        <v/>
      </c>
      <c r="D15" s="36" t="inlineStr">
        <is>
          <t>puan</t>
        </is>
      </c>
      <c r="E15" s="6" t="inlineStr">
        <is>
          <t>Karar eşiği</t>
        </is>
      </c>
      <c r="F15" s="37" t="inlineStr">
        <is>
          <t>TDU-008</t>
        </is>
      </c>
      <c r="G15" s="23">
        <f>IFERROR(INDEX(CHOOSE(MAX(tdu_bir,MIN(3,IF(OR(hesapYili="",hesapYili=0),tdu_bir,hesapYili-tdu_yilTaban))),tblKurallar[deger_2025],tblKurallar[deger_2026],tblKurallar[deger_2027]),MATCH("TDU-008",tblKurallar[kural_id],0)),0)</f>
        <v/>
      </c>
    </row>
    <row r="16">
      <c r="A16" s="34" t="n">
        <v>10</v>
      </c>
      <c r="B16" s="8" t="inlineStr">
        <is>
          <t>ÇKS kayıt (1/0)</t>
        </is>
      </c>
      <c r="C16" s="35">
        <f>IFERROR(IF(GIRDI!B9="Evet",tdu_bir,0),0)</f>
        <v/>
      </c>
      <c r="D16" s="36" t="inlineStr">
        <is>
          <t>bayrak</t>
        </is>
      </c>
      <c r="E16" s="6" t="inlineStr">
        <is>
          <t>ÇKS girişi</t>
        </is>
      </c>
      <c r="F16" s="37" t="inlineStr">
        <is>
          <t>TDU-001</t>
        </is>
      </c>
      <c r="G16" s="23">
        <f>IFERROR(IF(GIRDI!B9="Evet",tdu_bir,0),0)</f>
        <v/>
      </c>
    </row>
    <row r="17">
      <c r="A17" s="34" t="n">
        <v>11</v>
      </c>
      <c r="B17" s="8" t="inlineStr">
        <is>
          <t>Toplam dekar</t>
        </is>
      </c>
      <c r="C17" s="38">
        <f>IFERROR(GIRDI!B10,0)</f>
        <v/>
      </c>
      <c r="D17" s="36" t="inlineStr">
        <is>
          <t>dekar</t>
        </is>
      </c>
      <c r="E17" s="6" t="inlineStr">
        <is>
          <t>İşletme alanı</t>
        </is>
      </c>
      <c r="F17" s="37" t="inlineStr">
        <is>
          <t>TDU-002</t>
        </is>
      </c>
      <c r="G17" s="39">
        <f>IFERROR(GIRDI!B10,0)</f>
        <v/>
      </c>
    </row>
    <row r="18">
      <c r="A18" s="34" t="n">
        <v>12</v>
      </c>
      <c r="B18" s="8" t="inlineStr">
        <is>
          <t>Yaş</t>
        </is>
      </c>
      <c r="C18" s="35">
        <f>IFERROR(GIRDI!B13,0)</f>
        <v/>
      </c>
      <c r="D18" s="36" t="inlineStr">
        <is>
          <t>yıl</t>
        </is>
      </c>
      <c r="E18" s="6" t="inlineStr">
        <is>
          <t>Başvuran yaşı</t>
        </is>
      </c>
      <c r="F18" s="37" t="inlineStr">
        <is>
          <t>TDU-004</t>
        </is>
      </c>
      <c r="G18" s="23">
        <f>IFERROR(GIRDI!B13,0)</f>
        <v/>
      </c>
    </row>
    <row r="19">
      <c r="A19" s="34" t="n">
        <v>13</v>
      </c>
      <c r="B19" s="8" t="inlineStr">
        <is>
          <t>Organik (1/0)</t>
        </is>
      </c>
      <c r="C19" s="35">
        <f>IFERROR(IF(GIRDI!B14="Evet",tdu_bir,0),0)</f>
        <v/>
      </c>
      <c r="D19" s="36" t="inlineStr">
        <is>
          <t>bayrak</t>
        </is>
      </c>
      <c r="E19" s="6" t="inlineStr">
        <is>
          <t>Sertifika</t>
        </is>
      </c>
      <c r="F19" s="37" t="inlineStr">
        <is>
          <t>TDU-005</t>
        </is>
      </c>
      <c r="G19" s="23">
        <f>IFERROR(IF(GIRDI!B14="Evet",tdu_bir,0),0)</f>
        <v/>
      </c>
    </row>
    <row r="20">
      <c r="A20" s="34" t="n">
        <v>14</v>
      </c>
      <c r="B20" s="8" t="inlineStr">
        <is>
          <t>Hayvan adedi</t>
        </is>
      </c>
      <c r="C20" s="35">
        <f>IFERROR(GIRDI!B15,0)</f>
        <v/>
      </c>
      <c r="D20" s="36" t="inlineStr">
        <is>
          <t>adet</t>
        </is>
      </c>
      <c r="E20" s="6" t="inlineStr">
        <is>
          <t>Küpe kayıt</t>
        </is>
      </c>
      <c r="F20" s="37" t="inlineStr">
        <is>
          <t>TDU-006</t>
        </is>
      </c>
      <c r="G20" s="23">
        <f>IFERROR(GIRDI!B15,0)</f>
        <v/>
      </c>
    </row>
    <row r="21">
      <c r="A21" s="34" t="n">
        <v>15</v>
      </c>
      <c r="B21" s="8" t="inlineStr">
        <is>
          <t>Yatırım tutarı</t>
        </is>
      </c>
      <c r="C21" s="40">
        <f>IFERROR(GIRDI!B16,0)</f>
        <v/>
      </c>
      <c r="D21" s="36" t="inlineStr">
        <is>
          <t>TL</t>
        </is>
      </c>
      <c r="E21" s="6" t="inlineStr">
        <is>
          <t>IPARD yatırım</t>
        </is>
      </c>
      <c r="F21" s="37" t="inlineStr">
        <is>
          <t>TDU-007</t>
        </is>
      </c>
      <c r="G21" s="41">
        <f>IFERROR(GIRDI!B16,0)</f>
        <v/>
      </c>
    </row>
    <row r="22">
      <c r="A22" s="34" t="n">
        <v>16</v>
      </c>
      <c r="B22" s="8" t="inlineStr">
        <is>
          <t>Borç var (1/0)</t>
        </is>
      </c>
      <c r="C22" s="35">
        <f>IFERROR(IF(GIRDI!B17="Evet",tdu_bir,0),0)</f>
        <v/>
      </c>
      <c r="D22" s="36" t="inlineStr">
        <is>
          <t>bayrak</t>
        </is>
      </c>
      <c r="E22" s="6" t="inlineStr">
        <is>
          <t>Vergi/SGK borcu</t>
        </is>
      </c>
      <c r="F22" s="37" t="inlineStr">
        <is>
          <t>TDU-001</t>
        </is>
      </c>
      <c r="G22" s="23">
        <f>IFERROR(IF(GIRDI!B17="Evet",tdu_bir,0),0)</f>
        <v/>
      </c>
    </row>
    <row r="23">
      <c r="A23" s="34" t="n">
        <v>17</v>
      </c>
      <c r="B23" s="8" t="inlineStr">
        <is>
          <t>ÇKS şart sonucu</t>
        </is>
      </c>
      <c r="C23" s="35">
        <f>IFERROR(IF(G8=0,tdu_bir,IF(G16=tdu_bir,tdu_bir,0)),0)</f>
        <v/>
      </c>
      <c r="D23" s="36" t="inlineStr">
        <is>
          <t>bayrak</t>
        </is>
      </c>
      <c r="E23" s="6" t="inlineStr">
        <is>
          <t>ÇKS geçti mi</t>
        </is>
      </c>
      <c r="F23" s="37" t="inlineStr">
        <is>
          <t>TDU-001</t>
        </is>
      </c>
      <c r="G23" s="23">
        <f>IFERROR(IF(G8=0,tdu_bir,IF(G16=tdu_bir,tdu_bir,0)),0)</f>
        <v/>
      </c>
    </row>
    <row r="24">
      <c r="A24" s="34" t="n">
        <v>18</v>
      </c>
      <c r="B24" s="8" t="inlineStr">
        <is>
          <t>Borç blok</t>
        </is>
      </c>
      <c r="C24" s="35">
        <f>IFERROR(G22,0)</f>
        <v/>
      </c>
      <c r="D24" s="36" t="inlineStr">
        <is>
          <t>bayrak</t>
        </is>
      </c>
      <c r="E24" s="6" t="inlineStr">
        <is>
          <t>Borç varsa blok</t>
        </is>
      </c>
      <c r="F24" s="37" t="inlineStr">
        <is>
          <t>TDU-001</t>
        </is>
      </c>
      <c r="G24" s="23">
        <f>IFERROR(G22,0)</f>
        <v/>
      </c>
    </row>
    <row r="25">
      <c r="A25" s="34" t="n">
        <v>19</v>
      </c>
      <c r="B25" s="8" t="inlineStr">
        <is>
          <t>Mazot şart</t>
        </is>
      </c>
      <c r="C25" s="35">
        <f>IFERROR(IF(G17&gt;=G9,tdu_bir,0),0)</f>
        <v/>
      </c>
      <c r="D25" s="36" t="inlineStr">
        <is>
          <t>bayrak</t>
        </is>
      </c>
      <c r="E25" s="6" t="inlineStr">
        <is>
          <t>Dekar ≥ mazot min</t>
        </is>
      </c>
      <c r="F25" s="37" t="inlineStr">
        <is>
          <t>TDU-002</t>
        </is>
      </c>
      <c r="G25" s="23">
        <f>IFERROR(IF(G17&gt;=G9,tdu_bir,0),0)</f>
        <v/>
      </c>
    </row>
    <row r="26">
      <c r="A26" s="34" t="n">
        <v>20</v>
      </c>
      <c r="B26" s="8" t="inlineStr">
        <is>
          <t>Alan bazlı şart</t>
        </is>
      </c>
      <c r="C26" s="35">
        <f>IFERROR(IF(G17&gt;=G10,tdu_bir,0),0)</f>
        <v/>
      </c>
      <c r="D26" s="36" t="inlineStr">
        <is>
          <t>bayrak</t>
        </is>
      </c>
      <c r="E26" s="6" t="inlineStr">
        <is>
          <t>Dekar ≥ alan min</t>
        </is>
      </c>
      <c r="F26" s="37" t="inlineStr">
        <is>
          <t>TDU-003</t>
        </is>
      </c>
      <c r="G26" s="23">
        <f>IFERROR(IF(G17&gt;=G10,tdu_bir,0),0)</f>
        <v/>
      </c>
    </row>
    <row r="27">
      <c r="A27" s="34" t="n">
        <v>21</v>
      </c>
      <c r="B27" s="8" t="inlineStr">
        <is>
          <t>Genç çiftçi şart</t>
        </is>
      </c>
      <c r="C27" s="35">
        <f>IFERROR(IF(AND(G18&gt;0,G18&lt;=G11),tdu_bir,0),0)</f>
        <v/>
      </c>
      <c r="D27" s="36" t="inlineStr">
        <is>
          <t>bayrak</t>
        </is>
      </c>
      <c r="E27" s="6" t="inlineStr">
        <is>
          <t>Yaş uygun mu</t>
        </is>
      </c>
      <c r="F27" s="37" t="inlineStr">
        <is>
          <t>TDU-004</t>
        </is>
      </c>
      <c r="G27" s="23">
        <f>IFERROR(IF(AND(G18&gt;0,G18&lt;=G11),tdu_bir,0),0)</f>
        <v/>
      </c>
    </row>
    <row r="28">
      <c r="A28" s="34" t="n">
        <v>22</v>
      </c>
      <c r="B28" s="8" t="inlineStr">
        <is>
          <t>Organik şart</t>
        </is>
      </c>
      <c r="C28" s="35">
        <f>IFERROR(IF(AND(G19=tdu_bir,G17&gt;=G12),tdu_bir,0),0)</f>
        <v/>
      </c>
      <c r="D28" s="36" t="inlineStr">
        <is>
          <t>bayrak</t>
        </is>
      </c>
      <c r="E28" s="6" t="inlineStr">
        <is>
          <t>Organik+dekar</t>
        </is>
      </c>
      <c r="F28" s="37" t="inlineStr">
        <is>
          <t>TDU-005</t>
        </is>
      </c>
      <c r="G28" s="23">
        <f>IFERROR(IF(AND(G19=tdu_bir,G17&gt;=G12),tdu_bir,0),0)</f>
        <v/>
      </c>
    </row>
    <row r="29">
      <c r="A29" s="34" t="n">
        <v>23</v>
      </c>
      <c r="B29" s="8" t="inlineStr">
        <is>
          <t>Hayvan şart</t>
        </is>
      </c>
      <c r="C29" s="35">
        <f>IFERROR(IF(G20&gt;=G13,tdu_bir,0),0)</f>
        <v/>
      </c>
      <c r="D29" s="36" t="inlineStr">
        <is>
          <t>bayrak</t>
        </is>
      </c>
      <c r="E29" s="6" t="inlineStr">
        <is>
          <t>Hayvan ≥ min</t>
        </is>
      </c>
      <c r="F29" s="37" t="inlineStr">
        <is>
          <t>TDU-006</t>
        </is>
      </c>
      <c r="G29" s="23">
        <f>IFERROR(IF(G20&gt;=G13,tdu_bir,0),0)</f>
        <v/>
      </c>
    </row>
    <row r="30">
      <c r="A30" s="34" t="n">
        <v>24</v>
      </c>
      <c r="B30" s="8" t="inlineStr">
        <is>
          <t>IPARD şart</t>
        </is>
      </c>
      <c r="C30" s="35">
        <f>IFERROR(IF(G21&gt;=G14,tdu_bir,0),0)</f>
        <v/>
      </c>
      <c r="D30" s="36" t="inlineStr">
        <is>
          <t>bayrak</t>
        </is>
      </c>
      <c r="E30" s="6" t="inlineStr">
        <is>
          <t>Yatırım ≥ min</t>
        </is>
      </c>
      <c r="F30" s="37" t="inlineStr">
        <is>
          <t>TDU-007</t>
        </is>
      </c>
      <c r="G30" s="23">
        <f>IFERROR(IF(G21&gt;=G14,tdu_bir,0),0)</f>
        <v/>
      </c>
    </row>
    <row r="31">
      <c r="A31" s="34" t="n">
        <v>25</v>
      </c>
      <c r="B31" s="8" t="inlineStr">
        <is>
          <t>Program şart bayrağı</t>
        </is>
      </c>
      <c r="C31" s="35">
        <f>IFERROR(IF(GIRDI!B12="MazotGubre",G25,IF(GIRDI!B12="AlanBazli",G26,IF(GIRDI!B12="GencCiftci",G27,IF(GIRDI!B12="Organik",G28,IF(GIRDI!B12="Hayvancilik",G29,IF(GIRDI!B12="IPARD",G30,0)))))),0)</f>
        <v/>
      </c>
      <c r="D31" s="36" t="inlineStr">
        <is>
          <t>bayrak</t>
        </is>
      </c>
      <c r="E31" s="6" t="inlineStr">
        <is>
          <t>Seçili çağrı şartı</t>
        </is>
      </c>
      <c r="F31" s="37" t="inlineStr">
        <is>
          <t>TDU-008</t>
        </is>
      </c>
      <c r="G31" s="23">
        <f>IFERROR(IF(GIRDI!B12="MazotGubre",G25,IF(GIRDI!B12="AlanBazli",G26,IF(GIRDI!B12="GencCiftci",G27,IF(GIRDI!B12="Organik",G28,IF(GIRDI!B12="Hayvancilik",G29,IF(GIRDI!B12="IPARD",G30,0)))))),0)</f>
        <v/>
      </c>
    </row>
    <row r="32">
      <c r="A32" s="34" t="n">
        <v>26</v>
      </c>
      <c r="B32" s="8" t="inlineStr">
        <is>
          <t>Zorunlu şart puanı</t>
        </is>
      </c>
      <c r="C32" s="35">
        <f>IFERROR(IF(G23=0,0,tdu_puanCks)+IF(G24=0,tdu_puanBorc,0)+IF(G31=tdu_bir,tdu_puanProgram,0),0)</f>
        <v/>
      </c>
      <c r="D32" s="36" t="inlineStr">
        <is>
          <t>puan</t>
        </is>
      </c>
      <c r="E32" s="6" t="inlineStr">
        <is>
          <t>ÇKS+borçsuz+program</t>
        </is>
      </c>
      <c r="F32" s="37" t="inlineStr">
        <is>
          <t>TDU-001</t>
        </is>
      </c>
      <c r="G32" s="23">
        <f>IFERROR(IF(G23=0,0,tdu_puanCks)+IF(G24=0,tdu_puanBorc,0)+IF(G31=tdu_bir,tdu_puanProgram,0),0)</f>
        <v/>
      </c>
    </row>
    <row r="33">
      <c r="A33" s="34" t="n">
        <v>27</v>
      </c>
      <c r="B33" s="8" t="inlineStr">
        <is>
          <t>Alan puanı</t>
        </is>
      </c>
      <c r="C33" s="35">
        <f>IFERROR(MIN(tdu_puanAlanMax,IF(G17&lt;=0,0,ROUND(G17/MAX(G9,tdu_bir)*tdu_puanAlanCarpan,0))),0)</f>
        <v/>
      </c>
      <c r="D33" s="36" t="inlineStr">
        <is>
          <t>puan</t>
        </is>
      </c>
      <c r="E33" s="6" t="inlineStr">
        <is>
          <t>Dekar yoğunluğu</t>
        </is>
      </c>
      <c r="F33" s="37" t="inlineStr">
        <is>
          <t>TDU-002</t>
        </is>
      </c>
      <c r="G33" s="23">
        <f>IFERROR(MIN(tdu_puanAlanMax,IF(G17&lt;=0,0,ROUND(G17/MAX(G9,tdu_bir)*tdu_puanAlanCarpan,0))),0)</f>
        <v/>
      </c>
    </row>
    <row r="34">
      <c r="A34" s="34" t="n">
        <v>28</v>
      </c>
      <c r="B34" s="8" t="inlineStr">
        <is>
          <t>Belge puanı</t>
        </is>
      </c>
      <c r="C34" s="35">
        <f>IFERROR(IF(GIRDI!B18="B",tdu_puanYorumB,tdu_puanYorumA)+IF(G19=tdu_bir,tdu_puanOrganikEk,0)+IF(G20&gt;0,tdu_puanHayvanEk,0),0)</f>
        <v/>
      </c>
      <c r="D34" s="36" t="inlineStr">
        <is>
          <t>puan</t>
        </is>
      </c>
      <c r="E34" s="6" t="inlineStr">
        <is>
          <t>Yorum+belge</t>
        </is>
      </c>
      <c r="F34" s="37" t="inlineStr">
        <is>
          <t>TDU-005</t>
        </is>
      </c>
      <c r="G34" s="23">
        <f>IFERROR(IF(GIRDI!B18="B",tdu_puanYorumB,tdu_puanYorumA)+IF(G19=tdu_bir,tdu_puanOrganikEk,0)+IF(G20&gt;0,tdu_puanHayvanEk,0),0)</f>
        <v/>
      </c>
    </row>
    <row r="35">
      <c r="A35" s="34" t="n">
        <v>29</v>
      </c>
      <c r="B35" s="8" t="inlineStr">
        <is>
          <t>Uygunluk puanı</t>
        </is>
      </c>
      <c r="C35" s="35">
        <f>IFERROR(MIN(100,G32+G33+G34),0)</f>
        <v/>
      </c>
      <c r="D35" s="36" t="inlineStr">
        <is>
          <t>puan</t>
        </is>
      </c>
      <c r="E35" s="6" t="inlineStr">
        <is>
          <t>Toplam puan</t>
        </is>
      </c>
      <c r="F35" s="37" t="inlineStr">
        <is>
          <t>TDU-008</t>
        </is>
      </c>
      <c r="G35" s="23">
        <f>IFERROR(MIN(100,G32+G33+G34),0)</f>
        <v/>
      </c>
    </row>
    <row r="36">
      <c r="A36" s="34" t="n">
        <v>30</v>
      </c>
      <c r="B36" s="8" t="inlineStr">
        <is>
          <t>Karar kodu</t>
        </is>
      </c>
      <c r="C36" s="33">
        <f>IFERROR(IF(COUNTA(tblGirdi[Alan Anahtarı])=0,"VERI_YOK",IF(OR(G17&lt;tdu_dekarMinGecerli,G17&gt;tdu_dekarAzami,G18&lt;tdu_yasMinGecerli,G18&gt;tdu_yasAzami,G20&lt;0,G20&gt;tdu_hayvanAzami,G21&lt;0,G21&gt;tdu_yatirimAzami),"RED",IF(OR(G23=0,G24=tdu_bir),"RED",IF(AND(G31=tdu_bir,G35&gt;=G15),"UYGUN",IF(AND(G31=tdu_bir,G35&gt;=G15-tdu_sartliBand),"SARTLI","RED"))))),"")</f>
        <v/>
      </c>
      <c r="D36" s="36" t="inlineStr">
        <is>
          <t>kod</t>
        </is>
      </c>
      <c r="E36" s="6" t="inlineStr">
        <is>
          <t>Karar kodu</t>
        </is>
      </c>
      <c r="F36" s="37" t="inlineStr">
        <is>
          <t>TDU-008</t>
        </is>
      </c>
      <c r="G36" s="42">
        <f>IFERROR(IF(COUNTA(tblGirdi[Alan Anahtarı])=0,"VERI_YOK",IF(OR(G17&lt;tdu_dekarMinGecerli,G17&gt;tdu_dekarAzami,G18&lt;tdu_yasMinGecerli,G18&gt;tdu_yasAzami,G20&lt;0,G20&gt;tdu_hayvanAzami,G21&lt;0,G21&gt;tdu_yatirimAzami),"RED",IF(OR(G23=0,G24=tdu_bir),"RED",IF(AND(G31=tdu_bir,G35&gt;=G15),"UYGUN",IF(AND(G31=tdu_bir,G35&gt;=G15-tdu_sartliBand),"SARTLI","RED"))))),"")</f>
        <v/>
      </c>
    </row>
    <row r="37">
      <c r="A37" s="34" t="n">
        <v>31</v>
      </c>
      <c r="B37" s="8" t="inlineStr">
        <is>
          <t>Karar metni</t>
        </is>
      </c>
      <c r="C37" s="33">
        <f>IFERROR(IF(G36="VERI_YOK","VERİ YOK",IF(G36="UYGUN","UYGUN · BAŞVUR",IF(G36="SARTLI","ŞARTLI · BELGE EKLE","UYGUN DEĞİL · DURDUR"))),"")</f>
        <v/>
      </c>
      <c r="D37" s="36" t="inlineStr">
        <is>
          <t>metin</t>
        </is>
      </c>
      <c r="E37" s="6" t="inlineStr">
        <is>
          <t>Kullanıcıya karar</t>
        </is>
      </c>
      <c r="F37" s="37" t="inlineStr">
        <is>
          <t>TDU-008</t>
        </is>
      </c>
      <c r="G37" s="42">
        <f>IFERROR(IF(G36="VERI_YOK","VERİ YOK",IF(G36="UYGUN","UYGUN · BAŞVUR",IF(G36="SARTLI","ŞARTLI · BELGE EKLE","UYGUN DEĞİL · DURDUR"))),"")</f>
        <v/>
      </c>
    </row>
    <row r="38">
      <c r="A38" s="34" t="n">
        <v>32</v>
      </c>
      <c r="B38" s="8" t="inlineStr">
        <is>
          <t>Gerekçe</t>
        </is>
      </c>
      <c r="C38" s="33">
        <f>IFERROR(IF(G36="VERI_YOK","Giriş tablosu boş — hesap yapılamaz.",IF(OR(G17&lt;tdu_dekarMinGecerli,G17&gt;tdu_dekarAzami,G18&lt;tdu_yasMinGecerli,G18&gt;tdu_yasAzami,G20&lt;0,G20&gt;tdu_hayvanAzami,G21&lt;0,G21&gt;tdu_yatirimAzami),"Alan/yaş/hayvan/yatırım uç veya geçersiz — başvuru uygun değildir.",IF(G24=tdu_bir,"Vergi/SGK borcu varken başvuru uygun değildir.",IF(G23=0,"ÇKS kaydı zorunlu; kayıt yoksa başvuru reddedilir.",IF(G31=0,"Seçilen çağrı programının asgari şartı sağlanmadı.",IF(G36="UYGUN","Puan eşik üstünde ve zorunlu şartlar tamam.",IF(G36="SARTLI","Puan sınır bandında; eksik belge tamamlanmalı.","Puan eşik altında veya şartlar eksik."))))))),"")</f>
        <v/>
      </c>
      <c r="D38" s="36" t="inlineStr">
        <is>
          <t>metin</t>
        </is>
      </c>
      <c r="E38" s="6" t="inlineStr">
        <is>
          <t>Gerekçe cümlesi</t>
        </is>
      </c>
      <c r="F38" s="37" t="inlineStr">
        <is>
          <t>TDU-008</t>
        </is>
      </c>
      <c r="G38" s="42">
        <f>IFERROR(IF(G36="VERI_YOK","Giriş tablosu boş — hesap yapılamaz.",IF(OR(G17&lt;tdu_dekarMinGecerli,G17&gt;tdu_dekarAzami,G18&lt;tdu_yasMinGecerli,G18&gt;tdu_yasAzami,G20&lt;0,G20&gt;tdu_hayvanAzami,G21&lt;0,G21&gt;tdu_yatirimAzami),"Alan/yaş/hayvan/yatırım uç veya geçersiz — başvuru uygun değildir.",IF(G24=tdu_bir,"Vergi/SGK borcu varken başvuru uygun değildir.",IF(G23=0,"ÇKS kaydı zorunlu; kayıt yoksa başvuru reddedilir.",IF(G31=0,"Seçilen çağrı programının asgari şartı sağlanmadı.",IF(G36="UYGUN","Puan eşik üstünde ve zorunlu şartlar tamam.",IF(G36="SARTLI","Puan sınır bandında; eksik belge tamamlanmalı.","Puan eşik altında veya şartlar eksik."))))))),"")</f>
        <v/>
      </c>
    </row>
    <row r="39">
      <c r="A39" s="34" t="n">
        <v>33</v>
      </c>
      <c r="B39" s="8" t="inlineStr">
        <is>
          <t>Tahmini destek birim</t>
        </is>
      </c>
      <c r="C39" s="40">
        <f>IFERROR(IF(GIRDI!B12="MazotGubre",tdu_birimMazot,IF(GIRDI!B12="AlanBazli",tdu_birimAlan,IF(GIRDI!B12="GencCiftci",tdu_birimGenc,IF(GIRDI!B12="Organik",tdu_birimOrganik,IF(GIRDI!B12="Hayvancilik",tdu_birimHayvan,IF(GIRDI!B12="IPARD",tdu_birimIpard,0)))))),0)</f>
        <v/>
      </c>
      <c r="D39" s="36" t="inlineStr">
        <is>
          <t>TL</t>
        </is>
      </c>
      <c r="E39" s="6" t="inlineStr">
        <is>
          <t>Program birim tutarı</t>
        </is>
      </c>
      <c r="F39" s="37" t="inlineStr">
        <is>
          <t>TDU-002</t>
        </is>
      </c>
      <c r="G39" s="41">
        <f>IFERROR(IF(GIRDI!B12="MazotGubre",tdu_birimMazot,IF(GIRDI!B12="AlanBazli",tdu_birimAlan,IF(GIRDI!B12="GencCiftci",tdu_birimGenc,IF(GIRDI!B12="Organik",tdu_birimOrganik,IF(GIRDI!B12="Hayvancilik",tdu_birimHayvan,IF(GIRDI!B12="IPARD",tdu_birimIpard,0)))))),0)</f>
        <v/>
      </c>
    </row>
    <row r="40">
      <c r="A40" s="34" t="n">
        <v>34</v>
      </c>
      <c r="B40" s="8" t="inlineStr">
        <is>
          <t>Tahmini destek tutarı</t>
        </is>
      </c>
      <c r="C40" s="40">
        <f>IFERROR(IF(OR(G36="VERI_YOK",G36="RED"),0,IF(GIRDI!B12="IPARD",ROUND(G21*INDEX(tblKurallar[aktif_deger],MATCH("TDU-009",tblKurallar[kural_id],0)),0),IF(GIRDI!B12="Hayvancilik",ROUND(G20*G39,0),ROUND(G17*G39,0)))),0)</f>
        <v/>
      </c>
      <c r="D40" s="36" t="inlineStr">
        <is>
          <t>TL</t>
        </is>
      </c>
      <c r="E40" s="6" t="inlineStr">
        <is>
          <t>Tahmini hibe/teşvik</t>
        </is>
      </c>
      <c r="F40" s="37" t="inlineStr">
        <is>
          <t>TDU-007</t>
        </is>
      </c>
      <c r="G40" s="41">
        <f>IFERROR(IF(OR(G36="VERI_YOK",G36="RED"),0,IF(GIRDI!B12="IPARD",ROUND(G21*INDEX(tblKurallar[aktif_deger],MATCH("TDU-009",tblKurallar[kural_id],0)),0),IF(GIRDI!B12="Hayvancilik",ROUND(G20*G39,0),ROUND(G17*G39,0)))),0)</f>
        <v/>
      </c>
    </row>
    <row r="41">
      <c r="A41" s="34" t="n">
        <v>35</v>
      </c>
      <c r="B41" s="8" t="inlineStr">
        <is>
          <t>Puan / eşik oranı</t>
        </is>
      </c>
      <c r="C41" s="43">
        <f>IFERROR(IF(G15=0,0,G35/G15),0)</f>
        <v/>
      </c>
      <c r="D41" s="36" t="inlineStr">
        <is>
          <t>oran</t>
        </is>
      </c>
      <c r="E41" s="6" t="inlineStr">
        <is>
          <t>Eşik yoğunluğu</t>
        </is>
      </c>
      <c r="F41" s="37" t="inlineStr">
        <is>
          <t>TDU-008</t>
        </is>
      </c>
      <c r="G41" s="44">
        <f>IFERROR(IF(G15=0,0,G35/G15),0)</f>
        <v/>
      </c>
    </row>
    <row r="42">
      <c r="A42" s="34" t="n">
        <v>36</v>
      </c>
      <c r="B42" s="8" t="inlineStr">
        <is>
          <t>Zorunlu şart oranı</t>
        </is>
      </c>
      <c r="C42" s="43">
        <f>IFERROR((IF(G23=tdu_bir,tdu_bir,0)+IF(G24=0,tdu_bir,0)+IF(G31=tdu_bir,tdu_bir,0))/3,0)</f>
        <v/>
      </c>
      <c r="D42" s="36" t="inlineStr">
        <is>
          <t>oran</t>
        </is>
      </c>
      <c r="E42" s="6" t="inlineStr">
        <is>
          <t>Zorunlu tamamlanma</t>
        </is>
      </c>
      <c r="F42" s="37" t="inlineStr">
        <is>
          <t>TDU-001</t>
        </is>
      </c>
      <c r="G42" s="44">
        <f>IFERROR((IF(G23=tdu_bir,tdu_bir,0)+IF(G24=0,tdu_bir,0)+IF(G31=tdu_bir,tdu_bir,0))/3,0)</f>
        <v/>
      </c>
    </row>
    <row r="43">
      <c r="A43" s="34" t="n">
        <v>37</v>
      </c>
      <c r="B43" s="8" t="inlineStr">
        <is>
          <t>Güven puanı</t>
        </is>
      </c>
      <c r="C43" s="35">
        <f>IFERROR(ROUND(IF(OR(COUNTA(GIRDI!B6:B18)=0,tdu_girisBeklenen=0),0,COUNTA(GIRDI!B6:B18)/tdu_girisBeklenen*100),0),0)</f>
        <v/>
      </c>
      <c r="D43" s="36" t="inlineStr">
        <is>
          <t>puan</t>
        </is>
      </c>
      <c r="E43" s="6" t="inlineStr">
        <is>
          <t>Giriş bütünlüğü</t>
        </is>
      </c>
      <c r="F43" s="37" t="inlineStr">
        <is>
          <t>TDU-008</t>
        </is>
      </c>
      <c r="G43" s="23">
        <f>IFERROR(ROUND(IF(OR(COUNTA(GIRDI!B6:B18)=0,tdu_girisBeklenen=0),0,COUNTA(GIRDI!B6:B18)/tdu_girisBeklenen*100),0),0)</f>
        <v/>
      </c>
    </row>
    <row r="44">
      <c r="A44" s="34" t="n">
        <v>38</v>
      </c>
      <c r="B44" s="8" t="inlineStr">
        <is>
          <t>Risk puanı</t>
        </is>
      </c>
      <c r="C44" s="35">
        <f>IFERROR(IF(G36="VERI_YOK",0,IF(G36="RED",tdu_riskYuksek,IF(G36="SARTLI",tdu_riskOrta,tdu_riskDusuk))),0)</f>
        <v/>
      </c>
      <c r="D44" s="36" t="inlineStr">
        <is>
          <t>puan</t>
        </is>
      </c>
      <c r="E44" s="6" t="inlineStr">
        <is>
          <t>Başvuru riski</t>
        </is>
      </c>
      <c r="F44" s="37" t="inlineStr">
        <is>
          <t>TDU-008</t>
        </is>
      </c>
      <c r="G44" s="23">
        <f>IFERROR(IF(G36="VERI_YOK",0,IF(G36="RED",tdu_riskYuksek,IF(G36="SARTLI",tdu_riskOrta,tdu_riskDusuk))),0)</f>
        <v/>
      </c>
    </row>
    <row r="45">
      <c r="A45" s="34" t="n">
        <v>39</v>
      </c>
      <c r="B45" s="8" t="inlineStr">
        <is>
          <t>Senaryo iyimser dekar</t>
        </is>
      </c>
      <c r="C45" s="38">
        <f>IFERROR(G17*tdu_senaryoIyi,0)</f>
        <v/>
      </c>
      <c r="D45" s="36" t="inlineStr">
        <is>
          <t>dekar</t>
        </is>
      </c>
      <c r="E45" s="6" t="inlineStr">
        <is>
          <t>İyimser alan</t>
        </is>
      </c>
      <c r="F45" s="37" t="inlineStr">
        <is>
          <t>TDU-002</t>
        </is>
      </c>
      <c r="G45" s="39">
        <f>IFERROR(G17*tdu_senaryoIyi,0)</f>
        <v/>
      </c>
    </row>
    <row r="46">
      <c r="A46" s="34" t="n">
        <v>40</v>
      </c>
      <c r="B46" s="8" t="inlineStr">
        <is>
          <t>Senaryo kötümser dekar</t>
        </is>
      </c>
      <c r="C46" s="38">
        <f>IFERROR(G17*tdu_senaryoKotu,0)</f>
        <v/>
      </c>
      <c r="D46" s="36" t="inlineStr">
        <is>
          <t>dekar</t>
        </is>
      </c>
      <c r="E46" s="6" t="inlineStr">
        <is>
          <t>Kötümser alan</t>
        </is>
      </c>
      <c r="F46" s="37" t="inlineStr">
        <is>
          <t>TDU-002</t>
        </is>
      </c>
      <c r="G46" s="39">
        <f>IFERROR(G17*tdu_senaryoKotu,0)</f>
        <v/>
      </c>
    </row>
    <row r="47">
      <c r="A47" s="34" t="n">
        <v>41</v>
      </c>
      <c r="B47" s="8" t="inlineStr">
        <is>
          <t>İyimser puan</t>
        </is>
      </c>
      <c r="C47" s="35">
        <f>IFERROR(MIN(100,IF(G45&gt;=G9,tdu_puanCks,0)+IF(G24=0,tdu_puanBorc,0)+IF(G23=tdu_bir,tdu_puanCks,0)+MIN(tdu_puanAlanMax,ROUND(G45/MAX(G9,tdu_bir)*tdu_puanAlanCarpan,0))+G34),0)</f>
        <v/>
      </c>
      <c r="D47" s="36" t="inlineStr">
        <is>
          <t>puan</t>
        </is>
      </c>
      <c r="E47" s="6" t="inlineStr">
        <is>
          <t>İyimser uygunluk</t>
        </is>
      </c>
      <c r="F47" s="37" t="inlineStr">
        <is>
          <t>TDU-008</t>
        </is>
      </c>
      <c r="G47" s="23">
        <f>IFERROR(MIN(100,IF(G45&gt;=G9,tdu_puanCks,0)+IF(G24=0,tdu_puanBorc,0)+IF(G23=tdu_bir,tdu_puanCks,0)+MIN(tdu_puanAlanMax,ROUND(G45/MAX(G9,tdu_bir)*tdu_puanAlanCarpan,0))+G34),0)</f>
        <v/>
      </c>
    </row>
    <row r="48">
      <c r="A48" s="34" t="n">
        <v>42</v>
      </c>
      <c r="B48" s="8" t="inlineStr">
        <is>
          <t>Kötümser puan</t>
        </is>
      </c>
      <c r="C48" s="35">
        <f>IFERROR(MIN(100,IF(G46&gt;=G9,tdu_puanCks,0)+IF(G24=0,tdu_puanBorc,0)+IF(G23=tdu_bir,tdu_puanCks,0)+MIN(tdu_puanAlanMax,ROUND(G46/MAX(G9,tdu_bir)*tdu_puanAlanCarpan,0))+MAX(0,G34-tdu_puanYorumA)),0)</f>
        <v/>
      </c>
      <c r="D48" s="36" t="inlineStr">
        <is>
          <t>puan</t>
        </is>
      </c>
      <c r="E48" s="6" t="inlineStr">
        <is>
          <t>Kötümser uygunluk</t>
        </is>
      </c>
      <c r="F48" s="37" t="inlineStr">
        <is>
          <t>TDU-008</t>
        </is>
      </c>
      <c r="G48" s="23">
        <f>IFERROR(MIN(100,IF(G46&gt;=G9,tdu_puanCks,0)+IF(G24=0,tdu_puanBorc,0)+IF(G23=tdu_bir,tdu_puanCks,0)+MIN(tdu_puanAlanMax,ROUND(G46/MAX(G9,tdu_bir)*tdu_puanAlanCarpan,0))+MAX(0,G34-tdu_puanYorumA)),0)</f>
        <v/>
      </c>
    </row>
    <row r="49">
      <c r="A49" s="34" t="n">
        <v>43</v>
      </c>
      <c r="B49" s="8" t="inlineStr">
        <is>
          <t>M-SEN eşik+5 puan</t>
        </is>
      </c>
      <c r="C49" s="35">
        <f>IFERROR(G15+tdu_oranArtisPuan,0)</f>
        <v/>
      </c>
      <c r="D49" s="36" t="inlineStr">
        <is>
          <t>puan</t>
        </is>
      </c>
      <c r="E49" s="6" t="inlineStr">
        <is>
          <t>Eşik yükselince</t>
        </is>
      </c>
      <c r="F49" s="37" t="inlineStr">
        <is>
          <t>TDU-008</t>
        </is>
      </c>
      <c r="G49" s="23">
        <f>IFERROR(G15+tdu_oranArtisPuan,0)</f>
        <v/>
      </c>
    </row>
    <row r="50">
      <c r="A50" s="34" t="n">
        <v>44</v>
      </c>
      <c r="B50" s="8" t="inlineStr">
        <is>
          <t>M-SEN karar kodu</t>
        </is>
      </c>
      <c r="C50" s="33">
        <f>IFERROR(IF(COUNTA(tblGirdi[Alan Anahtarı])=0,"VERI_YOK",IF(OR(G17&lt;tdu_dekarMinGecerli,G17&gt;tdu_dekarAzami,G18&lt;tdu_yasMinGecerli,G18&gt;tdu_yasAzami,G20&lt;0,G20&gt;tdu_hayvanAzami,G21&lt;0,G21&gt;tdu_yatirimAzami),"RED",IF(OR(G23=0,G24=tdu_bir),"RED",IF(AND(G31=tdu_bir,G35&gt;=G49),"UYGUN",IF(AND(G31=tdu_bir,G35&gt;=G49-tdu_sartliBand),"SARTLI","RED"))))),"")</f>
        <v/>
      </c>
      <c r="D50" s="36" t="inlineStr">
        <is>
          <t>kod</t>
        </is>
      </c>
      <c r="E50" s="6" t="inlineStr">
        <is>
          <t>M-SEN karar</t>
        </is>
      </c>
      <c r="F50" s="37" t="inlineStr">
        <is>
          <t>TDU-008</t>
        </is>
      </c>
      <c r="G50" s="42">
        <f>IFERROR(IF(COUNTA(tblGirdi[Alan Anahtarı])=0,"VERI_YOK",IF(OR(G17&lt;tdu_dekarMinGecerli,G17&gt;tdu_dekarAzami,G18&lt;tdu_yasMinGecerli,G18&gt;tdu_yasAzami,G20&lt;0,G20&gt;tdu_hayvanAzami,G21&lt;0,G21&gt;tdu_yatirimAzami),"RED",IF(OR(G23=0,G24=tdu_bir),"RED",IF(AND(G31=tdu_bir,G35&gt;=G49),"UYGUN",IF(AND(G31=tdu_bir,G35&gt;=G49-tdu_sartliBand),"SARTLI","RED"))))),"")</f>
        <v/>
      </c>
    </row>
    <row r="51">
      <c r="A51" s="34" t="n">
        <v>45</v>
      </c>
      <c r="B51" s="8" t="inlineStr">
        <is>
          <t>Tahmin üst destek</t>
        </is>
      </c>
      <c r="C51" s="40">
        <f>IFERROR(G40*tdu_tahminUst,0)</f>
        <v/>
      </c>
      <c r="D51" s="36" t="inlineStr">
        <is>
          <t>TL</t>
        </is>
      </c>
      <c r="E51" s="6" t="inlineStr">
        <is>
          <t>Üst bant</t>
        </is>
      </c>
      <c r="F51" s="37" t="inlineStr">
        <is>
          <t>TDU-007</t>
        </is>
      </c>
      <c r="G51" s="41">
        <f>IFERROR(G40*tdu_tahminUst,0)</f>
        <v/>
      </c>
    </row>
    <row r="52">
      <c r="A52" s="34" t="n">
        <v>46</v>
      </c>
      <c r="B52" s="8" t="inlineStr">
        <is>
          <t>Tahmin alt destek</t>
        </is>
      </c>
      <c r="C52" s="40">
        <f>IFERROR(G40*tdu_tahminAlt,0)</f>
        <v/>
      </c>
      <c r="D52" s="36" t="inlineStr">
        <is>
          <t>TL</t>
        </is>
      </c>
      <c r="E52" s="6" t="inlineStr">
        <is>
          <t>Alt bant</t>
        </is>
      </c>
      <c r="F52" s="37" t="inlineStr">
        <is>
          <t>TDU-007</t>
        </is>
      </c>
      <c r="G52" s="41">
        <f>IFERROR(G40*tdu_tahminAlt,0)</f>
        <v/>
      </c>
    </row>
    <row r="53">
      <c r="A53" s="34" t="n">
        <v>47</v>
      </c>
      <c r="B53" s="8" t="inlineStr">
        <is>
          <t>Tornado: dekar etkisi</t>
        </is>
      </c>
      <c r="C53" s="35">
        <f>IFERROR(ABS(MIN(100,G32+MIN(tdu_puanAlanMax,ROUND((G17*tdu_tornadoDekar)/MAX(G9,tdu_bir)*tdu_puanAlanCarpan,0))+G34)-G35),0)</f>
        <v/>
      </c>
      <c r="D53" s="36" t="inlineStr">
        <is>
          <t>puan</t>
        </is>
      </c>
      <c r="E53" s="6" t="inlineStr">
        <is>
          <t>Dekar ± etki</t>
        </is>
      </c>
      <c r="F53" s="37" t="inlineStr">
        <is>
          <t>TDU-002</t>
        </is>
      </c>
      <c r="G53" s="23">
        <f>IFERROR(ABS(MIN(100,G32+MIN(tdu_puanAlanMax,ROUND((G17*tdu_tornadoDekar)/MAX(G9,tdu_bir)*tdu_puanAlanCarpan,0))+G34)-G35),0)</f>
        <v/>
      </c>
    </row>
    <row r="54">
      <c r="A54" s="34" t="n">
        <v>48</v>
      </c>
      <c r="B54" s="8" t="inlineStr">
        <is>
          <t>Tornado: yaş etkisi</t>
        </is>
      </c>
      <c r="C54" s="35">
        <f>IFERROR(ABS(IF(AND(G18*tdu_tornadoYas&gt;0,G18*tdu_tornadoYas&lt;=G11),G35,MAX(0,G35-tdu_sartliBand))-G35),0)</f>
        <v/>
      </c>
      <c r="D54" s="36" t="inlineStr">
        <is>
          <t>puan</t>
        </is>
      </c>
      <c r="E54" s="6" t="inlineStr">
        <is>
          <t>Yaş ± etki</t>
        </is>
      </c>
      <c r="F54" s="37" t="inlineStr">
        <is>
          <t>TDU-004</t>
        </is>
      </c>
      <c r="G54" s="23">
        <f>IFERROR(ABS(IF(AND(G18*tdu_tornadoYas&gt;0,G18*tdu_tornadoYas&lt;=G11),G35,MAX(0,G35-tdu_sartliBand))-G35),0)</f>
        <v/>
      </c>
    </row>
    <row r="55">
      <c r="A55" s="34" t="n">
        <v>49</v>
      </c>
      <c r="B55" s="8" t="inlineStr">
        <is>
          <t>Tornado: eşik etkisi</t>
        </is>
      </c>
      <c r="C55" s="35">
        <f>IFERROR(ABS(G49-G15),0)</f>
        <v/>
      </c>
      <c r="D55" s="36" t="inlineStr">
        <is>
          <t>puan</t>
        </is>
      </c>
      <c r="E55" s="6" t="inlineStr">
        <is>
          <t>Eşik ± etki</t>
        </is>
      </c>
      <c r="F55" s="37" t="inlineStr">
        <is>
          <t>TDU-008</t>
        </is>
      </c>
      <c r="G55" s="23">
        <f>IFERROR(ABS(G49-G15),0)</f>
        <v/>
      </c>
    </row>
    <row r="56">
      <c r="A56" s="34" t="n">
        <v>50</v>
      </c>
      <c r="B56" s="8" t="inlineStr">
        <is>
          <t>Madde atıf özeti</t>
        </is>
      </c>
      <c r="C56" s="33">
        <f>IFERROR(_xlfn.TEXTJOIN(" | ",TRUE,"TDU-001→ÇKS","TDU-002→Mazot-Gübre","TDU-004→Genç Çiftçi","TDU-007→IPARD","TDU-008→Puan eşiği"),"")</f>
        <v/>
      </c>
      <c r="D56" s="36" t="inlineStr">
        <is>
          <t>metin</t>
        </is>
      </c>
      <c r="E56" s="6" t="inlineStr">
        <is>
          <t>Kanıt atıfları</t>
        </is>
      </c>
      <c r="F56" s="37" t="inlineStr">
        <is>
          <t>TDU-001</t>
        </is>
      </c>
      <c r="G56" s="42">
        <f>IFERROR(_xlfn.TEXTJOIN(" | ",TRUE,"TDU-001→ÇKS","TDU-002→Mazot-Gübre","TDU-004→Genç Çiftçi","TDU-007→IPARD","TDU-008→Puan eşiği"),"")</f>
        <v/>
      </c>
    </row>
    <row r="57">
      <c r="A57" s="34" t="n">
        <v>51</v>
      </c>
      <c r="B57" s="8" t="inlineStr">
        <is>
          <t>Kanıt satır özeti</t>
        </is>
      </c>
      <c r="C57" s="33">
        <f>IFERROR(_xlfn.TEXTJOIN(" · ",TRUE,"Puan=",TEXT(G35,"0"),"Destek=",TEXT(G40,"₺ #,##0"),"Karar=",G37),"")</f>
        <v/>
      </c>
      <c r="D57" s="36" t="inlineStr">
        <is>
          <t>metin</t>
        </is>
      </c>
      <c r="E57" s="6" t="inlineStr">
        <is>
          <t>Rapor özeti</t>
        </is>
      </c>
      <c r="F57" s="37" t="inlineStr">
        <is>
          <t>TDU-008</t>
        </is>
      </c>
      <c r="G57" s="42">
        <f>IFERROR(_xlfn.TEXTJOIN(" · ",TRUE,"Puan=",TEXT(G35,"0"),"Destek=",TEXT(G40,"₺ #,##0"),"Karar=",G37),"")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35">
    <cfRule type="cellIs" priority="1" operator="lessThan" dxfId="1">
      <formula>70</formula>
    </cfRule>
    <cfRule type="cellIs" priority="2" operator="greaterThanOrEqual" dxfId="2">
      <formula>70</formula>
    </cfRule>
  </conditionalFormatting>
  <conditionalFormatting sqref="G40">
    <cfRule type="cellIs" priority="3" operator="equal" dxfId="1">
      <formula>0</formula>
    </cfRule>
  </conditionalFormatting>
  <conditionalFormatting sqref="G24">
    <cfRule type="cellIs" priority="4" operator="equal" dxfId="0">
      <formula>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8" customWidth="1" min="4" max="4"/>
    <col width="18" customWidth="1" min="5" max="5"/>
  </cols>
  <sheetData>
    <row r="1" ht="26" customHeight="1">
      <c r="A1" s="1" t="inlineStr">
        <is>
          <t>SENARYO — Tarımsal Destek/Teşvik Uygunluk Testi</t>
        </is>
      </c>
    </row>
    <row r="3">
      <c r="A3" s="14" t="inlineStr">
        <is>
          <t>Senaryo ve duyarlılık</t>
        </is>
      </c>
    </row>
    <row r="5">
      <c r="A5" s="45" t="inlineStr">
        <is>
          <t>Senaryo</t>
        </is>
      </c>
      <c r="B5" s="45" t="inlineStr">
        <is>
          <t>Senaryo Dekar</t>
        </is>
      </c>
      <c r="C5" s="45" t="inlineStr">
        <is>
          <t>Uygunluk Puanı</t>
        </is>
      </c>
      <c r="D5" s="45" t="inlineStr">
        <is>
          <t>Tahmini Destek</t>
        </is>
      </c>
      <c r="E5" s="45" t="inlineStr">
        <is>
          <t>Karar</t>
        </is>
      </c>
    </row>
    <row r="6">
      <c r="A6" s="16" t="inlineStr">
        <is>
          <t>İyimser</t>
        </is>
      </c>
      <c r="B6" s="39">
        <f>IFERROR(GIRDI!B10*tdu_senaryoIyi,0)</f>
        <v/>
      </c>
      <c r="C6" s="23">
        <f>IFERROR(MOTOR!G47,0)</f>
        <v/>
      </c>
      <c r="D6" s="41">
        <f>IFERROR(MOTOR!G40*tdu_senaryoIyi,0)</f>
        <v/>
      </c>
      <c r="E6" s="42">
        <f>IF(COUNTA(tblGirdi[Alan Anahtarı])=0,"VERİ YOK",IF(C6&gt;=MOTOR!G15,"UYGUN · BAŞVUR",IF(C6&gt;=MOTOR!G15-tdu_sartliBand,"ŞARTLI · BELGE EKLE","UYGUN DEĞİL · DURDUR")))</f>
        <v/>
      </c>
    </row>
    <row r="7">
      <c r="A7" s="16" t="inlineStr">
        <is>
          <t>Baz</t>
        </is>
      </c>
      <c r="B7" s="39">
        <f>IFERROR(GIRDI!B10,0)</f>
        <v/>
      </c>
      <c r="C7" s="23">
        <f>IFERROR(MOTOR!G35,0)</f>
        <v/>
      </c>
      <c r="D7" s="41">
        <f>IFERROR(MOTOR!G40,0)</f>
        <v/>
      </c>
      <c r="E7" s="42">
        <f>IF(COUNTA(tblGirdi[Alan Anahtarı])=0,"VERİ YOK",IFERROR(MOTOR!G37,"-"))</f>
        <v/>
      </c>
    </row>
    <row r="8">
      <c r="A8" s="16" t="inlineStr">
        <is>
          <t>Kötümser</t>
        </is>
      </c>
      <c r="B8" s="39">
        <f>IFERROR(GIRDI!B10*tdu_senaryoKotu,0)</f>
        <v/>
      </c>
      <c r="C8" s="23">
        <f>IFERROR(MOTOR!G48,0)</f>
        <v/>
      </c>
      <c r="D8" s="41">
        <f>IFERROR(MOTOR!G40*tdu_senaryoKotu,0)</f>
        <v/>
      </c>
      <c r="E8" s="42">
        <f>IF(COUNTA(tblGirdi[Alan Anahtarı])=0,"VERİ YOK",IF(C8&gt;=MOTOR!G15,"UYGUN · BAŞVUR",IF(C8&gt;=MOTOR!G15-tdu_sartliBand,"ŞARTLI · BELGE EKLE","UYGUN DEĞİL · DURDUR")))</f>
        <v/>
      </c>
    </row>
    <row r="9">
      <c r="A9" s="16" t="inlineStr">
        <is>
          <t>M-SEN eşik+5</t>
        </is>
      </c>
      <c r="B9" s="39">
        <f>IFERROR(GIRDI!B10,0)</f>
        <v/>
      </c>
      <c r="C9" s="23">
        <f>IFERROR(MOTOR!G35,0)</f>
        <v/>
      </c>
      <c r="D9" s="41">
        <f>IFERROR(MOTOR!G40,0)</f>
        <v/>
      </c>
      <c r="E9" s="42">
        <f>IF(COUNTA(tblGirdi[Alan Anahtarı])=0,"VERİ YOK",IF(MOTOR!G50="UYGUN","UYGUN · BAŞVUR",IF(MOTOR!G50="SARTLI","ŞARTLI · BELGE EKLE",IF(MOTOR!G50="VERI_YOK","VERİ YOK","UYGUN DEĞİL · DURDUR"))))</f>
        <v/>
      </c>
    </row>
    <row r="11">
      <c r="A11" s="22" t="inlineStr">
        <is>
          <t>Senaryo bant genişliği (iyimser−kötümser puan)</t>
        </is>
      </c>
      <c r="B11" s="23">
        <f>IFERROR(C6-C8,0)</f>
        <v/>
      </c>
    </row>
    <row r="12">
      <c r="A12" s="22" t="inlineStr">
        <is>
          <t>Senaryo yorumu</t>
        </is>
      </c>
      <c r="B12" s="33">
        <f>IFERROR(_xlfn.TEXTJOIN("; ",TRUE,"İyimser ",TEXT(C6,"0")," · Baz ",TEXT(C7,"0")," · Kötümser ",TEXT(C8,"0")," · Bant ",TEXT(B11,"0")),"-")</f>
        <v/>
      </c>
    </row>
    <row r="14">
      <c r="A14" s="5" t="inlineStr">
        <is>
          <t>Duyarlılık (tornado)</t>
        </is>
      </c>
    </row>
    <row r="15">
      <c r="A15" s="45" t="inlineStr">
        <is>
          <t>Değişken</t>
        </is>
      </c>
      <c r="B15" s="45" t="inlineStr">
        <is>
          <t>Etki [puan]</t>
        </is>
      </c>
      <c r="C15" s="45" t="inlineStr">
        <is>
          <t>Sıra</t>
        </is>
      </c>
    </row>
    <row r="16">
      <c r="A16" s="16" t="inlineStr">
        <is>
          <t>Tornado dekar etkisi</t>
        </is>
      </c>
      <c r="B16" s="46" t="n">
        <v>12</v>
      </c>
      <c r="C16" s="46" t="n">
        <v>1</v>
      </c>
      <c r="E16" s="23">
        <f>IFERROR(MOTOR!G53,0)</f>
        <v/>
      </c>
    </row>
    <row r="17">
      <c r="A17" s="16" t="inlineStr">
        <is>
          <t>Tornado yaş etkisi</t>
        </is>
      </c>
      <c r="B17" s="46" t="n">
        <v>8</v>
      </c>
      <c r="C17" s="46" t="n">
        <v>2</v>
      </c>
      <c r="E17" s="23">
        <f>IFERROR(MOTOR!G54,0)</f>
        <v/>
      </c>
    </row>
    <row r="18">
      <c r="A18" s="16" t="inlineStr">
        <is>
          <t>Tornado eşik etkisi</t>
        </is>
      </c>
      <c r="B18" s="46" t="n">
        <v>5</v>
      </c>
      <c r="C18" s="46" t="n">
        <v>3</v>
      </c>
      <c r="E18" s="23">
        <f>IFERROR(MOTOR!G55,0)</f>
        <v/>
      </c>
    </row>
    <row r="19">
      <c r="A19" s="22" t="inlineStr">
        <is>
          <t>En etkili değişken</t>
        </is>
      </c>
      <c r="B19" s="42">
        <f>IFERROR(INDEX(A16:A18,MATCH(1,C16:C18,0)),"-")</f>
        <v/>
      </c>
    </row>
    <row r="20">
      <c r="A20" s="22" t="inlineStr">
        <is>
          <t>Duyarlılık yorumu</t>
        </is>
      </c>
      <c r="B20" s="33">
        <f>_xlfn.TEXTJOIN(" ",TRUE,"En kritik girdi:",B19,"— başvuru puanını en çok bu etkiler.")</f>
        <v/>
      </c>
    </row>
    <row r="22">
      <c r="A22" s="22" t="inlineStr">
        <is>
          <t>M-SEN eşik+5 sonucu</t>
        </is>
      </c>
      <c r="B22" s="23">
        <f>IFERROR(MOTOR!G49,0)</f>
        <v/>
      </c>
    </row>
    <row r="23">
      <c r="A23" s="22" t="inlineStr">
        <is>
          <t>M-SEN yorum</t>
        </is>
      </c>
      <c r="B23" s="33">
        <f>_xlfn.TEXTJOIN(" ",TRUE,"Eşik",TEXT(MOTOR!G49,"0"),"iken karar:",E9)</f>
        <v/>
      </c>
    </row>
    <row r="25">
      <c r="A25" s="22" t="inlineStr">
        <is>
          <t>Senaryo</t>
        </is>
      </c>
      <c r="B25" s="22" t="inlineStr">
        <is>
          <t>Puan</t>
        </is>
      </c>
    </row>
    <row r="26">
      <c r="A26" s="18" t="inlineStr">
        <is>
          <t>İyimser</t>
        </is>
      </c>
      <c r="B26" s="46" t="n">
        <v>85</v>
      </c>
    </row>
    <row r="27">
      <c r="A27" s="18" t="inlineStr">
        <is>
          <t>Baz</t>
        </is>
      </c>
      <c r="B27" s="46" t="n">
        <v>78</v>
      </c>
    </row>
    <row r="28">
      <c r="A28" s="18" t="inlineStr">
        <is>
          <t>Kötümser</t>
        </is>
      </c>
      <c r="B28" s="46" t="n">
        <v>62</v>
      </c>
    </row>
    <row r="29">
      <c r="A29" s="18" t="inlineStr">
        <is>
          <t>M-SEN</t>
        </is>
      </c>
      <c r="B29" s="46" t="n">
        <v>78</v>
      </c>
    </row>
    <row r="32">
      <c r="A32" s="22" t="inlineStr">
        <is>
          <t>Tahmin aralık (üst−alt)</t>
        </is>
      </c>
      <c r="B32" s="41">
        <f>IFERROR(MOTOR!G51-MOTOR!G52,0)</f>
        <v/>
      </c>
    </row>
    <row r="33">
      <c r="A33" s="22" t="inlineStr">
        <is>
          <t>Tahmin yorumu</t>
        </is>
      </c>
      <c r="B33" s="33">
        <f>_xlfn.TEXTJOIN(" ",TRUE,"Destek bandı",TEXT(MOTOR!G52,"₺ #,##0"),"—",TEXT(MOTOR!G51,"₺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20:H20"/>
    <mergeCell ref="B12:H12"/>
    <mergeCell ref="A1:AD1"/>
  </mergeCells>
  <conditionalFormatting sqref="E6">
    <cfRule type="expression" priority="1" dxfId="2">
      <formula>ISNUMBER(SEARCH("UYGUN",E6))</formula>
    </cfRule>
    <cfRule type="expression" priority="2" dxfId="3">
      <formula>ISNUMBER(SEARCH("ŞARTLI",E6))</formula>
    </cfRule>
    <cfRule type="expression" priority="3" dxfId="0">
      <formula>ISNUMBER(SEARCH("DURDUR",E6))</formula>
    </cfRule>
    <cfRule type="expression" priority="4" dxfId="0">
      <formula>ISNUMBER(SEARCH("VERİ YOK",E6))</formula>
    </cfRule>
  </conditionalFormatting>
  <conditionalFormatting sqref="E7">
    <cfRule type="expression" priority="5" dxfId="2">
      <formula>ISNUMBER(SEARCH("UYGUN",E7))</formula>
    </cfRule>
    <cfRule type="expression" priority="6" dxfId="3">
      <formula>ISNUMBER(SEARCH("ŞARTLI",E7))</formula>
    </cfRule>
    <cfRule type="expression" priority="7" dxfId="0">
      <formula>ISNUMBER(SEARCH("DURDUR",E7))</formula>
    </cfRule>
    <cfRule type="expression" priority="8" dxfId="0">
      <formula>ISNUMBER(SEARCH("VERİ YOK",E7))</formula>
    </cfRule>
  </conditionalFormatting>
  <conditionalFormatting sqref="E8">
    <cfRule type="expression" priority="9" dxfId="2">
      <formula>ISNUMBER(SEARCH("UYGUN",E8))</formula>
    </cfRule>
    <cfRule type="expression" priority="10" dxfId="3">
      <formula>ISNUMBER(SEARCH("ŞARTLI",E8))</formula>
    </cfRule>
    <cfRule type="expression" priority="11" dxfId="0">
      <formula>ISNUMBER(SEARCH("DURDUR",E8))</formula>
    </cfRule>
    <cfRule type="expression" priority="12" dxfId="0">
      <formula>ISNUMBER(SEARCH("VERİ YOK",E8))</formula>
    </cfRule>
  </conditionalFormatting>
  <conditionalFormatting sqref="E9">
    <cfRule type="expression" priority="13" dxfId="2">
      <formula>ISNUMBER(SEARCH("UYGUN",E9))</formula>
    </cfRule>
    <cfRule type="expression" priority="14" dxfId="3">
      <formula>ISNUMBER(SEARCH("ŞARTLI",E9))</formula>
    </cfRule>
    <cfRule type="expression" priority="15" dxfId="0">
      <formula>ISNUMBER(SEARCH("DURDUR",E9))</formula>
    </cfRule>
    <cfRule type="expression" priority="16" dxfId="0">
      <formula>ISNUMBER(SEARCH("VERİ YOK",E9))</formula>
    </cfRule>
  </conditionalFormatting>
  <conditionalFormatting sqref="C6:C9">
    <cfRule type="cellIs" priority="17" operator="lessThan" dxfId="1">
      <formula>70</formula>
    </cfRule>
    <cfRule type="cellIs" priority="18" operator="greaterThanOrEqual" dxfId="2">
      <formula>70</formula>
    </cfRule>
  </conditionalFormatting>
  <conditionalFormatting sqref="B16:B18">
    <cfRule type="cellIs" priority="19" operator="greaterThan" dxfId="4">
      <formula>10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2" customWidth="1" min="4" max="4"/>
    <col width="14" customWidth="1" min="5" max="5"/>
    <col width="10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Tarımsal Destek/Teşvik Uygunluk Testi</t>
        </is>
      </c>
    </row>
    <row r="3">
      <c r="A3" s="14" t="inlineStr">
        <is>
          <t>Tebliğ tarzı altın vakalar — destek uygunluk</t>
        </is>
      </c>
    </row>
    <row r="5" ht="30" customHeight="1">
      <c r="A5" s="24" t="inlineStr">
        <is>
          <t>vaka_id</t>
        </is>
      </c>
      <c r="B5" s="24" t="inlineStr">
        <is>
          <t>aciklama</t>
        </is>
      </c>
      <c r="C5" s="24" t="inlineStr">
        <is>
          <t>girdi_ozeti</t>
        </is>
      </c>
      <c r="D5" s="24" t="inlineStr">
        <is>
          <t>beklenen_sonuc</t>
        </is>
      </c>
      <c r="E5" s="24" t="inlineStr">
        <is>
          <t>hesaplanan</t>
        </is>
      </c>
      <c r="F5" s="24" t="inlineStr">
        <is>
          <t>fark</t>
        </is>
      </c>
      <c r="G5" s="24" t="inlineStr">
        <is>
          <t>durum</t>
        </is>
      </c>
      <c r="H5" s="24" t="inlineStr">
        <is>
          <t>kaynak</t>
        </is>
      </c>
      <c r="J5" s="45" t="inlineStr">
        <is>
          <t>BeklenenDemo</t>
        </is>
      </c>
      <c r="K5" s="45" t="inlineStr">
        <is>
          <t>HesapDemo</t>
        </is>
      </c>
    </row>
    <row r="6">
      <c r="A6" s="16" t="inlineStr">
        <is>
          <t>TD-V01</t>
        </is>
      </c>
      <c r="B6" s="16" t="inlineStr">
        <is>
          <t>Mazot min dekar — uygun</t>
        </is>
      </c>
      <c r="C6" s="16" t="inlineStr">
        <is>
          <t>dekar=vaka_dekar_1; min=TDU-002/2025</t>
        </is>
      </c>
      <c r="D6" s="56" t="n">
        <v>1</v>
      </c>
      <c r="E6" s="23">
        <f>IFERROR(IF(vaka_dekar_1&gt;=INDEX(tblKurallar[deger_2025],MATCH("TDU-002",tblKurallar[kural_id],0)),1,0),0)</f>
        <v/>
      </c>
      <c r="F6" s="57">
        <f>IF($A6="","",IFERROR($D6-$E6,0))</f>
        <v/>
      </c>
      <c r="G6" s="58">
        <f>IF($A6="","",IFERROR(IF(ABS($F6)&lt;=tdu_tolerans,"TUTARLI","KIRIK"),"KIRIK"))</f>
        <v/>
      </c>
      <c r="H6" s="16" t="inlineStr">
        <is>
          <t>Mazot-gübre destek tebliği</t>
        </is>
      </c>
      <c r="J6" s="46" t="n">
        <v>1</v>
      </c>
      <c r="K6" s="46" t="n">
        <v>1</v>
      </c>
    </row>
    <row r="7">
      <c r="A7" s="16" t="inlineStr">
        <is>
          <t>TD-V02</t>
        </is>
      </c>
      <c r="B7" s="16" t="inlineStr">
        <is>
          <t>Mazot min dekar — yetersiz</t>
        </is>
      </c>
      <c r="C7" s="16" t="inlineStr">
        <is>
          <t>dekar=vaka_dekar_2; min=TDU-002/2025</t>
        </is>
      </c>
      <c r="D7" s="56" t="n">
        <v>0</v>
      </c>
      <c r="E7" s="23">
        <f>IFERROR(IF(vaka_dekar_2&gt;=INDEX(tblKurallar[deger_2025],MATCH("TDU-002",tblKurallar[kural_id],0)),1,0),0)</f>
        <v/>
      </c>
      <c r="F7" s="57">
        <f>IF($A7="","",IFERROR($D7-$E7,0))</f>
        <v/>
      </c>
      <c r="G7" s="58">
        <f>IF($A7="","",IFERROR(IF(ABS($F7)&lt;=tdu_tolerans,"TUTARLI","KIRIK"),"KIRIK"))</f>
        <v/>
      </c>
      <c r="H7" s="16" t="inlineStr">
        <is>
          <t>Mazot-gübre destek tebliği</t>
        </is>
      </c>
      <c r="J7" s="46" t="n">
        <v>0</v>
      </c>
      <c r="K7" s="46" t="n">
        <v>0</v>
      </c>
    </row>
    <row r="8">
      <c r="A8" s="16" t="inlineStr">
        <is>
          <t>TD-V03</t>
        </is>
      </c>
      <c r="B8" s="16" t="inlineStr">
        <is>
          <t>Genç çiftçi yaş uygun</t>
        </is>
      </c>
      <c r="C8" s="16" t="inlineStr">
        <is>
          <t>yas=vaka_yas_1; ust=TDU-004/2025</t>
        </is>
      </c>
      <c r="D8" s="56" t="n">
        <v>1</v>
      </c>
      <c r="E8" s="23">
        <f>IFERROR(IF(AND(vaka_yas_1&gt;0,vaka_yas_1&lt;=INDEX(tblKurallar[deger_2025],MATCH("TDU-004",tblKurallar[kural_id],0))),1,0),0)</f>
        <v/>
      </c>
      <c r="F8" s="57">
        <f>IF($A8="","",IFERROR($D8-$E8,0))</f>
        <v/>
      </c>
      <c r="G8" s="58">
        <f>IF($A8="","",IFERROR(IF(ABS($F8)&lt;=tdu_tolerans,"TUTARLI","KIRIK"),"KIRIK"))</f>
        <v/>
      </c>
      <c r="H8" s="16" t="inlineStr">
        <is>
          <t>Genç çiftçi destek tebliği</t>
        </is>
      </c>
      <c r="J8" s="46" t="n">
        <v>1</v>
      </c>
      <c r="K8" s="46" t="n">
        <v>1</v>
      </c>
    </row>
    <row r="9">
      <c r="A9" s="16" t="inlineStr">
        <is>
          <t>TD-V04</t>
        </is>
      </c>
      <c r="B9" s="16" t="inlineStr">
        <is>
          <t>IPARD yatırım eşiği</t>
        </is>
      </c>
      <c r="C9" s="16" t="inlineStr">
        <is>
          <t>yatirim=vaka_yatirim_1; min=TDU-007/2025</t>
        </is>
      </c>
      <c r="D9" s="56" t="n">
        <v>1</v>
      </c>
      <c r="E9" s="23">
        <f>IFERROR(IF(vaka_yatirim_1&gt;=INDEX(tblKurallar[deger_2025],MATCH("TDU-007",tblKurallar[kural_id],0)),1,0),0)</f>
        <v/>
      </c>
      <c r="F9" s="57">
        <f>IF($A9="","",IFERROR($D9-$E9,0))</f>
        <v/>
      </c>
      <c r="G9" s="58">
        <f>IF($A9="","",IFERROR(IF(ABS($F9)&lt;=tdu_tolerans,"TUTARLI","KIRIK"),"KIRIK"))</f>
        <v/>
      </c>
      <c r="H9" s="16" t="inlineStr">
        <is>
          <t>IPARD başvuru rehberi</t>
        </is>
      </c>
      <c r="J9" s="46" t="n">
        <v>1</v>
      </c>
      <c r="K9" s="46" t="n">
        <v>1</v>
      </c>
    </row>
    <row r="12">
      <c r="A12" s="22" t="inlineStr">
        <is>
          <t>Vaka durum özeti</t>
        </is>
      </c>
      <c r="B12" s="59">
        <f>IFERROR(IF(COUNTIF(tblVakalar[durum],"KIRIK")&gt;0,"KIRIK","TUTARLI"),"KIRIK")</f>
        <v/>
      </c>
    </row>
    <row r="13">
      <c r="A13" s="22" t="inlineStr">
        <is>
          <t>Vaka fark toplamı</t>
        </is>
      </c>
      <c r="B13" s="23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B12">
    <cfRule type="expression" priority="1" dxfId="0">
      <formula>ISNUMBER(SEARCH("KIRIK",B12))</formula>
    </cfRule>
    <cfRule type="expression" priority="2" dxfId="2">
      <formula>B12="TUTARLI"</formula>
    </cfRule>
  </conditionalFormatting>
  <conditionalFormatting sqref="G6:G9">
    <cfRule type="expression" priority="3" dxfId="0">
      <formula>G6="KIRIK"</formula>
    </cfRule>
    <cfRule type="expression" priority="4" dxfId="2">
      <formula>G6="TUTARLI"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6" customWidth="1" min="4" max="4"/>
    <col width="22" customWidth="1" min="5" max="5"/>
    <col width="16" customWidth="1" min="6" max="6"/>
  </cols>
  <sheetData>
    <row r="1" ht="26" customHeight="1">
      <c r="A1" s="1" t="inlineStr">
        <is>
          <t>KANIT RAPORU — Tarımsal Destek/Teşvik Uygunluk Testi</t>
        </is>
      </c>
    </row>
    <row r="3">
      <c r="A3" s="10" t="inlineStr">
        <is>
          <t>KANIT RAPORU — Tarımsal Destek/Teşvik Uygunluk</t>
        </is>
      </c>
    </row>
    <row r="4">
      <c r="A4" s="18" t="inlineStr">
        <is>
          <t>Tarih</t>
        </is>
      </c>
      <c r="B4" s="60">
        <f>raporTarihi</f>
        <v/>
      </c>
    </row>
    <row r="5">
      <c r="A5" s="18" t="inlineStr">
        <is>
          <t>İşletme</t>
        </is>
      </c>
      <c r="B5" s="42">
        <f>GIRDI!B6</f>
        <v/>
      </c>
    </row>
    <row r="6">
      <c r="A6" s="18" t="inlineStr">
        <is>
          <t>Çağrı programı</t>
        </is>
      </c>
      <c r="B6" s="42">
        <f>GIRDI!B12</f>
        <v/>
      </c>
    </row>
    <row r="7">
      <c r="A7" s="18" t="inlineStr">
        <is>
          <t>Hesap yılı</t>
        </is>
      </c>
      <c r="B7" s="23">
        <f>hesapYili</f>
        <v/>
      </c>
    </row>
    <row r="9">
      <c r="A9" s="5" t="inlineStr">
        <is>
          <t>KARAR</t>
        </is>
      </c>
      <c r="B9" s="53">
        <f>tdu_kararMetni</f>
        <v/>
      </c>
    </row>
    <row r="10">
      <c r="A10" s="22" t="inlineStr">
        <is>
          <t>Gerekçe</t>
        </is>
      </c>
      <c r="B10" s="33">
        <f>tdu_kararGerekce</f>
        <v/>
      </c>
    </row>
    <row r="11">
      <c r="A11" s="18" t="inlineStr">
        <is>
          <t>Uygunluk puanı</t>
        </is>
      </c>
      <c r="B11" s="23">
        <f>IFERROR(MOTOR!G35,0)</f>
        <v/>
      </c>
    </row>
    <row r="12">
      <c r="A12" s="18" t="inlineStr">
        <is>
          <t>Tahmini destek</t>
        </is>
      </c>
      <c r="B12" s="41">
        <f>IFERROR(tdu_tahminiDestek,0)</f>
        <v/>
      </c>
    </row>
    <row r="13">
      <c r="A13" s="18" t="inlineStr">
        <is>
          <t>Madde atıfları</t>
        </is>
      </c>
      <c r="B13" s="33">
        <f>tdu_maddeAtifMetni</f>
        <v/>
      </c>
    </row>
    <row r="14">
      <c r="A14" s="18" t="inlineStr">
        <is>
          <t>Kanıt özeti</t>
        </is>
      </c>
      <c r="B14" s="33">
        <f>tdu_kanitRaporu</f>
        <v/>
      </c>
    </row>
    <row r="15">
      <c r="A15" s="18" t="inlineStr">
        <is>
          <t>Vaka durumu</t>
        </is>
      </c>
      <c r="B15" s="42">
        <f>tdu_vakaDurum</f>
        <v/>
      </c>
    </row>
    <row r="16">
      <c r="A16" s="18" t="inlineStr">
        <is>
          <t>Parmak izi</t>
        </is>
      </c>
      <c r="B16" s="42">
        <f>tdu_parmakIzi</f>
        <v/>
      </c>
    </row>
    <row r="18">
      <c r="A18" s="12" t="inlineStr">
        <is>
          <t>Uyarılar</t>
        </is>
      </c>
    </row>
    <row r="19">
      <c r="A19" s="4" t="inlineStr">
        <is>
          <t>Bu çıktı karar destek niteliğindedir; resmî başvuru sonucu yerine geçmez. ÇKS güncelleme penceresi tartışmalıdır (yorum A/B).</t>
        </is>
      </c>
    </row>
    <row r="20"/>
    <row r="22">
      <c r="A22" s="18" t="inlineStr">
        <is>
          <t>İmza — Giren</t>
        </is>
      </c>
      <c r="C22" s="18" t="inlineStr">
        <is>
          <t>İmza — Karar veren</t>
        </is>
      </c>
      <c r="E22" s="18" t="inlineStr">
        <is>
          <t>İmza — Kanıt isteyen</t>
        </is>
      </c>
    </row>
    <row r="24">
      <c r="A24" s="18" t="inlineStr">
        <is>
          <t>________________</t>
        </is>
      </c>
      <c r="C24" s="18" t="inlineStr">
        <is>
          <t>________________</t>
        </is>
      </c>
      <c r="E24" s="18" t="inlineStr">
        <is>
          <t>________________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19:F20"/>
    <mergeCell ref="B10:F10"/>
    <mergeCell ref="A1:L1"/>
    <mergeCell ref="B14:F14"/>
    <mergeCell ref="A3:F3"/>
    <mergeCell ref="B13:F13"/>
  </mergeCells>
  <conditionalFormatting sqref="B9">
    <cfRule type="expression" priority="1" dxfId="2">
      <formula>ISNUMBER(SEARCH("UYGUN",B9))</formula>
    </cfRule>
    <cfRule type="expression" priority="2" dxfId="3">
      <formula>ISNUMBER(SEARCH("ŞARTLI",B9))</formula>
    </cfRule>
    <cfRule type="expression" priority="3" dxfId="0">
      <formula>ISNUMBER(SEARCH("DURDUR",B9))</formula>
    </cfRule>
    <cfRule type="expression" priority="4" dxfId="0">
      <formula>ISNUMBER(SEARCH("VERİ YOK",B9))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&amp;LTarımsal Destek/Teşvik Uygunluk Testi · KANIT&amp;CExcelArşiv&amp;RSayfa &amp;P / &amp;N</oddFooter>
    <evenHeader/>
    <evenFooter>&amp;LTarımsal Destek/Teşvik Uygunluk Testi · KANIT&amp;CExcelArşiv&amp;RSayfa &amp;P / &amp;N</evenFooter>
    <firstHeader/>
    <firstFooter/>
  </headerFooter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Tarımsal Destek/Teşvik Uygunluk Testi</t>
        </is>
      </c>
    </row>
    <row r="3">
      <c r="A3" s="14" t="inlineStr">
        <is>
          <t>Canlı kontrol paneli</t>
        </is>
      </c>
    </row>
    <row r="5">
      <c r="A5" s="16" t="inlineStr">
        <is>
          <t>Giriş tablosu boş mu?</t>
        </is>
      </c>
      <c r="B5" s="42">
        <f>IF(COUNTA(tblGirdi[Alan Anahtarı])=0,"BOŞ","DOLU")</f>
        <v/>
      </c>
    </row>
    <row r="6">
      <c r="A6" s="16" t="inlineStr">
        <is>
          <t>Negatif dekar?</t>
        </is>
      </c>
      <c r="B6" s="42">
        <f>IF(GIRDI!B10&lt;0,"NEGATİF","TEMİZ")</f>
        <v/>
      </c>
    </row>
    <row r="7">
      <c r="A7" s="16" t="inlineStr">
        <is>
          <t>Hesap yılı geçerli mi?</t>
        </is>
      </c>
      <c r="B7" s="42">
        <f>IFERROR(IF(AND(N(hesapYili)&gt;N(tdu_yilTaban),N(hesapYili)&lt;=N(tdu_yilTaban)+3),"TEMİZ","HATALI"),"HATALI")</f>
        <v/>
      </c>
    </row>
    <row r="8">
      <c r="A8" s="16" t="inlineStr">
        <is>
          <t>Borç blok aktif mi?</t>
        </is>
      </c>
      <c r="B8" s="42">
        <f>IF(IFERROR(MOTOR!G24,0)=1,"BLOK","TEMİZ")</f>
        <v/>
      </c>
    </row>
    <row r="9">
      <c r="A9" s="16" t="inlineStr">
        <is>
          <t>Vaka kırık mı?</t>
        </is>
      </c>
      <c r="B9" s="42">
        <f>IFERROR(IF(COUNTIF(tblVakalar[durum],"KIRIK")&gt;0,"KIRIK","TUTARLI"),"KIRIK")</f>
        <v/>
      </c>
    </row>
    <row r="10">
      <c r="A10" s="16" t="inlineStr">
        <is>
          <t>ÇKS şartı?</t>
        </is>
      </c>
      <c r="B10" s="42">
        <f>IF(IFERROR(MOTOR!G23,0)=1,"TEMİZ","EKSİK")</f>
        <v/>
      </c>
    </row>
    <row r="11">
      <c r="A11" s="16" t="inlineStr">
        <is>
          <t>Yorum A/B seçili mi?</t>
        </is>
      </c>
      <c r="B11" s="42">
        <f>IF(OR(GIRDI!B18="A",GIRDI!B18="B"),"TEMİZ","EKSİK")</f>
        <v/>
      </c>
    </row>
    <row r="12">
      <c r="A12" s="22" t="inlineStr">
        <is>
          <t>Kalite skoru (modül)</t>
        </is>
      </c>
      <c r="B12" s="61">
        <f>IFERROR(ROUND(IF(OR(B14=0,B14=""),0,B15/B14*100),0),0)</f>
        <v/>
      </c>
    </row>
    <row r="14">
      <c r="A14" s="16" t="inlineStr">
        <is>
          <t>Toplam giriş alanı</t>
        </is>
      </c>
      <c r="B14" s="23">
        <f>IFERROR(tdu_girisBeklenen+COUNTA(GIRDI!B6:B18)*0,0)</f>
        <v/>
      </c>
    </row>
    <row r="15">
      <c r="A15" s="16" t="inlineStr">
        <is>
          <t>Dolu giriş</t>
        </is>
      </c>
      <c r="B15" s="23">
        <f>COUNTA(GIRDI!B6:B18)</f>
        <v/>
      </c>
    </row>
    <row r="17">
      <c r="A17" s="16" t="inlineStr">
        <is>
          <t>Puan kontrol</t>
        </is>
      </c>
      <c r="B17" s="23">
        <f>IFERROR(MOTOR!G35,0)</f>
        <v/>
      </c>
    </row>
    <row r="18">
      <c r="A18" s="16" t="inlineStr">
        <is>
          <t>Destek kontrol</t>
        </is>
      </c>
      <c r="B18" s="41">
        <f>IFERROR(tdu_tahminiDestek,0)</f>
        <v/>
      </c>
    </row>
    <row r="19">
      <c r="A19" s="16" t="inlineStr">
        <is>
          <t>Karar kontrol</t>
        </is>
      </c>
      <c r="B19" s="42">
        <f>IFERROR(tdu_kararMetni,"-")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19">
    <cfRule type="expression" priority="1" dxfId="2">
      <formula>ISNUMBER(SEARCH("UYGUN",B19))</formula>
    </cfRule>
    <cfRule type="expression" priority="2" dxfId="3">
      <formula>ISNUMBER(SEARCH("ŞARTLI",B19))</formula>
    </cfRule>
    <cfRule type="expression" priority="3" dxfId="0">
      <formula>ISNUMBER(SEARCH("DURDUR",B19))</formula>
    </cfRule>
    <cfRule type="expression" priority="4" dxfId="0">
      <formula>ISNUMBER(SEARCH("VERİ YOK",B19))</formula>
    </cfRule>
  </conditionalFormatting>
  <conditionalFormatting sqref="B5:B12">
    <cfRule type="expression" priority="5" dxfId="0">
      <formula>ISNUMBER(SEARCH("HATALI",B5))</formula>
    </cfRule>
    <cfRule type="expression" priority="6" dxfId="0">
      <formula>ISNUMBER(SEARCH("BLOK",B5))</formula>
    </cfRule>
    <cfRule type="expression" priority="7" dxfId="0">
      <formula>ISNUMBER(SEARCH("KIRIK",B5))</formula>
    </cfRule>
    <cfRule type="expression" priority="8" dxfId="3">
      <formula>ISNUMBER(SEARCH("EKSİK",B5))</formula>
    </cfRule>
    <cfRule type="expression" priority="9" dxfId="3">
      <formula>ISNUMBER(SEARCH("BOŞ",B5))</formula>
    </cfRule>
    <cfRule type="expression" priority="10" dxfId="3">
      <formula>ISNUMBER(SEARCH("SIFIR",B5))</formula>
    </cfRule>
    <cfRule type="expression" priority="11" dxfId="2">
      <formula>ISNUMBER(SEARCH("TEMİZ",B5))</formula>
    </cfRule>
    <cfRule type="expression" priority="12" dxfId="2">
      <formula>ISNUMBER(SEARCH("DOLU",B5))</formula>
    </cfRule>
    <cfRule type="expression" priority="13" dxfId="2">
      <formula>ISNUMBER(SEARCH("TUTARLI",B5))</formula>
    </cfRule>
    <cfRule type="expression" priority="14" dxfId="2">
      <formula>ISNUMBER(SEARCH("NORMAL",B5))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 ht="26" customHeight="1">
      <c r="A1" s="1" t="inlineStr">
        <is>
          <t>ORNEK VERI — Tarımsal Destek/Teşvik Uygunluk Testi</t>
        </is>
      </c>
    </row>
    <row r="3">
      <c r="A3" s="14" t="inlineStr">
        <is>
          <t>Örnek başvuru kütüphanesi</t>
        </is>
      </c>
    </row>
    <row r="5" ht="30" customHeight="1">
      <c r="A5" s="24" t="inlineStr">
        <is>
          <t>Senaryo</t>
        </is>
      </c>
      <c r="B5" s="24" t="inlineStr">
        <is>
          <t>Dekar</t>
        </is>
      </c>
      <c r="C5" s="24" t="inlineStr">
        <is>
          <t>Cagri</t>
        </is>
      </c>
      <c r="D5" s="24" t="inlineStr">
        <is>
          <t>Yas</t>
        </is>
      </c>
      <c r="E5" s="24" t="inlineStr">
        <is>
          <t>Cks</t>
        </is>
      </c>
      <c r="F5" s="24" t="inlineStr">
        <is>
          <t>Borc</t>
        </is>
      </c>
      <c r="G5" s="24" t="inlineStr">
        <is>
          <t>ProgramSart</t>
        </is>
      </c>
      <c r="H5" s="24" t="inlineStr">
        <is>
          <t>PuanTahmin</t>
        </is>
      </c>
      <c r="I5" s="24" t="inlineStr">
        <is>
          <t>Karar</t>
        </is>
      </c>
      <c r="K5" s="45" t="inlineStr">
        <is>
          <t>PuanDemo</t>
        </is>
      </c>
    </row>
    <row r="6">
      <c r="A6" s="17" t="inlineStr">
        <is>
          <t>Mazot uygun</t>
        </is>
      </c>
      <c r="B6" s="20" t="n">
        <v>45</v>
      </c>
      <c r="C6" s="17" t="inlineStr">
        <is>
          <t>MazotGubre</t>
        </is>
      </c>
      <c r="D6" s="19" t="n">
        <v>38</v>
      </c>
      <c r="E6" s="17" t="inlineStr">
        <is>
          <t>Evet</t>
        </is>
      </c>
      <c r="F6" s="17" t="inlineStr">
        <is>
          <t>Hayır</t>
        </is>
      </c>
      <c r="G6" s="26">
        <f>IF($A6="","",IFERROR(IF(AND($E6="Evet",$F6="Hayır",$B6&gt;=tdu_ornekMinDekar),tdu_bir,0),0))</f>
        <v/>
      </c>
      <c r="H6" s="26">
        <f>IF($A6="","",IFERROR(tdu_ornekTaban+IF($G6=tdu_bir,tdu_puanProgram,0)+MIN(tdu_puanAlanMax,ROUND($B6/tdu_puanAlanCarpan,0)),0))</f>
        <v/>
      </c>
      <c r="I6" s="26">
        <f>IF($A6="","",IFERROR(IF($H6&gt;=tdu_ornekEsik,"UYGUN · BAŞVUR",IF($H6&gt;=tdu_ornekEsik-tdu_sartliBand,"ŞARTLI · BELGE EKLE","UYGUN DEĞİL · DURDUR")),"UYGUN DEĞİL · DURDUR"))</f>
        <v/>
      </c>
      <c r="K6" s="46" t="n">
        <v>85</v>
      </c>
    </row>
    <row r="7">
      <c r="A7" s="17" t="inlineStr">
        <is>
          <t>Mazot yetersiz alan</t>
        </is>
      </c>
      <c r="B7" s="20" t="n">
        <v>8</v>
      </c>
      <c r="C7" s="17" t="inlineStr">
        <is>
          <t>MazotGubre</t>
        </is>
      </c>
      <c r="D7" s="19" t="n">
        <v>42</v>
      </c>
      <c r="E7" s="17" t="inlineStr">
        <is>
          <t>Evet</t>
        </is>
      </c>
      <c r="F7" s="17" t="inlineStr">
        <is>
          <t>Hayır</t>
        </is>
      </c>
      <c r="G7" s="26">
        <f>IF($A7="","",IFERROR(IF(AND($E7="Evet",$F7="Hayır",$B7&gt;=tdu_ornekMinDekar),tdu_bir,0),0))</f>
        <v/>
      </c>
      <c r="H7" s="26">
        <f>IF($A7="","",IFERROR(tdu_ornekTaban+IF($G7=tdu_bir,tdu_puanProgram,0)+MIN(tdu_puanAlanMax,ROUND($B7/tdu_puanAlanCarpan,0)),0))</f>
        <v/>
      </c>
      <c r="I7" s="26">
        <f>IF($A7="","",IFERROR(IF($H7&gt;=tdu_ornekEsik,"UYGUN · BAŞVUR",IF($H7&gt;=tdu_ornekEsik-tdu_sartliBand,"ŞARTLI · BELGE EKLE","UYGUN DEĞİL · DURDUR")),"UYGUN DEĞİL · DURDUR"))</f>
        <v/>
      </c>
      <c r="K7" s="46" t="n">
        <v>40</v>
      </c>
    </row>
    <row r="8">
      <c r="A8" s="17" t="inlineStr">
        <is>
          <t>Genç çiftçi</t>
        </is>
      </c>
      <c r="B8" s="20" t="n">
        <v>20</v>
      </c>
      <c r="C8" s="17" t="inlineStr">
        <is>
          <t>GencCiftci</t>
        </is>
      </c>
      <c r="D8" s="19" t="n">
        <v>32</v>
      </c>
      <c r="E8" s="17" t="inlineStr">
        <is>
          <t>Evet</t>
        </is>
      </c>
      <c r="F8" s="17" t="inlineStr">
        <is>
          <t>Hayır</t>
        </is>
      </c>
      <c r="G8" s="26">
        <f>IF($A8="","",IFERROR(IF(AND($E8="Evet",$F8="Hayır",$B8&gt;=tdu_ornekMinDekar),tdu_bir,0),0))</f>
        <v/>
      </c>
      <c r="H8" s="26">
        <f>IF($A8="","",IFERROR(tdu_ornekTaban+IF($G8=tdu_bir,tdu_puanProgram,0)+MIN(tdu_puanAlanMax,ROUND($B8/tdu_puanAlanCarpan,0)),0))</f>
        <v/>
      </c>
      <c r="I8" s="26">
        <f>IF($A8="","",IFERROR(IF($H8&gt;=tdu_ornekEsik,"UYGUN · BAŞVUR",IF($H8&gt;=tdu_ornekEsik-tdu_sartliBand,"ŞARTLI · BELGE EKLE","UYGUN DEĞİL · DURDUR")),"UYGUN DEĞİL · DURDUR"))</f>
        <v/>
      </c>
      <c r="K8" s="46" t="n">
        <v>78</v>
      </c>
    </row>
    <row r="9">
      <c r="A9" s="17" t="inlineStr">
        <is>
          <t>Borçlu blok</t>
        </is>
      </c>
      <c r="B9" s="20" t="n">
        <v>50</v>
      </c>
      <c r="C9" s="17" t="inlineStr">
        <is>
          <t>AlanBazli</t>
        </is>
      </c>
      <c r="D9" s="19" t="n">
        <v>40</v>
      </c>
      <c r="E9" s="17" t="inlineStr">
        <is>
          <t>Evet</t>
        </is>
      </c>
      <c r="F9" s="17" t="inlineStr">
        <is>
          <t>Evet</t>
        </is>
      </c>
      <c r="G9" s="26">
        <f>IF($A9="","",IFERROR(IF(AND($E9="Evet",$F9="Hayır",$B9&gt;=tdu_ornekMinDekar),tdu_bir,0),0))</f>
        <v/>
      </c>
      <c r="H9" s="26">
        <f>IF($A9="","",IFERROR(tdu_ornekTaban+IF($G9=tdu_bir,tdu_puanProgram,0)+MIN(tdu_puanAlanMax,ROUND($B9/tdu_puanAlanCarpan,0)),0))</f>
        <v/>
      </c>
      <c r="I9" s="26">
        <f>IF($A9="","",IFERROR(IF($H9&gt;=tdu_ornekEsik,"UYGUN · BAŞVUR",IF($H9&gt;=tdu_ornekEsik-tdu_sartliBand,"ŞARTLI · BELGE EKLE","UYGUN DEĞİL · DURDUR")),"UYGUN DEĞİL · DURDUR"))</f>
        <v/>
      </c>
      <c r="K9" s="46" t="n">
        <v>20</v>
      </c>
    </row>
    <row r="10">
      <c r="A10" s="17" t="inlineStr">
        <is>
          <t>ÇKS yok</t>
        </is>
      </c>
      <c r="B10" s="20" t="n">
        <v>30</v>
      </c>
      <c r="C10" s="17" t="inlineStr">
        <is>
          <t>MazotGubre</t>
        </is>
      </c>
      <c r="D10" s="19" t="n">
        <v>35</v>
      </c>
      <c r="E10" s="17" t="inlineStr">
        <is>
          <t>Hayır</t>
        </is>
      </c>
      <c r="F10" s="17" t="inlineStr">
        <is>
          <t>Hayır</t>
        </is>
      </c>
      <c r="G10" s="26">
        <f>IF($A10="","",IFERROR(IF(AND($E10="Evet",$F10="Hayır",$B10&gt;=tdu_ornekMinDekar),tdu_bir,0),0))</f>
        <v/>
      </c>
      <c r="H10" s="26">
        <f>IF($A10="","",IFERROR(tdu_ornekTaban+IF($G10=tdu_bir,tdu_puanProgram,0)+MIN(tdu_puanAlanMax,ROUND($B10/tdu_puanAlanCarpan,0)),0))</f>
        <v/>
      </c>
      <c r="I10" s="26">
        <f>IF($A10="","",IFERROR(IF($H10&gt;=tdu_ornekEsik,"UYGUN · BAŞVUR",IF($H10&gt;=tdu_ornekEsik-tdu_sartliBand,"ŞARTLI · BELGE EKLE","UYGUN DEĞİL · DURDUR")),"UYGUN DEĞİL · DURDUR"))</f>
        <v/>
      </c>
      <c r="K10" s="46" t="n">
        <v>20</v>
      </c>
    </row>
    <row r="11">
      <c r="A11" s="17" t="inlineStr">
        <is>
          <t>Organik</t>
        </is>
      </c>
      <c r="B11" s="20" t="n">
        <v>12</v>
      </c>
      <c r="C11" s="17" t="inlineStr">
        <is>
          <t>Organik</t>
        </is>
      </c>
      <c r="D11" s="19" t="n">
        <v>45</v>
      </c>
      <c r="E11" s="17" t="inlineStr">
        <is>
          <t>Evet</t>
        </is>
      </c>
      <c r="F11" s="17" t="inlineStr">
        <is>
          <t>Hayır</t>
        </is>
      </c>
      <c r="G11" s="26">
        <f>IF($A11="","",IFERROR(IF(AND($E11="Evet",$F11="Hayır",$B11&gt;=tdu_ornekMinDekar),tdu_bir,0),0))</f>
        <v/>
      </c>
      <c r="H11" s="26">
        <f>IF($A11="","",IFERROR(tdu_ornekTaban+IF($G11=tdu_bir,tdu_puanProgram,0)+MIN(tdu_puanAlanMax,ROUND($B11/tdu_puanAlanCarpan,0)),0))</f>
        <v/>
      </c>
      <c r="I11" s="26">
        <f>IF($A11="","",IFERROR(IF($H11&gt;=tdu_ornekEsik,"UYGUN · BAŞVUR",IF($H11&gt;=tdu_ornekEsik-tdu_sartliBand,"ŞARTLI · BELGE EKLE","UYGUN DEĞİL · DURDUR")),"UYGUN DEĞİL · DURDUR"))</f>
        <v/>
      </c>
      <c r="K11" s="46" t="n">
        <v>70</v>
      </c>
    </row>
    <row r="12">
      <c r="G12" s="26">
        <f>IF($A12="","",IFERROR(IF(AND($E12="Evet",$F12="Hayır",$B12&gt;=tdu_ornekMinDekar),tdu_bir,0),0))</f>
        <v/>
      </c>
      <c r="H12" s="26">
        <f>IF($A12="","",IFERROR(tdu_ornekTaban+IF($G12=tdu_bir,tdu_puanProgram,0)+MIN(tdu_puanAlanMax,ROUND($B12/tdu_puanAlanCarpan,0)),0))</f>
        <v/>
      </c>
      <c r="I12" s="26">
        <f>IF($A12="","",IFERROR(IF($H12&gt;=tdu_ornekEsik,"UYGUN · BAŞVUR",IF($H12&gt;=tdu_ornekEsik-tdu_sartliBand,"ŞARTLI · BELGE EKLE","UYGUN DEĞİL · DURDUR")),"UYGUN DEĞİL · DURDUR"))</f>
        <v/>
      </c>
    </row>
    <row r="13">
      <c r="G13" s="26">
        <f>IF($A13="","",IFERROR(IF(AND($E13="Evet",$F13="Hayır",$B13&gt;=tdu_ornekMinDekar),tdu_bir,0),0))</f>
        <v/>
      </c>
      <c r="H13" s="26">
        <f>IF($A13="","",IFERROR(tdu_ornekTaban+IF($G13=tdu_bir,tdu_puanProgram,0)+MIN(tdu_puanAlanMax,ROUND($B13/tdu_puanAlanCarpan,0)),0))</f>
        <v/>
      </c>
      <c r="I13" s="26">
        <f>IF($A13="","",IFERROR(IF($H13&gt;=tdu_ornekEsik,"UYGUN · BAŞVUR",IF($H13&gt;=tdu_ornekEsik-tdu_sartliBand,"ŞARTLI · BELGE EKLE","UYGUN DEĞİL · DURDUR")),"UYGUN DEĞİL · DURDUR"))</f>
        <v/>
      </c>
    </row>
    <row r="14">
      <c r="G14" s="26">
        <f>IF($A14="","",IFERROR(IF(AND($E14="Evet",$F14="Hayır",$B14&gt;=tdu_ornekMinDekar),tdu_bir,0),0))</f>
        <v/>
      </c>
      <c r="H14" s="26">
        <f>IF($A14="","",IFERROR(tdu_ornekTaban+IF($G14=tdu_bir,tdu_puanProgram,0)+MIN(tdu_puanAlanMax,ROUND($B14/tdu_puanAlanCarpan,0)),0))</f>
        <v/>
      </c>
      <c r="I14" s="26">
        <f>IF($A14="","",IFERROR(IF($H14&gt;=tdu_ornekEsik,"UYGUN · BAŞVUR",IF($H14&gt;=tdu_ornekEsik-tdu_sartliBand,"ŞARTLI · BELGE EKLE","UYGUN DEĞİL · DURDUR")),"UYGUN DEĞİL · DURDUR"))</f>
        <v/>
      </c>
    </row>
    <row r="15">
      <c r="G15" s="26">
        <f>IF($A15="","",IFERROR(IF(AND($E15="Evet",$F15="Hayır",$B15&gt;=tdu_ornekMinDekar),tdu_bir,0),0))</f>
        <v/>
      </c>
      <c r="H15" s="26">
        <f>IF($A15="","",IFERROR(tdu_ornekTaban+IF($G15=tdu_bir,tdu_puanProgram,0)+MIN(tdu_puanAlanMax,ROUND($B15/tdu_puanAlanCarpan,0)),0))</f>
        <v/>
      </c>
      <c r="I15" s="26">
        <f>IF($A15="","",IFERROR(IF($H15&gt;=tdu_ornekEsik,"UYGUN · BAŞVUR",IF($H15&gt;=tdu_ornekEsik-tdu_sartliBand,"ŞARTLI · BELGE EKLE","UYGUN DEĞİL · DURDUR")),"UYGUN DEĞİL · DURDUR"))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I6">
    <cfRule type="expression" priority="1" dxfId="2">
      <formula>ISNUMBER(SEARCH("UYGUN",I6))</formula>
    </cfRule>
    <cfRule type="expression" priority="2" dxfId="3">
      <formula>ISNUMBER(SEARCH("ŞARTLI",I6))</formula>
    </cfRule>
    <cfRule type="expression" priority="3" dxfId="0">
      <formula>ISNUMBER(SEARCH("DURDUR",I6))</formula>
    </cfRule>
    <cfRule type="expression" priority="4" dxfId="0">
      <formula>ISNUMBER(SEARCH("VERİ YOK",I6))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3" max="3"/>
    <col width="12" customWidth="1" min="5" max="5"/>
    <col width="12" customWidth="1" min="7" max="7"/>
    <col width="14" customWidth="1" min="9" max="9"/>
  </cols>
  <sheetData>
    <row r="1" ht="26" customHeight="1">
      <c r="A1" s="1" t="inlineStr">
        <is>
          <t>LISTELER — Tarımsal Destek/Teşvik Uygunluk Testi</t>
        </is>
      </c>
    </row>
    <row r="3">
      <c r="A3" s="22" t="inlineStr">
        <is>
          <t>Doğrulama listeleri</t>
        </is>
      </c>
    </row>
    <row r="5">
      <c r="A5" s="45" t="inlineStr">
        <is>
          <t>Yıl</t>
        </is>
      </c>
      <c r="C5" s="45" t="inlineStr">
        <is>
          <t>Yorum</t>
        </is>
      </c>
      <c r="E5" s="45" t="inlineStr">
        <is>
          <t>EvetHayir</t>
        </is>
      </c>
      <c r="G5" s="45" t="inlineStr">
        <is>
          <t>Urun</t>
        </is>
      </c>
      <c r="I5" s="45" t="inlineStr">
        <is>
          <t>Cagri</t>
        </is>
      </c>
    </row>
    <row r="6">
      <c r="A6" s="62" t="n">
        <v>2025</v>
      </c>
      <c r="C6" s="7" t="inlineStr">
        <is>
          <t>A</t>
        </is>
      </c>
      <c r="E6" s="7" t="inlineStr">
        <is>
          <t>Evet</t>
        </is>
      </c>
      <c r="G6" s="7" t="inlineStr">
        <is>
          <t>Bitkisel</t>
        </is>
      </c>
      <c r="I6" s="7" t="inlineStr">
        <is>
          <t>MazotGubre</t>
        </is>
      </c>
    </row>
    <row r="7">
      <c r="A7" s="62" t="n">
        <v>2026</v>
      </c>
      <c r="C7" s="7" t="inlineStr">
        <is>
          <t>B</t>
        </is>
      </c>
      <c r="E7" s="7" t="inlineStr">
        <is>
          <t>Hayır</t>
        </is>
      </c>
      <c r="G7" s="7" t="inlineStr">
        <is>
          <t>Hayvansal</t>
        </is>
      </c>
      <c r="I7" s="7" t="inlineStr">
        <is>
          <t>AlanBazli</t>
        </is>
      </c>
    </row>
    <row r="8">
      <c r="A8" s="62" t="n">
        <v>2027</v>
      </c>
      <c r="G8" s="7" t="inlineStr">
        <is>
          <t>Karma</t>
        </is>
      </c>
      <c r="I8" s="7" t="inlineStr">
        <is>
          <t>GencCiftci</t>
        </is>
      </c>
    </row>
    <row r="9">
      <c r="I9" s="7" t="inlineStr">
        <is>
          <t>Organik</t>
        </is>
      </c>
    </row>
    <row r="10">
      <c r="I10" s="7" t="inlineStr">
        <is>
          <t>Hayvancilik</t>
        </is>
      </c>
    </row>
    <row r="11">
      <c r="I11" s="7" t="inlineStr">
        <is>
          <t>IPARD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F2742"/>
    <outlinePr summaryBelow="1" summaryRight="1"/>
    <pageSetUpPr/>
  </sheetPr>
  <dimension ref="A1:AD5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28" customWidth="1" min="4" max="4"/>
    <col width="18" customWidth="1" min="5" max="5"/>
    <col width="14" customWidth="1" min="6" max="6"/>
    <col width="14" customWidth="1" min="7" max="7"/>
    <col width="10" customWidth="1" min="8" max="8"/>
  </cols>
  <sheetData>
    <row r="1" ht="26" customHeight="1">
      <c r="A1" s="1" t="inlineStr">
        <is>
          <t>AYARLAR — Tarımsal Destek/Teşvik Uygunluk Testi</t>
        </is>
      </c>
    </row>
    <row r="3">
      <c r="A3" s="14" t="inlineStr">
        <is>
          <t>Parametreler (tek kaynak)</t>
        </is>
      </c>
    </row>
    <row r="4">
      <c r="A4" s="4" t="inlineStr">
        <is>
          <t>Sarı hücreler değiştirilebilir; formül hücreleri kilitlidir.</t>
        </is>
      </c>
    </row>
    <row r="5" ht="30" customHeight="1">
      <c r="A5" s="24" t="inlineStr">
        <is>
          <t>anahtar</t>
        </is>
      </c>
      <c r="B5" s="24" t="inlineStr">
        <is>
          <t>deger</t>
        </is>
      </c>
      <c r="C5" s="24" t="inlineStr">
        <is>
          <t>birim</t>
        </is>
      </c>
      <c r="D5" s="24" t="inlineStr">
        <is>
          <t>aciklama</t>
        </is>
      </c>
      <c r="E5" s="24" t="inlineStr">
        <is>
          <t>kaynak</t>
        </is>
      </c>
      <c r="F5" s="24" t="inlineStr">
        <is>
          <t>yururluk_tarihi</t>
        </is>
      </c>
      <c r="G5" s="24" t="inlineStr">
        <is>
          <t>dogrulama_tarihi</t>
        </is>
      </c>
      <c r="H5" s="24" t="inlineStr">
        <is>
          <t>kontrol</t>
        </is>
      </c>
    </row>
    <row r="6">
      <c r="A6" s="16" t="inlineStr">
        <is>
          <t>raporTarihi</t>
        </is>
      </c>
      <c r="B6" s="63" t="n">
        <v>46245</v>
      </c>
      <c r="C6" s="16" t="inlineStr">
        <is>
          <t>tarih</t>
        </is>
      </c>
      <c r="D6" s="16" t="inlineStr">
        <is>
          <t>Rapor tarihi</t>
        </is>
      </c>
      <c r="E6" s="16" t="inlineStr">
        <is>
          <t>Üretim</t>
        </is>
      </c>
      <c r="F6" s="16" t="inlineStr">
        <is>
          <t>01.01.2025</t>
        </is>
      </c>
      <c r="G6" s="16" t="inlineStr">
        <is>
          <t>11.08.2026</t>
        </is>
      </c>
      <c r="H6" s="64">
        <f>IF(A6="","",IF(B6="","EKSİK","TAM"))</f>
        <v/>
      </c>
    </row>
    <row r="7">
      <c r="A7" s="16" t="inlineStr">
        <is>
          <t>tdu_tolerans</t>
        </is>
      </c>
      <c r="B7" s="32" t="n">
        <v>0.01</v>
      </c>
      <c r="C7" s="16" t="inlineStr">
        <is>
          <t>oran</t>
        </is>
      </c>
      <c r="D7" s="16" t="inlineStr">
        <is>
          <t>Vaka tutarlılık toleransı</t>
        </is>
      </c>
      <c r="E7" s="16" t="inlineStr">
        <is>
          <t>Uygulama notu</t>
        </is>
      </c>
      <c r="F7" s="16" t="inlineStr">
        <is>
          <t>01.01.2025</t>
        </is>
      </c>
      <c r="G7" s="16" t="inlineStr">
        <is>
          <t>11.08.2026</t>
        </is>
      </c>
      <c r="H7" s="64">
        <f>IF(A7="","",IF(B7="","EKSİK","TAM"))</f>
        <v/>
      </c>
    </row>
    <row r="8">
      <c r="A8" s="16" t="inlineStr">
        <is>
          <t>tdu_sartliBand</t>
        </is>
      </c>
      <c r="B8" s="30" t="n">
        <v>15</v>
      </c>
      <c r="C8" s="16" t="inlineStr">
        <is>
          <t>puan</t>
        </is>
      </c>
      <c r="D8" s="16" t="inlineStr">
        <is>
          <t>Şartlı puan bandı</t>
        </is>
      </c>
      <c r="E8" s="16" t="inlineStr">
        <is>
          <t>İç politika</t>
        </is>
      </c>
      <c r="F8" s="16" t="inlineStr">
        <is>
          <t>01.01.2025</t>
        </is>
      </c>
      <c r="G8" s="16" t="inlineStr">
        <is>
          <t>11.08.2026</t>
        </is>
      </c>
      <c r="H8" s="64">
        <f>IF(A8="","",IF(B8="","EKSİK","TAM"))</f>
        <v/>
      </c>
    </row>
    <row r="9">
      <c r="A9" s="16" t="inlineStr">
        <is>
          <t>tdu_farkEsik</t>
        </is>
      </c>
      <c r="B9" s="30" t="n">
        <v>50</v>
      </c>
      <c r="C9" s="16" t="inlineStr">
        <is>
          <t>puan</t>
        </is>
      </c>
      <c r="D9" s="16" t="inlineStr">
        <is>
          <t>PANO uyarı eşiği</t>
        </is>
      </c>
      <c r="E9" s="16" t="inlineStr">
        <is>
          <t>İç politika</t>
        </is>
      </c>
      <c r="F9" s="16" t="inlineStr">
        <is>
          <t>01.01.2025</t>
        </is>
      </c>
      <c r="G9" s="16" t="inlineStr">
        <is>
          <t>11.08.2026</t>
        </is>
      </c>
      <c r="H9" s="64">
        <f>IF(A9="","",IF(B9="","EKSİK","TAM"))</f>
        <v/>
      </c>
    </row>
    <row r="10">
      <c r="A10" s="16" t="inlineStr">
        <is>
          <t>tdu_senaryoIyi</t>
        </is>
      </c>
      <c r="B10" s="65" t="n">
        <v>1.15</v>
      </c>
      <c r="C10" s="16" t="inlineStr">
        <is>
          <t>çarpan</t>
        </is>
      </c>
      <c r="D10" s="16" t="inlineStr">
        <is>
          <t>İyimser dekar çarpanı</t>
        </is>
      </c>
      <c r="E10" s="16" t="inlineStr">
        <is>
          <t>Model varsayımı</t>
        </is>
      </c>
      <c r="F10" s="16" t="inlineStr">
        <is>
          <t>01.01.2025</t>
        </is>
      </c>
      <c r="G10" s="16" t="inlineStr">
        <is>
          <t>11.08.2026</t>
        </is>
      </c>
      <c r="H10" s="64">
        <f>IF(A10="","",IF(B10="","EKSİK","TAM"))</f>
        <v/>
      </c>
    </row>
    <row r="11">
      <c r="A11" s="16" t="inlineStr">
        <is>
          <t>tdu_senaryoKotu</t>
        </is>
      </c>
      <c r="B11" s="65" t="n">
        <v>0.85</v>
      </c>
      <c r="C11" s="16" t="inlineStr">
        <is>
          <t>çarpan</t>
        </is>
      </c>
      <c r="D11" s="16" t="inlineStr">
        <is>
          <t>Kötümser dekar çarpanı</t>
        </is>
      </c>
      <c r="E11" s="16" t="inlineStr">
        <is>
          <t>Model varsayımı</t>
        </is>
      </c>
      <c r="F11" s="16" t="inlineStr">
        <is>
          <t>01.01.2025</t>
        </is>
      </c>
      <c r="G11" s="16" t="inlineStr">
        <is>
          <t>11.08.2026</t>
        </is>
      </c>
      <c r="H11" s="64">
        <f>IF(A11="","",IF(B11="","EKSİK","TAM"))</f>
        <v/>
      </c>
    </row>
    <row r="12">
      <c r="A12" s="16" t="inlineStr">
        <is>
          <t>tdu_oranArtisPuan</t>
        </is>
      </c>
      <c r="B12" s="30" t="n">
        <v>5</v>
      </c>
      <c r="C12" s="16" t="inlineStr">
        <is>
          <t>puan</t>
        </is>
      </c>
      <c r="D12" s="16" t="inlineStr">
        <is>
          <t>M-SEN eşik artışı</t>
        </is>
      </c>
      <c r="E12" s="16" t="inlineStr">
        <is>
          <t>Senaryo motoru</t>
        </is>
      </c>
      <c r="F12" s="16" t="inlineStr">
        <is>
          <t>01.01.2025</t>
        </is>
      </c>
      <c r="G12" s="16" t="inlineStr">
        <is>
          <t>11.08.2026</t>
        </is>
      </c>
      <c r="H12" s="64">
        <f>IF(A12="","",IF(B12="","EKSİK","TAM"))</f>
        <v/>
      </c>
    </row>
    <row r="13">
      <c r="A13" s="16" t="inlineStr">
        <is>
          <t>tdu_tahminAlt</t>
        </is>
      </c>
      <c r="B13" s="65" t="n">
        <v>0.9</v>
      </c>
      <c r="C13" s="16" t="inlineStr">
        <is>
          <t>çarpan</t>
        </is>
      </c>
      <c r="D13" s="16" t="inlineStr">
        <is>
          <t>Tahmin alt bant</t>
        </is>
      </c>
      <c r="E13" s="16" t="inlineStr">
        <is>
          <t>Model varsayımı</t>
        </is>
      </c>
      <c r="F13" s="16" t="inlineStr">
        <is>
          <t>01.01.2025</t>
        </is>
      </c>
      <c r="G13" s="16" t="inlineStr">
        <is>
          <t>11.08.2026</t>
        </is>
      </c>
      <c r="H13" s="64">
        <f>IF(A13="","",IF(B13="","EKSİK","TAM"))</f>
        <v/>
      </c>
    </row>
    <row r="14">
      <c r="A14" s="16" t="inlineStr">
        <is>
          <t>tdu_tahminUst</t>
        </is>
      </c>
      <c r="B14" s="65" t="n">
        <v>1.1</v>
      </c>
      <c r="C14" s="16" t="inlineStr">
        <is>
          <t>çarpan</t>
        </is>
      </c>
      <c r="D14" s="16" t="inlineStr">
        <is>
          <t>Tahmin üst bant</t>
        </is>
      </c>
      <c r="E14" s="16" t="inlineStr">
        <is>
          <t>Model varsayımı</t>
        </is>
      </c>
      <c r="F14" s="16" t="inlineStr">
        <is>
          <t>01.01.2025</t>
        </is>
      </c>
      <c r="G14" s="16" t="inlineStr">
        <is>
          <t>11.08.2026</t>
        </is>
      </c>
      <c r="H14" s="64">
        <f>IF(A14="","",IF(B14="","EKSİK","TAM"))</f>
        <v/>
      </c>
    </row>
    <row r="15">
      <c r="A15" s="16" t="inlineStr">
        <is>
          <t>tdu_tornadoDekar</t>
        </is>
      </c>
      <c r="B15" s="65" t="n">
        <v>1.2</v>
      </c>
      <c r="C15" s="16" t="inlineStr">
        <is>
          <t>çarpan</t>
        </is>
      </c>
      <c r="D15" s="16" t="inlineStr">
        <is>
          <t>Tornado dekar şoku</t>
        </is>
      </c>
      <c r="E15" s="16" t="inlineStr">
        <is>
          <t>Model varsayımı</t>
        </is>
      </c>
      <c r="F15" s="16" t="inlineStr">
        <is>
          <t>01.01.2025</t>
        </is>
      </c>
      <c r="G15" s="16" t="inlineStr">
        <is>
          <t>11.08.2026</t>
        </is>
      </c>
      <c r="H15" s="64">
        <f>IF(A15="","",IF(B15="","EKSİK","TAM"))</f>
        <v/>
      </c>
    </row>
    <row r="16">
      <c r="A16" s="16" t="inlineStr">
        <is>
          <t>tdu_tornadoYas</t>
        </is>
      </c>
      <c r="B16" s="65" t="n">
        <v>1</v>
      </c>
      <c r="C16" s="16" t="inlineStr">
        <is>
          <t>çarpan</t>
        </is>
      </c>
      <c r="D16" s="16" t="inlineStr">
        <is>
          <t>Tornado yaş şoku</t>
        </is>
      </c>
      <c r="E16" s="16" t="inlineStr">
        <is>
          <t>Model varsayımı</t>
        </is>
      </c>
      <c r="F16" s="16" t="inlineStr">
        <is>
          <t>01.01.2025</t>
        </is>
      </c>
      <c r="G16" s="16" t="inlineStr">
        <is>
          <t>11.08.2026</t>
        </is>
      </c>
      <c r="H16" s="64">
        <f>IF(A16="","",IF(B16="","EKSİK","TAM"))</f>
        <v/>
      </c>
    </row>
    <row r="17">
      <c r="A17" s="16" t="inlineStr">
        <is>
          <t>tdu_yuzdelikOran</t>
        </is>
      </c>
      <c r="B17" s="32" t="n">
        <v>0.9</v>
      </c>
      <c r="C17" s="16" t="inlineStr">
        <is>
          <t>oran</t>
        </is>
      </c>
      <c r="D17" s="16" t="inlineStr">
        <is>
          <t>Yüzdelik P90</t>
        </is>
      </c>
      <c r="E17" s="16" t="inlineStr">
        <is>
          <t>İstatistik</t>
        </is>
      </c>
      <c r="F17" s="16" t="inlineStr">
        <is>
          <t>01.01.2025</t>
        </is>
      </c>
      <c r="G17" s="16" t="inlineStr">
        <is>
          <t>11.08.2026</t>
        </is>
      </c>
      <c r="H17" s="64">
        <f>IF(A17="","",IF(B17="","EKSİK","TAM"))</f>
        <v/>
      </c>
    </row>
    <row r="18">
      <c r="A18" s="16" t="inlineStr">
        <is>
          <t>tdu_parmakIzi</t>
        </is>
      </c>
      <c r="B18" s="66" t="inlineStr">
        <is>
          <t>819dabb17a8a135d</t>
        </is>
      </c>
      <c r="C18" s="16" t="inlineStr">
        <is>
          <t>metin</t>
        </is>
      </c>
      <c r="D18" s="16" t="inlineStr">
        <is>
          <t>Dosya parmak izi</t>
        </is>
      </c>
      <c r="E18" s="16" t="inlineStr">
        <is>
          <t>Üretim</t>
        </is>
      </c>
      <c r="F18" s="16" t="inlineStr">
        <is>
          <t>01.01.2025</t>
        </is>
      </c>
      <c r="G18" s="16" t="inlineStr">
        <is>
          <t>11.08.2026</t>
        </is>
      </c>
      <c r="H18" s="64">
        <f>IF(A18="","",IF(B18="","EKSİK","TAM"))</f>
        <v/>
      </c>
    </row>
    <row r="19">
      <c r="A19" s="16" t="inlineStr">
        <is>
          <t>tdu_girisBeklenen</t>
        </is>
      </c>
      <c r="B19" s="30" t="n">
        <v>13</v>
      </c>
      <c r="C19" s="16" t="inlineStr">
        <is>
          <t>adet</t>
        </is>
      </c>
      <c r="D19" s="16" t="inlineStr">
        <is>
          <t>Zorunlu giriş alanı sayısı</t>
        </is>
      </c>
      <c r="E19" s="16" t="inlineStr">
        <is>
          <t>Ürün mimarisi</t>
        </is>
      </c>
      <c r="F19" s="16" t="inlineStr">
        <is>
          <t>01.01.2025</t>
        </is>
      </c>
      <c r="G19" s="16" t="inlineStr">
        <is>
          <t>11.08.2026</t>
        </is>
      </c>
      <c r="H19" s="64">
        <f>IF(A19="","",IF(B19="","EKSİK","TAM"))</f>
        <v/>
      </c>
    </row>
    <row r="20">
      <c r="A20" s="16" t="inlineStr">
        <is>
          <t>tdu_riskDusuk</t>
        </is>
      </c>
      <c r="B20" s="30" t="n">
        <v>20</v>
      </c>
      <c r="C20" s="16" t="inlineStr">
        <is>
          <t>puan</t>
        </is>
      </c>
      <c r="D20" s="16" t="inlineStr">
        <is>
          <t>Düşük risk puanı</t>
        </is>
      </c>
      <c r="E20" s="16" t="inlineStr">
        <is>
          <t>İç politika</t>
        </is>
      </c>
      <c r="F20" s="16" t="inlineStr">
        <is>
          <t>01.01.2025</t>
        </is>
      </c>
      <c r="G20" s="16" t="inlineStr">
        <is>
          <t>11.08.2026</t>
        </is>
      </c>
      <c r="H20" s="64">
        <f>IF(A20="","",IF(B20="","EKSİK","TAM"))</f>
        <v/>
      </c>
    </row>
    <row r="21">
      <c r="A21" s="16" t="inlineStr">
        <is>
          <t>tdu_riskOrta</t>
        </is>
      </c>
      <c r="B21" s="30" t="n">
        <v>55</v>
      </c>
      <c r="C21" s="16" t="inlineStr">
        <is>
          <t>puan</t>
        </is>
      </c>
      <c r="D21" s="16" t="inlineStr">
        <is>
          <t>Orta risk puanı</t>
        </is>
      </c>
      <c r="E21" s="16" t="inlineStr">
        <is>
          <t>İç politika</t>
        </is>
      </c>
      <c r="F21" s="16" t="inlineStr">
        <is>
          <t>01.01.2025</t>
        </is>
      </c>
      <c r="G21" s="16" t="inlineStr">
        <is>
          <t>11.08.2026</t>
        </is>
      </c>
      <c r="H21" s="64">
        <f>IF(A21="","",IF(B21="","EKSİK","TAM"))</f>
        <v/>
      </c>
    </row>
    <row r="22">
      <c r="A22" s="16" t="inlineStr">
        <is>
          <t>tdu_riskYuksek</t>
        </is>
      </c>
      <c r="B22" s="30" t="n">
        <v>85</v>
      </c>
      <c r="C22" s="16" t="inlineStr">
        <is>
          <t>puan</t>
        </is>
      </c>
      <c r="D22" s="16" t="inlineStr">
        <is>
          <t>Yüksek risk puanı</t>
        </is>
      </c>
      <c r="E22" s="16" t="inlineStr">
        <is>
          <t>İç politika</t>
        </is>
      </c>
      <c r="F22" s="16" t="inlineStr">
        <is>
          <t>01.01.2025</t>
        </is>
      </c>
      <c r="G22" s="16" t="inlineStr">
        <is>
          <t>11.08.2026</t>
        </is>
      </c>
      <c r="H22" s="64">
        <f>IF(A22="","",IF(B22="","EKSİK","TAM"))</f>
        <v/>
      </c>
    </row>
    <row r="23">
      <c r="A23" s="16" t="inlineStr">
        <is>
          <t>tdu_kararEsik</t>
        </is>
      </c>
      <c r="B23" s="30" t="n">
        <v>5</v>
      </c>
      <c r="C23" s="16" t="inlineStr">
        <is>
          <t>puan</t>
        </is>
      </c>
      <c r="D23" s="16" t="inlineStr">
        <is>
          <t>Yedek karar eşiği</t>
        </is>
      </c>
      <c r="E23" s="16" t="inlineStr">
        <is>
          <t>İç politika</t>
        </is>
      </c>
      <c r="F23" s="16" t="inlineStr">
        <is>
          <t>01.01.2025</t>
        </is>
      </c>
      <c r="G23" s="16" t="inlineStr">
        <is>
          <t>11.08.2026</t>
        </is>
      </c>
      <c r="H23" s="64">
        <f>IF(A23="","",IF(B23="","EKSİK","TAM"))</f>
        <v/>
      </c>
    </row>
    <row r="24">
      <c r="A24" s="16" t="inlineStr">
        <is>
          <t>tdu_yilTaban</t>
        </is>
      </c>
      <c r="B24" s="30" t="n">
        <v>2024</v>
      </c>
      <c r="C24" s="16" t="inlineStr">
        <is>
          <t>yıl</t>
        </is>
      </c>
      <c r="D24" s="16" t="inlineStr">
        <is>
          <t>CHOOSE yıl tabanı</t>
        </is>
      </c>
      <c r="E24" s="16" t="inlineStr">
        <is>
          <t>Ürün mimarisi</t>
        </is>
      </c>
      <c r="F24" s="16" t="inlineStr">
        <is>
          <t>01.01.2025</t>
        </is>
      </c>
      <c r="G24" s="16" t="inlineStr">
        <is>
          <t>11.08.2026</t>
        </is>
      </c>
      <c r="H24" s="64">
        <f>IF(A24="","",IF(B24="","EKSİK","TAM"))</f>
        <v/>
      </c>
    </row>
    <row r="25">
      <c r="A25" s="16" t="inlineStr">
        <is>
          <t>tdu_bir</t>
        </is>
      </c>
      <c r="B25" s="30" t="n">
        <v>1</v>
      </c>
      <c r="C25" s="16" t="inlineStr">
        <is>
          <t>bayrak</t>
        </is>
      </c>
      <c r="D25" s="16" t="inlineStr">
        <is>
          <t>Mantıksal bir</t>
        </is>
      </c>
      <c r="E25" s="16" t="inlineStr">
        <is>
          <t>Ürün mimarisi</t>
        </is>
      </c>
      <c r="F25" s="16" t="inlineStr">
        <is>
          <t>01.01.2025</t>
        </is>
      </c>
      <c r="G25" s="16" t="inlineStr">
        <is>
          <t>11.08.2026</t>
        </is>
      </c>
      <c r="H25" s="64">
        <f>IF(A25="","",IF(B25="","EKSİK","TAM"))</f>
        <v/>
      </c>
    </row>
    <row r="26">
      <c r="A26" s="16" t="inlineStr">
        <is>
          <t>tdu_puanCks</t>
        </is>
      </c>
      <c r="B26" s="30" t="n">
        <v>20</v>
      </c>
      <c r="C26" s="16" t="inlineStr">
        <is>
          <t>puan</t>
        </is>
      </c>
      <c r="D26" s="16" t="inlineStr">
        <is>
          <t>ÇKS şart puanı</t>
        </is>
      </c>
      <c r="E26" s="16" t="inlineStr">
        <is>
          <t>İç politika</t>
        </is>
      </c>
      <c r="F26" s="16" t="inlineStr">
        <is>
          <t>01.01.2025</t>
        </is>
      </c>
      <c r="G26" s="16" t="inlineStr">
        <is>
          <t>11.08.2026</t>
        </is>
      </c>
      <c r="H26" s="64">
        <f>IF(A26="","",IF(B26="","EKSİK","TAM"))</f>
        <v/>
      </c>
    </row>
    <row r="27">
      <c r="A27" s="16" t="inlineStr">
        <is>
          <t>tdu_puanBorc</t>
        </is>
      </c>
      <c r="B27" s="30" t="n">
        <v>20</v>
      </c>
      <c r="C27" s="16" t="inlineStr">
        <is>
          <t>puan</t>
        </is>
      </c>
      <c r="D27" s="16" t="inlineStr">
        <is>
          <t>Borçsuzluk puanı</t>
        </is>
      </c>
      <c r="E27" s="16" t="inlineStr">
        <is>
          <t>İç politika</t>
        </is>
      </c>
      <c r="F27" s="16" t="inlineStr">
        <is>
          <t>01.01.2025</t>
        </is>
      </c>
      <c r="G27" s="16" t="inlineStr">
        <is>
          <t>11.08.2026</t>
        </is>
      </c>
      <c r="H27" s="64">
        <f>IF(A27="","",IF(B27="","EKSİK","TAM"))</f>
        <v/>
      </c>
    </row>
    <row r="28">
      <c r="A28" s="16" t="inlineStr">
        <is>
          <t>tdu_puanProgram</t>
        </is>
      </c>
      <c r="B28" s="30" t="n">
        <v>30</v>
      </c>
      <c r="C28" s="16" t="inlineStr">
        <is>
          <t>puan</t>
        </is>
      </c>
      <c r="D28" s="16" t="inlineStr">
        <is>
          <t>Program şart puanı</t>
        </is>
      </c>
      <c r="E28" s="16" t="inlineStr">
        <is>
          <t>İç politika</t>
        </is>
      </c>
      <c r="F28" s="16" t="inlineStr">
        <is>
          <t>01.01.2025</t>
        </is>
      </c>
      <c r="G28" s="16" t="inlineStr">
        <is>
          <t>11.08.2026</t>
        </is>
      </c>
      <c r="H28" s="64">
        <f>IF(A28="","",IF(B28="","EKSİK","TAM"))</f>
        <v/>
      </c>
    </row>
    <row r="29">
      <c r="A29" s="16" t="inlineStr">
        <is>
          <t>tdu_puanAlanMax</t>
        </is>
      </c>
      <c r="B29" s="30" t="n">
        <v>25</v>
      </c>
      <c r="C29" s="16" t="inlineStr">
        <is>
          <t>puan</t>
        </is>
      </c>
      <c r="D29" s="16" t="inlineStr">
        <is>
          <t>Alan puan tavanı</t>
        </is>
      </c>
      <c r="E29" s="16" t="inlineStr">
        <is>
          <t>İç politika</t>
        </is>
      </c>
      <c r="F29" s="16" t="inlineStr">
        <is>
          <t>01.01.2025</t>
        </is>
      </c>
      <c r="G29" s="16" t="inlineStr">
        <is>
          <t>11.08.2026</t>
        </is>
      </c>
      <c r="H29" s="64">
        <f>IF(A29="","",IF(B29="","EKSİK","TAM"))</f>
        <v/>
      </c>
    </row>
    <row r="30">
      <c r="A30" s="16" t="inlineStr">
        <is>
          <t>tdu_puanAlanCarpan</t>
        </is>
      </c>
      <c r="B30" s="65" t="n">
        <v>10</v>
      </c>
      <c r="C30" s="16" t="inlineStr">
        <is>
          <t>çarpan</t>
        </is>
      </c>
      <c r="D30" s="16" t="inlineStr">
        <is>
          <t>Alan puan çarpanı</t>
        </is>
      </c>
      <c r="E30" s="16" t="inlineStr">
        <is>
          <t>İç politika</t>
        </is>
      </c>
      <c r="F30" s="16" t="inlineStr">
        <is>
          <t>01.01.2025</t>
        </is>
      </c>
      <c r="G30" s="16" t="inlineStr">
        <is>
          <t>11.08.2026</t>
        </is>
      </c>
      <c r="H30" s="64">
        <f>IF(A30="","",IF(B30="","EKSİK","TAM"))</f>
        <v/>
      </c>
    </row>
    <row r="31">
      <c r="A31" s="16" t="inlineStr">
        <is>
          <t>tdu_puanYorumA</t>
        </is>
      </c>
      <c r="B31" s="30" t="n">
        <v>5</v>
      </c>
      <c r="C31" s="16" t="inlineStr">
        <is>
          <t>puan</t>
        </is>
      </c>
      <c r="D31" s="16" t="inlineStr">
        <is>
          <t>Yorum A belge puanı</t>
        </is>
      </c>
      <c r="E31" s="16" t="inlineStr">
        <is>
          <t>Belirsizlik</t>
        </is>
      </c>
      <c r="F31" s="16" t="inlineStr">
        <is>
          <t>01.01.2025</t>
        </is>
      </c>
      <c r="G31" s="16" t="inlineStr">
        <is>
          <t>11.08.2026</t>
        </is>
      </c>
      <c r="H31" s="64">
        <f>IF(A31="","",IF(B31="","EKSİK","TAM"))</f>
        <v/>
      </c>
    </row>
    <row r="32">
      <c r="A32" s="16" t="inlineStr">
        <is>
          <t>tdu_puanYorumB</t>
        </is>
      </c>
      <c r="B32" s="30" t="n">
        <v>10</v>
      </c>
      <c r="C32" s="16" t="inlineStr">
        <is>
          <t>puan</t>
        </is>
      </c>
      <c r="D32" s="16" t="inlineStr">
        <is>
          <t>Yorum B belge puanı</t>
        </is>
      </c>
      <c r="E32" s="16" t="inlineStr">
        <is>
          <t>Belirsizlik</t>
        </is>
      </c>
      <c r="F32" s="16" t="inlineStr">
        <is>
          <t>01.01.2025</t>
        </is>
      </c>
      <c r="G32" s="16" t="inlineStr">
        <is>
          <t>11.08.2026</t>
        </is>
      </c>
      <c r="H32" s="64">
        <f>IF(A32="","",IF(B32="","EKSİK","TAM"))</f>
        <v/>
      </c>
    </row>
    <row r="33">
      <c r="A33" s="16" t="inlineStr">
        <is>
          <t>tdu_puanOrganikEk</t>
        </is>
      </c>
      <c r="B33" s="30" t="n">
        <v>5</v>
      </c>
      <c r="C33" s="16" t="inlineStr">
        <is>
          <t>puan</t>
        </is>
      </c>
      <c r="D33" s="16" t="inlineStr">
        <is>
          <t>Organik ek puan</t>
        </is>
      </c>
      <c r="E33" s="16" t="inlineStr">
        <is>
          <t>İç politika</t>
        </is>
      </c>
      <c r="F33" s="16" t="inlineStr">
        <is>
          <t>01.01.2025</t>
        </is>
      </c>
      <c r="G33" s="16" t="inlineStr">
        <is>
          <t>11.08.2026</t>
        </is>
      </c>
      <c r="H33" s="64">
        <f>IF(A33="","",IF(B33="","EKSİK","TAM"))</f>
        <v/>
      </c>
    </row>
    <row r="34">
      <c r="A34" s="16" t="inlineStr">
        <is>
          <t>tdu_puanHayvanEk</t>
        </is>
      </c>
      <c r="B34" s="30" t="n">
        <v>5</v>
      </c>
      <c r="C34" s="16" t="inlineStr">
        <is>
          <t>puan</t>
        </is>
      </c>
      <c r="D34" s="16" t="inlineStr">
        <is>
          <t>Hayvan ek puan</t>
        </is>
      </c>
      <c r="E34" s="16" t="inlineStr">
        <is>
          <t>İç politika</t>
        </is>
      </c>
      <c r="F34" s="16" t="inlineStr">
        <is>
          <t>01.01.2025</t>
        </is>
      </c>
      <c r="G34" s="16" t="inlineStr">
        <is>
          <t>11.08.2026</t>
        </is>
      </c>
      <c r="H34" s="64">
        <f>IF(A34="","",IF(B34="","EKSİK","TAM"))</f>
        <v/>
      </c>
    </row>
    <row r="35">
      <c r="A35" s="16" t="inlineStr">
        <is>
          <t>tdu_dekarMinGecerli</t>
        </is>
      </c>
      <c r="B35" s="67" t="n">
        <v>0</v>
      </c>
      <c r="C35" s="16" t="inlineStr">
        <is>
          <t>dekar</t>
        </is>
      </c>
      <c r="D35" s="16" t="inlineStr">
        <is>
          <t>Geçerli min dekar</t>
        </is>
      </c>
      <c r="E35" s="16" t="inlineStr">
        <is>
          <t>Doğrulama</t>
        </is>
      </c>
      <c r="F35" s="16" t="inlineStr">
        <is>
          <t>01.01.2025</t>
        </is>
      </c>
      <c r="G35" s="16" t="inlineStr">
        <is>
          <t>11.08.2026</t>
        </is>
      </c>
      <c r="H35" s="64">
        <f>IF(A35="","",IF(B35="","EKSİK","TAM"))</f>
        <v/>
      </c>
    </row>
    <row r="36">
      <c r="A36" s="16" t="inlineStr">
        <is>
          <t>tdu_dekarAzami</t>
        </is>
      </c>
      <c r="B36" s="67" t="n">
        <v>100000</v>
      </c>
      <c r="C36" s="16" t="inlineStr">
        <is>
          <t>dekar</t>
        </is>
      </c>
      <c r="D36" s="16" t="inlineStr">
        <is>
          <t>Azami dekar tavanı</t>
        </is>
      </c>
      <c r="E36" s="16" t="inlineStr">
        <is>
          <t>Doğrulama</t>
        </is>
      </c>
      <c r="F36" s="16" t="inlineStr">
        <is>
          <t>01.01.2025</t>
        </is>
      </c>
      <c r="G36" s="16" t="inlineStr">
        <is>
          <t>11.08.2026</t>
        </is>
      </c>
      <c r="H36" s="64">
        <f>IF(A36="","",IF(B36="","EKSİK","TAM"))</f>
        <v/>
      </c>
    </row>
    <row r="37">
      <c r="A37" s="16" t="inlineStr">
        <is>
          <t>tdu_yasMinGecerli</t>
        </is>
      </c>
      <c r="B37" s="30" t="n">
        <v>0</v>
      </c>
      <c r="C37" s="16" t="inlineStr">
        <is>
          <t>yıl</t>
        </is>
      </c>
      <c r="D37" s="16" t="inlineStr">
        <is>
          <t>Geçerli min yaş</t>
        </is>
      </c>
      <c r="E37" s="16" t="inlineStr">
        <is>
          <t>Doğrulama</t>
        </is>
      </c>
      <c r="F37" s="16" t="inlineStr">
        <is>
          <t>01.01.2025</t>
        </is>
      </c>
      <c r="G37" s="16" t="inlineStr">
        <is>
          <t>11.08.2026</t>
        </is>
      </c>
      <c r="H37" s="64">
        <f>IF(A37="","",IF(B37="","EKSİK","TAM"))</f>
        <v/>
      </c>
    </row>
    <row r="38">
      <c r="A38" s="16" t="inlineStr">
        <is>
          <t>tdu_yasAzami</t>
        </is>
      </c>
      <c r="B38" s="30" t="n">
        <v>120</v>
      </c>
      <c r="C38" s="16" t="inlineStr">
        <is>
          <t>yıl</t>
        </is>
      </c>
      <c r="D38" s="16" t="inlineStr">
        <is>
          <t>Azami yaş tavanı</t>
        </is>
      </c>
      <c r="E38" s="16" t="inlineStr">
        <is>
          <t>Doğrulama</t>
        </is>
      </c>
      <c r="F38" s="16" t="inlineStr">
        <is>
          <t>01.01.2025</t>
        </is>
      </c>
      <c r="G38" s="16" t="inlineStr">
        <is>
          <t>11.08.2026</t>
        </is>
      </c>
      <c r="H38" s="64">
        <f>IF(A38="","",IF(B38="","EKSİK","TAM"))</f>
        <v/>
      </c>
    </row>
    <row r="39">
      <c r="A39" s="16" t="inlineStr">
        <is>
          <t>tdu_hayvanAzami</t>
        </is>
      </c>
      <c r="B39" s="30" t="n">
        <v>1000000</v>
      </c>
      <c r="C39" s="16" t="inlineStr">
        <is>
          <t>adet</t>
        </is>
      </c>
      <c r="D39" s="16" t="inlineStr">
        <is>
          <t>Azami hayvan</t>
        </is>
      </c>
      <c r="E39" s="16" t="inlineStr">
        <is>
          <t>Doğrulama</t>
        </is>
      </c>
      <c r="F39" s="16" t="inlineStr">
        <is>
          <t>01.01.2025</t>
        </is>
      </c>
      <c r="G39" s="16" t="inlineStr">
        <is>
          <t>11.08.2026</t>
        </is>
      </c>
      <c r="H39" s="64">
        <f>IF(A39="","",IF(B39="","EKSİK","TAM"))</f>
        <v/>
      </c>
    </row>
    <row r="40">
      <c r="A40" s="16" t="inlineStr">
        <is>
          <t>tdu_yatirimAzami</t>
        </is>
      </c>
      <c r="B40" s="31" t="n">
        <v>1000000000</v>
      </c>
      <c r="C40" s="16" t="inlineStr">
        <is>
          <t>TL</t>
        </is>
      </c>
      <c r="D40" s="16" t="inlineStr">
        <is>
          <t>Azami yatırım</t>
        </is>
      </c>
      <c r="E40" s="16" t="inlineStr">
        <is>
          <t>Doğrulama</t>
        </is>
      </c>
      <c r="F40" s="16" t="inlineStr">
        <is>
          <t>01.01.2025</t>
        </is>
      </c>
      <c r="G40" s="16" t="inlineStr">
        <is>
          <t>11.08.2026</t>
        </is>
      </c>
      <c r="H40" s="64">
        <f>IF(A40="","",IF(B40="","EKSİK","TAM"))</f>
        <v/>
      </c>
    </row>
    <row r="41">
      <c r="A41" s="16" t="inlineStr">
        <is>
          <t>vaka_dekar_1</t>
        </is>
      </c>
      <c r="B41" s="67" t="n">
        <v>45</v>
      </c>
      <c r="C41" s="16" t="inlineStr">
        <is>
          <t>dekar</t>
        </is>
      </c>
      <c r="D41" s="16" t="inlineStr">
        <is>
          <t>Vaka1 dekar</t>
        </is>
      </c>
      <c r="E41" s="16" t="inlineStr">
        <is>
          <t>Tebliğ örneği</t>
        </is>
      </c>
      <c r="F41" s="16" t="inlineStr">
        <is>
          <t>01.01.2025</t>
        </is>
      </c>
      <c r="G41" s="16" t="inlineStr">
        <is>
          <t>11.08.2026</t>
        </is>
      </c>
      <c r="H41" s="64">
        <f>IF(A41="","",IF(B41="","EKSİK","TAM"))</f>
        <v/>
      </c>
    </row>
    <row r="42">
      <c r="A42" s="16" t="inlineStr">
        <is>
          <t>vaka_dekar_2</t>
        </is>
      </c>
      <c r="B42" s="67" t="n">
        <v>8</v>
      </c>
      <c r="C42" s="16" t="inlineStr">
        <is>
          <t>dekar</t>
        </is>
      </c>
      <c r="D42" s="16" t="inlineStr">
        <is>
          <t>Vaka2 dekar</t>
        </is>
      </c>
      <c r="E42" s="16" t="inlineStr">
        <is>
          <t>Tebliğ örneği</t>
        </is>
      </c>
      <c r="F42" s="16" t="inlineStr">
        <is>
          <t>01.01.2025</t>
        </is>
      </c>
      <c r="G42" s="16" t="inlineStr">
        <is>
          <t>11.08.2026</t>
        </is>
      </c>
      <c r="H42" s="64">
        <f>IF(A42="","",IF(B42="","EKSİK","TAM"))</f>
        <v/>
      </c>
    </row>
    <row r="43">
      <c r="A43" s="16" t="inlineStr">
        <is>
          <t>vaka_yas_1</t>
        </is>
      </c>
      <c r="B43" s="30" t="n">
        <v>38</v>
      </c>
      <c r="C43" s="16" t="inlineStr">
        <is>
          <t>yıl</t>
        </is>
      </c>
      <c r="D43" s="16" t="inlineStr">
        <is>
          <t>Vaka3 yaş</t>
        </is>
      </c>
      <c r="E43" s="16" t="inlineStr">
        <is>
          <t>Tebliğ örneği</t>
        </is>
      </c>
      <c r="F43" s="16" t="inlineStr">
        <is>
          <t>01.01.2025</t>
        </is>
      </c>
      <c r="G43" s="16" t="inlineStr">
        <is>
          <t>11.08.2026</t>
        </is>
      </c>
      <c r="H43" s="64">
        <f>IF(A43="","",IF(B43="","EKSİK","TAM"))</f>
        <v/>
      </c>
    </row>
    <row r="44">
      <c r="A44" s="16" t="inlineStr">
        <is>
          <t>vaka_yatirim_1</t>
        </is>
      </c>
      <c r="B44" s="31" t="n">
        <v>600000</v>
      </c>
      <c r="C44" s="16" t="inlineStr">
        <is>
          <t>TL</t>
        </is>
      </c>
      <c r="D44" s="16" t="inlineStr">
        <is>
          <t>Vaka4 yatırım</t>
        </is>
      </c>
      <c r="E44" s="16" t="inlineStr">
        <is>
          <t>Tebliğ örneği</t>
        </is>
      </c>
      <c r="F44" s="16" t="inlineStr">
        <is>
          <t>01.01.2025</t>
        </is>
      </c>
      <c r="G44" s="16" t="inlineStr">
        <is>
          <t>11.08.2026</t>
        </is>
      </c>
      <c r="H44" s="64">
        <f>IF(A44="","",IF(B44="","EKSİK","TAM"))</f>
        <v/>
      </c>
    </row>
    <row r="45">
      <c r="A45" s="16" t="inlineStr">
        <is>
          <t>tdu_birimMazot</t>
        </is>
      </c>
      <c r="B45" s="31" t="n">
        <v>1000</v>
      </c>
      <c r="C45" s="16" t="inlineStr">
        <is>
          <t>TL</t>
        </is>
      </c>
      <c r="D45" s="16" t="inlineStr">
        <is>
          <t>Mazot birim tutar</t>
        </is>
      </c>
      <c r="E45" s="16" t="inlineStr">
        <is>
          <t>Destek tebliği</t>
        </is>
      </c>
      <c r="F45" s="16" t="inlineStr">
        <is>
          <t>01.01.2025</t>
        </is>
      </c>
      <c r="G45" s="16" t="inlineStr">
        <is>
          <t>11.08.2026</t>
        </is>
      </c>
      <c r="H45" s="64">
        <f>IF(A45="","",IF(B45="","EKSİK","TAM"))</f>
        <v/>
      </c>
    </row>
    <row r="46">
      <c r="A46" s="16" t="inlineStr">
        <is>
          <t>tdu_birimAlan</t>
        </is>
      </c>
      <c r="B46" s="31" t="n">
        <v>800</v>
      </c>
      <c r="C46" s="16" t="inlineStr">
        <is>
          <t>TL</t>
        </is>
      </c>
      <c r="D46" s="16" t="inlineStr">
        <is>
          <t>Alan bazlı birim</t>
        </is>
      </c>
      <c r="E46" s="16" t="inlineStr">
        <is>
          <t>Destek tebliği</t>
        </is>
      </c>
      <c r="F46" s="16" t="inlineStr">
        <is>
          <t>01.01.2025</t>
        </is>
      </c>
      <c r="G46" s="16" t="inlineStr">
        <is>
          <t>11.08.2026</t>
        </is>
      </c>
      <c r="H46" s="64">
        <f>IF(A46="","",IF(B46="","EKSİK","TAM"))</f>
        <v/>
      </c>
    </row>
    <row r="47">
      <c r="A47" s="16" t="inlineStr">
        <is>
          <t>tdu_birimGenc</t>
        </is>
      </c>
      <c r="B47" s="31" t="n">
        <v>1200</v>
      </c>
      <c r="C47" s="16" t="inlineStr">
        <is>
          <t>TL</t>
        </is>
      </c>
      <c r="D47" s="16" t="inlineStr">
        <is>
          <t>Genç çiftçi birim</t>
        </is>
      </c>
      <c r="E47" s="16" t="inlineStr">
        <is>
          <t>Destek tebliği</t>
        </is>
      </c>
      <c r="F47" s="16" t="inlineStr">
        <is>
          <t>01.01.2025</t>
        </is>
      </c>
      <c r="G47" s="16" t="inlineStr">
        <is>
          <t>11.08.2026</t>
        </is>
      </c>
      <c r="H47" s="64">
        <f>IF(A47="","",IF(B47="","EKSİK","TAM"))</f>
        <v/>
      </c>
    </row>
    <row r="48">
      <c r="A48" s="16" t="inlineStr">
        <is>
          <t>tdu_birimOrganik</t>
        </is>
      </c>
      <c r="B48" s="31" t="n">
        <v>1500</v>
      </c>
      <c r="C48" s="16" t="inlineStr">
        <is>
          <t>TL</t>
        </is>
      </c>
      <c r="D48" s="16" t="inlineStr">
        <is>
          <t>Organik birim</t>
        </is>
      </c>
      <c r="E48" s="16" t="inlineStr">
        <is>
          <t>Destek tebliği</t>
        </is>
      </c>
      <c r="F48" s="16" t="inlineStr">
        <is>
          <t>01.01.2025</t>
        </is>
      </c>
      <c r="G48" s="16" t="inlineStr">
        <is>
          <t>11.08.2026</t>
        </is>
      </c>
      <c r="H48" s="64">
        <f>IF(A48="","",IF(B48="","EKSİK","TAM"))</f>
        <v/>
      </c>
    </row>
    <row r="49">
      <c r="A49" s="16" t="inlineStr">
        <is>
          <t>tdu_birimHayvan</t>
        </is>
      </c>
      <c r="B49" s="31" t="n">
        <v>2500</v>
      </c>
      <c r="C49" s="16" t="inlineStr">
        <is>
          <t>TL</t>
        </is>
      </c>
      <c r="D49" s="16" t="inlineStr">
        <is>
          <t>Hayvan birim</t>
        </is>
      </c>
      <c r="E49" s="16" t="inlineStr">
        <is>
          <t>Destek tebliği</t>
        </is>
      </c>
      <c r="F49" s="16" t="inlineStr">
        <is>
          <t>01.01.2025</t>
        </is>
      </c>
      <c r="G49" s="16" t="inlineStr">
        <is>
          <t>11.08.2026</t>
        </is>
      </c>
      <c r="H49" s="64">
        <f>IF(A49="","",IF(B49="","EKSİK","TAM"))</f>
        <v/>
      </c>
    </row>
    <row r="50">
      <c r="A50" s="16" t="inlineStr">
        <is>
          <t>tdu_birimIpard</t>
        </is>
      </c>
      <c r="B50" s="31" t="n">
        <v>0</v>
      </c>
      <c r="C50" s="16" t="inlineStr">
        <is>
          <t>TL</t>
        </is>
      </c>
      <c r="D50" s="16" t="inlineStr">
        <is>
          <t>IPARD gösterge birim</t>
        </is>
      </c>
      <c r="E50" s="16" t="inlineStr">
        <is>
          <t>IPARD rehberi</t>
        </is>
      </c>
      <c r="F50" s="16" t="inlineStr">
        <is>
          <t>01.01.2025</t>
        </is>
      </c>
      <c r="G50" s="16" t="inlineStr">
        <is>
          <t>11.08.2026</t>
        </is>
      </c>
      <c r="H50" s="64">
        <f>IF(A50="","",IF(B50="","EKSİK","TAM"))</f>
        <v/>
      </c>
    </row>
    <row r="51">
      <c r="A51" s="16" t="inlineStr">
        <is>
          <t>tdu_ornekTaban</t>
        </is>
      </c>
      <c r="B51" s="30" t="n">
        <v>40</v>
      </c>
      <c r="C51" s="16" t="inlineStr">
        <is>
          <t>puan</t>
        </is>
      </c>
      <c r="D51" s="16" t="inlineStr">
        <is>
          <t>Örnek puan tabanı</t>
        </is>
      </c>
      <c r="E51" s="16" t="inlineStr">
        <is>
          <t>Ürün mimarisi</t>
        </is>
      </c>
      <c r="F51" s="16" t="inlineStr">
        <is>
          <t>01.01.2025</t>
        </is>
      </c>
      <c r="G51" s="16" t="inlineStr">
        <is>
          <t>11.08.2026</t>
        </is>
      </c>
      <c r="H51" s="64">
        <f>IF(A51="","",IF(B51="","EKSİK","TAM"))</f>
        <v/>
      </c>
    </row>
    <row r="52">
      <c r="A52" s="16" t="inlineStr">
        <is>
          <t>tdu_ornekMinDekar</t>
        </is>
      </c>
      <c r="B52" s="67" t="n">
        <v>10</v>
      </c>
      <c r="C52" s="16" t="inlineStr">
        <is>
          <t>dekar</t>
        </is>
      </c>
      <c r="D52" s="16" t="inlineStr">
        <is>
          <t>Örnek min dekar</t>
        </is>
      </c>
      <c r="E52" s="16" t="inlineStr">
        <is>
          <t>Ürün mimarisi</t>
        </is>
      </c>
      <c r="F52" s="16" t="inlineStr">
        <is>
          <t>01.01.2025</t>
        </is>
      </c>
      <c r="G52" s="16" t="inlineStr">
        <is>
          <t>11.08.2026</t>
        </is>
      </c>
      <c r="H52" s="64">
        <f>IF(A52="","",IF(B52="","EKSİK","TAM"))</f>
        <v/>
      </c>
    </row>
    <row r="53">
      <c r="A53" s="16" t="inlineStr">
        <is>
          <t>tdu_ornekEsik</t>
        </is>
      </c>
      <c r="B53" s="30" t="n">
        <v>70</v>
      </c>
      <c r="C53" s="16" t="inlineStr">
        <is>
          <t>puan</t>
        </is>
      </c>
      <c r="D53" s="16" t="inlineStr">
        <is>
          <t>Örnek karar eşiği</t>
        </is>
      </c>
      <c r="E53" s="16" t="inlineStr">
        <is>
          <t>Ürün mimarisi</t>
        </is>
      </c>
      <c r="F53" s="16" t="inlineStr">
        <is>
          <t>01.01.2025</t>
        </is>
      </c>
      <c r="G53" s="16" t="inlineStr">
        <is>
          <t>11.08.2026</t>
        </is>
      </c>
      <c r="H53" s="64">
        <f>IF(A53="","",IF(B53="","EKSİK","TAM"))</f>
        <v/>
      </c>
    </row>
    <row r="54">
      <c r="A54" s="16" t="inlineStr">
        <is>
          <t>dosya_surumu</t>
        </is>
      </c>
      <c r="B54" s="66" t="inlineStr">
        <is>
          <t>1.0.0</t>
        </is>
      </c>
      <c r="C54" s="16" t="inlineStr">
        <is>
          <t>metin</t>
        </is>
      </c>
      <c r="D54" s="16" t="inlineStr">
        <is>
          <t>Ürün sürümü</t>
        </is>
      </c>
      <c r="E54" s="16" t="inlineStr">
        <is>
          <t>ExcelArşiv</t>
        </is>
      </c>
      <c r="F54" s="16" t="inlineStr">
        <is>
          <t>01.01.2025</t>
        </is>
      </c>
      <c r="G54" s="16" t="inlineStr">
        <is>
          <t>11.08.2026</t>
        </is>
      </c>
      <c r="H54" s="64">
        <f>IF(A54="","",IF(B54="","EKSİK","TAM"))</f>
        <v/>
      </c>
    </row>
    <row r="56">
      <c r="D56" s="9" t="inlineStr">
        <is>
          <t>Sürüm 1.0.0 | Şifre: 1234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60">
    <cfRule type="expression" priority="1" dxfId="0">
      <formula>H6="EKSİK"</formula>
    </cfRule>
    <cfRule type="expression" priority="2" dxfId="2">
      <formula>H6="TAM"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AD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Tarımsal Destek/Teşvik Uygunluk Testi</t>
        </is>
      </c>
    </row>
    <row r="3">
      <c r="A3" s="10" t="inlineStr">
        <is>
          <t>Kullanım kılavuzu</t>
        </is>
      </c>
    </row>
    <row r="5">
      <c r="A5" s="8" t="inlineStr">
        <is>
          <t>1. GIRDI sarı hücrelere işletme ve çağrı bilgilerini girin.</t>
        </is>
      </c>
    </row>
    <row r="6">
      <c r="A6" s="8" t="inlineStr">
        <is>
          <t>2. KURALLAR sayfasında yıllı eşikleri güncelleyin; MOTOR sabit eşik kullanmaz.</t>
        </is>
      </c>
    </row>
    <row r="7">
      <c r="A7" s="8" t="inlineStr">
        <is>
          <t>3. PANO kararını okuyun; ŞARTLI ise eksik belge listesini tamamlayın.</t>
        </is>
      </c>
    </row>
    <row r="8">
      <c r="A8" s="8" t="inlineStr">
        <is>
          <t>4. KANIT_RAPORU'nu PDF/yazıcıya gönderin.</t>
        </is>
      </c>
    </row>
    <row r="9">
      <c r="A9" s="8" t="inlineStr">
        <is>
          <t>5. Şifre 1234 — formül sayfaları korumalıdır; giriş hücreleri açıktır.</t>
        </is>
      </c>
    </row>
    <row r="11">
      <c r="A11" s="68" t="inlineStr">
        <is>
          <t>Belirsizlik beyanları</t>
        </is>
      </c>
    </row>
    <row r="12">
      <c r="A12" s="6" t="inlineStr">
        <is>
          <t>ÇKS güncelleme penceresi tartışmalıdır. Yorum A: başvuru tarihinde güncel ÇKS kaydı zorunlu (sıkı). Yorum B: çağrı ilan tarihindeki kayıt kabul (geniş). Belirsiz durumlarda her iki yorumu SENARYO ile karşılaştırın.</t>
        </is>
      </c>
    </row>
    <row r="13"/>
    <row r="14"/>
    <row r="16">
      <c r="A16" s="69" t="inlineStr">
        <is>
          <t>Sorumluluk reddi</t>
        </is>
      </c>
    </row>
    <row r="17">
      <c r="A17" s="4" t="inlineStr">
        <is>
          <t>Ürün karar destek aracıdır; Tarım ve Orman Bakanlığı veya IPARD resmî sonucu yerine geçmez. Parametreleri güncel tebliğle doğrulayın.</t>
        </is>
      </c>
    </row>
    <row r="18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7:L7"/>
    <mergeCell ref="A5:L5"/>
    <mergeCell ref="A8:L8"/>
    <mergeCell ref="A6:L6"/>
    <mergeCell ref="A12:L14"/>
    <mergeCell ref="A9:L9"/>
    <mergeCell ref="A17:L18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2026-08-11T18:13:57Z</dcterms:created>
  <dcterms:modified xmlns:dcterms="http://purl.org/dc/terms/" xmlns:xsi="http://www.w3.org/2001/XMLSchema-instance" xsi:type="dcterms:W3CDTF">2026-09-25T14:23:17Z</dcterms:modified>
</cp:coreProperties>
</file>