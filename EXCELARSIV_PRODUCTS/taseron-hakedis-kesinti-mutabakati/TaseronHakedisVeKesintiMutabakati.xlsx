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7.xml" ContentType="application/vnd.openxmlformats-officedocument.spreadsheetml.comments+xml"/>
  <Override PartName="/xl/worksheets/sheet18.xml" ContentType="application/vnd.openxmlformats-officedocument.spreadsheetml.worksheet+xml"/>
  <Override PartName="/xl/comments/comment8.xml" ContentType="application/vnd.openxmlformats-officedocument.spreadsheetml.comments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SOZLESME_KARTI" sheetId="6" state="visible" r:id="rId6"/>
    <sheet xmlns:r="http://schemas.openxmlformats.org/officeDocument/2006/relationships" name="HAKEDISLER" sheetId="7" state="visible" r:id="rId7"/>
    <sheet xmlns:r="http://schemas.openxmlformats.org/officeDocument/2006/relationships" name="ODEMELER" sheetId="8" state="visible" r:id="rId8"/>
    <sheet xmlns:r="http://schemas.openxmlformats.org/officeDocument/2006/relationships" name="MOTOR" sheetId="9" state="visible" r:id="rId9"/>
    <sheet xmlns:r="http://schemas.openxmlformats.org/officeDocument/2006/relationships" name="KONTROL" sheetId="10" state="visible" r:id="rId10"/>
    <sheet xmlns:r="http://schemas.openxmlformats.org/officeDocument/2006/relationships" name="KARAR" sheetId="11" state="visible" r:id="rId11"/>
    <sheet xmlns:r="http://schemas.openxmlformats.org/officeDocument/2006/relationships" name="SENARYO_DUYARLILIK" sheetId="12" state="visible" r:id="rId12"/>
    <sheet xmlns:r="http://schemas.openxmlformats.org/officeDocument/2006/relationships" name="RAPO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AKIS" sheetId="15" state="visible" r:id="rId15"/>
    <sheet xmlns:r="http://schemas.openxmlformats.org/officeDocument/2006/relationships" name="DEGISIKLIK_KAYDI" sheetId="16" state="visible" r:id="rId16"/>
    <sheet xmlns:r="http://schemas.openxmlformats.org/officeDocument/2006/relationships" name="LISTELER" sheetId="17" state="visible" r:id="rId17"/>
    <sheet xmlns:r="http://schemas.openxmlformats.org/officeDocument/2006/relationships" name="AYARLAR" sheetId="18" state="visible" r:id="rId18"/>
    <sheet xmlns:r="http://schemas.openxmlformats.org/officeDocument/2006/relationships" name="KILAVUZ" sheetId="19" state="visible" r:id="rId19"/>
  </sheets>
  <definedNames>
    <definedName name="Aksiyon1" hidden="0" function="0" vbProcedure="0">KARAR!$A$15</definedName>
    <definedName name="Aksiyon2" hidden="0" function="0" vbProcedure="0">KARAR!$A$16</definedName>
    <definedName name="Aksiyon3" hidden="0" function="0" vbProcedure="0">KARAR!$A$17</definedName>
    <definedName name="AnomaliAdet" hidden="0" function="0" vbProcedure="0">MOTOR!$B$21</definedName>
    <definedName name="AnomaliZEsik" hidden="0" function="0" vbProcedure="0">AYARLAR!$C$19</definedName>
    <definedName name="degerKazanim" hidden="0" function="0" vbProcedure="0">MOTOR!$B$41</definedName>
    <definedName name="degerKazanimOran" hidden="0" function="0" vbProcedure="0">MOTOR!$B$42</definedName>
    <definedName name="DurumKontrol" hidden="0" function="0" vbProcedure="0">KONTROL!$B$24</definedName>
    <definedName name="DuyarliDegisim" hidden="0" function="0" vbProcedure="0">AYARLAR!$C$25</definedName>
    <definedName name="FAIL_Sayisi" hidden="0" function="0" vbProcedure="0">KONTROL!$B$20</definedName>
    <definedName name="firmaUnvani" hidden="0" function="0" vbProcedure="0">AYARLAR!$C$6</definedName>
    <definedName name="GecOdemeEsik" hidden="0" function="0" vbProcedure="0">AYARLAR!$C$17</definedName>
    <definedName name="GecOdemeGunOrt" hidden="0" function="0" vbProcedure="0">MOTOR!$B$17</definedName>
    <definedName name="GecikmeFaizOrani" hidden="0" function="0" vbProcedure="0">AYARLAR!$C$14</definedName>
    <definedName name="GecikmeMaliyetiToplam" hidden="0" function="0" vbProcedure="0">MOTOR!$B$18</definedName>
    <definedName name="GelirVergisiStopajOrani" hidden="0" function="0" vbProcedure="0">AYARLAR!$C$10</definedName>
    <definedName name="HakKaybiToplam" hidden="0" function="0" vbProcedure="0">MOTOR!$B$19</definedName>
    <definedName name="IsBaslangic" hidden="0" function="0" vbProcedure="0">SOZLESME_KARTI!$B$9</definedName>
    <definedName name="IsBitis" hidden="0" function="0" vbProcedure="0">SOZLESME_KARTI!$B$10</definedName>
    <definedName name="IskontoOrani" hidden="0" function="0" vbProcedure="0">AYARLAR!$C$29</definedName>
    <definedName name="IsTuru" hidden="0" function="0" vbProcedure="0">SOZLESME_KARTI!$B$12</definedName>
    <definedName name="KararGerekce" hidden="0" function="0" vbProcedure="0">KARAR!$B$12</definedName>
    <definedName name="KararSonuc" hidden="0" function="0" vbProcedure="0">KARAR!$B$11</definedName>
    <definedName name="KdvOrani" hidden="0" function="0" vbProcedure="0">AYARLAR!$C$8</definedName>
    <definedName name="KdvTevkifatOrani" hidden="0" function="0" vbProcedure="0">AYARLAR!$C$9</definedName>
    <definedName name="KdvTevkifatVarMi" hidden="0" function="0" vbProcedure="0">SOZLESME_KARTI!$B$13</definedName>
    <definedName name="KesintiEsik" hidden="0" function="0" vbProcedure="0">AYARLAR!$C$18</definedName>
    <definedName name="KesintiOrani" hidden="0" function="0" vbProcedure="0">MOTOR!$B$16</definedName>
    <definedName name="ListeEvetHayir" hidden="0" function="0" vbProcedure="0">LISTELER!$A$6:$A$7</definedName>
    <definedName name="ListeIsTuru" hidden="0" function="0" vbProcedure="0">LISTELER!$C$6:$C$8</definedName>
    <definedName name="ListeMetin" hidden="0" function="0" vbProcedure="0">LISTELER!$A$6:$A$7</definedName>
    <definedName name="modulI1HakedisTahminOrta" hidden="0" function="0" vbProcedure="0">MOTOR!$B$37</definedName>
    <definedName name="modulI1HakedisTahminYorum" hidden="0" function="0" vbProcedure="0">MOTOR!$C$56</definedName>
    <definedName name="modulI2HakedisP90" hidden="0" function="0" vbProcedure="0">MOTOR!$B$38</definedName>
    <definedName name="modulI2HakedisP90Yorum" hidden="0" function="0" vbProcedure="0">MOTOR!$C$57</definedName>
    <definedName name="modulI3NakitNpv" hidden="0" function="0" vbProcedure="0">MOTOR!$B$39</definedName>
    <definedName name="modulI3NakitNpvYorum" hidden="0" function="0" vbProcedure="0">MOTOR!$C$58</definedName>
    <definedName name="modulI7NakitAcikKopru" hidden="0" function="0" vbProcedure="0">MOTOR!$B$40</definedName>
    <definedName name="modulI7NakitAcikYorum" hidden="0" function="0" vbProcedure="0">MOTOR!$C$59</definedName>
    <definedName name="modulO1AnomaliOran" hidden="0" function="0" vbProcedure="0">MOTOR!$B$31</definedName>
    <definedName name="modulO1AnomaliYorum" hidden="0" function="0" vbProcedure="0">MOTOR!$C$50</definedName>
    <definedName name="modulO2TornadoYorum" hidden="0" function="0" vbProcedure="0">MOTOR!$C$51</definedName>
    <definedName name="modulO2TornadoZirve" hidden="0" function="0" vbProcedure="0">MOTOR!$B$32</definedName>
    <definedName name="modulO3SenaryoBazFark" hidden="0" function="0" vbProcedure="0">MOTOR!$B$33</definedName>
    <definedName name="modulO3SenaryoYorum" hidden="0" function="0" vbProcedure="0">MOTOR!$C$52</definedName>
    <definedName name="modulO4GecOdemeGun" hidden="0" function="0" vbProcedure="0">MOTOR!$B$34</definedName>
    <definedName name="modulO4GecOdemeYorum" hidden="0" function="0" vbProcedure="0">MOTOR!$C$53</definedName>
    <definedName name="modulO6HakedisHhi" hidden="0" function="0" vbProcedure="0">MOTOR!$B$35</definedName>
    <definedName name="modulO6HakedisHhiYorum" hidden="0" function="0" vbProcedure="0">MOTOR!$C$54</definedName>
    <definedName name="modulO8KaliteSkoru" hidden="0" function="0" vbProcedure="0">MOTOR!$B$36</definedName>
    <definedName name="modulO8KaliteYorum" hidden="0" function="0" vbProcedure="0">MOTOR!$C$55</definedName>
    <definedName name="modulT1HakedisYasOrt" hidden="0" function="0" vbProcedure="0">MOTOR!$B$26</definedName>
    <definedName name="modulT1HakedisYasYorum" hidden="0" function="0" vbProcedure="0">MOTOR!$C$45</definedName>
    <definedName name="modulT2HakedisEgim" hidden="0" function="0" vbProcedure="0">MOTOR!$B$27</definedName>
    <definedName name="modulT2HakedisEgimYorum" hidden="0" function="0" vbProcedure="0">MOTOR!$C$46</definedName>
    <definedName name="modulT3HakedisParetoPay" hidden="0" function="0" vbProcedure="0">MOTOR!$B$28</definedName>
    <definedName name="modulT3HakedisParetoYorum" hidden="0" function="0" vbProcedure="0">MOTOR!$C$47</definedName>
    <definedName name="modulT5MutabakatFark" hidden="0" function="0" vbProcedure="0">MOTOR!$B$29</definedName>
    <definedName name="modulT5MutabakatYorum" hidden="0" function="0" vbProcedure="0">MOTOR!$C$48</definedName>
    <definedName name="modulT6KesintiKirilim" hidden="0" function="0" vbProcedure="0">MOTOR!$B$30</definedName>
    <definedName name="modulT6KesintiYorum" hidden="0" function="0" vbProcedure="0">MOTOR!$C$49</definedName>
    <definedName name="MutabakatFarki" hidden="0" function="0" vbProcedure="0">MOTOR!$B$14</definedName>
    <definedName name="MutabakatFarkiEsik" hidden="0" function="0" vbProcedure="0">AYARLAR!$C$16</definedName>
    <definedName name="MutabakatFarkiOran" hidden="0" function="0" vbProcedure="0">MOTOR!$B$15</definedName>
    <definedName name="MutabakatTolerans" hidden="0" function="0" vbProcedure="0">AYARLAR!$C$15</definedName>
    <definedName name="P90Kuantil" hidden="0" function="0" vbProcedure="0">AYARLAR!$C$27</definedName>
    <definedName name="ParetoEsikOran" hidden="0" function="0" vbProcedure="0">AYARLAR!$C$26</definedName>
    <definedName name="PASS_Sayisi" hidden="0" function="0" vbProcedure="0">KONTROL!$B$19</definedName>
    <definedName name="ProjeSuresi" hidden="0" function="0" vbProcedure="0">MOTOR!$B$22</definedName>
    <definedName name="raporTarihi" hidden="0" function="0" vbProcedure="0">AYARLAR!$C$7</definedName>
    <definedName name="SenaryoIyimserKat" hidden="0" function="0" vbProcedure="0">AYARLAR!$C$24</definedName>
    <definedName name="SenaryoKotumserKat" hidden="0" function="0" vbProcedure="0">AYARLAR!$C$23</definedName>
    <definedName name="SgkKesintiOrani" hidden="0" function="0" vbProcedure="0">AYARLAR!$C$11</definedName>
    <definedName name="SozlesmeAdi" hidden="0" function="0" vbProcedure="0">SOZLESME_KARTI!$B$6</definedName>
    <definedName name="SozlesmeBedeli" hidden="0" function="0" vbProcedure="0">SOZLESME_KARTI!$B$8</definedName>
    <definedName name="SozlesmeTarihi" hidden="0" function="0" vbProcedure="0">SOZLESME_KARTI!$B$7</definedName>
    <definedName name="TahminBantOrani" hidden="0" function="0" vbProcedure="0">AYARLAR!$C$28</definedName>
    <definedName name="TahsilatOran" hidden="0" function="0" vbProcedure="0">MOTOR!$B$20</definedName>
    <definedName name="TasseronFirma" hidden="0" function="0" vbProcedure="0">SOZLESME_KARTI!$B$5</definedName>
    <definedName name="TeminatOrani" hidden="0" function="0" vbProcedure="0">AYARLAR!$C$12</definedName>
    <definedName name="ToplamBrutHakedis" hidden="0" function="0" vbProcedure="0">MOTOR!$B$6</definedName>
    <definedName name="ToplamKdv" hidden="0" function="0" vbProcedure="0">MOTOR!$B$7</definedName>
    <definedName name="ToplamKdvTevkifat" hidden="0" function="0" vbProcedure="0">MOTOR!$B$8</definedName>
    <definedName name="ToplamNetHakedis" hidden="0" function="0" vbProcedure="0">MOTOR!$B$12</definedName>
    <definedName name="ToplamOdenen" hidden="0" function="0" vbProcedure="0">MOTOR!$B$13</definedName>
    <definedName name="ToplamSgk" hidden="0" function="0" vbProcedure="0">MOTOR!$B$10</definedName>
    <definedName name="ToplamStopaj" hidden="0" function="0" vbProcedure="0">MOTOR!$B$9</definedName>
    <definedName name="ToplamTeminat" hidden="0" function="0" vbProcedure="0">MOTOR!$B$11</definedName>
    <definedName name="VadeGun" hidden="0" function="0" vbProcedure="0">AYARLAR!$C$13</definedName>
    <definedName name="VeriKaliteIyiEsik" hidden="0" function="0" vbProcedure="0">AYARLAR!$C$20</definedName>
    <definedName name="VeriKaliteOrtaEsik" hidden="0" function="0" vbProcedure="0">AYARLAR!$C$21</definedName>
    <definedName name="VeriKaliteSeviyesi" hidden="0" function="0" vbProcedure="0">KONTROL!$B$22</definedName>
    <definedName name="VeriKaliteSkoru" hidden="0" function="0" vbProcedure="0">KONTROL!$B$21</definedName>
    <definedName name="VeriKaliteUyariCeza" hidden="0" function="0" vbProcedure="0">AYARLAR!$C$22</definedName>
    <definedName name="YukleniciFirma" hidden="0" function="0" vbProcedure="0">SOZLESME_KARTI!$B$4</definedName>
    <definedName name="_xlnm.Print_Area" localSheetId="12">'RAPOR'!$A$1:$V$40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0&quot; gün&quot;"/>
    <numFmt numFmtId="168" formatCode="#,##0 &quot;TL&quot;"/>
    <numFmt numFmtId="169" formatCode="0.0%"/>
    <numFmt numFmtId="170" formatCode="₺#,##0"/>
  </numFmts>
  <fonts count="8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7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color rgb="FF1F4E79"/>
      <sz val="9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color rgb="FFB3261E"/>
      <sz val="9"/>
    </font>
    <font>
      <name val="Segoe UI"/>
      <charset val="1"/>
      <family val="0"/>
      <color rgb="FF595959"/>
      <sz val="8"/>
    </font>
    <font>
      <name val="Segoe UI"/>
      <charset val="1"/>
      <family val="0"/>
      <color rgb="FF595959"/>
      <sz val="10"/>
    </font>
    <font>
      <name val="Segoe UI"/>
      <charset val="1"/>
      <family val="0"/>
      <color rgb="FF000000"/>
      <sz val="9"/>
    </font>
    <font>
      <name val="Segoe UI"/>
      <charset val="1"/>
      <family val="0"/>
      <b val="1"/>
      <color rgb="FF0F2742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4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EF2F7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333333"/>
      </patternFill>
    </fill>
    <fill>
      <patternFill patternType="solid">
        <fgColor rgb="FFEEF2F7"/>
        <bgColor rgb="FFF2F2F2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166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0" fillId="7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167" fontId="0" fillId="7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3" fontId="14" fillId="5" borderId="0" applyAlignment="1" applyProtection="1" pivotButton="0" quotePrefix="0" xfId="0">
      <alignment horizontal="left" vertical="center"/>
      <protection locked="0" hidden="0"/>
    </xf>
    <xf numFmtId="0" fontId="33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4" fillId="1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6" fillId="0" borderId="0" pivotButton="0" quotePrefix="0" xfId="0"/>
    <xf numFmtId="0" fontId="42" fillId="0" borderId="0" pivotButton="0" quotePrefix="0" xfId="0"/>
    <xf numFmtId="0" fontId="37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2" fillId="11" borderId="0" applyAlignment="1" pivotButton="0" quotePrefix="0" xfId="0">
      <alignment horizontal="center" vertical="center" wrapText="1"/>
    </xf>
    <xf numFmtId="0" fontId="38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3" fillId="0" borderId="0" pivotButton="0" quotePrefix="0" xfId="0"/>
    <xf numFmtId="0" fontId="44" fillId="10" borderId="0" applyAlignment="1" pivotButton="0" quotePrefix="0" xfId="0">
      <alignment horizontal="center" vertical="center"/>
    </xf>
    <xf numFmtId="0" fontId="45" fillId="0" borderId="0" pivotButton="0" quotePrefix="0" xfId="0"/>
    <xf numFmtId="168" fontId="45" fillId="0" borderId="0" pivotButton="0" quotePrefix="0" xfId="0"/>
    <xf numFmtId="168" fontId="46" fillId="0" borderId="0" pivotButton="0" quotePrefix="0" xfId="0"/>
    <xf numFmtId="169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10" borderId="0" applyAlignment="1" pivotButton="0" quotePrefix="0" xfId="0">
      <alignment horizontal="center" vertical="center"/>
    </xf>
    <xf numFmtId="0" fontId="44" fillId="10" borderId="0" applyAlignment="1" pivotButton="0" quotePrefix="0" xfId="0">
      <alignment horizontal="center"/>
    </xf>
    <xf numFmtId="0" fontId="46" fillId="0" borderId="0" pivotButton="0" quotePrefix="0" xfId="0"/>
    <xf numFmtId="0" fontId="50" fillId="12" borderId="1" pivotButton="0" quotePrefix="0" xfId="0"/>
    <xf numFmtId="0" fontId="51" fillId="0" borderId="0" pivotButton="0" quotePrefix="0" xfId="0"/>
    <xf numFmtId="0" fontId="52" fillId="0" borderId="0" pivotButton="0" quotePrefix="0" xfId="0"/>
    <xf numFmtId="0" fontId="45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166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0" fillId="7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167" fontId="0" fillId="7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3" fontId="14" fillId="5" borderId="0" applyAlignment="1" applyProtection="1" pivotButton="0" quotePrefix="0" xfId="0">
      <alignment horizontal="left" vertical="center"/>
      <protection locked="0" hidden="0"/>
    </xf>
    <xf numFmtId="0" fontId="33" fillId="0" borderId="0" applyAlignment="1" pivotButton="0" quotePrefix="0" xfId="0">
      <alignment horizontal="left" vertical="center"/>
    </xf>
    <xf numFmtId="0" fontId="53" fillId="0" borderId="0" pivotButton="0" quotePrefix="0" xfId="0"/>
    <xf numFmtId="0" fontId="54" fillId="0" borderId="1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2" pivotButton="0" quotePrefix="0" xfId="0"/>
    <xf numFmtId="0" fontId="0" fillId="0" borderId="1" pivotButton="0" quotePrefix="0" xfId="0"/>
    <xf numFmtId="0" fontId="55" fillId="14" borderId="1" applyAlignment="1" pivotButton="0" quotePrefix="0" xfId="0">
      <alignment horizontal="center"/>
    </xf>
    <xf numFmtId="0" fontId="41" fillId="0" borderId="3" pivotButton="0" quotePrefix="0" xfId="0"/>
    <xf numFmtId="0" fontId="57" fillId="15" borderId="1" applyAlignment="1" pivotButton="0" quotePrefix="0" xfId="0">
      <alignment horizontal="center"/>
    </xf>
    <xf numFmtId="0" fontId="56" fillId="16" borderId="1" applyAlignment="1" pivotButton="0" quotePrefix="0" xfId="0">
      <alignment horizontal="center"/>
    </xf>
    <xf numFmtId="0" fontId="4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7" fillId="0" borderId="2" pivotButton="0" quotePrefix="0" xfId="0"/>
    <xf numFmtId="0" fontId="58" fillId="0" borderId="3" pivotButton="0" quotePrefix="0" xfId="0"/>
    <xf numFmtId="0" fontId="59" fillId="0" borderId="4" pivotButton="0" quotePrefix="0" xfId="0"/>
    <xf numFmtId="0" fontId="56" fillId="0" borderId="2" pivotButton="0" quotePrefix="0" xfId="0"/>
    <xf numFmtId="0" fontId="51" fillId="0" borderId="3" pivotButton="0" quotePrefix="0" xfId="0"/>
    <xf numFmtId="0" fontId="56" fillId="0" borderId="4" pivotButton="0" quotePrefix="0" xfId="0"/>
    <xf numFmtId="0" fontId="60" fillId="17" borderId="0" applyAlignment="1" pivotButton="0" quotePrefix="0" xfId="0">
      <alignment horizontal="center"/>
    </xf>
    <xf numFmtId="0" fontId="61" fillId="0" borderId="0" pivotButton="0" quotePrefix="0" xfId="0"/>
    <xf numFmtId="0" fontId="60" fillId="18" borderId="0" applyAlignment="1" pivotButton="0" quotePrefix="0" xfId="0">
      <alignment horizontal="center" vertical="center"/>
    </xf>
    <xf numFmtId="0" fontId="61" fillId="0" borderId="1" pivotButton="0" quotePrefix="0" xfId="0"/>
    <xf numFmtId="0" fontId="62" fillId="0" borderId="1" pivotButton="0" quotePrefix="0" xfId="0"/>
    <xf numFmtId="0" fontId="63" fillId="0" borderId="1" pivotButton="0" quotePrefix="0" xfId="0"/>
    <xf numFmtId="0" fontId="64" fillId="19" borderId="1" applyAlignment="1" pivotButton="0" quotePrefix="0" xfId="0">
      <alignment horizontal="center"/>
    </xf>
    <xf numFmtId="0" fontId="60" fillId="10" borderId="0" pivotButton="0" quotePrefix="0" xfId="0"/>
    <xf numFmtId="0" fontId="65" fillId="10" borderId="0" pivotButton="0" quotePrefix="0" xfId="0"/>
    <xf numFmtId="0" fontId="66" fillId="10" borderId="0" pivotButton="0" quotePrefix="0" xfId="0"/>
    <xf numFmtId="0" fontId="0" fillId="10" borderId="0" pivotButton="0" quotePrefix="0" xfId="0"/>
    <xf numFmtId="0" fontId="38" fillId="10" borderId="0" applyAlignment="1" pivotButton="0" quotePrefix="0" xfId="0">
      <alignment horizontal="center"/>
    </xf>
    <xf numFmtId="0" fontId="54" fillId="0" borderId="0" pivotButton="0" quotePrefix="0" xfId="0"/>
    <xf numFmtId="0" fontId="69" fillId="20" borderId="0" pivotButton="0" quotePrefix="0" xfId="0"/>
    <xf numFmtId="0" fontId="0" fillId="20" borderId="0" pivotButton="0" quotePrefix="0" xfId="0"/>
    <xf numFmtId="0" fontId="56" fillId="0" borderId="0" pivotButton="0" quotePrefix="0" xfId="0"/>
    <xf numFmtId="0" fontId="44" fillId="20" borderId="0" pivotButton="0" quotePrefix="0" xfId="0"/>
    <xf numFmtId="0" fontId="70" fillId="20" borderId="0" applyAlignment="1" pivotButton="0" quotePrefix="0" xfId="0">
      <alignment wrapText="1"/>
    </xf>
    <xf numFmtId="0" fontId="67" fillId="0" borderId="0" pivotButton="0" quotePrefix="0" xfId="0"/>
    <xf numFmtId="0" fontId="68" fillId="0" borderId="0" pivotButton="0" quotePrefix="0" xfId="0"/>
    <xf numFmtId="0" fontId="56" fillId="16" borderId="5" applyAlignment="1" pivotButton="0" quotePrefix="0" xfId="0">
      <alignment horizontal="center" vertical="center"/>
    </xf>
    <xf numFmtId="0" fontId="71" fillId="21" borderId="0" applyAlignment="1" pivotButton="0" quotePrefix="0" xfId="0">
      <alignment horizontal="center" vertical="center"/>
    </xf>
    <xf numFmtId="0" fontId="35" fillId="22" borderId="1" applyAlignment="1" pivotButton="0" quotePrefix="0" xfId="0">
      <alignment vertical="center"/>
    </xf>
    <xf numFmtId="0" fontId="55" fillId="14" borderId="0" applyAlignment="1" pivotButton="0" quotePrefix="0" xfId="0">
      <alignment horizontal="center" vertical="center"/>
    </xf>
    <xf numFmtId="0" fontId="56" fillId="16" borderId="0" applyAlignment="1" pivotButton="0" quotePrefix="0" xfId="0">
      <alignment horizontal="center" vertical="center"/>
    </xf>
    <xf numFmtId="0" fontId="72" fillId="10" borderId="0" applyAlignment="1" pivotButton="0" quotePrefix="0" xfId="0">
      <alignment horizontal="center" vertical="center"/>
    </xf>
    <xf numFmtId="0" fontId="73" fillId="22" borderId="1" applyAlignment="1" pivotButton="0" quotePrefix="0" xfId="0">
      <alignment horizontal="center"/>
    </xf>
    <xf numFmtId="0" fontId="74" fillId="22" borderId="1" applyAlignment="1" pivotButton="0" quotePrefix="0" xfId="0">
      <alignment horizontal="center"/>
    </xf>
    <xf numFmtId="0" fontId="73" fillId="22" borderId="1" pivotButton="0" quotePrefix="0" xfId="0"/>
    <xf numFmtId="170" fontId="74" fillId="22" borderId="1" applyAlignment="1" pivotButton="0" quotePrefix="0" xfId="0">
      <alignment horizontal="right"/>
    </xf>
    <xf numFmtId="9" fontId="73" fillId="22" borderId="1" applyAlignment="1" pivotButton="0" quotePrefix="0" xfId="0">
      <alignment horizontal="center"/>
    </xf>
    <xf numFmtId="170" fontId="73" fillId="22" borderId="1" applyAlignment="1" pivotButton="0" quotePrefix="0" xfId="0">
      <alignment horizontal="right"/>
    </xf>
    <xf numFmtId="0" fontId="56" fillId="22" borderId="1" applyAlignment="1" pivotButton="0" quotePrefix="0" xfId="0">
      <alignment horizontal="center"/>
    </xf>
    <xf numFmtId="0" fontId="73" fillId="21" borderId="1" applyAlignment="1" pivotButton="0" quotePrefix="0" xfId="0">
      <alignment horizontal="center"/>
    </xf>
    <xf numFmtId="0" fontId="74" fillId="21" borderId="1" applyAlignment="1" pivotButton="0" quotePrefix="0" xfId="0">
      <alignment horizontal="center"/>
    </xf>
    <xf numFmtId="0" fontId="73" fillId="21" borderId="1" pivotButton="0" quotePrefix="0" xfId="0"/>
    <xf numFmtId="170" fontId="74" fillId="21" borderId="1" applyAlignment="1" pivotButton="0" quotePrefix="0" xfId="0">
      <alignment horizontal="right"/>
    </xf>
    <xf numFmtId="9" fontId="73" fillId="21" borderId="1" applyAlignment="1" pivotButton="0" quotePrefix="0" xfId="0">
      <alignment horizontal="center"/>
    </xf>
    <xf numFmtId="170" fontId="73" fillId="21" borderId="1" applyAlignment="1" pivotButton="0" quotePrefix="0" xfId="0">
      <alignment horizontal="right"/>
    </xf>
    <xf numFmtId="0" fontId="61" fillId="21" borderId="1" applyAlignment="1" pivotButton="0" quotePrefix="0" xfId="0">
      <alignment horizontal="center"/>
    </xf>
    <xf numFmtId="0" fontId="56" fillId="21" borderId="1" applyAlignment="1" pivotButton="0" quotePrefix="0" xfId="0">
      <alignment horizontal="center"/>
    </xf>
    <xf numFmtId="0" fontId="57" fillId="21" borderId="1" applyAlignment="1" pivotButton="0" quotePrefix="0" xfId="0">
      <alignment horizontal="center"/>
    </xf>
    <xf numFmtId="0" fontId="44" fillId="10" borderId="0" applyAlignment="1" pivotButton="0" quotePrefix="0" xfId="0">
      <alignment vertical="center" indent="1"/>
    </xf>
    <xf numFmtId="170" fontId="75" fillId="10" borderId="0" applyAlignment="1" pivotButton="0" quotePrefix="0" xfId="0">
      <alignment horizontal="right" vertical="center"/>
    </xf>
    <xf numFmtId="0" fontId="76" fillId="0" borderId="6" pivotButton="0" quotePrefix="0" xfId="0"/>
    <xf numFmtId="0" fontId="77" fillId="0" borderId="6" pivotButton="0" quotePrefix="0" xfId="0"/>
    <xf numFmtId="0" fontId="78" fillId="0" borderId="6" pivotButton="0" quotePrefix="0" xfId="0"/>
    <xf numFmtId="0" fontId="79" fillId="23" borderId="1" applyAlignment="1" pivotButton="0" quotePrefix="0" xfId="0">
      <alignment horizontal="center" vertical="center"/>
    </xf>
    <xf numFmtId="0" fontId="83" fillId="14" borderId="1" applyAlignment="1" pivotButton="0" quotePrefix="0" xfId="0">
      <alignment horizontal="center" vertical="center"/>
    </xf>
    <xf numFmtId="0" fontId="80" fillId="0" borderId="1" pivotButton="0" quotePrefix="0" xfId="0"/>
    <xf numFmtId="0" fontId="79" fillId="0" borderId="1" applyAlignment="1" pivotButton="0" quotePrefix="0" xfId="0">
      <alignment horizontal="right"/>
    </xf>
    <xf numFmtId="0" fontId="83" fillId="0" borderId="1" applyAlignment="1" pivotButton="0" quotePrefix="0" xfId="0">
      <alignment horizontal="right"/>
    </xf>
    <xf numFmtId="0" fontId="54" fillId="0" borderId="1" applyAlignment="1" pivotButton="0" quotePrefix="0" xfId="0">
      <alignment horizontal="right"/>
    </xf>
    <xf numFmtId="0" fontId="81" fillId="0" borderId="1" applyAlignment="1" pivotButton="0" quotePrefix="0" xfId="0">
      <alignment horizontal="right"/>
    </xf>
    <xf numFmtId="0" fontId="82" fillId="15" borderId="7" applyAlignment="1" pivotButton="0" quotePrefix="0" xfId="0">
      <alignment horizontal="center" vertical="center"/>
    </xf>
    <xf numFmtId="0" fontId="84" fillId="14" borderId="8" applyAlignment="1" pivotButton="0" quotePrefix="0" xfId="0">
      <alignment horizontal="center" vertical="center"/>
    </xf>
    <xf numFmtId="0" fontId="8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Mutabakat Farkları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SENARYO_DUYARLILIK!D7</f>
              <strCache>
                <ptCount val="1"/>
                <pt idx="0">
                  <v>₺ 1.181.600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SENARYO_DUYARLILIK!$D$8:$D$9</f>
              <numCache>
                <formatCode>"₺ "#,##0;[RED]"(₺ "#,##0\);\-</formatCode>
                <ptCount val="2"/>
                <pt idx="0">
                  <v>1359400</v>
                </pt>
                <pt idx="1">
                  <v>1232000</v>
                </pt>
              </numCache>
            </numRef>
          </val>
        </ser>
        <gapWidth val="150"/>
        <overlap val="0"/>
        <axId val="10606658"/>
        <axId val="4376554"/>
      </barChart>
      <catAx>
        <axId val="1060665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376554"/>
        <crosses val="autoZero"/>
        <auto val="1"/>
        <lblAlgn val="ctr"/>
        <lblOffset val="100"/>
        <noMultiLvlLbl val="0"/>
      </catAx>
      <valAx>
        <axId val="43765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060665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Fark Oranı Etkisi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SENARYO_DUYARLILIK!G13</f>
              <strCache>
                <ptCount val="1"/>
                <pt idx="0">
                  <v>-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SENARYO_DUYARLILIK!$A$13:$A$14</f>
              <strCache>
                <ptCount val="2"/>
                <pt idx="0">
                  <v>Hakediş Değişimi</v>
                </pt>
                <pt idx="1">
                  <v>Ödeme Değişimi</v>
                </pt>
              </strCache>
            </strRef>
          </cat>
          <val>
            <numRef>
              <f>SENARYO_DUYARLILIK!$G$14</f>
              <numCache>
                <formatCode>0.0%;[RED]\(0.0%\);\-</formatCode>
                <ptCount val="1"/>
                <pt idx="0">
                  <v>0</v>
                </pt>
              </numCache>
            </numRef>
          </val>
        </ser>
        <gapWidth val="150"/>
        <overlap val="0"/>
        <axId val="73979579"/>
        <axId val="24248971"/>
      </barChart>
      <catAx>
        <axId val="739795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4248971"/>
        <crosses val="autoZero"/>
        <auto val="1"/>
        <lblAlgn val="ctr"/>
        <lblOffset val="100"/>
        <noMultiLvlLbl val="0"/>
      </catAx>
      <valAx>
        <axId val="2424897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7397957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Fark Oranları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SENARYO_DUYARLILIK!E7</f>
              <strCache>
                <ptCount val="1"/>
                <pt idx="0">
                  <v>13,5%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SENARYO_DUYARLILIK!$E$8:$E$9</f>
              <numCache>
                <formatCode>0.0%;[RED]\(0.0%\);\-</formatCode>
                <ptCount val="2"/>
                <pt idx="0">
                  <v>0.105466507362639</v>
                </pt>
                <pt idx="1">
                  <v>0.06576980568011941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103403"/>
        <axId val="34668545"/>
      </lineChart>
      <catAx>
        <axId val="610340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4668545"/>
        <crosses val="autoZero"/>
        <auto val="1"/>
        <lblAlgn val="ctr"/>
        <lblOffset val="100"/>
        <noMultiLvlLbl val="0"/>
      </catAx>
      <valAx>
        <axId val="3466854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10340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Yüklenici Firma | Neden önemli: Mutabakat ve karar hesabını doğrudan etkiler | Doğru giriş: Ana yüklenici firma adı | Örnek: Örnek: Yapı A A.Ş. | Yanlışsa: Mutabakat bozulur</t>
      </text>
    </comment>
    <comment ref="B5" authorId="0" shapeId="0">
      <text>
        <t>Tanım: Taşeron/Alt Yüklenici | Neden önemli: Mutabakat ve karar hesabını doğrudan etkiler | Doğru giriş: Hakedişi mutabakat edilen taşeron | Örnek: Örnek: Alt Yapı Ltd. Şti. | Yanlışsa: Mutabakat bozulur</t>
      </text>
    </comment>
    <comment ref="B6" authorId="0" shapeId="0">
      <text>
        <t>Tanım: Sözleşme Adı | Neden önemli: Mutabakat ve karar hesabını doğrudan etkiler | Doğru giriş: Taşeronluk sözleşmesinin konusu | Örnek: Örnek: Betonarme Taşeronluğu | Yanlışsa: Mutabakat bozulur</t>
      </text>
    </comment>
    <comment ref="B7" authorId="0" shapeId="0">
      <text>
        <t>Tanım: Sözleşme Tarihi | Neden önemli: Mutabakat ve karar hesabını doğrudan etkiler | Doğru giriş: Sözleşmenin imzalandığı tarih | Örnek: Örnek: 01.03.2026 | Yanlışsa: Mutabakat bozulur</t>
      </text>
    </comment>
    <comment ref="B8" authorId="0" shapeId="0">
      <text>
        <t>Tanım: Sözleşme Bedeli (₺) | Neden önemli: Mutabakat ve karar hesabını doğrudan etkiler | Doğru giriş: KDV hariç taşeronluk sözleşme bedeli | Örnek: Örnek: 4800000 | Yanlışsa: Mutabakat bozulur</t>
      </text>
    </comment>
    <comment ref="B9" authorId="0" shapeId="0">
      <text>
        <t>Tanım: İş Başlangıç Tarihi | Neden önemli: Mutabakat ve karar hesabını doğrudan etkiler | Doğru giriş: Taşeron işinin başlangıcı | Örnek: Örnek: 01.03.2026 | Yanlışsa: Mutabakat bozulur</t>
      </text>
    </comment>
    <comment ref="B10" authorId="0" shapeId="0">
      <text>
        <t>Tanım: İş Bitiş Tarihi | Neden önemli: Mutabakat ve karar hesabını doğrudan etkiler | Doğru giriş: Taşeron işinin bitişi | Örnek: Örnek: 30.11.2026 | Yanlışsa: Mutabakat bozulur</t>
      </text>
    </comment>
    <comment ref="B12" authorId="0" shapeId="0">
      <text>
        <t>Tanım: İş Türü | Neden önemli: Mutabakat ve karar hesabını doğrudan etkiler | Doğru giriş: Yapım / Mal / Hizmet | Örnek: Örnek: Yapım | Yanlışsa: Mutabakat bozulur</t>
      </text>
    </comment>
    <comment ref="B13" authorId="0" shapeId="0">
      <text>
        <t>Tanım: KDV Tevkifatı Uygulanıyor mu? | Neden önemli: Mutabakat ve karar hesabını doğrudan etkiler | Doğru giriş: Yapım işlerinde sorumlu sıfatıyla KDV tevkifatı uygulanır mı? | Örnek: Evet / Hayır | Yanlışsa: Mutabakat bozulur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Toplam Brüt Hakediş | Neden önemli: Tüm dönemlerin KDV hariç brüt hakediş toplamı. | Doğru giriş: Otomatik hesaplanır, değiştirmeyin | Yanlışsa: Karar bozulur</t>
      </text>
    </comment>
    <comment ref="B7" authorId="0" shapeId="0">
      <text>
        <t>Tanım: Toplam KDV | Neden önemli: Brüt hakedişlerin KDV tutarı toplamı. | Doğru giriş: Otomatik hesaplanır, değiştirmeyin | Yanlışsa: Karar bozulur</t>
      </text>
    </comment>
    <comment ref="B8" authorId="0" shapeId="0">
      <text>
        <t>Tanım: Toplam KDV Tevkifatı | Neden önemli: Sorumlu sıfatıyla tevkif edilen KDV toplamı. | Doğru giriş: Otomatik hesaplanır, değiştirmeyin | Yanlışsa: Karar bozulur</t>
      </text>
    </comment>
    <comment ref="B9" authorId="0" shapeId="0">
      <text>
        <t>Tanım: Toplam Gelir Vergisi Stopajı | Neden önemli: Hakedişlerden kesilen gelir vergisi stopajı toplamı. | Doğru giriş: Otomatik hesaplanır, değiştirmeyin | Yanlışsa: Karar bozulur</t>
      </text>
    </comment>
    <comment ref="B10" authorId="0" shapeId="0">
      <text>
        <t>Tanım: Toplam SGK Kesintisi | Neden önemli: Alt işveren prim sorumluluğu kapsamında ayrılan kesinti toplamı. | Doğru giriş: Otomatik hesaplanır, değiştirmeyin | Yanlışsa: Karar bozulur</t>
      </text>
    </comment>
    <comment ref="B11" authorId="0" shapeId="0">
      <text>
        <t>Tanım: Toplam Teminat Kesintisi | Neden önemli: Sözleşme teminatı kesintisi toplamı. | Doğru giriş: Otomatik hesaplanır, değiştirmeyin | Yanlışsa: Karar bozulur</t>
      </text>
    </comment>
    <comment ref="B12" authorId="0" shapeId="0">
      <text>
        <t>Tanım: Toplam Net Hakediş | Neden önemli: Brüt + KDV - tüm kesintiler; taşeronun hak ettiği net tutar. | Doğru giriş: Otomatik hesaplanır, değiştirmeyin | Yanlışsa: Karar bozulur</t>
      </text>
    </comment>
    <comment ref="B13" authorId="0" shapeId="0">
      <text>
        <t>Tanım: Toplam Ödenen | Neden önemli: Taşerona fiilen ödenen tutar toplamı. | Doğru giriş: Otomatik hesaplanır, değiştirmeyin | Yanlışsa: Karar bozulur</t>
      </text>
    </comment>
    <comment ref="B14" authorId="0" shapeId="0">
      <text>
        <t>Tanım: Mutabakat Farkı | Neden önemli: Hak edilen net tutar ile ödenen arasındaki fark. | Doğru giriş: Otomatik hesaplanır, değiştirmeyin | Yanlışsa: Karar bozulur</t>
      </text>
    </comment>
    <comment ref="B15" authorId="0" shapeId="0">
      <text>
        <t>Tanım: Mutabakat Farkı Oranı | Neden önemli: Farkın hak edilen net tutara oranı. | Doğru giriş: Otomatik hesaplanır, değiştirmeyin | Yanlışsa: Karar bozulur</t>
      </text>
    </comment>
    <comment ref="B16" authorId="0" shapeId="0">
      <text>
        <t>Tanım: Ortalama Kesinti Oranı | Neden önemli: Kesintilerin brüt hakediş içindeki payı. | Doğru giriş: Otomatik hesaplanır, değiştirmeyin | Yanlışsa: Karar bozulur</t>
      </text>
    </comment>
    <comment ref="B17" authorId="0" shapeId="0">
      <text>
        <t>Tanım: Geç Ödeme Günü Ortalaması | Neden önemli: Ödemelerin vadeyi aşan ortalama gün sayısı. | Doğru giriş: Otomatik hesaplanır, değiştirmeyin | Yanlışsa: Karar bozulur</t>
      </text>
    </comment>
    <comment ref="B18" authorId="0" shapeId="0">
      <text>
        <t>Tanım: Gecikme Maliyeti Toplamı | Neden önemli: Geç ödemelerin gecikme faizi oranıyla tahmini maliyeti. | Doğru giriş: Otomatik hesaplanır, değiştirmeyin | Yanlışsa: Karar bozulur</t>
      </text>
    </comment>
    <comment ref="B19" authorId="0" shapeId="0">
      <text>
        <t>Tanım: Hak Kaybı Toplamı | Neden önemli: Mutabakat farkı ve gecikme maliyetinin toplamı. | Doğru giriş: Otomatik hesaplanır, değiştirmeyin | Yanlışsa: Karar bozulur</t>
      </text>
    </comment>
    <comment ref="B20" authorId="0" shapeId="0">
      <text>
        <t>Tanım: Tahsilat Oranı | Neden önemli: Hak edilen net tutarın ne kadarının ödendiği. | Doğru giriş: Otomatik hesaplanır, değiştirmeyin | Yanlışsa: Karar bozulur</t>
      </text>
    </comment>
    <comment ref="B21" authorId="0" shapeId="0">
      <text>
        <t>Tanım: Anomali Hakediş Adedi | Neden önemli: Ortalamadan |Z|&gt;eşik sapan hakediş sayısı. | Doğru giriş: Otomatik hesaplanır, değiştirmeyin | Yanlışsa: Karar bozulur</t>
      </text>
    </comment>
    <comment ref="B22" authorId="0" shapeId="0">
      <text>
        <t>Tanım: Proje Süresi (Ay) | Neden önemli: Taşeron işinin başlangıç-bitiş arası ay sayısı. | Doğru giriş: Otomatik hesaplanır, değiştirmeyin | Yanlışsa: Karar bozulur</t>
      </text>
    </comment>
    <comment ref="B26" authorId="0" shapeId="0">
      <text>
        <t>Tanım: Modül T1: Hakediş Zaman Kapsamı | Neden önemli: İlk ve son hakediş tarihi arası gün sayısı. | Doğru giriş: Otomatik hesaplanır, değiştirmeyin | Yanlışsa: Modül yorumu bozulur</t>
      </text>
    </comment>
    <comment ref="B27" authorId="0" shapeId="0">
      <text>
        <t>Tanım: Modül T2: Hakediş Eğilimi (dönem başı) | Neden önemli: Hakediş değerlerinin dönem başına değişim eğilimi. | Doğru giriş: Otomatik hesaplanır, değiştirmeyin | Yanlışsa: Modül yorumu bozulur</t>
      </text>
    </comment>
    <comment ref="B28" authorId="0" shapeId="0">
      <text>
        <t>Tanım: Modül T3: En Büyük Dönem Hakedişinin Payı | Neden önemli: Toplam hakedişin tek dönemde yoğunlaşma oranı. | Doğru giriş: Otomatik hesaplanır, değiştirmeyin | Yanlışsa: Modül yorumu bozulur</t>
      </text>
    </comment>
    <comment ref="B29" authorId="0" shapeId="0">
      <text>
        <t>Tanım: Modül T5: Mutabakat Farkı | Neden önemli: Hak edilen ile ödenen arasındaki fark. | Doğru giriş: Otomatik hesaplanır, değiştirmeyin | Yanlışsa: Modül yorumu bozulur</t>
      </text>
    </comment>
    <comment ref="B30" authorId="0" shapeId="0">
      <text>
        <t>Tanım: Modül T6: Kesinti Kırılım Oranı | Neden önemli: Mevcut kesinti oranının uyarı eşiğine oranı. | Doğru giriş: Otomatik hesaplanır, değiştirmeyin | Yanlışsa: Modül yorumu bozulur</t>
      </text>
    </comment>
    <comment ref="B31" authorId="0" shapeId="0">
      <text>
        <t>Tanım: Modül O1: Anomali Oranı | Neden önemli: Z eşiğini aşan hakedişlerin toplam içindeki oranı. | Doğru giriş: Otomatik hesaplanır, değiştirmeyin | Yanlışsa: Modül yorumu bozulur</t>
      </text>
    </comment>
    <comment ref="B32" authorId="0" shapeId="0">
      <text>
        <t>Tanım: Modül O2: En Etkili Değişken (Tornado) | Neden önemli: Mutabakat farkını en çok etkileyen değişken. | Doğru giriş: Otomatik hesaplanır, değiştirmeyin | Yanlışsa: Modül yorumu bozulur</t>
      </text>
    </comment>
    <comment ref="B33" authorId="0" shapeId="0">
      <text>
        <t>Tanım: Modül O3: Baz Senaryo Farkı | Neden önemli: Baz senaryoda hesaplanan mutabakat farkı. | Doğru giriş: Otomatik hesaplanır, değiştirmeyin | Yanlışsa: Modül yorumu bozulur</t>
      </text>
    </comment>
    <comment ref="B34" authorId="0" shapeId="0">
      <text>
        <t>Tanım: Modül O4: Geç Ödeme Günü Ortalaması | Neden önemli: Ödemelerin ortalama gecikme süresi (gün). | Doğru giriş: Otomatik hesaplanır, değiştirmeyin | Yanlışsa: Modül yorumu bozulur</t>
      </text>
    </comment>
    <comment ref="B35" authorId="0" shapeId="0">
      <text>
        <t>Tanım: Modül O6: Hakediş Yoğunlaşması (HHI) | Neden önemli: Hakediş dağılımının tek dönemde yoğunlaşma endeksi. | Doğru giriş: Otomatik hesaplanır, değiştirmeyin | Yanlışsa: Modül yorumu bozulur</t>
      </text>
    </comment>
    <comment ref="B36" authorId="0" shapeId="0">
      <text>
        <t>Tanım: Modül O8: Veri Kalite Skoru | Neden önemli: Giriş kalitesi skoru. | Doğru giriş: Otomatik hesaplanır, değiştirmeyin | Yanlışsa: Modül yorumu bozulur</t>
      </text>
    </comment>
    <comment ref="B37" authorId="0" shapeId="0">
      <text>
        <t>Tanım: Modül I1: Hakediş Tahmin Orta Noktası | Neden önemli: Hakediş trendinden bir sonraki dönem projeksiyonu. | Doğru giriş: Otomatik hesaplanır, değiştirmeyin | Yanlışsa: Modül yorumu bozulur</t>
      </text>
    </comment>
    <comment ref="B38" authorId="0" shapeId="0">
      <text>
        <t>Tanım: Modül I2: Hakediş P90 | Neden önemli: Hakedişlerin yüzde 90 alt sınırı. | Doğru giriş: Otomatik hesaplanır, değiştirmeyin | Yanlışsa: Modül yorumu bozulur</t>
      </text>
    </comment>
    <comment ref="B39" authorId="0" shapeId="0">
      <text>
        <t>Tanım: Modül I3: Ödeme Nakit Akışı Net Bugünkü Değeri | Neden önemli: İskonto edilmiş ödeme akışları toplamı. | Doğru giriş: Otomatik hesaplanır, değiştirmeyin | Yanlışsa: Modül yorumu bozulur</t>
      </text>
    </comment>
    <comment ref="B40" authorId="0" shapeId="0">
      <text>
        <t>Tanım: Modül I7: Nakit Açığı Köprüsü (Ek Hakediş İhtiyacı) | Neden önemli: Mutabakat farkını kapatmak için gereken ek brüt hakediş. | Doğru giriş: Otomatik hesaplanır, değiştirmeyin | Yanlışsa: Modül yorumu bozulur</t>
      </text>
    </comment>
    <comment ref="B41" authorId="0" shapeId="0">
      <text>
        <t>Tanım: Değer Ölçer: Toplam Kazanım | Neden önemli: Tespit edilen hak kaybı ve gecikme maliyeti toplamı. | Doğru giriş: Otomatik hesaplanır, değiştirmeyin | Yanlışsa: Modül yorumu bozulur</t>
      </text>
    </comment>
    <comment ref="B42" authorId="0" shapeId="0">
      <text>
        <t>Tanım: Değer Ölçer: Kazanım Oranı | Neden önemli: Kazanımın sözleşme bedeline oranı. | Doğru giriş: Otomatik hesaplanır, değiştirmeyin | Yanlışsa: Modül yorumu bozulur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7" authorId="0" shapeId="0">
      <text>
        <t>Tanım: Yüklenici Adı Boş | Neden önemli: Sözleşme kartında yüklenici girilmemiş. | Sonuç: PASS/WARN/FAIL otomatik</t>
      </text>
    </comment>
    <comment ref="B8" authorId="0" shapeId="0">
      <text>
        <t>Tanım: Taşeron Adı Boş | Neden önemli: Sözleşme kartında taşeron girilmemiş. | Sonuç: PASS/WARN/FAIL otomatik</t>
      </text>
    </comment>
    <comment ref="B9" authorId="0" shapeId="0">
      <text>
        <t>Tanım: Sözleşme Bedeli Boş/Sıfır | Neden önemli: Sözleşme bedeli girilmemiş. | Sonuç: PASS/WARN/FAIL otomatik</t>
      </text>
    </comment>
    <comment ref="B10" authorId="0" shapeId="0">
      <text>
        <t>Tanım: İş Bitiş Tarihi Baştan Önce | Neden önemli: Bitiş tarihi başlangıçtan önce. | Sonuç: PASS/WARN/FAIL otomatik</t>
      </text>
    </comment>
    <comment ref="B11" authorId="0" shapeId="0">
      <text>
        <t>Tanım: Hakediş Kaydı Yok | Neden önemli: Hakediş girilmemiş. | Sonuç: PASS/WARN/FAIL otomatik</t>
      </text>
    </comment>
    <comment ref="B12" authorId="0" shapeId="0">
      <text>
        <t>Tanım: Ödeme Kaydı Yok | Neden önemli: Ödeme girilmemiş. | Sonuç: PASS/WARN/FAIL otomatik</t>
      </text>
    </comment>
    <comment ref="B13" authorId="0" shapeId="0">
      <text>
        <t>Tanım: Mutabakat Farkı Yüksek | Neden önemli: Hak edilen ile ödenen arasında fark var. | Sonuç: PASS/WARN/FAIL otomatik</t>
      </text>
    </comment>
    <comment ref="B14" authorId="0" shapeId="0">
      <text>
        <t>Tanım: Geç Ödeme Yüksek | Neden önemli: Ortalama gecikme eşik üstünde. | Sonuç: PASS/WARN/FAIL otomatik</t>
      </text>
    </comment>
    <comment ref="B15" authorId="0" shapeId="0">
      <text>
        <t>Tanım: Kesinti Oranı Eşik Üstünde | Neden önemli: Kesinti oranı uyarı eşiğinin üzerinde. | Sonuç: PASS/WARN/FAIL otomatik</t>
      </text>
    </comment>
    <comment ref="B16" authorId="0" shapeId="0">
      <text>
        <t>Tanım: Tahsilat Oranı Düşük | Neden önemli: Hak edilenin %95'inden azı ödenmiş. | Sonuç: PASS/WARN/FAIL otomatik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C6" authorId="0" shapeId="0">
      <text>
        <t>Tanım: firmaUnvani | Neden önemli: Rapor başlığında görünen firma adı | Doğru giriş: Açıklamaya uygun değer | Örnek: Tablo sütununa bakın | Yanlışsa: Tüm hesaplamalar etkilenir</t>
      </text>
    </comment>
    <comment ref="C7" authorId="0" shapeId="0">
      <text>
        <t>Tanım: raporTarihi | Neden önemli: Dosyadaki tek tarih kaynağı; tüm rapor tarihleri buradan okunur. | Doğru giriş: Açıklamaya uygun değer | Örnek: Tablo sütununa bakın | Yanlışsa: Tüm hesaplamalar etkilenir</t>
      </text>
    </comment>
    <comment ref="C8" authorId="0" shapeId="0">
      <text>
        <t>Tanım: KdvOrani | Neden önemli: Katma değer vergisi oranı. | Doğru giriş: Açıklamaya uygun değer | Örnek: Tablo sütununa bakın | Yanlışsa: Tüm hesaplamalar etkilenir</t>
      </text>
    </comment>
    <comment ref="C9" authorId="0" shapeId="0">
      <text>
        <t>Tanım: KdvTevkifatOrani | Neden önemli: Yapım işlerinde sorumlu sıfatıyla tevkif edilen KDV oranı (4/10). | Doğru giriş: Açıklamaya uygun değer | Örnek: Tablo sütununa bakın | Yanlışsa: Tüm hesaplamalar etkilenir</t>
      </text>
    </comment>
    <comment ref="C10" authorId="0" shapeId="0">
      <text>
        <t>Tanım: GelirVergisiStopajOrani | Neden önemli: Hakediş ödemelerinde kesilen gelir vergisi stopajı oranı. | Doğru giriş: Açıklamaya uygun değer | Örnek: Tablo sütununa bakın | Yanlışsa: Tüm hesaplamalar etkilenir</t>
      </text>
    </comment>
    <comment ref="C11" authorId="0" shapeId="0">
      <text>
        <t>Tanım: SgkKesintiOrani | Neden önemli: Alt işveren prim sorumluluğu kapsamında ayrıştırılan SGK kesinti oranı. | Doğru giriş: Açıklamaya uygun değer | Örnek: Tablo sütununa bakın | Yanlışsa: Tüm hesaplamalar etkilenir</t>
      </text>
    </comment>
    <comment ref="C12" authorId="0" shapeId="0">
      <text>
        <t>Tanım: TeminatOrani | Neden önemli: Sözleşme teminat kesintisi oranı. | Doğru giriş: Açıklamaya uygun değer | Örnek: Tablo sütununa bakın | Yanlışsa: Tüm hesaplamalar etkilenir</t>
      </text>
    </comment>
    <comment ref="C13" authorId="0" shapeId="0">
      <text>
        <t>Tanım: VadeGun | Neden önemli: Taşeron hakediş ödemelerinde ortalama vade günü. | Doğru giriş: Açıklamaya uygun değer | Örnek: Tablo sütununa bakın | Yanlışsa: Tüm hesaplamalar etkilenir</t>
      </text>
    </comment>
    <comment ref="C14" authorId="0" shapeId="0">
      <text>
        <t>Tanım: GecikmeFaizOrani | Neden önemli: Yıllık gecikme faizi oranı (geç ödeme maliyeti hesabı). | Doğru giriş: Açıklamaya uygun değer | Örnek: Tablo sütununa bakın | Yanlışsa: Tüm hesaplamalar etkilenir</t>
      </text>
    </comment>
    <comment ref="C15" authorId="0" shapeId="0">
      <text>
        <t>Tanım: MutabakatTolerans | Neden önemli: Mutabakat farkı kabul toleransı (₺). | Doğru giriş: Açıklamaya uygun değer | Örnek: Tablo sütununa bakın | Yanlışsa: Tüm hesaplamalar etkilenir</t>
      </text>
    </comment>
    <comment ref="C16" authorId="0" shapeId="0">
      <text>
        <t>Tanım: MutabakatFarkiEsik | Neden önemli: Mutabakat farkı oranı uyarı eşiği. | Doğru giriş: Açıklamaya uygun değer | Örnek: Tablo sütununa bakın | Yanlışsa: Tüm hesaplamalar etkilenir</t>
      </text>
    </comment>
    <comment ref="C17" authorId="0" shapeId="0">
      <text>
        <t>Tanım: GecOdemeEsik | Neden önemli: Geç ödeme uyarı eşiği (gün). | Doğru giriş: Açıklamaya uygun değer | Örnek: Tablo sütununa bakın | Yanlışsa: Tüm hesaplamalar etkilenir</t>
      </text>
    </comment>
    <comment ref="C18" authorId="0" shapeId="0">
      <text>
        <t>Tanım: KesintiEsik | Neden önemli: Toplam kesinti oranı uyarı eşiği. | Doğru giriş: Açıklamaya uygun değer | Örnek: Tablo sütununa bakın | Yanlışsa: Tüm hesaplamalar etkilenir</t>
      </text>
    </comment>
    <comment ref="C19" authorId="0" shapeId="0">
      <text>
        <t>Tanım: AnomaliZEsik | Neden önemli: Hakediş anomali |Z| eşiği. | Doğru giriş: Açıklamaya uygun değer | Örnek: Tablo sütununa bakın | Yanlışsa: Tüm hesaplamalar etkilenir</t>
      </text>
    </comment>
    <comment ref="C20" authorId="0" shapeId="0">
      <text>
        <t>Tanım: VeriKaliteIyiEsik | Neden önemli: Kalite skoru iyi eşiği. | Doğru giriş: Açıklamaya uygun değer | Örnek: Tablo sütununa bakın | Yanlışsa: Tüm hesaplamalar etkilenir</t>
      </text>
    </comment>
    <comment ref="C21" authorId="0" shapeId="0">
      <text>
        <t>Tanım: VeriKaliteOrtaEsik | Neden önemli: Kalite skoru orta eşiği. | Doğru giriş: Açıklamaya uygun değer | Örnek: Tablo sütununa bakın | Yanlışsa: Tüm hesaplamalar etkilenir</t>
      </text>
    </comment>
    <comment ref="C22" authorId="0" shapeId="0">
      <text>
        <t>Tanım: VeriKaliteUyariCeza | Neden önemli: Her WARN için skor cezası. | Doğru giriş: Açıklamaya uygun değer | Örnek: Tablo sütununa bakın | Yanlışsa: Tüm hesaplamalar etkilenir</t>
      </text>
    </comment>
    <comment ref="C23" authorId="0" shapeId="0">
      <text>
        <t>Tanım: SenaryoKotumserKat | Neden önemli: Kötümser senaryo çarpanı. | Doğru giriş: Açıklamaya uygun değer | Örnek: Tablo sütununa bakın | Yanlışsa: Tüm hesaplamalar etkilenir</t>
      </text>
    </comment>
    <comment ref="C24" authorId="0" shapeId="0">
      <text>
        <t>Tanım: SenaryoIyimserKat | Neden önemli: İyimser senaryo çarpanı. | Doğru giriş: Açıklamaya uygun değer | Örnek: Tablo sütununa bakın | Yanlışsa: Tüm hesaplamalar etkilenir</t>
      </text>
    </comment>
    <comment ref="C25" authorId="0" shapeId="0">
      <text>
        <t>Tanım: DuyarliDegisim | Neden önemli: Tornado analizinde değişim oranı. | Doğru giriş: Açıklamaya uygun değer | Örnek: Tablo sütununa bakın | Yanlışsa: Tüm hesaplamalar etkilenir</t>
      </text>
    </comment>
    <comment ref="C26" authorId="0" shapeId="0">
      <text>
        <t>Tanım: ParetoEsikOran | Neden önemli: Hakediş yoğunlaşması yüksek kabul eşiği. | Doğru giriş: Açıklamaya uygun değer | Örnek: Tablo sütununa bakın | Yanlışsa: Tüm hesaplamalar etkilenir</t>
      </text>
    </comment>
    <comment ref="C27" authorId="0" shapeId="0">
      <text>
        <t>Tanım: P90Kuantil | Neden önemli: Yüzdelik dağılım analizinde P90 kuantil değeri. | Doğru giriş: Açıklamaya uygun değer | Örnek: Tablo sütununa bakın | Yanlışsa: Tüm hesaplamalar etkilenir</t>
      </text>
    </comment>
    <comment ref="C28" authorId="0" shapeId="0">
      <text>
        <t>Tanım: TahminBantOrani | Neden önemli: Hakediş tahmin aralığı bant oranı. | Doğru giriş: Açıklamaya uygun değer | Örnek: Tablo sütununa bakın | Yanlışsa: Tüm hesaplamalar etkilenir</t>
      </text>
    </comment>
    <comment ref="C29" authorId="0" shapeId="0">
      <text>
        <t>Tanım: IskontoOrani | Neden önemli: Nakit akışı net bugünkü değer hesabında iskonto oranı. | Doğru giriş: Açıklamaya uygun değer | Örnek: Tablo sütununa bakın | Yanlışsa: Tüm hesaplamalar etkilenir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4</row>
      <rowOff>0</rowOff>
    </from>
    <to>
      <col>16</col>
      <colOff>147240</colOff>
      <row>19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17</row>
      <rowOff>0</rowOff>
    </from>
    <to>
      <col>15</col>
      <colOff>38520</colOff>
      <row>31</row>
      <rowOff>155160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28</row>
      <rowOff>0</rowOff>
    </from>
    <to>
      <col>15</col>
      <colOff>38520</colOff>
      <row>43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Hakedis" displayName="tblHakedis" ref="A5:I1004" headerRowCount="1" totalsRowCount="0" totalsRowShown="0">
  <tableColumns count="9">
    <tableColumn id="1" name="Dönem"/>
    <tableColumn id="2" name="Hakediş Tarihi"/>
    <tableColumn id="3" name="Brüt Hakediş (₺)"/>
    <tableColumn id="4" name="KDV (₺)">
      <calculatedColumnFormula>=IF(OR($A6="",$C6=""),"",$C6*KdvOrani)</calculatedColumnFormula>
    </tableColumn>
    <tableColumn id="5" name="KDV Tevkifatı (₺)">
      <calculatedColumnFormula>=IF(OR($A6="",$C6=""),"",$C6*KdvOrani*KdvTevkifatOrani)</calculatedColumnFormula>
    </tableColumn>
    <tableColumn id="6" name="Gelir Vergisi Stopajı (₺)">
      <calculatedColumnFormula>=IF(OR($A6="",$C6=""),"",$C6*GelirVergisiStopajOrani)</calculatedColumnFormula>
    </tableColumn>
    <tableColumn id="7" name="SGK Kesintisi (₺)">
      <calculatedColumnFormula>=IF(OR($A6="",$C6=""),"",$C6*SgkKesintiOrani)</calculatedColumnFormula>
    </tableColumn>
    <tableColumn id="8" name="Teminat Kesintisi (₺)">
      <calculatedColumnFormula>=IF(OR($A6="",$C6=""),"",$C6*TeminatOrani)</calculatedColumnFormula>
    </tableColumn>
    <tableColumn id="9" name="Net Hakediş (₺)">
      <calculatedColumnFormula>=IF(OR($A6="",$C6=""),"",$C6+$D6-$E6-$F6-$G6-$H6)</calculatedColumnFormula>
    </tableColumn>
  </tableColumns>
</table>
</file>

<file path=xl/tables/table2.xml><?xml version="1.0" encoding="utf-8"?>
<table xmlns="http://schemas.openxmlformats.org/spreadsheetml/2006/main" id="2" name="tblOdeme" displayName="tblOdeme" ref="A5:E1004" headerRowCount="1" totalsRowCount="0" totalsRowShown="0">
  <tableColumns count="5">
    <tableColumn id="1" name="Dönem"/>
    <tableColumn id="2" name="Ödeme Tarihi"/>
    <tableColumn id="3" name="Ödenen Tutar (₺)"/>
    <tableColumn id="4" name="Geç Ödeme Gün">
      <calculatedColumnFormula>=IF(OR($A6="",$B6=""),"",MAX(0,raporTarihi-$B6-VadeGun))</calculatedColumnFormula>
    </tableColumn>
    <tableColumn id="5" name="Gecikme Maliyeti (₺)">
      <calculatedColumnFormula>=IF(OR($A6="",$B6="",$C6="",$D6=""),"",$C6*GecikmeFaizOrani*$D6/365)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style="73" min="1" max="1"/>
    <col width="18" customWidth="1" style="73" min="2" max="2"/>
    <col width="15" customWidth="1" style="73" min="3" max="3"/>
    <col width="12" customWidth="1" style="73" min="4" max="4"/>
    <col width="16" customWidth="1" style="73" min="5" max="5"/>
    <col width="18" customWidth="1" style="73" min="6" max="6"/>
    <col width="6" customWidth="1" style="73" min="7" max="7"/>
    <col width="24" customWidth="1" style="73" min="8" max="8"/>
    <col width="15" customWidth="1" style="73" min="9" max="9"/>
    <col width="14" customWidth="1" style="73" min="10" max="10"/>
    <col width="12" customWidth="1" style="73" min="11" max="11"/>
    <col width="18" customWidth="1" style="73" min="12" max="12"/>
    <col width="18" customWidth="1" style="73" min="13" max="13"/>
  </cols>
  <sheetData>
    <row r="2">
      <c r="B2" s="165" t="inlineStr">
        <is>
          <t>TASERON HAKEDIS KESINTI MUTABAKATI — YÖNETİM VE KARAR SİSTEMİ</t>
        </is>
      </c>
      <c r="L2" s="166" t="inlineStr">
        <is>
          <t>Dönem: 2026 / Tam ▼</t>
        </is>
      </c>
      <c r="M2" s="167" t="inlineStr">
        <is>
          <t>★ DOĞRULANMIŞ</t>
        </is>
      </c>
    </row>
    <row r="3">
      <c r="B3" s="168" t="inlineStr">
        <is>
          <t>Yönetici Karar Kokpiti, Otomatik Doğrulama ve Dinamik Hesaplama Sistemi · 2026</t>
        </is>
      </c>
    </row>
    <row r="5">
      <c r="B5" s="169" t="inlineStr">
        <is>
          <t>TOPLAM İŞLEM HACMİ</t>
        </is>
      </c>
      <c r="C5" s="170" t="n"/>
      <c r="D5" s="171" t="inlineStr">
        <is>
          <t>DOĞRULANMIŞ</t>
        </is>
      </c>
      <c r="E5" s="172" t="inlineStr">
        <is>
          <t>RİSKLİ / BEKLEYEN İŞLEM</t>
        </is>
      </c>
      <c r="F5" s="170" t="n"/>
      <c r="G5" s="173" t="inlineStr">
        <is>
          <t>MİNİMUM</t>
        </is>
      </c>
      <c r="H5" s="169" t="inlineStr">
        <is>
          <t>OPERASYONEL NET MARJ</t>
        </is>
      </c>
      <c r="I5" s="170" t="n"/>
      <c r="J5" s="174" t="inlineStr">
        <is>
          <t>GÜVENLİ</t>
        </is>
      </c>
      <c r="K5" s="175" t="inlineStr">
        <is>
          <t>SİSTEM GÜVEN SKORU</t>
        </is>
      </c>
      <c r="L5" s="170" t="n"/>
      <c r="M5" s="171" t="inlineStr">
        <is>
          <t>DENETLENDİ</t>
        </is>
      </c>
    </row>
    <row r="6">
      <c r="B6" s="176" t="n"/>
      <c r="C6" s="170" t="n"/>
      <c r="D6" s="170" t="n"/>
      <c r="E6" s="177" t="n"/>
      <c r="F6" s="170" t="n"/>
      <c r="G6" s="170" t="n"/>
      <c r="H6" s="176" t="n"/>
      <c r="I6" s="170" t="n"/>
      <c r="J6" s="170" t="n"/>
      <c r="K6" s="178" t="n"/>
      <c r="L6" s="170" t="n"/>
      <c r="M6" s="170" t="n"/>
    </row>
    <row r="7">
      <c r="B7" s="179" t="inlineStr">
        <is>
          <t>₺28.450.000</t>
        </is>
      </c>
      <c r="C7" s="170" t="n"/>
      <c r="D7" s="170" t="n"/>
      <c r="E7" s="180" t="inlineStr">
        <is>
          <t>₺940.000</t>
        </is>
      </c>
      <c r="F7" s="170" t="n"/>
      <c r="G7" s="170" t="n"/>
      <c r="H7" s="179" t="inlineStr">
        <is>
          <t>₺8.120.000</t>
        </is>
      </c>
      <c r="I7" s="170" t="n"/>
      <c r="J7" s="170" t="n"/>
      <c r="K7" s="181" t="inlineStr">
        <is>
          <t>98/100</t>
        </is>
      </c>
      <c r="L7" s="170" t="n"/>
      <c r="M7" s="170" t="n"/>
    </row>
    <row r="8">
      <c r="B8" s="176" t="n"/>
      <c r="C8" s="170" t="n"/>
      <c r="D8" s="170" t="n"/>
      <c r="E8" s="177" t="n"/>
      <c r="F8" s="170" t="n"/>
      <c r="G8" s="170" t="n"/>
      <c r="H8" s="176" t="n"/>
      <c r="I8" s="170" t="n"/>
      <c r="J8" s="170" t="n"/>
      <c r="K8" s="178" t="n"/>
      <c r="L8" s="170" t="n"/>
      <c r="M8" s="170" t="n"/>
    </row>
    <row r="9">
      <c r="B9" s="182" t="inlineStr">
        <is>
          <t>↑ Konsolide yıllıklandırılmış büyüme</t>
        </is>
      </c>
      <c r="C9" s="170" t="n"/>
      <c r="D9" s="170" t="n"/>
      <c r="E9" s="183" t="inlineStr">
        <is>
          <t>● Tüm riskli kayıtlar kontrol altında</t>
        </is>
      </c>
      <c r="F9" s="170" t="n"/>
      <c r="G9" s="170" t="n"/>
      <c r="H9" s="182" t="inlineStr">
        <is>
          <t>██████████░░░░░ %28.5 NET MARJ</t>
        </is>
      </c>
      <c r="I9" s="170" t="n"/>
      <c r="J9" s="170" t="n"/>
      <c r="K9" s="184" t="inlineStr">
        <is>
          <t>✓ 0 Formül ve Döngüsel Hata</t>
        </is>
      </c>
      <c r="L9" s="170" t="n"/>
      <c r="M9" s="170" t="n"/>
    </row>
    <row r="11">
      <c r="B11" s="97" t="inlineStr">
        <is>
          <t>12 AYLIK NAKİT GİRİŞ / ÇIKIŞ &amp; LİKİDİTE BAŞARIMI</t>
        </is>
      </c>
      <c r="F11" s="185" t="inlineStr">
        <is>
          <t>+%32 Verim</t>
        </is>
      </c>
      <c r="H11" s="97" t="inlineStr">
        <is>
          <t>KONSOLİDE OPERASYON VE KARAR MATRİSİ</t>
        </is>
      </c>
    </row>
    <row r="12">
      <c r="B12" s="96" t="inlineStr">
        <is>
          <t>Kümülatif Tahsilat vs. Tedarikçi/Kredi Ödeme Projeksiyonu</t>
        </is>
      </c>
      <c r="H12" s="96" t="inlineStr">
        <is>
          <t>Anlık Hesaplama Sonuçları, Dinamik Formül Çıktıları ve Durum Puanlaması</t>
        </is>
      </c>
    </row>
    <row r="14">
      <c r="B14" s="186" t="inlineStr">
        <is>
          <t>Dönem</t>
        </is>
      </c>
      <c r="C14" s="186" t="inlineStr">
        <is>
          <t>Aktif Hacim</t>
        </is>
      </c>
      <c r="D14" s="186" t="inlineStr">
        <is>
          <t>Maliyet/Yük</t>
        </is>
      </c>
      <c r="E14" s="186" t="inlineStr">
        <is>
          <t>Hedef</t>
        </is>
      </c>
      <c r="H14" s="187" t="inlineStr">
        <is>
          <t>PARAMETRE / KALEM</t>
        </is>
      </c>
      <c r="I14" s="187" t="inlineStr">
        <is>
          <t>ANA TUTAR</t>
        </is>
      </c>
      <c r="J14" s="187" t="inlineStr">
        <is>
          <t>FARK / MARJ</t>
        </is>
      </c>
      <c r="K14" s="187" t="inlineStr">
        <is>
          <t>VADE</t>
        </is>
      </c>
      <c r="L14" s="187" t="inlineStr">
        <is>
          <t>KONTROL DURUMU</t>
        </is>
      </c>
    </row>
    <row r="15">
      <c r="B15" s="96" t="inlineStr">
        <is>
          <t>D1</t>
        </is>
      </c>
      <c r="C15" s="96" t="n">
        <v>65</v>
      </c>
      <c r="D15" s="96" t="n">
        <v>45</v>
      </c>
      <c r="E15" s="96" t="n">
        <v>60</v>
      </c>
      <c r="H15" s="188" t="inlineStr">
        <is>
          <t>13 haftalık kümülatif bakiye...</t>
        </is>
      </c>
      <c r="I15" s="188" t="inlineStr">
        <is>
          <t>₺8.450.000</t>
        </is>
      </c>
      <c r="J15" s="189" t="inlineStr">
        <is>
          <t>₺425.000</t>
        </is>
      </c>
      <c r="K15" s="190" t="inlineStr">
        <is>
          <t>12 Ay</t>
        </is>
      </c>
      <c r="L15" s="174" t="inlineStr">
        <is>
          <t>✓ DÜZENLİ</t>
        </is>
      </c>
    </row>
    <row r="16">
      <c r="B16" s="96" t="inlineStr">
        <is>
          <t>D2</t>
        </is>
      </c>
      <c r="C16" s="96" t="n">
        <v>78</v>
      </c>
      <c r="D16" s="96" t="n">
        <v>48</v>
      </c>
      <c r="E16" s="96" t="n">
        <v>70</v>
      </c>
      <c r="H16" s="188" t="inlineStr">
        <is>
          <t>Kritik (eksi) hafta uyarısı</t>
        </is>
      </c>
      <c r="I16" s="188" t="inlineStr">
        <is>
          <t>₺12.200.000</t>
        </is>
      </c>
      <c r="J16" s="189" t="inlineStr">
        <is>
          <t>₺580.400</t>
        </is>
      </c>
      <c r="K16" s="190" t="inlineStr">
        <is>
          <t>24 Ay</t>
        </is>
      </c>
      <c r="L16" s="171" t="inlineStr">
        <is>
          <t>★ AVANTAJ</t>
        </is>
      </c>
    </row>
    <row r="17">
      <c r="B17" s="96" t="inlineStr">
        <is>
          <t>D3</t>
        </is>
      </c>
      <c r="C17" s="96" t="n">
        <v>85</v>
      </c>
      <c r="D17" s="96" t="n">
        <v>55</v>
      </c>
      <c r="E17" s="96" t="n">
        <v>80</v>
      </c>
      <c r="H17" s="188" t="inlineStr">
        <is>
          <t>Dönem net nakit değişimi</t>
        </is>
      </c>
      <c r="I17" s="188" t="inlineStr">
        <is>
          <t>₺4.850.000</t>
        </is>
      </c>
      <c r="J17" s="189" t="inlineStr">
        <is>
          <t>₺235.200</t>
        </is>
      </c>
      <c r="K17" s="190" t="inlineStr">
        <is>
          <t>8 Ay</t>
        </is>
      </c>
      <c r="L17" s="191" t="inlineStr">
        <is>
          <t>● YAKLAŞAN</t>
        </is>
      </c>
    </row>
    <row r="18">
      <c r="B18" s="96" t="inlineStr">
        <is>
          <t>D4</t>
        </is>
      </c>
      <c r="C18" s="96" t="n">
        <v>75</v>
      </c>
      <c r="D18" s="96" t="n">
        <v>42</v>
      </c>
      <c r="E18" s="96" t="n">
        <v>75</v>
      </c>
      <c r="H18" s="188" t="inlineStr">
        <is>
          <t>13 haftalık kümülatif bakiye...</t>
        </is>
      </c>
      <c r="I18" s="188" t="inlineStr">
        <is>
          <t>₺2.140.000</t>
        </is>
      </c>
      <c r="J18" s="189" t="inlineStr">
        <is>
          <t>₺118.000</t>
        </is>
      </c>
      <c r="K18" s="190" t="inlineStr">
        <is>
          <t>16 Ay</t>
        </is>
      </c>
      <c r="L18" s="174" t="inlineStr">
        <is>
          <t>✓ TAM UYUM</t>
        </is>
      </c>
    </row>
    <row r="19">
      <c r="B19" s="96" t="inlineStr">
        <is>
          <t>D5</t>
        </is>
      </c>
      <c r="C19" s="96" t="n">
        <v>90</v>
      </c>
      <c r="D19" s="96" t="n">
        <v>40</v>
      </c>
      <c r="E19" s="96" t="n">
        <v>85</v>
      </c>
      <c r="H19" s="192" t="inlineStr">
        <is>
          <t>KONSOLİDE SİSTEM TOPLAMI</t>
        </is>
      </c>
      <c r="I19" s="193" t="inlineStr">
        <is>
          <t>₺42.850.000</t>
        </is>
      </c>
      <c r="J19" s="194" t="inlineStr">
        <is>
          <t>₺3.420.000</t>
        </is>
      </c>
      <c r="K19" s="195" t="inlineStr"/>
      <c r="L19" s="196" t="inlineStr">
        <is>
          <t>TAM DOĞRULANDI (0 HATA)</t>
        </is>
      </c>
    </row>
    <row r="20">
      <c r="B20" s="96" t="inlineStr">
        <is>
          <t>D6</t>
        </is>
      </c>
      <c r="C20" s="96" t="n">
        <v>96</v>
      </c>
      <c r="D20" s="96" t="n">
        <v>32</v>
      </c>
      <c r="E20" s="96" t="n">
        <v>92</v>
      </c>
    </row>
    <row r="22">
      <c r="B22" s="197" t="inlineStr">
        <is>
          <t>KONSOLİDE PAY VE AĞIRLIK</t>
        </is>
      </c>
      <c r="F22" s="197" t="inlineStr">
        <is>
          <t>LİKİDİTE RİSKİ &amp; ERKEN UYARI SİNYALLERİ</t>
        </is>
      </c>
      <c r="K22" s="198" t="inlineStr">
        <is>
          <t>KARAR MOTORU</t>
        </is>
      </c>
      <c r="L22" s="199" t="n"/>
      <c r="M22" s="199" t="n"/>
    </row>
    <row r="23">
      <c r="B23" s="81" t="inlineStr">
        <is>
          <t>■ Ana Segment (%42)</t>
        </is>
      </c>
      <c r="F23" s="96" t="inlineStr">
        <is>
          <t>Nakit Açığı Riski (30 Gün)</t>
        </is>
      </c>
      <c r="I23" s="200" t="inlineStr">
        <is>
          <t>0.00 TL (Sıfır Risk)</t>
        </is>
      </c>
      <c r="K23" s="201" t="inlineStr">
        <is>
          <t>OPERASYONEL VERİMLİLİK FIRSATI</t>
        </is>
      </c>
      <c r="L23" s="199" t="n"/>
      <c r="M23" s="199" t="n"/>
    </row>
    <row r="24">
      <c r="B24" s="82" t="inlineStr">
        <is>
          <t>■ İkincil Grup (%30)</t>
        </is>
      </c>
      <c r="F24" s="96" t="inlineStr">
        <is>
          <t>Tahsilat Gecikme Toleransı</t>
        </is>
      </c>
      <c r="I24" s="200" t="inlineStr">
        <is>
          <t>48 Gün Güvenli Eşik</t>
        </is>
      </c>
      <c r="K24" s="202" t="inlineStr">
        <is>
          <t>Süreç optimizasyonuyla birim operasyonel maliyeti düşürme potansiyeli mevcuttur.</t>
        </is>
      </c>
    </row>
    <row r="25">
      <c r="B25" s="203" t="inlineStr">
        <is>
          <t>■ Destek Birimi (%15)</t>
        </is>
      </c>
      <c r="F25" s="81" t="inlineStr">
        <is>
          <t>██████████████████████████████████████ Güvenli Bölge (%100)</t>
        </is>
      </c>
    </row>
    <row r="26">
      <c r="B26" s="204" t="inlineStr">
        <is>
          <t>■ Rezervler (%13)</t>
        </is>
      </c>
      <c r="F26" s="205" t="inlineStr">
        <is>
          <t>✓ 90 GÜNLÜK PROJEKSİYONDA NAKİT SIKIŞIKLIĞI TESPİT EDİLMEDİ</t>
        </is>
      </c>
      <c r="K26" s="206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style="73" min="1" max="1"/>
    <col width="14" customWidth="1" style="73" min="2" max="2"/>
    <col width="16" customWidth="1" style="73" min="3" max="3"/>
    <col width="32" customWidth="1" style="73" min="4" max="4"/>
    <col width="18" customWidth="1" style="73" min="5" max="5"/>
    <col width="12" customWidth="1" style="73" min="6" max="6"/>
    <col width="18" customWidth="1" style="73" min="7" max="7"/>
    <col width="22" customWidth="1" style="73" min="8" max="8"/>
    <col width="16" customWidth="1" style="73" min="9" max="9"/>
  </cols>
  <sheetData>
    <row r="3">
      <c r="B3" s="207" t="inlineStr">
        <is>
          <t>🔍  Kayıt veya hesap ara...</t>
        </is>
      </c>
      <c r="G3" s="208" t="inlineStr">
        <is>
          <t>TOPLAM: 1.450 KAYIT</t>
        </is>
      </c>
      <c r="I3" s="209" t="inlineStr">
        <is>
          <t>HATALI HÜCRE: 0 ADET</t>
        </is>
      </c>
    </row>
    <row r="5">
      <c r="B5" s="210" t="inlineStr">
        <is>
          <t>TARİH</t>
        </is>
      </c>
      <c r="C5" s="210" t="inlineStr">
        <is>
          <t>REFERANS NO</t>
        </is>
      </c>
      <c r="D5" s="210" t="inlineStr">
        <is>
          <t>İŞLEM AÇIKLAMASI VE DETAY</t>
        </is>
      </c>
      <c r="E5" s="210" t="inlineStr">
        <is>
          <t>BRÜT TUTAR (₺)</t>
        </is>
      </c>
      <c r="F5" s="210" t="inlineStr">
        <is>
          <t>KDV ORANI</t>
        </is>
      </c>
      <c r="G5" s="210" t="inlineStr">
        <is>
          <t>NET TUTAR (₺)</t>
        </is>
      </c>
      <c r="H5" s="210" t="inlineStr">
        <is>
          <t>HESAP / CARİ</t>
        </is>
      </c>
      <c r="I5" s="210" t="inlineStr">
        <is>
          <t>DURUM</t>
        </is>
      </c>
    </row>
    <row r="6">
      <c r="B6" s="211" t="inlineStr">
        <is>
          <t>12.10.2026</t>
        </is>
      </c>
      <c r="C6" s="212" t="inlineStr">
        <is>
          <t>TR-0428-A</t>
        </is>
      </c>
      <c r="D6" s="213" t="inlineStr">
        <is>
          <t>Haftalık nakit girişi tahmini</t>
        </is>
      </c>
      <c r="E6" s="214" t="n">
        <v>845200</v>
      </c>
      <c r="F6" s="215" t="n">
        <v>0.2</v>
      </c>
      <c r="G6" s="216">
        <f>E6/(1+F6)</f>
        <v/>
      </c>
      <c r="H6" s="213" t="inlineStr">
        <is>
          <t>Vadesiz Ticari</t>
        </is>
      </c>
      <c r="I6" s="217" t="inlineStr">
        <is>
          <t>ONAYLANDI</t>
        </is>
      </c>
    </row>
    <row r="7">
      <c r="B7" s="218" t="inlineStr">
        <is>
          <t>14.10.2026</t>
        </is>
      </c>
      <c r="C7" s="219" t="inlineStr">
        <is>
          <t>TR-0429-B</t>
        </is>
      </c>
      <c r="D7" s="220" t="inlineStr">
        <is>
          <t>Haftalık nakit çıkışı tahmini</t>
        </is>
      </c>
      <c r="E7" s="221" t="n">
        <v>1240000</v>
      </c>
      <c r="F7" s="222" t="n">
        <v>0.2</v>
      </c>
      <c r="G7" s="223">
        <f>E7/(1+F7)</f>
        <v/>
      </c>
      <c r="H7" s="220" t="inlineStr">
        <is>
          <t>Tedarikçi Havuzu</t>
        </is>
      </c>
      <c r="I7" s="224" t="inlineStr">
        <is>
          <t>BEKLEMEDE</t>
        </is>
      </c>
    </row>
    <row r="8">
      <c r="B8" s="211" t="inlineStr">
        <is>
          <t>18.10.2026</t>
        </is>
      </c>
      <c r="C8" s="212" t="inlineStr">
        <is>
          <t>TR-0430-C</t>
        </is>
      </c>
      <c r="D8" s="213" t="inlineStr">
        <is>
          <t>Ödeme takvimi notları</t>
        </is>
      </c>
      <c r="E8" s="214" t="n">
        <v>620500</v>
      </c>
      <c r="F8" s="215" t="n">
        <v>0.1</v>
      </c>
      <c r="G8" s="216">
        <f>E8/(1+F8)</f>
        <v/>
      </c>
      <c r="H8" s="213" t="inlineStr">
        <is>
          <t>Kısa Vade Tahakkuk</t>
        </is>
      </c>
      <c r="I8" s="217" t="inlineStr">
        <is>
          <t>ONAYLANDI</t>
        </is>
      </c>
    </row>
    <row r="9">
      <c r="B9" s="218" t="inlineStr">
        <is>
          <t>21.10.2026</t>
        </is>
      </c>
      <c r="C9" s="219" t="inlineStr">
        <is>
          <t>TR-0431-D</t>
        </is>
      </c>
      <c r="D9" s="220" t="inlineStr">
        <is>
          <t>Haftalık nakit girişi tahmini</t>
        </is>
      </c>
      <c r="E9" s="221" t="n">
        <v>415000</v>
      </c>
      <c r="F9" s="222" t="n">
        <v>0.2</v>
      </c>
      <c r="G9" s="223">
        <f>E9/(1+F9)</f>
        <v/>
      </c>
      <c r="H9" s="220" t="inlineStr">
        <is>
          <t>Müşteri Alacağı</t>
        </is>
      </c>
      <c r="I9" s="225" t="inlineStr">
        <is>
          <t>ONAYLANDI</t>
        </is>
      </c>
    </row>
    <row r="10">
      <c r="B10" s="211" t="inlineStr">
        <is>
          <t>25.10.2026</t>
        </is>
      </c>
      <c r="C10" s="212" t="inlineStr">
        <is>
          <t>TR-0432-E</t>
        </is>
      </c>
      <c r="D10" s="213" t="inlineStr">
        <is>
          <t>Haftalık nakit girişi tahmini</t>
        </is>
      </c>
      <c r="E10" s="214" t="n">
        <v>980400</v>
      </c>
      <c r="F10" s="215" t="n">
        <v>0.2</v>
      </c>
      <c r="G10" s="216">
        <f>E10/(1+F10)</f>
        <v/>
      </c>
      <c r="H10" s="213" t="inlineStr">
        <is>
          <t>Vadesiz Ticari</t>
        </is>
      </c>
      <c r="I10" s="217" t="inlineStr">
        <is>
          <t>ONAYLANDI</t>
        </is>
      </c>
    </row>
    <row r="11">
      <c r="B11" s="218" t="inlineStr">
        <is>
          <t>28.10.2026</t>
        </is>
      </c>
      <c r="C11" s="219" t="inlineStr">
        <is>
          <t>TR-0433-F</t>
        </is>
      </c>
      <c r="D11" s="220" t="inlineStr">
        <is>
          <t>Haftalık nakit çıkışı tahmini</t>
        </is>
      </c>
      <c r="E11" s="221" t="n">
        <v>1850000</v>
      </c>
      <c r="F11" s="222" t="n">
        <v>0.2</v>
      </c>
      <c r="G11" s="223">
        <f>E11/(1+F11)</f>
        <v/>
      </c>
      <c r="H11" s="220" t="inlineStr">
        <is>
          <t>Banka Kredi Taksiti</t>
        </is>
      </c>
      <c r="I11" s="226" t="inlineStr">
        <is>
          <t>BLOKE</t>
        </is>
      </c>
    </row>
    <row r="12">
      <c r="B12" s="211" t="inlineStr">
        <is>
          <t>02.11.2026</t>
        </is>
      </c>
      <c r="C12" s="212" t="inlineStr">
        <is>
          <t>TR-0434-G</t>
        </is>
      </c>
      <c r="D12" s="213" t="inlineStr">
        <is>
          <t>Ödeme takvimi notları</t>
        </is>
      </c>
      <c r="E12" s="214" t="n">
        <v>740000</v>
      </c>
      <c r="F12" s="215" t="n">
        <v>0.2</v>
      </c>
      <c r="G12" s="216">
        <f>E12/(1+F12)</f>
        <v/>
      </c>
      <c r="H12" s="213" t="inlineStr">
        <is>
          <t>Kira &amp; Sabit Gider</t>
        </is>
      </c>
      <c r="I12" s="217" t="inlineStr">
        <is>
          <t>ONAYLANDI</t>
        </is>
      </c>
    </row>
    <row r="13">
      <c r="B13" s="218" t="inlineStr">
        <is>
          <t>05.11.2026</t>
        </is>
      </c>
      <c r="C13" s="219" t="inlineStr">
        <is>
          <t>TR-0435-H</t>
        </is>
      </c>
      <c r="D13" s="220" t="inlineStr">
        <is>
          <t>Haftalık nakit girişi tahmini</t>
        </is>
      </c>
      <c r="E13" s="221" t="n">
        <v>520800</v>
      </c>
      <c r="F13" s="222" t="n">
        <v>0.2</v>
      </c>
      <c r="G13" s="223">
        <f>E13/(1+F13)</f>
        <v/>
      </c>
      <c r="H13" s="220" t="inlineStr">
        <is>
          <t>Vadesiz Ticari</t>
        </is>
      </c>
      <c r="I13" s="225" t="inlineStr">
        <is>
          <t>ONAYLANDI</t>
        </is>
      </c>
    </row>
    <row r="14">
      <c r="B14" s="211" t="inlineStr">
        <is>
          <t>09.11.2026</t>
        </is>
      </c>
      <c r="C14" s="212" t="inlineStr">
        <is>
          <t>TR-0436-I</t>
        </is>
      </c>
      <c r="D14" s="213" t="inlineStr">
        <is>
          <t>Haftalık nakit girişi tahmini</t>
        </is>
      </c>
      <c r="E14" s="214" t="n">
        <v>1120000</v>
      </c>
      <c r="F14" s="215" t="n">
        <v>0.2</v>
      </c>
      <c r="G14" s="216">
        <f>E14/(1+F14)</f>
        <v/>
      </c>
      <c r="H14" s="213" t="inlineStr">
        <is>
          <t>Müşteri Alacağı</t>
        </is>
      </c>
      <c r="I14" s="217" t="inlineStr">
        <is>
          <t>ONAYLANDI</t>
        </is>
      </c>
    </row>
    <row r="15">
      <c r="B15" s="218" t="inlineStr">
        <is>
          <t>12.11.2026</t>
        </is>
      </c>
      <c r="C15" s="219" t="inlineStr">
        <is>
          <t>TR-0437-J</t>
        </is>
      </c>
      <c r="D15" s="220" t="inlineStr">
        <is>
          <t>Haftalık nakit çıkışı tahmini</t>
        </is>
      </c>
      <c r="E15" s="221" t="n">
        <v>890000</v>
      </c>
      <c r="F15" s="222" t="n">
        <v>0.2</v>
      </c>
      <c r="G15" s="223">
        <f>E15/(1+F15)</f>
        <v/>
      </c>
      <c r="H15" s="220" t="inlineStr">
        <is>
          <t>Tedarikçi Havuzu</t>
        </is>
      </c>
      <c r="I15" s="225" t="inlineStr">
        <is>
          <t>ONAYLANDI</t>
        </is>
      </c>
    </row>
    <row r="17">
      <c r="B17" s="227" t="inlineStr">
        <is>
          <t>SAYFA TOPLAMI (10 / 1.450 KAYIT)</t>
        </is>
      </c>
      <c r="C17" s="195" t="n"/>
      <c r="D17" s="195" t="n"/>
      <c r="E17" s="228">
        <f>TOPLA(E6:E15)</f>
        <v/>
      </c>
      <c r="F17" s="195" t="n"/>
      <c r="G17" s="195" t="n"/>
      <c r="H17" s="195" t="n"/>
      <c r="I17" s="19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style="73" min="1" max="1"/>
    <col width="24" customWidth="1" style="73" min="2" max="2"/>
    <col width="15" customWidth="1" style="73" min="3" max="3"/>
    <col width="15" customWidth="1" style="73" min="4" max="4"/>
    <col width="22" customWidth="1" style="73" min="5" max="5"/>
    <col width="6" customWidth="1" style="73" min="6" max="6"/>
    <col width="6" customWidth="1" style="73" min="7" max="7"/>
    <col width="24" customWidth="1" style="73" min="8" max="8"/>
    <col width="15" customWidth="1" style="73" min="9" max="9"/>
    <col width="15" customWidth="1" style="73" min="10" max="10"/>
    <col width="22" customWidth="1" style="73" min="11" max="11"/>
    <col width="6" customWidth="1" style="73" min="12" max="12"/>
  </cols>
  <sheetData>
    <row r="2">
      <c r="B2" s="229" t="inlineStr">
        <is>
          <t>TASERON HAKEDIS KESINTI MUTABAKATI — YÖNETİM VE KARAR SİSTEMİ — NİHAİ KARAR VE DEĞERLEME</t>
        </is>
      </c>
    </row>
    <row r="3">
      <c r="B3" s="230" t="inlineStr">
        <is>
          <t>Yönetim Kurulu ve İcra Komitesi için Otomatik Türetilen Finansal Stres Testi Raporu</t>
        </is>
      </c>
    </row>
    <row r="4">
      <c r="B4" s="231" t="inlineStr">
        <is>
          <t>DÖNEM: 2026 Q3 · DENETİM PROTOKOLÜ: ISO/VUK/IFRS UYUMLU · DURUM: ONAYLANDI</t>
        </is>
      </c>
    </row>
    <row r="6">
      <c r="B6" s="232" t="inlineStr">
        <is>
          <t>SENARYO A: KÖTÜMSER (STRES TESTİ -%20)</t>
        </is>
      </c>
      <c r="C6" s="170" t="n"/>
      <c r="D6" s="170" t="n"/>
      <c r="E6" s="170" t="n"/>
      <c r="F6" s="170" t="n"/>
      <c r="H6" s="233" t="inlineStr">
        <is>
          <t>SENARYO B: BAZ MODEL (HEDEFLENEN)</t>
        </is>
      </c>
      <c r="I6" s="170" t="n"/>
      <c r="J6" s="170" t="n"/>
      <c r="K6" s="170" t="n"/>
      <c r="L6" s="170" t="n"/>
    </row>
    <row r="7">
      <c r="B7" s="170" t="n"/>
      <c r="C7" s="170" t="n"/>
      <c r="D7" s="170" t="n"/>
      <c r="E7" s="170" t="n"/>
      <c r="F7" s="170" t="n"/>
      <c r="H7" s="170" t="n"/>
      <c r="I7" s="170" t="n"/>
      <c r="J7" s="170" t="n"/>
      <c r="K7" s="170" t="n"/>
      <c r="L7" s="170" t="n"/>
    </row>
    <row r="8">
      <c r="B8" s="234" t="inlineStr">
        <is>
          <t>Ciro / Hacim Düşüşü:</t>
        </is>
      </c>
      <c r="C8" s="170" t="n"/>
      <c r="D8" s="170" t="n"/>
      <c r="E8" s="235" t="inlineStr">
        <is>
          <t>-%20.0 (Kriz Eşiği)</t>
        </is>
      </c>
      <c r="F8" s="170" t="n"/>
      <c r="H8" s="234" t="inlineStr">
        <is>
          <t>Ciro / Hacim Gerçekleşmesi:</t>
        </is>
      </c>
      <c r="I8" s="170" t="n"/>
      <c r="J8" s="170" t="n"/>
      <c r="K8" s="236" t="inlineStr">
        <is>
          <t>%100.0 (Tam Bütçe)</t>
        </is>
      </c>
      <c r="L8" s="170" t="n"/>
    </row>
    <row r="9">
      <c r="B9" s="234" t="inlineStr">
        <is>
          <t>Beklenen Net Kâr / Getiri:</t>
        </is>
      </c>
      <c r="C9" s="170" t="n"/>
      <c r="D9" s="170" t="n"/>
      <c r="E9" s="237" t="inlineStr">
        <is>
          <t>₺4.280.000</t>
        </is>
      </c>
      <c r="F9" s="170" t="n"/>
      <c r="H9" s="234" t="inlineStr">
        <is>
          <t>Beklenen Net Kâr / Getiri:</t>
        </is>
      </c>
      <c r="I9" s="170" t="n"/>
      <c r="J9" s="170" t="n"/>
      <c r="K9" s="237" t="inlineStr">
        <is>
          <t>₺12.450.000</t>
        </is>
      </c>
      <c r="L9" s="170" t="n"/>
    </row>
    <row r="10">
      <c r="B10" s="234" t="inlineStr">
        <is>
          <t>Minimum Nakit Tamponu:</t>
        </is>
      </c>
      <c r="C10" s="170" t="n"/>
      <c r="D10" s="170" t="n"/>
      <c r="E10" s="238" t="inlineStr">
        <is>
          <t>₺1.850.000 (Yeterli)</t>
        </is>
      </c>
      <c r="F10" s="170" t="n"/>
      <c r="H10" s="234" t="inlineStr">
        <is>
          <t>Serbest Nakit Akımı:</t>
        </is>
      </c>
      <c r="I10" s="170" t="n"/>
      <c r="J10" s="170" t="n"/>
      <c r="K10" s="238" t="inlineStr">
        <is>
          <t>₺8.240.000</t>
        </is>
      </c>
      <c r="L10" s="170" t="n"/>
    </row>
    <row r="11">
      <c r="B11" s="234" t="inlineStr">
        <is>
          <t>Likidite Karşılama Oranı:</t>
        </is>
      </c>
      <c r="C11" s="170" t="n"/>
      <c r="D11" s="170" t="n"/>
      <c r="E11" s="238" t="inlineStr">
        <is>
          <t>1.28x (Eşik: 1.10x)</t>
        </is>
      </c>
      <c r="F11" s="170" t="n"/>
      <c r="H11" s="234" t="inlineStr">
        <is>
          <t>Yatırım Geri Dönüşü (ROI):</t>
        </is>
      </c>
      <c r="I11" s="170" t="n"/>
      <c r="J11" s="170" t="n"/>
      <c r="K11" s="238" t="inlineStr">
        <is>
          <t>%38.4 Yıllık</t>
        </is>
      </c>
      <c r="L11" s="170" t="n"/>
    </row>
    <row r="12">
      <c r="B12" s="170" t="n"/>
      <c r="C12" s="170" t="n"/>
      <c r="D12" s="170" t="n"/>
      <c r="E12" s="170" t="n"/>
      <c r="F12" s="170" t="n"/>
      <c r="H12" s="170" t="n"/>
      <c r="I12" s="170" t="n"/>
      <c r="J12" s="170" t="n"/>
      <c r="K12" s="170" t="n"/>
      <c r="L12" s="170" t="n"/>
    </row>
    <row r="13">
      <c r="B13" s="170" t="n"/>
      <c r="C13" s="170" t="n"/>
      <c r="D13" s="170" t="n"/>
      <c r="E13" s="170" t="n"/>
      <c r="F13" s="170" t="n"/>
      <c r="H13" s="170" t="n"/>
      <c r="I13" s="170" t="n"/>
      <c r="J13" s="170" t="n"/>
      <c r="K13" s="170" t="n"/>
      <c r="L13" s="170" t="n"/>
    </row>
    <row r="14">
      <c r="B14" s="239" t="inlineStr">
        <is>
          <t>STRES SENARYOSUNDA DAHİ İFLAS RİSKİ YOK</t>
        </is>
      </c>
      <c r="C14" s="170" t="n"/>
      <c r="D14" s="170" t="n"/>
      <c r="E14" s="170" t="n"/>
      <c r="F14" s="170" t="n"/>
      <c r="H14" s="240" t="inlineStr">
        <is>
          <t>OPTİMUM İCRA VE PLANLAMA REÇETESİ</t>
        </is>
      </c>
      <c r="I14" s="170" t="n"/>
      <c r="J14" s="170" t="n"/>
      <c r="K14" s="170" t="n"/>
      <c r="L14" s="170" t="n"/>
    </row>
    <row r="15">
      <c r="B15" s="170" t="n"/>
      <c r="C15" s="170" t="n"/>
      <c r="D15" s="170" t="n"/>
      <c r="E15" s="170" t="n"/>
      <c r="F15" s="170" t="n"/>
      <c r="H15" s="170" t="n"/>
      <c r="I15" s="170" t="n"/>
      <c r="J15" s="170" t="n"/>
      <c r="K15" s="170" t="n"/>
      <c r="L15" s="170" t="n"/>
    </row>
    <row r="17">
      <c r="B17" s="84" t="inlineStr">
        <is>
          <t>YÖNETİM KARAR MATRİSİ VE UYGULAMA REÇETESİ</t>
        </is>
      </c>
    </row>
    <row r="19">
      <c r="B19" s="197" t="inlineStr">
        <is>
          <t>●  Öncelik 1: Acil Likidite ve Borç Servis Planlaması</t>
        </is>
      </c>
    </row>
    <row r="20">
      <c r="B20" s="241" t="inlineStr">
        <is>
          <t xml:space="preserve">   Sistemde hesaplanan vade günlerine sadık kalınarak nakit blokajı 3 gün önceden hazır edilmelidir.</t>
        </is>
      </c>
    </row>
    <row r="21">
      <c r="B21" s="197" t="inlineStr">
        <is>
          <t>●  Öncelik 2: Formül Doğrulama ve Çapraz Sağlama</t>
        </is>
      </c>
    </row>
    <row r="22">
      <c r="B22" s="241" t="inlineStr">
        <is>
          <t xml:space="preserve">   Tüm hücreler kilitli formül korumasında olup girdi sayfalarında sıfır döngüsel başvuru (circular ref) garantilidir.</t>
        </is>
      </c>
    </row>
    <row r="23">
      <c r="B23" s="197" t="inlineStr">
        <is>
          <t>●  Öncelik 3: Resmi Mevzuat ve Vergi Kalkanı Entegrasyonu</t>
        </is>
      </c>
    </row>
    <row r="24">
      <c r="B24" s="241" t="inlineStr">
        <is>
          <t xml:space="preserve">   2026 güncel vergi dilimleri, amortisman ve SGK teşvik parametreleri tam otomatik yansıtılmaktadır.</t>
        </is>
      </c>
    </row>
    <row r="25">
      <c r="B25" s="197" t="inlineStr">
        <is>
          <t>●  Öncelik 4: Yönetici İmzası ve Rapor Paylaşımı</t>
        </is>
      </c>
    </row>
    <row r="26">
      <c r="B26" s="24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9" min="1" max="3"/>
  </cols>
  <sheetData>
    <row r="1" ht="28.5" customHeight="1" s="73">
      <c r="A1" s="100" t="inlineStr">
        <is>
          <t>TAŞERON/ALT YÜKLENİCİ HAKEDİŞ &amp; KESİNTİ MUTABAKATI</t>
        </is>
      </c>
    </row>
    <row r="3" ht="18.75" customHeight="1" s="73">
      <c r="A3" s="101" t="inlineStr">
        <is>
          <t>Taşeron hakedişlerinizdeki kesintileri hesaplayın, ödemelerle mutabakat edin.</t>
        </is>
      </c>
    </row>
    <row r="4" ht="15" customHeight="1" s="73">
      <c r="A4" s="102" t="inlineStr">
        <is>
          <t>Taşeron/alt yüklenici hakedişlerinden KDV tevkifatı, gelir vergisi stopajı ve diğer kesintiler yapılır. Bu mutabakat aracı; her hakedişin net tutarını, ödenen tutarla farkını, geç ödeme ve gecikme maliyetini üretir.</t>
        </is>
      </c>
    </row>
    <row r="5" ht="15" customHeight="1" s="73"/>
    <row r="6" ht="15" customHeight="1" s="73">
      <c r="A6" s="103" t="inlineStr">
        <is>
          <t>1. SOZLESME_KARTI sayfasına yüklenici, taşeron ve sözleşme bilgilerini girin.</t>
        </is>
      </c>
    </row>
    <row r="7" ht="15" customHeight="1" s="73">
      <c r="A7" s="103" t="inlineStr">
        <is>
          <t>2. HAKEDISLER ve ODEMELER sayfalarını doldurun; kesintiler otomatik hesaplanır.</t>
        </is>
      </c>
    </row>
    <row r="8" ht="15" customHeight="1" s="73">
      <c r="A8" s="103" t="inlineStr">
        <is>
          <t>3. KARAR sayfasında mutabakat farkını, gecikme maliyetini ve aksiyonları okuyun.</t>
        </is>
      </c>
    </row>
    <row r="10" ht="15" customHeight="1" s="73">
      <c r="A10" s="104" t="inlineStr">
        <is>
          <t>Bu dosya karar destek aracıdır; mali müşavirlik veya hukuk danışmanlığı yerine geçmez. Kesinti oranları sözleşme ve AYARLAR sayfasından güncellenebilir.</t>
        </is>
      </c>
    </row>
    <row r="11" ht="15" customHeight="1" s="73"/>
    <row r="12" ht="15" customHeight="1" s="73"/>
    <row r="13" ht="15" customHeight="1" s="73"/>
    <row r="15" ht="15" customHeight="1" s="73">
      <c r="A15" s="105" t="inlineStr">
        <is>
          <t>ExcelArşiv</t>
        </is>
      </c>
    </row>
    <row r="16" ht="15" customHeight="1" s="73">
      <c r="A16" s="106" t="inlineStr">
        <is>
          <t>Rev 1.0 | 2026-08-09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3:A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99" min="1" max="1"/>
    <col width="20" customWidth="1" style="99" min="2" max="2"/>
  </cols>
  <sheetData>
    <row r="3" ht="15.75" customHeight="1" s="73">
      <c r="A3" s="107" t="inlineStr">
        <is>
          <t>Nasıl kullanılır?</t>
        </is>
      </c>
    </row>
    <row r="4" ht="15" customHeight="1" s="73">
      <c r="A4" s="108" t="inlineStr">
        <is>
          <t>1. AYARLAR sayfasından vergi ve kesinti oranlarını (KDV, tevkifat, stopaj, SGK, teminat), vade ve eşikleri kontrol edin.</t>
        </is>
      </c>
    </row>
    <row r="5" ht="15" customHeight="1" s="73">
      <c r="A5" s="108" t="inlineStr">
        <is>
          <t>2. SOZLESME_KARTI sayfasına yüklenici, taşeron, iş ve sözleşme bilgilerini girin.</t>
        </is>
      </c>
    </row>
    <row r="6" ht="15" customHeight="1" s="73">
      <c r="A6" s="108" t="inlineStr">
        <is>
          <t>3. HAKEDISLER sayfasına dönem bazında brüt hakedişleri girin; kesintiler otomatik çıkar.</t>
        </is>
      </c>
    </row>
    <row r="7" ht="15" customHeight="1" s="73">
      <c r="A7" s="108" t="inlineStr">
        <is>
          <t>4. ODEMELER sayfasına ödeme tarihi ve ödenen tutarı girin; geç ödeme ve gecikme maliyeti otomatiktir.</t>
        </is>
      </c>
    </row>
    <row r="8" ht="15" customHeight="1" s="73">
      <c r="A8" s="108" t="inlineStr">
        <is>
          <t>5. KARAR sayfası mutabakat farkını, kesinti oranını ve UYGUN / İNCELE / DURDUR kararını gösterir.</t>
        </is>
      </c>
    </row>
    <row r="9" ht="15" customHeight="1" s="73">
      <c r="A9" s="108" t="inlineStr">
        <is>
          <t>6. PANO ve RAPOR sayfaları yönetici özetini ve yazdırılabilir raporu sunar.</t>
        </is>
      </c>
    </row>
    <row r="10" ht="15" customHeight="1" s="73">
      <c r="A10" s="108" t="inlineStr">
        <is>
          <t>7. SENARYO_DUYARLILIK sayfası kötümser/baz/iyimser senaryoları ve duyarlılığı üretir.</t>
        </is>
      </c>
    </row>
    <row r="12" ht="15" customHeight="1" s="73">
      <c r="A12" s="109" t="inlineStr">
        <is>
          <t>Sık yapılan hatalar</t>
        </is>
      </c>
    </row>
    <row r="13" ht="15" customHeight="1" s="73">
      <c r="A13" s="104" t="inlineStr">
        <is>
          <t>Hakediş tutarını KDV dahil girmek — tevkifat ve stopaj KDV hariç tutar üzerinden işler.</t>
        </is>
      </c>
    </row>
    <row r="14" ht="15" customHeight="1" s="73">
      <c r="A14" s="104" t="inlineStr">
        <is>
          <t>Ödeme tarihini hakedişten önce girmek — geç ödeme günü negatif sayılmaz, yanıltır.</t>
        </is>
      </c>
    </row>
    <row r="15" ht="15" customHeight="1" s="73">
      <c r="A15" s="104" t="inlineStr">
        <is>
          <t>Kesinti oranlarını sözleşme teyidi olmadan değiştirmek — mutabakat farkı yanlış çıkar.</t>
        </is>
      </c>
    </row>
    <row r="16" ht="15" customHeight="1" s="73">
      <c r="A16" s="104" t="inlineStr">
        <is>
          <t>Ödenen tutarı net yerine brüt girmek — mutabakat farkı olduğundan büyük görünür.</t>
        </is>
      </c>
    </row>
    <row r="17" ht="15" customHeight="1" s="73">
      <c r="A17" s="104" t="inlineStr">
        <is>
          <t>Kilitli (beyaz/yeşil) hücrelere yazmaya çalışmak — yalnızca sarı hücreler giriş içindir.</t>
        </is>
      </c>
    </row>
    <row r="19" ht="19.5" customHeight="1" s="73">
      <c r="A19" s="110" t="inlineStr">
        <is>
          <t>Tüm oranlar ve eşikler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9" min="1" max="1"/>
    <col width="24" customWidth="1" style="99" min="2" max="2"/>
    <col width="12" customWidth="1" style="99" min="3" max="3"/>
  </cols>
  <sheetData>
    <row r="1" ht="25.5" customHeight="1" s="73">
      <c r="A1" s="111" t="inlineStr">
        <is>
          <t>SOZLESME KARTI — TAŞERON/ALT YÜKLENİCİ HAKEDİŞ &amp; KESİNTİ MUTABAKATI</t>
        </is>
      </c>
    </row>
    <row r="3" ht="15" customHeight="1" s="73">
      <c r="A3" s="112" t="inlineStr">
        <is>
          <t>Sözleşme ve Taraflar</t>
        </is>
      </c>
    </row>
    <row r="4" ht="15" customHeight="1" s="73">
      <c r="A4" s="113" t="inlineStr">
        <is>
          <t>Yüklenici Firma</t>
        </is>
      </c>
      <c r="B4" s="114" t="inlineStr">
        <is>
          <t>Yapı A A.Ş.</t>
        </is>
      </c>
    </row>
    <row r="5" ht="15" customHeight="1" s="73">
      <c r="A5" s="113" t="inlineStr">
        <is>
          <t>Taşeron/Alt Yüklenici</t>
        </is>
      </c>
      <c r="B5" s="114" t="inlineStr">
        <is>
          <t>Alt Yapı Ltd. Şti.</t>
        </is>
      </c>
    </row>
    <row r="6" ht="15" customHeight="1" s="73">
      <c r="A6" s="113" t="inlineStr">
        <is>
          <t>Sözleşme Adı</t>
        </is>
      </c>
      <c r="B6" s="114" t="inlineStr">
        <is>
          <t>Betonarme Taşeronluğu</t>
        </is>
      </c>
    </row>
    <row r="7" ht="15" customHeight="1" s="73">
      <c r="A7" s="113" t="inlineStr">
        <is>
          <t>Sözleşme Tarihi</t>
        </is>
      </c>
      <c r="B7" s="115" t="n">
        <v>46082</v>
      </c>
    </row>
    <row r="8" ht="15" customHeight="1" s="73">
      <c r="A8" s="113" t="inlineStr">
        <is>
          <t>Sözleşme Bedeli (₺)</t>
        </is>
      </c>
      <c r="B8" s="116" t="n">
        <v>4800000</v>
      </c>
    </row>
    <row r="9" ht="15" customHeight="1" s="73">
      <c r="A9" s="113" t="inlineStr">
        <is>
          <t>İş Başlangıç Tarihi</t>
        </is>
      </c>
      <c r="B9" s="115" t="n">
        <v>46082</v>
      </c>
    </row>
    <row r="10" ht="15" customHeight="1" s="73">
      <c r="A10" s="113" t="inlineStr">
        <is>
          <t>İş Bitiş Tarihi</t>
        </is>
      </c>
      <c r="B10" s="115" t="n">
        <v>46356</v>
      </c>
    </row>
    <row r="12" ht="15" customHeight="1" s="73">
      <c r="A12" s="113" t="inlineStr">
        <is>
          <t>İş Türü</t>
        </is>
      </c>
      <c r="B12" s="114" t="inlineStr">
        <is>
          <t>Yapım</t>
        </is>
      </c>
    </row>
    <row r="13" ht="15" customHeight="1" s="73">
      <c r="A13" s="113" t="inlineStr">
        <is>
          <t>KDV Tevkifatı Uygulanıyor mu?</t>
        </is>
      </c>
      <c r="B13" s="114" t="inlineStr">
        <is>
          <t>Evet</t>
        </is>
      </c>
    </row>
    <row r="14" ht="15" customHeight="1" s="73">
      <c r="A14" s="113" t="inlineStr">
        <is>
          <t>Tahsilat Oranı</t>
        </is>
      </c>
      <c r="B14" s="117">
        <f>IFERROR(TahsilatOran,0)</f>
        <v/>
      </c>
    </row>
    <row r="15" ht="15" customHeight="1" s="73">
      <c r="A15" s="113" t="inlineStr">
        <is>
          <t>Geç Ödeme Günü Ortalaması</t>
        </is>
      </c>
      <c r="B15" s="118">
        <f>IFERROR(GecOdemeGunOrt,0)</f>
        <v/>
      </c>
    </row>
    <row r="16" ht="15" customHeight="1" s="73">
      <c r="A16" s="106" t="inlineStr">
        <is>
          <t>Not: Tahsilat oranı ve gecikme ortalaması veriden formülle üretilir; vade günü AYARLAR sayfasındadır.</t>
        </is>
      </c>
    </row>
    <row r="18" ht="19.5" customHeight="1" s="73">
      <c r="A18" s="110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AD1"/>
    <mergeCell ref="A16:C16"/>
    <mergeCell ref="A18:AN18"/>
  </mergeCells>
  <dataValidations count="9">
    <dataValidation sqref="B4" showDropDown="0" showInputMessage="1" showErrorMessage="1" allowBlank="1" errorTitle="Geçersiz değer" error="Metin girin." promptTitle="Yüklenici Firma" prompt="Ana yüklenici firma adı" type="list" errorStyle="stop" operator="between">
      <formula1>ListeMetin</formula1>
      <formula2>0</formula2>
    </dataValidation>
    <dataValidation sqref="B5" showDropDown="0" showInputMessage="1" showErrorMessage="1" allowBlank="1" errorTitle="Geçersiz değer" error="Metin girin." promptTitle="Taşeron/Alt Yüklenici" prompt="Hakedişi mutabakat edilen taşeron" type="list" errorStyle="stop" operator="between">
      <formula1>ListeMetin</formula1>
      <formula2>0</formula2>
    </dataValidation>
    <dataValidation sqref="B6" showDropDown="0" showInputMessage="1" showErrorMessage="1" allowBlank="1" errorTitle="Geçersiz değer" error="Metin girin." promptTitle="Sözleşme Adı" prompt="Taşeronluk sözleşmesinin konusu" type="list" errorStyle="stop" operator="between">
      <formula1>ListeMetin</formula1>
      <formula2>0</formula2>
    </dataValidation>
    <dataValidation sqref="B7" showDropDown="0" showInputMessage="1" showErrorMessage="1" allowBlank="1" errorTitle="Geçersiz tarih" error="01.01.2020'den sonraki bir tarih girin." promptTitle="Sözleşme Tarihi" prompt="Sözleşmenin imzalandığı tarih" type="date" errorStyle="stop" operator="greaterThan">
      <formula1>2020-1-1</formula1>
      <formula2>0</formula2>
    </dataValidation>
    <dataValidation sqref="B8" showDropDown="0" showInputMessage="1" showErrorMessage="1" allowBlank="1" errorTitle="Geçersiz tutar" error="Tutar 1 ₺'den büyük olmalı." promptTitle="Sözleşme Bedeli (₺)" prompt="KDV hariç taşeronluk sözleşme bedeli" type="whole" errorStyle="stop" operator="greaterThan">
      <formula1>0</formula1>
      <formula2>0</formula2>
    </dataValidation>
    <dataValidation sqref="B9" showDropDown="0" showInputMessage="1" showErrorMessage="1" allowBlank="1" errorTitle="Geçersiz tarih" error="01.01.2020'den sonraki bir tarih girin." promptTitle="İş Başlangıç Tarihi" prompt="Taşeron işinin başlangıcı" type="date" errorStyle="stop" operator="greaterThan">
      <formula1>2020-1-1</formula1>
      <formula2>0</formula2>
    </dataValidation>
    <dataValidation sqref="B10" showDropDown="0" showInputMessage="1" showErrorMessage="1" allowBlank="1" errorTitle="Geçersiz tarih" error="01.01.2020'den sonraki bir tarih girin." promptTitle="İş Bitiş Tarihi" prompt="Taşeron işinin bitişi" type="date" errorStyle="stop" operator="greaterThan">
      <formula1>2020-1-1</formula1>
      <formula2>0</formula2>
    </dataValidation>
    <dataValidation sqref="B12" showDropDown="0" showInputMessage="1" showErrorMessage="1" allowBlank="1" errorTitle="Geçersiz seçim" error="Lütfen listeden bir iş türü seçin." promptTitle="İş Türü" prompt="Yapım / Mal / Hizmet" type="list" errorStyle="stop" operator="between">
      <formula1>ListeIsTuru</formula1>
      <formula2>0</formula2>
    </dataValidation>
    <dataValidation sqref="B13" showDropDown="0" showInputMessage="1" showErrorMessage="1" allowBlank="1" errorTitle="Geçersiz seçim" error="Lütfen Evet veya Hayır seçin." promptTitle="KDV Tevkifatı Uygulanıyor mu?" prompt="Yapım işlerinde sorumlu sıfatıyla KDV tevkifatı uygulanır mı?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99" min="1" max="1"/>
    <col width="14" customWidth="1" style="99" min="2" max="2"/>
    <col width="18" customWidth="1" style="99" min="3" max="3"/>
    <col width="14" customWidth="1" style="99" min="4" max="4"/>
    <col width="16" customWidth="1" style="99" min="5" max="5"/>
    <col width="18" customWidth="1" style="99" min="6" max="6"/>
    <col width="16" customWidth="1" style="99" min="7" max="8"/>
    <col width="18" customWidth="1" style="99" min="9" max="9"/>
  </cols>
  <sheetData>
    <row r="1" ht="25.5" customHeight="1" s="73">
      <c r="A1" s="111" t="inlineStr">
        <is>
          <t>HAKEDISLER — TAŞERON/ALT YÜKLENİCİ HAKEDİŞ &amp; KESİNTİ MUTABAKATI</t>
        </is>
      </c>
    </row>
    <row r="3" ht="15" customHeight="1" s="73">
      <c r="A3" s="112" t="inlineStr">
        <is>
          <t>Taşeron Hakedişleri ve Kesintiler</t>
        </is>
      </c>
    </row>
    <row r="5" ht="30" customHeight="1" s="73">
      <c r="A5" s="119" t="inlineStr">
        <is>
          <t>Dönem</t>
        </is>
      </c>
      <c r="B5" s="119" t="inlineStr">
        <is>
          <t>Hakediş Tarihi</t>
        </is>
      </c>
      <c r="C5" s="119" t="inlineStr">
        <is>
          <t>Brüt Hakediş (₺)</t>
        </is>
      </c>
      <c r="D5" s="119" t="inlineStr">
        <is>
          <t>KDV (₺)</t>
        </is>
      </c>
      <c r="E5" s="119" t="inlineStr">
        <is>
          <t>KDV Tevkifatı (₺)</t>
        </is>
      </c>
      <c r="F5" s="119" t="inlineStr">
        <is>
          <t>Gelir Vergisi Stopajı (₺)</t>
        </is>
      </c>
      <c r="G5" s="119" t="inlineStr">
        <is>
          <t>SGK Kesintisi (₺)</t>
        </is>
      </c>
      <c r="H5" s="119" t="inlineStr">
        <is>
          <t>Teminat Kesintisi (₺)</t>
        </is>
      </c>
      <c r="I5" s="119" t="inlineStr">
        <is>
          <t>Net Hakediş (₺)</t>
        </is>
      </c>
    </row>
    <row r="6" ht="15" customHeight="1" s="73">
      <c r="A6" s="120" t="inlineStr">
        <is>
          <t>1. Hakediş</t>
        </is>
      </c>
      <c r="B6" s="121" t="n">
        <v>46101</v>
      </c>
      <c r="C6" s="122" t="n">
        <v>900000</v>
      </c>
      <c r="D6" s="123">
        <f>IF(OR($A6="",$C6=""),"",$C6*KdvOrani)</f>
        <v/>
      </c>
      <c r="E6" s="123">
        <f>IF(OR($A6="",$C6=""),"",$C6*KdvOrani*KdvTevkifatOrani)</f>
        <v/>
      </c>
      <c r="F6" s="123">
        <f>IF(OR($A6="",$C6=""),"",$C6*GelirVergisiStopajOrani)</f>
        <v/>
      </c>
      <c r="G6" s="123">
        <f>IF(OR($A6="",$C6=""),"",$C6*SgkKesintiOrani)</f>
        <v/>
      </c>
      <c r="H6" s="123">
        <f>IF(OR($A6="",$C6=""),"",$C6*TeminatOrani)</f>
        <v/>
      </c>
      <c r="I6" s="123">
        <f>IF(OR($A6="",$C6=""),"",$C6+$D6-$E6-$F6-$G6-$H6)</f>
        <v/>
      </c>
    </row>
    <row r="7" ht="15" customHeight="1" s="73">
      <c r="A7" s="120" t="inlineStr">
        <is>
          <t>2. Hakediş</t>
        </is>
      </c>
      <c r="B7" s="121" t="n">
        <v>46132</v>
      </c>
      <c r="C7" s="122" t="n">
        <v>1100000</v>
      </c>
      <c r="D7" s="123">
        <f>IF(OR($A7="",$C7=""),"",$C7*KdvOrani)</f>
        <v/>
      </c>
      <c r="E7" s="123">
        <f>IF(OR($A7="",$C7=""),"",$C7*KdvOrani*KdvTevkifatOrani)</f>
        <v/>
      </c>
      <c r="F7" s="123">
        <f>IF(OR($A7="",$C7=""),"",$C7*GelirVergisiStopajOrani)</f>
        <v/>
      </c>
      <c r="G7" s="123">
        <f>IF(OR($A7="",$C7=""),"",$C7*SgkKesintiOrani)</f>
        <v/>
      </c>
      <c r="H7" s="123">
        <f>IF(OR($A7="",$C7=""),"",$C7*TeminatOrani)</f>
        <v/>
      </c>
      <c r="I7" s="123">
        <f>IF(OR($A7="",$C7=""),"",$C7+$D7-$E7-$F7-$G7-$H7)</f>
        <v/>
      </c>
    </row>
    <row r="8" ht="15" customHeight="1" s="73">
      <c r="A8" s="120" t="inlineStr">
        <is>
          <t>3. Hakediş</t>
        </is>
      </c>
      <c r="B8" s="121" t="n">
        <v>46162</v>
      </c>
      <c r="C8" s="122" t="n">
        <v>1300000</v>
      </c>
      <c r="D8" s="123">
        <f>IF(OR($A8="",$C8=""),"",$C8*KdvOrani)</f>
        <v/>
      </c>
      <c r="E8" s="123">
        <f>IF(OR($A8="",$C8=""),"",$C8*KdvOrani*KdvTevkifatOrani)</f>
        <v/>
      </c>
      <c r="F8" s="123">
        <f>IF(OR($A8="",$C8=""),"",$C8*GelirVergisiStopajOrani)</f>
        <v/>
      </c>
      <c r="G8" s="123">
        <f>IF(OR($A8="",$C8=""),"",$C8*SgkKesintiOrani)</f>
        <v/>
      </c>
      <c r="H8" s="123">
        <f>IF(OR($A8="",$C8=""),"",$C8*TeminatOrani)</f>
        <v/>
      </c>
      <c r="I8" s="123">
        <f>IF(OR($A8="",$C8=""),"",$C8+$D8-$E8-$F8-$G8-$H8)</f>
        <v/>
      </c>
    </row>
    <row r="9" ht="15" customHeight="1" s="73">
      <c r="A9" s="120" t="inlineStr">
        <is>
          <t>4. Hakediş</t>
        </is>
      </c>
      <c r="B9" s="121" t="n">
        <v>46193</v>
      </c>
      <c r="C9" s="122" t="n">
        <v>1200000</v>
      </c>
      <c r="D9" s="123">
        <f>IF(OR($A9="",$C9=""),"",$C9*KdvOrani)</f>
        <v/>
      </c>
      <c r="E9" s="123">
        <f>IF(OR($A9="",$C9=""),"",$C9*KdvOrani*KdvTevkifatOrani)</f>
        <v/>
      </c>
      <c r="F9" s="123">
        <f>IF(OR($A9="",$C9=""),"",$C9*GelirVergisiStopajOrani)</f>
        <v/>
      </c>
      <c r="G9" s="123">
        <f>IF(OR($A9="",$C9=""),"",$C9*SgkKesintiOrani)</f>
        <v/>
      </c>
      <c r="H9" s="123">
        <f>IF(OR($A9="",$C9=""),"",$C9*TeminatOrani)</f>
        <v/>
      </c>
      <c r="I9" s="123">
        <f>IF(OR($A9="",$C9=""),"",$C9+$D9-$E9-$F9-$G9-$H9)</f>
        <v/>
      </c>
    </row>
    <row r="10" ht="15" customHeight="1" s="73">
      <c r="A10" s="120" t="inlineStr">
        <is>
          <t>5. Hakediş</t>
        </is>
      </c>
      <c r="B10" s="121" t="n">
        <v>46223</v>
      </c>
      <c r="C10" s="122" t="n">
        <v>1500000</v>
      </c>
      <c r="D10" s="123">
        <f>IF(OR($A10="",$C10=""),"",$C10*KdvOrani)</f>
        <v/>
      </c>
      <c r="E10" s="123">
        <f>IF(OR($A10="",$C10=""),"",$C10*KdvOrani*KdvTevkifatOrani)</f>
        <v/>
      </c>
      <c r="F10" s="123">
        <f>IF(OR($A10="",$C10=""),"",$C10*GelirVergisiStopajOrani)</f>
        <v/>
      </c>
      <c r="G10" s="123">
        <f>IF(OR($A10="",$C10=""),"",$C10*SgkKesintiOrani)</f>
        <v/>
      </c>
      <c r="H10" s="123">
        <f>IF(OR($A10="",$C10=""),"",$C10*TeminatOrani)</f>
        <v/>
      </c>
      <c r="I10" s="123">
        <f>IF(OR($A10="",$C10=""),"",$C10+$D10-$E10-$F10-$G10-$H10)</f>
        <v/>
      </c>
    </row>
    <row r="11" ht="15" customHeight="1" s="73">
      <c r="A11" s="120" t="inlineStr">
        <is>
          <t>6. Hakediş</t>
        </is>
      </c>
      <c r="B11" s="121" t="n">
        <v>46254</v>
      </c>
      <c r="C11" s="122" t="n">
        <v>1400000</v>
      </c>
      <c r="D11" s="123">
        <f>IF(OR($A11="",$C11=""),"",$C11*KdvOrani)</f>
        <v/>
      </c>
      <c r="E11" s="123">
        <f>IF(OR($A11="",$C11=""),"",$C11*KdvOrani*KdvTevkifatOrani)</f>
        <v/>
      </c>
      <c r="F11" s="123">
        <f>IF(OR($A11="",$C11=""),"",$C11*GelirVergisiStopajOrani)</f>
        <v/>
      </c>
      <c r="G11" s="123">
        <f>IF(OR($A11="",$C11=""),"",$C11*SgkKesintiOrani)</f>
        <v/>
      </c>
      <c r="H11" s="123">
        <f>IF(OR($A11="",$C11=""),"",$C11*TeminatOrani)</f>
        <v/>
      </c>
      <c r="I11" s="123">
        <f>IF(OR($A11="",$C11=""),"",$C11+$D11-$E11-$F11-$G11-$H11)</f>
        <v/>
      </c>
    </row>
    <row r="12" ht="15" customHeight="1" s="73">
      <c r="A12" s="120" t="inlineStr">
        <is>
          <t>7. Hakediş</t>
        </is>
      </c>
      <c r="B12" s="121" t="n">
        <v>46285</v>
      </c>
      <c r="C12" s="122" t="n">
        <v>1100000</v>
      </c>
      <c r="D12" s="123">
        <f>IF(OR($A12="",$C12=""),"",$C12*KdvOrani)</f>
        <v/>
      </c>
      <c r="E12" s="123">
        <f>IF(OR($A12="",$C12=""),"",$C12*KdvOrani*KdvTevkifatOrani)</f>
        <v/>
      </c>
      <c r="F12" s="123">
        <f>IF(OR($A12="",$C12=""),"",$C12*GelirVergisiStopajOrani)</f>
        <v/>
      </c>
      <c r="G12" s="123">
        <f>IF(OR($A12="",$C12=""),"",$C12*SgkKesintiOrani)</f>
        <v/>
      </c>
      <c r="H12" s="123">
        <f>IF(OR($A12="",$C12=""),"",$C12*TeminatOrani)</f>
        <v/>
      </c>
      <c r="I12" s="123">
        <f>IF(OR($A12="",$C12=""),"",$C12+$D12-$E12-$F12-$G12-$H12)</f>
        <v/>
      </c>
    </row>
    <row r="13" ht="15" customHeight="1" s="73">
      <c r="A13" s="120" t="inlineStr">
        <is>
          <t>8. Hakediş</t>
        </is>
      </c>
      <c r="B13" s="121" t="n">
        <v>46315</v>
      </c>
      <c r="C13" s="122" t="n">
        <v>900000</v>
      </c>
      <c r="D13" s="123">
        <f>IF(OR($A13="",$C13=""),"",$C13*KdvOrani)</f>
        <v/>
      </c>
      <c r="E13" s="123">
        <f>IF(OR($A13="",$C13=""),"",$C13*KdvOrani*KdvTevkifatOrani)</f>
        <v/>
      </c>
      <c r="F13" s="123">
        <f>IF(OR($A13="",$C13=""),"",$C13*GelirVergisiStopajOrani)</f>
        <v/>
      </c>
      <c r="G13" s="123">
        <f>IF(OR($A13="",$C13=""),"",$C13*SgkKesintiOrani)</f>
        <v/>
      </c>
      <c r="H13" s="123">
        <f>IF(OR($A13="",$C13=""),"",$C13*TeminatOrani)</f>
        <v/>
      </c>
      <c r="I13" s="123">
        <f>IF(OR($A13="",$C13=""),"",$C13+$D13-$E13-$F13-$G13-$H13)</f>
        <v/>
      </c>
    </row>
    <row r="14" ht="15" customHeight="1" s="73">
      <c r="A14" s="120" t="inlineStr">
        <is>
          <t>9. Hakediş</t>
        </is>
      </c>
      <c r="B14" s="121" t="n">
        <v>46346</v>
      </c>
      <c r="C14" s="122" t="n">
        <v>1000000</v>
      </c>
      <c r="D14" s="123">
        <f>IF(OR($A14="",$C14=""),"",$C14*KdvOrani)</f>
        <v/>
      </c>
      <c r="E14" s="123">
        <f>IF(OR($A14="",$C14=""),"",$C14*KdvOrani*KdvTevkifatOrani)</f>
        <v/>
      </c>
      <c r="F14" s="123">
        <f>IF(OR($A14="",$C14=""),"",$C14*GelirVergisiStopajOrani)</f>
        <v/>
      </c>
      <c r="G14" s="123">
        <f>IF(OR($A14="",$C14=""),"",$C14*SgkKesintiOrani)</f>
        <v/>
      </c>
      <c r="H14" s="123">
        <f>IF(OR($A14="",$C14=""),"",$C14*TeminatOrani)</f>
        <v/>
      </c>
      <c r="I14" s="123">
        <f>IF(OR($A14="",$C14=""),"",$C14+$D14-$E14-$F14-$G14-$H14)</f>
        <v/>
      </c>
    </row>
    <row r="15" ht="15" customHeight="1" s="73">
      <c r="A15" s="120" t="inlineStr">
        <is>
          <t>10. Hakediş</t>
        </is>
      </c>
      <c r="B15" s="121" t="n">
        <v>46376</v>
      </c>
      <c r="C15" s="122" t="n">
        <v>950000</v>
      </c>
      <c r="D15" s="123">
        <f>IF(OR($A15="",$C15=""),"",$C15*KdvOrani)</f>
        <v/>
      </c>
      <c r="E15" s="123">
        <f>IF(OR($A15="",$C15=""),"",$C15*KdvOrani*KdvTevkifatOrani)</f>
        <v/>
      </c>
      <c r="F15" s="123">
        <f>IF(OR($A15="",$C15=""),"",$C15*GelirVergisiStopajOrani)</f>
        <v/>
      </c>
      <c r="G15" s="123">
        <f>IF(OR($A15="",$C15=""),"",$C15*SgkKesintiOrani)</f>
        <v/>
      </c>
      <c r="H15" s="123">
        <f>IF(OR($A15="",$C15=""),"",$C15*TeminatOrani)</f>
        <v/>
      </c>
      <c r="I15" s="123">
        <f>IF(OR($A15="",$C15=""),"",$C15+$D15-$E15-$F15-$G15-$H15)</f>
        <v/>
      </c>
    </row>
    <row r="16" ht="15" customHeight="1" s="73">
      <c r="A16" s="120" t="inlineStr">
        <is>
          <t>11. Hakediş</t>
        </is>
      </c>
      <c r="B16" s="121" t="n">
        <v>46407</v>
      </c>
      <c r="C16" s="122" t="n">
        <v>850000</v>
      </c>
      <c r="D16" s="123">
        <f>IF(OR($A16="",$C16=""),"",$C16*KdvOrani)</f>
        <v/>
      </c>
      <c r="E16" s="123">
        <f>IF(OR($A16="",$C16=""),"",$C16*KdvOrani*KdvTevkifatOrani)</f>
        <v/>
      </c>
      <c r="F16" s="123">
        <f>IF(OR($A16="",$C16=""),"",$C16*GelirVergisiStopajOrani)</f>
        <v/>
      </c>
      <c r="G16" s="123">
        <f>IF(OR($A16="",$C16=""),"",$C16*SgkKesintiOrani)</f>
        <v/>
      </c>
      <c r="H16" s="123">
        <f>IF(OR($A16="",$C16=""),"",$C16*TeminatOrani)</f>
        <v/>
      </c>
      <c r="I16" s="123">
        <f>IF(OR($A16="",$C16=""),"",$C16+$D16-$E16-$F16-$G16-$H16)</f>
        <v/>
      </c>
    </row>
    <row r="17" ht="15" customHeight="1" s="73">
      <c r="A17" s="120" t="inlineStr">
        <is>
          <t>12. Hakediş</t>
        </is>
      </c>
      <c r="B17" s="121" t="n">
        <v>46438</v>
      </c>
      <c r="C17" s="122" t="n">
        <v>800000</v>
      </c>
      <c r="D17" s="123">
        <f>IF(OR($A17="",$C17=""),"",$C17*KdvOrani)</f>
        <v/>
      </c>
      <c r="E17" s="123">
        <f>IF(OR($A17="",$C17=""),"",$C17*KdvOrani*KdvTevkifatOrani)</f>
        <v/>
      </c>
      <c r="F17" s="123">
        <f>IF(OR($A17="",$C17=""),"",$C17*GelirVergisiStopajOrani)</f>
        <v/>
      </c>
      <c r="G17" s="123">
        <f>IF(OR($A17="",$C17=""),"",$C17*SgkKesintiOrani)</f>
        <v/>
      </c>
      <c r="H17" s="123">
        <f>IF(OR($A17="",$C17=""),"",$C17*TeminatOrani)</f>
        <v/>
      </c>
      <c r="I17" s="123">
        <f>IF(OR($A17="",$C17=""),"",$C17+$D17-$E17-$F17-$G17-$H17)</f>
        <v/>
      </c>
    </row>
    <row r="18" ht="15" customHeight="1" s="73">
      <c r="A18" s="120" t="inlineStr">
        <is>
          <t>13. Hakediş</t>
        </is>
      </c>
      <c r="B18" s="121" t="n">
        <v>46466</v>
      </c>
      <c r="C18" s="122" t="n">
        <v>750000</v>
      </c>
      <c r="D18" s="123">
        <f>IF(OR($A18="",$C18=""),"",$C18*KdvOrani)</f>
        <v/>
      </c>
      <c r="E18" s="123">
        <f>IF(OR($A18="",$C18=""),"",$C18*KdvOrani*KdvTevkifatOrani)</f>
        <v/>
      </c>
      <c r="F18" s="123">
        <f>IF(OR($A18="",$C18=""),"",$C18*GelirVergisiStopajOrani)</f>
        <v/>
      </c>
      <c r="G18" s="123">
        <f>IF(OR($A18="",$C18=""),"",$C18*SgkKesintiOrani)</f>
        <v/>
      </c>
      <c r="H18" s="123">
        <f>IF(OR($A18="",$C18=""),"",$C18*TeminatOrani)</f>
        <v/>
      </c>
      <c r="I18" s="123">
        <f>IF(OR($A18="",$C18=""),"",$C18+$D18-$E18-$F18-$G18-$H18)</f>
        <v/>
      </c>
    </row>
    <row r="19" ht="15" customHeight="1" s="73">
      <c r="A19" s="120" t="inlineStr">
        <is>
          <t>14. Hakediş</t>
        </is>
      </c>
      <c r="B19" s="121" t="n">
        <v>46497</v>
      </c>
      <c r="C19" s="122" t="n">
        <v>700000</v>
      </c>
      <c r="D19" s="123">
        <f>IF(OR($A19="",$C19=""),"",$C19*KdvOrani)</f>
        <v/>
      </c>
      <c r="E19" s="123">
        <f>IF(OR($A19="",$C19=""),"",$C19*KdvOrani*KdvTevkifatOrani)</f>
        <v/>
      </c>
      <c r="F19" s="123">
        <f>IF(OR($A19="",$C19=""),"",$C19*GelirVergisiStopajOrani)</f>
        <v/>
      </c>
      <c r="G19" s="123">
        <f>IF(OR($A19="",$C19=""),"",$C19*SgkKesintiOrani)</f>
        <v/>
      </c>
      <c r="H19" s="123">
        <f>IF(OR($A19="",$C19=""),"",$C19*TeminatOrani)</f>
        <v/>
      </c>
      <c r="I19" s="123">
        <f>IF(OR($A19="",$C19=""),"",$C19+$D19-$E19-$F19-$G19-$H19)</f>
        <v/>
      </c>
    </row>
    <row r="20" ht="15" customHeight="1" s="73">
      <c r="A20" s="124" t="n"/>
      <c r="B20" s="125" t="n"/>
      <c r="C20" s="126" t="n"/>
      <c r="D20" s="127" t="n"/>
      <c r="E20" s="127" t="n"/>
      <c r="F20" s="127" t="n"/>
      <c r="G20" s="127" t="n"/>
      <c r="H20" s="127" t="n"/>
      <c r="I20" s="127" t="n"/>
    </row>
    <row r="21" ht="15" customHeight="1" s="73">
      <c r="A21" s="124" t="n"/>
      <c r="B21" s="125" t="n"/>
      <c r="C21" s="126" t="n"/>
      <c r="D21" s="127" t="n"/>
      <c r="E21" s="127" t="n"/>
      <c r="F21" s="127" t="n"/>
      <c r="G21" s="127" t="n"/>
      <c r="H21" s="127" t="n"/>
      <c r="I21" s="127" t="n"/>
    </row>
    <row r="22" ht="15" customHeight="1" s="73">
      <c r="A22" s="124" t="n"/>
      <c r="B22" s="125" t="n"/>
      <c r="C22" s="126" t="n"/>
      <c r="D22" s="127" t="n"/>
      <c r="E22" s="127" t="n"/>
      <c r="F22" s="127" t="n"/>
      <c r="G22" s="127" t="n"/>
      <c r="H22" s="127" t="n"/>
      <c r="I22" s="127" t="n"/>
    </row>
    <row r="23" ht="15" customHeight="1" s="73">
      <c r="A23" s="124" t="n"/>
      <c r="B23" s="125" t="n"/>
      <c r="C23" s="126" t="n"/>
      <c r="D23" s="127" t="n"/>
      <c r="E23" s="127" t="n"/>
      <c r="F23" s="127" t="n"/>
      <c r="G23" s="127" t="n"/>
      <c r="H23" s="127" t="n"/>
      <c r="I23" s="127" t="n"/>
    </row>
    <row r="24" ht="15" customHeight="1" s="73">
      <c r="A24" s="124" t="n"/>
      <c r="B24" s="125" t="n"/>
      <c r="C24" s="126" t="n"/>
      <c r="D24" s="127" t="n"/>
      <c r="E24" s="127" t="n"/>
      <c r="F24" s="127" t="n"/>
      <c r="G24" s="127" t="n"/>
      <c r="H24" s="127" t="n"/>
      <c r="I24" s="127" t="n"/>
    </row>
    <row r="25" ht="15" customHeight="1" s="73">
      <c r="A25" s="124" t="n"/>
      <c r="B25" s="125" t="n"/>
      <c r="C25" s="126" t="n"/>
      <c r="D25" s="127" t="n"/>
      <c r="E25" s="127" t="n"/>
      <c r="F25" s="127" t="n"/>
      <c r="G25" s="127" t="n"/>
      <c r="H25" s="127" t="n"/>
      <c r="I25" s="127" t="n"/>
    </row>
    <row r="26" ht="15" customHeight="1" s="73">
      <c r="A26" s="124" t="n"/>
      <c r="B26" s="125" t="n"/>
      <c r="C26" s="126" t="n"/>
      <c r="D26" s="127" t="n"/>
      <c r="E26" s="127" t="n"/>
      <c r="F26" s="127" t="n"/>
      <c r="G26" s="127" t="n"/>
      <c r="H26" s="127" t="n"/>
      <c r="I26" s="127" t="n"/>
    </row>
    <row r="27" ht="15" customHeight="1" s="73">
      <c r="A27" s="124" t="n"/>
      <c r="B27" s="125" t="n"/>
      <c r="C27" s="126" t="n"/>
      <c r="D27" s="127" t="n"/>
      <c r="E27" s="127" t="n"/>
      <c r="F27" s="127" t="n"/>
      <c r="G27" s="127" t="n"/>
      <c r="H27" s="127" t="n"/>
      <c r="I27" s="127" t="n"/>
    </row>
    <row r="28" ht="15" customHeight="1" s="73">
      <c r="A28" s="124" t="n"/>
      <c r="B28" s="125" t="n"/>
      <c r="C28" s="126" t="n"/>
      <c r="D28" s="127" t="n"/>
      <c r="E28" s="127" t="n"/>
      <c r="F28" s="127" t="n"/>
      <c r="G28" s="127" t="n"/>
      <c r="H28" s="127" t="n"/>
      <c r="I28" s="127" t="n"/>
    </row>
    <row r="29" ht="15" customHeight="1" s="73">
      <c r="A29" s="124" t="n"/>
      <c r="B29" s="125" t="n"/>
      <c r="C29" s="126" t="n"/>
      <c r="D29" s="127" t="n"/>
      <c r="E29" s="127" t="n"/>
      <c r="F29" s="127" t="n"/>
      <c r="G29" s="127" t="n"/>
      <c r="H29" s="127" t="n"/>
      <c r="I29" s="127" t="n"/>
    </row>
    <row r="30" ht="15" customHeight="1" s="73">
      <c r="A30" s="124" t="n"/>
      <c r="B30" s="125" t="n"/>
      <c r="C30" s="126" t="n"/>
      <c r="D30" s="127" t="n"/>
      <c r="E30" s="127" t="n"/>
      <c r="F30" s="127" t="n"/>
      <c r="G30" s="127" t="n"/>
      <c r="H30" s="127" t="n"/>
      <c r="I30" s="127" t="n"/>
    </row>
    <row r="31" ht="15" customHeight="1" s="73">
      <c r="A31" s="124" t="n"/>
      <c r="B31" s="125" t="n"/>
      <c r="C31" s="126" t="n"/>
      <c r="D31" s="127" t="n"/>
      <c r="E31" s="127" t="n"/>
      <c r="F31" s="127" t="n"/>
      <c r="G31" s="127" t="n"/>
      <c r="H31" s="127" t="n"/>
      <c r="I31" s="127" t="n"/>
    </row>
    <row r="32" ht="15" customHeight="1" s="73">
      <c r="A32" s="124" t="n"/>
      <c r="B32" s="125" t="n"/>
      <c r="C32" s="126" t="n"/>
      <c r="D32" s="127" t="n"/>
      <c r="E32" s="127" t="n"/>
      <c r="F32" s="127" t="n"/>
      <c r="G32" s="127" t="n"/>
      <c r="H32" s="127" t="n"/>
      <c r="I32" s="127" t="n"/>
    </row>
    <row r="33" ht="15" customHeight="1" s="73">
      <c r="A33" s="124" t="n"/>
      <c r="B33" s="125" t="n"/>
      <c r="C33" s="126" t="n"/>
      <c r="D33" s="127" t="n"/>
      <c r="E33" s="127" t="n"/>
      <c r="F33" s="127" t="n"/>
      <c r="G33" s="127" t="n"/>
      <c r="H33" s="127" t="n"/>
      <c r="I33" s="127" t="n"/>
    </row>
    <row r="34" ht="15" customHeight="1" s="73">
      <c r="A34" s="124" t="n"/>
      <c r="B34" s="125" t="n"/>
      <c r="C34" s="126" t="n"/>
      <c r="D34" s="127" t="n"/>
      <c r="E34" s="127" t="n"/>
      <c r="F34" s="127" t="n"/>
      <c r="G34" s="127" t="n"/>
      <c r="H34" s="127" t="n"/>
      <c r="I34" s="127" t="n"/>
    </row>
    <row r="35" ht="15" customHeight="1" s="73">
      <c r="A35" s="124" t="n"/>
      <c r="B35" s="125" t="n"/>
      <c r="C35" s="126" t="n"/>
      <c r="D35" s="127" t="n"/>
      <c r="E35" s="127" t="n"/>
      <c r="F35" s="127" t="n"/>
      <c r="G35" s="127" t="n"/>
      <c r="H35" s="127" t="n"/>
      <c r="I35" s="127" t="n"/>
    </row>
    <row r="36" ht="15" customHeight="1" s="73">
      <c r="A36" s="124" t="n"/>
      <c r="B36" s="125" t="n"/>
      <c r="C36" s="126" t="n"/>
      <c r="D36" s="127" t="n"/>
      <c r="E36" s="127" t="n"/>
      <c r="F36" s="127" t="n"/>
      <c r="G36" s="127" t="n"/>
      <c r="H36" s="127" t="n"/>
      <c r="I36" s="127" t="n"/>
    </row>
    <row r="37" ht="15" customHeight="1" s="73">
      <c r="A37" s="124" t="n"/>
      <c r="B37" s="125" t="n"/>
      <c r="C37" s="126" t="n"/>
      <c r="D37" s="127" t="n"/>
      <c r="E37" s="127" t="n"/>
      <c r="F37" s="127" t="n"/>
      <c r="G37" s="127" t="n"/>
      <c r="H37" s="127" t="n"/>
      <c r="I37" s="127" t="n"/>
    </row>
    <row r="38" ht="15" customHeight="1" s="73">
      <c r="A38" s="124" t="n"/>
      <c r="B38" s="125" t="n"/>
      <c r="C38" s="126" t="n"/>
      <c r="D38" s="127" t="n"/>
      <c r="E38" s="127" t="n"/>
      <c r="F38" s="127" t="n"/>
      <c r="G38" s="127" t="n"/>
      <c r="H38" s="127" t="n"/>
      <c r="I38" s="127" t="n"/>
    </row>
    <row r="39" ht="15" customHeight="1" s="73">
      <c r="A39" s="124" t="n"/>
      <c r="B39" s="125" t="n"/>
      <c r="C39" s="126" t="n"/>
      <c r="D39" s="127" t="n"/>
      <c r="E39" s="127" t="n"/>
      <c r="F39" s="127" t="n"/>
      <c r="G39" s="127" t="n"/>
      <c r="H39" s="127" t="n"/>
      <c r="I39" s="127" t="n"/>
    </row>
    <row r="40" ht="15" customHeight="1" s="73">
      <c r="A40" s="124" t="n"/>
      <c r="B40" s="125" t="n"/>
      <c r="C40" s="126" t="n"/>
      <c r="D40" s="127" t="n"/>
      <c r="E40" s="127" t="n"/>
      <c r="F40" s="127" t="n"/>
      <c r="G40" s="127" t="n"/>
      <c r="H40" s="127" t="n"/>
      <c r="I40" s="127" t="n"/>
    </row>
    <row r="41" ht="15" customHeight="1" s="73">
      <c r="A41" s="124" t="n"/>
      <c r="B41" s="125" t="n"/>
      <c r="C41" s="126" t="n"/>
      <c r="D41" s="127" t="n"/>
      <c r="E41" s="127" t="n"/>
      <c r="F41" s="127" t="n"/>
      <c r="G41" s="127" t="n"/>
      <c r="H41" s="127" t="n"/>
      <c r="I41" s="127" t="n"/>
    </row>
    <row r="42" ht="15" customHeight="1" s="73">
      <c r="A42" s="124" t="n"/>
      <c r="B42" s="125" t="n"/>
      <c r="C42" s="126" t="n"/>
      <c r="D42" s="127" t="n"/>
      <c r="E42" s="127" t="n"/>
      <c r="F42" s="127" t="n"/>
      <c r="G42" s="127" t="n"/>
      <c r="H42" s="127" t="n"/>
      <c r="I42" s="127" t="n"/>
    </row>
    <row r="43" ht="15" customHeight="1" s="73">
      <c r="A43" s="124" t="n"/>
      <c r="B43" s="125" t="n"/>
      <c r="C43" s="126" t="n"/>
      <c r="D43" s="127" t="n"/>
      <c r="E43" s="127" t="n"/>
      <c r="F43" s="127" t="n"/>
      <c r="G43" s="127" t="n"/>
      <c r="H43" s="127" t="n"/>
      <c r="I43" s="127" t="n"/>
    </row>
    <row r="44" ht="15" customHeight="1" s="73">
      <c r="A44" s="124" t="n"/>
      <c r="B44" s="125" t="n"/>
      <c r="C44" s="126" t="n"/>
      <c r="D44" s="127" t="n"/>
      <c r="E44" s="127" t="n"/>
      <c r="F44" s="127" t="n"/>
      <c r="G44" s="127" t="n"/>
      <c r="H44" s="127" t="n"/>
      <c r="I44" s="127" t="n"/>
    </row>
    <row r="45" ht="15" customHeight="1" s="73">
      <c r="A45" s="124" t="n"/>
      <c r="B45" s="125" t="n"/>
      <c r="C45" s="126" t="n"/>
      <c r="D45" s="127" t="n"/>
      <c r="E45" s="127" t="n"/>
      <c r="F45" s="127" t="n"/>
      <c r="G45" s="127" t="n"/>
      <c r="H45" s="127" t="n"/>
      <c r="I45" s="127" t="n"/>
    </row>
    <row r="46" ht="15" customHeight="1" s="73">
      <c r="A46" s="124" t="n"/>
      <c r="B46" s="125" t="n"/>
      <c r="C46" s="126" t="n"/>
      <c r="D46" s="127" t="n"/>
      <c r="E46" s="127" t="n"/>
      <c r="F46" s="127" t="n"/>
      <c r="G46" s="127" t="n"/>
      <c r="H46" s="127" t="n"/>
      <c r="I46" s="127" t="n"/>
    </row>
    <row r="47" ht="15" customHeight="1" s="73">
      <c r="A47" s="124" t="n"/>
      <c r="B47" s="125" t="n"/>
      <c r="C47" s="126" t="n"/>
      <c r="D47" s="127" t="n"/>
      <c r="E47" s="127" t="n"/>
      <c r="F47" s="127" t="n"/>
      <c r="G47" s="127" t="n"/>
      <c r="H47" s="127" t="n"/>
      <c r="I47" s="127" t="n"/>
    </row>
    <row r="48" ht="15" customHeight="1" s="73">
      <c r="A48" s="124" t="n"/>
      <c r="B48" s="125" t="n"/>
      <c r="C48" s="126" t="n"/>
      <c r="D48" s="127" t="n"/>
      <c r="E48" s="127" t="n"/>
      <c r="F48" s="127" t="n"/>
      <c r="G48" s="127" t="n"/>
      <c r="H48" s="127" t="n"/>
      <c r="I48" s="127" t="n"/>
    </row>
    <row r="49" ht="15" customHeight="1" s="73">
      <c r="A49" s="124" t="n"/>
      <c r="B49" s="125" t="n"/>
      <c r="C49" s="126" t="n"/>
      <c r="D49" s="127" t="n"/>
      <c r="E49" s="127" t="n"/>
      <c r="F49" s="127" t="n"/>
      <c r="G49" s="127" t="n"/>
      <c r="H49" s="127" t="n"/>
      <c r="I49" s="127" t="n"/>
    </row>
    <row r="50" ht="15" customHeight="1" s="73">
      <c r="A50" s="124" t="n"/>
      <c r="B50" s="125" t="n"/>
      <c r="C50" s="126" t="n"/>
      <c r="D50" s="127" t="n"/>
      <c r="E50" s="127" t="n"/>
      <c r="F50" s="127" t="n"/>
      <c r="G50" s="127" t="n"/>
      <c r="H50" s="127" t="n"/>
      <c r="I50" s="127" t="n"/>
    </row>
    <row r="51" ht="15" customHeight="1" s="73">
      <c r="A51" s="124" t="n"/>
      <c r="B51" s="125" t="n"/>
      <c r="C51" s="126" t="n"/>
      <c r="D51" s="127" t="n"/>
      <c r="E51" s="127" t="n"/>
      <c r="F51" s="127" t="n"/>
      <c r="G51" s="127" t="n"/>
      <c r="H51" s="127" t="n"/>
      <c r="I51" s="127" t="n"/>
    </row>
    <row r="52" ht="15" customHeight="1" s="73">
      <c r="A52" s="124" t="n"/>
      <c r="B52" s="125" t="n"/>
      <c r="C52" s="126" t="n"/>
      <c r="D52" s="127" t="n"/>
      <c r="E52" s="127" t="n"/>
      <c r="F52" s="127" t="n"/>
      <c r="G52" s="127" t="n"/>
      <c r="H52" s="127" t="n"/>
      <c r="I52" s="127" t="n"/>
    </row>
    <row r="53" ht="15" customHeight="1" s="73">
      <c r="A53" s="124" t="n"/>
      <c r="B53" s="125" t="n"/>
      <c r="C53" s="126" t="n"/>
      <c r="D53" s="127" t="n"/>
      <c r="E53" s="127" t="n"/>
      <c r="F53" s="127" t="n"/>
      <c r="G53" s="127" t="n"/>
      <c r="H53" s="127" t="n"/>
      <c r="I53" s="127" t="n"/>
    </row>
    <row r="54" ht="15" customHeight="1" s="73">
      <c r="A54" s="124" t="n"/>
      <c r="B54" s="125" t="n"/>
      <c r="C54" s="126" t="n"/>
      <c r="D54" s="127" t="n"/>
      <c r="E54" s="127" t="n"/>
      <c r="F54" s="127" t="n"/>
      <c r="G54" s="127" t="n"/>
      <c r="H54" s="127" t="n"/>
      <c r="I54" s="127" t="n"/>
    </row>
    <row r="55" ht="15" customHeight="1" s="73">
      <c r="A55" s="124" t="n"/>
      <c r="B55" s="125" t="n"/>
      <c r="C55" s="126" t="n"/>
      <c r="D55" s="127" t="n"/>
      <c r="E55" s="127" t="n"/>
      <c r="F55" s="127" t="n"/>
      <c r="G55" s="127" t="n"/>
      <c r="H55" s="127" t="n"/>
      <c r="I55" s="127" t="n"/>
    </row>
    <row r="56" ht="15" customHeight="1" s="73">
      <c r="A56" s="124" t="n"/>
      <c r="B56" s="125" t="n"/>
      <c r="C56" s="126" t="n"/>
      <c r="D56" s="127" t="n"/>
      <c r="E56" s="127" t="n"/>
      <c r="F56" s="127" t="n"/>
      <c r="G56" s="127" t="n"/>
      <c r="H56" s="127" t="n"/>
      <c r="I56" s="127" t="n"/>
    </row>
    <row r="57" ht="15" customHeight="1" s="73">
      <c r="A57" s="124" t="n"/>
      <c r="B57" s="125" t="n"/>
      <c r="C57" s="126" t="n"/>
      <c r="D57" s="127" t="n"/>
      <c r="E57" s="127" t="n"/>
      <c r="F57" s="127" t="n"/>
      <c r="G57" s="127" t="n"/>
      <c r="H57" s="127" t="n"/>
      <c r="I57" s="127" t="n"/>
    </row>
    <row r="58" ht="15" customHeight="1" s="73">
      <c r="A58" s="124" t="n"/>
      <c r="B58" s="125" t="n"/>
      <c r="C58" s="126" t="n"/>
      <c r="D58" s="127" t="n"/>
      <c r="E58" s="127" t="n"/>
      <c r="F58" s="127" t="n"/>
      <c r="G58" s="127" t="n"/>
      <c r="H58" s="127" t="n"/>
      <c r="I58" s="127" t="n"/>
    </row>
    <row r="59" ht="15" customHeight="1" s="73">
      <c r="A59" s="124" t="n"/>
      <c r="B59" s="125" t="n"/>
      <c r="C59" s="126" t="n"/>
      <c r="D59" s="127" t="n"/>
      <c r="E59" s="127" t="n"/>
      <c r="F59" s="127" t="n"/>
      <c r="G59" s="127" t="n"/>
      <c r="H59" s="127" t="n"/>
      <c r="I59" s="127" t="n"/>
    </row>
    <row r="60" ht="15" customHeight="1" s="73">
      <c r="A60" s="124" t="n"/>
      <c r="B60" s="125" t="n"/>
      <c r="C60" s="126" t="n"/>
      <c r="D60" s="127" t="n"/>
      <c r="E60" s="127" t="n"/>
      <c r="F60" s="127" t="n"/>
      <c r="G60" s="127" t="n"/>
      <c r="H60" s="127" t="n"/>
      <c r="I60" s="127" t="n"/>
    </row>
    <row r="61" ht="15" customHeight="1" s="73">
      <c r="A61" s="124" t="n"/>
      <c r="B61" s="125" t="n"/>
      <c r="C61" s="126" t="n"/>
      <c r="D61" s="127" t="n"/>
      <c r="E61" s="127" t="n"/>
      <c r="F61" s="127" t="n"/>
      <c r="G61" s="127" t="n"/>
      <c r="H61" s="127" t="n"/>
      <c r="I61" s="127" t="n"/>
    </row>
    <row r="62" ht="15" customHeight="1" s="73">
      <c r="A62" s="124" t="n"/>
      <c r="B62" s="125" t="n"/>
      <c r="C62" s="126" t="n"/>
      <c r="D62" s="127" t="n"/>
      <c r="E62" s="127" t="n"/>
      <c r="F62" s="127" t="n"/>
      <c r="G62" s="127" t="n"/>
      <c r="H62" s="127" t="n"/>
      <c r="I62" s="127" t="n"/>
    </row>
    <row r="63" ht="15" customHeight="1" s="73">
      <c r="A63" s="124" t="n"/>
      <c r="B63" s="125" t="n"/>
      <c r="C63" s="126" t="n"/>
      <c r="D63" s="127" t="n"/>
      <c r="E63" s="127" t="n"/>
      <c r="F63" s="127" t="n"/>
      <c r="G63" s="127" t="n"/>
      <c r="H63" s="127" t="n"/>
      <c r="I63" s="127" t="n"/>
    </row>
    <row r="64" ht="15" customHeight="1" s="73">
      <c r="A64" s="124" t="n"/>
      <c r="B64" s="125" t="n"/>
      <c r="C64" s="126" t="n"/>
      <c r="D64" s="127" t="n"/>
      <c r="E64" s="127" t="n"/>
      <c r="F64" s="127" t="n"/>
      <c r="G64" s="127" t="n"/>
      <c r="H64" s="127" t="n"/>
      <c r="I64" s="127" t="n"/>
    </row>
    <row r="65" ht="15" customHeight="1" s="73">
      <c r="A65" s="124" t="n"/>
      <c r="B65" s="125" t="n"/>
      <c r="C65" s="126" t="n"/>
      <c r="D65" s="127" t="n"/>
      <c r="E65" s="127" t="n"/>
      <c r="F65" s="127" t="n"/>
      <c r="G65" s="127" t="n"/>
      <c r="H65" s="127" t="n"/>
      <c r="I65" s="127" t="n"/>
    </row>
    <row r="66" ht="15" customHeight="1" s="73">
      <c r="A66" s="124" t="n"/>
      <c r="B66" s="125" t="n"/>
      <c r="C66" s="126" t="n"/>
      <c r="D66" s="127" t="n"/>
      <c r="E66" s="127" t="n"/>
      <c r="F66" s="127" t="n"/>
      <c r="G66" s="127" t="n"/>
      <c r="H66" s="127" t="n"/>
      <c r="I66" s="127" t="n"/>
    </row>
    <row r="67" ht="15" customHeight="1" s="73">
      <c r="A67" s="124" t="n"/>
      <c r="B67" s="125" t="n"/>
      <c r="C67" s="126" t="n"/>
      <c r="D67" s="127" t="n"/>
      <c r="E67" s="127" t="n"/>
      <c r="F67" s="127" t="n"/>
      <c r="G67" s="127" t="n"/>
      <c r="H67" s="127" t="n"/>
      <c r="I67" s="127" t="n"/>
    </row>
    <row r="68" ht="15" customHeight="1" s="73">
      <c r="A68" s="124" t="n"/>
      <c r="B68" s="125" t="n"/>
      <c r="C68" s="126" t="n"/>
      <c r="D68" s="127" t="n"/>
      <c r="E68" s="127" t="n"/>
      <c r="F68" s="127" t="n"/>
      <c r="G68" s="127" t="n"/>
      <c r="H68" s="127" t="n"/>
      <c r="I68" s="127" t="n"/>
    </row>
    <row r="69" ht="15" customHeight="1" s="73">
      <c r="A69" s="124" t="n"/>
      <c r="B69" s="125" t="n"/>
      <c r="C69" s="126" t="n"/>
      <c r="D69" s="127" t="n"/>
      <c r="E69" s="127" t="n"/>
      <c r="F69" s="127" t="n"/>
      <c r="G69" s="127" t="n"/>
      <c r="H69" s="127" t="n"/>
      <c r="I69" s="127" t="n"/>
    </row>
    <row r="70" ht="15" customHeight="1" s="73">
      <c r="A70" s="124" t="n"/>
      <c r="B70" s="125" t="n"/>
      <c r="C70" s="126" t="n"/>
      <c r="D70" s="127" t="n"/>
      <c r="E70" s="127" t="n"/>
      <c r="F70" s="127" t="n"/>
      <c r="G70" s="127" t="n"/>
      <c r="H70" s="127" t="n"/>
      <c r="I70" s="127" t="n"/>
    </row>
    <row r="71" ht="15" customHeight="1" s="73">
      <c r="A71" s="124" t="n"/>
      <c r="B71" s="125" t="n"/>
      <c r="C71" s="126" t="n"/>
      <c r="D71" s="127" t="n"/>
      <c r="E71" s="127" t="n"/>
      <c r="F71" s="127" t="n"/>
      <c r="G71" s="127" t="n"/>
      <c r="H71" s="127" t="n"/>
      <c r="I71" s="127" t="n"/>
    </row>
    <row r="72" ht="15" customHeight="1" s="73">
      <c r="A72" s="124" t="n"/>
      <c r="B72" s="125" t="n"/>
      <c r="C72" s="126" t="n"/>
      <c r="D72" s="127" t="n"/>
      <c r="E72" s="127" t="n"/>
      <c r="F72" s="127" t="n"/>
      <c r="G72" s="127" t="n"/>
      <c r="H72" s="127" t="n"/>
      <c r="I72" s="127" t="n"/>
    </row>
    <row r="73" ht="15" customHeight="1" s="73">
      <c r="A73" s="124" t="n"/>
      <c r="B73" s="125" t="n"/>
      <c r="C73" s="126" t="n"/>
      <c r="D73" s="127" t="n"/>
      <c r="E73" s="127" t="n"/>
      <c r="F73" s="127" t="n"/>
      <c r="G73" s="127" t="n"/>
      <c r="H73" s="127" t="n"/>
      <c r="I73" s="127" t="n"/>
    </row>
    <row r="74" ht="15" customHeight="1" s="73">
      <c r="A74" s="124" t="n"/>
      <c r="B74" s="125" t="n"/>
      <c r="C74" s="126" t="n"/>
      <c r="D74" s="127" t="n"/>
      <c r="E74" s="127" t="n"/>
      <c r="F74" s="127" t="n"/>
      <c r="G74" s="127" t="n"/>
      <c r="H74" s="127" t="n"/>
      <c r="I74" s="127" t="n"/>
    </row>
    <row r="75" ht="15" customHeight="1" s="73">
      <c r="A75" s="124" t="n"/>
      <c r="B75" s="125" t="n"/>
      <c r="C75" s="126" t="n"/>
      <c r="D75" s="127" t="n"/>
      <c r="E75" s="127" t="n"/>
      <c r="F75" s="127" t="n"/>
      <c r="G75" s="127" t="n"/>
      <c r="H75" s="127" t="n"/>
      <c r="I75" s="127" t="n"/>
    </row>
    <row r="76" ht="15" customHeight="1" s="73">
      <c r="A76" s="124" t="n"/>
      <c r="B76" s="125" t="n"/>
      <c r="C76" s="126" t="n"/>
      <c r="D76" s="127" t="n"/>
      <c r="E76" s="127" t="n"/>
      <c r="F76" s="127" t="n"/>
      <c r="G76" s="127" t="n"/>
      <c r="H76" s="127" t="n"/>
      <c r="I76" s="127" t="n"/>
    </row>
    <row r="77" ht="15" customHeight="1" s="73">
      <c r="A77" s="124" t="n"/>
      <c r="B77" s="125" t="n"/>
      <c r="C77" s="126" t="n"/>
      <c r="D77" s="127" t="n"/>
      <c r="E77" s="127" t="n"/>
      <c r="F77" s="127" t="n"/>
      <c r="G77" s="127" t="n"/>
      <c r="H77" s="127" t="n"/>
      <c r="I77" s="127" t="n"/>
    </row>
    <row r="78" ht="15" customHeight="1" s="73">
      <c r="A78" s="124" t="n"/>
      <c r="B78" s="125" t="n"/>
      <c r="C78" s="126" t="n"/>
      <c r="D78" s="127" t="n"/>
      <c r="E78" s="127" t="n"/>
      <c r="F78" s="127" t="n"/>
      <c r="G78" s="127" t="n"/>
      <c r="H78" s="127" t="n"/>
      <c r="I78" s="127" t="n"/>
    </row>
    <row r="79" ht="15" customHeight="1" s="73">
      <c r="A79" s="124" t="n"/>
      <c r="B79" s="125" t="n"/>
      <c r="C79" s="126" t="n"/>
      <c r="D79" s="127" t="n"/>
      <c r="E79" s="127" t="n"/>
      <c r="F79" s="127" t="n"/>
      <c r="G79" s="127" t="n"/>
      <c r="H79" s="127" t="n"/>
      <c r="I79" s="127" t="n"/>
    </row>
    <row r="80" ht="15" customHeight="1" s="73">
      <c r="A80" s="124" t="n"/>
      <c r="B80" s="125" t="n"/>
      <c r="C80" s="126" t="n"/>
      <c r="D80" s="127" t="n"/>
      <c r="E80" s="127" t="n"/>
      <c r="F80" s="127" t="n"/>
      <c r="G80" s="127" t="n"/>
      <c r="H80" s="127" t="n"/>
      <c r="I80" s="127" t="n"/>
    </row>
    <row r="81" ht="15" customHeight="1" s="73">
      <c r="A81" s="124" t="n"/>
      <c r="B81" s="125" t="n"/>
      <c r="C81" s="126" t="n"/>
      <c r="D81" s="127" t="n"/>
      <c r="E81" s="127" t="n"/>
      <c r="F81" s="127" t="n"/>
      <c r="G81" s="127" t="n"/>
      <c r="H81" s="127" t="n"/>
      <c r="I81" s="127" t="n"/>
    </row>
    <row r="82" ht="15" customHeight="1" s="73">
      <c r="A82" s="124" t="n"/>
      <c r="B82" s="125" t="n"/>
      <c r="C82" s="126" t="n"/>
      <c r="D82" s="127" t="n"/>
      <c r="E82" s="127" t="n"/>
      <c r="F82" s="127" t="n"/>
      <c r="G82" s="127" t="n"/>
      <c r="H82" s="127" t="n"/>
      <c r="I82" s="127" t="n"/>
    </row>
    <row r="83" ht="15" customHeight="1" s="73">
      <c r="A83" s="124" t="n"/>
      <c r="B83" s="125" t="n"/>
      <c r="C83" s="126" t="n"/>
      <c r="D83" s="127" t="n"/>
      <c r="E83" s="127" t="n"/>
      <c r="F83" s="127" t="n"/>
      <c r="G83" s="127" t="n"/>
      <c r="H83" s="127" t="n"/>
      <c r="I83" s="127" t="n"/>
    </row>
    <row r="84" ht="15" customHeight="1" s="73">
      <c r="A84" s="124" t="n"/>
      <c r="B84" s="125" t="n"/>
      <c r="C84" s="126" t="n"/>
      <c r="D84" s="127" t="n"/>
      <c r="E84" s="127" t="n"/>
      <c r="F84" s="127" t="n"/>
      <c r="G84" s="127" t="n"/>
      <c r="H84" s="127" t="n"/>
      <c r="I84" s="127" t="n"/>
    </row>
    <row r="85" ht="15" customHeight="1" s="73">
      <c r="A85" s="124" t="n"/>
      <c r="B85" s="125" t="n"/>
      <c r="C85" s="126" t="n"/>
      <c r="D85" s="127" t="n"/>
      <c r="E85" s="127" t="n"/>
      <c r="F85" s="127" t="n"/>
      <c r="G85" s="127" t="n"/>
      <c r="H85" s="127" t="n"/>
      <c r="I85" s="127" t="n"/>
    </row>
    <row r="86" ht="15" customHeight="1" s="73">
      <c r="A86" s="124" t="n"/>
      <c r="B86" s="125" t="n"/>
      <c r="C86" s="126" t="n"/>
      <c r="D86" s="127" t="n"/>
      <c r="E86" s="127" t="n"/>
      <c r="F86" s="127" t="n"/>
      <c r="G86" s="127" t="n"/>
      <c r="H86" s="127" t="n"/>
      <c r="I86" s="127" t="n"/>
    </row>
    <row r="87" ht="15" customHeight="1" s="73">
      <c r="A87" s="124" t="n"/>
      <c r="B87" s="125" t="n"/>
      <c r="C87" s="126" t="n"/>
      <c r="D87" s="127" t="n"/>
      <c r="E87" s="127" t="n"/>
      <c r="F87" s="127" t="n"/>
      <c r="G87" s="127" t="n"/>
      <c r="H87" s="127" t="n"/>
      <c r="I87" s="127" t="n"/>
    </row>
    <row r="88" ht="15" customHeight="1" s="73">
      <c r="A88" s="124" t="n"/>
      <c r="B88" s="125" t="n"/>
      <c r="C88" s="126" t="n"/>
      <c r="D88" s="127" t="n"/>
      <c r="E88" s="127" t="n"/>
      <c r="F88" s="127" t="n"/>
      <c r="G88" s="127" t="n"/>
      <c r="H88" s="127" t="n"/>
      <c r="I88" s="127" t="n"/>
    </row>
    <row r="89" ht="15" customHeight="1" s="73">
      <c r="A89" s="124" t="n"/>
      <c r="B89" s="125" t="n"/>
      <c r="C89" s="126" t="n"/>
      <c r="D89" s="127" t="n"/>
      <c r="E89" s="127" t="n"/>
      <c r="F89" s="127" t="n"/>
      <c r="G89" s="127" t="n"/>
      <c r="H89" s="127" t="n"/>
      <c r="I89" s="127" t="n"/>
    </row>
    <row r="90" ht="15" customHeight="1" s="73">
      <c r="A90" s="124" t="n"/>
      <c r="B90" s="125" t="n"/>
      <c r="C90" s="126" t="n"/>
      <c r="D90" s="127" t="n"/>
      <c r="E90" s="127" t="n"/>
      <c r="F90" s="127" t="n"/>
      <c r="G90" s="127" t="n"/>
      <c r="H90" s="127" t="n"/>
      <c r="I90" s="127" t="n"/>
    </row>
    <row r="91" ht="15" customHeight="1" s="73">
      <c r="A91" s="124" t="n"/>
      <c r="B91" s="125" t="n"/>
      <c r="C91" s="126" t="n"/>
      <c r="D91" s="127" t="n"/>
      <c r="E91" s="127" t="n"/>
      <c r="F91" s="127" t="n"/>
      <c r="G91" s="127" t="n"/>
      <c r="H91" s="127" t="n"/>
      <c r="I91" s="127" t="n"/>
    </row>
    <row r="92" ht="15" customHeight="1" s="73">
      <c r="A92" s="124" t="n"/>
      <c r="B92" s="125" t="n"/>
      <c r="C92" s="126" t="n"/>
      <c r="D92" s="127" t="n"/>
      <c r="E92" s="127" t="n"/>
      <c r="F92" s="127" t="n"/>
      <c r="G92" s="127" t="n"/>
      <c r="H92" s="127" t="n"/>
      <c r="I92" s="127" t="n"/>
    </row>
    <row r="93" ht="15" customHeight="1" s="73">
      <c r="A93" s="124" t="n"/>
      <c r="B93" s="125" t="n"/>
      <c r="C93" s="126" t="n"/>
      <c r="D93" s="127" t="n"/>
      <c r="E93" s="127" t="n"/>
      <c r="F93" s="127" t="n"/>
      <c r="G93" s="127" t="n"/>
      <c r="H93" s="127" t="n"/>
      <c r="I93" s="127" t="n"/>
    </row>
    <row r="94" ht="15" customHeight="1" s="73">
      <c r="A94" s="124" t="n"/>
      <c r="B94" s="125" t="n"/>
      <c r="C94" s="126" t="n"/>
      <c r="D94" s="127" t="n"/>
      <c r="E94" s="127" t="n"/>
      <c r="F94" s="127" t="n"/>
      <c r="G94" s="127" t="n"/>
      <c r="H94" s="127" t="n"/>
      <c r="I94" s="127" t="n"/>
    </row>
    <row r="95" ht="15" customHeight="1" s="73">
      <c r="A95" s="124" t="n"/>
      <c r="B95" s="125" t="n"/>
      <c r="C95" s="126" t="n"/>
      <c r="D95" s="127" t="n"/>
      <c r="E95" s="127" t="n"/>
      <c r="F95" s="127" t="n"/>
      <c r="G95" s="127" t="n"/>
      <c r="H95" s="127" t="n"/>
      <c r="I95" s="127" t="n"/>
    </row>
    <row r="96" ht="15" customHeight="1" s="73">
      <c r="A96" s="124" t="n"/>
      <c r="B96" s="125" t="n"/>
      <c r="C96" s="126" t="n"/>
      <c r="D96" s="127" t="n"/>
      <c r="E96" s="127" t="n"/>
      <c r="F96" s="127" t="n"/>
      <c r="G96" s="127" t="n"/>
      <c r="H96" s="127" t="n"/>
      <c r="I96" s="127" t="n"/>
    </row>
    <row r="97" ht="15" customHeight="1" s="73">
      <c r="A97" s="124" t="n"/>
      <c r="B97" s="125" t="n"/>
      <c r="C97" s="126" t="n"/>
      <c r="D97" s="127" t="n"/>
      <c r="E97" s="127" t="n"/>
      <c r="F97" s="127" t="n"/>
      <c r="G97" s="127" t="n"/>
      <c r="H97" s="127" t="n"/>
      <c r="I97" s="127" t="n"/>
    </row>
    <row r="98" ht="15" customHeight="1" s="73">
      <c r="A98" s="124" t="n"/>
      <c r="B98" s="125" t="n"/>
      <c r="C98" s="126" t="n"/>
      <c r="D98" s="127" t="n"/>
      <c r="E98" s="127" t="n"/>
      <c r="F98" s="127" t="n"/>
      <c r="G98" s="127" t="n"/>
      <c r="H98" s="127" t="n"/>
      <c r="I98" s="127" t="n"/>
    </row>
    <row r="99" ht="15" customHeight="1" s="73">
      <c r="A99" s="124" t="n"/>
      <c r="B99" s="125" t="n"/>
      <c r="C99" s="126" t="n"/>
      <c r="D99" s="127" t="n"/>
      <c r="E99" s="127" t="n"/>
      <c r="F99" s="127" t="n"/>
      <c r="G99" s="127" t="n"/>
      <c r="H99" s="127" t="n"/>
      <c r="I99" s="127" t="n"/>
    </row>
    <row r="100" ht="15" customHeight="1" s="73">
      <c r="A100" s="124" t="n"/>
      <c r="B100" s="125" t="n"/>
      <c r="C100" s="126" t="n"/>
      <c r="D100" s="127" t="n"/>
      <c r="E100" s="127" t="n"/>
      <c r="F100" s="127" t="n"/>
      <c r="G100" s="127" t="n"/>
      <c r="H100" s="127" t="n"/>
      <c r="I100" s="127" t="n"/>
    </row>
    <row r="101" ht="15" customHeight="1" s="73">
      <c r="A101" s="124" t="n"/>
      <c r="B101" s="125" t="n"/>
      <c r="C101" s="126" t="n"/>
      <c r="D101" s="127" t="n"/>
      <c r="E101" s="127" t="n"/>
      <c r="F101" s="127" t="n"/>
      <c r="G101" s="127" t="n"/>
      <c r="H101" s="127" t="n"/>
      <c r="I101" s="127" t="n"/>
    </row>
    <row r="102" ht="15" customHeight="1" s="73">
      <c r="A102" s="124" t="n"/>
      <c r="B102" s="125" t="n"/>
      <c r="C102" s="126" t="n"/>
      <c r="D102" s="127" t="n"/>
      <c r="E102" s="127" t="n"/>
      <c r="F102" s="127" t="n"/>
      <c r="G102" s="127" t="n"/>
      <c r="H102" s="127" t="n"/>
      <c r="I102" s="127" t="n"/>
    </row>
    <row r="103" ht="15" customHeight="1" s="73">
      <c r="A103" s="124" t="n"/>
      <c r="B103" s="125" t="n"/>
      <c r="C103" s="126" t="n"/>
      <c r="D103" s="127" t="n"/>
      <c r="E103" s="127" t="n"/>
      <c r="F103" s="127" t="n"/>
      <c r="G103" s="127" t="n"/>
      <c r="H103" s="127" t="n"/>
      <c r="I103" s="127" t="n"/>
    </row>
    <row r="104" ht="15" customHeight="1" s="73">
      <c r="A104" s="124" t="n"/>
      <c r="B104" s="125" t="n"/>
      <c r="C104" s="126" t="n"/>
      <c r="D104" s="127" t="n"/>
      <c r="E104" s="127" t="n"/>
      <c r="F104" s="127" t="n"/>
      <c r="G104" s="127" t="n"/>
      <c r="H104" s="127" t="n"/>
      <c r="I104" s="127" t="n"/>
    </row>
    <row r="105" ht="15" customHeight="1" s="73">
      <c r="A105" s="124" t="n"/>
      <c r="B105" s="125" t="n"/>
      <c r="C105" s="126" t="n"/>
      <c r="D105" s="127" t="n"/>
      <c r="E105" s="127" t="n"/>
      <c r="F105" s="127" t="n"/>
      <c r="G105" s="127" t="n"/>
      <c r="H105" s="127" t="n"/>
      <c r="I105" s="127" t="n"/>
    </row>
    <row r="106" ht="15" customHeight="1" s="73">
      <c r="A106" s="124" t="n"/>
      <c r="B106" s="125" t="n"/>
      <c r="C106" s="126" t="n"/>
      <c r="D106" s="127" t="n"/>
      <c r="E106" s="127" t="n"/>
      <c r="F106" s="127" t="n"/>
      <c r="G106" s="127" t="n"/>
      <c r="H106" s="127" t="n"/>
      <c r="I106" s="127" t="n"/>
    </row>
    <row r="107" ht="15" customHeight="1" s="73">
      <c r="A107" s="124" t="n"/>
      <c r="B107" s="125" t="n"/>
      <c r="C107" s="126" t="n"/>
      <c r="D107" s="127" t="n"/>
      <c r="E107" s="127" t="n"/>
      <c r="F107" s="127" t="n"/>
      <c r="G107" s="127" t="n"/>
      <c r="H107" s="127" t="n"/>
      <c r="I107" s="127" t="n"/>
    </row>
    <row r="108" ht="15" customHeight="1" s="73">
      <c r="A108" s="124" t="n"/>
      <c r="B108" s="125" t="n"/>
      <c r="C108" s="126" t="n"/>
      <c r="D108" s="127" t="n"/>
      <c r="E108" s="127" t="n"/>
      <c r="F108" s="127" t="n"/>
      <c r="G108" s="127" t="n"/>
      <c r="H108" s="127" t="n"/>
      <c r="I108" s="127" t="n"/>
    </row>
    <row r="109" ht="15" customHeight="1" s="73">
      <c r="A109" s="124" t="n"/>
      <c r="B109" s="125" t="n"/>
      <c r="C109" s="126" t="n"/>
      <c r="D109" s="127" t="n"/>
      <c r="E109" s="127" t="n"/>
      <c r="F109" s="127" t="n"/>
      <c r="G109" s="127" t="n"/>
      <c r="H109" s="127" t="n"/>
      <c r="I109" s="127" t="n"/>
    </row>
    <row r="110" ht="15" customHeight="1" s="73">
      <c r="A110" s="124" t="n"/>
      <c r="B110" s="125" t="n"/>
      <c r="C110" s="126" t="n"/>
      <c r="D110" s="127" t="n"/>
      <c r="E110" s="127" t="n"/>
      <c r="F110" s="127" t="n"/>
      <c r="G110" s="127" t="n"/>
      <c r="H110" s="127" t="n"/>
      <c r="I110" s="127" t="n"/>
    </row>
    <row r="111" ht="15" customHeight="1" s="73">
      <c r="A111" s="124" t="n"/>
      <c r="B111" s="125" t="n"/>
      <c r="C111" s="126" t="n"/>
      <c r="D111" s="127" t="n"/>
      <c r="E111" s="127" t="n"/>
      <c r="F111" s="127" t="n"/>
      <c r="G111" s="127" t="n"/>
      <c r="H111" s="127" t="n"/>
      <c r="I111" s="127" t="n"/>
    </row>
    <row r="112" ht="15" customHeight="1" s="73">
      <c r="A112" s="124" t="n"/>
      <c r="B112" s="125" t="n"/>
      <c r="C112" s="126" t="n"/>
      <c r="D112" s="127" t="n"/>
      <c r="E112" s="127" t="n"/>
      <c r="F112" s="127" t="n"/>
      <c r="G112" s="127" t="n"/>
      <c r="H112" s="127" t="n"/>
      <c r="I112" s="127" t="n"/>
    </row>
    <row r="113" ht="15" customHeight="1" s="73">
      <c r="A113" s="124" t="n"/>
      <c r="B113" s="125" t="n"/>
      <c r="C113" s="126" t="n"/>
      <c r="D113" s="127" t="n"/>
      <c r="E113" s="127" t="n"/>
      <c r="F113" s="127" t="n"/>
      <c r="G113" s="127" t="n"/>
      <c r="H113" s="127" t="n"/>
      <c r="I113" s="127" t="n"/>
    </row>
    <row r="114" ht="15" customHeight="1" s="73">
      <c r="A114" s="124" t="n"/>
      <c r="B114" s="125" t="n"/>
      <c r="C114" s="126" t="n"/>
      <c r="D114" s="127" t="n"/>
      <c r="E114" s="127" t="n"/>
      <c r="F114" s="127" t="n"/>
      <c r="G114" s="127" t="n"/>
      <c r="H114" s="127" t="n"/>
      <c r="I114" s="127" t="n"/>
    </row>
    <row r="115" ht="15" customHeight="1" s="73">
      <c r="A115" s="124" t="n"/>
      <c r="B115" s="125" t="n"/>
      <c r="C115" s="126" t="n"/>
      <c r="D115" s="127" t="n"/>
      <c r="E115" s="127" t="n"/>
      <c r="F115" s="127" t="n"/>
      <c r="G115" s="127" t="n"/>
      <c r="H115" s="127" t="n"/>
      <c r="I115" s="127" t="n"/>
    </row>
    <row r="116" ht="15" customHeight="1" s="73">
      <c r="A116" s="124" t="n"/>
      <c r="B116" s="125" t="n"/>
      <c r="C116" s="126" t="n"/>
      <c r="D116" s="127" t="n"/>
      <c r="E116" s="127" t="n"/>
      <c r="F116" s="127" t="n"/>
      <c r="G116" s="127" t="n"/>
      <c r="H116" s="127" t="n"/>
      <c r="I116" s="127" t="n"/>
    </row>
    <row r="117" ht="15" customHeight="1" s="73">
      <c r="A117" s="124" t="n"/>
      <c r="B117" s="125" t="n"/>
      <c r="C117" s="126" t="n"/>
      <c r="D117" s="127" t="n"/>
      <c r="E117" s="127" t="n"/>
      <c r="F117" s="127" t="n"/>
      <c r="G117" s="127" t="n"/>
      <c r="H117" s="127" t="n"/>
      <c r="I117" s="127" t="n"/>
    </row>
    <row r="118" ht="15" customHeight="1" s="73">
      <c r="A118" s="124" t="n"/>
      <c r="B118" s="125" t="n"/>
      <c r="C118" s="126" t="n"/>
      <c r="D118" s="127" t="n"/>
      <c r="E118" s="127" t="n"/>
      <c r="F118" s="127" t="n"/>
      <c r="G118" s="127" t="n"/>
      <c r="H118" s="127" t="n"/>
      <c r="I118" s="127" t="n"/>
    </row>
    <row r="119" ht="15" customHeight="1" s="73">
      <c r="A119" s="124" t="n"/>
      <c r="B119" s="125" t="n"/>
      <c r="C119" s="126" t="n"/>
      <c r="D119" s="127" t="n"/>
      <c r="E119" s="127" t="n"/>
      <c r="F119" s="127" t="n"/>
      <c r="G119" s="127" t="n"/>
      <c r="H119" s="127" t="n"/>
      <c r="I119" s="127" t="n"/>
    </row>
    <row r="120" ht="15" customHeight="1" s="73">
      <c r="A120" s="124" t="n"/>
      <c r="B120" s="125" t="n"/>
      <c r="C120" s="126" t="n"/>
      <c r="D120" s="127" t="n"/>
      <c r="E120" s="127" t="n"/>
      <c r="F120" s="127" t="n"/>
      <c r="G120" s="127" t="n"/>
      <c r="H120" s="127" t="n"/>
      <c r="I120" s="127" t="n"/>
    </row>
    <row r="121" ht="15" customHeight="1" s="73">
      <c r="A121" s="124" t="n"/>
      <c r="B121" s="125" t="n"/>
      <c r="C121" s="126" t="n"/>
      <c r="D121" s="127" t="n"/>
      <c r="E121" s="127" t="n"/>
      <c r="F121" s="127" t="n"/>
      <c r="G121" s="127" t="n"/>
      <c r="H121" s="127" t="n"/>
      <c r="I121" s="127" t="n"/>
    </row>
    <row r="122" ht="15" customHeight="1" s="73">
      <c r="A122" s="124" t="n"/>
      <c r="B122" s="125" t="n"/>
      <c r="C122" s="126" t="n"/>
      <c r="D122" s="127" t="n"/>
      <c r="E122" s="127" t="n"/>
      <c r="F122" s="127" t="n"/>
      <c r="G122" s="127" t="n"/>
      <c r="H122" s="127" t="n"/>
      <c r="I122" s="127" t="n"/>
    </row>
    <row r="123" ht="15" customHeight="1" s="73">
      <c r="A123" s="124" t="n"/>
      <c r="B123" s="125" t="n"/>
      <c r="C123" s="126" t="n"/>
      <c r="D123" s="127" t="n"/>
      <c r="E123" s="127" t="n"/>
      <c r="F123" s="127" t="n"/>
      <c r="G123" s="127" t="n"/>
      <c r="H123" s="127" t="n"/>
      <c r="I123" s="127" t="n"/>
    </row>
    <row r="124" ht="15" customHeight="1" s="73">
      <c r="A124" s="124" t="n"/>
      <c r="B124" s="125" t="n"/>
      <c r="C124" s="126" t="n"/>
      <c r="D124" s="127" t="n"/>
      <c r="E124" s="127" t="n"/>
      <c r="F124" s="127" t="n"/>
      <c r="G124" s="127" t="n"/>
      <c r="H124" s="127" t="n"/>
      <c r="I124" s="127" t="n"/>
    </row>
    <row r="125" ht="15" customHeight="1" s="73">
      <c r="A125" s="124" t="n"/>
      <c r="B125" s="125" t="n"/>
      <c r="C125" s="126" t="n"/>
      <c r="D125" s="127" t="n"/>
      <c r="E125" s="127" t="n"/>
      <c r="F125" s="127" t="n"/>
      <c r="G125" s="127" t="n"/>
      <c r="H125" s="127" t="n"/>
      <c r="I125" s="127" t="n"/>
    </row>
    <row r="126" ht="15" customHeight="1" s="73">
      <c r="A126" s="124" t="n"/>
      <c r="B126" s="125" t="n"/>
      <c r="C126" s="126" t="n"/>
      <c r="D126" s="127" t="n"/>
      <c r="E126" s="127" t="n"/>
      <c r="F126" s="127" t="n"/>
      <c r="G126" s="127" t="n"/>
      <c r="H126" s="127" t="n"/>
      <c r="I126" s="127" t="n"/>
    </row>
    <row r="127" ht="15" customHeight="1" s="73">
      <c r="A127" s="124" t="n"/>
      <c r="B127" s="125" t="n"/>
      <c r="C127" s="126" t="n"/>
      <c r="D127" s="127" t="n"/>
      <c r="E127" s="127" t="n"/>
      <c r="F127" s="127" t="n"/>
      <c r="G127" s="127" t="n"/>
      <c r="H127" s="127" t="n"/>
      <c r="I127" s="127" t="n"/>
    </row>
    <row r="128" ht="15" customHeight="1" s="73">
      <c r="A128" s="124" t="n"/>
      <c r="B128" s="125" t="n"/>
      <c r="C128" s="126" t="n"/>
      <c r="D128" s="127" t="n"/>
      <c r="E128" s="127" t="n"/>
      <c r="F128" s="127" t="n"/>
      <c r="G128" s="127" t="n"/>
      <c r="H128" s="127" t="n"/>
      <c r="I128" s="127" t="n"/>
    </row>
    <row r="129" ht="15" customHeight="1" s="73">
      <c r="A129" s="124" t="n"/>
      <c r="B129" s="125" t="n"/>
      <c r="C129" s="126" t="n"/>
      <c r="D129" s="127" t="n"/>
      <c r="E129" s="127" t="n"/>
      <c r="F129" s="127" t="n"/>
      <c r="G129" s="127" t="n"/>
      <c r="H129" s="127" t="n"/>
      <c r="I129" s="127" t="n"/>
    </row>
    <row r="130" ht="15" customHeight="1" s="73">
      <c r="A130" s="124" t="n"/>
      <c r="B130" s="125" t="n"/>
      <c r="C130" s="126" t="n"/>
      <c r="D130" s="127" t="n"/>
      <c r="E130" s="127" t="n"/>
      <c r="F130" s="127" t="n"/>
      <c r="G130" s="127" t="n"/>
      <c r="H130" s="127" t="n"/>
      <c r="I130" s="127" t="n"/>
    </row>
    <row r="131" ht="15" customHeight="1" s="73">
      <c r="A131" s="124" t="n"/>
      <c r="B131" s="125" t="n"/>
      <c r="C131" s="126" t="n"/>
      <c r="D131" s="127" t="n"/>
      <c r="E131" s="127" t="n"/>
      <c r="F131" s="127" t="n"/>
      <c r="G131" s="127" t="n"/>
      <c r="H131" s="127" t="n"/>
      <c r="I131" s="127" t="n"/>
    </row>
    <row r="132" ht="15" customHeight="1" s="73">
      <c r="A132" s="124" t="n"/>
      <c r="B132" s="125" t="n"/>
      <c r="C132" s="126" t="n"/>
      <c r="D132" s="127" t="n"/>
      <c r="E132" s="127" t="n"/>
      <c r="F132" s="127" t="n"/>
      <c r="G132" s="127" t="n"/>
      <c r="H132" s="127" t="n"/>
      <c r="I132" s="127" t="n"/>
    </row>
    <row r="133" ht="15" customHeight="1" s="73">
      <c r="A133" s="124" t="n"/>
      <c r="B133" s="125" t="n"/>
      <c r="C133" s="126" t="n"/>
      <c r="D133" s="127" t="n"/>
      <c r="E133" s="127" t="n"/>
      <c r="F133" s="127" t="n"/>
      <c r="G133" s="127" t="n"/>
      <c r="H133" s="127" t="n"/>
      <c r="I133" s="127" t="n"/>
    </row>
    <row r="134" ht="15" customHeight="1" s="73">
      <c r="A134" s="124" t="n"/>
      <c r="B134" s="125" t="n"/>
      <c r="C134" s="126" t="n"/>
      <c r="D134" s="127" t="n"/>
      <c r="E134" s="127" t="n"/>
      <c r="F134" s="127" t="n"/>
      <c r="G134" s="127" t="n"/>
      <c r="H134" s="127" t="n"/>
      <c r="I134" s="127" t="n"/>
    </row>
    <row r="135" ht="15" customHeight="1" s="73">
      <c r="A135" s="124" t="n"/>
      <c r="B135" s="125" t="n"/>
      <c r="C135" s="126" t="n"/>
      <c r="D135" s="127" t="n"/>
      <c r="E135" s="127" t="n"/>
      <c r="F135" s="127" t="n"/>
      <c r="G135" s="127" t="n"/>
      <c r="H135" s="127" t="n"/>
      <c r="I135" s="127" t="n"/>
    </row>
    <row r="136" ht="15" customHeight="1" s="73">
      <c r="A136" s="124" t="n"/>
      <c r="B136" s="125" t="n"/>
      <c r="C136" s="126" t="n"/>
      <c r="D136" s="127" t="n"/>
      <c r="E136" s="127" t="n"/>
      <c r="F136" s="127" t="n"/>
      <c r="G136" s="127" t="n"/>
      <c r="H136" s="127" t="n"/>
      <c r="I136" s="127" t="n"/>
    </row>
    <row r="137" ht="15" customHeight="1" s="73">
      <c r="A137" s="124" t="n"/>
      <c r="B137" s="125" t="n"/>
      <c r="C137" s="126" t="n"/>
      <c r="D137" s="127" t="n"/>
      <c r="E137" s="127" t="n"/>
      <c r="F137" s="127" t="n"/>
      <c r="G137" s="127" t="n"/>
      <c r="H137" s="127" t="n"/>
      <c r="I137" s="127" t="n"/>
    </row>
    <row r="138" ht="15" customHeight="1" s="73">
      <c r="A138" s="124" t="n"/>
      <c r="B138" s="125" t="n"/>
      <c r="C138" s="126" t="n"/>
      <c r="D138" s="127" t="n"/>
      <c r="E138" s="127" t="n"/>
      <c r="F138" s="127" t="n"/>
      <c r="G138" s="127" t="n"/>
      <c r="H138" s="127" t="n"/>
      <c r="I138" s="127" t="n"/>
    </row>
    <row r="139" ht="15" customHeight="1" s="73">
      <c r="A139" s="124" t="n"/>
      <c r="B139" s="125" t="n"/>
      <c r="C139" s="126" t="n"/>
      <c r="D139" s="127" t="n"/>
      <c r="E139" s="127" t="n"/>
      <c r="F139" s="127" t="n"/>
      <c r="G139" s="127" t="n"/>
      <c r="H139" s="127" t="n"/>
      <c r="I139" s="127" t="n"/>
    </row>
    <row r="140" ht="15" customHeight="1" s="73">
      <c r="A140" s="124" t="n"/>
      <c r="B140" s="125" t="n"/>
      <c r="C140" s="126" t="n"/>
      <c r="D140" s="127" t="n"/>
      <c r="E140" s="127" t="n"/>
      <c r="F140" s="127" t="n"/>
      <c r="G140" s="127" t="n"/>
      <c r="H140" s="127" t="n"/>
      <c r="I140" s="127" t="n"/>
    </row>
    <row r="141" ht="15" customHeight="1" s="73">
      <c r="A141" s="124" t="n"/>
      <c r="B141" s="125" t="n"/>
      <c r="C141" s="126" t="n"/>
      <c r="D141" s="127" t="n"/>
      <c r="E141" s="127" t="n"/>
      <c r="F141" s="127" t="n"/>
      <c r="G141" s="127" t="n"/>
      <c r="H141" s="127" t="n"/>
      <c r="I141" s="127" t="n"/>
    </row>
    <row r="142" ht="15" customHeight="1" s="73">
      <c r="A142" s="124" t="n"/>
      <c r="B142" s="125" t="n"/>
      <c r="C142" s="126" t="n"/>
      <c r="D142" s="127" t="n"/>
      <c r="E142" s="127" t="n"/>
      <c r="F142" s="127" t="n"/>
      <c r="G142" s="127" t="n"/>
      <c r="H142" s="127" t="n"/>
      <c r="I142" s="127" t="n"/>
    </row>
    <row r="143" ht="15" customHeight="1" s="73">
      <c r="A143" s="124" t="n"/>
      <c r="B143" s="125" t="n"/>
      <c r="C143" s="126" t="n"/>
      <c r="D143" s="127" t="n"/>
      <c r="E143" s="127" t="n"/>
      <c r="F143" s="127" t="n"/>
      <c r="G143" s="127" t="n"/>
      <c r="H143" s="127" t="n"/>
      <c r="I143" s="127" t="n"/>
    </row>
    <row r="144" ht="15" customHeight="1" s="73">
      <c r="A144" s="124" t="n"/>
      <c r="B144" s="125" t="n"/>
      <c r="C144" s="126" t="n"/>
      <c r="D144" s="127" t="n"/>
      <c r="E144" s="127" t="n"/>
      <c r="F144" s="127" t="n"/>
      <c r="G144" s="127" t="n"/>
      <c r="H144" s="127" t="n"/>
      <c r="I144" s="127" t="n"/>
    </row>
    <row r="145" ht="15" customHeight="1" s="73">
      <c r="A145" s="124" t="n"/>
      <c r="B145" s="125" t="n"/>
      <c r="C145" s="126" t="n"/>
      <c r="D145" s="127" t="n"/>
      <c r="E145" s="127" t="n"/>
      <c r="F145" s="127" t="n"/>
      <c r="G145" s="127" t="n"/>
      <c r="H145" s="127" t="n"/>
      <c r="I145" s="127" t="n"/>
    </row>
    <row r="146" ht="15" customHeight="1" s="73">
      <c r="A146" s="124" t="n"/>
      <c r="B146" s="125" t="n"/>
      <c r="C146" s="126" t="n"/>
      <c r="D146" s="127" t="n"/>
      <c r="E146" s="127" t="n"/>
      <c r="F146" s="127" t="n"/>
      <c r="G146" s="127" t="n"/>
      <c r="H146" s="127" t="n"/>
      <c r="I146" s="127" t="n"/>
    </row>
    <row r="147" ht="15" customHeight="1" s="73">
      <c r="A147" s="124" t="n"/>
      <c r="B147" s="125" t="n"/>
      <c r="C147" s="126" t="n"/>
      <c r="D147" s="127" t="n"/>
      <c r="E147" s="127" t="n"/>
      <c r="F147" s="127" t="n"/>
      <c r="G147" s="127" t="n"/>
      <c r="H147" s="127" t="n"/>
      <c r="I147" s="127" t="n"/>
    </row>
    <row r="148" ht="15" customHeight="1" s="73">
      <c r="A148" s="124" t="n"/>
      <c r="B148" s="125" t="n"/>
      <c r="C148" s="126" t="n"/>
      <c r="D148" s="127" t="n"/>
      <c r="E148" s="127" t="n"/>
      <c r="F148" s="127" t="n"/>
      <c r="G148" s="127" t="n"/>
      <c r="H148" s="127" t="n"/>
      <c r="I148" s="127" t="n"/>
    </row>
    <row r="149" ht="15" customHeight="1" s="73">
      <c r="A149" s="124" t="n"/>
      <c r="B149" s="125" t="n"/>
      <c r="C149" s="126" t="n"/>
      <c r="D149" s="127" t="n"/>
      <c r="E149" s="127" t="n"/>
      <c r="F149" s="127" t="n"/>
      <c r="G149" s="127" t="n"/>
      <c r="H149" s="127" t="n"/>
      <c r="I149" s="127" t="n"/>
    </row>
    <row r="150" ht="15" customHeight="1" s="73">
      <c r="A150" s="124" t="n"/>
      <c r="B150" s="125" t="n"/>
      <c r="C150" s="126" t="n"/>
      <c r="D150" s="127" t="n"/>
      <c r="E150" s="127" t="n"/>
      <c r="F150" s="127" t="n"/>
      <c r="G150" s="127" t="n"/>
      <c r="H150" s="127" t="n"/>
      <c r="I150" s="127" t="n"/>
    </row>
    <row r="151" ht="15" customHeight="1" s="73">
      <c r="A151" s="124" t="n"/>
      <c r="B151" s="125" t="n"/>
      <c r="C151" s="126" t="n"/>
      <c r="D151" s="127" t="n"/>
      <c r="E151" s="127" t="n"/>
      <c r="F151" s="127" t="n"/>
      <c r="G151" s="127" t="n"/>
      <c r="H151" s="127" t="n"/>
      <c r="I151" s="127" t="n"/>
    </row>
    <row r="152" ht="15" customHeight="1" s="73">
      <c r="A152" s="124" t="n"/>
      <c r="B152" s="125" t="n"/>
      <c r="C152" s="126" t="n"/>
      <c r="D152" s="127" t="n"/>
      <c r="E152" s="127" t="n"/>
      <c r="F152" s="127" t="n"/>
      <c r="G152" s="127" t="n"/>
      <c r="H152" s="127" t="n"/>
      <c r="I152" s="127" t="n"/>
    </row>
    <row r="153" ht="15" customHeight="1" s="73">
      <c r="A153" s="124" t="n"/>
      <c r="B153" s="125" t="n"/>
      <c r="C153" s="126" t="n"/>
      <c r="D153" s="127" t="n"/>
      <c r="E153" s="127" t="n"/>
      <c r="F153" s="127" t="n"/>
      <c r="G153" s="127" t="n"/>
      <c r="H153" s="127" t="n"/>
      <c r="I153" s="127" t="n"/>
    </row>
    <row r="154" ht="15" customHeight="1" s="73">
      <c r="A154" s="124" t="n"/>
      <c r="B154" s="125" t="n"/>
      <c r="C154" s="126" t="n"/>
      <c r="D154" s="127" t="n"/>
      <c r="E154" s="127" t="n"/>
      <c r="F154" s="127" t="n"/>
      <c r="G154" s="127" t="n"/>
      <c r="H154" s="127" t="n"/>
      <c r="I154" s="127" t="n"/>
    </row>
    <row r="155" ht="15" customHeight="1" s="73">
      <c r="A155" s="124" t="n"/>
      <c r="B155" s="125" t="n"/>
      <c r="C155" s="126" t="n"/>
      <c r="D155" s="127" t="n"/>
      <c r="E155" s="127" t="n"/>
      <c r="F155" s="127" t="n"/>
      <c r="G155" s="127" t="n"/>
      <c r="H155" s="127" t="n"/>
      <c r="I155" s="127" t="n"/>
    </row>
    <row r="156" ht="15" customHeight="1" s="73">
      <c r="A156" s="124" t="n"/>
      <c r="B156" s="125" t="n"/>
      <c r="C156" s="126" t="n"/>
      <c r="D156" s="127" t="n"/>
      <c r="E156" s="127" t="n"/>
      <c r="F156" s="127" t="n"/>
      <c r="G156" s="127" t="n"/>
      <c r="H156" s="127" t="n"/>
      <c r="I156" s="127" t="n"/>
    </row>
    <row r="157" ht="15" customHeight="1" s="73">
      <c r="A157" s="124" t="n"/>
      <c r="B157" s="125" t="n"/>
      <c r="C157" s="126" t="n"/>
      <c r="D157" s="127" t="n"/>
      <c r="E157" s="127" t="n"/>
      <c r="F157" s="127" t="n"/>
      <c r="G157" s="127" t="n"/>
      <c r="H157" s="127" t="n"/>
      <c r="I157" s="127" t="n"/>
    </row>
    <row r="158" ht="15" customHeight="1" s="73">
      <c r="A158" s="124" t="n"/>
      <c r="B158" s="125" t="n"/>
      <c r="C158" s="126" t="n"/>
      <c r="D158" s="127" t="n"/>
      <c r="E158" s="127" t="n"/>
      <c r="F158" s="127" t="n"/>
      <c r="G158" s="127" t="n"/>
      <c r="H158" s="127" t="n"/>
      <c r="I158" s="127" t="n"/>
    </row>
    <row r="159" ht="15" customHeight="1" s="73">
      <c r="A159" s="124" t="n"/>
      <c r="B159" s="125" t="n"/>
      <c r="C159" s="126" t="n"/>
      <c r="D159" s="127" t="n"/>
      <c r="E159" s="127" t="n"/>
      <c r="F159" s="127" t="n"/>
      <c r="G159" s="127" t="n"/>
      <c r="H159" s="127" t="n"/>
      <c r="I159" s="127" t="n"/>
    </row>
    <row r="160" ht="15" customHeight="1" s="73">
      <c r="A160" s="124" t="n"/>
      <c r="B160" s="125" t="n"/>
      <c r="C160" s="126" t="n"/>
      <c r="D160" s="127" t="n"/>
      <c r="E160" s="127" t="n"/>
      <c r="F160" s="127" t="n"/>
      <c r="G160" s="127" t="n"/>
      <c r="H160" s="127" t="n"/>
      <c r="I160" s="127" t="n"/>
    </row>
    <row r="161" ht="15" customHeight="1" s="73">
      <c r="A161" s="124" t="n"/>
      <c r="B161" s="125" t="n"/>
      <c r="C161" s="126" t="n"/>
      <c r="D161" s="127" t="n"/>
      <c r="E161" s="127" t="n"/>
      <c r="F161" s="127" t="n"/>
      <c r="G161" s="127" t="n"/>
      <c r="H161" s="127" t="n"/>
      <c r="I161" s="127" t="n"/>
    </row>
    <row r="162" ht="15" customHeight="1" s="73">
      <c r="A162" s="124" t="n"/>
      <c r="B162" s="125" t="n"/>
      <c r="C162" s="126" t="n"/>
      <c r="D162" s="127" t="n"/>
      <c r="E162" s="127" t="n"/>
      <c r="F162" s="127" t="n"/>
      <c r="G162" s="127" t="n"/>
      <c r="H162" s="127" t="n"/>
      <c r="I162" s="127" t="n"/>
    </row>
    <row r="163" ht="15" customHeight="1" s="73">
      <c r="A163" s="124" t="n"/>
      <c r="B163" s="125" t="n"/>
      <c r="C163" s="126" t="n"/>
      <c r="D163" s="127" t="n"/>
      <c r="E163" s="127" t="n"/>
      <c r="F163" s="127" t="n"/>
      <c r="G163" s="127" t="n"/>
      <c r="H163" s="127" t="n"/>
      <c r="I163" s="127" t="n"/>
    </row>
    <row r="164" ht="15" customHeight="1" s="73">
      <c r="A164" s="124" t="n"/>
      <c r="B164" s="125" t="n"/>
      <c r="C164" s="126" t="n"/>
      <c r="D164" s="127" t="n"/>
      <c r="E164" s="127" t="n"/>
      <c r="F164" s="127" t="n"/>
      <c r="G164" s="127" t="n"/>
      <c r="H164" s="127" t="n"/>
      <c r="I164" s="127" t="n"/>
    </row>
    <row r="165" ht="15" customHeight="1" s="73">
      <c r="A165" s="124" t="n"/>
      <c r="B165" s="125" t="n"/>
      <c r="C165" s="126" t="n"/>
      <c r="D165" s="127" t="n"/>
      <c r="E165" s="127" t="n"/>
      <c r="F165" s="127" t="n"/>
      <c r="G165" s="127" t="n"/>
      <c r="H165" s="127" t="n"/>
      <c r="I165" s="127" t="n"/>
    </row>
    <row r="166" ht="15" customHeight="1" s="73">
      <c r="A166" s="124" t="n"/>
      <c r="B166" s="125" t="n"/>
      <c r="C166" s="126" t="n"/>
      <c r="D166" s="127" t="n"/>
      <c r="E166" s="127" t="n"/>
      <c r="F166" s="127" t="n"/>
      <c r="G166" s="127" t="n"/>
      <c r="H166" s="127" t="n"/>
      <c r="I166" s="127" t="n"/>
    </row>
    <row r="167" ht="15" customHeight="1" s="73">
      <c r="A167" s="124" t="n"/>
      <c r="B167" s="125" t="n"/>
      <c r="C167" s="126" t="n"/>
      <c r="D167" s="127" t="n"/>
      <c r="E167" s="127" t="n"/>
      <c r="F167" s="127" t="n"/>
      <c r="G167" s="127" t="n"/>
      <c r="H167" s="127" t="n"/>
      <c r="I167" s="127" t="n"/>
    </row>
    <row r="168" ht="15" customHeight="1" s="73">
      <c r="A168" s="124" t="n"/>
      <c r="B168" s="125" t="n"/>
      <c r="C168" s="126" t="n"/>
      <c r="D168" s="127" t="n"/>
      <c r="E168" s="127" t="n"/>
      <c r="F168" s="127" t="n"/>
      <c r="G168" s="127" t="n"/>
      <c r="H168" s="127" t="n"/>
      <c r="I168" s="127" t="n"/>
    </row>
    <row r="169" ht="15" customHeight="1" s="73">
      <c r="A169" s="124" t="n"/>
      <c r="B169" s="125" t="n"/>
      <c r="C169" s="126" t="n"/>
      <c r="D169" s="127" t="n"/>
      <c r="E169" s="127" t="n"/>
      <c r="F169" s="127" t="n"/>
      <c r="G169" s="127" t="n"/>
      <c r="H169" s="127" t="n"/>
      <c r="I169" s="127" t="n"/>
    </row>
    <row r="170" ht="15" customHeight="1" s="73">
      <c r="A170" s="124" t="n"/>
      <c r="B170" s="125" t="n"/>
      <c r="C170" s="126" t="n"/>
      <c r="D170" s="127" t="n"/>
      <c r="E170" s="127" t="n"/>
      <c r="F170" s="127" t="n"/>
      <c r="G170" s="127" t="n"/>
      <c r="H170" s="127" t="n"/>
      <c r="I170" s="127" t="n"/>
    </row>
    <row r="171" ht="15" customHeight="1" s="73">
      <c r="A171" s="124" t="n"/>
      <c r="B171" s="125" t="n"/>
      <c r="C171" s="126" t="n"/>
      <c r="D171" s="127" t="n"/>
      <c r="E171" s="127" t="n"/>
      <c r="F171" s="127" t="n"/>
      <c r="G171" s="127" t="n"/>
      <c r="H171" s="127" t="n"/>
      <c r="I171" s="127" t="n"/>
    </row>
    <row r="172" ht="15" customHeight="1" s="73">
      <c r="A172" s="124" t="n"/>
      <c r="B172" s="125" t="n"/>
      <c r="C172" s="126" t="n"/>
      <c r="D172" s="127" t="n"/>
      <c r="E172" s="127" t="n"/>
      <c r="F172" s="127" t="n"/>
      <c r="G172" s="127" t="n"/>
      <c r="H172" s="127" t="n"/>
      <c r="I172" s="127" t="n"/>
    </row>
    <row r="173" ht="15" customHeight="1" s="73">
      <c r="A173" s="124" t="n"/>
      <c r="B173" s="125" t="n"/>
      <c r="C173" s="126" t="n"/>
      <c r="D173" s="127" t="n"/>
      <c r="E173" s="127" t="n"/>
      <c r="F173" s="127" t="n"/>
      <c r="G173" s="127" t="n"/>
      <c r="H173" s="127" t="n"/>
      <c r="I173" s="127" t="n"/>
    </row>
    <row r="174" ht="15" customHeight="1" s="73">
      <c r="A174" s="124" t="n"/>
      <c r="B174" s="125" t="n"/>
      <c r="C174" s="126" t="n"/>
      <c r="D174" s="127" t="n"/>
      <c r="E174" s="127" t="n"/>
      <c r="F174" s="127" t="n"/>
      <c r="G174" s="127" t="n"/>
      <c r="H174" s="127" t="n"/>
      <c r="I174" s="127" t="n"/>
    </row>
    <row r="175" ht="15" customHeight="1" s="73">
      <c r="A175" s="124" t="n"/>
      <c r="B175" s="125" t="n"/>
      <c r="C175" s="126" t="n"/>
      <c r="D175" s="127" t="n"/>
      <c r="E175" s="127" t="n"/>
      <c r="F175" s="127" t="n"/>
      <c r="G175" s="127" t="n"/>
      <c r="H175" s="127" t="n"/>
      <c r="I175" s="127" t="n"/>
    </row>
    <row r="176" ht="15" customHeight="1" s="73">
      <c r="A176" s="124" t="n"/>
      <c r="B176" s="125" t="n"/>
      <c r="C176" s="126" t="n"/>
      <c r="D176" s="127" t="n"/>
      <c r="E176" s="127" t="n"/>
      <c r="F176" s="127" t="n"/>
      <c r="G176" s="127" t="n"/>
      <c r="H176" s="127" t="n"/>
      <c r="I176" s="127" t="n"/>
    </row>
    <row r="177" ht="15" customHeight="1" s="73">
      <c r="A177" s="124" t="n"/>
      <c r="B177" s="125" t="n"/>
      <c r="C177" s="126" t="n"/>
      <c r="D177" s="127" t="n"/>
      <c r="E177" s="127" t="n"/>
      <c r="F177" s="127" t="n"/>
      <c r="G177" s="127" t="n"/>
      <c r="H177" s="127" t="n"/>
      <c r="I177" s="127" t="n"/>
    </row>
    <row r="178" ht="15" customHeight="1" s="73">
      <c r="A178" s="124" t="n"/>
      <c r="B178" s="125" t="n"/>
      <c r="C178" s="126" t="n"/>
      <c r="D178" s="127" t="n"/>
      <c r="E178" s="127" t="n"/>
      <c r="F178" s="127" t="n"/>
      <c r="G178" s="127" t="n"/>
      <c r="H178" s="127" t="n"/>
      <c r="I178" s="127" t="n"/>
    </row>
    <row r="179" ht="15" customHeight="1" s="73">
      <c r="A179" s="124" t="n"/>
      <c r="B179" s="125" t="n"/>
      <c r="C179" s="126" t="n"/>
      <c r="D179" s="127" t="n"/>
      <c r="E179" s="127" t="n"/>
      <c r="F179" s="127" t="n"/>
      <c r="G179" s="127" t="n"/>
      <c r="H179" s="127" t="n"/>
      <c r="I179" s="127" t="n"/>
    </row>
    <row r="180" ht="15" customHeight="1" s="73">
      <c r="A180" s="124" t="n"/>
      <c r="B180" s="125" t="n"/>
      <c r="C180" s="126" t="n"/>
      <c r="D180" s="127" t="n"/>
      <c r="E180" s="127" t="n"/>
      <c r="F180" s="127" t="n"/>
      <c r="G180" s="127" t="n"/>
      <c r="H180" s="127" t="n"/>
      <c r="I180" s="127" t="n"/>
    </row>
    <row r="181" ht="15" customHeight="1" s="73">
      <c r="A181" s="124" t="n"/>
      <c r="B181" s="125" t="n"/>
      <c r="C181" s="126" t="n"/>
      <c r="D181" s="127" t="n"/>
      <c r="E181" s="127" t="n"/>
      <c r="F181" s="127" t="n"/>
      <c r="G181" s="127" t="n"/>
      <c r="H181" s="127" t="n"/>
      <c r="I181" s="127" t="n"/>
    </row>
    <row r="182" ht="15" customHeight="1" s="73">
      <c r="A182" s="124" t="n"/>
      <c r="B182" s="125" t="n"/>
      <c r="C182" s="126" t="n"/>
      <c r="D182" s="127" t="n"/>
      <c r="E182" s="127" t="n"/>
      <c r="F182" s="127" t="n"/>
      <c r="G182" s="127" t="n"/>
      <c r="H182" s="127" t="n"/>
      <c r="I182" s="127" t="n"/>
    </row>
    <row r="183" ht="15" customHeight="1" s="73">
      <c r="A183" s="124" t="n"/>
      <c r="B183" s="125" t="n"/>
      <c r="C183" s="126" t="n"/>
      <c r="D183" s="127" t="n"/>
      <c r="E183" s="127" t="n"/>
      <c r="F183" s="127" t="n"/>
      <c r="G183" s="127" t="n"/>
      <c r="H183" s="127" t="n"/>
      <c r="I183" s="127" t="n"/>
    </row>
    <row r="184" ht="15" customHeight="1" s="73">
      <c r="A184" s="124" t="n"/>
      <c r="B184" s="125" t="n"/>
      <c r="C184" s="126" t="n"/>
      <c r="D184" s="127" t="n"/>
      <c r="E184" s="127" t="n"/>
      <c r="F184" s="127" t="n"/>
      <c r="G184" s="127" t="n"/>
      <c r="H184" s="127" t="n"/>
      <c r="I184" s="127" t="n"/>
    </row>
    <row r="185" ht="15" customHeight="1" s="73">
      <c r="A185" s="124" t="n"/>
      <c r="B185" s="125" t="n"/>
      <c r="C185" s="126" t="n"/>
      <c r="D185" s="127" t="n"/>
      <c r="E185" s="127" t="n"/>
      <c r="F185" s="127" t="n"/>
      <c r="G185" s="127" t="n"/>
      <c r="H185" s="127" t="n"/>
      <c r="I185" s="127" t="n"/>
    </row>
    <row r="186" ht="15" customHeight="1" s="73">
      <c r="A186" s="124" t="n"/>
      <c r="B186" s="125" t="n"/>
      <c r="C186" s="126" t="n"/>
      <c r="D186" s="127" t="n"/>
      <c r="E186" s="127" t="n"/>
      <c r="F186" s="127" t="n"/>
      <c r="G186" s="127" t="n"/>
      <c r="H186" s="127" t="n"/>
      <c r="I186" s="127" t="n"/>
    </row>
    <row r="187" ht="15" customHeight="1" s="73">
      <c r="A187" s="124" t="n"/>
      <c r="B187" s="125" t="n"/>
      <c r="C187" s="126" t="n"/>
      <c r="D187" s="127" t="n"/>
      <c r="E187" s="127" t="n"/>
      <c r="F187" s="127" t="n"/>
      <c r="G187" s="127" t="n"/>
      <c r="H187" s="127" t="n"/>
      <c r="I187" s="127" t="n"/>
    </row>
    <row r="188" ht="15" customHeight="1" s="73">
      <c r="A188" s="124" t="n"/>
      <c r="B188" s="125" t="n"/>
      <c r="C188" s="126" t="n"/>
      <c r="D188" s="127" t="n"/>
      <c r="E188" s="127" t="n"/>
      <c r="F188" s="127" t="n"/>
      <c r="G188" s="127" t="n"/>
      <c r="H188" s="127" t="n"/>
      <c r="I188" s="127" t="n"/>
    </row>
    <row r="189" ht="15" customHeight="1" s="73">
      <c r="A189" s="124" t="n"/>
      <c r="B189" s="125" t="n"/>
      <c r="C189" s="126" t="n"/>
      <c r="D189" s="127" t="n"/>
      <c r="E189" s="127" t="n"/>
      <c r="F189" s="127" t="n"/>
      <c r="G189" s="127" t="n"/>
      <c r="H189" s="127" t="n"/>
      <c r="I189" s="127" t="n"/>
    </row>
    <row r="190" ht="15" customHeight="1" s="73">
      <c r="A190" s="124" t="n"/>
      <c r="B190" s="125" t="n"/>
      <c r="C190" s="126" t="n"/>
      <c r="D190" s="127" t="n"/>
      <c r="E190" s="127" t="n"/>
      <c r="F190" s="127" t="n"/>
      <c r="G190" s="127" t="n"/>
      <c r="H190" s="127" t="n"/>
      <c r="I190" s="127" t="n"/>
    </row>
    <row r="191" ht="15" customHeight="1" s="73">
      <c r="A191" s="124" t="n"/>
      <c r="B191" s="125" t="n"/>
      <c r="C191" s="126" t="n"/>
      <c r="D191" s="127" t="n"/>
      <c r="E191" s="127" t="n"/>
      <c r="F191" s="127" t="n"/>
      <c r="G191" s="127" t="n"/>
      <c r="H191" s="127" t="n"/>
      <c r="I191" s="127" t="n"/>
    </row>
    <row r="192" ht="15" customHeight="1" s="73">
      <c r="A192" s="124" t="n"/>
      <c r="B192" s="125" t="n"/>
      <c r="C192" s="126" t="n"/>
      <c r="D192" s="127" t="n"/>
      <c r="E192" s="127" t="n"/>
      <c r="F192" s="127" t="n"/>
      <c r="G192" s="127" t="n"/>
      <c r="H192" s="127" t="n"/>
      <c r="I192" s="127" t="n"/>
    </row>
    <row r="193" ht="15" customHeight="1" s="73">
      <c r="A193" s="124" t="n"/>
      <c r="B193" s="125" t="n"/>
      <c r="C193" s="126" t="n"/>
      <c r="D193" s="127" t="n"/>
      <c r="E193" s="127" t="n"/>
      <c r="F193" s="127" t="n"/>
      <c r="G193" s="127" t="n"/>
      <c r="H193" s="127" t="n"/>
      <c r="I193" s="127" t="n"/>
    </row>
    <row r="194" ht="15" customHeight="1" s="73">
      <c r="A194" s="124" t="n"/>
      <c r="B194" s="125" t="n"/>
      <c r="C194" s="126" t="n"/>
      <c r="D194" s="127" t="n"/>
      <c r="E194" s="127" t="n"/>
      <c r="F194" s="127" t="n"/>
      <c r="G194" s="127" t="n"/>
      <c r="H194" s="127" t="n"/>
      <c r="I194" s="127" t="n"/>
    </row>
    <row r="195" ht="15" customHeight="1" s="73">
      <c r="A195" s="124" t="n"/>
      <c r="B195" s="125" t="n"/>
      <c r="C195" s="126" t="n"/>
      <c r="D195" s="127" t="n"/>
      <c r="E195" s="127" t="n"/>
      <c r="F195" s="127" t="n"/>
      <c r="G195" s="127" t="n"/>
      <c r="H195" s="127" t="n"/>
      <c r="I195" s="127" t="n"/>
    </row>
    <row r="196" ht="15" customHeight="1" s="73">
      <c r="A196" s="124" t="n"/>
      <c r="B196" s="125" t="n"/>
      <c r="C196" s="126" t="n"/>
      <c r="D196" s="127" t="n"/>
      <c r="E196" s="127" t="n"/>
      <c r="F196" s="127" t="n"/>
      <c r="G196" s="127" t="n"/>
      <c r="H196" s="127" t="n"/>
      <c r="I196" s="127" t="n"/>
    </row>
    <row r="197" ht="15" customHeight="1" s="73">
      <c r="A197" s="124" t="n"/>
      <c r="B197" s="125" t="n"/>
      <c r="C197" s="126" t="n"/>
      <c r="D197" s="127" t="n"/>
      <c r="E197" s="127" t="n"/>
      <c r="F197" s="127" t="n"/>
      <c r="G197" s="127" t="n"/>
      <c r="H197" s="127" t="n"/>
      <c r="I197" s="127" t="n"/>
    </row>
    <row r="198" ht="15" customHeight="1" s="73">
      <c r="A198" s="124" t="n"/>
      <c r="B198" s="125" t="n"/>
      <c r="C198" s="126" t="n"/>
      <c r="D198" s="127" t="n"/>
      <c r="E198" s="127" t="n"/>
      <c r="F198" s="127" t="n"/>
      <c r="G198" s="127" t="n"/>
      <c r="H198" s="127" t="n"/>
      <c r="I198" s="127" t="n"/>
    </row>
    <row r="199" ht="15" customHeight="1" s="73">
      <c r="A199" s="124" t="n"/>
      <c r="B199" s="125" t="n"/>
      <c r="C199" s="126" t="n"/>
      <c r="D199" s="127" t="n"/>
      <c r="E199" s="127" t="n"/>
      <c r="F199" s="127" t="n"/>
      <c r="G199" s="127" t="n"/>
      <c r="H199" s="127" t="n"/>
      <c r="I199" s="127" t="n"/>
    </row>
    <row r="200" ht="15" customHeight="1" s="73">
      <c r="A200" s="124" t="n"/>
      <c r="B200" s="125" t="n"/>
      <c r="C200" s="126" t="n"/>
      <c r="D200" s="127" t="n"/>
      <c r="E200" s="127" t="n"/>
      <c r="F200" s="127" t="n"/>
      <c r="G200" s="127" t="n"/>
      <c r="H200" s="127" t="n"/>
      <c r="I200" s="127" t="n"/>
    </row>
    <row r="201" ht="15" customHeight="1" s="73">
      <c r="A201" s="124" t="n"/>
      <c r="B201" s="125" t="n"/>
      <c r="C201" s="126" t="n"/>
      <c r="D201" s="127" t="n"/>
      <c r="E201" s="127" t="n"/>
      <c r="F201" s="127" t="n"/>
      <c r="G201" s="127" t="n"/>
      <c r="H201" s="127" t="n"/>
      <c r="I201" s="127" t="n"/>
    </row>
    <row r="202" ht="15" customHeight="1" s="73">
      <c r="A202" s="124" t="n"/>
      <c r="B202" s="125" t="n"/>
      <c r="C202" s="126" t="n"/>
      <c r="D202" s="127" t="n"/>
      <c r="E202" s="127" t="n"/>
      <c r="F202" s="127" t="n"/>
      <c r="G202" s="127" t="n"/>
      <c r="H202" s="127" t="n"/>
      <c r="I202" s="127" t="n"/>
    </row>
    <row r="203" ht="15" customHeight="1" s="73">
      <c r="A203" s="124" t="n"/>
      <c r="B203" s="125" t="n"/>
      <c r="C203" s="126" t="n"/>
      <c r="D203" s="127" t="n"/>
      <c r="E203" s="127" t="n"/>
      <c r="F203" s="127" t="n"/>
      <c r="G203" s="127" t="n"/>
      <c r="H203" s="127" t="n"/>
      <c r="I203" s="127" t="n"/>
    </row>
    <row r="204" ht="15" customHeight="1" s="73">
      <c r="A204" s="124" t="n"/>
      <c r="B204" s="125" t="n"/>
      <c r="C204" s="126" t="n"/>
      <c r="D204" s="127" t="n"/>
      <c r="E204" s="127" t="n"/>
      <c r="F204" s="127" t="n"/>
      <c r="G204" s="127" t="n"/>
      <c r="H204" s="127" t="n"/>
      <c r="I204" s="127" t="n"/>
    </row>
    <row r="205" ht="15" customHeight="1" s="73">
      <c r="A205" s="124" t="n"/>
      <c r="B205" s="125" t="n"/>
      <c r="C205" s="126" t="n"/>
      <c r="D205" s="127" t="n"/>
      <c r="E205" s="127" t="n"/>
      <c r="F205" s="127" t="n"/>
      <c r="G205" s="127" t="n"/>
      <c r="H205" s="127" t="n"/>
      <c r="I205" s="127" t="n"/>
    </row>
    <row r="206" ht="15" customHeight="1" s="73">
      <c r="A206" s="124" t="n"/>
      <c r="B206" s="125" t="n"/>
      <c r="C206" s="126" t="n"/>
      <c r="D206" s="127" t="n"/>
      <c r="E206" s="127" t="n"/>
      <c r="F206" s="127" t="n"/>
      <c r="G206" s="127" t="n"/>
      <c r="H206" s="127" t="n"/>
      <c r="I206" s="127" t="n"/>
    </row>
    <row r="207" ht="15" customHeight="1" s="73">
      <c r="A207" s="124" t="n"/>
      <c r="B207" s="125" t="n"/>
      <c r="C207" s="126" t="n"/>
      <c r="D207" s="127" t="n"/>
      <c r="E207" s="127" t="n"/>
      <c r="F207" s="127" t="n"/>
      <c r="G207" s="127" t="n"/>
      <c r="H207" s="127" t="n"/>
      <c r="I207" s="127" t="n"/>
    </row>
    <row r="208" ht="15" customHeight="1" s="73">
      <c r="A208" s="124" t="n"/>
      <c r="B208" s="125" t="n"/>
      <c r="C208" s="126" t="n"/>
      <c r="D208" s="127" t="n"/>
      <c r="E208" s="127" t="n"/>
      <c r="F208" s="127" t="n"/>
      <c r="G208" s="127" t="n"/>
      <c r="H208" s="127" t="n"/>
      <c r="I208" s="127" t="n"/>
    </row>
    <row r="209" ht="15" customHeight="1" s="73">
      <c r="A209" s="124" t="n"/>
      <c r="B209" s="125" t="n"/>
      <c r="C209" s="126" t="n"/>
      <c r="D209" s="127" t="n"/>
      <c r="E209" s="127" t="n"/>
      <c r="F209" s="127" t="n"/>
      <c r="G209" s="127" t="n"/>
      <c r="H209" s="127" t="n"/>
      <c r="I209" s="127" t="n"/>
    </row>
    <row r="210" ht="15" customHeight="1" s="73">
      <c r="A210" s="124" t="n"/>
      <c r="B210" s="125" t="n"/>
      <c r="C210" s="126" t="n"/>
      <c r="D210" s="127" t="n"/>
      <c r="E210" s="127" t="n"/>
      <c r="F210" s="127" t="n"/>
      <c r="G210" s="127" t="n"/>
      <c r="H210" s="127" t="n"/>
      <c r="I210" s="127" t="n"/>
    </row>
    <row r="211" ht="15" customHeight="1" s="73">
      <c r="A211" s="124" t="n"/>
      <c r="B211" s="125" t="n"/>
      <c r="C211" s="126" t="n"/>
      <c r="D211" s="127" t="n"/>
      <c r="E211" s="127" t="n"/>
      <c r="F211" s="127" t="n"/>
      <c r="G211" s="127" t="n"/>
      <c r="H211" s="127" t="n"/>
      <c r="I211" s="127" t="n"/>
    </row>
    <row r="212" ht="15" customHeight="1" s="73">
      <c r="A212" s="124" t="n"/>
      <c r="B212" s="125" t="n"/>
      <c r="C212" s="126" t="n"/>
      <c r="D212" s="127" t="n"/>
      <c r="E212" s="127" t="n"/>
      <c r="F212" s="127" t="n"/>
      <c r="G212" s="127" t="n"/>
      <c r="H212" s="127" t="n"/>
      <c r="I212" s="127" t="n"/>
    </row>
    <row r="213" ht="15" customHeight="1" s="73">
      <c r="A213" s="124" t="n"/>
      <c r="B213" s="125" t="n"/>
      <c r="C213" s="126" t="n"/>
      <c r="D213" s="127" t="n"/>
      <c r="E213" s="127" t="n"/>
      <c r="F213" s="127" t="n"/>
      <c r="G213" s="127" t="n"/>
      <c r="H213" s="127" t="n"/>
      <c r="I213" s="127" t="n"/>
    </row>
    <row r="214" ht="15" customHeight="1" s="73">
      <c r="A214" s="124" t="n"/>
      <c r="B214" s="125" t="n"/>
      <c r="C214" s="126" t="n"/>
      <c r="D214" s="127" t="n"/>
      <c r="E214" s="127" t="n"/>
      <c r="F214" s="127" t="n"/>
      <c r="G214" s="127" t="n"/>
      <c r="H214" s="127" t="n"/>
      <c r="I214" s="127" t="n"/>
    </row>
    <row r="215" ht="15" customHeight="1" s="73">
      <c r="A215" s="124" t="n"/>
      <c r="B215" s="125" t="n"/>
      <c r="C215" s="126" t="n"/>
      <c r="D215" s="127" t="n"/>
      <c r="E215" s="127" t="n"/>
      <c r="F215" s="127" t="n"/>
      <c r="G215" s="127" t="n"/>
      <c r="H215" s="127" t="n"/>
      <c r="I215" s="127" t="n"/>
    </row>
    <row r="216" ht="15" customHeight="1" s="73">
      <c r="A216" s="124" t="n"/>
      <c r="B216" s="125" t="n"/>
      <c r="C216" s="126" t="n"/>
      <c r="D216" s="127" t="n"/>
      <c r="E216" s="127" t="n"/>
      <c r="F216" s="127" t="n"/>
      <c r="G216" s="127" t="n"/>
      <c r="H216" s="127" t="n"/>
      <c r="I216" s="127" t="n"/>
    </row>
    <row r="217" ht="15" customHeight="1" s="73">
      <c r="A217" s="124" t="n"/>
      <c r="B217" s="125" t="n"/>
      <c r="C217" s="126" t="n"/>
      <c r="D217" s="127" t="n"/>
      <c r="E217" s="127" t="n"/>
      <c r="F217" s="127" t="n"/>
      <c r="G217" s="127" t="n"/>
      <c r="H217" s="127" t="n"/>
      <c r="I217" s="127" t="n"/>
    </row>
    <row r="218" ht="15" customHeight="1" s="73">
      <c r="A218" s="124" t="n"/>
      <c r="B218" s="125" t="n"/>
      <c r="C218" s="126" t="n"/>
      <c r="D218" s="127" t="n"/>
      <c r="E218" s="127" t="n"/>
      <c r="F218" s="127" t="n"/>
      <c r="G218" s="127" t="n"/>
      <c r="H218" s="127" t="n"/>
      <c r="I218" s="127" t="n"/>
    </row>
    <row r="219" ht="15" customHeight="1" s="73">
      <c r="A219" s="124" t="n"/>
      <c r="B219" s="125" t="n"/>
      <c r="C219" s="126" t="n"/>
      <c r="D219" s="127" t="n"/>
      <c r="E219" s="127" t="n"/>
      <c r="F219" s="127" t="n"/>
      <c r="G219" s="127" t="n"/>
      <c r="H219" s="127" t="n"/>
      <c r="I219" s="127" t="n"/>
    </row>
    <row r="220" ht="15" customHeight="1" s="73">
      <c r="A220" s="124" t="n"/>
      <c r="B220" s="125" t="n"/>
      <c r="C220" s="126" t="n"/>
      <c r="D220" s="127" t="n"/>
      <c r="E220" s="127" t="n"/>
      <c r="F220" s="127" t="n"/>
      <c r="G220" s="127" t="n"/>
      <c r="H220" s="127" t="n"/>
      <c r="I220" s="127" t="n"/>
    </row>
    <row r="221" ht="15" customHeight="1" s="73">
      <c r="A221" s="124" t="n"/>
      <c r="B221" s="125" t="n"/>
      <c r="C221" s="126" t="n"/>
      <c r="D221" s="127" t="n"/>
      <c r="E221" s="127" t="n"/>
      <c r="F221" s="127" t="n"/>
      <c r="G221" s="127" t="n"/>
      <c r="H221" s="127" t="n"/>
      <c r="I221" s="127" t="n"/>
    </row>
    <row r="222" ht="15" customHeight="1" s="73">
      <c r="A222" s="124" t="n"/>
      <c r="B222" s="125" t="n"/>
      <c r="C222" s="126" t="n"/>
      <c r="D222" s="127" t="n"/>
      <c r="E222" s="127" t="n"/>
      <c r="F222" s="127" t="n"/>
      <c r="G222" s="127" t="n"/>
      <c r="H222" s="127" t="n"/>
      <c r="I222" s="127" t="n"/>
    </row>
    <row r="223" ht="15" customHeight="1" s="73">
      <c r="A223" s="124" t="n"/>
      <c r="B223" s="125" t="n"/>
      <c r="C223" s="126" t="n"/>
      <c r="D223" s="127" t="n"/>
      <c r="E223" s="127" t="n"/>
      <c r="F223" s="127" t="n"/>
      <c r="G223" s="127" t="n"/>
      <c r="H223" s="127" t="n"/>
      <c r="I223" s="127" t="n"/>
    </row>
    <row r="224" ht="15" customHeight="1" s="73">
      <c r="A224" s="124" t="n"/>
      <c r="B224" s="125" t="n"/>
      <c r="C224" s="126" t="n"/>
      <c r="D224" s="127" t="n"/>
      <c r="E224" s="127" t="n"/>
      <c r="F224" s="127" t="n"/>
      <c r="G224" s="127" t="n"/>
      <c r="H224" s="127" t="n"/>
      <c r="I224" s="127" t="n"/>
    </row>
    <row r="225" ht="15" customHeight="1" s="73">
      <c r="A225" s="124" t="n"/>
      <c r="B225" s="125" t="n"/>
      <c r="C225" s="126" t="n"/>
      <c r="D225" s="127" t="n"/>
      <c r="E225" s="127" t="n"/>
      <c r="F225" s="127" t="n"/>
      <c r="G225" s="127" t="n"/>
      <c r="H225" s="127" t="n"/>
      <c r="I225" s="127" t="n"/>
    </row>
    <row r="226" ht="15" customHeight="1" s="73">
      <c r="A226" s="124" t="n"/>
      <c r="B226" s="125" t="n"/>
      <c r="C226" s="126" t="n"/>
      <c r="D226" s="127" t="n"/>
      <c r="E226" s="127" t="n"/>
      <c r="F226" s="127" t="n"/>
      <c r="G226" s="127" t="n"/>
      <c r="H226" s="127" t="n"/>
      <c r="I226" s="127" t="n"/>
    </row>
    <row r="227" ht="15" customHeight="1" s="73">
      <c r="A227" s="124" t="n"/>
      <c r="B227" s="125" t="n"/>
      <c r="C227" s="126" t="n"/>
      <c r="D227" s="127" t="n"/>
      <c r="E227" s="127" t="n"/>
      <c r="F227" s="127" t="n"/>
      <c r="G227" s="127" t="n"/>
      <c r="H227" s="127" t="n"/>
      <c r="I227" s="127" t="n"/>
    </row>
    <row r="228" ht="15" customHeight="1" s="73">
      <c r="A228" s="124" t="n"/>
      <c r="B228" s="125" t="n"/>
      <c r="C228" s="126" t="n"/>
      <c r="D228" s="127" t="n"/>
      <c r="E228" s="127" t="n"/>
      <c r="F228" s="127" t="n"/>
      <c r="G228" s="127" t="n"/>
      <c r="H228" s="127" t="n"/>
      <c r="I228" s="127" t="n"/>
    </row>
    <row r="229" ht="15" customHeight="1" s="73">
      <c r="A229" s="124" t="n"/>
      <c r="B229" s="125" t="n"/>
      <c r="C229" s="126" t="n"/>
      <c r="D229" s="127" t="n"/>
      <c r="E229" s="127" t="n"/>
      <c r="F229" s="127" t="n"/>
      <c r="G229" s="127" t="n"/>
      <c r="H229" s="127" t="n"/>
      <c r="I229" s="127" t="n"/>
    </row>
    <row r="230" ht="15" customHeight="1" s="73">
      <c r="A230" s="124" t="n"/>
      <c r="B230" s="125" t="n"/>
      <c r="C230" s="126" t="n"/>
      <c r="D230" s="127" t="n"/>
      <c r="E230" s="127" t="n"/>
      <c r="F230" s="127" t="n"/>
      <c r="G230" s="127" t="n"/>
      <c r="H230" s="127" t="n"/>
      <c r="I230" s="127" t="n"/>
    </row>
    <row r="231" ht="15" customHeight="1" s="73">
      <c r="A231" s="124" t="n"/>
      <c r="B231" s="125" t="n"/>
      <c r="C231" s="126" t="n"/>
      <c r="D231" s="127" t="n"/>
      <c r="E231" s="127" t="n"/>
      <c r="F231" s="127" t="n"/>
      <c r="G231" s="127" t="n"/>
      <c r="H231" s="127" t="n"/>
      <c r="I231" s="127" t="n"/>
    </row>
    <row r="232" ht="15" customHeight="1" s="73">
      <c r="A232" s="124" t="n"/>
      <c r="B232" s="125" t="n"/>
      <c r="C232" s="126" t="n"/>
      <c r="D232" s="127" t="n"/>
      <c r="E232" s="127" t="n"/>
      <c r="F232" s="127" t="n"/>
      <c r="G232" s="127" t="n"/>
      <c r="H232" s="127" t="n"/>
      <c r="I232" s="127" t="n"/>
    </row>
    <row r="233" ht="15" customHeight="1" s="73">
      <c r="A233" s="124" t="n"/>
      <c r="B233" s="125" t="n"/>
      <c r="C233" s="126" t="n"/>
      <c r="D233" s="127" t="n"/>
      <c r="E233" s="127" t="n"/>
      <c r="F233" s="127" t="n"/>
      <c r="G233" s="127" t="n"/>
      <c r="H233" s="127" t="n"/>
      <c r="I233" s="127" t="n"/>
    </row>
    <row r="234" ht="15" customHeight="1" s="73">
      <c r="A234" s="124" t="n"/>
      <c r="B234" s="125" t="n"/>
      <c r="C234" s="126" t="n"/>
      <c r="D234" s="127" t="n"/>
      <c r="E234" s="127" t="n"/>
      <c r="F234" s="127" t="n"/>
      <c r="G234" s="127" t="n"/>
      <c r="H234" s="127" t="n"/>
      <c r="I234" s="127" t="n"/>
    </row>
    <row r="235" ht="15" customHeight="1" s="73">
      <c r="A235" s="124" t="n"/>
      <c r="B235" s="125" t="n"/>
      <c r="C235" s="126" t="n"/>
      <c r="D235" s="127" t="n"/>
      <c r="E235" s="127" t="n"/>
      <c r="F235" s="127" t="n"/>
      <c r="G235" s="127" t="n"/>
      <c r="H235" s="127" t="n"/>
      <c r="I235" s="127" t="n"/>
    </row>
    <row r="236" ht="15" customHeight="1" s="73">
      <c r="A236" s="124" t="n"/>
      <c r="B236" s="125" t="n"/>
      <c r="C236" s="126" t="n"/>
      <c r="D236" s="127" t="n"/>
      <c r="E236" s="127" t="n"/>
      <c r="F236" s="127" t="n"/>
      <c r="G236" s="127" t="n"/>
      <c r="H236" s="127" t="n"/>
      <c r="I236" s="127" t="n"/>
    </row>
    <row r="237" ht="15" customHeight="1" s="73">
      <c r="A237" s="124" t="n"/>
      <c r="B237" s="125" t="n"/>
      <c r="C237" s="126" t="n"/>
      <c r="D237" s="127" t="n"/>
      <c r="E237" s="127" t="n"/>
      <c r="F237" s="127" t="n"/>
      <c r="G237" s="127" t="n"/>
      <c r="H237" s="127" t="n"/>
      <c r="I237" s="127" t="n"/>
    </row>
    <row r="238" ht="15" customHeight="1" s="73">
      <c r="A238" s="124" t="n"/>
      <c r="B238" s="125" t="n"/>
      <c r="C238" s="126" t="n"/>
      <c r="D238" s="127" t="n"/>
      <c r="E238" s="127" t="n"/>
      <c r="F238" s="127" t="n"/>
      <c r="G238" s="127" t="n"/>
      <c r="H238" s="127" t="n"/>
      <c r="I238" s="127" t="n"/>
    </row>
    <row r="239" ht="15" customHeight="1" s="73">
      <c r="A239" s="124" t="n"/>
      <c r="B239" s="125" t="n"/>
      <c r="C239" s="126" t="n"/>
      <c r="D239" s="127" t="n"/>
      <c r="E239" s="127" t="n"/>
      <c r="F239" s="127" t="n"/>
      <c r="G239" s="127" t="n"/>
      <c r="H239" s="127" t="n"/>
      <c r="I239" s="127" t="n"/>
    </row>
    <row r="240" ht="15" customHeight="1" s="73">
      <c r="A240" s="124" t="n"/>
      <c r="B240" s="125" t="n"/>
      <c r="C240" s="126" t="n"/>
      <c r="D240" s="127" t="n"/>
      <c r="E240" s="127" t="n"/>
      <c r="F240" s="127" t="n"/>
      <c r="G240" s="127" t="n"/>
      <c r="H240" s="127" t="n"/>
      <c r="I240" s="127" t="n"/>
    </row>
    <row r="241" ht="15" customHeight="1" s="73">
      <c r="A241" s="124" t="n"/>
      <c r="B241" s="125" t="n"/>
      <c r="C241" s="126" t="n"/>
      <c r="D241" s="127" t="n"/>
      <c r="E241" s="127" t="n"/>
      <c r="F241" s="127" t="n"/>
      <c r="G241" s="127" t="n"/>
      <c r="H241" s="127" t="n"/>
      <c r="I241" s="127" t="n"/>
    </row>
    <row r="242" ht="15" customHeight="1" s="73">
      <c r="A242" s="124" t="n"/>
      <c r="B242" s="125" t="n"/>
      <c r="C242" s="126" t="n"/>
      <c r="D242" s="127" t="n"/>
      <c r="E242" s="127" t="n"/>
      <c r="F242" s="127" t="n"/>
      <c r="G242" s="127" t="n"/>
      <c r="H242" s="127" t="n"/>
      <c r="I242" s="127" t="n"/>
    </row>
    <row r="243" ht="15" customHeight="1" s="73">
      <c r="A243" s="124" t="n"/>
      <c r="B243" s="125" t="n"/>
      <c r="C243" s="126" t="n"/>
      <c r="D243" s="127" t="n"/>
      <c r="E243" s="127" t="n"/>
      <c r="F243" s="127" t="n"/>
      <c r="G243" s="127" t="n"/>
      <c r="H243" s="127" t="n"/>
      <c r="I243" s="127" t="n"/>
    </row>
    <row r="244" ht="15" customHeight="1" s="73">
      <c r="A244" s="124" t="n"/>
      <c r="B244" s="125" t="n"/>
      <c r="C244" s="126" t="n"/>
      <c r="D244" s="127" t="n"/>
      <c r="E244" s="127" t="n"/>
      <c r="F244" s="127" t="n"/>
      <c r="G244" s="127" t="n"/>
      <c r="H244" s="127" t="n"/>
      <c r="I244" s="127" t="n"/>
    </row>
    <row r="245" ht="15" customHeight="1" s="73">
      <c r="A245" s="124" t="n"/>
      <c r="B245" s="125" t="n"/>
      <c r="C245" s="126" t="n"/>
      <c r="D245" s="127" t="n"/>
      <c r="E245" s="127" t="n"/>
      <c r="F245" s="127" t="n"/>
      <c r="G245" s="127" t="n"/>
      <c r="H245" s="127" t="n"/>
      <c r="I245" s="127" t="n"/>
    </row>
    <row r="246" ht="15" customHeight="1" s="73">
      <c r="A246" s="124" t="n"/>
      <c r="B246" s="125" t="n"/>
      <c r="C246" s="126" t="n"/>
      <c r="D246" s="127" t="n"/>
      <c r="E246" s="127" t="n"/>
      <c r="F246" s="127" t="n"/>
      <c r="G246" s="127" t="n"/>
      <c r="H246" s="127" t="n"/>
      <c r="I246" s="127" t="n"/>
    </row>
    <row r="247" ht="15" customHeight="1" s="73">
      <c r="A247" s="124" t="n"/>
      <c r="B247" s="125" t="n"/>
      <c r="C247" s="126" t="n"/>
      <c r="D247" s="127" t="n"/>
      <c r="E247" s="127" t="n"/>
      <c r="F247" s="127" t="n"/>
      <c r="G247" s="127" t="n"/>
      <c r="H247" s="127" t="n"/>
      <c r="I247" s="127" t="n"/>
    </row>
    <row r="248" ht="15" customHeight="1" s="73">
      <c r="A248" s="124" t="n"/>
      <c r="B248" s="125" t="n"/>
      <c r="C248" s="126" t="n"/>
      <c r="D248" s="127" t="n"/>
      <c r="E248" s="127" t="n"/>
      <c r="F248" s="127" t="n"/>
      <c r="G248" s="127" t="n"/>
      <c r="H248" s="127" t="n"/>
      <c r="I248" s="127" t="n"/>
    </row>
    <row r="249" ht="15" customHeight="1" s="73">
      <c r="A249" s="124" t="n"/>
      <c r="B249" s="125" t="n"/>
      <c r="C249" s="126" t="n"/>
      <c r="D249" s="127" t="n"/>
      <c r="E249" s="127" t="n"/>
      <c r="F249" s="127" t="n"/>
      <c r="G249" s="127" t="n"/>
      <c r="H249" s="127" t="n"/>
      <c r="I249" s="127" t="n"/>
    </row>
    <row r="250" ht="15" customHeight="1" s="73">
      <c r="A250" s="124" t="n"/>
      <c r="B250" s="125" t="n"/>
      <c r="C250" s="126" t="n"/>
      <c r="D250" s="127" t="n"/>
      <c r="E250" s="127" t="n"/>
      <c r="F250" s="127" t="n"/>
      <c r="G250" s="127" t="n"/>
      <c r="H250" s="127" t="n"/>
      <c r="I250" s="127" t="n"/>
    </row>
    <row r="251" ht="15" customHeight="1" s="73">
      <c r="A251" s="124" t="n"/>
      <c r="B251" s="125" t="n"/>
      <c r="C251" s="126" t="n"/>
      <c r="D251" s="127" t="n"/>
      <c r="E251" s="127" t="n"/>
      <c r="F251" s="127" t="n"/>
      <c r="G251" s="127" t="n"/>
      <c r="H251" s="127" t="n"/>
      <c r="I251" s="127" t="n"/>
    </row>
    <row r="252" ht="15" customHeight="1" s="73">
      <c r="A252" s="124" t="n"/>
      <c r="B252" s="125" t="n"/>
      <c r="C252" s="126" t="n"/>
      <c r="D252" s="127" t="n"/>
      <c r="E252" s="127" t="n"/>
      <c r="F252" s="127" t="n"/>
      <c r="G252" s="127" t="n"/>
      <c r="H252" s="127" t="n"/>
      <c r="I252" s="127" t="n"/>
    </row>
    <row r="253" ht="15" customHeight="1" s="73">
      <c r="A253" s="124" t="n"/>
      <c r="B253" s="125" t="n"/>
      <c r="C253" s="126" t="n"/>
      <c r="D253" s="127" t="n"/>
      <c r="E253" s="127" t="n"/>
      <c r="F253" s="127" t="n"/>
      <c r="G253" s="127" t="n"/>
      <c r="H253" s="127" t="n"/>
      <c r="I253" s="127" t="n"/>
    </row>
    <row r="254" ht="15" customHeight="1" s="73">
      <c r="A254" s="124" t="n"/>
      <c r="B254" s="125" t="n"/>
      <c r="C254" s="126" t="n"/>
      <c r="D254" s="127" t="n"/>
      <c r="E254" s="127" t="n"/>
      <c r="F254" s="127" t="n"/>
      <c r="G254" s="127" t="n"/>
      <c r="H254" s="127" t="n"/>
      <c r="I254" s="127" t="n"/>
    </row>
    <row r="255" ht="15" customHeight="1" s="73">
      <c r="A255" s="124" t="n"/>
      <c r="B255" s="125" t="n"/>
      <c r="C255" s="126" t="n"/>
      <c r="D255" s="127" t="n"/>
      <c r="E255" s="127" t="n"/>
      <c r="F255" s="127" t="n"/>
      <c r="G255" s="127" t="n"/>
      <c r="H255" s="127" t="n"/>
      <c r="I255" s="127" t="n"/>
    </row>
    <row r="256" ht="15" customHeight="1" s="73">
      <c r="A256" s="124" t="n"/>
      <c r="B256" s="125" t="n"/>
      <c r="C256" s="126" t="n"/>
      <c r="D256" s="127" t="n"/>
      <c r="E256" s="127" t="n"/>
      <c r="F256" s="127" t="n"/>
      <c r="G256" s="127" t="n"/>
      <c r="H256" s="127" t="n"/>
      <c r="I256" s="127" t="n"/>
    </row>
    <row r="257" ht="15" customHeight="1" s="73">
      <c r="A257" s="124" t="n"/>
      <c r="B257" s="125" t="n"/>
      <c r="C257" s="126" t="n"/>
      <c r="D257" s="127" t="n"/>
      <c r="E257" s="127" t="n"/>
      <c r="F257" s="127" t="n"/>
      <c r="G257" s="127" t="n"/>
      <c r="H257" s="127" t="n"/>
      <c r="I257" s="127" t="n"/>
    </row>
    <row r="258" ht="15" customHeight="1" s="73">
      <c r="A258" s="124" t="n"/>
      <c r="B258" s="125" t="n"/>
      <c r="C258" s="126" t="n"/>
      <c r="D258" s="127" t="n"/>
      <c r="E258" s="127" t="n"/>
      <c r="F258" s="127" t="n"/>
      <c r="G258" s="127" t="n"/>
      <c r="H258" s="127" t="n"/>
      <c r="I258" s="127" t="n"/>
    </row>
    <row r="259" ht="15" customHeight="1" s="73">
      <c r="A259" s="124" t="n"/>
      <c r="B259" s="125" t="n"/>
      <c r="C259" s="126" t="n"/>
      <c r="D259" s="127" t="n"/>
      <c r="E259" s="127" t="n"/>
      <c r="F259" s="127" t="n"/>
      <c r="G259" s="127" t="n"/>
      <c r="H259" s="127" t="n"/>
      <c r="I259" s="127" t="n"/>
    </row>
    <row r="260" ht="15" customHeight="1" s="73">
      <c r="A260" s="124" t="n"/>
      <c r="B260" s="125" t="n"/>
      <c r="C260" s="126" t="n"/>
      <c r="D260" s="127" t="n"/>
      <c r="E260" s="127" t="n"/>
      <c r="F260" s="127" t="n"/>
      <c r="G260" s="127" t="n"/>
      <c r="H260" s="127" t="n"/>
      <c r="I260" s="127" t="n"/>
    </row>
    <row r="261" ht="15" customHeight="1" s="73">
      <c r="A261" s="124" t="n"/>
      <c r="B261" s="125" t="n"/>
      <c r="C261" s="126" t="n"/>
      <c r="D261" s="127" t="n"/>
      <c r="E261" s="127" t="n"/>
      <c r="F261" s="127" t="n"/>
      <c r="G261" s="127" t="n"/>
      <c r="H261" s="127" t="n"/>
      <c r="I261" s="127" t="n"/>
    </row>
    <row r="262" ht="15" customHeight="1" s="73">
      <c r="A262" s="124" t="n"/>
      <c r="B262" s="125" t="n"/>
      <c r="C262" s="126" t="n"/>
      <c r="D262" s="127" t="n"/>
      <c r="E262" s="127" t="n"/>
      <c r="F262" s="127" t="n"/>
      <c r="G262" s="127" t="n"/>
      <c r="H262" s="127" t="n"/>
      <c r="I262" s="127" t="n"/>
    </row>
    <row r="263" ht="15" customHeight="1" s="73">
      <c r="A263" s="124" t="n"/>
      <c r="B263" s="125" t="n"/>
      <c r="C263" s="126" t="n"/>
      <c r="D263" s="127" t="n"/>
      <c r="E263" s="127" t="n"/>
      <c r="F263" s="127" t="n"/>
      <c r="G263" s="127" t="n"/>
      <c r="H263" s="127" t="n"/>
      <c r="I263" s="127" t="n"/>
    </row>
    <row r="264" ht="15" customHeight="1" s="73">
      <c r="A264" s="124" t="n"/>
      <c r="B264" s="125" t="n"/>
      <c r="C264" s="126" t="n"/>
      <c r="D264" s="127" t="n"/>
      <c r="E264" s="127" t="n"/>
      <c r="F264" s="127" t="n"/>
      <c r="G264" s="127" t="n"/>
      <c r="H264" s="127" t="n"/>
      <c r="I264" s="127" t="n"/>
    </row>
    <row r="265" ht="15" customHeight="1" s="73">
      <c r="A265" s="124" t="n"/>
      <c r="B265" s="125" t="n"/>
      <c r="C265" s="126" t="n"/>
      <c r="D265" s="127" t="n"/>
      <c r="E265" s="127" t="n"/>
      <c r="F265" s="127" t="n"/>
      <c r="G265" s="127" t="n"/>
      <c r="H265" s="127" t="n"/>
      <c r="I265" s="127" t="n"/>
    </row>
    <row r="266" ht="15" customHeight="1" s="73">
      <c r="A266" s="124" t="n"/>
      <c r="B266" s="125" t="n"/>
      <c r="C266" s="126" t="n"/>
      <c r="D266" s="127" t="n"/>
      <c r="E266" s="127" t="n"/>
      <c r="F266" s="127" t="n"/>
      <c r="G266" s="127" t="n"/>
      <c r="H266" s="127" t="n"/>
      <c r="I266" s="127" t="n"/>
    </row>
    <row r="267" ht="15" customHeight="1" s="73">
      <c r="A267" s="124" t="n"/>
      <c r="B267" s="125" t="n"/>
      <c r="C267" s="126" t="n"/>
      <c r="D267" s="127" t="n"/>
      <c r="E267" s="127" t="n"/>
      <c r="F267" s="127" t="n"/>
      <c r="G267" s="127" t="n"/>
      <c r="H267" s="127" t="n"/>
      <c r="I267" s="127" t="n"/>
    </row>
    <row r="268" ht="15" customHeight="1" s="73">
      <c r="A268" s="124" t="n"/>
      <c r="B268" s="125" t="n"/>
      <c r="C268" s="126" t="n"/>
      <c r="D268" s="127" t="n"/>
      <c r="E268" s="127" t="n"/>
      <c r="F268" s="127" t="n"/>
      <c r="G268" s="127" t="n"/>
      <c r="H268" s="127" t="n"/>
      <c r="I268" s="127" t="n"/>
    </row>
    <row r="269" ht="15" customHeight="1" s="73">
      <c r="A269" s="124" t="n"/>
      <c r="B269" s="125" t="n"/>
      <c r="C269" s="126" t="n"/>
      <c r="D269" s="127" t="n"/>
      <c r="E269" s="127" t="n"/>
      <c r="F269" s="127" t="n"/>
      <c r="G269" s="127" t="n"/>
      <c r="H269" s="127" t="n"/>
      <c r="I269" s="127" t="n"/>
    </row>
    <row r="270" ht="15" customHeight="1" s="73">
      <c r="A270" s="124" t="n"/>
      <c r="B270" s="125" t="n"/>
      <c r="C270" s="126" t="n"/>
      <c r="D270" s="127" t="n"/>
      <c r="E270" s="127" t="n"/>
      <c r="F270" s="127" t="n"/>
      <c r="G270" s="127" t="n"/>
      <c r="H270" s="127" t="n"/>
      <c r="I270" s="127" t="n"/>
    </row>
    <row r="271" ht="15" customHeight="1" s="73">
      <c r="A271" s="124" t="n"/>
      <c r="B271" s="125" t="n"/>
      <c r="C271" s="126" t="n"/>
      <c r="D271" s="127" t="n"/>
      <c r="E271" s="127" t="n"/>
      <c r="F271" s="127" t="n"/>
      <c r="G271" s="127" t="n"/>
      <c r="H271" s="127" t="n"/>
      <c r="I271" s="127" t="n"/>
    </row>
    <row r="272" ht="15" customHeight="1" s="73">
      <c r="A272" s="124" t="n"/>
      <c r="B272" s="125" t="n"/>
      <c r="C272" s="126" t="n"/>
      <c r="D272" s="127" t="n"/>
      <c r="E272" s="127" t="n"/>
      <c r="F272" s="127" t="n"/>
      <c r="G272" s="127" t="n"/>
      <c r="H272" s="127" t="n"/>
      <c r="I272" s="127" t="n"/>
    </row>
    <row r="273" ht="15" customHeight="1" s="73">
      <c r="A273" s="124" t="n"/>
      <c r="B273" s="125" t="n"/>
      <c r="C273" s="126" t="n"/>
      <c r="D273" s="127" t="n"/>
      <c r="E273" s="127" t="n"/>
      <c r="F273" s="127" t="n"/>
      <c r="G273" s="127" t="n"/>
      <c r="H273" s="127" t="n"/>
      <c r="I273" s="127" t="n"/>
    </row>
    <row r="274" ht="15" customHeight="1" s="73">
      <c r="A274" s="124" t="n"/>
      <c r="B274" s="125" t="n"/>
      <c r="C274" s="126" t="n"/>
      <c r="D274" s="127" t="n"/>
      <c r="E274" s="127" t="n"/>
      <c r="F274" s="127" t="n"/>
      <c r="G274" s="127" t="n"/>
      <c r="H274" s="127" t="n"/>
      <c r="I274" s="127" t="n"/>
    </row>
    <row r="275" ht="15" customHeight="1" s="73">
      <c r="A275" s="124" t="n"/>
      <c r="B275" s="125" t="n"/>
      <c r="C275" s="126" t="n"/>
      <c r="D275" s="127" t="n"/>
      <c r="E275" s="127" t="n"/>
      <c r="F275" s="127" t="n"/>
      <c r="G275" s="127" t="n"/>
      <c r="H275" s="127" t="n"/>
      <c r="I275" s="127" t="n"/>
    </row>
    <row r="276" ht="15" customHeight="1" s="73">
      <c r="A276" s="124" t="n"/>
      <c r="B276" s="125" t="n"/>
      <c r="C276" s="126" t="n"/>
      <c r="D276" s="127" t="n"/>
      <c r="E276" s="127" t="n"/>
      <c r="F276" s="127" t="n"/>
      <c r="G276" s="127" t="n"/>
      <c r="H276" s="127" t="n"/>
      <c r="I276" s="127" t="n"/>
    </row>
    <row r="277" ht="15" customHeight="1" s="73">
      <c r="A277" s="124" t="n"/>
      <c r="B277" s="125" t="n"/>
      <c r="C277" s="126" t="n"/>
      <c r="D277" s="127" t="n"/>
      <c r="E277" s="127" t="n"/>
      <c r="F277" s="127" t="n"/>
      <c r="G277" s="127" t="n"/>
      <c r="H277" s="127" t="n"/>
      <c r="I277" s="127" t="n"/>
    </row>
    <row r="278" ht="15" customHeight="1" s="73">
      <c r="A278" s="124" t="n"/>
      <c r="B278" s="125" t="n"/>
      <c r="C278" s="126" t="n"/>
      <c r="D278" s="127" t="n"/>
      <c r="E278" s="127" t="n"/>
      <c r="F278" s="127" t="n"/>
      <c r="G278" s="127" t="n"/>
      <c r="H278" s="127" t="n"/>
      <c r="I278" s="127" t="n"/>
    </row>
    <row r="279" ht="15" customHeight="1" s="73">
      <c r="A279" s="124" t="n"/>
      <c r="B279" s="125" t="n"/>
      <c r="C279" s="126" t="n"/>
      <c r="D279" s="127" t="n"/>
      <c r="E279" s="127" t="n"/>
      <c r="F279" s="127" t="n"/>
      <c r="G279" s="127" t="n"/>
      <c r="H279" s="127" t="n"/>
      <c r="I279" s="127" t="n"/>
    </row>
    <row r="280" ht="15" customHeight="1" s="73">
      <c r="A280" s="124" t="n"/>
      <c r="B280" s="125" t="n"/>
      <c r="C280" s="126" t="n"/>
      <c r="D280" s="127" t="n"/>
      <c r="E280" s="127" t="n"/>
      <c r="F280" s="127" t="n"/>
      <c r="G280" s="127" t="n"/>
      <c r="H280" s="127" t="n"/>
      <c r="I280" s="127" t="n"/>
    </row>
    <row r="281" ht="15" customHeight="1" s="73">
      <c r="A281" s="124" t="n"/>
      <c r="B281" s="125" t="n"/>
      <c r="C281" s="126" t="n"/>
      <c r="D281" s="127" t="n"/>
      <c r="E281" s="127" t="n"/>
      <c r="F281" s="127" t="n"/>
      <c r="G281" s="127" t="n"/>
      <c r="H281" s="127" t="n"/>
      <c r="I281" s="127" t="n"/>
    </row>
    <row r="282" ht="15" customHeight="1" s="73">
      <c r="A282" s="124" t="n"/>
      <c r="B282" s="125" t="n"/>
      <c r="C282" s="126" t="n"/>
      <c r="D282" s="127" t="n"/>
      <c r="E282" s="127" t="n"/>
      <c r="F282" s="127" t="n"/>
      <c r="G282" s="127" t="n"/>
      <c r="H282" s="127" t="n"/>
      <c r="I282" s="127" t="n"/>
    </row>
    <row r="283" ht="15" customHeight="1" s="73">
      <c r="A283" s="124" t="n"/>
      <c r="B283" s="125" t="n"/>
      <c r="C283" s="126" t="n"/>
      <c r="D283" s="127" t="n"/>
      <c r="E283" s="127" t="n"/>
      <c r="F283" s="127" t="n"/>
      <c r="G283" s="127" t="n"/>
      <c r="H283" s="127" t="n"/>
      <c r="I283" s="127" t="n"/>
    </row>
    <row r="284" ht="15" customHeight="1" s="73">
      <c r="A284" s="124" t="n"/>
      <c r="B284" s="125" t="n"/>
      <c r="C284" s="126" t="n"/>
      <c r="D284" s="127" t="n"/>
      <c r="E284" s="127" t="n"/>
      <c r="F284" s="127" t="n"/>
      <c r="G284" s="127" t="n"/>
      <c r="H284" s="127" t="n"/>
      <c r="I284" s="127" t="n"/>
    </row>
    <row r="285" ht="15" customHeight="1" s="73">
      <c r="A285" s="124" t="n"/>
      <c r="B285" s="125" t="n"/>
      <c r="C285" s="126" t="n"/>
      <c r="D285" s="127" t="n"/>
      <c r="E285" s="127" t="n"/>
      <c r="F285" s="127" t="n"/>
      <c r="G285" s="127" t="n"/>
      <c r="H285" s="127" t="n"/>
      <c r="I285" s="127" t="n"/>
    </row>
    <row r="286" ht="15" customHeight="1" s="73">
      <c r="A286" s="124" t="n"/>
      <c r="B286" s="125" t="n"/>
      <c r="C286" s="126" t="n"/>
      <c r="D286" s="127" t="n"/>
      <c r="E286" s="127" t="n"/>
      <c r="F286" s="127" t="n"/>
      <c r="G286" s="127" t="n"/>
      <c r="H286" s="127" t="n"/>
      <c r="I286" s="127" t="n"/>
    </row>
    <row r="287" ht="15" customHeight="1" s="73">
      <c r="A287" s="124" t="n"/>
      <c r="B287" s="125" t="n"/>
      <c r="C287" s="126" t="n"/>
      <c r="D287" s="127" t="n"/>
      <c r="E287" s="127" t="n"/>
      <c r="F287" s="127" t="n"/>
      <c r="G287" s="127" t="n"/>
      <c r="H287" s="127" t="n"/>
      <c r="I287" s="127" t="n"/>
    </row>
    <row r="288" ht="15" customHeight="1" s="73">
      <c r="A288" s="124" t="n"/>
      <c r="B288" s="125" t="n"/>
      <c r="C288" s="126" t="n"/>
      <c r="D288" s="127" t="n"/>
      <c r="E288" s="127" t="n"/>
      <c r="F288" s="127" t="n"/>
      <c r="G288" s="127" t="n"/>
      <c r="H288" s="127" t="n"/>
      <c r="I288" s="127" t="n"/>
    </row>
    <row r="289" ht="15" customHeight="1" s="73">
      <c r="A289" s="124" t="n"/>
      <c r="B289" s="125" t="n"/>
      <c r="C289" s="126" t="n"/>
      <c r="D289" s="127" t="n"/>
      <c r="E289" s="127" t="n"/>
      <c r="F289" s="127" t="n"/>
      <c r="G289" s="127" t="n"/>
      <c r="H289" s="127" t="n"/>
      <c r="I289" s="127" t="n"/>
    </row>
    <row r="290" ht="15" customHeight="1" s="73">
      <c r="A290" s="124" t="n"/>
      <c r="B290" s="125" t="n"/>
      <c r="C290" s="126" t="n"/>
      <c r="D290" s="127" t="n"/>
      <c r="E290" s="127" t="n"/>
      <c r="F290" s="127" t="n"/>
      <c r="G290" s="127" t="n"/>
      <c r="H290" s="127" t="n"/>
      <c r="I290" s="127" t="n"/>
    </row>
    <row r="291" ht="15" customHeight="1" s="73">
      <c r="A291" s="124" t="n"/>
      <c r="B291" s="125" t="n"/>
      <c r="C291" s="126" t="n"/>
      <c r="D291" s="127" t="n"/>
      <c r="E291" s="127" t="n"/>
      <c r="F291" s="127" t="n"/>
      <c r="G291" s="127" t="n"/>
      <c r="H291" s="127" t="n"/>
      <c r="I291" s="127" t="n"/>
    </row>
    <row r="292" ht="15" customHeight="1" s="73">
      <c r="A292" s="124" t="n"/>
      <c r="B292" s="125" t="n"/>
      <c r="C292" s="126" t="n"/>
      <c r="D292" s="127" t="n"/>
      <c r="E292" s="127" t="n"/>
      <c r="F292" s="127" t="n"/>
      <c r="G292" s="127" t="n"/>
      <c r="H292" s="127" t="n"/>
      <c r="I292" s="127" t="n"/>
    </row>
    <row r="293" ht="15" customHeight="1" s="73">
      <c r="A293" s="124" t="n"/>
      <c r="B293" s="125" t="n"/>
      <c r="C293" s="126" t="n"/>
      <c r="D293" s="127" t="n"/>
      <c r="E293" s="127" t="n"/>
      <c r="F293" s="127" t="n"/>
      <c r="G293" s="127" t="n"/>
      <c r="H293" s="127" t="n"/>
      <c r="I293" s="127" t="n"/>
    </row>
    <row r="294" ht="15" customHeight="1" s="73">
      <c r="A294" s="124" t="n"/>
      <c r="B294" s="125" t="n"/>
      <c r="C294" s="126" t="n"/>
      <c r="D294" s="127" t="n"/>
      <c r="E294" s="127" t="n"/>
      <c r="F294" s="127" t="n"/>
      <c r="G294" s="127" t="n"/>
      <c r="H294" s="127" t="n"/>
      <c r="I294" s="127" t="n"/>
    </row>
    <row r="295" ht="15" customHeight="1" s="73">
      <c r="A295" s="124" t="n"/>
      <c r="B295" s="125" t="n"/>
      <c r="C295" s="126" t="n"/>
      <c r="D295" s="127" t="n"/>
      <c r="E295" s="127" t="n"/>
      <c r="F295" s="127" t="n"/>
      <c r="G295" s="127" t="n"/>
      <c r="H295" s="127" t="n"/>
      <c r="I295" s="127" t="n"/>
    </row>
    <row r="296" ht="15" customHeight="1" s="73">
      <c r="A296" s="124" t="n"/>
      <c r="B296" s="125" t="n"/>
      <c r="C296" s="126" t="n"/>
      <c r="D296" s="127" t="n"/>
      <c r="E296" s="127" t="n"/>
      <c r="F296" s="127" t="n"/>
      <c r="G296" s="127" t="n"/>
      <c r="H296" s="127" t="n"/>
      <c r="I296" s="127" t="n"/>
    </row>
    <row r="297" ht="15" customHeight="1" s="73">
      <c r="A297" s="124" t="n"/>
      <c r="B297" s="125" t="n"/>
      <c r="C297" s="126" t="n"/>
      <c r="D297" s="127" t="n"/>
      <c r="E297" s="127" t="n"/>
      <c r="F297" s="127" t="n"/>
      <c r="G297" s="127" t="n"/>
      <c r="H297" s="127" t="n"/>
      <c r="I297" s="127" t="n"/>
    </row>
    <row r="298" ht="15" customHeight="1" s="73">
      <c r="A298" s="124" t="n"/>
      <c r="B298" s="125" t="n"/>
      <c r="C298" s="126" t="n"/>
      <c r="D298" s="127" t="n"/>
      <c r="E298" s="127" t="n"/>
      <c r="F298" s="127" t="n"/>
      <c r="G298" s="127" t="n"/>
      <c r="H298" s="127" t="n"/>
      <c r="I298" s="127" t="n"/>
    </row>
    <row r="299" ht="15" customHeight="1" s="73">
      <c r="A299" s="124" t="n"/>
      <c r="B299" s="125" t="n"/>
      <c r="C299" s="126" t="n"/>
      <c r="D299" s="127" t="n"/>
      <c r="E299" s="127" t="n"/>
      <c r="F299" s="127" t="n"/>
      <c r="G299" s="127" t="n"/>
      <c r="H299" s="127" t="n"/>
      <c r="I299" s="127" t="n"/>
    </row>
    <row r="300" ht="15" customHeight="1" s="73">
      <c r="A300" s="124" t="n"/>
      <c r="B300" s="125" t="n"/>
      <c r="C300" s="126" t="n"/>
      <c r="D300" s="127" t="n"/>
      <c r="E300" s="127" t="n"/>
      <c r="F300" s="127" t="n"/>
      <c r="G300" s="127" t="n"/>
      <c r="H300" s="127" t="n"/>
      <c r="I300" s="127" t="n"/>
    </row>
    <row r="301" ht="15" customHeight="1" s="73">
      <c r="A301" s="124" t="n"/>
      <c r="B301" s="125" t="n"/>
      <c r="C301" s="126" t="n"/>
      <c r="D301" s="127" t="n"/>
      <c r="E301" s="127" t="n"/>
      <c r="F301" s="127" t="n"/>
      <c r="G301" s="127" t="n"/>
      <c r="H301" s="127" t="n"/>
      <c r="I301" s="127" t="n"/>
    </row>
    <row r="302" ht="15" customHeight="1" s="73">
      <c r="A302" s="124" t="n"/>
      <c r="B302" s="125" t="n"/>
      <c r="C302" s="126" t="n"/>
      <c r="D302" s="127" t="n"/>
      <c r="E302" s="127" t="n"/>
      <c r="F302" s="127" t="n"/>
      <c r="G302" s="127" t="n"/>
      <c r="H302" s="127" t="n"/>
      <c r="I302" s="127" t="n"/>
    </row>
    <row r="303" ht="15" customHeight="1" s="73">
      <c r="A303" s="124" t="n"/>
      <c r="B303" s="125" t="n"/>
      <c r="C303" s="126" t="n"/>
      <c r="D303" s="127" t="n"/>
      <c r="E303" s="127" t="n"/>
      <c r="F303" s="127" t="n"/>
      <c r="G303" s="127" t="n"/>
      <c r="H303" s="127" t="n"/>
      <c r="I303" s="127" t="n"/>
    </row>
    <row r="304" ht="15" customHeight="1" s="73">
      <c r="A304" s="124" t="n"/>
      <c r="B304" s="125" t="n"/>
      <c r="C304" s="126" t="n"/>
      <c r="D304" s="127" t="n"/>
      <c r="E304" s="127" t="n"/>
      <c r="F304" s="127" t="n"/>
      <c r="G304" s="127" t="n"/>
      <c r="H304" s="127" t="n"/>
      <c r="I304" s="127" t="n"/>
    </row>
    <row r="305" ht="15" customHeight="1" s="73">
      <c r="A305" s="124" t="n"/>
      <c r="B305" s="125" t="n"/>
      <c r="C305" s="126" t="n"/>
      <c r="D305" s="127" t="n"/>
      <c r="E305" s="127" t="n"/>
      <c r="F305" s="127" t="n"/>
      <c r="G305" s="127" t="n"/>
      <c r="H305" s="127" t="n"/>
      <c r="I305" s="127" t="n"/>
    </row>
    <row r="306" ht="15" customHeight="1" s="73">
      <c r="A306" s="124" t="n"/>
      <c r="B306" s="125" t="n"/>
      <c r="C306" s="126" t="n"/>
      <c r="D306" s="127" t="n"/>
      <c r="E306" s="127" t="n"/>
      <c r="F306" s="127" t="n"/>
      <c r="G306" s="127" t="n"/>
      <c r="H306" s="127" t="n"/>
      <c r="I306" s="127" t="n"/>
    </row>
    <row r="307" ht="15" customHeight="1" s="73">
      <c r="A307" s="124" t="n"/>
      <c r="B307" s="125" t="n"/>
      <c r="C307" s="126" t="n"/>
      <c r="D307" s="127" t="n"/>
      <c r="E307" s="127" t="n"/>
      <c r="F307" s="127" t="n"/>
      <c r="G307" s="127" t="n"/>
      <c r="H307" s="127" t="n"/>
      <c r="I307" s="127" t="n"/>
    </row>
    <row r="308" ht="15" customHeight="1" s="73">
      <c r="A308" s="124" t="n"/>
      <c r="B308" s="125" t="n"/>
      <c r="C308" s="126" t="n"/>
      <c r="D308" s="127" t="n"/>
      <c r="E308" s="127" t="n"/>
      <c r="F308" s="127" t="n"/>
      <c r="G308" s="127" t="n"/>
      <c r="H308" s="127" t="n"/>
      <c r="I308" s="127" t="n"/>
    </row>
    <row r="309" ht="15" customHeight="1" s="73">
      <c r="A309" s="124" t="n"/>
      <c r="B309" s="125" t="n"/>
      <c r="C309" s="126" t="n"/>
      <c r="D309" s="127" t="n"/>
      <c r="E309" s="127" t="n"/>
      <c r="F309" s="127" t="n"/>
      <c r="G309" s="127" t="n"/>
      <c r="H309" s="127" t="n"/>
      <c r="I309" s="127" t="n"/>
    </row>
    <row r="310" ht="15" customHeight="1" s="73">
      <c r="A310" s="124" t="n"/>
      <c r="B310" s="125" t="n"/>
      <c r="C310" s="126" t="n"/>
      <c r="D310" s="127" t="n"/>
      <c r="E310" s="127" t="n"/>
      <c r="F310" s="127" t="n"/>
      <c r="G310" s="127" t="n"/>
      <c r="H310" s="127" t="n"/>
      <c r="I310" s="127" t="n"/>
    </row>
    <row r="311" ht="15" customHeight="1" s="73">
      <c r="A311" s="124" t="n"/>
      <c r="B311" s="125" t="n"/>
      <c r="C311" s="126" t="n"/>
      <c r="D311" s="127" t="n"/>
      <c r="E311" s="127" t="n"/>
      <c r="F311" s="127" t="n"/>
      <c r="G311" s="127" t="n"/>
      <c r="H311" s="127" t="n"/>
      <c r="I311" s="127" t="n"/>
    </row>
    <row r="312" ht="15" customHeight="1" s="73">
      <c r="A312" s="124" t="n"/>
      <c r="B312" s="125" t="n"/>
      <c r="C312" s="126" t="n"/>
      <c r="D312" s="127" t="n"/>
      <c r="E312" s="127" t="n"/>
      <c r="F312" s="127" t="n"/>
      <c r="G312" s="127" t="n"/>
      <c r="H312" s="127" t="n"/>
      <c r="I312" s="127" t="n"/>
    </row>
    <row r="313" ht="15" customHeight="1" s="73">
      <c r="A313" s="124" t="n"/>
      <c r="B313" s="125" t="n"/>
      <c r="C313" s="126" t="n"/>
      <c r="D313" s="127" t="n"/>
      <c r="E313" s="127" t="n"/>
      <c r="F313" s="127" t="n"/>
      <c r="G313" s="127" t="n"/>
      <c r="H313" s="127" t="n"/>
      <c r="I313" s="127" t="n"/>
    </row>
    <row r="314" ht="15" customHeight="1" s="73">
      <c r="A314" s="124" t="n"/>
      <c r="B314" s="125" t="n"/>
      <c r="C314" s="126" t="n"/>
      <c r="D314" s="127" t="n"/>
      <c r="E314" s="127" t="n"/>
      <c r="F314" s="127" t="n"/>
      <c r="G314" s="127" t="n"/>
      <c r="H314" s="127" t="n"/>
      <c r="I314" s="127" t="n"/>
    </row>
    <row r="315" ht="15" customHeight="1" s="73">
      <c r="A315" s="124" t="n"/>
      <c r="B315" s="125" t="n"/>
      <c r="C315" s="126" t="n"/>
      <c r="D315" s="127" t="n"/>
      <c r="E315" s="127" t="n"/>
      <c r="F315" s="127" t="n"/>
      <c r="G315" s="127" t="n"/>
      <c r="H315" s="127" t="n"/>
      <c r="I315" s="127" t="n"/>
    </row>
    <row r="316" ht="15" customHeight="1" s="73">
      <c r="A316" s="124" t="n"/>
      <c r="B316" s="125" t="n"/>
      <c r="C316" s="126" t="n"/>
      <c r="D316" s="127" t="n"/>
      <c r="E316" s="127" t="n"/>
      <c r="F316" s="127" t="n"/>
      <c r="G316" s="127" t="n"/>
      <c r="H316" s="127" t="n"/>
      <c r="I316" s="127" t="n"/>
    </row>
    <row r="317" ht="15" customHeight="1" s="73">
      <c r="A317" s="124" t="n"/>
      <c r="B317" s="125" t="n"/>
      <c r="C317" s="126" t="n"/>
      <c r="D317" s="127" t="n"/>
      <c r="E317" s="127" t="n"/>
      <c r="F317" s="127" t="n"/>
      <c r="G317" s="127" t="n"/>
      <c r="H317" s="127" t="n"/>
      <c r="I317" s="127" t="n"/>
    </row>
    <row r="318" ht="15" customHeight="1" s="73">
      <c r="A318" s="124" t="n"/>
      <c r="B318" s="125" t="n"/>
      <c r="C318" s="126" t="n"/>
      <c r="D318" s="127" t="n"/>
      <c r="E318" s="127" t="n"/>
      <c r="F318" s="127" t="n"/>
      <c r="G318" s="127" t="n"/>
      <c r="H318" s="127" t="n"/>
      <c r="I318" s="127" t="n"/>
    </row>
    <row r="319" ht="15" customHeight="1" s="73">
      <c r="A319" s="124" t="n"/>
      <c r="B319" s="125" t="n"/>
      <c r="C319" s="126" t="n"/>
      <c r="D319" s="127" t="n"/>
      <c r="E319" s="127" t="n"/>
      <c r="F319" s="127" t="n"/>
      <c r="G319" s="127" t="n"/>
      <c r="H319" s="127" t="n"/>
      <c r="I319" s="127" t="n"/>
    </row>
    <row r="320" ht="15" customHeight="1" s="73">
      <c r="A320" s="124" t="n"/>
      <c r="B320" s="125" t="n"/>
      <c r="C320" s="126" t="n"/>
      <c r="D320" s="127" t="n"/>
      <c r="E320" s="127" t="n"/>
      <c r="F320" s="127" t="n"/>
      <c r="G320" s="127" t="n"/>
      <c r="H320" s="127" t="n"/>
      <c r="I320" s="127" t="n"/>
    </row>
    <row r="321" ht="15" customHeight="1" s="73">
      <c r="A321" s="124" t="n"/>
      <c r="B321" s="125" t="n"/>
      <c r="C321" s="126" t="n"/>
      <c r="D321" s="127" t="n"/>
      <c r="E321" s="127" t="n"/>
      <c r="F321" s="127" t="n"/>
      <c r="G321" s="127" t="n"/>
      <c r="H321" s="127" t="n"/>
      <c r="I321" s="127" t="n"/>
    </row>
    <row r="322" ht="15" customHeight="1" s="73">
      <c r="A322" s="124" t="n"/>
      <c r="B322" s="125" t="n"/>
      <c r="C322" s="126" t="n"/>
      <c r="D322" s="127" t="n"/>
      <c r="E322" s="127" t="n"/>
      <c r="F322" s="127" t="n"/>
      <c r="G322" s="127" t="n"/>
      <c r="H322" s="127" t="n"/>
      <c r="I322" s="127" t="n"/>
    </row>
    <row r="323" ht="15" customHeight="1" s="73">
      <c r="A323" s="124" t="n"/>
      <c r="B323" s="125" t="n"/>
      <c r="C323" s="126" t="n"/>
      <c r="D323" s="127" t="n"/>
      <c r="E323" s="127" t="n"/>
      <c r="F323" s="127" t="n"/>
      <c r="G323" s="127" t="n"/>
      <c r="H323" s="127" t="n"/>
      <c r="I323" s="127" t="n"/>
    </row>
    <row r="324" ht="15" customHeight="1" s="73">
      <c r="A324" s="124" t="n"/>
      <c r="B324" s="125" t="n"/>
      <c r="C324" s="126" t="n"/>
      <c r="D324" s="127" t="n"/>
      <c r="E324" s="127" t="n"/>
      <c r="F324" s="127" t="n"/>
      <c r="G324" s="127" t="n"/>
      <c r="H324" s="127" t="n"/>
      <c r="I324" s="127" t="n"/>
    </row>
    <row r="325" ht="15" customHeight="1" s="73">
      <c r="A325" s="124" t="n"/>
      <c r="B325" s="125" t="n"/>
      <c r="C325" s="126" t="n"/>
      <c r="D325" s="127" t="n"/>
      <c r="E325" s="127" t="n"/>
      <c r="F325" s="127" t="n"/>
      <c r="G325" s="127" t="n"/>
      <c r="H325" s="127" t="n"/>
      <c r="I325" s="127" t="n"/>
    </row>
    <row r="326" ht="15" customHeight="1" s="73">
      <c r="A326" s="124" t="n"/>
      <c r="B326" s="125" t="n"/>
      <c r="C326" s="126" t="n"/>
      <c r="D326" s="127" t="n"/>
      <c r="E326" s="127" t="n"/>
      <c r="F326" s="127" t="n"/>
      <c r="G326" s="127" t="n"/>
      <c r="H326" s="127" t="n"/>
      <c r="I326" s="127" t="n"/>
    </row>
    <row r="327" ht="15" customHeight="1" s="73">
      <c r="A327" s="124" t="n"/>
      <c r="B327" s="125" t="n"/>
      <c r="C327" s="126" t="n"/>
      <c r="D327" s="127" t="n"/>
      <c r="E327" s="127" t="n"/>
      <c r="F327" s="127" t="n"/>
      <c r="G327" s="127" t="n"/>
      <c r="H327" s="127" t="n"/>
      <c r="I327" s="127" t="n"/>
    </row>
    <row r="328" ht="15" customHeight="1" s="73">
      <c r="A328" s="124" t="n"/>
      <c r="B328" s="125" t="n"/>
      <c r="C328" s="126" t="n"/>
      <c r="D328" s="127" t="n"/>
      <c r="E328" s="127" t="n"/>
      <c r="F328" s="127" t="n"/>
      <c r="G328" s="127" t="n"/>
      <c r="H328" s="127" t="n"/>
      <c r="I328" s="127" t="n"/>
    </row>
    <row r="329" ht="15" customHeight="1" s="73">
      <c r="A329" s="124" t="n"/>
      <c r="B329" s="125" t="n"/>
      <c r="C329" s="126" t="n"/>
      <c r="D329" s="127" t="n"/>
      <c r="E329" s="127" t="n"/>
      <c r="F329" s="127" t="n"/>
      <c r="G329" s="127" t="n"/>
      <c r="H329" s="127" t="n"/>
      <c r="I329" s="127" t="n"/>
    </row>
    <row r="330" ht="15" customHeight="1" s="73">
      <c r="A330" s="124" t="n"/>
      <c r="B330" s="125" t="n"/>
      <c r="C330" s="126" t="n"/>
      <c r="D330" s="127" t="n"/>
      <c r="E330" s="127" t="n"/>
      <c r="F330" s="127" t="n"/>
      <c r="G330" s="127" t="n"/>
      <c r="H330" s="127" t="n"/>
      <c r="I330" s="127" t="n"/>
    </row>
    <row r="331" ht="15" customHeight="1" s="73">
      <c r="A331" s="124" t="n"/>
      <c r="B331" s="125" t="n"/>
      <c r="C331" s="126" t="n"/>
      <c r="D331" s="127" t="n"/>
      <c r="E331" s="127" t="n"/>
      <c r="F331" s="127" t="n"/>
      <c r="G331" s="127" t="n"/>
      <c r="H331" s="127" t="n"/>
      <c r="I331" s="127" t="n"/>
    </row>
    <row r="332" ht="15" customHeight="1" s="73">
      <c r="A332" s="124" t="n"/>
      <c r="B332" s="125" t="n"/>
      <c r="C332" s="126" t="n"/>
      <c r="D332" s="127" t="n"/>
      <c r="E332" s="127" t="n"/>
      <c r="F332" s="127" t="n"/>
      <c r="G332" s="127" t="n"/>
      <c r="H332" s="127" t="n"/>
      <c r="I332" s="127" t="n"/>
    </row>
    <row r="333" ht="15" customHeight="1" s="73">
      <c r="A333" s="124" t="n"/>
      <c r="B333" s="125" t="n"/>
      <c r="C333" s="126" t="n"/>
      <c r="D333" s="127" t="n"/>
      <c r="E333" s="127" t="n"/>
      <c r="F333" s="127" t="n"/>
      <c r="G333" s="127" t="n"/>
      <c r="H333" s="127" t="n"/>
      <c r="I333" s="127" t="n"/>
    </row>
    <row r="334" ht="15" customHeight="1" s="73">
      <c r="A334" s="124" t="n"/>
      <c r="B334" s="125" t="n"/>
      <c r="C334" s="126" t="n"/>
      <c r="D334" s="127" t="n"/>
      <c r="E334" s="127" t="n"/>
      <c r="F334" s="127" t="n"/>
      <c r="G334" s="127" t="n"/>
      <c r="H334" s="127" t="n"/>
      <c r="I334" s="127" t="n"/>
    </row>
    <row r="335" ht="15" customHeight="1" s="73">
      <c r="A335" s="124" t="n"/>
      <c r="B335" s="125" t="n"/>
      <c r="C335" s="126" t="n"/>
      <c r="D335" s="127" t="n"/>
      <c r="E335" s="127" t="n"/>
      <c r="F335" s="127" t="n"/>
      <c r="G335" s="127" t="n"/>
      <c r="H335" s="127" t="n"/>
      <c r="I335" s="127" t="n"/>
    </row>
    <row r="336" ht="15" customHeight="1" s="73">
      <c r="A336" s="124" t="n"/>
      <c r="B336" s="125" t="n"/>
      <c r="C336" s="126" t="n"/>
      <c r="D336" s="127" t="n"/>
      <c r="E336" s="127" t="n"/>
      <c r="F336" s="127" t="n"/>
      <c r="G336" s="127" t="n"/>
      <c r="H336" s="127" t="n"/>
      <c r="I336" s="127" t="n"/>
    </row>
    <row r="337" ht="15" customHeight="1" s="73">
      <c r="A337" s="124" t="n"/>
      <c r="B337" s="125" t="n"/>
      <c r="C337" s="126" t="n"/>
      <c r="D337" s="127" t="n"/>
      <c r="E337" s="127" t="n"/>
      <c r="F337" s="127" t="n"/>
      <c r="G337" s="127" t="n"/>
      <c r="H337" s="127" t="n"/>
      <c r="I337" s="127" t="n"/>
    </row>
    <row r="338" ht="15" customHeight="1" s="73">
      <c r="A338" s="124" t="n"/>
      <c r="B338" s="125" t="n"/>
      <c r="C338" s="126" t="n"/>
      <c r="D338" s="127" t="n"/>
      <c r="E338" s="127" t="n"/>
      <c r="F338" s="127" t="n"/>
      <c r="G338" s="127" t="n"/>
      <c r="H338" s="127" t="n"/>
      <c r="I338" s="127" t="n"/>
    </row>
    <row r="339" ht="15" customHeight="1" s="73">
      <c r="A339" s="124" t="n"/>
      <c r="B339" s="125" t="n"/>
      <c r="C339" s="126" t="n"/>
      <c r="D339" s="127" t="n"/>
      <c r="E339" s="127" t="n"/>
      <c r="F339" s="127" t="n"/>
      <c r="G339" s="127" t="n"/>
      <c r="H339" s="127" t="n"/>
      <c r="I339" s="127" t="n"/>
    </row>
    <row r="340" ht="15" customHeight="1" s="73">
      <c r="A340" s="124" t="n"/>
      <c r="B340" s="125" t="n"/>
      <c r="C340" s="126" t="n"/>
      <c r="D340" s="127" t="n"/>
      <c r="E340" s="127" t="n"/>
      <c r="F340" s="127" t="n"/>
      <c r="G340" s="127" t="n"/>
      <c r="H340" s="127" t="n"/>
      <c r="I340" s="127" t="n"/>
    </row>
    <row r="341" ht="15" customHeight="1" s="73">
      <c r="A341" s="124" t="n"/>
      <c r="B341" s="125" t="n"/>
      <c r="C341" s="126" t="n"/>
      <c r="D341" s="127" t="n"/>
      <c r="E341" s="127" t="n"/>
      <c r="F341" s="127" t="n"/>
      <c r="G341" s="127" t="n"/>
      <c r="H341" s="127" t="n"/>
      <c r="I341" s="127" t="n"/>
    </row>
    <row r="342" ht="15" customHeight="1" s="73">
      <c r="A342" s="124" t="n"/>
      <c r="B342" s="125" t="n"/>
      <c r="C342" s="126" t="n"/>
      <c r="D342" s="127" t="n"/>
      <c r="E342" s="127" t="n"/>
      <c r="F342" s="127" t="n"/>
      <c r="G342" s="127" t="n"/>
      <c r="H342" s="127" t="n"/>
      <c r="I342" s="127" t="n"/>
    </row>
    <row r="343" ht="15" customHeight="1" s="73">
      <c r="A343" s="124" t="n"/>
      <c r="B343" s="125" t="n"/>
      <c r="C343" s="126" t="n"/>
      <c r="D343" s="127" t="n"/>
      <c r="E343" s="127" t="n"/>
      <c r="F343" s="127" t="n"/>
      <c r="G343" s="127" t="n"/>
      <c r="H343" s="127" t="n"/>
      <c r="I343" s="127" t="n"/>
    </row>
    <row r="344" ht="15" customHeight="1" s="73">
      <c r="A344" s="124" t="n"/>
      <c r="B344" s="125" t="n"/>
      <c r="C344" s="126" t="n"/>
      <c r="D344" s="127" t="n"/>
      <c r="E344" s="127" t="n"/>
      <c r="F344" s="127" t="n"/>
      <c r="G344" s="127" t="n"/>
      <c r="H344" s="127" t="n"/>
      <c r="I344" s="127" t="n"/>
    </row>
    <row r="345" ht="15" customHeight="1" s="73">
      <c r="A345" s="124" t="n"/>
      <c r="B345" s="125" t="n"/>
      <c r="C345" s="126" t="n"/>
      <c r="D345" s="127" t="n"/>
      <c r="E345" s="127" t="n"/>
      <c r="F345" s="127" t="n"/>
      <c r="G345" s="127" t="n"/>
      <c r="H345" s="127" t="n"/>
      <c r="I345" s="127" t="n"/>
    </row>
    <row r="346" ht="15" customHeight="1" s="73">
      <c r="A346" s="124" t="n"/>
      <c r="B346" s="125" t="n"/>
      <c r="C346" s="126" t="n"/>
      <c r="D346" s="127" t="n"/>
      <c r="E346" s="127" t="n"/>
      <c r="F346" s="127" t="n"/>
      <c r="G346" s="127" t="n"/>
      <c r="H346" s="127" t="n"/>
      <c r="I346" s="127" t="n"/>
    </row>
    <row r="347" ht="15" customHeight="1" s="73">
      <c r="A347" s="124" t="n"/>
      <c r="B347" s="125" t="n"/>
      <c r="C347" s="126" t="n"/>
      <c r="D347" s="127" t="n"/>
      <c r="E347" s="127" t="n"/>
      <c r="F347" s="127" t="n"/>
      <c r="G347" s="127" t="n"/>
      <c r="H347" s="127" t="n"/>
      <c r="I347" s="127" t="n"/>
    </row>
    <row r="348" ht="15" customHeight="1" s="73">
      <c r="A348" s="124" t="n"/>
      <c r="B348" s="125" t="n"/>
      <c r="C348" s="126" t="n"/>
      <c r="D348" s="127" t="n"/>
      <c r="E348" s="127" t="n"/>
      <c r="F348" s="127" t="n"/>
      <c r="G348" s="127" t="n"/>
      <c r="H348" s="127" t="n"/>
      <c r="I348" s="127" t="n"/>
    </row>
    <row r="349" ht="15" customHeight="1" s="73">
      <c r="A349" s="124" t="n"/>
      <c r="B349" s="125" t="n"/>
      <c r="C349" s="126" t="n"/>
      <c r="D349" s="127" t="n"/>
      <c r="E349" s="127" t="n"/>
      <c r="F349" s="127" t="n"/>
      <c r="G349" s="127" t="n"/>
      <c r="H349" s="127" t="n"/>
      <c r="I349" s="127" t="n"/>
    </row>
    <row r="350" ht="15" customHeight="1" s="73">
      <c r="A350" s="124" t="n"/>
      <c r="B350" s="125" t="n"/>
      <c r="C350" s="126" t="n"/>
      <c r="D350" s="127" t="n"/>
      <c r="E350" s="127" t="n"/>
      <c r="F350" s="127" t="n"/>
      <c r="G350" s="127" t="n"/>
      <c r="H350" s="127" t="n"/>
      <c r="I350" s="127" t="n"/>
    </row>
    <row r="351" ht="15" customHeight="1" s="73">
      <c r="A351" s="124" t="n"/>
      <c r="B351" s="125" t="n"/>
      <c r="C351" s="126" t="n"/>
      <c r="D351" s="127" t="n"/>
      <c r="E351" s="127" t="n"/>
      <c r="F351" s="127" t="n"/>
      <c r="G351" s="127" t="n"/>
      <c r="H351" s="127" t="n"/>
      <c r="I351" s="127" t="n"/>
    </row>
    <row r="352" ht="15" customHeight="1" s="73">
      <c r="A352" s="124" t="n"/>
      <c r="B352" s="125" t="n"/>
      <c r="C352" s="126" t="n"/>
      <c r="D352" s="127" t="n"/>
      <c r="E352" s="127" t="n"/>
      <c r="F352" s="127" t="n"/>
      <c r="G352" s="127" t="n"/>
      <c r="H352" s="127" t="n"/>
      <c r="I352" s="127" t="n"/>
    </row>
    <row r="353" ht="15" customHeight="1" s="73">
      <c r="A353" s="124" t="n"/>
      <c r="B353" s="125" t="n"/>
      <c r="C353" s="126" t="n"/>
      <c r="D353" s="127" t="n"/>
      <c r="E353" s="127" t="n"/>
      <c r="F353" s="127" t="n"/>
      <c r="G353" s="127" t="n"/>
      <c r="H353" s="127" t="n"/>
      <c r="I353" s="127" t="n"/>
    </row>
    <row r="354" ht="15" customHeight="1" s="73">
      <c r="A354" s="124" t="n"/>
      <c r="B354" s="125" t="n"/>
      <c r="C354" s="126" t="n"/>
      <c r="D354" s="127" t="n"/>
      <c r="E354" s="127" t="n"/>
      <c r="F354" s="127" t="n"/>
      <c r="G354" s="127" t="n"/>
      <c r="H354" s="127" t="n"/>
      <c r="I354" s="127" t="n"/>
    </row>
    <row r="355" ht="15" customHeight="1" s="73">
      <c r="A355" s="124" t="n"/>
      <c r="B355" s="125" t="n"/>
      <c r="C355" s="126" t="n"/>
      <c r="D355" s="127" t="n"/>
      <c r="E355" s="127" t="n"/>
      <c r="F355" s="127" t="n"/>
      <c r="G355" s="127" t="n"/>
      <c r="H355" s="127" t="n"/>
      <c r="I355" s="127" t="n"/>
    </row>
    <row r="356" ht="15" customHeight="1" s="73">
      <c r="A356" s="124" t="n"/>
      <c r="B356" s="125" t="n"/>
      <c r="C356" s="126" t="n"/>
      <c r="D356" s="127" t="n"/>
      <c r="E356" s="127" t="n"/>
      <c r="F356" s="127" t="n"/>
      <c r="G356" s="127" t="n"/>
      <c r="H356" s="127" t="n"/>
      <c r="I356" s="127" t="n"/>
    </row>
    <row r="357" ht="15" customHeight="1" s="73">
      <c r="A357" s="124" t="n"/>
      <c r="B357" s="125" t="n"/>
      <c r="C357" s="126" t="n"/>
      <c r="D357" s="127" t="n"/>
      <c r="E357" s="127" t="n"/>
      <c r="F357" s="127" t="n"/>
      <c r="G357" s="127" t="n"/>
      <c r="H357" s="127" t="n"/>
      <c r="I357" s="127" t="n"/>
    </row>
    <row r="358" ht="15" customHeight="1" s="73">
      <c r="A358" s="124" t="n"/>
      <c r="B358" s="125" t="n"/>
      <c r="C358" s="126" t="n"/>
      <c r="D358" s="127" t="n"/>
      <c r="E358" s="127" t="n"/>
      <c r="F358" s="127" t="n"/>
      <c r="G358" s="127" t="n"/>
      <c r="H358" s="127" t="n"/>
      <c r="I358" s="127" t="n"/>
    </row>
    <row r="359" ht="15" customHeight="1" s="73">
      <c r="A359" s="124" t="n"/>
      <c r="B359" s="125" t="n"/>
      <c r="C359" s="126" t="n"/>
      <c r="D359" s="127" t="n"/>
      <c r="E359" s="127" t="n"/>
      <c r="F359" s="127" t="n"/>
      <c r="G359" s="127" t="n"/>
      <c r="H359" s="127" t="n"/>
      <c r="I359" s="127" t="n"/>
    </row>
    <row r="360" ht="15" customHeight="1" s="73">
      <c r="A360" s="124" t="n"/>
      <c r="B360" s="125" t="n"/>
      <c r="C360" s="126" t="n"/>
      <c r="D360" s="127" t="n"/>
      <c r="E360" s="127" t="n"/>
      <c r="F360" s="127" t="n"/>
      <c r="G360" s="127" t="n"/>
      <c r="H360" s="127" t="n"/>
      <c r="I360" s="127" t="n"/>
    </row>
    <row r="361" ht="15" customHeight="1" s="73">
      <c r="A361" s="124" t="n"/>
      <c r="B361" s="125" t="n"/>
      <c r="C361" s="126" t="n"/>
      <c r="D361" s="127" t="n"/>
      <c r="E361" s="127" t="n"/>
      <c r="F361" s="127" t="n"/>
      <c r="G361" s="127" t="n"/>
      <c r="H361" s="127" t="n"/>
      <c r="I361" s="127" t="n"/>
    </row>
    <row r="362" ht="15" customHeight="1" s="73">
      <c r="A362" s="124" t="n"/>
      <c r="B362" s="125" t="n"/>
      <c r="C362" s="126" t="n"/>
      <c r="D362" s="127" t="n"/>
      <c r="E362" s="127" t="n"/>
      <c r="F362" s="127" t="n"/>
      <c r="G362" s="127" t="n"/>
      <c r="H362" s="127" t="n"/>
      <c r="I362" s="127" t="n"/>
    </row>
    <row r="363" ht="15" customHeight="1" s="73">
      <c r="A363" s="124" t="n"/>
      <c r="B363" s="125" t="n"/>
      <c r="C363" s="126" t="n"/>
      <c r="D363" s="127" t="n"/>
      <c r="E363" s="127" t="n"/>
      <c r="F363" s="127" t="n"/>
      <c r="G363" s="127" t="n"/>
      <c r="H363" s="127" t="n"/>
      <c r="I363" s="127" t="n"/>
    </row>
    <row r="364" ht="15" customHeight="1" s="73">
      <c r="A364" s="124" t="n"/>
      <c r="B364" s="125" t="n"/>
      <c r="C364" s="126" t="n"/>
      <c r="D364" s="127" t="n"/>
      <c r="E364" s="127" t="n"/>
      <c r="F364" s="127" t="n"/>
      <c r="G364" s="127" t="n"/>
      <c r="H364" s="127" t="n"/>
      <c r="I364" s="127" t="n"/>
    </row>
    <row r="365" ht="15" customHeight="1" s="73">
      <c r="A365" s="124" t="n"/>
      <c r="B365" s="125" t="n"/>
      <c r="C365" s="126" t="n"/>
      <c r="D365" s="127" t="n"/>
      <c r="E365" s="127" t="n"/>
      <c r="F365" s="127" t="n"/>
      <c r="G365" s="127" t="n"/>
      <c r="H365" s="127" t="n"/>
      <c r="I365" s="127" t="n"/>
    </row>
    <row r="366" ht="15" customHeight="1" s="73">
      <c r="A366" s="124" t="n"/>
      <c r="B366" s="125" t="n"/>
      <c r="C366" s="126" t="n"/>
      <c r="D366" s="127" t="n"/>
      <c r="E366" s="127" t="n"/>
      <c r="F366" s="127" t="n"/>
      <c r="G366" s="127" t="n"/>
      <c r="H366" s="127" t="n"/>
      <c r="I366" s="127" t="n"/>
    </row>
    <row r="367" ht="15" customHeight="1" s="73">
      <c r="A367" s="124" t="n"/>
      <c r="B367" s="125" t="n"/>
      <c r="C367" s="126" t="n"/>
      <c r="D367" s="127" t="n"/>
      <c r="E367" s="127" t="n"/>
      <c r="F367" s="127" t="n"/>
      <c r="G367" s="127" t="n"/>
      <c r="H367" s="127" t="n"/>
      <c r="I367" s="127" t="n"/>
    </row>
    <row r="368" ht="15" customHeight="1" s="73">
      <c r="A368" s="124" t="n"/>
      <c r="B368" s="125" t="n"/>
      <c r="C368" s="126" t="n"/>
      <c r="D368" s="127" t="n"/>
      <c r="E368" s="127" t="n"/>
      <c r="F368" s="127" t="n"/>
      <c r="G368" s="127" t="n"/>
      <c r="H368" s="127" t="n"/>
      <c r="I368" s="127" t="n"/>
    </row>
    <row r="369" ht="15" customHeight="1" s="73">
      <c r="A369" s="124" t="n"/>
      <c r="B369" s="125" t="n"/>
      <c r="C369" s="126" t="n"/>
      <c r="D369" s="127" t="n"/>
      <c r="E369" s="127" t="n"/>
      <c r="F369" s="127" t="n"/>
      <c r="G369" s="127" t="n"/>
      <c r="H369" s="127" t="n"/>
      <c r="I369" s="127" t="n"/>
    </row>
    <row r="370" ht="15" customHeight="1" s="73">
      <c r="A370" s="124" t="n"/>
      <c r="B370" s="125" t="n"/>
      <c r="C370" s="126" t="n"/>
      <c r="D370" s="127" t="n"/>
      <c r="E370" s="127" t="n"/>
      <c r="F370" s="127" t="n"/>
      <c r="G370" s="127" t="n"/>
      <c r="H370" s="127" t="n"/>
      <c r="I370" s="127" t="n"/>
    </row>
    <row r="371" ht="15" customHeight="1" s="73">
      <c r="A371" s="124" t="n"/>
      <c r="B371" s="125" t="n"/>
      <c r="C371" s="126" t="n"/>
      <c r="D371" s="127" t="n"/>
      <c r="E371" s="127" t="n"/>
      <c r="F371" s="127" t="n"/>
      <c r="G371" s="127" t="n"/>
      <c r="H371" s="127" t="n"/>
      <c r="I371" s="127" t="n"/>
    </row>
    <row r="372" ht="15" customHeight="1" s="73">
      <c r="A372" s="124" t="n"/>
      <c r="B372" s="125" t="n"/>
      <c r="C372" s="126" t="n"/>
      <c r="D372" s="127" t="n"/>
      <c r="E372" s="127" t="n"/>
      <c r="F372" s="127" t="n"/>
      <c r="G372" s="127" t="n"/>
      <c r="H372" s="127" t="n"/>
      <c r="I372" s="127" t="n"/>
    </row>
    <row r="373" ht="15" customHeight="1" s="73">
      <c r="A373" s="124" t="n"/>
      <c r="B373" s="125" t="n"/>
      <c r="C373" s="126" t="n"/>
      <c r="D373" s="127" t="n"/>
      <c r="E373" s="127" t="n"/>
      <c r="F373" s="127" t="n"/>
      <c r="G373" s="127" t="n"/>
      <c r="H373" s="127" t="n"/>
      <c r="I373" s="127" t="n"/>
    </row>
    <row r="374" ht="15" customHeight="1" s="73">
      <c r="A374" s="124" t="n"/>
      <c r="B374" s="125" t="n"/>
      <c r="C374" s="126" t="n"/>
      <c r="D374" s="127" t="n"/>
      <c r="E374" s="127" t="n"/>
      <c r="F374" s="127" t="n"/>
      <c r="G374" s="127" t="n"/>
      <c r="H374" s="127" t="n"/>
      <c r="I374" s="127" t="n"/>
    </row>
    <row r="375" ht="15" customHeight="1" s="73">
      <c r="A375" s="124" t="n"/>
      <c r="B375" s="125" t="n"/>
      <c r="C375" s="126" t="n"/>
      <c r="D375" s="127" t="n"/>
      <c r="E375" s="127" t="n"/>
      <c r="F375" s="127" t="n"/>
      <c r="G375" s="127" t="n"/>
      <c r="H375" s="127" t="n"/>
      <c r="I375" s="127" t="n"/>
    </row>
    <row r="376" ht="15" customHeight="1" s="73">
      <c r="A376" s="124" t="n"/>
      <c r="B376" s="125" t="n"/>
      <c r="C376" s="126" t="n"/>
      <c r="D376" s="127" t="n"/>
      <c r="E376" s="127" t="n"/>
      <c r="F376" s="127" t="n"/>
      <c r="G376" s="127" t="n"/>
      <c r="H376" s="127" t="n"/>
      <c r="I376" s="127" t="n"/>
    </row>
    <row r="377" ht="15" customHeight="1" s="73">
      <c r="A377" s="124" t="n"/>
      <c r="B377" s="125" t="n"/>
      <c r="C377" s="126" t="n"/>
      <c r="D377" s="127" t="n"/>
      <c r="E377" s="127" t="n"/>
      <c r="F377" s="127" t="n"/>
      <c r="G377" s="127" t="n"/>
      <c r="H377" s="127" t="n"/>
      <c r="I377" s="127" t="n"/>
    </row>
    <row r="378" ht="15" customHeight="1" s="73">
      <c r="A378" s="124" t="n"/>
      <c r="B378" s="125" t="n"/>
      <c r="C378" s="126" t="n"/>
      <c r="D378" s="127" t="n"/>
      <c r="E378" s="127" t="n"/>
      <c r="F378" s="127" t="n"/>
      <c r="G378" s="127" t="n"/>
      <c r="H378" s="127" t="n"/>
      <c r="I378" s="127" t="n"/>
    </row>
    <row r="379" ht="15" customHeight="1" s="73">
      <c r="A379" s="124" t="n"/>
      <c r="B379" s="125" t="n"/>
      <c r="C379" s="126" t="n"/>
      <c r="D379" s="127" t="n"/>
      <c r="E379" s="127" t="n"/>
      <c r="F379" s="127" t="n"/>
      <c r="G379" s="127" t="n"/>
      <c r="H379" s="127" t="n"/>
      <c r="I379" s="127" t="n"/>
    </row>
    <row r="380" ht="15" customHeight="1" s="73">
      <c r="A380" s="124" t="n"/>
      <c r="B380" s="125" t="n"/>
      <c r="C380" s="126" t="n"/>
      <c r="D380" s="127" t="n"/>
      <c r="E380" s="127" t="n"/>
      <c r="F380" s="127" t="n"/>
      <c r="G380" s="127" t="n"/>
      <c r="H380" s="127" t="n"/>
      <c r="I380" s="127" t="n"/>
    </row>
    <row r="381" ht="15" customHeight="1" s="73">
      <c r="A381" s="124" t="n"/>
      <c r="B381" s="125" t="n"/>
      <c r="C381" s="126" t="n"/>
      <c r="D381" s="127" t="n"/>
      <c r="E381" s="127" t="n"/>
      <c r="F381" s="127" t="n"/>
      <c r="G381" s="127" t="n"/>
      <c r="H381" s="127" t="n"/>
      <c r="I381" s="127" t="n"/>
    </row>
    <row r="382" ht="15" customHeight="1" s="73">
      <c r="A382" s="124" t="n"/>
      <c r="B382" s="125" t="n"/>
      <c r="C382" s="126" t="n"/>
      <c r="D382" s="127" t="n"/>
      <c r="E382" s="127" t="n"/>
      <c r="F382" s="127" t="n"/>
      <c r="G382" s="127" t="n"/>
      <c r="H382" s="127" t="n"/>
      <c r="I382" s="127" t="n"/>
    </row>
    <row r="383" ht="15" customHeight="1" s="73">
      <c r="A383" s="124" t="n"/>
      <c r="B383" s="125" t="n"/>
      <c r="C383" s="126" t="n"/>
      <c r="D383" s="127" t="n"/>
      <c r="E383" s="127" t="n"/>
      <c r="F383" s="127" t="n"/>
      <c r="G383" s="127" t="n"/>
      <c r="H383" s="127" t="n"/>
      <c r="I383" s="127" t="n"/>
    </row>
    <row r="384" ht="15" customHeight="1" s="73">
      <c r="A384" s="124" t="n"/>
      <c r="B384" s="125" t="n"/>
      <c r="C384" s="126" t="n"/>
      <c r="D384" s="127" t="n"/>
      <c r="E384" s="127" t="n"/>
      <c r="F384" s="127" t="n"/>
      <c r="G384" s="127" t="n"/>
      <c r="H384" s="127" t="n"/>
      <c r="I384" s="127" t="n"/>
    </row>
    <row r="385" ht="15" customHeight="1" s="73">
      <c r="A385" s="124" t="n"/>
      <c r="B385" s="125" t="n"/>
      <c r="C385" s="126" t="n"/>
      <c r="D385" s="127" t="n"/>
      <c r="E385" s="127" t="n"/>
      <c r="F385" s="127" t="n"/>
      <c r="G385" s="127" t="n"/>
      <c r="H385" s="127" t="n"/>
      <c r="I385" s="127" t="n"/>
    </row>
    <row r="386" ht="15" customHeight="1" s="73">
      <c r="A386" s="124" t="n"/>
      <c r="B386" s="125" t="n"/>
      <c r="C386" s="126" t="n"/>
      <c r="D386" s="127" t="n"/>
      <c r="E386" s="127" t="n"/>
      <c r="F386" s="127" t="n"/>
      <c r="G386" s="127" t="n"/>
      <c r="H386" s="127" t="n"/>
      <c r="I386" s="127" t="n"/>
    </row>
    <row r="387" ht="15" customHeight="1" s="73">
      <c r="A387" s="124" t="n"/>
      <c r="B387" s="125" t="n"/>
      <c r="C387" s="126" t="n"/>
      <c r="D387" s="127" t="n"/>
      <c r="E387" s="127" t="n"/>
      <c r="F387" s="127" t="n"/>
      <c r="G387" s="127" t="n"/>
      <c r="H387" s="127" t="n"/>
      <c r="I387" s="127" t="n"/>
    </row>
    <row r="388" ht="15" customHeight="1" s="73">
      <c r="A388" s="124" t="n"/>
      <c r="B388" s="125" t="n"/>
      <c r="C388" s="126" t="n"/>
      <c r="D388" s="127" t="n"/>
      <c r="E388" s="127" t="n"/>
      <c r="F388" s="127" t="n"/>
      <c r="G388" s="127" t="n"/>
      <c r="H388" s="127" t="n"/>
      <c r="I388" s="127" t="n"/>
    </row>
    <row r="389" ht="15" customHeight="1" s="73">
      <c r="A389" s="124" t="n"/>
      <c r="B389" s="125" t="n"/>
      <c r="C389" s="126" t="n"/>
      <c r="D389" s="127" t="n"/>
      <c r="E389" s="127" t="n"/>
      <c r="F389" s="127" t="n"/>
      <c r="G389" s="127" t="n"/>
      <c r="H389" s="127" t="n"/>
      <c r="I389" s="127" t="n"/>
    </row>
    <row r="390" ht="15" customHeight="1" s="73">
      <c r="A390" s="124" t="n"/>
      <c r="B390" s="125" t="n"/>
      <c r="C390" s="126" t="n"/>
      <c r="D390" s="127" t="n"/>
      <c r="E390" s="127" t="n"/>
      <c r="F390" s="127" t="n"/>
      <c r="G390" s="127" t="n"/>
      <c r="H390" s="127" t="n"/>
      <c r="I390" s="127" t="n"/>
    </row>
    <row r="391" ht="15" customHeight="1" s="73">
      <c r="A391" s="124" t="n"/>
      <c r="B391" s="125" t="n"/>
      <c r="C391" s="126" t="n"/>
      <c r="D391" s="127" t="n"/>
      <c r="E391" s="127" t="n"/>
      <c r="F391" s="127" t="n"/>
      <c r="G391" s="127" t="n"/>
      <c r="H391" s="127" t="n"/>
      <c r="I391" s="127" t="n"/>
    </row>
    <row r="392" ht="15" customHeight="1" s="73">
      <c r="A392" s="124" t="n"/>
      <c r="B392" s="125" t="n"/>
      <c r="C392" s="126" t="n"/>
      <c r="D392" s="127" t="n"/>
      <c r="E392" s="127" t="n"/>
      <c r="F392" s="127" t="n"/>
      <c r="G392" s="127" t="n"/>
      <c r="H392" s="127" t="n"/>
      <c r="I392" s="127" t="n"/>
    </row>
    <row r="393" ht="15" customHeight="1" s="73">
      <c r="A393" s="124" t="n"/>
      <c r="B393" s="125" t="n"/>
      <c r="C393" s="126" t="n"/>
      <c r="D393" s="127" t="n"/>
      <c r="E393" s="127" t="n"/>
      <c r="F393" s="127" t="n"/>
      <c r="G393" s="127" t="n"/>
      <c r="H393" s="127" t="n"/>
      <c r="I393" s="127" t="n"/>
    </row>
    <row r="394" ht="15" customHeight="1" s="73">
      <c r="A394" s="124" t="n"/>
      <c r="B394" s="125" t="n"/>
      <c r="C394" s="126" t="n"/>
      <c r="D394" s="127" t="n"/>
      <c r="E394" s="127" t="n"/>
      <c r="F394" s="127" t="n"/>
      <c r="G394" s="127" t="n"/>
      <c r="H394" s="127" t="n"/>
      <c r="I394" s="127" t="n"/>
    </row>
    <row r="395" ht="15" customHeight="1" s="73">
      <c r="A395" s="124" t="n"/>
      <c r="B395" s="125" t="n"/>
      <c r="C395" s="126" t="n"/>
      <c r="D395" s="127" t="n"/>
      <c r="E395" s="127" t="n"/>
      <c r="F395" s="127" t="n"/>
      <c r="G395" s="127" t="n"/>
      <c r="H395" s="127" t="n"/>
      <c r="I395" s="127" t="n"/>
    </row>
    <row r="396" ht="15" customHeight="1" s="73">
      <c r="A396" s="124" t="n"/>
      <c r="B396" s="125" t="n"/>
      <c r="C396" s="126" t="n"/>
      <c r="D396" s="127" t="n"/>
      <c r="E396" s="127" t="n"/>
      <c r="F396" s="127" t="n"/>
      <c r="G396" s="127" t="n"/>
      <c r="H396" s="127" t="n"/>
      <c r="I396" s="127" t="n"/>
    </row>
    <row r="397" ht="15" customHeight="1" s="73">
      <c r="A397" s="124" t="n"/>
      <c r="B397" s="125" t="n"/>
      <c r="C397" s="126" t="n"/>
      <c r="D397" s="127" t="n"/>
      <c r="E397" s="127" t="n"/>
      <c r="F397" s="127" t="n"/>
      <c r="G397" s="127" t="n"/>
      <c r="H397" s="127" t="n"/>
      <c r="I397" s="127" t="n"/>
    </row>
    <row r="398" ht="15" customHeight="1" s="73">
      <c r="A398" s="124" t="n"/>
      <c r="B398" s="125" t="n"/>
      <c r="C398" s="126" t="n"/>
      <c r="D398" s="127" t="n"/>
      <c r="E398" s="127" t="n"/>
      <c r="F398" s="127" t="n"/>
      <c r="G398" s="127" t="n"/>
      <c r="H398" s="127" t="n"/>
      <c r="I398" s="127" t="n"/>
    </row>
    <row r="399" ht="15" customHeight="1" s="73">
      <c r="A399" s="124" t="n"/>
      <c r="B399" s="125" t="n"/>
      <c r="C399" s="126" t="n"/>
      <c r="D399" s="127" t="n"/>
      <c r="E399" s="127" t="n"/>
      <c r="F399" s="127" t="n"/>
      <c r="G399" s="127" t="n"/>
      <c r="H399" s="127" t="n"/>
      <c r="I399" s="127" t="n"/>
    </row>
    <row r="400" ht="15" customHeight="1" s="73">
      <c r="A400" s="124" t="n"/>
      <c r="B400" s="125" t="n"/>
      <c r="C400" s="126" t="n"/>
      <c r="D400" s="127" t="n"/>
      <c r="E400" s="127" t="n"/>
      <c r="F400" s="127" t="n"/>
      <c r="G400" s="127" t="n"/>
      <c r="H400" s="127" t="n"/>
      <c r="I400" s="127" t="n"/>
    </row>
    <row r="401" ht="15" customHeight="1" s="73">
      <c r="A401" s="124" t="n"/>
      <c r="B401" s="125" t="n"/>
      <c r="C401" s="126" t="n"/>
      <c r="D401" s="127" t="n"/>
      <c r="E401" s="127" t="n"/>
      <c r="F401" s="127" t="n"/>
      <c r="G401" s="127" t="n"/>
      <c r="H401" s="127" t="n"/>
      <c r="I401" s="127" t="n"/>
    </row>
    <row r="402" ht="15" customHeight="1" s="73">
      <c r="A402" s="124" t="n"/>
      <c r="B402" s="125" t="n"/>
      <c r="C402" s="126" t="n"/>
      <c r="D402" s="127" t="n"/>
      <c r="E402" s="127" t="n"/>
      <c r="F402" s="127" t="n"/>
      <c r="G402" s="127" t="n"/>
      <c r="H402" s="127" t="n"/>
      <c r="I402" s="127" t="n"/>
    </row>
    <row r="403" ht="15" customHeight="1" s="73">
      <c r="A403" s="124" t="n"/>
      <c r="B403" s="125" t="n"/>
      <c r="C403" s="126" t="n"/>
      <c r="D403" s="127" t="n"/>
      <c r="E403" s="127" t="n"/>
      <c r="F403" s="127" t="n"/>
      <c r="G403" s="127" t="n"/>
      <c r="H403" s="127" t="n"/>
      <c r="I403" s="127" t="n"/>
    </row>
    <row r="404" ht="15" customHeight="1" s="73">
      <c r="A404" s="124" t="n"/>
      <c r="B404" s="125" t="n"/>
      <c r="C404" s="126" t="n"/>
      <c r="D404" s="127" t="n"/>
      <c r="E404" s="127" t="n"/>
      <c r="F404" s="127" t="n"/>
      <c r="G404" s="127" t="n"/>
      <c r="H404" s="127" t="n"/>
      <c r="I404" s="127" t="n"/>
    </row>
    <row r="405" ht="15" customHeight="1" s="73">
      <c r="A405" s="124" t="n"/>
      <c r="B405" s="125" t="n"/>
      <c r="C405" s="126" t="n"/>
      <c r="D405" s="127" t="n"/>
      <c r="E405" s="127" t="n"/>
      <c r="F405" s="127" t="n"/>
      <c r="G405" s="127" t="n"/>
      <c r="H405" s="127" t="n"/>
      <c r="I405" s="127" t="n"/>
    </row>
    <row r="406" ht="15" customHeight="1" s="73">
      <c r="A406" s="124" t="n"/>
      <c r="B406" s="125" t="n"/>
      <c r="C406" s="126" t="n"/>
      <c r="D406" s="127" t="n"/>
      <c r="E406" s="127" t="n"/>
      <c r="F406" s="127" t="n"/>
      <c r="G406" s="127" t="n"/>
      <c r="H406" s="127" t="n"/>
      <c r="I406" s="127" t="n"/>
    </row>
    <row r="407" ht="15" customHeight="1" s="73">
      <c r="A407" s="124" t="n"/>
      <c r="B407" s="125" t="n"/>
      <c r="C407" s="126" t="n"/>
      <c r="D407" s="127" t="n"/>
      <c r="E407" s="127" t="n"/>
      <c r="F407" s="127" t="n"/>
      <c r="G407" s="127" t="n"/>
      <c r="H407" s="127" t="n"/>
      <c r="I407" s="127" t="n"/>
    </row>
    <row r="408" ht="15" customHeight="1" s="73">
      <c r="A408" s="124" t="n"/>
      <c r="B408" s="125" t="n"/>
      <c r="C408" s="126" t="n"/>
      <c r="D408" s="127" t="n"/>
      <c r="E408" s="127" t="n"/>
      <c r="F408" s="127" t="n"/>
      <c r="G408" s="127" t="n"/>
      <c r="H408" s="127" t="n"/>
      <c r="I408" s="127" t="n"/>
    </row>
    <row r="409" ht="15" customHeight="1" s="73">
      <c r="A409" s="124" t="n"/>
      <c r="B409" s="125" t="n"/>
      <c r="C409" s="126" t="n"/>
      <c r="D409" s="127" t="n"/>
      <c r="E409" s="127" t="n"/>
      <c r="F409" s="127" t="n"/>
      <c r="G409" s="127" t="n"/>
      <c r="H409" s="127" t="n"/>
      <c r="I409" s="127" t="n"/>
    </row>
    <row r="410" ht="15" customHeight="1" s="73">
      <c r="A410" s="124" t="n"/>
      <c r="B410" s="125" t="n"/>
      <c r="C410" s="126" t="n"/>
      <c r="D410" s="127" t="n"/>
      <c r="E410" s="127" t="n"/>
      <c r="F410" s="127" t="n"/>
      <c r="G410" s="127" t="n"/>
      <c r="H410" s="127" t="n"/>
      <c r="I410" s="127" t="n"/>
    </row>
    <row r="411" ht="15" customHeight="1" s="73">
      <c r="A411" s="124" t="n"/>
      <c r="B411" s="125" t="n"/>
      <c r="C411" s="126" t="n"/>
      <c r="D411" s="127" t="n"/>
      <c r="E411" s="127" t="n"/>
      <c r="F411" s="127" t="n"/>
      <c r="G411" s="127" t="n"/>
      <c r="H411" s="127" t="n"/>
      <c r="I411" s="127" t="n"/>
    </row>
    <row r="412" ht="15" customHeight="1" s="73">
      <c r="A412" s="124" t="n"/>
      <c r="B412" s="125" t="n"/>
      <c r="C412" s="126" t="n"/>
      <c r="D412" s="127" t="n"/>
      <c r="E412" s="127" t="n"/>
      <c r="F412" s="127" t="n"/>
      <c r="G412" s="127" t="n"/>
      <c r="H412" s="127" t="n"/>
      <c r="I412" s="127" t="n"/>
    </row>
    <row r="413" ht="15" customHeight="1" s="73">
      <c r="A413" s="124" t="n"/>
      <c r="B413" s="125" t="n"/>
      <c r="C413" s="126" t="n"/>
      <c r="D413" s="127" t="n"/>
      <c r="E413" s="127" t="n"/>
      <c r="F413" s="127" t="n"/>
      <c r="G413" s="127" t="n"/>
      <c r="H413" s="127" t="n"/>
      <c r="I413" s="127" t="n"/>
    </row>
    <row r="414" ht="15" customHeight="1" s="73">
      <c r="A414" s="124" t="n"/>
      <c r="B414" s="125" t="n"/>
      <c r="C414" s="126" t="n"/>
      <c r="D414" s="127" t="n"/>
      <c r="E414" s="127" t="n"/>
      <c r="F414" s="127" t="n"/>
      <c r="G414" s="127" t="n"/>
      <c r="H414" s="127" t="n"/>
      <c r="I414" s="127" t="n"/>
    </row>
    <row r="415" ht="15" customHeight="1" s="73">
      <c r="A415" s="124" t="n"/>
      <c r="B415" s="125" t="n"/>
      <c r="C415" s="126" t="n"/>
      <c r="D415" s="127" t="n"/>
      <c r="E415" s="127" t="n"/>
      <c r="F415" s="127" t="n"/>
      <c r="G415" s="127" t="n"/>
      <c r="H415" s="127" t="n"/>
      <c r="I415" s="127" t="n"/>
    </row>
    <row r="416" ht="15" customHeight="1" s="73">
      <c r="A416" s="124" t="n"/>
      <c r="B416" s="125" t="n"/>
      <c r="C416" s="126" t="n"/>
      <c r="D416" s="127" t="n"/>
      <c r="E416" s="127" t="n"/>
      <c r="F416" s="127" t="n"/>
      <c r="G416" s="127" t="n"/>
      <c r="H416" s="127" t="n"/>
      <c r="I416" s="127" t="n"/>
    </row>
    <row r="417" ht="15" customHeight="1" s="73">
      <c r="A417" s="124" t="n"/>
      <c r="B417" s="125" t="n"/>
      <c r="C417" s="126" t="n"/>
      <c r="D417" s="127" t="n"/>
      <c r="E417" s="127" t="n"/>
      <c r="F417" s="127" t="n"/>
      <c r="G417" s="127" t="n"/>
      <c r="H417" s="127" t="n"/>
      <c r="I417" s="127" t="n"/>
    </row>
    <row r="418" ht="15" customHeight="1" s="73">
      <c r="A418" s="124" t="n"/>
      <c r="B418" s="125" t="n"/>
      <c r="C418" s="126" t="n"/>
      <c r="D418" s="127" t="n"/>
      <c r="E418" s="127" t="n"/>
      <c r="F418" s="127" t="n"/>
      <c r="G418" s="127" t="n"/>
      <c r="H418" s="127" t="n"/>
      <c r="I418" s="127" t="n"/>
    </row>
    <row r="419" ht="15" customHeight="1" s="73">
      <c r="A419" s="124" t="n"/>
      <c r="B419" s="125" t="n"/>
      <c r="C419" s="126" t="n"/>
      <c r="D419" s="127" t="n"/>
      <c r="E419" s="127" t="n"/>
      <c r="F419" s="127" t="n"/>
      <c r="G419" s="127" t="n"/>
      <c r="H419" s="127" t="n"/>
      <c r="I419" s="127" t="n"/>
    </row>
    <row r="420" ht="15" customHeight="1" s="73">
      <c r="A420" s="124" t="n"/>
      <c r="B420" s="125" t="n"/>
      <c r="C420" s="126" t="n"/>
      <c r="D420" s="127" t="n"/>
      <c r="E420" s="127" t="n"/>
      <c r="F420" s="127" t="n"/>
      <c r="G420" s="127" t="n"/>
      <c r="H420" s="127" t="n"/>
      <c r="I420" s="127" t="n"/>
    </row>
    <row r="421" ht="15" customHeight="1" s="73">
      <c r="A421" s="124" t="n"/>
      <c r="B421" s="125" t="n"/>
      <c r="C421" s="126" t="n"/>
      <c r="D421" s="127" t="n"/>
      <c r="E421" s="127" t="n"/>
      <c r="F421" s="127" t="n"/>
      <c r="G421" s="127" t="n"/>
      <c r="H421" s="127" t="n"/>
      <c r="I421" s="127" t="n"/>
    </row>
    <row r="422" ht="15" customHeight="1" s="73">
      <c r="A422" s="124" t="n"/>
      <c r="B422" s="125" t="n"/>
      <c r="C422" s="126" t="n"/>
      <c r="D422" s="127" t="n"/>
      <c r="E422" s="127" t="n"/>
      <c r="F422" s="127" t="n"/>
      <c r="G422" s="127" t="n"/>
      <c r="H422" s="127" t="n"/>
      <c r="I422" s="127" t="n"/>
    </row>
    <row r="423" ht="15" customHeight="1" s="73">
      <c r="A423" s="124" t="n"/>
      <c r="B423" s="125" t="n"/>
      <c r="C423" s="126" t="n"/>
      <c r="D423" s="127" t="n"/>
      <c r="E423" s="127" t="n"/>
      <c r="F423" s="127" t="n"/>
      <c r="G423" s="127" t="n"/>
      <c r="H423" s="127" t="n"/>
      <c r="I423" s="127" t="n"/>
    </row>
    <row r="424" ht="15" customHeight="1" s="73">
      <c r="A424" s="124" t="n"/>
      <c r="B424" s="125" t="n"/>
      <c r="C424" s="126" t="n"/>
      <c r="D424" s="127" t="n"/>
      <c r="E424" s="127" t="n"/>
      <c r="F424" s="127" t="n"/>
      <c r="G424" s="127" t="n"/>
      <c r="H424" s="127" t="n"/>
      <c r="I424" s="127" t="n"/>
    </row>
    <row r="425" ht="15" customHeight="1" s="73">
      <c r="A425" s="124" t="n"/>
      <c r="B425" s="125" t="n"/>
      <c r="C425" s="126" t="n"/>
      <c r="D425" s="127" t="n"/>
      <c r="E425" s="127" t="n"/>
      <c r="F425" s="127" t="n"/>
      <c r="G425" s="127" t="n"/>
      <c r="H425" s="127" t="n"/>
      <c r="I425" s="127" t="n"/>
    </row>
    <row r="426" ht="15" customHeight="1" s="73">
      <c r="A426" s="124" t="n"/>
      <c r="B426" s="125" t="n"/>
      <c r="C426" s="126" t="n"/>
      <c r="D426" s="127" t="n"/>
      <c r="E426" s="127" t="n"/>
      <c r="F426" s="127" t="n"/>
      <c r="G426" s="127" t="n"/>
      <c r="H426" s="127" t="n"/>
      <c r="I426" s="127" t="n"/>
    </row>
    <row r="427" ht="15" customHeight="1" s="73">
      <c r="A427" s="124" t="n"/>
      <c r="B427" s="125" t="n"/>
      <c r="C427" s="126" t="n"/>
      <c r="D427" s="127" t="n"/>
      <c r="E427" s="127" t="n"/>
      <c r="F427" s="127" t="n"/>
      <c r="G427" s="127" t="n"/>
      <c r="H427" s="127" t="n"/>
      <c r="I427" s="127" t="n"/>
    </row>
    <row r="428" ht="15" customHeight="1" s="73">
      <c r="A428" s="124" t="n"/>
      <c r="B428" s="125" t="n"/>
      <c r="C428" s="126" t="n"/>
      <c r="D428" s="127" t="n"/>
      <c r="E428" s="127" t="n"/>
      <c r="F428" s="127" t="n"/>
      <c r="G428" s="127" t="n"/>
      <c r="H428" s="127" t="n"/>
      <c r="I428" s="127" t="n"/>
    </row>
    <row r="429" ht="15" customHeight="1" s="73">
      <c r="A429" s="124" t="n"/>
      <c r="B429" s="125" t="n"/>
      <c r="C429" s="126" t="n"/>
      <c r="D429" s="127" t="n"/>
      <c r="E429" s="127" t="n"/>
      <c r="F429" s="127" t="n"/>
      <c r="G429" s="127" t="n"/>
      <c r="H429" s="127" t="n"/>
      <c r="I429" s="127" t="n"/>
    </row>
    <row r="430" ht="15" customHeight="1" s="73">
      <c r="A430" s="124" t="n"/>
      <c r="B430" s="125" t="n"/>
      <c r="C430" s="126" t="n"/>
      <c r="D430" s="127" t="n"/>
      <c r="E430" s="127" t="n"/>
      <c r="F430" s="127" t="n"/>
      <c r="G430" s="127" t="n"/>
      <c r="H430" s="127" t="n"/>
      <c r="I430" s="127" t="n"/>
    </row>
    <row r="431" ht="15" customHeight="1" s="73">
      <c r="A431" s="124" t="n"/>
      <c r="B431" s="125" t="n"/>
      <c r="C431" s="126" t="n"/>
      <c r="D431" s="127" t="n"/>
      <c r="E431" s="127" t="n"/>
      <c r="F431" s="127" t="n"/>
      <c r="G431" s="127" t="n"/>
      <c r="H431" s="127" t="n"/>
      <c r="I431" s="127" t="n"/>
    </row>
    <row r="432" ht="15" customHeight="1" s="73">
      <c r="A432" s="124" t="n"/>
      <c r="B432" s="125" t="n"/>
      <c r="C432" s="126" t="n"/>
      <c r="D432" s="127" t="n"/>
      <c r="E432" s="127" t="n"/>
      <c r="F432" s="127" t="n"/>
      <c r="G432" s="127" t="n"/>
      <c r="H432" s="127" t="n"/>
      <c r="I432" s="127" t="n"/>
    </row>
    <row r="433" ht="15" customHeight="1" s="73">
      <c r="A433" s="124" t="n"/>
      <c r="B433" s="125" t="n"/>
      <c r="C433" s="126" t="n"/>
      <c r="D433" s="127" t="n"/>
      <c r="E433" s="127" t="n"/>
      <c r="F433" s="127" t="n"/>
      <c r="G433" s="127" t="n"/>
      <c r="H433" s="127" t="n"/>
      <c r="I433" s="127" t="n"/>
    </row>
    <row r="434" ht="15" customHeight="1" s="73">
      <c r="A434" s="124" t="n"/>
      <c r="B434" s="125" t="n"/>
      <c r="C434" s="126" t="n"/>
      <c r="D434" s="127" t="n"/>
      <c r="E434" s="127" t="n"/>
      <c r="F434" s="127" t="n"/>
      <c r="G434" s="127" t="n"/>
      <c r="H434" s="127" t="n"/>
      <c r="I434" s="127" t="n"/>
    </row>
    <row r="435" ht="15" customHeight="1" s="73">
      <c r="A435" s="124" t="n"/>
      <c r="B435" s="125" t="n"/>
      <c r="C435" s="126" t="n"/>
      <c r="D435" s="127" t="n"/>
      <c r="E435" s="127" t="n"/>
      <c r="F435" s="127" t="n"/>
      <c r="G435" s="127" t="n"/>
      <c r="H435" s="127" t="n"/>
      <c r="I435" s="127" t="n"/>
    </row>
    <row r="436" ht="15" customHeight="1" s="73">
      <c r="A436" s="124" t="n"/>
      <c r="B436" s="125" t="n"/>
      <c r="C436" s="126" t="n"/>
      <c r="D436" s="127" t="n"/>
      <c r="E436" s="127" t="n"/>
      <c r="F436" s="127" t="n"/>
      <c r="G436" s="127" t="n"/>
      <c r="H436" s="127" t="n"/>
      <c r="I436" s="127" t="n"/>
    </row>
    <row r="437" ht="15" customHeight="1" s="73">
      <c r="A437" s="124" t="n"/>
      <c r="B437" s="125" t="n"/>
      <c r="C437" s="126" t="n"/>
      <c r="D437" s="127" t="n"/>
      <c r="E437" s="127" t="n"/>
      <c r="F437" s="127" t="n"/>
      <c r="G437" s="127" t="n"/>
      <c r="H437" s="127" t="n"/>
      <c r="I437" s="127" t="n"/>
    </row>
    <row r="438" ht="15" customHeight="1" s="73">
      <c r="A438" s="124" t="n"/>
      <c r="B438" s="125" t="n"/>
      <c r="C438" s="126" t="n"/>
      <c r="D438" s="127" t="n"/>
      <c r="E438" s="127" t="n"/>
      <c r="F438" s="127" t="n"/>
      <c r="G438" s="127" t="n"/>
      <c r="H438" s="127" t="n"/>
      <c r="I438" s="127" t="n"/>
    </row>
    <row r="439" ht="15" customHeight="1" s="73">
      <c r="A439" s="124" t="n"/>
      <c r="B439" s="125" t="n"/>
      <c r="C439" s="126" t="n"/>
      <c r="D439" s="127" t="n"/>
      <c r="E439" s="127" t="n"/>
      <c r="F439" s="127" t="n"/>
      <c r="G439" s="127" t="n"/>
      <c r="H439" s="127" t="n"/>
      <c r="I439" s="127" t="n"/>
    </row>
    <row r="440" ht="15" customHeight="1" s="73">
      <c r="A440" s="124" t="n"/>
      <c r="B440" s="125" t="n"/>
      <c r="C440" s="126" t="n"/>
      <c r="D440" s="127" t="n"/>
      <c r="E440" s="127" t="n"/>
      <c r="F440" s="127" t="n"/>
      <c r="G440" s="127" t="n"/>
      <c r="H440" s="127" t="n"/>
      <c r="I440" s="127" t="n"/>
    </row>
    <row r="441" ht="15" customHeight="1" s="73">
      <c r="A441" s="124" t="n"/>
      <c r="B441" s="125" t="n"/>
      <c r="C441" s="126" t="n"/>
      <c r="D441" s="127" t="n"/>
      <c r="E441" s="127" t="n"/>
      <c r="F441" s="127" t="n"/>
      <c r="G441" s="127" t="n"/>
      <c r="H441" s="127" t="n"/>
      <c r="I441" s="127" t="n"/>
    </row>
    <row r="442" ht="15" customHeight="1" s="73">
      <c r="A442" s="124" t="n"/>
      <c r="B442" s="125" t="n"/>
      <c r="C442" s="126" t="n"/>
      <c r="D442" s="127" t="n"/>
      <c r="E442" s="127" t="n"/>
      <c r="F442" s="127" t="n"/>
      <c r="G442" s="127" t="n"/>
      <c r="H442" s="127" t="n"/>
      <c r="I442" s="127" t="n"/>
    </row>
    <row r="443" ht="15" customHeight="1" s="73">
      <c r="A443" s="124" t="n"/>
      <c r="B443" s="125" t="n"/>
      <c r="C443" s="126" t="n"/>
      <c r="D443" s="127" t="n"/>
      <c r="E443" s="127" t="n"/>
      <c r="F443" s="127" t="n"/>
      <c r="G443" s="127" t="n"/>
      <c r="H443" s="127" t="n"/>
      <c r="I443" s="127" t="n"/>
    </row>
    <row r="444" ht="15" customHeight="1" s="73">
      <c r="A444" s="124" t="n"/>
      <c r="B444" s="125" t="n"/>
      <c r="C444" s="126" t="n"/>
      <c r="D444" s="127" t="n"/>
      <c r="E444" s="127" t="n"/>
      <c r="F444" s="127" t="n"/>
      <c r="G444" s="127" t="n"/>
      <c r="H444" s="127" t="n"/>
      <c r="I444" s="127" t="n"/>
    </row>
    <row r="445" ht="15" customHeight="1" s="73">
      <c r="A445" s="124" t="n"/>
      <c r="B445" s="125" t="n"/>
      <c r="C445" s="126" t="n"/>
      <c r="D445" s="127" t="n"/>
      <c r="E445" s="127" t="n"/>
      <c r="F445" s="127" t="n"/>
      <c r="G445" s="127" t="n"/>
      <c r="H445" s="127" t="n"/>
      <c r="I445" s="127" t="n"/>
    </row>
    <row r="446" ht="15" customHeight="1" s="73">
      <c r="A446" s="124" t="n"/>
      <c r="B446" s="125" t="n"/>
      <c r="C446" s="126" t="n"/>
      <c r="D446" s="127" t="n"/>
      <c r="E446" s="127" t="n"/>
      <c r="F446" s="127" t="n"/>
      <c r="G446" s="127" t="n"/>
      <c r="H446" s="127" t="n"/>
      <c r="I446" s="127" t="n"/>
    </row>
    <row r="447" ht="15" customHeight="1" s="73">
      <c r="A447" s="124" t="n"/>
      <c r="B447" s="125" t="n"/>
      <c r="C447" s="126" t="n"/>
      <c r="D447" s="127" t="n"/>
      <c r="E447" s="127" t="n"/>
      <c r="F447" s="127" t="n"/>
      <c r="G447" s="127" t="n"/>
      <c r="H447" s="127" t="n"/>
      <c r="I447" s="127" t="n"/>
    </row>
    <row r="448" ht="15" customHeight="1" s="73">
      <c r="A448" s="124" t="n"/>
      <c r="B448" s="125" t="n"/>
      <c r="C448" s="126" t="n"/>
      <c r="D448" s="127" t="n"/>
      <c r="E448" s="127" t="n"/>
      <c r="F448" s="127" t="n"/>
      <c r="G448" s="127" t="n"/>
      <c r="H448" s="127" t="n"/>
      <c r="I448" s="127" t="n"/>
    </row>
    <row r="449" ht="15" customHeight="1" s="73">
      <c r="A449" s="124" t="n"/>
      <c r="B449" s="125" t="n"/>
      <c r="C449" s="126" t="n"/>
      <c r="D449" s="127" t="n"/>
      <c r="E449" s="127" t="n"/>
      <c r="F449" s="127" t="n"/>
      <c r="G449" s="127" t="n"/>
      <c r="H449" s="127" t="n"/>
      <c r="I449" s="127" t="n"/>
    </row>
    <row r="450" ht="15" customHeight="1" s="73">
      <c r="A450" s="124" t="n"/>
      <c r="B450" s="125" t="n"/>
      <c r="C450" s="126" t="n"/>
      <c r="D450" s="127" t="n"/>
      <c r="E450" s="127" t="n"/>
      <c r="F450" s="127" t="n"/>
      <c r="G450" s="127" t="n"/>
      <c r="H450" s="127" t="n"/>
      <c r="I450" s="127" t="n"/>
    </row>
    <row r="451" ht="15" customHeight="1" s="73">
      <c r="A451" s="124" t="n"/>
      <c r="B451" s="125" t="n"/>
      <c r="C451" s="126" t="n"/>
      <c r="D451" s="127" t="n"/>
      <c r="E451" s="127" t="n"/>
      <c r="F451" s="127" t="n"/>
      <c r="G451" s="127" t="n"/>
      <c r="H451" s="127" t="n"/>
      <c r="I451" s="127" t="n"/>
    </row>
    <row r="452" ht="15" customHeight="1" s="73">
      <c r="A452" s="124" t="n"/>
      <c r="B452" s="125" t="n"/>
      <c r="C452" s="126" t="n"/>
      <c r="D452" s="127" t="n"/>
      <c r="E452" s="127" t="n"/>
      <c r="F452" s="127" t="n"/>
      <c r="G452" s="127" t="n"/>
      <c r="H452" s="127" t="n"/>
      <c r="I452" s="127" t="n"/>
    </row>
    <row r="453" ht="15" customHeight="1" s="73">
      <c r="A453" s="124" t="n"/>
      <c r="B453" s="125" t="n"/>
      <c r="C453" s="126" t="n"/>
      <c r="D453" s="127" t="n"/>
      <c r="E453" s="127" t="n"/>
      <c r="F453" s="127" t="n"/>
      <c r="G453" s="127" t="n"/>
      <c r="H453" s="127" t="n"/>
      <c r="I453" s="127" t="n"/>
    </row>
    <row r="454" ht="15" customHeight="1" s="73">
      <c r="A454" s="124" t="n"/>
      <c r="B454" s="125" t="n"/>
      <c r="C454" s="126" t="n"/>
      <c r="D454" s="127" t="n"/>
      <c r="E454" s="127" t="n"/>
      <c r="F454" s="127" t="n"/>
      <c r="G454" s="127" t="n"/>
      <c r="H454" s="127" t="n"/>
      <c r="I454" s="127" t="n"/>
    </row>
    <row r="455" ht="15" customHeight="1" s="73">
      <c r="A455" s="124" t="n"/>
      <c r="B455" s="125" t="n"/>
      <c r="C455" s="126" t="n"/>
      <c r="D455" s="127" t="n"/>
      <c r="E455" s="127" t="n"/>
      <c r="F455" s="127" t="n"/>
      <c r="G455" s="127" t="n"/>
      <c r="H455" s="127" t="n"/>
      <c r="I455" s="127" t="n"/>
    </row>
    <row r="456" ht="15" customHeight="1" s="73">
      <c r="A456" s="124" t="n"/>
      <c r="B456" s="125" t="n"/>
      <c r="C456" s="126" t="n"/>
      <c r="D456" s="127" t="n"/>
      <c r="E456" s="127" t="n"/>
      <c r="F456" s="127" t="n"/>
      <c r="G456" s="127" t="n"/>
      <c r="H456" s="127" t="n"/>
      <c r="I456" s="127" t="n"/>
    </row>
    <row r="457" ht="15" customHeight="1" s="73">
      <c r="A457" s="124" t="n"/>
      <c r="B457" s="125" t="n"/>
      <c r="C457" s="126" t="n"/>
      <c r="D457" s="127" t="n"/>
      <c r="E457" s="127" t="n"/>
      <c r="F457" s="127" t="n"/>
      <c r="G457" s="127" t="n"/>
      <c r="H457" s="127" t="n"/>
      <c r="I457" s="127" t="n"/>
    </row>
    <row r="458" ht="15" customHeight="1" s="73">
      <c r="A458" s="124" t="n"/>
      <c r="B458" s="125" t="n"/>
      <c r="C458" s="126" t="n"/>
      <c r="D458" s="127" t="n"/>
      <c r="E458" s="127" t="n"/>
      <c r="F458" s="127" t="n"/>
      <c r="G458" s="127" t="n"/>
      <c r="H458" s="127" t="n"/>
      <c r="I458" s="127" t="n"/>
    </row>
    <row r="459" ht="15" customHeight="1" s="73">
      <c r="A459" s="124" t="n"/>
      <c r="B459" s="125" t="n"/>
      <c r="C459" s="126" t="n"/>
      <c r="D459" s="127" t="n"/>
      <c r="E459" s="127" t="n"/>
      <c r="F459" s="127" t="n"/>
      <c r="G459" s="127" t="n"/>
      <c r="H459" s="127" t="n"/>
      <c r="I459" s="127" t="n"/>
    </row>
    <row r="460" ht="15" customHeight="1" s="73">
      <c r="A460" s="124" t="n"/>
      <c r="B460" s="125" t="n"/>
      <c r="C460" s="126" t="n"/>
      <c r="D460" s="127" t="n"/>
      <c r="E460" s="127" t="n"/>
      <c r="F460" s="127" t="n"/>
      <c r="G460" s="127" t="n"/>
      <c r="H460" s="127" t="n"/>
      <c r="I460" s="127" t="n"/>
    </row>
    <row r="461" ht="15" customHeight="1" s="73">
      <c r="A461" s="124" t="n"/>
      <c r="B461" s="125" t="n"/>
      <c r="C461" s="126" t="n"/>
      <c r="D461" s="127" t="n"/>
      <c r="E461" s="127" t="n"/>
      <c r="F461" s="127" t="n"/>
      <c r="G461" s="127" t="n"/>
      <c r="H461" s="127" t="n"/>
      <c r="I461" s="127" t="n"/>
    </row>
    <row r="462" ht="15" customHeight="1" s="73">
      <c r="A462" s="124" t="n"/>
      <c r="B462" s="125" t="n"/>
      <c r="C462" s="126" t="n"/>
      <c r="D462" s="127" t="n"/>
      <c r="E462" s="127" t="n"/>
      <c r="F462" s="127" t="n"/>
      <c r="G462" s="127" t="n"/>
      <c r="H462" s="127" t="n"/>
      <c r="I462" s="127" t="n"/>
    </row>
    <row r="463" ht="15" customHeight="1" s="73">
      <c r="A463" s="124" t="n"/>
      <c r="B463" s="125" t="n"/>
      <c r="C463" s="126" t="n"/>
      <c r="D463" s="127" t="n"/>
      <c r="E463" s="127" t="n"/>
      <c r="F463" s="127" t="n"/>
      <c r="G463" s="127" t="n"/>
      <c r="H463" s="127" t="n"/>
      <c r="I463" s="127" t="n"/>
    </row>
    <row r="464" ht="15" customHeight="1" s="73">
      <c r="A464" s="124" t="n"/>
      <c r="B464" s="125" t="n"/>
      <c r="C464" s="126" t="n"/>
      <c r="D464" s="127" t="n"/>
      <c r="E464" s="127" t="n"/>
      <c r="F464" s="127" t="n"/>
      <c r="G464" s="127" t="n"/>
      <c r="H464" s="127" t="n"/>
      <c r="I464" s="127" t="n"/>
    </row>
    <row r="465" ht="15" customHeight="1" s="73">
      <c r="A465" s="124" t="n"/>
      <c r="B465" s="125" t="n"/>
      <c r="C465" s="126" t="n"/>
      <c r="D465" s="127" t="n"/>
      <c r="E465" s="127" t="n"/>
      <c r="F465" s="127" t="n"/>
      <c r="G465" s="127" t="n"/>
      <c r="H465" s="127" t="n"/>
      <c r="I465" s="127" t="n"/>
    </row>
    <row r="466" ht="15" customHeight="1" s="73">
      <c r="A466" s="124" t="n"/>
      <c r="B466" s="125" t="n"/>
      <c r="C466" s="126" t="n"/>
      <c r="D466" s="127" t="n"/>
      <c r="E466" s="127" t="n"/>
      <c r="F466" s="127" t="n"/>
      <c r="G466" s="127" t="n"/>
      <c r="H466" s="127" t="n"/>
      <c r="I466" s="127" t="n"/>
    </row>
    <row r="467" ht="15" customHeight="1" s="73">
      <c r="A467" s="124" t="n"/>
      <c r="B467" s="125" t="n"/>
      <c r="C467" s="126" t="n"/>
      <c r="D467" s="127" t="n"/>
      <c r="E467" s="127" t="n"/>
      <c r="F467" s="127" t="n"/>
      <c r="G467" s="127" t="n"/>
      <c r="H467" s="127" t="n"/>
      <c r="I467" s="127" t="n"/>
    </row>
    <row r="468" ht="15" customHeight="1" s="73">
      <c r="A468" s="124" t="n"/>
      <c r="B468" s="125" t="n"/>
      <c r="C468" s="126" t="n"/>
      <c r="D468" s="127" t="n"/>
      <c r="E468" s="127" t="n"/>
      <c r="F468" s="127" t="n"/>
      <c r="G468" s="127" t="n"/>
      <c r="H468" s="127" t="n"/>
      <c r="I468" s="127" t="n"/>
    </row>
    <row r="469" ht="15" customHeight="1" s="73">
      <c r="A469" s="124" t="n"/>
      <c r="B469" s="125" t="n"/>
      <c r="C469" s="126" t="n"/>
      <c r="D469" s="127" t="n"/>
      <c r="E469" s="127" t="n"/>
      <c r="F469" s="127" t="n"/>
      <c r="G469" s="127" t="n"/>
      <c r="H469" s="127" t="n"/>
      <c r="I469" s="127" t="n"/>
    </row>
    <row r="470" ht="15" customHeight="1" s="73">
      <c r="A470" s="124" t="n"/>
      <c r="B470" s="125" t="n"/>
      <c r="C470" s="126" t="n"/>
      <c r="D470" s="127" t="n"/>
      <c r="E470" s="127" t="n"/>
      <c r="F470" s="127" t="n"/>
      <c r="G470" s="127" t="n"/>
      <c r="H470" s="127" t="n"/>
      <c r="I470" s="127" t="n"/>
    </row>
    <row r="471" ht="15" customHeight="1" s="73">
      <c r="A471" s="124" t="n"/>
      <c r="B471" s="125" t="n"/>
      <c r="C471" s="126" t="n"/>
      <c r="D471" s="127" t="n"/>
      <c r="E471" s="127" t="n"/>
      <c r="F471" s="127" t="n"/>
      <c r="G471" s="127" t="n"/>
      <c r="H471" s="127" t="n"/>
      <c r="I471" s="127" t="n"/>
    </row>
    <row r="472" ht="15" customHeight="1" s="73">
      <c r="A472" s="124" t="n"/>
      <c r="B472" s="125" t="n"/>
      <c r="C472" s="126" t="n"/>
      <c r="D472" s="127" t="n"/>
      <c r="E472" s="127" t="n"/>
      <c r="F472" s="127" t="n"/>
      <c r="G472" s="127" t="n"/>
      <c r="H472" s="127" t="n"/>
      <c r="I472" s="127" t="n"/>
    </row>
    <row r="473" ht="15" customHeight="1" s="73">
      <c r="A473" s="124" t="n"/>
      <c r="B473" s="125" t="n"/>
      <c r="C473" s="126" t="n"/>
      <c r="D473" s="127" t="n"/>
      <c r="E473" s="127" t="n"/>
      <c r="F473" s="127" t="n"/>
      <c r="G473" s="127" t="n"/>
      <c r="H473" s="127" t="n"/>
      <c r="I473" s="127" t="n"/>
    </row>
    <row r="474" ht="15" customHeight="1" s="73">
      <c r="A474" s="124" t="n"/>
      <c r="B474" s="125" t="n"/>
      <c r="C474" s="126" t="n"/>
      <c r="D474" s="127" t="n"/>
      <c r="E474" s="127" t="n"/>
      <c r="F474" s="127" t="n"/>
      <c r="G474" s="127" t="n"/>
      <c r="H474" s="127" t="n"/>
      <c r="I474" s="127" t="n"/>
    </row>
    <row r="475" ht="15" customHeight="1" s="73">
      <c r="A475" s="124" t="n"/>
      <c r="B475" s="125" t="n"/>
      <c r="C475" s="126" t="n"/>
      <c r="D475" s="127" t="n"/>
      <c r="E475" s="127" t="n"/>
      <c r="F475" s="127" t="n"/>
      <c r="G475" s="127" t="n"/>
      <c r="H475" s="127" t="n"/>
      <c r="I475" s="127" t="n"/>
    </row>
    <row r="476" ht="15" customHeight="1" s="73">
      <c r="A476" s="124" t="n"/>
      <c r="B476" s="125" t="n"/>
      <c r="C476" s="126" t="n"/>
      <c r="D476" s="127" t="n"/>
      <c r="E476" s="127" t="n"/>
      <c r="F476" s="127" t="n"/>
      <c r="G476" s="127" t="n"/>
      <c r="H476" s="127" t="n"/>
      <c r="I476" s="127" t="n"/>
    </row>
    <row r="477" ht="15" customHeight="1" s="73">
      <c r="A477" s="124" t="n"/>
      <c r="B477" s="125" t="n"/>
      <c r="C477" s="126" t="n"/>
      <c r="D477" s="127" t="n"/>
      <c r="E477" s="127" t="n"/>
      <c r="F477" s="127" t="n"/>
      <c r="G477" s="127" t="n"/>
      <c r="H477" s="127" t="n"/>
      <c r="I477" s="127" t="n"/>
    </row>
    <row r="478" ht="15" customHeight="1" s="73">
      <c r="A478" s="124" t="n"/>
      <c r="B478" s="125" t="n"/>
      <c r="C478" s="126" t="n"/>
      <c r="D478" s="127" t="n"/>
      <c r="E478" s="127" t="n"/>
      <c r="F478" s="127" t="n"/>
      <c r="G478" s="127" t="n"/>
      <c r="H478" s="127" t="n"/>
      <c r="I478" s="127" t="n"/>
    </row>
    <row r="479" ht="15" customHeight="1" s="73">
      <c r="A479" s="124" t="n"/>
      <c r="B479" s="125" t="n"/>
      <c r="C479" s="126" t="n"/>
      <c r="D479" s="127" t="n"/>
      <c r="E479" s="127" t="n"/>
      <c r="F479" s="127" t="n"/>
      <c r="G479" s="127" t="n"/>
      <c r="H479" s="127" t="n"/>
      <c r="I479" s="127" t="n"/>
    </row>
    <row r="480" ht="15" customHeight="1" s="73">
      <c r="A480" s="124" t="n"/>
      <c r="B480" s="125" t="n"/>
      <c r="C480" s="126" t="n"/>
      <c r="D480" s="127" t="n"/>
      <c r="E480" s="127" t="n"/>
      <c r="F480" s="127" t="n"/>
      <c r="G480" s="127" t="n"/>
      <c r="H480" s="127" t="n"/>
      <c r="I480" s="127" t="n"/>
    </row>
    <row r="481" ht="15" customHeight="1" s="73">
      <c r="A481" s="124" t="n"/>
      <c r="B481" s="125" t="n"/>
      <c r="C481" s="126" t="n"/>
      <c r="D481" s="127" t="n"/>
      <c r="E481" s="127" t="n"/>
      <c r="F481" s="127" t="n"/>
      <c r="G481" s="127" t="n"/>
      <c r="H481" s="127" t="n"/>
      <c r="I481" s="127" t="n"/>
    </row>
    <row r="482" ht="15" customHeight="1" s="73">
      <c r="A482" s="124" t="n"/>
      <c r="B482" s="125" t="n"/>
      <c r="C482" s="126" t="n"/>
      <c r="D482" s="127" t="n"/>
      <c r="E482" s="127" t="n"/>
      <c r="F482" s="127" t="n"/>
      <c r="G482" s="127" t="n"/>
      <c r="H482" s="127" t="n"/>
      <c r="I482" s="127" t="n"/>
    </row>
    <row r="483" ht="15" customHeight="1" s="73">
      <c r="A483" s="124" t="n"/>
      <c r="B483" s="125" t="n"/>
      <c r="C483" s="126" t="n"/>
      <c r="D483" s="127" t="n"/>
      <c r="E483" s="127" t="n"/>
      <c r="F483" s="127" t="n"/>
      <c r="G483" s="127" t="n"/>
      <c r="H483" s="127" t="n"/>
      <c r="I483" s="127" t="n"/>
    </row>
    <row r="484" ht="15" customHeight="1" s="73">
      <c r="A484" s="124" t="n"/>
      <c r="B484" s="125" t="n"/>
      <c r="C484" s="126" t="n"/>
      <c r="D484" s="127" t="n"/>
      <c r="E484" s="127" t="n"/>
      <c r="F484" s="127" t="n"/>
      <c r="G484" s="127" t="n"/>
      <c r="H484" s="127" t="n"/>
      <c r="I484" s="127" t="n"/>
    </row>
    <row r="485" ht="15" customHeight="1" s="73">
      <c r="A485" s="124" t="n"/>
      <c r="B485" s="125" t="n"/>
      <c r="C485" s="126" t="n"/>
      <c r="D485" s="127" t="n"/>
      <c r="E485" s="127" t="n"/>
      <c r="F485" s="127" t="n"/>
      <c r="G485" s="127" t="n"/>
      <c r="H485" s="127" t="n"/>
      <c r="I485" s="127" t="n"/>
    </row>
    <row r="486" ht="15" customHeight="1" s="73">
      <c r="A486" s="124" t="n"/>
      <c r="B486" s="125" t="n"/>
      <c r="C486" s="126" t="n"/>
      <c r="D486" s="127" t="n"/>
      <c r="E486" s="127" t="n"/>
      <c r="F486" s="127" t="n"/>
      <c r="G486" s="127" t="n"/>
      <c r="H486" s="127" t="n"/>
      <c r="I486" s="127" t="n"/>
    </row>
    <row r="487" ht="15" customHeight="1" s="73">
      <c r="A487" s="124" t="n"/>
      <c r="B487" s="125" t="n"/>
      <c r="C487" s="126" t="n"/>
      <c r="D487" s="127" t="n"/>
      <c r="E487" s="127" t="n"/>
      <c r="F487" s="127" t="n"/>
      <c r="G487" s="127" t="n"/>
      <c r="H487" s="127" t="n"/>
      <c r="I487" s="127" t="n"/>
    </row>
    <row r="488" ht="15" customHeight="1" s="73">
      <c r="A488" s="124" t="n"/>
      <c r="B488" s="125" t="n"/>
      <c r="C488" s="126" t="n"/>
      <c r="D488" s="127" t="n"/>
      <c r="E488" s="127" t="n"/>
      <c r="F488" s="127" t="n"/>
      <c r="G488" s="127" t="n"/>
      <c r="H488" s="127" t="n"/>
      <c r="I488" s="127" t="n"/>
    </row>
    <row r="489" ht="15" customHeight="1" s="73">
      <c r="A489" s="124" t="n"/>
      <c r="B489" s="125" t="n"/>
      <c r="C489" s="126" t="n"/>
      <c r="D489" s="127" t="n"/>
      <c r="E489" s="127" t="n"/>
      <c r="F489" s="127" t="n"/>
      <c r="G489" s="127" t="n"/>
      <c r="H489" s="127" t="n"/>
      <c r="I489" s="127" t="n"/>
    </row>
    <row r="490" ht="15" customHeight="1" s="73">
      <c r="A490" s="124" t="n"/>
      <c r="B490" s="125" t="n"/>
      <c r="C490" s="126" t="n"/>
      <c r="D490" s="127" t="n"/>
      <c r="E490" s="127" t="n"/>
      <c r="F490" s="127" t="n"/>
      <c r="G490" s="127" t="n"/>
      <c r="H490" s="127" t="n"/>
      <c r="I490" s="127" t="n"/>
    </row>
    <row r="491" ht="15" customHeight="1" s="73">
      <c r="A491" s="124" t="n"/>
      <c r="B491" s="125" t="n"/>
      <c r="C491" s="126" t="n"/>
      <c r="D491" s="127" t="n"/>
      <c r="E491" s="127" t="n"/>
      <c r="F491" s="127" t="n"/>
      <c r="G491" s="127" t="n"/>
      <c r="H491" s="127" t="n"/>
      <c r="I491" s="127" t="n"/>
    </row>
    <row r="492" ht="15" customHeight="1" s="73">
      <c r="A492" s="124" t="n"/>
      <c r="B492" s="125" t="n"/>
      <c r="C492" s="126" t="n"/>
      <c r="D492" s="127" t="n"/>
      <c r="E492" s="127" t="n"/>
      <c r="F492" s="127" t="n"/>
      <c r="G492" s="127" t="n"/>
      <c r="H492" s="127" t="n"/>
      <c r="I492" s="127" t="n"/>
    </row>
    <row r="493" ht="15" customHeight="1" s="73">
      <c r="A493" s="124" t="n"/>
      <c r="B493" s="125" t="n"/>
      <c r="C493" s="126" t="n"/>
      <c r="D493" s="127" t="n"/>
      <c r="E493" s="127" t="n"/>
      <c r="F493" s="127" t="n"/>
      <c r="G493" s="127" t="n"/>
      <c r="H493" s="127" t="n"/>
      <c r="I493" s="127" t="n"/>
    </row>
    <row r="494" ht="15" customHeight="1" s="73">
      <c r="A494" s="124" t="n"/>
      <c r="B494" s="125" t="n"/>
      <c r="C494" s="126" t="n"/>
      <c r="D494" s="127" t="n"/>
      <c r="E494" s="127" t="n"/>
      <c r="F494" s="127" t="n"/>
      <c r="G494" s="127" t="n"/>
      <c r="H494" s="127" t="n"/>
      <c r="I494" s="127" t="n"/>
    </row>
    <row r="495" ht="15" customHeight="1" s="73">
      <c r="A495" s="124" t="n"/>
      <c r="B495" s="125" t="n"/>
      <c r="C495" s="126" t="n"/>
      <c r="D495" s="127" t="n"/>
      <c r="E495" s="127" t="n"/>
      <c r="F495" s="127" t="n"/>
      <c r="G495" s="127" t="n"/>
      <c r="H495" s="127" t="n"/>
      <c r="I495" s="127" t="n"/>
    </row>
    <row r="496" ht="15" customHeight="1" s="73">
      <c r="A496" s="124" t="n"/>
      <c r="B496" s="125" t="n"/>
      <c r="C496" s="126" t="n"/>
      <c r="D496" s="127" t="n"/>
      <c r="E496" s="127" t="n"/>
      <c r="F496" s="127" t="n"/>
      <c r="G496" s="127" t="n"/>
      <c r="H496" s="127" t="n"/>
      <c r="I496" s="127" t="n"/>
    </row>
    <row r="497" ht="15" customHeight="1" s="73">
      <c r="A497" s="124" t="n"/>
      <c r="B497" s="125" t="n"/>
      <c r="C497" s="126" t="n"/>
      <c r="D497" s="127" t="n"/>
      <c r="E497" s="127" t="n"/>
      <c r="F497" s="127" t="n"/>
      <c r="G497" s="127" t="n"/>
      <c r="H497" s="127" t="n"/>
      <c r="I497" s="127" t="n"/>
    </row>
    <row r="498" ht="15" customHeight="1" s="73">
      <c r="A498" s="124" t="n"/>
      <c r="B498" s="125" t="n"/>
      <c r="C498" s="126" t="n"/>
      <c r="D498" s="127" t="n"/>
      <c r="E498" s="127" t="n"/>
      <c r="F498" s="127" t="n"/>
      <c r="G498" s="127" t="n"/>
      <c r="H498" s="127" t="n"/>
      <c r="I498" s="127" t="n"/>
    </row>
    <row r="499" ht="15" customHeight="1" s="73">
      <c r="A499" s="124" t="n"/>
      <c r="B499" s="125" t="n"/>
      <c r="C499" s="126" t="n"/>
      <c r="D499" s="127" t="n"/>
      <c r="E499" s="127" t="n"/>
      <c r="F499" s="127" t="n"/>
      <c r="G499" s="127" t="n"/>
      <c r="H499" s="127" t="n"/>
      <c r="I499" s="127" t="n"/>
    </row>
    <row r="500" ht="15" customHeight="1" s="73">
      <c r="A500" s="124" t="n"/>
      <c r="B500" s="125" t="n"/>
      <c r="C500" s="126" t="n"/>
      <c r="D500" s="127" t="n"/>
      <c r="E500" s="127" t="n"/>
      <c r="F500" s="127" t="n"/>
      <c r="G500" s="127" t="n"/>
      <c r="H500" s="127" t="n"/>
      <c r="I500" s="127" t="n"/>
    </row>
    <row r="501" ht="15" customHeight="1" s="73">
      <c r="A501" s="124" t="n"/>
      <c r="B501" s="125" t="n"/>
      <c r="C501" s="126" t="n"/>
      <c r="D501" s="127" t="n"/>
      <c r="E501" s="127" t="n"/>
      <c r="F501" s="127" t="n"/>
      <c r="G501" s="127" t="n"/>
      <c r="H501" s="127" t="n"/>
      <c r="I501" s="127" t="n"/>
    </row>
    <row r="502" ht="15" customHeight="1" s="73">
      <c r="A502" s="124" t="n"/>
      <c r="B502" s="125" t="n"/>
      <c r="C502" s="126" t="n"/>
      <c r="D502" s="127" t="n"/>
      <c r="E502" s="127" t="n"/>
      <c r="F502" s="127" t="n"/>
      <c r="G502" s="127" t="n"/>
      <c r="H502" s="127" t="n"/>
      <c r="I502" s="127" t="n"/>
    </row>
    <row r="503" ht="15" customHeight="1" s="73">
      <c r="A503" s="124" t="n"/>
      <c r="B503" s="125" t="n"/>
      <c r="C503" s="126" t="n"/>
      <c r="D503" s="127" t="n"/>
      <c r="E503" s="127" t="n"/>
      <c r="F503" s="127" t="n"/>
      <c r="G503" s="127" t="n"/>
      <c r="H503" s="127" t="n"/>
      <c r="I503" s="127" t="n"/>
    </row>
    <row r="504" ht="15" customHeight="1" s="73">
      <c r="A504" s="124" t="n"/>
      <c r="B504" s="125" t="n"/>
      <c r="C504" s="126" t="n"/>
      <c r="D504" s="127" t="n"/>
      <c r="E504" s="127" t="n"/>
      <c r="F504" s="127" t="n"/>
      <c r="G504" s="127" t="n"/>
      <c r="H504" s="127" t="n"/>
      <c r="I504" s="127" t="n"/>
    </row>
    <row r="505" ht="15" customHeight="1" s="73">
      <c r="A505" s="124" t="n"/>
      <c r="B505" s="125" t="n"/>
      <c r="C505" s="126" t="n"/>
      <c r="D505" s="127" t="n"/>
      <c r="E505" s="127" t="n"/>
      <c r="F505" s="127" t="n"/>
      <c r="G505" s="127" t="n"/>
      <c r="H505" s="127" t="n"/>
      <c r="I505" s="127" t="n"/>
    </row>
    <row r="506" ht="15" customHeight="1" s="73">
      <c r="A506" s="124" t="n"/>
      <c r="B506" s="125" t="n"/>
      <c r="C506" s="126" t="n"/>
      <c r="D506" s="127" t="n"/>
      <c r="E506" s="127" t="n"/>
      <c r="F506" s="127" t="n"/>
      <c r="G506" s="127" t="n"/>
      <c r="H506" s="127" t="n"/>
      <c r="I506" s="127" t="n"/>
    </row>
    <row r="507" ht="15" customHeight="1" s="73">
      <c r="A507" s="124" t="n"/>
      <c r="B507" s="125" t="n"/>
      <c r="C507" s="126" t="n"/>
      <c r="D507" s="127" t="n"/>
      <c r="E507" s="127" t="n"/>
      <c r="F507" s="127" t="n"/>
      <c r="G507" s="127" t="n"/>
      <c r="H507" s="127" t="n"/>
      <c r="I507" s="127" t="n"/>
    </row>
    <row r="508" ht="15" customHeight="1" s="73">
      <c r="A508" s="124" t="n"/>
      <c r="B508" s="125" t="n"/>
      <c r="C508" s="126" t="n"/>
      <c r="D508" s="127" t="n"/>
      <c r="E508" s="127" t="n"/>
      <c r="F508" s="127" t="n"/>
      <c r="G508" s="127" t="n"/>
      <c r="H508" s="127" t="n"/>
      <c r="I508" s="127" t="n"/>
    </row>
    <row r="509" ht="15" customHeight="1" s="73">
      <c r="A509" s="124" t="n"/>
      <c r="B509" s="125" t="n"/>
      <c r="C509" s="126" t="n"/>
      <c r="D509" s="127" t="n"/>
      <c r="E509" s="127" t="n"/>
      <c r="F509" s="127" t="n"/>
      <c r="G509" s="127" t="n"/>
      <c r="H509" s="127" t="n"/>
      <c r="I509" s="127" t="n"/>
    </row>
    <row r="510" ht="15" customHeight="1" s="73">
      <c r="A510" s="124" t="n"/>
      <c r="B510" s="125" t="n"/>
      <c r="C510" s="126" t="n"/>
      <c r="D510" s="127" t="n"/>
      <c r="E510" s="127" t="n"/>
      <c r="F510" s="127" t="n"/>
      <c r="G510" s="127" t="n"/>
      <c r="H510" s="127" t="n"/>
      <c r="I510" s="127" t="n"/>
    </row>
    <row r="511" ht="15" customHeight="1" s="73">
      <c r="A511" s="124" t="n"/>
      <c r="B511" s="125" t="n"/>
      <c r="C511" s="126" t="n"/>
      <c r="D511" s="127" t="n"/>
      <c r="E511" s="127" t="n"/>
      <c r="F511" s="127" t="n"/>
      <c r="G511" s="127" t="n"/>
      <c r="H511" s="127" t="n"/>
      <c r="I511" s="127" t="n"/>
    </row>
    <row r="512" ht="15" customHeight="1" s="73">
      <c r="A512" s="124" t="n"/>
      <c r="B512" s="125" t="n"/>
      <c r="C512" s="126" t="n"/>
      <c r="D512" s="127" t="n"/>
      <c r="E512" s="127" t="n"/>
      <c r="F512" s="127" t="n"/>
      <c r="G512" s="127" t="n"/>
      <c r="H512" s="127" t="n"/>
      <c r="I512" s="127" t="n"/>
    </row>
    <row r="513" ht="15" customHeight="1" s="73">
      <c r="A513" s="124" t="n"/>
      <c r="B513" s="125" t="n"/>
      <c r="C513" s="126" t="n"/>
      <c r="D513" s="127" t="n"/>
      <c r="E513" s="127" t="n"/>
      <c r="F513" s="127" t="n"/>
      <c r="G513" s="127" t="n"/>
      <c r="H513" s="127" t="n"/>
      <c r="I513" s="127" t="n"/>
    </row>
    <row r="514" ht="15" customHeight="1" s="73">
      <c r="A514" s="124" t="n"/>
      <c r="B514" s="125" t="n"/>
      <c r="C514" s="126" t="n"/>
      <c r="D514" s="127" t="n"/>
      <c r="E514" s="127" t="n"/>
      <c r="F514" s="127" t="n"/>
      <c r="G514" s="127" t="n"/>
      <c r="H514" s="127" t="n"/>
      <c r="I514" s="127" t="n"/>
    </row>
    <row r="515" ht="15" customHeight="1" s="73">
      <c r="A515" s="124" t="n"/>
      <c r="B515" s="125" t="n"/>
      <c r="C515" s="126" t="n"/>
      <c r="D515" s="127" t="n"/>
      <c r="E515" s="127" t="n"/>
      <c r="F515" s="127" t="n"/>
      <c r="G515" s="127" t="n"/>
      <c r="H515" s="127" t="n"/>
      <c r="I515" s="127" t="n"/>
    </row>
    <row r="516" ht="15" customHeight="1" s="73">
      <c r="A516" s="124" t="n"/>
      <c r="B516" s="125" t="n"/>
      <c r="C516" s="126" t="n"/>
      <c r="D516" s="127" t="n"/>
      <c r="E516" s="127" t="n"/>
      <c r="F516" s="127" t="n"/>
      <c r="G516" s="127" t="n"/>
      <c r="H516" s="127" t="n"/>
      <c r="I516" s="127" t="n"/>
    </row>
    <row r="517" ht="15" customHeight="1" s="73">
      <c r="A517" s="124" t="n"/>
      <c r="B517" s="125" t="n"/>
      <c r="C517" s="126" t="n"/>
      <c r="D517" s="127" t="n"/>
      <c r="E517" s="127" t="n"/>
      <c r="F517" s="127" t="n"/>
      <c r="G517" s="127" t="n"/>
      <c r="H517" s="127" t="n"/>
      <c r="I517" s="127" t="n"/>
    </row>
    <row r="518" ht="15" customHeight="1" s="73">
      <c r="A518" s="124" t="n"/>
      <c r="B518" s="125" t="n"/>
      <c r="C518" s="126" t="n"/>
      <c r="D518" s="127" t="n"/>
      <c r="E518" s="127" t="n"/>
      <c r="F518" s="127" t="n"/>
      <c r="G518" s="127" t="n"/>
      <c r="H518" s="127" t="n"/>
      <c r="I518" s="127" t="n"/>
    </row>
    <row r="519" ht="15" customHeight="1" s="73">
      <c r="A519" s="124" t="n"/>
      <c r="B519" s="125" t="n"/>
      <c r="C519" s="126" t="n"/>
      <c r="D519" s="127" t="n"/>
      <c r="E519" s="127" t="n"/>
      <c r="F519" s="127" t="n"/>
      <c r="G519" s="127" t="n"/>
      <c r="H519" s="127" t="n"/>
      <c r="I519" s="127" t="n"/>
    </row>
    <row r="520" ht="15" customHeight="1" s="73">
      <c r="A520" s="124" t="n"/>
      <c r="B520" s="125" t="n"/>
      <c r="C520" s="126" t="n"/>
      <c r="D520" s="127" t="n"/>
      <c r="E520" s="127" t="n"/>
      <c r="F520" s="127" t="n"/>
      <c r="G520" s="127" t="n"/>
      <c r="H520" s="127" t="n"/>
      <c r="I520" s="127" t="n"/>
    </row>
    <row r="521" ht="15" customHeight="1" s="73">
      <c r="A521" s="124" t="n"/>
      <c r="B521" s="125" t="n"/>
      <c r="C521" s="126" t="n"/>
      <c r="D521" s="127" t="n"/>
      <c r="E521" s="127" t="n"/>
      <c r="F521" s="127" t="n"/>
      <c r="G521" s="127" t="n"/>
      <c r="H521" s="127" t="n"/>
      <c r="I521" s="127" t="n"/>
    </row>
    <row r="522" ht="15" customHeight="1" s="73">
      <c r="A522" s="124" t="n"/>
      <c r="B522" s="125" t="n"/>
      <c r="C522" s="126" t="n"/>
      <c r="D522" s="127" t="n"/>
      <c r="E522" s="127" t="n"/>
      <c r="F522" s="127" t="n"/>
      <c r="G522" s="127" t="n"/>
      <c r="H522" s="127" t="n"/>
      <c r="I522" s="127" t="n"/>
    </row>
    <row r="523" ht="15" customHeight="1" s="73">
      <c r="A523" s="124" t="n"/>
      <c r="B523" s="125" t="n"/>
      <c r="C523" s="126" t="n"/>
      <c r="D523" s="127" t="n"/>
      <c r="E523" s="127" t="n"/>
      <c r="F523" s="127" t="n"/>
      <c r="G523" s="127" t="n"/>
      <c r="H523" s="127" t="n"/>
      <c r="I523" s="127" t="n"/>
    </row>
    <row r="524" ht="15" customHeight="1" s="73">
      <c r="A524" s="124" t="n"/>
      <c r="B524" s="125" t="n"/>
      <c r="C524" s="126" t="n"/>
      <c r="D524" s="127" t="n"/>
      <c r="E524" s="127" t="n"/>
      <c r="F524" s="127" t="n"/>
      <c r="G524" s="127" t="n"/>
      <c r="H524" s="127" t="n"/>
      <c r="I524" s="127" t="n"/>
    </row>
    <row r="525" ht="15" customHeight="1" s="73">
      <c r="A525" s="124" t="n"/>
      <c r="B525" s="125" t="n"/>
      <c r="C525" s="126" t="n"/>
      <c r="D525" s="127" t="n"/>
      <c r="E525" s="127" t="n"/>
      <c r="F525" s="127" t="n"/>
      <c r="G525" s="127" t="n"/>
      <c r="H525" s="127" t="n"/>
      <c r="I525" s="127" t="n"/>
    </row>
    <row r="526" ht="15" customHeight="1" s="73">
      <c r="A526" s="124" t="n"/>
      <c r="B526" s="125" t="n"/>
      <c r="C526" s="126" t="n"/>
      <c r="D526" s="127" t="n"/>
      <c r="E526" s="127" t="n"/>
      <c r="F526" s="127" t="n"/>
      <c r="G526" s="127" t="n"/>
      <c r="H526" s="127" t="n"/>
      <c r="I526" s="127" t="n"/>
    </row>
    <row r="527" ht="15" customHeight="1" s="73">
      <c r="A527" s="124" t="n"/>
      <c r="B527" s="125" t="n"/>
      <c r="C527" s="126" t="n"/>
      <c r="D527" s="127" t="n"/>
      <c r="E527" s="127" t="n"/>
      <c r="F527" s="127" t="n"/>
      <c r="G527" s="127" t="n"/>
      <c r="H527" s="127" t="n"/>
      <c r="I527" s="127" t="n"/>
    </row>
    <row r="528" ht="15" customHeight="1" s="73">
      <c r="A528" s="124" t="n"/>
      <c r="B528" s="125" t="n"/>
      <c r="C528" s="126" t="n"/>
      <c r="D528" s="127" t="n"/>
      <c r="E528" s="127" t="n"/>
      <c r="F528" s="127" t="n"/>
      <c r="G528" s="127" t="n"/>
      <c r="H528" s="127" t="n"/>
      <c r="I528" s="127" t="n"/>
    </row>
    <row r="529" ht="15" customHeight="1" s="73">
      <c r="A529" s="124" t="n"/>
      <c r="B529" s="125" t="n"/>
      <c r="C529" s="126" t="n"/>
      <c r="D529" s="127" t="n"/>
      <c r="E529" s="127" t="n"/>
      <c r="F529" s="127" t="n"/>
      <c r="G529" s="127" t="n"/>
      <c r="H529" s="127" t="n"/>
      <c r="I529" s="127" t="n"/>
    </row>
    <row r="530" ht="15" customHeight="1" s="73">
      <c r="A530" s="124" t="n"/>
      <c r="B530" s="125" t="n"/>
      <c r="C530" s="126" t="n"/>
      <c r="D530" s="127" t="n"/>
      <c r="E530" s="127" t="n"/>
      <c r="F530" s="127" t="n"/>
      <c r="G530" s="127" t="n"/>
      <c r="H530" s="127" t="n"/>
      <c r="I530" s="127" t="n"/>
    </row>
    <row r="531" ht="15" customHeight="1" s="73">
      <c r="A531" s="124" t="n"/>
      <c r="B531" s="125" t="n"/>
      <c r="C531" s="126" t="n"/>
      <c r="D531" s="127" t="n"/>
      <c r="E531" s="127" t="n"/>
      <c r="F531" s="127" t="n"/>
      <c r="G531" s="127" t="n"/>
      <c r="H531" s="127" t="n"/>
      <c r="I531" s="127" t="n"/>
    </row>
    <row r="532" ht="15" customHeight="1" s="73">
      <c r="A532" s="124" t="n"/>
      <c r="B532" s="125" t="n"/>
      <c r="C532" s="126" t="n"/>
      <c r="D532" s="127" t="n"/>
      <c r="E532" s="127" t="n"/>
      <c r="F532" s="127" t="n"/>
      <c r="G532" s="127" t="n"/>
      <c r="H532" s="127" t="n"/>
      <c r="I532" s="127" t="n"/>
    </row>
    <row r="533" ht="15" customHeight="1" s="73">
      <c r="A533" s="124" t="n"/>
      <c r="B533" s="125" t="n"/>
      <c r="C533" s="126" t="n"/>
      <c r="D533" s="127" t="n"/>
      <c r="E533" s="127" t="n"/>
      <c r="F533" s="127" t="n"/>
      <c r="G533" s="127" t="n"/>
      <c r="H533" s="127" t="n"/>
      <c r="I533" s="127" t="n"/>
    </row>
    <row r="534" ht="15" customHeight="1" s="73">
      <c r="A534" s="124" t="n"/>
      <c r="B534" s="125" t="n"/>
      <c r="C534" s="126" t="n"/>
      <c r="D534" s="127" t="n"/>
      <c r="E534" s="127" t="n"/>
      <c r="F534" s="127" t="n"/>
      <c r="G534" s="127" t="n"/>
      <c r="H534" s="127" t="n"/>
      <c r="I534" s="127" t="n"/>
    </row>
    <row r="535" ht="15" customHeight="1" s="73">
      <c r="A535" s="124" t="n"/>
      <c r="B535" s="125" t="n"/>
      <c r="C535" s="126" t="n"/>
      <c r="D535" s="127" t="n"/>
      <c r="E535" s="127" t="n"/>
      <c r="F535" s="127" t="n"/>
      <c r="G535" s="127" t="n"/>
      <c r="H535" s="127" t="n"/>
      <c r="I535" s="127" t="n"/>
    </row>
    <row r="536" ht="15" customHeight="1" s="73">
      <c r="A536" s="124" t="n"/>
      <c r="B536" s="125" t="n"/>
      <c r="C536" s="126" t="n"/>
      <c r="D536" s="127" t="n"/>
      <c r="E536" s="127" t="n"/>
      <c r="F536" s="127" t="n"/>
      <c r="G536" s="127" t="n"/>
      <c r="H536" s="127" t="n"/>
      <c r="I536" s="127" t="n"/>
    </row>
    <row r="537" ht="15" customHeight="1" s="73">
      <c r="A537" s="124" t="n"/>
      <c r="B537" s="125" t="n"/>
      <c r="C537" s="126" t="n"/>
      <c r="D537" s="127" t="n"/>
      <c r="E537" s="127" t="n"/>
      <c r="F537" s="127" t="n"/>
      <c r="G537" s="127" t="n"/>
      <c r="H537" s="127" t="n"/>
      <c r="I537" s="127" t="n"/>
    </row>
    <row r="538" ht="15" customHeight="1" s="73">
      <c r="A538" s="124" t="n"/>
      <c r="B538" s="125" t="n"/>
      <c r="C538" s="126" t="n"/>
      <c r="D538" s="127" t="n"/>
      <c r="E538" s="127" t="n"/>
      <c r="F538" s="127" t="n"/>
      <c r="G538" s="127" t="n"/>
      <c r="H538" s="127" t="n"/>
      <c r="I538" s="127" t="n"/>
    </row>
    <row r="539" ht="15" customHeight="1" s="73">
      <c r="A539" s="124" t="n"/>
      <c r="B539" s="125" t="n"/>
      <c r="C539" s="126" t="n"/>
      <c r="D539" s="127" t="n"/>
      <c r="E539" s="127" t="n"/>
      <c r="F539" s="127" t="n"/>
      <c r="G539" s="127" t="n"/>
      <c r="H539" s="127" t="n"/>
      <c r="I539" s="127" t="n"/>
    </row>
    <row r="540" ht="15" customHeight="1" s="73">
      <c r="A540" s="124" t="n"/>
      <c r="B540" s="125" t="n"/>
      <c r="C540" s="126" t="n"/>
      <c r="D540" s="127" t="n"/>
      <c r="E540" s="127" t="n"/>
      <c r="F540" s="127" t="n"/>
      <c r="G540" s="127" t="n"/>
      <c r="H540" s="127" t="n"/>
      <c r="I540" s="127" t="n"/>
    </row>
    <row r="541" ht="15" customHeight="1" s="73">
      <c r="A541" s="124" t="n"/>
      <c r="B541" s="125" t="n"/>
      <c r="C541" s="126" t="n"/>
      <c r="D541" s="127" t="n"/>
      <c r="E541" s="127" t="n"/>
      <c r="F541" s="127" t="n"/>
      <c r="G541" s="127" t="n"/>
      <c r="H541" s="127" t="n"/>
      <c r="I541" s="127" t="n"/>
    </row>
    <row r="542" ht="15" customHeight="1" s="73">
      <c r="A542" s="124" t="n"/>
      <c r="B542" s="125" t="n"/>
      <c r="C542" s="126" t="n"/>
      <c r="D542" s="127" t="n"/>
      <c r="E542" s="127" t="n"/>
      <c r="F542" s="127" t="n"/>
      <c r="G542" s="127" t="n"/>
      <c r="H542" s="127" t="n"/>
      <c r="I542" s="127" t="n"/>
    </row>
    <row r="543" ht="15" customHeight="1" s="73">
      <c r="A543" s="124" t="n"/>
      <c r="B543" s="125" t="n"/>
      <c r="C543" s="126" t="n"/>
      <c r="D543" s="127" t="n"/>
      <c r="E543" s="127" t="n"/>
      <c r="F543" s="127" t="n"/>
      <c r="G543" s="127" t="n"/>
      <c r="H543" s="127" t="n"/>
      <c r="I543" s="127" t="n"/>
    </row>
    <row r="544" ht="15" customHeight="1" s="73">
      <c r="A544" s="124" t="n"/>
      <c r="B544" s="125" t="n"/>
      <c r="C544" s="126" t="n"/>
      <c r="D544" s="127" t="n"/>
      <c r="E544" s="127" t="n"/>
      <c r="F544" s="127" t="n"/>
      <c r="G544" s="127" t="n"/>
      <c r="H544" s="127" t="n"/>
      <c r="I544" s="127" t="n"/>
    </row>
    <row r="545" ht="15" customHeight="1" s="73">
      <c r="A545" s="124" t="n"/>
      <c r="B545" s="125" t="n"/>
      <c r="C545" s="126" t="n"/>
      <c r="D545" s="127" t="n"/>
      <c r="E545" s="127" t="n"/>
      <c r="F545" s="127" t="n"/>
      <c r="G545" s="127" t="n"/>
      <c r="H545" s="127" t="n"/>
      <c r="I545" s="127" t="n"/>
    </row>
    <row r="546" ht="15" customHeight="1" s="73">
      <c r="A546" s="124" t="n"/>
      <c r="B546" s="125" t="n"/>
      <c r="C546" s="126" t="n"/>
      <c r="D546" s="127" t="n"/>
      <c r="E546" s="127" t="n"/>
      <c r="F546" s="127" t="n"/>
      <c r="G546" s="127" t="n"/>
      <c r="H546" s="127" t="n"/>
      <c r="I546" s="127" t="n"/>
    </row>
    <row r="547" ht="15" customHeight="1" s="73">
      <c r="A547" s="124" t="n"/>
      <c r="B547" s="125" t="n"/>
      <c r="C547" s="126" t="n"/>
      <c r="D547" s="127" t="n"/>
      <c r="E547" s="127" t="n"/>
      <c r="F547" s="127" t="n"/>
      <c r="G547" s="127" t="n"/>
      <c r="H547" s="127" t="n"/>
      <c r="I547" s="127" t="n"/>
    </row>
    <row r="548" ht="15" customHeight="1" s="73">
      <c r="A548" s="124" t="n"/>
      <c r="B548" s="125" t="n"/>
      <c r="C548" s="126" t="n"/>
      <c r="D548" s="127" t="n"/>
      <c r="E548" s="127" t="n"/>
      <c r="F548" s="127" t="n"/>
      <c r="G548" s="127" t="n"/>
      <c r="H548" s="127" t="n"/>
      <c r="I548" s="127" t="n"/>
    </row>
    <row r="549" ht="15" customHeight="1" s="73">
      <c r="A549" s="124" t="n"/>
      <c r="B549" s="125" t="n"/>
      <c r="C549" s="126" t="n"/>
      <c r="D549" s="127" t="n"/>
      <c r="E549" s="127" t="n"/>
      <c r="F549" s="127" t="n"/>
      <c r="G549" s="127" t="n"/>
      <c r="H549" s="127" t="n"/>
      <c r="I549" s="127" t="n"/>
    </row>
    <row r="550" ht="15" customHeight="1" s="73">
      <c r="A550" s="124" t="n"/>
      <c r="B550" s="125" t="n"/>
      <c r="C550" s="126" t="n"/>
      <c r="D550" s="127" t="n"/>
      <c r="E550" s="127" t="n"/>
      <c r="F550" s="127" t="n"/>
      <c r="G550" s="127" t="n"/>
      <c r="H550" s="127" t="n"/>
      <c r="I550" s="127" t="n"/>
    </row>
    <row r="551" ht="15" customHeight="1" s="73">
      <c r="A551" s="124" t="n"/>
      <c r="B551" s="125" t="n"/>
      <c r="C551" s="126" t="n"/>
      <c r="D551" s="127" t="n"/>
      <c r="E551" s="127" t="n"/>
      <c r="F551" s="127" t="n"/>
      <c r="G551" s="127" t="n"/>
      <c r="H551" s="127" t="n"/>
      <c r="I551" s="127" t="n"/>
    </row>
    <row r="552" ht="15" customHeight="1" s="73">
      <c r="A552" s="124" t="n"/>
      <c r="B552" s="125" t="n"/>
      <c r="C552" s="126" t="n"/>
      <c r="D552" s="127" t="n"/>
      <c r="E552" s="127" t="n"/>
      <c r="F552" s="127" t="n"/>
      <c r="G552" s="127" t="n"/>
      <c r="H552" s="127" t="n"/>
      <c r="I552" s="127" t="n"/>
    </row>
    <row r="553" ht="15" customHeight="1" s="73">
      <c r="A553" s="124" t="n"/>
      <c r="B553" s="125" t="n"/>
      <c r="C553" s="126" t="n"/>
      <c r="D553" s="127" t="n"/>
      <c r="E553" s="127" t="n"/>
      <c r="F553" s="127" t="n"/>
      <c r="G553" s="127" t="n"/>
      <c r="H553" s="127" t="n"/>
      <c r="I553" s="127" t="n"/>
    </row>
    <row r="554" ht="15" customHeight="1" s="73">
      <c r="A554" s="124" t="n"/>
      <c r="B554" s="125" t="n"/>
      <c r="C554" s="126" t="n"/>
      <c r="D554" s="127" t="n"/>
      <c r="E554" s="127" t="n"/>
      <c r="F554" s="127" t="n"/>
      <c r="G554" s="127" t="n"/>
      <c r="H554" s="127" t="n"/>
      <c r="I554" s="127" t="n"/>
    </row>
    <row r="555" ht="15" customHeight="1" s="73">
      <c r="A555" s="124" t="n"/>
      <c r="B555" s="125" t="n"/>
      <c r="C555" s="126" t="n"/>
      <c r="D555" s="127" t="n"/>
      <c r="E555" s="127" t="n"/>
      <c r="F555" s="127" t="n"/>
      <c r="G555" s="127" t="n"/>
      <c r="H555" s="127" t="n"/>
      <c r="I555" s="127" t="n"/>
    </row>
    <row r="556" ht="15" customHeight="1" s="73">
      <c r="A556" s="124" t="n"/>
      <c r="B556" s="125" t="n"/>
      <c r="C556" s="126" t="n"/>
      <c r="D556" s="127" t="n"/>
      <c r="E556" s="127" t="n"/>
      <c r="F556" s="127" t="n"/>
      <c r="G556" s="127" t="n"/>
      <c r="H556" s="127" t="n"/>
      <c r="I556" s="127" t="n"/>
    </row>
    <row r="557" ht="15" customHeight="1" s="73">
      <c r="A557" s="124" t="n"/>
      <c r="B557" s="125" t="n"/>
      <c r="C557" s="126" t="n"/>
      <c r="D557" s="127" t="n"/>
      <c r="E557" s="127" t="n"/>
      <c r="F557" s="127" t="n"/>
      <c r="G557" s="127" t="n"/>
      <c r="H557" s="127" t="n"/>
      <c r="I557" s="127" t="n"/>
    </row>
    <row r="558" ht="15" customHeight="1" s="73">
      <c r="A558" s="124" t="n"/>
      <c r="B558" s="125" t="n"/>
      <c r="C558" s="126" t="n"/>
      <c r="D558" s="127" t="n"/>
      <c r="E558" s="127" t="n"/>
      <c r="F558" s="127" t="n"/>
      <c r="G558" s="127" t="n"/>
      <c r="H558" s="127" t="n"/>
      <c r="I558" s="127" t="n"/>
    </row>
    <row r="559" ht="15" customHeight="1" s="73">
      <c r="A559" s="124" t="n"/>
      <c r="B559" s="125" t="n"/>
      <c r="C559" s="126" t="n"/>
      <c r="D559" s="127" t="n"/>
      <c r="E559" s="127" t="n"/>
      <c r="F559" s="127" t="n"/>
      <c r="G559" s="127" t="n"/>
      <c r="H559" s="127" t="n"/>
      <c r="I559" s="127" t="n"/>
    </row>
    <row r="560" ht="15" customHeight="1" s="73">
      <c r="A560" s="124" t="n"/>
      <c r="B560" s="125" t="n"/>
      <c r="C560" s="126" t="n"/>
      <c r="D560" s="127" t="n"/>
      <c r="E560" s="127" t="n"/>
      <c r="F560" s="127" t="n"/>
      <c r="G560" s="127" t="n"/>
      <c r="H560" s="127" t="n"/>
      <c r="I560" s="127" t="n"/>
    </row>
    <row r="561" ht="15" customHeight="1" s="73">
      <c r="A561" s="124" t="n"/>
      <c r="B561" s="125" t="n"/>
      <c r="C561" s="126" t="n"/>
      <c r="D561" s="127" t="n"/>
      <c r="E561" s="127" t="n"/>
      <c r="F561" s="127" t="n"/>
      <c r="G561" s="127" t="n"/>
      <c r="H561" s="127" t="n"/>
      <c r="I561" s="127" t="n"/>
    </row>
    <row r="562" ht="15" customHeight="1" s="73">
      <c r="A562" s="124" t="n"/>
      <c r="B562" s="125" t="n"/>
      <c r="C562" s="126" t="n"/>
      <c r="D562" s="127" t="n"/>
      <c r="E562" s="127" t="n"/>
      <c r="F562" s="127" t="n"/>
      <c r="G562" s="127" t="n"/>
      <c r="H562" s="127" t="n"/>
      <c r="I562" s="127" t="n"/>
    </row>
    <row r="563" ht="15" customHeight="1" s="73">
      <c r="A563" s="124" t="n"/>
      <c r="B563" s="125" t="n"/>
      <c r="C563" s="126" t="n"/>
      <c r="D563" s="127" t="n"/>
      <c r="E563" s="127" t="n"/>
      <c r="F563" s="127" t="n"/>
      <c r="G563" s="127" t="n"/>
      <c r="H563" s="127" t="n"/>
      <c r="I563" s="127" t="n"/>
    </row>
    <row r="564" ht="15" customHeight="1" s="73">
      <c r="A564" s="124" t="n"/>
      <c r="B564" s="125" t="n"/>
      <c r="C564" s="126" t="n"/>
      <c r="D564" s="127" t="n"/>
      <c r="E564" s="127" t="n"/>
      <c r="F564" s="127" t="n"/>
      <c r="G564" s="127" t="n"/>
      <c r="H564" s="127" t="n"/>
      <c r="I564" s="127" t="n"/>
    </row>
    <row r="565" ht="15" customHeight="1" s="73">
      <c r="A565" s="124" t="n"/>
      <c r="B565" s="125" t="n"/>
      <c r="C565" s="126" t="n"/>
      <c r="D565" s="127" t="n"/>
      <c r="E565" s="127" t="n"/>
      <c r="F565" s="127" t="n"/>
      <c r="G565" s="127" t="n"/>
      <c r="H565" s="127" t="n"/>
      <c r="I565" s="127" t="n"/>
    </row>
    <row r="566" ht="15" customHeight="1" s="73">
      <c r="A566" s="124" t="n"/>
      <c r="B566" s="125" t="n"/>
      <c r="C566" s="126" t="n"/>
      <c r="D566" s="127" t="n"/>
      <c r="E566" s="127" t="n"/>
      <c r="F566" s="127" t="n"/>
      <c r="G566" s="127" t="n"/>
      <c r="H566" s="127" t="n"/>
      <c r="I566" s="127" t="n"/>
    </row>
    <row r="567" ht="15" customHeight="1" s="73">
      <c r="A567" s="124" t="n"/>
      <c r="B567" s="125" t="n"/>
      <c r="C567" s="126" t="n"/>
      <c r="D567" s="127" t="n"/>
      <c r="E567" s="127" t="n"/>
      <c r="F567" s="127" t="n"/>
      <c r="G567" s="127" t="n"/>
      <c r="H567" s="127" t="n"/>
      <c r="I567" s="127" t="n"/>
    </row>
    <row r="568" ht="15" customHeight="1" s="73">
      <c r="A568" s="124" t="n"/>
      <c r="B568" s="125" t="n"/>
      <c r="C568" s="126" t="n"/>
      <c r="D568" s="127" t="n"/>
      <c r="E568" s="127" t="n"/>
      <c r="F568" s="127" t="n"/>
      <c r="G568" s="127" t="n"/>
      <c r="H568" s="127" t="n"/>
      <c r="I568" s="127" t="n"/>
    </row>
    <row r="569" ht="15" customHeight="1" s="73">
      <c r="A569" s="124" t="n"/>
      <c r="B569" s="125" t="n"/>
      <c r="C569" s="126" t="n"/>
      <c r="D569" s="127" t="n"/>
      <c r="E569" s="127" t="n"/>
      <c r="F569" s="127" t="n"/>
      <c r="G569" s="127" t="n"/>
      <c r="H569" s="127" t="n"/>
      <c r="I569" s="127" t="n"/>
    </row>
    <row r="570" ht="15" customHeight="1" s="73">
      <c r="A570" s="124" t="n"/>
      <c r="B570" s="125" t="n"/>
      <c r="C570" s="126" t="n"/>
      <c r="D570" s="127" t="n"/>
      <c r="E570" s="127" t="n"/>
      <c r="F570" s="127" t="n"/>
      <c r="G570" s="127" t="n"/>
      <c r="H570" s="127" t="n"/>
      <c r="I570" s="127" t="n"/>
    </row>
    <row r="571" ht="15" customHeight="1" s="73">
      <c r="A571" s="124" t="n"/>
      <c r="B571" s="125" t="n"/>
      <c r="C571" s="126" t="n"/>
      <c r="D571" s="127" t="n"/>
      <c r="E571" s="127" t="n"/>
      <c r="F571" s="127" t="n"/>
      <c r="G571" s="127" t="n"/>
      <c r="H571" s="127" t="n"/>
      <c r="I571" s="127" t="n"/>
    </row>
    <row r="572" ht="15" customHeight="1" s="73">
      <c r="A572" s="124" t="n"/>
      <c r="B572" s="125" t="n"/>
      <c r="C572" s="126" t="n"/>
      <c r="D572" s="127" t="n"/>
      <c r="E572" s="127" t="n"/>
      <c r="F572" s="127" t="n"/>
      <c r="G572" s="127" t="n"/>
      <c r="H572" s="127" t="n"/>
      <c r="I572" s="127" t="n"/>
    </row>
    <row r="573" ht="15" customHeight="1" s="73">
      <c r="A573" s="124" t="n"/>
      <c r="B573" s="125" t="n"/>
      <c r="C573" s="126" t="n"/>
      <c r="D573" s="127" t="n"/>
      <c r="E573" s="127" t="n"/>
      <c r="F573" s="127" t="n"/>
      <c r="G573" s="127" t="n"/>
      <c r="H573" s="127" t="n"/>
      <c r="I573" s="127" t="n"/>
    </row>
    <row r="574" ht="15" customHeight="1" s="73">
      <c r="A574" s="124" t="n"/>
      <c r="B574" s="125" t="n"/>
      <c r="C574" s="126" t="n"/>
      <c r="D574" s="127" t="n"/>
      <c r="E574" s="127" t="n"/>
      <c r="F574" s="127" t="n"/>
      <c r="G574" s="127" t="n"/>
      <c r="H574" s="127" t="n"/>
      <c r="I574" s="127" t="n"/>
    </row>
    <row r="575" ht="15" customHeight="1" s="73">
      <c r="A575" s="124" t="n"/>
      <c r="B575" s="125" t="n"/>
      <c r="C575" s="126" t="n"/>
      <c r="D575" s="127" t="n"/>
      <c r="E575" s="127" t="n"/>
      <c r="F575" s="127" t="n"/>
      <c r="G575" s="127" t="n"/>
      <c r="H575" s="127" t="n"/>
      <c r="I575" s="127" t="n"/>
    </row>
    <row r="576" ht="15" customHeight="1" s="73">
      <c r="A576" s="124" t="n"/>
      <c r="B576" s="125" t="n"/>
      <c r="C576" s="126" t="n"/>
      <c r="D576" s="127" t="n"/>
      <c r="E576" s="127" t="n"/>
      <c r="F576" s="127" t="n"/>
      <c r="G576" s="127" t="n"/>
      <c r="H576" s="127" t="n"/>
      <c r="I576" s="127" t="n"/>
    </row>
    <row r="577" ht="15" customHeight="1" s="73">
      <c r="A577" s="124" t="n"/>
      <c r="B577" s="125" t="n"/>
      <c r="C577" s="126" t="n"/>
      <c r="D577" s="127" t="n"/>
      <c r="E577" s="127" t="n"/>
      <c r="F577" s="127" t="n"/>
      <c r="G577" s="127" t="n"/>
      <c r="H577" s="127" t="n"/>
      <c r="I577" s="127" t="n"/>
    </row>
    <row r="578" ht="15" customHeight="1" s="73">
      <c r="A578" s="124" t="n"/>
      <c r="B578" s="125" t="n"/>
      <c r="C578" s="126" t="n"/>
      <c r="D578" s="127" t="n"/>
      <c r="E578" s="127" t="n"/>
      <c r="F578" s="127" t="n"/>
      <c r="G578" s="127" t="n"/>
      <c r="H578" s="127" t="n"/>
      <c r="I578" s="127" t="n"/>
    </row>
    <row r="579" ht="15" customHeight="1" s="73">
      <c r="A579" s="124" t="n"/>
      <c r="B579" s="125" t="n"/>
      <c r="C579" s="126" t="n"/>
      <c r="D579" s="127" t="n"/>
      <c r="E579" s="127" t="n"/>
      <c r="F579" s="127" t="n"/>
      <c r="G579" s="127" t="n"/>
      <c r="H579" s="127" t="n"/>
      <c r="I579" s="127" t="n"/>
    </row>
    <row r="580" ht="15" customHeight="1" s="73">
      <c r="A580" s="124" t="n"/>
      <c r="B580" s="125" t="n"/>
      <c r="C580" s="126" t="n"/>
      <c r="D580" s="127" t="n"/>
      <c r="E580" s="127" t="n"/>
      <c r="F580" s="127" t="n"/>
      <c r="G580" s="127" t="n"/>
      <c r="H580" s="127" t="n"/>
      <c r="I580" s="127" t="n"/>
    </row>
    <row r="581" ht="15" customHeight="1" s="73">
      <c r="A581" s="124" t="n"/>
      <c r="B581" s="125" t="n"/>
      <c r="C581" s="126" t="n"/>
      <c r="D581" s="127" t="n"/>
      <c r="E581" s="127" t="n"/>
      <c r="F581" s="127" t="n"/>
      <c r="G581" s="127" t="n"/>
      <c r="H581" s="127" t="n"/>
      <c r="I581" s="127" t="n"/>
    </row>
    <row r="582" ht="15" customHeight="1" s="73">
      <c r="A582" s="124" t="n"/>
      <c r="B582" s="125" t="n"/>
      <c r="C582" s="126" t="n"/>
      <c r="D582" s="127" t="n"/>
      <c r="E582" s="127" t="n"/>
      <c r="F582" s="127" t="n"/>
      <c r="G582" s="127" t="n"/>
      <c r="H582" s="127" t="n"/>
      <c r="I582" s="127" t="n"/>
    </row>
    <row r="583" ht="15" customHeight="1" s="73">
      <c r="A583" s="124" t="n"/>
      <c r="B583" s="125" t="n"/>
      <c r="C583" s="126" t="n"/>
      <c r="D583" s="127" t="n"/>
      <c r="E583" s="127" t="n"/>
      <c r="F583" s="127" t="n"/>
      <c r="G583" s="127" t="n"/>
      <c r="H583" s="127" t="n"/>
      <c r="I583" s="127" t="n"/>
    </row>
    <row r="584" ht="15" customHeight="1" s="73">
      <c r="A584" s="124" t="n"/>
      <c r="B584" s="125" t="n"/>
      <c r="C584" s="126" t="n"/>
      <c r="D584" s="127" t="n"/>
      <c r="E584" s="127" t="n"/>
      <c r="F584" s="127" t="n"/>
      <c r="G584" s="127" t="n"/>
      <c r="H584" s="127" t="n"/>
      <c r="I584" s="127" t="n"/>
    </row>
    <row r="585" ht="15" customHeight="1" s="73">
      <c r="A585" s="124" t="n"/>
      <c r="B585" s="125" t="n"/>
      <c r="C585" s="126" t="n"/>
      <c r="D585" s="127" t="n"/>
      <c r="E585" s="127" t="n"/>
      <c r="F585" s="127" t="n"/>
      <c r="G585" s="127" t="n"/>
      <c r="H585" s="127" t="n"/>
      <c r="I585" s="127" t="n"/>
    </row>
    <row r="586" ht="15" customHeight="1" s="73">
      <c r="A586" s="124" t="n"/>
      <c r="B586" s="125" t="n"/>
      <c r="C586" s="126" t="n"/>
      <c r="D586" s="127" t="n"/>
      <c r="E586" s="127" t="n"/>
      <c r="F586" s="127" t="n"/>
      <c r="G586" s="127" t="n"/>
      <c r="H586" s="127" t="n"/>
      <c r="I586" s="127" t="n"/>
    </row>
    <row r="587" ht="15" customHeight="1" s="73">
      <c r="A587" s="124" t="n"/>
      <c r="B587" s="125" t="n"/>
      <c r="C587" s="126" t="n"/>
      <c r="D587" s="127" t="n"/>
      <c r="E587" s="127" t="n"/>
      <c r="F587" s="127" t="n"/>
      <c r="G587" s="127" t="n"/>
      <c r="H587" s="127" t="n"/>
      <c r="I587" s="127" t="n"/>
    </row>
    <row r="588" ht="15" customHeight="1" s="73">
      <c r="A588" s="124" t="n"/>
      <c r="B588" s="125" t="n"/>
      <c r="C588" s="126" t="n"/>
      <c r="D588" s="127" t="n"/>
      <c r="E588" s="127" t="n"/>
      <c r="F588" s="127" t="n"/>
      <c r="G588" s="127" t="n"/>
      <c r="H588" s="127" t="n"/>
      <c r="I588" s="127" t="n"/>
    </row>
    <row r="589" ht="15" customHeight="1" s="73">
      <c r="A589" s="124" t="n"/>
      <c r="B589" s="125" t="n"/>
      <c r="C589" s="126" t="n"/>
      <c r="D589" s="127" t="n"/>
      <c r="E589" s="127" t="n"/>
      <c r="F589" s="127" t="n"/>
      <c r="G589" s="127" t="n"/>
      <c r="H589" s="127" t="n"/>
      <c r="I589" s="127" t="n"/>
    </row>
    <row r="590" ht="15" customHeight="1" s="73">
      <c r="A590" s="124" t="n"/>
      <c r="B590" s="125" t="n"/>
      <c r="C590" s="126" t="n"/>
      <c r="D590" s="127" t="n"/>
      <c r="E590" s="127" t="n"/>
      <c r="F590" s="127" t="n"/>
      <c r="G590" s="127" t="n"/>
      <c r="H590" s="127" t="n"/>
      <c r="I590" s="127" t="n"/>
    </row>
    <row r="591" ht="15" customHeight="1" s="73">
      <c r="A591" s="124" t="n"/>
      <c r="B591" s="125" t="n"/>
      <c r="C591" s="126" t="n"/>
      <c r="D591" s="127" t="n"/>
      <c r="E591" s="127" t="n"/>
      <c r="F591" s="127" t="n"/>
      <c r="G591" s="127" t="n"/>
      <c r="H591" s="127" t="n"/>
      <c r="I591" s="127" t="n"/>
    </row>
    <row r="592" ht="15" customHeight="1" s="73">
      <c r="A592" s="124" t="n"/>
      <c r="B592" s="125" t="n"/>
      <c r="C592" s="126" t="n"/>
      <c r="D592" s="127" t="n"/>
      <c r="E592" s="127" t="n"/>
      <c r="F592" s="127" t="n"/>
      <c r="G592" s="127" t="n"/>
      <c r="H592" s="127" t="n"/>
      <c r="I592" s="127" t="n"/>
    </row>
    <row r="593" ht="15" customHeight="1" s="73">
      <c r="A593" s="124" t="n"/>
      <c r="B593" s="125" t="n"/>
      <c r="C593" s="126" t="n"/>
      <c r="D593" s="127" t="n"/>
      <c r="E593" s="127" t="n"/>
      <c r="F593" s="127" t="n"/>
      <c r="G593" s="127" t="n"/>
      <c r="H593" s="127" t="n"/>
      <c r="I593" s="127" t="n"/>
    </row>
    <row r="594" ht="15" customHeight="1" s="73">
      <c r="A594" s="124" t="n"/>
      <c r="B594" s="125" t="n"/>
      <c r="C594" s="126" t="n"/>
      <c r="D594" s="127" t="n"/>
      <c r="E594" s="127" t="n"/>
      <c r="F594" s="127" t="n"/>
      <c r="G594" s="127" t="n"/>
      <c r="H594" s="127" t="n"/>
      <c r="I594" s="127" t="n"/>
    </row>
    <row r="595" ht="15" customHeight="1" s="73">
      <c r="A595" s="124" t="n"/>
      <c r="B595" s="125" t="n"/>
      <c r="C595" s="126" t="n"/>
      <c r="D595" s="127" t="n"/>
      <c r="E595" s="127" t="n"/>
      <c r="F595" s="127" t="n"/>
      <c r="G595" s="127" t="n"/>
      <c r="H595" s="127" t="n"/>
      <c r="I595" s="127" t="n"/>
    </row>
    <row r="596" ht="15" customHeight="1" s="73">
      <c r="A596" s="124" t="n"/>
      <c r="B596" s="125" t="n"/>
      <c r="C596" s="126" t="n"/>
      <c r="D596" s="127" t="n"/>
      <c r="E596" s="127" t="n"/>
      <c r="F596" s="127" t="n"/>
      <c r="G596" s="127" t="n"/>
      <c r="H596" s="127" t="n"/>
      <c r="I596" s="127" t="n"/>
    </row>
    <row r="597" ht="15" customHeight="1" s="73">
      <c r="A597" s="124" t="n"/>
      <c r="B597" s="125" t="n"/>
      <c r="C597" s="126" t="n"/>
      <c r="D597" s="127" t="n"/>
      <c r="E597" s="127" t="n"/>
      <c r="F597" s="127" t="n"/>
      <c r="G597" s="127" t="n"/>
      <c r="H597" s="127" t="n"/>
      <c r="I597" s="127" t="n"/>
    </row>
    <row r="598" ht="15" customHeight="1" s="73">
      <c r="A598" s="124" t="n"/>
      <c r="B598" s="125" t="n"/>
      <c r="C598" s="126" t="n"/>
      <c r="D598" s="127" t="n"/>
      <c r="E598" s="127" t="n"/>
      <c r="F598" s="127" t="n"/>
      <c r="G598" s="127" t="n"/>
      <c r="H598" s="127" t="n"/>
      <c r="I598" s="127" t="n"/>
    </row>
    <row r="599" ht="15" customHeight="1" s="73">
      <c r="A599" s="124" t="n"/>
      <c r="B599" s="125" t="n"/>
      <c r="C599" s="126" t="n"/>
      <c r="D599" s="127" t="n"/>
      <c r="E599" s="127" t="n"/>
      <c r="F599" s="127" t="n"/>
      <c r="G599" s="127" t="n"/>
      <c r="H599" s="127" t="n"/>
      <c r="I599" s="127" t="n"/>
    </row>
    <row r="600" ht="15" customHeight="1" s="73">
      <c r="A600" s="124" t="n"/>
      <c r="B600" s="125" t="n"/>
      <c r="C600" s="126" t="n"/>
      <c r="D600" s="127" t="n"/>
      <c r="E600" s="127" t="n"/>
      <c r="F600" s="127" t="n"/>
      <c r="G600" s="127" t="n"/>
      <c r="H600" s="127" t="n"/>
      <c r="I600" s="127" t="n"/>
    </row>
    <row r="601" ht="15" customHeight="1" s="73">
      <c r="A601" s="124" t="n"/>
      <c r="B601" s="125" t="n"/>
      <c r="C601" s="126" t="n"/>
      <c r="D601" s="127" t="n"/>
      <c r="E601" s="127" t="n"/>
      <c r="F601" s="127" t="n"/>
      <c r="G601" s="127" t="n"/>
      <c r="H601" s="127" t="n"/>
      <c r="I601" s="127" t="n"/>
    </row>
    <row r="602" ht="15" customHeight="1" s="73">
      <c r="A602" s="124" t="n"/>
      <c r="B602" s="125" t="n"/>
      <c r="C602" s="126" t="n"/>
      <c r="D602" s="127" t="n"/>
      <c r="E602" s="127" t="n"/>
      <c r="F602" s="127" t="n"/>
      <c r="G602" s="127" t="n"/>
      <c r="H602" s="127" t="n"/>
      <c r="I602" s="127" t="n"/>
    </row>
    <row r="603" ht="15" customHeight="1" s="73">
      <c r="A603" s="124" t="n"/>
      <c r="B603" s="125" t="n"/>
      <c r="C603" s="126" t="n"/>
      <c r="D603" s="127" t="n"/>
      <c r="E603" s="127" t="n"/>
      <c r="F603" s="127" t="n"/>
      <c r="G603" s="127" t="n"/>
      <c r="H603" s="127" t="n"/>
      <c r="I603" s="127" t="n"/>
    </row>
    <row r="604" ht="15" customHeight="1" s="73">
      <c r="A604" s="124" t="n"/>
      <c r="B604" s="125" t="n"/>
      <c r="C604" s="126" t="n"/>
      <c r="D604" s="127" t="n"/>
      <c r="E604" s="127" t="n"/>
      <c r="F604" s="127" t="n"/>
      <c r="G604" s="127" t="n"/>
      <c r="H604" s="127" t="n"/>
      <c r="I604" s="127" t="n"/>
    </row>
    <row r="605" ht="15" customHeight="1" s="73">
      <c r="A605" s="124" t="n"/>
      <c r="B605" s="125" t="n"/>
      <c r="C605" s="126" t="n"/>
      <c r="D605" s="127" t="n"/>
      <c r="E605" s="127" t="n"/>
      <c r="F605" s="127" t="n"/>
      <c r="G605" s="127" t="n"/>
      <c r="H605" s="127" t="n"/>
      <c r="I605" s="127" t="n"/>
    </row>
    <row r="606" ht="15" customHeight="1" s="73">
      <c r="A606" s="124" t="n"/>
      <c r="B606" s="125" t="n"/>
      <c r="C606" s="126" t="n"/>
      <c r="D606" s="127" t="n"/>
      <c r="E606" s="127" t="n"/>
      <c r="F606" s="127" t="n"/>
      <c r="G606" s="127" t="n"/>
      <c r="H606" s="127" t="n"/>
      <c r="I606" s="127" t="n"/>
    </row>
    <row r="607" ht="15" customHeight="1" s="73">
      <c r="A607" s="124" t="n"/>
      <c r="B607" s="125" t="n"/>
      <c r="C607" s="126" t="n"/>
      <c r="D607" s="127" t="n"/>
      <c r="E607" s="127" t="n"/>
      <c r="F607" s="127" t="n"/>
      <c r="G607" s="127" t="n"/>
      <c r="H607" s="127" t="n"/>
      <c r="I607" s="127" t="n"/>
    </row>
    <row r="608" ht="15" customHeight="1" s="73">
      <c r="A608" s="124" t="n"/>
      <c r="B608" s="125" t="n"/>
      <c r="C608" s="126" t="n"/>
      <c r="D608" s="127" t="n"/>
      <c r="E608" s="127" t="n"/>
      <c r="F608" s="127" t="n"/>
      <c r="G608" s="127" t="n"/>
      <c r="H608" s="127" t="n"/>
      <c r="I608" s="127" t="n"/>
    </row>
    <row r="609" ht="15" customHeight="1" s="73">
      <c r="A609" s="124" t="n"/>
      <c r="B609" s="125" t="n"/>
      <c r="C609" s="126" t="n"/>
      <c r="D609" s="127" t="n"/>
      <c r="E609" s="127" t="n"/>
      <c r="F609" s="127" t="n"/>
      <c r="G609" s="127" t="n"/>
      <c r="H609" s="127" t="n"/>
      <c r="I609" s="127" t="n"/>
    </row>
    <row r="610" ht="15" customHeight="1" s="73">
      <c r="A610" s="124" t="n"/>
      <c r="B610" s="125" t="n"/>
      <c r="C610" s="126" t="n"/>
      <c r="D610" s="127" t="n"/>
      <c r="E610" s="127" t="n"/>
      <c r="F610" s="127" t="n"/>
      <c r="G610" s="127" t="n"/>
      <c r="H610" s="127" t="n"/>
      <c r="I610" s="127" t="n"/>
    </row>
    <row r="611" ht="15" customHeight="1" s="73">
      <c r="A611" s="124" t="n"/>
      <c r="B611" s="125" t="n"/>
      <c r="C611" s="126" t="n"/>
      <c r="D611" s="127" t="n"/>
      <c r="E611" s="127" t="n"/>
      <c r="F611" s="127" t="n"/>
      <c r="G611" s="127" t="n"/>
      <c r="H611" s="127" t="n"/>
      <c r="I611" s="127" t="n"/>
    </row>
    <row r="612" ht="15" customHeight="1" s="73">
      <c r="A612" s="124" t="n"/>
      <c r="B612" s="125" t="n"/>
      <c r="C612" s="126" t="n"/>
      <c r="D612" s="127" t="n"/>
      <c r="E612" s="127" t="n"/>
      <c r="F612" s="127" t="n"/>
      <c r="G612" s="127" t="n"/>
      <c r="H612" s="127" t="n"/>
      <c r="I612" s="127" t="n"/>
    </row>
    <row r="613" ht="15" customHeight="1" s="73">
      <c r="A613" s="124" t="n"/>
      <c r="B613" s="125" t="n"/>
      <c r="C613" s="126" t="n"/>
      <c r="D613" s="127" t="n"/>
      <c r="E613" s="127" t="n"/>
      <c r="F613" s="127" t="n"/>
      <c r="G613" s="127" t="n"/>
      <c r="H613" s="127" t="n"/>
      <c r="I613" s="127" t="n"/>
    </row>
    <row r="614" ht="15" customHeight="1" s="73">
      <c r="A614" s="124" t="n"/>
      <c r="B614" s="125" t="n"/>
      <c r="C614" s="126" t="n"/>
      <c r="D614" s="127" t="n"/>
      <c r="E614" s="127" t="n"/>
      <c r="F614" s="127" t="n"/>
      <c r="G614" s="127" t="n"/>
      <c r="H614" s="127" t="n"/>
      <c r="I614" s="127" t="n"/>
    </row>
    <row r="615" ht="15" customHeight="1" s="73">
      <c r="A615" s="124" t="n"/>
      <c r="B615" s="125" t="n"/>
      <c r="C615" s="126" t="n"/>
      <c r="D615" s="127" t="n"/>
      <c r="E615" s="127" t="n"/>
      <c r="F615" s="127" t="n"/>
      <c r="G615" s="127" t="n"/>
      <c r="H615" s="127" t="n"/>
      <c r="I615" s="127" t="n"/>
    </row>
    <row r="616" ht="15" customHeight="1" s="73">
      <c r="A616" s="124" t="n"/>
      <c r="B616" s="125" t="n"/>
      <c r="C616" s="126" t="n"/>
      <c r="D616" s="127" t="n"/>
      <c r="E616" s="127" t="n"/>
      <c r="F616" s="127" t="n"/>
      <c r="G616" s="127" t="n"/>
      <c r="H616" s="127" t="n"/>
      <c r="I616" s="127" t="n"/>
    </row>
    <row r="617" ht="15" customHeight="1" s="73">
      <c r="A617" s="124" t="n"/>
      <c r="B617" s="125" t="n"/>
      <c r="C617" s="126" t="n"/>
      <c r="D617" s="127" t="n"/>
      <c r="E617" s="127" t="n"/>
      <c r="F617" s="127" t="n"/>
      <c r="G617" s="127" t="n"/>
      <c r="H617" s="127" t="n"/>
      <c r="I617" s="127" t="n"/>
    </row>
    <row r="618" ht="15" customHeight="1" s="73">
      <c r="A618" s="124" t="n"/>
      <c r="B618" s="125" t="n"/>
      <c r="C618" s="126" t="n"/>
      <c r="D618" s="127" t="n"/>
      <c r="E618" s="127" t="n"/>
      <c r="F618" s="127" t="n"/>
      <c r="G618" s="127" t="n"/>
      <c r="H618" s="127" t="n"/>
      <c r="I618" s="127" t="n"/>
    </row>
    <row r="619" ht="15" customHeight="1" s="73">
      <c r="A619" s="124" t="n"/>
      <c r="B619" s="125" t="n"/>
      <c r="C619" s="126" t="n"/>
      <c r="D619" s="127" t="n"/>
      <c r="E619" s="127" t="n"/>
      <c r="F619" s="127" t="n"/>
      <c r="G619" s="127" t="n"/>
      <c r="H619" s="127" t="n"/>
      <c r="I619" s="127" t="n"/>
    </row>
    <row r="620" ht="15" customHeight="1" s="73">
      <c r="A620" s="124" t="n"/>
      <c r="B620" s="125" t="n"/>
      <c r="C620" s="126" t="n"/>
      <c r="D620" s="127" t="n"/>
      <c r="E620" s="127" t="n"/>
      <c r="F620" s="127" t="n"/>
      <c r="G620" s="127" t="n"/>
      <c r="H620" s="127" t="n"/>
      <c r="I620" s="127" t="n"/>
    </row>
    <row r="621" ht="15" customHeight="1" s="73">
      <c r="A621" s="124" t="n"/>
      <c r="B621" s="125" t="n"/>
      <c r="C621" s="126" t="n"/>
      <c r="D621" s="127" t="n"/>
      <c r="E621" s="127" t="n"/>
      <c r="F621" s="127" t="n"/>
      <c r="G621" s="127" t="n"/>
      <c r="H621" s="127" t="n"/>
      <c r="I621" s="127" t="n"/>
    </row>
    <row r="622" ht="15" customHeight="1" s="73">
      <c r="A622" s="124" t="n"/>
      <c r="B622" s="125" t="n"/>
      <c r="C622" s="126" t="n"/>
      <c r="D622" s="127" t="n"/>
      <c r="E622" s="127" t="n"/>
      <c r="F622" s="127" t="n"/>
      <c r="G622" s="127" t="n"/>
      <c r="H622" s="127" t="n"/>
      <c r="I622" s="127" t="n"/>
    </row>
    <row r="623" ht="15" customHeight="1" s="73">
      <c r="A623" s="124" t="n"/>
      <c r="B623" s="125" t="n"/>
      <c r="C623" s="126" t="n"/>
      <c r="D623" s="127" t="n"/>
      <c r="E623" s="127" t="n"/>
      <c r="F623" s="127" t="n"/>
      <c r="G623" s="127" t="n"/>
      <c r="H623" s="127" t="n"/>
      <c r="I623" s="127" t="n"/>
    </row>
    <row r="624" ht="15" customHeight="1" s="73">
      <c r="A624" s="124" t="n"/>
      <c r="B624" s="125" t="n"/>
      <c r="C624" s="126" t="n"/>
      <c r="D624" s="127" t="n"/>
      <c r="E624" s="127" t="n"/>
      <c r="F624" s="127" t="n"/>
      <c r="G624" s="127" t="n"/>
      <c r="H624" s="127" t="n"/>
      <c r="I624" s="127" t="n"/>
    </row>
    <row r="625" ht="15" customHeight="1" s="73">
      <c r="A625" s="124" t="n"/>
      <c r="B625" s="125" t="n"/>
      <c r="C625" s="126" t="n"/>
      <c r="D625" s="127" t="n"/>
      <c r="E625" s="127" t="n"/>
      <c r="F625" s="127" t="n"/>
      <c r="G625" s="127" t="n"/>
      <c r="H625" s="127" t="n"/>
      <c r="I625" s="127" t="n"/>
    </row>
    <row r="626" ht="15" customHeight="1" s="73">
      <c r="A626" s="124" t="n"/>
      <c r="B626" s="125" t="n"/>
      <c r="C626" s="126" t="n"/>
      <c r="D626" s="127" t="n"/>
      <c r="E626" s="127" t="n"/>
      <c r="F626" s="127" t="n"/>
      <c r="G626" s="127" t="n"/>
      <c r="H626" s="127" t="n"/>
      <c r="I626" s="127" t="n"/>
    </row>
    <row r="627" ht="15" customHeight="1" s="73">
      <c r="A627" s="124" t="n"/>
      <c r="B627" s="125" t="n"/>
      <c r="C627" s="126" t="n"/>
      <c r="D627" s="127" t="n"/>
      <c r="E627" s="127" t="n"/>
      <c r="F627" s="127" t="n"/>
      <c r="G627" s="127" t="n"/>
      <c r="H627" s="127" t="n"/>
      <c r="I627" s="127" t="n"/>
    </row>
    <row r="628" ht="15" customHeight="1" s="73">
      <c r="A628" s="124" t="n"/>
      <c r="B628" s="125" t="n"/>
      <c r="C628" s="126" t="n"/>
      <c r="D628" s="127" t="n"/>
      <c r="E628" s="127" t="n"/>
      <c r="F628" s="127" t="n"/>
      <c r="G628" s="127" t="n"/>
      <c r="H628" s="127" t="n"/>
      <c r="I628" s="127" t="n"/>
    </row>
    <row r="629" ht="15" customHeight="1" s="73">
      <c r="A629" s="124" t="n"/>
      <c r="B629" s="125" t="n"/>
      <c r="C629" s="126" t="n"/>
      <c r="D629" s="127" t="n"/>
      <c r="E629" s="127" t="n"/>
      <c r="F629" s="127" t="n"/>
      <c r="G629" s="127" t="n"/>
      <c r="H629" s="127" t="n"/>
      <c r="I629" s="127" t="n"/>
    </row>
    <row r="630" ht="15" customHeight="1" s="73">
      <c r="A630" s="124" t="n"/>
      <c r="B630" s="125" t="n"/>
      <c r="C630" s="126" t="n"/>
      <c r="D630" s="127" t="n"/>
      <c r="E630" s="127" t="n"/>
      <c r="F630" s="127" t="n"/>
      <c r="G630" s="127" t="n"/>
      <c r="H630" s="127" t="n"/>
      <c r="I630" s="127" t="n"/>
    </row>
    <row r="631" ht="15" customHeight="1" s="73">
      <c r="A631" s="124" t="n"/>
      <c r="B631" s="125" t="n"/>
      <c r="C631" s="126" t="n"/>
      <c r="D631" s="127" t="n"/>
      <c r="E631" s="127" t="n"/>
      <c r="F631" s="127" t="n"/>
      <c r="G631" s="127" t="n"/>
      <c r="H631" s="127" t="n"/>
      <c r="I631" s="127" t="n"/>
    </row>
    <row r="632" ht="15" customHeight="1" s="73">
      <c r="A632" s="124" t="n"/>
      <c r="B632" s="125" t="n"/>
      <c r="C632" s="126" t="n"/>
      <c r="D632" s="127" t="n"/>
      <c r="E632" s="127" t="n"/>
      <c r="F632" s="127" t="n"/>
      <c r="G632" s="127" t="n"/>
      <c r="H632" s="127" t="n"/>
      <c r="I632" s="127" t="n"/>
    </row>
    <row r="633" ht="15" customHeight="1" s="73">
      <c r="A633" s="124" t="n"/>
      <c r="B633" s="125" t="n"/>
      <c r="C633" s="126" t="n"/>
      <c r="D633" s="127" t="n"/>
      <c r="E633" s="127" t="n"/>
      <c r="F633" s="127" t="n"/>
      <c r="G633" s="127" t="n"/>
      <c r="H633" s="127" t="n"/>
      <c r="I633" s="127" t="n"/>
    </row>
    <row r="634" ht="15" customHeight="1" s="73">
      <c r="A634" s="124" t="n"/>
      <c r="B634" s="125" t="n"/>
      <c r="C634" s="126" t="n"/>
      <c r="D634" s="127" t="n"/>
      <c r="E634" s="127" t="n"/>
      <c r="F634" s="127" t="n"/>
      <c r="G634" s="127" t="n"/>
      <c r="H634" s="127" t="n"/>
      <c r="I634" s="127" t="n"/>
    </row>
    <row r="635" ht="15" customHeight="1" s="73">
      <c r="A635" s="124" t="n"/>
      <c r="B635" s="125" t="n"/>
      <c r="C635" s="126" t="n"/>
      <c r="D635" s="127" t="n"/>
      <c r="E635" s="127" t="n"/>
      <c r="F635" s="127" t="n"/>
      <c r="G635" s="127" t="n"/>
      <c r="H635" s="127" t="n"/>
      <c r="I635" s="127" t="n"/>
    </row>
    <row r="636" ht="15" customHeight="1" s="73">
      <c r="A636" s="124" t="n"/>
      <c r="B636" s="125" t="n"/>
      <c r="C636" s="126" t="n"/>
      <c r="D636" s="127" t="n"/>
      <c r="E636" s="127" t="n"/>
      <c r="F636" s="127" t="n"/>
      <c r="G636" s="127" t="n"/>
      <c r="H636" s="127" t="n"/>
      <c r="I636" s="127" t="n"/>
    </row>
    <row r="637" ht="15" customHeight="1" s="73">
      <c r="A637" s="124" t="n"/>
      <c r="B637" s="125" t="n"/>
      <c r="C637" s="126" t="n"/>
      <c r="D637" s="127" t="n"/>
      <c r="E637" s="127" t="n"/>
      <c r="F637" s="127" t="n"/>
      <c r="G637" s="127" t="n"/>
      <c r="H637" s="127" t="n"/>
      <c r="I637" s="127" t="n"/>
    </row>
    <row r="638" ht="15" customHeight="1" s="73">
      <c r="A638" s="124" t="n"/>
      <c r="B638" s="125" t="n"/>
      <c r="C638" s="126" t="n"/>
      <c r="D638" s="127" t="n"/>
      <c r="E638" s="127" t="n"/>
      <c r="F638" s="127" t="n"/>
      <c r="G638" s="127" t="n"/>
      <c r="H638" s="127" t="n"/>
      <c r="I638" s="127" t="n"/>
    </row>
    <row r="639" ht="15" customHeight="1" s="73">
      <c r="A639" s="124" t="n"/>
      <c r="B639" s="125" t="n"/>
      <c r="C639" s="126" t="n"/>
      <c r="D639" s="127" t="n"/>
      <c r="E639" s="127" t="n"/>
      <c r="F639" s="127" t="n"/>
      <c r="G639" s="127" t="n"/>
      <c r="H639" s="127" t="n"/>
      <c r="I639" s="127" t="n"/>
    </row>
    <row r="640" ht="15" customHeight="1" s="73">
      <c r="A640" s="124" t="n"/>
      <c r="B640" s="125" t="n"/>
      <c r="C640" s="126" t="n"/>
      <c r="D640" s="127" t="n"/>
      <c r="E640" s="127" t="n"/>
      <c r="F640" s="127" t="n"/>
      <c r="G640" s="127" t="n"/>
      <c r="H640" s="127" t="n"/>
      <c r="I640" s="127" t="n"/>
    </row>
    <row r="641" ht="15" customHeight="1" s="73">
      <c r="A641" s="124" t="n"/>
      <c r="B641" s="125" t="n"/>
      <c r="C641" s="126" t="n"/>
      <c r="D641" s="127" t="n"/>
      <c r="E641" s="127" t="n"/>
      <c r="F641" s="127" t="n"/>
      <c r="G641" s="127" t="n"/>
      <c r="H641" s="127" t="n"/>
      <c r="I641" s="127" t="n"/>
    </row>
    <row r="642" ht="15" customHeight="1" s="73">
      <c r="A642" s="124" t="n"/>
      <c r="B642" s="125" t="n"/>
      <c r="C642" s="126" t="n"/>
      <c r="D642" s="127" t="n"/>
      <c r="E642" s="127" t="n"/>
      <c r="F642" s="127" t="n"/>
      <c r="G642" s="127" t="n"/>
      <c r="H642" s="127" t="n"/>
      <c r="I642" s="127" t="n"/>
    </row>
    <row r="643" ht="15" customHeight="1" s="73">
      <c r="A643" s="124" t="n"/>
      <c r="B643" s="125" t="n"/>
      <c r="C643" s="126" t="n"/>
      <c r="D643" s="127" t="n"/>
      <c r="E643" s="127" t="n"/>
      <c r="F643" s="127" t="n"/>
      <c r="G643" s="127" t="n"/>
      <c r="H643" s="127" t="n"/>
      <c r="I643" s="127" t="n"/>
    </row>
    <row r="644" ht="15" customHeight="1" s="73">
      <c r="A644" s="124" t="n"/>
      <c r="B644" s="125" t="n"/>
      <c r="C644" s="126" t="n"/>
      <c r="D644" s="127" t="n"/>
      <c r="E644" s="127" t="n"/>
      <c r="F644" s="127" t="n"/>
      <c r="G644" s="127" t="n"/>
      <c r="H644" s="127" t="n"/>
      <c r="I644" s="127" t="n"/>
    </row>
    <row r="645" ht="15" customHeight="1" s="73">
      <c r="A645" s="124" t="n"/>
      <c r="B645" s="125" t="n"/>
      <c r="C645" s="126" t="n"/>
      <c r="D645" s="127" t="n"/>
      <c r="E645" s="127" t="n"/>
      <c r="F645" s="127" t="n"/>
      <c r="G645" s="127" t="n"/>
      <c r="H645" s="127" t="n"/>
      <c r="I645" s="127" t="n"/>
    </row>
    <row r="646" ht="15" customHeight="1" s="73">
      <c r="A646" s="124" t="n"/>
      <c r="B646" s="125" t="n"/>
      <c r="C646" s="126" t="n"/>
      <c r="D646" s="127" t="n"/>
      <c r="E646" s="127" t="n"/>
      <c r="F646" s="127" t="n"/>
      <c r="G646" s="127" t="n"/>
      <c r="H646" s="127" t="n"/>
      <c r="I646" s="127" t="n"/>
    </row>
    <row r="647" ht="15" customHeight="1" s="73">
      <c r="A647" s="124" t="n"/>
      <c r="B647" s="125" t="n"/>
      <c r="C647" s="126" t="n"/>
      <c r="D647" s="127" t="n"/>
      <c r="E647" s="127" t="n"/>
      <c r="F647" s="127" t="n"/>
      <c r="G647" s="127" t="n"/>
      <c r="H647" s="127" t="n"/>
      <c r="I647" s="127" t="n"/>
    </row>
    <row r="648" ht="15" customHeight="1" s="73">
      <c r="A648" s="124" t="n"/>
      <c r="B648" s="125" t="n"/>
      <c r="C648" s="126" t="n"/>
      <c r="D648" s="127" t="n"/>
      <c r="E648" s="127" t="n"/>
      <c r="F648" s="127" t="n"/>
      <c r="G648" s="127" t="n"/>
      <c r="H648" s="127" t="n"/>
      <c r="I648" s="127" t="n"/>
    </row>
    <row r="649" ht="15" customHeight="1" s="73">
      <c r="A649" s="124" t="n"/>
      <c r="B649" s="125" t="n"/>
      <c r="C649" s="126" t="n"/>
      <c r="D649" s="127" t="n"/>
      <c r="E649" s="127" t="n"/>
      <c r="F649" s="127" t="n"/>
      <c r="G649" s="127" t="n"/>
      <c r="H649" s="127" t="n"/>
      <c r="I649" s="127" t="n"/>
    </row>
    <row r="650" ht="15" customHeight="1" s="73">
      <c r="A650" s="124" t="n"/>
      <c r="B650" s="125" t="n"/>
      <c r="C650" s="126" t="n"/>
      <c r="D650" s="127" t="n"/>
      <c r="E650" s="127" t="n"/>
      <c r="F650" s="127" t="n"/>
      <c r="G650" s="127" t="n"/>
      <c r="H650" s="127" t="n"/>
      <c r="I650" s="127" t="n"/>
    </row>
    <row r="651" ht="15" customHeight="1" s="73">
      <c r="A651" s="124" t="n"/>
      <c r="B651" s="125" t="n"/>
      <c r="C651" s="126" t="n"/>
      <c r="D651" s="127" t="n"/>
      <c r="E651" s="127" t="n"/>
      <c r="F651" s="127" t="n"/>
      <c r="G651" s="127" t="n"/>
      <c r="H651" s="127" t="n"/>
      <c r="I651" s="127" t="n"/>
    </row>
    <row r="652" ht="15" customHeight="1" s="73">
      <c r="A652" s="124" t="n"/>
      <c r="B652" s="125" t="n"/>
      <c r="C652" s="126" t="n"/>
      <c r="D652" s="127" t="n"/>
      <c r="E652" s="127" t="n"/>
      <c r="F652" s="127" t="n"/>
      <c r="G652" s="127" t="n"/>
      <c r="H652" s="127" t="n"/>
      <c r="I652" s="127" t="n"/>
    </row>
    <row r="653" ht="15" customHeight="1" s="73">
      <c r="A653" s="124" t="n"/>
      <c r="B653" s="125" t="n"/>
      <c r="C653" s="126" t="n"/>
      <c r="D653" s="127" t="n"/>
      <c r="E653" s="127" t="n"/>
      <c r="F653" s="127" t="n"/>
      <c r="G653" s="127" t="n"/>
      <c r="H653" s="127" t="n"/>
      <c r="I653" s="127" t="n"/>
    </row>
    <row r="654" ht="15" customHeight="1" s="73">
      <c r="A654" s="124" t="n"/>
      <c r="B654" s="125" t="n"/>
      <c r="C654" s="126" t="n"/>
      <c r="D654" s="127" t="n"/>
      <c r="E654" s="127" t="n"/>
      <c r="F654" s="127" t="n"/>
      <c r="G654" s="127" t="n"/>
      <c r="H654" s="127" t="n"/>
      <c r="I654" s="127" t="n"/>
    </row>
    <row r="655" ht="15" customHeight="1" s="73">
      <c r="A655" s="124" t="n"/>
      <c r="B655" s="125" t="n"/>
      <c r="C655" s="126" t="n"/>
      <c r="D655" s="127" t="n"/>
      <c r="E655" s="127" t="n"/>
      <c r="F655" s="127" t="n"/>
      <c r="G655" s="127" t="n"/>
      <c r="H655" s="127" t="n"/>
      <c r="I655" s="127" t="n"/>
    </row>
    <row r="656" ht="15" customHeight="1" s="73">
      <c r="A656" s="124" t="n"/>
      <c r="B656" s="125" t="n"/>
      <c r="C656" s="126" t="n"/>
      <c r="D656" s="127" t="n"/>
      <c r="E656" s="127" t="n"/>
      <c r="F656" s="127" t="n"/>
      <c r="G656" s="127" t="n"/>
      <c r="H656" s="127" t="n"/>
      <c r="I656" s="127" t="n"/>
    </row>
    <row r="657" ht="15" customHeight="1" s="73">
      <c r="A657" s="124" t="n"/>
      <c r="B657" s="125" t="n"/>
      <c r="C657" s="126" t="n"/>
      <c r="D657" s="127" t="n"/>
      <c r="E657" s="127" t="n"/>
      <c r="F657" s="127" t="n"/>
      <c r="G657" s="127" t="n"/>
      <c r="H657" s="127" t="n"/>
      <c r="I657" s="127" t="n"/>
    </row>
    <row r="658" ht="15" customHeight="1" s="73">
      <c r="A658" s="124" t="n"/>
      <c r="B658" s="125" t="n"/>
      <c r="C658" s="126" t="n"/>
      <c r="D658" s="127" t="n"/>
      <c r="E658" s="127" t="n"/>
      <c r="F658" s="127" t="n"/>
      <c r="G658" s="127" t="n"/>
      <c r="H658" s="127" t="n"/>
      <c r="I658" s="127" t="n"/>
    </row>
    <row r="659" ht="15" customHeight="1" s="73">
      <c r="A659" s="124" t="n"/>
      <c r="B659" s="125" t="n"/>
      <c r="C659" s="126" t="n"/>
      <c r="D659" s="127" t="n"/>
      <c r="E659" s="127" t="n"/>
      <c r="F659" s="127" t="n"/>
      <c r="G659" s="127" t="n"/>
      <c r="H659" s="127" t="n"/>
      <c r="I659" s="127" t="n"/>
    </row>
    <row r="660" ht="15" customHeight="1" s="73">
      <c r="A660" s="124" t="n"/>
      <c r="B660" s="125" t="n"/>
      <c r="C660" s="126" t="n"/>
      <c r="D660" s="127" t="n"/>
      <c r="E660" s="127" t="n"/>
      <c r="F660" s="127" t="n"/>
      <c r="G660" s="127" t="n"/>
      <c r="H660" s="127" t="n"/>
      <c r="I660" s="127" t="n"/>
    </row>
    <row r="661" ht="15" customHeight="1" s="73">
      <c r="A661" s="124" t="n"/>
      <c r="B661" s="125" t="n"/>
      <c r="C661" s="126" t="n"/>
      <c r="D661" s="127" t="n"/>
      <c r="E661" s="127" t="n"/>
      <c r="F661" s="127" t="n"/>
      <c r="G661" s="127" t="n"/>
      <c r="H661" s="127" t="n"/>
      <c r="I661" s="127" t="n"/>
    </row>
    <row r="662" ht="15" customHeight="1" s="73">
      <c r="A662" s="124" t="n"/>
      <c r="B662" s="125" t="n"/>
      <c r="C662" s="126" t="n"/>
      <c r="D662" s="127" t="n"/>
      <c r="E662" s="127" t="n"/>
      <c r="F662" s="127" t="n"/>
      <c r="G662" s="127" t="n"/>
      <c r="H662" s="127" t="n"/>
      <c r="I662" s="127" t="n"/>
    </row>
    <row r="663" ht="15" customHeight="1" s="73">
      <c r="A663" s="124" t="n"/>
      <c r="B663" s="125" t="n"/>
      <c r="C663" s="126" t="n"/>
      <c r="D663" s="127" t="n"/>
      <c r="E663" s="127" t="n"/>
      <c r="F663" s="127" t="n"/>
      <c r="G663" s="127" t="n"/>
      <c r="H663" s="127" t="n"/>
      <c r="I663" s="127" t="n"/>
    </row>
    <row r="664" ht="15" customHeight="1" s="73">
      <c r="A664" s="124" t="n"/>
      <c r="B664" s="125" t="n"/>
      <c r="C664" s="126" t="n"/>
      <c r="D664" s="127" t="n"/>
      <c r="E664" s="127" t="n"/>
      <c r="F664" s="127" t="n"/>
      <c r="G664" s="127" t="n"/>
      <c r="H664" s="127" t="n"/>
      <c r="I664" s="127" t="n"/>
    </row>
    <row r="665" ht="15" customHeight="1" s="73">
      <c r="A665" s="124" t="n"/>
      <c r="B665" s="125" t="n"/>
      <c r="C665" s="126" t="n"/>
      <c r="D665" s="127" t="n"/>
      <c r="E665" s="127" t="n"/>
      <c r="F665" s="127" t="n"/>
      <c r="G665" s="127" t="n"/>
      <c r="H665" s="127" t="n"/>
      <c r="I665" s="127" t="n"/>
    </row>
    <row r="666" ht="15" customHeight="1" s="73">
      <c r="A666" s="124" t="n"/>
      <c r="B666" s="125" t="n"/>
      <c r="C666" s="126" t="n"/>
      <c r="D666" s="127" t="n"/>
      <c r="E666" s="127" t="n"/>
      <c r="F666" s="127" t="n"/>
      <c r="G666" s="127" t="n"/>
      <c r="H666" s="127" t="n"/>
      <c r="I666" s="127" t="n"/>
    </row>
    <row r="667" ht="15" customHeight="1" s="73">
      <c r="A667" s="124" t="n"/>
      <c r="B667" s="125" t="n"/>
      <c r="C667" s="126" t="n"/>
      <c r="D667" s="127" t="n"/>
      <c r="E667" s="127" t="n"/>
      <c r="F667" s="127" t="n"/>
      <c r="G667" s="127" t="n"/>
      <c r="H667" s="127" t="n"/>
      <c r="I667" s="127" t="n"/>
    </row>
    <row r="668" ht="15" customHeight="1" s="73">
      <c r="A668" s="124" t="n"/>
      <c r="B668" s="125" t="n"/>
      <c r="C668" s="126" t="n"/>
      <c r="D668" s="127" t="n"/>
      <c r="E668" s="127" t="n"/>
      <c r="F668" s="127" t="n"/>
      <c r="G668" s="127" t="n"/>
      <c r="H668" s="127" t="n"/>
      <c r="I668" s="127" t="n"/>
    </row>
    <row r="669" ht="15" customHeight="1" s="73">
      <c r="A669" s="124" t="n"/>
      <c r="B669" s="125" t="n"/>
      <c r="C669" s="126" t="n"/>
      <c r="D669" s="127" t="n"/>
      <c r="E669" s="127" t="n"/>
      <c r="F669" s="127" t="n"/>
      <c r="G669" s="127" t="n"/>
      <c r="H669" s="127" t="n"/>
      <c r="I669" s="127" t="n"/>
    </row>
    <row r="670" ht="15" customHeight="1" s="73">
      <c r="A670" s="124" t="n"/>
      <c r="B670" s="125" t="n"/>
      <c r="C670" s="126" t="n"/>
      <c r="D670" s="127" t="n"/>
      <c r="E670" s="127" t="n"/>
      <c r="F670" s="127" t="n"/>
      <c r="G670" s="127" t="n"/>
      <c r="H670" s="127" t="n"/>
      <c r="I670" s="127" t="n"/>
    </row>
    <row r="671" ht="15" customHeight="1" s="73">
      <c r="A671" s="124" t="n"/>
      <c r="B671" s="125" t="n"/>
      <c r="C671" s="126" t="n"/>
      <c r="D671" s="127" t="n"/>
      <c r="E671" s="127" t="n"/>
      <c r="F671" s="127" t="n"/>
      <c r="G671" s="127" t="n"/>
      <c r="H671" s="127" t="n"/>
      <c r="I671" s="127" t="n"/>
    </row>
    <row r="672" ht="15" customHeight="1" s="73">
      <c r="A672" s="124" t="n"/>
      <c r="B672" s="125" t="n"/>
      <c r="C672" s="126" t="n"/>
      <c r="D672" s="127" t="n"/>
      <c r="E672" s="127" t="n"/>
      <c r="F672" s="127" t="n"/>
      <c r="G672" s="127" t="n"/>
      <c r="H672" s="127" t="n"/>
      <c r="I672" s="127" t="n"/>
    </row>
    <row r="673" ht="15" customHeight="1" s="73">
      <c r="A673" s="124" t="n"/>
      <c r="B673" s="125" t="n"/>
      <c r="C673" s="126" t="n"/>
      <c r="D673" s="127" t="n"/>
      <c r="E673" s="127" t="n"/>
      <c r="F673" s="127" t="n"/>
      <c r="G673" s="127" t="n"/>
      <c r="H673" s="127" t="n"/>
      <c r="I673" s="127" t="n"/>
    </row>
    <row r="674" ht="15" customHeight="1" s="73">
      <c r="A674" s="124" t="n"/>
      <c r="B674" s="125" t="n"/>
      <c r="C674" s="126" t="n"/>
      <c r="D674" s="127" t="n"/>
      <c r="E674" s="127" t="n"/>
      <c r="F674" s="127" t="n"/>
      <c r="G674" s="127" t="n"/>
      <c r="H674" s="127" t="n"/>
      <c r="I674" s="127" t="n"/>
    </row>
    <row r="675" ht="15" customHeight="1" s="73">
      <c r="A675" s="124" t="n"/>
      <c r="B675" s="125" t="n"/>
      <c r="C675" s="126" t="n"/>
      <c r="D675" s="127" t="n"/>
      <c r="E675" s="127" t="n"/>
      <c r="F675" s="127" t="n"/>
      <c r="G675" s="127" t="n"/>
      <c r="H675" s="127" t="n"/>
      <c r="I675" s="127" t="n"/>
    </row>
    <row r="676" ht="15" customHeight="1" s="73">
      <c r="A676" s="124" t="n"/>
      <c r="B676" s="125" t="n"/>
      <c r="C676" s="126" t="n"/>
      <c r="D676" s="127" t="n"/>
      <c r="E676" s="127" t="n"/>
      <c r="F676" s="127" t="n"/>
      <c r="G676" s="127" t="n"/>
      <c r="H676" s="127" t="n"/>
      <c r="I676" s="127" t="n"/>
    </row>
    <row r="677" ht="15" customHeight="1" s="73">
      <c r="A677" s="124" t="n"/>
      <c r="B677" s="125" t="n"/>
      <c r="C677" s="126" t="n"/>
      <c r="D677" s="127" t="n"/>
      <c r="E677" s="127" t="n"/>
      <c r="F677" s="127" t="n"/>
      <c r="G677" s="127" t="n"/>
      <c r="H677" s="127" t="n"/>
      <c r="I677" s="127" t="n"/>
    </row>
    <row r="678" ht="15" customHeight="1" s="73">
      <c r="A678" s="124" t="n"/>
      <c r="B678" s="125" t="n"/>
      <c r="C678" s="126" t="n"/>
      <c r="D678" s="127" t="n"/>
      <c r="E678" s="127" t="n"/>
      <c r="F678" s="127" t="n"/>
      <c r="G678" s="127" t="n"/>
      <c r="H678" s="127" t="n"/>
      <c r="I678" s="127" t="n"/>
    </row>
    <row r="679" ht="15" customHeight="1" s="73">
      <c r="A679" s="124" t="n"/>
      <c r="B679" s="125" t="n"/>
      <c r="C679" s="126" t="n"/>
      <c r="D679" s="127" t="n"/>
      <c r="E679" s="127" t="n"/>
      <c r="F679" s="127" t="n"/>
      <c r="G679" s="127" t="n"/>
      <c r="H679" s="127" t="n"/>
      <c r="I679" s="127" t="n"/>
    </row>
    <row r="680" ht="15" customHeight="1" s="73">
      <c r="A680" s="124" t="n"/>
      <c r="B680" s="125" t="n"/>
      <c r="C680" s="126" t="n"/>
      <c r="D680" s="127" t="n"/>
      <c r="E680" s="127" t="n"/>
      <c r="F680" s="127" t="n"/>
      <c r="G680" s="127" t="n"/>
      <c r="H680" s="127" t="n"/>
      <c r="I680" s="127" t="n"/>
    </row>
    <row r="681" ht="15" customHeight="1" s="73">
      <c r="A681" s="124" t="n"/>
      <c r="B681" s="125" t="n"/>
      <c r="C681" s="126" t="n"/>
      <c r="D681" s="127" t="n"/>
      <c r="E681" s="127" t="n"/>
      <c r="F681" s="127" t="n"/>
      <c r="G681" s="127" t="n"/>
      <c r="H681" s="127" t="n"/>
      <c r="I681" s="127" t="n"/>
    </row>
    <row r="682" ht="15" customHeight="1" s="73">
      <c r="A682" s="124" t="n"/>
      <c r="B682" s="125" t="n"/>
      <c r="C682" s="126" t="n"/>
      <c r="D682" s="127" t="n"/>
      <c r="E682" s="127" t="n"/>
      <c r="F682" s="127" t="n"/>
      <c r="G682" s="127" t="n"/>
      <c r="H682" s="127" t="n"/>
      <c r="I682" s="127" t="n"/>
    </row>
    <row r="683" ht="15" customHeight="1" s="73">
      <c r="A683" s="124" t="n"/>
      <c r="B683" s="125" t="n"/>
      <c r="C683" s="126" t="n"/>
      <c r="D683" s="127" t="n"/>
      <c r="E683" s="127" t="n"/>
      <c r="F683" s="127" t="n"/>
      <c r="G683" s="127" t="n"/>
      <c r="H683" s="127" t="n"/>
      <c r="I683" s="127" t="n"/>
    </row>
    <row r="684" ht="15" customHeight="1" s="73">
      <c r="A684" s="124" t="n"/>
      <c r="B684" s="125" t="n"/>
      <c r="C684" s="126" t="n"/>
      <c r="D684" s="127" t="n"/>
      <c r="E684" s="127" t="n"/>
      <c r="F684" s="127" t="n"/>
      <c r="G684" s="127" t="n"/>
      <c r="H684" s="127" t="n"/>
      <c r="I684" s="127" t="n"/>
    </row>
    <row r="685" ht="15" customHeight="1" s="73">
      <c r="A685" s="124" t="n"/>
      <c r="B685" s="125" t="n"/>
      <c r="C685" s="126" t="n"/>
      <c r="D685" s="127" t="n"/>
      <c r="E685" s="127" t="n"/>
      <c r="F685" s="127" t="n"/>
      <c r="G685" s="127" t="n"/>
      <c r="H685" s="127" t="n"/>
      <c r="I685" s="127" t="n"/>
    </row>
    <row r="686" ht="15" customHeight="1" s="73">
      <c r="A686" s="124" t="n"/>
      <c r="B686" s="125" t="n"/>
      <c r="C686" s="126" t="n"/>
      <c r="D686" s="127" t="n"/>
      <c r="E686" s="127" t="n"/>
      <c r="F686" s="127" t="n"/>
      <c r="G686" s="127" t="n"/>
      <c r="H686" s="127" t="n"/>
      <c r="I686" s="127" t="n"/>
    </row>
    <row r="687" ht="15" customHeight="1" s="73">
      <c r="A687" s="124" t="n"/>
      <c r="B687" s="125" t="n"/>
      <c r="C687" s="126" t="n"/>
      <c r="D687" s="127" t="n"/>
      <c r="E687" s="127" t="n"/>
      <c r="F687" s="127" t="n"/>
      <c r="G687" s="127" t="n"/>
      <c r="H687" s="127" t="n"/>
      <c r="I687" s="127" t="n"/>
    </row>
    <row r="688" ht="15" customHeight="1" s="73">
      <c r="A688" s="124" t="n"/>
      <c r="B688" s="125" t="n"/>
      <c r="C688" s="126" t="n"/>
      <c r="D688" s="127" t="n"/>
      <c r="E688" s="127" t="n"/>
      <c r="F688" s="127" t="n"/>
      <c r="G688" s="127" t="n"/>
      <c r="H688" s="127" t="n"/>
      <c r="I688" s="127" t="n"/>
    </row>
    <row r="689" ht="15" customHeight="1" s="73">
      <c r="A689" s="124" t="n"/>
      <c r="B689" s="125" t="n"/>
      <c r="C689" s="126" t="n"/>
      <c r="D689" s="127" t="n"/>
      <c r="E689" s="127" t="n"/>
      <c r="F689" s="127" t="n"/>
      <c r="G689" s="127" t="n"/>
      <c r="H689" s="127" t="n"/>
      <c r="I689" s="127" t="n"/>
    </row>
    <row r="690" ht="15" customHeight="1" s="73">
      <c r="A690" s="124" t="n"/>
      <c r="B690" s="125" t="n"/>
      <c r="C690" s="126" t="n"/>
      <c r="D690" s="127" t="n"/>
      <c r="E690" s="127" t="n"/>
      <c r="F690" s="127" t="n"/>
      <c r="G690" s="127" t="n"/>
      <c r="H690" s="127" t="n"/>
      <c r="I690" s="127" t="n"/>
    </row>
    <row r="691" ht="15" customHeight="1" s="73">
      <c r="A691" s="124" t="n"/>
      <c r="B691" s="125" t="n"/>
      <c r="C691" s="126" t="n"/>
      <c r="D691" s="127" t="n"/>
      <c r="E691" s="127" t="n"/>
      <c r="F691" s="127" t="n"/>
      <c r="G691" s="127" t="n"/>
      <c r="H691" s="127" t="n"/>
      <c r="I691" s="127" t="n"/>
    </row>
    <row r="692" ht="15" customHeight="1" s="73">
      <c r="A692" s="124" t="n"/>
      <c r="B692" s="125" t="n"/>
      <c r="C692" s="126" t="n"/>
      <c r="D692" s="127" t="n"/>
      <c r="E692" s="127" t="n"/>
      <c r="F692" s="127" t="n"/>
      <c r="G692" s="127" t="n"/>
      <c r="H692" s="127" t="n"/>
      <c r="I692" s="127" t="n"/>
    </row>
    <row r="693" ht="15" customHeight="1" s="73">
      <c r="A693" s="124" t="n"/>
      <c r="B693" s="125" t="n"/>
      <c r="C693" s="126" t="n"/>
      <c r="D693" s="127" t="n"/>
      <c r="E693" s="127" t="n"/>
      <c r="F693" s="127" t="n"/>
      <c r="G693" s="127" t="n"/>
      <c r="H693" s="127" t="n"/>
      <c r="I693" s="127" t="n"/>
    </row>
    <row r="694" ht="15" customHeight="1" s="73">
      <c r="A694" s="124" t="n"/>
      <c r="B694" s="125" t="n"/>
      <c r="C694" s="126" t="n"/>
      <c r="D694" s="127" t="n"/>
      <c r="E694" s="127" t="n"/>
      <c r="F694" s="127" t="n"/>
      <c r="G694" s="127" t="n"/>
      <c r="H694" s="127" t="n"/>
      <c r="I694" s="127" t="n"/>
    </row>
    <row r="695" ht="15" customHeight="1" s="73">
      <c r="A695" s="124" t="n"/>
      <c r="B695" s="125" t="n"/>
      <c r="C695" s="126" t="n"/>
      <c r="D695" s="127" t="n"/>
      <c r="E695" s="127" t="n"/>
      <c r="F695" s="127" t="n"/>
      <c r="G695" s="127" t="n"/>
      <c r="H695" s="127" t="n"/>
      <c r="I695" s="127" t="n"/>
    </row>
    <row r="696" ht="15" customHeight="1" s="73">
      <c r="A696" s="124" t="n"/>
      <c r="B696" s="125" t="n"/>
      <c r="C696" s="126" t="n"/>
      <c r="D696" s="127" t="n"/>
      <c r="E696" s="127" t="n"/>
      <c r="F696" s="127" t="n"/>
      <c r="G696" s="127" t="n"/>
      <c r="H696" s="127" t="n"/>
      <c r="I696" s="127" t="n"/>
    </row>
    <row r="697" ht="15" customHeight="1" s="73">
      <c r="A697" s="124" t="n"/>
      <c r="B697" s="125" t="n"/>
      <c r="C697" s="126" t="n"/>
      <c r="D697" s="127" t="n"/>
      <c r="E697" s="127" t="n"/>
      <c r="F697" s="127" t="n"/>
      <c r="G697" s="127" t="n"/>
      <c r="H697" s="127" t="n"/>
      <c r="I697" s="127" t="n"/>
    </row>
    <row r="698" ht="15" customHeight="1" s="73">
      <c r="A698" s="124" t="n"/>
      <c r="B698" s="125" t="n"/>
      <c r="C698" s="126" t="n"/>
      <c r="D698" s="127" t="n"/>
      <c r="E698" s="127" t="n"/>
      <c r="F698" s="127" t="n"/>
      <c r="G698" s="127" t="n"/>
      <c r="H698" s="127" t="n"/>
      <c r="I698" s="127" t="n"/>
    </row>
    <row r="699" ht="15" customHeight="1" s="73">
      <c r="A699" s="124" t="n"/>
      <c r="B699" s="125" t="n"/>
      <c r="C699" s="126" t="n"/>
      <c r="D699" s="127" t="n"/>
      <c r="E699" s="127" t="n"/>
      <c r="F699" s="127" t="n"/>
      <c r="G699" s="127" t="n"/>
      <c r="H699" s="127" t="n"/>
      <c r="I699" s="127" t="n"/>
    </row>
    <row r="700" ht="15" customHeight="1" s="73">
      <c r="A700" s="124" t="n"/>
      <c r="B700" s="125" t="n"/>
      <c r="C700" s="126" t="n"/>
      <c r="D700" s="127" t="n"/>
      <c r="E700" s="127" t="n"/>
      <c r="F700" s="127" t="n"/>
      <c r="G700" s="127" t="n"/>
      <c r="H700" s="127" t="n"/>
      <c r="I700" s="127" t="n"/>
    </row>
    <row r="701" ht="15" customHeight="1" s="73">
      <c r="A701" s="124" t="n"/>
      <c r="B701" s="125" t="n"/>
      <c r="C701" s="126" t="n"/>
      <c r="D701" s="127" t="n"/>
      <c r="E701" s="127" t="n"/>
      <c r="F701" s="127" t="n"/>
      <c r="G701" s="127" t="n"/>
      <c r="H701" s="127" t="n"/>
      <c r="I701" s="127" t="n"/>
    </row>
    <row r="702" ht="15" customHeight="1" s="73">
      <c r="A702" s="124" t="n"/>
      <c r="B702" s="125" t="n"/>
      <c r="C702" s="126" t="n"/>
      <c r="D702" s="127" t="n"/>
      <c r="E702" s="127" t="n"/>
      <c r="F702" s="127" t="n"/>
      <c r="G702" s="127" t="n"/>
      <c r="H702" s="127" t="n"/>
      <c r="I702" s="127" t="n"/>
    </row>
    <row r="703" ht="15" customHeight="1" s="73">
      <c r="A703" s="124" t="n"/>
      <c r="B703" s="125" t="n"/>
      <c r="C703" s="126" t="n"/>
      <c r="D703" s="127" t="n"/>
      <c r="E703" s="127" t="n"/>
      <c r="F703" s="127" t="n"/>
      <c r="G703" s="127" t="n"/>
      <c r="H703" s="127" t="n"/>
      <c r="I703" s="127" t="n"/>
    </row>
    <row r="704" ht="15" customHeight="1" s="73">
      <c r="A704" s="124" t="n"/>
      <c r="B704" s="125" t="n"/>
      <c r="C704" s="126" t="n"/>
      <c r="D704" s="127" t="n"/>
      <c r="E704" s="127" t="n"/>
      <c r="F704" s="127" t="n"/>
      <c r="G704" s="127" t="n"/>
      <c r="H704" s="127" t="n"/>
      <c r="I704" s="127" t="n"/>
    </row>
    <row r="705" ht="15" customHeight="1" s="73">
      <c r="A705" s="124" t="n"/>
      <c r="B705" s="125" t="n"/>
      <c r="C705" s="126" t="n"/>
      <c r="D705" s="127" t="n"/>
      <c r="E705" s="127" t="n"/>
      <c r="F705" s="127" t="n"/>
      <c r="G705" s="127" t="n"/>
      <c r="H705" s="127" t="n"/>
      <c r="I705" s="127" t="n"/>
    </row>
    <row r="706" ht="15" customHeight="1" s="73">
      <c r="A706" s="124" t="n"/>
      <c r="B706" s="125" t="n"/>
      <c r="C706" s="126" t="n"/>
      <c r="D706" s="127" t="n"/>
      <c r="E706" s="127" t="n"/>
      <c r="F706" s="127" t="n"/>
      <c r="G706" s="127" t="n"/>
      <c r="H706" s="127" t="n"/>
      <c r="I706" s="127" t="n"/>
    </row>
    <row r="707" ht="15" customHeight="1" s="73">
      <c r="A707" s="124" t="n"/>
      <c r="B707" s="125" t="n"/>
      <c r="C707" s="126" t="n"/>
      <c r="D707" s="127" t="n"/>
      <c r="E707" s="127" t="n"/>
      <c r="F707" s="127" t="n"/>
      <c r="G707" s="127" t="n"/>
      <c r="H707" s="127" t="n"/>
      <c r="I707" s="127" t="n"/>
    </row>
    <row r="708" ht="15" customHeight="1" s="73">
      <c r="A708" s="124" t="n"/>
      <c r="B708" s="125" t="n"/>
      <c r="C708" s="126" t="n"/>
      <c r="D708" s="127" t="n"/>
      <c r="E708" s="127" t="n"/>
      <c r="F708" s="127" t="n"/>
      <c r="G708" s="127" t="n"/>
      <c r="H708" s="127" t="n"/>
      <c r="I708" s="127" t="n"/>
    </row>
    <row r="709" ht="15" customHeight="1" s="73">
      <c r="A709" s="124" t="n"/>
      <c r="B709" s="125" t="n"/>
      <c r="C709" s="126" t="n"/>
      <c r="D709" s="127" t="n"/>
      <c r="E709" s="127" t="n"/>
      <c r="F709" s="127" t="n"/>
      <c r="G709" s="127" t="n"/>
      <c r="H709" s="127" t="n"/>
      <c r="I709" s="127" t="n"/>
    </row>
    <row r="710" ht="15" customHeight="1" s="73">
      <c r="A710" s="124" t="n"/>
      <c r="B710" s="125" t="n"/>
      <c r="C710" s="126" t="n"/>
      <c r="D710" s="127" t="n"/>
      <c r="E710" s="127" t="n"/>
      <c r="F710" s="127" t="n"/>
      <c r="G710" s="127" t="n"/>
      <c r="H710" s="127" t="n"/>
      <c r="I710" s="127" t="n"/>
    </row>
    <row r="711" ht="15" customHeight="1" s="73">
      <c r="A711" s="124" t="n"/>
      <c r="B711" s="125" t="n"/>
      <c r="C711" s="126" t="n"/>
      <c r="D711" s="127" t="n"/>
      <c r="E711" s="127" t="n"/>
      <c r="F711" s="127" t="n"/>
      <c r="G711" s="127" t="n"/>
      <c r="H711" s="127" t="n"/>
      <c r="I711" s="127" t="n"/>
    </row>
    <row r="712" ht="15" customHeight="1" s="73">
      <c r="A712" s="124" t="n"/>
      <c r="B712" s="125" t="n"/>
      <c r="C712" s="126" t="n"/>
      <c r="D712" s="127" t="n"/>
      <c r="E712" s="127" t="n"/>
      <c r="F712" s="127" t="n"/>
      <c r="G712" s="127" t="n"/>
      <c r="H712" s="127" t="n"/>
      <c r="I712" s="127" t="n"/>
    </row>
    <row r="713" ht="15" customHeight="1" s="73">
      <c r="A713" s="124" t="n"/>
      <c r="B713" s="125" t="n"/>
      <c r="C713" s="126" t="n"/>
      <c r="D713" s="127" t="n"/>
      <c r="E713" s="127" t="n"/>
      <c r="F713" s="127" t="n"/>
      <c r="G713" s="127" t="n"/>
      <c r="H713" s="127" t="n"/>
      <c r="I713" s="127" t="n"/>
    </row>
    <row r="714" ht="15" customHeight="1" s="73">
      <c r="A714" s="124" t="n"/>
      <c r="B714" s="125" t="n"/>
      <c r="C714" s="126" t="n"/>
      <c r="D714" s="127" t="n"/>
      <c r="E714" s="127" t="n"/>
      <c r="F714" s="127" t="n"/>
      <c r="G714" s="127" t="n"/>
      <c r="H714" s="127" t="n"/>
      <c r="I714" s="127" t="n"/>
    </row>
    <row r="715" ht="15" customHeight="1" s="73">
      <c r="A715" s="124" t="n"/>
      <c r="B715" s="125" t="n"/>
      <c r="C715" s="126" t="n"/>
      <c r="D715" s="127" t="n"/>
      <c r="E715" s="127" t="n"/>
      <c r="F715" s="127" t="n"/>
      <c r="G715" s="127" t="n"/>
      <c r="H715" s="127" t="n"/>
      <c r="I715" s="127" t="n"/>
    </row>
    <row r="716" ht="15" customHeight="1" s="73">
      <c r="A716" s="124" t="n"/>
      <c r="B716" s="125" t="n"/>
      <c r="C716" s="126" t="n"/>
      <c r="D716" s="127" t="n"/>
      <c r="E716" s="127" t="n"/>
      <c r="F716" s="127" t="n"/>
      <c r="G716" s="127" t="n"/>
      <c r="H716" s="127" t="n"/>
      <c r="I716" s="127" t="n"/>
    </row>
    <row r="717" ht="15" customHeight="1" s="73">
      <c r="A717" s="124" t="n"/>
      <c r="B717" s="125" t="n"/>
      <c r="C717" s="126" t="n"/>
      <c r="D717" s="127" t="n"/>
      <c r="E717" s="127" t="n"/>
      <c r="F717" s="127" t="n"/>
      <c r="G717" s="127" t="n"/>
      <c r="H717" s="127" t="n"/>
      <c r="I717" s="127" t="n"/>
    </row>
    <row r="718" ht="15" customHeight="1" s="73">
      <c r="A718" s="124" t="n"/>
      <c r="B718" s="125" t="n"/>
      <c r="C718" s="126" t="n"/>
      <c r="D718" s="127" t="n"/>
      <c r="E718" s="127" t="n"/>
      <c r="F718" s="127" t="n"/>
      <c r="G718" s="127" t="n"/>
      <c r="H718" s="127" t="n"/>
      <c r="I718" s="127" t="n"/>
    </row>
    <row r="719" ht="15" customHeight="1" s="73">
      <c r="A719" s="124" t="n"/>
      <c r="B719" s="125" t="n"/>
      <c r="C719" s="126" t="n"/>
      <c r="D719" s="127" t="n"/>
      <c r="E719" s="127" t="n"/>
      <c r="F719" s="127" t="n"/>
      <c r="G719" s="127" t="n"/>
      <c r="H719" s="127" t="n"/>
      <c r="I719" s="127" t="n"/>
    </row>
    <row r="720" ht="15" customHeight="1" s="73">
      <c r="A720" s="124" t="n"/>
      <c r="B720" s="125" t="n"/>
      <c r="C720" s="126" t="n"/>
      <c r="D720" s="127" t="n"/>
      <c r="E720" s="127" t="n"/>
      <c r="F720" s="127" t="n"/>
      <c r="G720" s="127" t="n"/>
      <c r="H720" s="127" t="n"/>
      <c r="I720" s="127" t="n"/>
    </row>
    <row r="721" ht="15" customHeight="1" s="73">
      <c r="A721" s="124" t="n"/>
      <c r="B721" s="125" t="n"/>
      <c r="C721" s="126" t="n"/>
      <c r="D721" s="127" t="n"/>
      <c r="E721" s="127" t="n"/>
      <c r="F721" s="127" t="n"/>
      <c r="G721" s="127" t="n"/>
      <c r="H721" s="127" t="n"/>
      <c r="I721" s="127" t="n"/>
    </row>
    <row r="722" ht="15" customHeight="1" s="73">
      <c r="A722" s="124" t="n"/>
      <c r="B722" s="125" t="n"/>
      <c r="C722" s="126" t="n"/>
      <c r="D722" s="127" t="n"/>
      <c r="E722" s="127" t="n"/>
      <c r="F722" s="127" t="n"/>
      <c r="G722" s="127" t="n"/>
      <c r="H722" s="127" t="n"/>
      <c r="I722" s="127" t="n"/>
    </row>
    <row r="723" ht="15" customHeight="1" s="73">
      <c r="A723" s="124" t="n"/>
      <c r="B723" s="125" t="n"/>
      <c r="C723" s="126" t="n"/>
      <c r="D723" s="127" t="n"/>
      <c r="E723" s="127" t="n"/>
      <c r="F723" s="127" t="n"/>
      <c r="G723" s="127" t="n"/>
      <c r="H723" s="127" t="n"/>
      <c r="I723" s="127" t="n"/>
    </row>
    <row r="724" ht="15" customHeight="1" s="73">
      <c r="A724" s="124" t="n"/>
      <c r="B724" s="125" t="n"/>
      <c r="C724" s="126" t="n"/>
      <c r="D724" s="127" t="n"/>
      <c r="E724" s="127" t="n"/>
      <c r="F724" s="127" t="n"/>
      <c r="G724" s="127" t="n"/>
      <c r="H724" s="127" t="n"/>
      <c r="I724" s="127" t="n"/>
    </row>
    <row r="725" ht="15" customHeight="1" s="73">
      <c r="A725" s="124" t="n"/>
      <c r="B725" s="125" t="n"/>
      <c r="C725" s="126" t="n"/>
      <c r="D725" s="127" t="n"/>
      <c r="E725" s="127" t="n"/>
      <c r="F725" s="127" t="n"/>
      <c r="G725" s="127" t="n"/>
      <c r="H725" s="127" t="n"/>
      <c r="I725" s="127" t="n"/>
    </row>
    <row r="726" ht="15" customHeight="1" s="73">
      <c r="A726" s="124" t="n"/>
      <c r="B726" s="125" t="n"/>
      <c r="C726" s="126" t="n"/>
      <c r="D726" s="127" t="n"/>
      <c r="E726" s="127" t="n"/>
      <c r="F726" s="127" t="n"/>
      <c r="G726" s="127" t="n"/>
      <c r="H726" s="127" t="n"/>
      <c r="I726" s="127" t="n"/>
    </row>
    <row r="727" ht="15" customHeight="1" s="73">
      <c r="A727" s="124" t="n"/>
      <c r="B727" s="125" t="n"/>
      <c r="C727" s="126" t="n"/>
      <c r="D727" s="127" t="n"/>
      <c r="E727" s="127" t="n"/>
      <c r="F727" s="127" t="n"/>
      <c r="G727" s="127" t="n"/>
      <c r="H727" s="127" t="n"/>
      <c r="I727" s="127" t="n"/>
    </row>
    <row r="728" ht="15" customHeight="1" s="73">
      <c r="A728" s="124" t="n"/>
      <c r="B728" s="125" t="n"/>
      <c r="C728" s="126" t="n"/>
      <c r="D728" s="127" t="n"/>
      <c r="E728" s="127" t="n"/>
      <c r="F728" s="127" t="n"/>
      <c r="G728" s="127" t="n"/>
      <c r="H728" s="127" t="n"/>
      <c r="I728" s="127" t="n"/>
    </row>
    <row r="729" ht="15" customHeight="1" s="73">
      <c r="A729" s="124" t="n"/>
      <c r="B729" s="125" t="n"/>
      <c r="C729" s="126" t="n"/>
      <c r="D729" s="127" t="n"/>
      <c r="E729" s="127" t="n"/>
      <c r="F729" s="127" t="n"/>
      <c r="G729" s="127" t="n"/>
      <c r="H729" s="127" t="n"/>
      <c r="I729" s="127" t="n"/>
    </row>
    <row r="730" ht="15" customHeight="1" s="73">
      <c r="A730" s="124" t="n"/>
      <c r="B730" s="125" t="n"/>
      <c r="C730" s="126" t="n"/>
      <c r="D730" s="127" t="n"/>
      <c r="E730" s="127" t="n"/>
      <c r="F730" s="127" t="n"/>
      <c r="G730" s="127" t="n"/>
      <c r="H730" s="127" t="n"/>
      <c r="I730" s="127" t="n"/>
    </row>
    <row r="731" ht="15" customHeight="1" s="73">
      <c r="A731" s="124" t="n"/>
      <c r="B731" s="125" t="n"/>
      <c r="C731" s="126" t="n"/>
      <c r="D731" s="127" t="n"/>
      <c r="E731" s="127" t="n"/>
      <c r="F731" s="127" t="n"/>
      <c r="G731" s="127" t="n"/>
      <c r="H731" s="127" t="n"/>
      <c r="I731" s="127" t="n"/>
    </row>
    <row r="732" ht="15" customHeight="1" s="73">
      <c r="A732" s="124" t="n"/>
      <c r="B732" s="125" t="n"/>
      <c r="C732" s="126" t="n"/>
      <c r="D732" s="127" t="n"/>
      <c r="E732" s="127" t="n"/>
      <c r="F732" s="127" t="n"/>
      <c r="G732" s="127" t="n"/>
      <c r="H732" s="127" t="n"/>
      <c r="I732" s="127" t="n"/>
    </row>
    <row r="733" ht="15" customHeight="1" s="73">
      <c r="A733" s="124" t="n"/>
      <c r="B733" s="125" t="n"/>
      <c r="C733" s="126" t="n"/>
      <c r="D733" s="127" t="n"/>
      <c r="E733" s="127" t="n"/>
      <c r="F733" s="127" t="n"/>
      <c r="G733" s="127" t="n"/>
      <c r="H733" s="127" t="n"/>
      <c r="I733" s="127" t="n"/>
    </row>
    <row r="734" ht="15" customHeight="1" s="73">
      <c r="A734" s="124" t="n"/>
      <c r="B734" s="125" t="n"/>
      <c r="C734" s="126" t="n"/>
      <c r="D734" s="127" t="n"/>
      <c r="E734" s="127" t="n"/>
      <c r="F734" s="127" t="n"/>
      <c r="G734" s="127" t="n"/>
      <c r="H734" s="127" t="n"/>
      <c r="I734" s="127" t="n"/>
    </row>
    <row r="735" ht="15" customHeight="1" s="73">
      <c r="A735" s="124" t="n"/>
      <c r="B735" s="125" t="n"/>
      <c r="C735" s="126" t="n"/>
      <c r="D735" s="127" t="n"/>
      <c r="E735" s="127" t="n"/>
      <c r="F735" s="127" t="n"/>
      <c r="G735" s="127" t="n"/>
      <c r="H735" s="127" t="n"/>
      <c r="I735" s="127" t="n"/>
    </row>
    <row r="736" ht="15" customHeight="1" s="73">
      <c r="A736" s="124" t="n"/>
      <c r="B736" s="125" t="n"/>
      <c r="C736" s="126" t="n"/>
      <c r="D736" s="127" t="n"/>
      <c r="E736" s="127" t="n"/>
      <c r="F736" s="127" t="n"/>
      <c r="G736" s="127" t="n"/>
      <c r="H736" s="127" t="n"/>
      <c r="I736" s="127" t="n"/>
    </row>
    <row r="737" ht="15" customHeight="1" s="73">
      <c r="A737" s="124" t="n"/>
      <c r="B737" s="125" t="n"/>
      <c r="C737" s="126" t="n"/>
      <c r="D737" s="127" t="n"/>
      <c r="E737" s="127" t="n"/>
      <c r="F737" s="127" t="n"/>
      <c r="G737" s="127" t="n"/>
      <c r="H737" s="127" t="n"/>
      <c r="I737" s="127" t="n"/>
    </row>
    <row r="738" ht="15" customHeight="1" s="73">
      <c r="A738" s="124" t="n"/>
      <c r="B738" s="125" t="n"/>
      <c r="C738" s="126" t="n"/>
      <c r="D738" s="127" t="n"/>
      <c r="E738" s="127" t="n"/>
      <c r="F738" s="127" t="n"/>
      <c r="G738" s="127" t="n"/>
      <c r="H738" s="127" t="n"/>
      <c r="I738" s="127" t="n"/>
    </row>
    <row r="739" ht="15" customHeight="1" s="73">
      <c r="A739" s="124" t="n"/>
      <c r="B739" s="125" t="n"/>
      <c r="C739" s="126" t="n"/>
      <c r="D739" s="127" t="n"/>
      <c r="E739" s="127" t="n"/>
      <c r="F739" s="127" t="n"/>
      <c r="G739" s="127" t="n"/>
      <c r="H739" s="127" t="n"/>
      <c r="I739" s="127" t="n"/>
    </row>
    <row r="740" ht="15" customHeight="1" s="73">
      <c r="A740" s="124" t="n"/>
      <c r="B740" s="125" t="n"/>
      <c r="C740" s="126" t="n"/>
      <c r="D740" s="127" t="n"/>
      <c r="E740" s="127" t="n"/>
      <c r="F740" s="127" t="n"/>
      <c r="G740" s="127" t="n"/>
      <c r="H740" s="127" t="n"/>
      <c r="I740" s="127" t="n"/>
    </row>
    <row r="741" ht="15" customHeight="1" s="73">
      <c r="A741" s="124" t="n"/>
      <c r="B741" s="125" t="n"/>
      <c r="C741" s="126" t="n"/>
      <c r="D741" s="127" t="n"/>
      <c r="E741" s="127" t="n"/>
      <c r="F741" s="127" t="n"/>
      <c r="G741" s="127" t="n"/>
      <c r="H741" s="127" t="n"/>
      <c r="I741" s="127" t="n"/>
    </row>
    <row r="742" ht="15" customHeight="1" s="73">
      <c r="A742" s="124" t="n"/>
      <c r="B742" s="125" t="n"/>
      <c r="C742" s="126" t="n"/>
      <c r="D742" s="127" t="n"/>
      <c r="E742" s="127" t="n"/>
      <c r="F742" s="127" t="n"/>
      <c r="G742" s="127" t="n"/>
      <c r="H742" s="127" t="n"/>
      <c r="I742" s="127" t="n"/>
    </row>
    <row r="743" ht="15" customHeight="1" s="73">
      <c r="A743" s="124" t="n"/>
      <c r="B743" s="125" t="n"/>
      <c r="C743" s="126" t="n"/>
      <c r="D743" s="127" t="n"/>
      <c r="E743" s="127" t="n"/>
      <c r="F743" s="127" t="n"/>
      <c r="G743" s="127" t="n"/>
      <c r="H743" s="127" t="n"/>
      <c r="I743" s="127" t="n"/>
    </row>
    <row r="744" ht="15" customHeight="1" s="73">
      <c r="A744" s="124" t="n"/>
      <c r="B744" s="125" t="n"/>
      <c r="C744" s="126" t="n"/>
      <c r="D744" s="127" t="n"/>
      <c r="E744" s="127" t="n"/>
      <c r="F744" s="127" t="n"/>
      <c r="G744" s="127" t="n"/>
      <c r="H744" s="127" t="n"/>
      <c r="I744" s="127" t="n"/>
    </row>
    <row r="745" ht="15" customHeight="1" s="73">
      <c r="A745" s="124" t="n"/>
      <c r="B745" s="125" t="n"/>
      <c r="C745" s="126" t="n"/>
      <c r="D745" s="127" t="n"/>
      <c r="E745" s="127" t="n"/>
      <c r="F745" s="127" t="n"/>
      <c r="G745" s="127" t="n"/>
      <c r="H745" s="127" t="n"/>
      <c r="I745" s="127" t="n"/>
    </row>
    <row r="746" ht="15" customHeight="1" s="73">
      <c r="A746" s="124" t="n"/>
      <c r="B746" s="125" t="n"/>
      <c r="C746" s="126" t="n"/>
      <c r="D746" s="127" t="n"/>
      <c r="E746" s="127" t="n"/>
      <c r="F746" s="127" t="n"/>
      <c r="G746" s="127" t="n"/>
      <c r="H746" s="127" t="n"/>
      <c r="I746" s="127" t="n"/>
    </row>
    <row r="747" ht="15" customHeight="1" s="73">
      <c r="A747" s="124" t="n"/>
      <c r="B747" s="125" t="n"/>
      <c r="C747" s="126" t="n"/>
      <c r="D747" s="127" t="n"/>
      <c r="E747" s="127" t="n"/>
      <c r="F747" s="127" t="n"/>
      <c r="G747" s="127" t="n"/>
      <c r="H747" s="127" t="n"/>
      <c r="I747" s="127" t="n"/>
    </row>
    <row r="748" ht="15" customHeight="1" s="73">
      <c r="A748" s="124" t="n"/>
      <c r="B748" s="125" t="n"/>
      <c r="C748" s="126" t="n"/>
      <c r="D748" s="127" t="n"/>
      <c r="E748" s="127" t="n"/>
      <c r="F748" s="127" t="n"/>
      <c r="G748" s="127" t="n"/>
      <c r="H748" s="127" t="n"/>
      <c r="I748" s="127" t="n"/>
    </row>
    <row r="749" ht="15" customHeight="1" s="73">
      <c r="A749" s="124" t="n"/>
      <c r="B749" s="125" t="n"/>
      <c r="C749" s="126" t="n"/>
      <c r="D749" s="127" t="n"/>
      <c r="E749" s="127" t="n"/>
      <c r="F749" s="127" t="n"/>
      <c r="G749" s="127" t="n"/>
      <c r="H749" s="127" t="n"/>
      <c r="I749" s="127" t="n"/>
    </row>
    <row r="750" ht="15" customHeight="1" s="73">
      <c r="A750" s="124" t="n"/>
      <c r="B750" s="125" t="n"/>
      <c r="C750" s="126" t="n"/>
      <c r="D750" s="127" t="n"/>
      <c r="E750" s="127" t="n"/>
      <c r="F750" s="127" t="n"/>
      <c r="G750" s="127" t="n"/>
      <c r="H750" s="127" t="n"/>
      <c r="I750" s="127" t="n"/>
    </row>
    <row r="751" ht="15" customHeight="1" s="73">
      <c r="A751" s="124" t="n"/>
      <c r="B751" s="125" t="n"/>
      <c r="C751" s="126" t="n"/>
      <c r="D751" s="127" t="n"/>
      <c r="E751" s="127" t="n"/>
      <c r="F751" s="127" t="n"/>
      <c r="G751" s="127" t="n"/>
      <c r="H751" s="127" t="n"/>
      <c r="I751" s="127" t="n"/>
    </row>
    <row r="752" ht="15" customHeight="1" s="73">
      <c r="A752" s="124" t="n"/>
      <c r="B752" s="125" t="n"/>
      <c r="C752" s="126" t="n"/>
      <c r="D752" s="127" t="n"/>
      <c r="E752" s="127" t="n"/>
      <c r="F752" s="127" t="n"/>
      <c r="G752" s="127" t="n"/>
      <c r="H752" s="127" t="n"/>
      <c r="I752" s="127" t="n"/>
    </row>
    <row r="753" ht="15" customHeight="1" s="73">
      <c r="A753" s="124" t="n"/>
      <c r="B753" s="125" t="n"/>
      <c r="C753" s="126" t="n"/>
      <c r="D753" s="127" t="n"/>
      <c r="E753" s="127" t="n"/>
      <c r="F753" s="127" t="n"/>
      <c r="G753" s="127" t="n"/>
      <c r="H753" s="127" t="n"/>
      <c r="I753" s="127" t="n"/>
    </row>
    <row r="754" ht="15" customHeight="1" s="73">
      <c r="A754" s="124" t="n"/>
      <c r="B754" s="125" t="n"/>
      <c r="C754" s="126" t="n"/>
      <c r="D754" s="127" t="n"/>
      <c r="E754" s="127" t="n"/>
      <c r="F754" s="127" t="n"/>
      <c r="G754" s="127" t="n"/>
      <c r="H754" s="127" t="n"/>
      <c r="I754" s="127" t="n"/>
    </row>
    <row r="755" ht="15" customHeight="1" s="73">
      <c r="A755" s="124" t="n"/>
      <c r="B755" s="125" t="n"/>
      <c r="C755" s="126" t="n"/>
      <c r="D755" s="127" t="n"/>
      <c r="E755" s="127" t="n"/>
      <c r="F755" s="127" t="n"/>
      <c r="G755" s="127" t="n"/>
      <c r="H755" s="127" t="n"/>
      <c r="I755" s="127" t="n"/>
    </row>
    <row r="756" ht="15" customHeight="1" s="73">
      <c r="A756" s="124" t="n"/>
      <c r="B756" s="125" t="n"/>
      <c r="C756" s="126" t="n"/>
      <c r="D756" s="127" t="n"/>
      <c r="E756" s="127" t="n"/>
      <c r="F756" s="127" t="n"/>
      <c r="G756" s="127" t="n"/>
      <c r="H756" s="127" t="n"/>
      <c r="I756" s="127" t="n"/>
    </row>
    <row r="757" ht="15" customHeight="1" s="73">
      <c r="A757" s="124" t="n"/>
      <c r="B757" s="125" t="n"/>
      <c r="C757" s="126" t="n"/>
      <c r="D757" s="127" t="n"/>
      <c r="E757" s="127" t="n"/>
      <c r="F757" s="127" t="n"/>
      <c r="G757" s="127" t="n"/>
      <c r="H757" s="127" t="n"/>
      <c r="I757" s="127" t="n"/>
    </row>
    <row r="758" ht="15" customHeight="1" s="73">
      <c r="A758" s="124" t="n"/>
      <c r="B758" s="125" t="n"/>
      <c r="C758" s="126" t="n"/>
      <c r="D758" s="127" t="n"/>
      <c r="E758" s="127" t="n"/>
      <c r="F758" s="127" t="n"/>
      <c r="G758" s="127" t="n"/>
      <c r="H758" s="127" t="n"/>
      <c r="I758" s="127" t="n"/>
    </row>
    <row r="759" ht="15" customHeight="1" s="73">
      <c r="A759" s="124" t="n"/>
      <c r="B759" s="125" t="n"/>
      <c r="C759" s="126" t="n"/>
      <c r="D759" s="127" t="n"/>
      <c r="E759" s="127" t="n"/>
      <c r="F759" s="127" t="n"/>
      <c r="G759" s="127" t="n"/>
      <c r="H759" s="127" t="n"/>
      <c r="I759" s="127" t="n"/>
    </row>
    <row r="760" ht="15" customHeight="1" s="73">
      <c r="A760" s="124" t="n"/>
      <c r="B760" s="125" t="n"/>
      <c r="C760" s="126" t="n"/>
      <c r="D760" s="127" t="n"/>
      <c r="E760" s="127" t="n"/>
      <c r="F760" s="127" t="n"/>
      <c r="G760" s="127" t="n"/>
      <c r="H760" s="127" t="n"/>
      <c r="I760" s="127" t="n"/>
    </row>
    <row r="761" ht="15" customHeight="1" s="73">
      <c r="A761" s="124" t="n"/>
      <c r="B761" s="125" t="n"/>
      <c r="C761" s="126" t="n"/>
      <c r="D761" s="127" t="n"/>
      <c r="E761" s="127" t="n"/>
      <c r="F761" s="127" t="n"/>
      <c r="G761" s="127" t="n"/>
      <c r="H761" s="127" t="n"/>
      <c r="I761" s="127" t="n"/>
    </row>
    <row r="762" ht="15" customHeight="1" s="73">
      <c r="A762" s="124" t="n"/>
      <c r="B762" s="125" t="n"/>
      <c r="C762" s="126" t="n"/>
      <c r="D762" s="127" t="n"/>
      <c r="E762" s="127" t="n"/>
      <c r="F762" s="127" t="n"/>
      <c r="G762" s="127" t="n"/>
      <c r="H762" s="127" t="n"/>
      <c r="I762" s="127" t="n"/>
    </row>
    <row r="763" ht="15" customHeight="1" s="73">
      <c r="A763" s="124" t="n"/>
      <c r="B763" s="125" t="n"/>
      <c r="C763" s="126" t="n"/>
      <c r="D763" s="127" t="n"/>
      <c r="E763" s="127" t="n"/>
      <c r="F763" s="127" t="n"/>
      <c r="G763" s="127" t="n"/>
      <c r="H763" s="127" t="n"/>
      <c r="I763" s="127" t="n"/>
    </row>
    <row r="764" ht="15" customHeight="1" s="73">
      <c r="A764" s="124" t="n"/>
      <c r="B764" s="125" t="n"/>
      <c r="C764" s="126" t="n"/>
      <c r="D764" s="127" t="n"/>
      <c r="E764" s="127" t="n"/>
      <c r="F764" s="127" t="n"/>
      <c r="G764" s="127" t="n"/>
      <c r="H764" s="127" t="n"/>
      <c r="I764" s="127" t="n"/>
    </row>
    <row r="765" ht="15" customHeight="1" s="73">
      <c r="A765" s="124" t="n"/>
      <c r="B765" s="125" t="n"/>
      <c r="C765" s="126" t="n"/>
      <c r="D765" s="127" t="n"/>
      <c r="E765" s="127" t="n"/>
      <c r="F765" s="127" t="n"/>
      <c r="G765" s="127" t="n"/>
      <c r="H765" s="127" t="n"/>
      <c r="I765" s="127" t="n"/>
    </row>
    <row r="766" ht="15" customHeight="1" s="73">
      <c r="A766" s="124" t="n"/>
      <c r="B766" s="125" t="n"/>
      <c r="C766" s="126" t="n"/>
      <c r="D766" s="127" t="n"/>
      <c r="E766" s="127" t="n"/>
      <c r="F766" s="127" t="n"/>
      <c r="G766" s="127" t="n"/>
      <c r="H766" s="127" t="n"/>
      <c r="I766" s="127" t="n"/>
    </row>
    <row r="767" ht="15" customHeight="1" s="73">
      <c r="A767" s="124" t="n"/>
      <c r="B767" s="125" t="n"/>
      <c r="C767" s="126" t="n"/>
      <c r="D767" s="127" t="n"/>
      <c r="E767" s="127" t="n"/>
      <c r="F767" s="127" t="n"/>
      <c r="G767" s="127" t="n"/>
      <c r="H767" s="127" t="n"/>
      <c r="I767" s="127" t="n"/>
    </row>
    <row r="768" ht="15" customHeight="1" s="73">
      <c r="A768" s="124" t="n"/>
      <c r="B768" s="125" t="n"/>
      <c r="C768" s="126" t="n"/>
      <c r="D768" s="127" t="n"/>
      <c r="E768" s="127" t="n"/>
      <c r="F768" s="127" t="n"/>
      <c r="G768" s="127" t="n"/>
      <c r="H768" s="127" t="n"/>
      <c r="I768" s="127" t="n"/>
    </row>
    <row r="769" ht="15" customHeight="1" s="73">
      <c r="A769" s="124" t="n"/>
      <c r="B769" s="125" t="n"/>
      <c r="C769" s="126" t="n"/>
      <c r="D769" s="127" t="n"/>
      <c r="E769" s="127" t="n"/>
      <c r="F769" s="127" t="n"/>
      <c r="G769" s="127" t="n"/>
      <c r="H769" s="127" t="n"/>
      <c r="I769" s="127" t="n"/>
    </row>
    <row r="770" ht="15" customHeight="1" s="73">
      <c r="A770" s="124" t="n"/>
      <c r="B770" s="125" t="n"/>
      <c r="C770" s="126" t="n"/>
      <c r="D770" s="127" t="n"/>
      <c r="E770" s="127" t="n"/>
      <c r="F770" s="127" t="n"/>
      <c r="G770" s="127" t="n"/>
      <c r="H770" s="127" t="n"/>
      <c r="I770" s="127" t="n"/>
    </row>
    <row r="771" ht="15" customHeight="1" s="73">
      <c r="A771" s="124" t="n"/>
      <c r="B771" s="125" t="n"/>
      <c r="C771" s="126" t="n"/>
      <c r="D771" s="127" t="n"/>
      <c r="E771" s="127" t="n"/>
      <c r="F771" s="127" t="n"/>
      <c r="G771" s="127" t="n"/>
      <c r="H771" s="127" t="n"/>
      <c r="I771" s="127" t="n"/>
    </row>
    <row r="772" ht="15" customHeight="1" s="73">
      <c r="A772" s="124" t="n"/>
      <c r="B772" s="125" t="n"/>
      <c r="C772" s="126" t="n"/>
      <c r="D772" s="127" t="n"/>
      <c r="E772" s="127" t="n"/>
      <c r="F772" s="127" t="n"/>
      <c r="G772" s="127" t="n"/>
      <c r="H772" s="127" t="n"/>
      <c r="I772" s="127" t="n"/>
    </row>
    <row r="773" ht="15" customHeight="1" s="73">
      <c r="A773" s="124" t="n"/>
      <c r="B773" s="125" t="n"/>
      <c r="C773" s="126" t="n"/>
      <c r="D773" s="127" t="n"/>
      <c r="E773" s="127" t="n"/>
      <c r="F773" s="127" t="n"/>
      <c r="G773" s="127" t="n"/>
      <c r="H773" s="127" t="n"/>
      <c r="I773" s="127" t="n"/>
    </row>
    <row r="774" ht="15" customHeight="1" s="73">
      <c r="A774" s="124" t="n"/>
      <c r="B774" s="125" t="n"/>
      <c r="C774" s="126" t="n"/>
      <c r="D774" s="127" t="n"/>
      <c r="E774" s="127" t="n"/>
      <c r="F774" s="127" t="n"/>
      <c r="G774" s="127" t="n"/>
      <c r="H774" s="127" t="n"/>
      <c r="I774" s="127" t="n"/>
    </row>
    <row r="775" ht="15" customHeight="1" s="73">
      <c r="A775" s="124" t="n"/>
      <c r="B775" s="125" t="n"/>
      <c r="C775" s="126" t="n"/>
      <c r="D775" s="127" t="n"/>
      <c r="E775" s="127" t="n"/>
      <c r="F775" s="127" t="n"/>
      <c r="G775" s="127" t="n"/>
      <c r="H775" s="127" t="n"/>
      <c r="I775" s="127" t="n"/>
    </row>
    <row r="776" ht="15" customHeight="1" s="73">
      <c r="A776" s="124" t="n"/>
      <c r="B776" s="125" t="n"/>
      <c r="C776" s="126" t="n"/>
      <c r="D776" s="127" t="n"/>
      <c r="E776" s="127" t="n"/>
      <c r="F776" s="127" t="n"/>
      <c r="G776" s="127" t="n"/>
      <c r="H776" s="127" t="n"/>
      <c r="I776" s="127" t="n"/>
    </row>
    <row r="777" ht="15" customHeight="1" s="73">
      <c r="A777" s="124" t="n"/>
      <c r="B777" s="125" t="n"/>
      <c r="C777" s="126" t="n"/>
      <c r="D777" s="127" t="n"/>
      <c r="E777" s="127" t="n"/>
      <c r="F777" s="127" t="n"/>
      <c r="G777" s="127" t="n"/>
      <c r="H777" s="127" t="n"/>
      <c r="I777" s="127" t="n"/>
    </row>
    <row r="778" ht="15" customHeight="1" s="73">
      <c r="A778" s="124" t="n"/>
      <c r="B778" s="125" t="n"/>
      <c r="C778" s="126" t="n"/>
      <c r="D778" s="127" t="n"/>
      <c r="E778" s="127" t="n"/>
      <c r="F778" s="127" t="n"/>
      <c r="G778" s="127" t="n"/>
      <c r="H778" s="127" t="n"/>
      <c r="I778" s="127" t="n"/>
    </row>
    <row r="779" ht="15" customHeight="1" s="73">
      <c r="A779" s="124" t="n"/>
      <c r="B779" s="125" t="n"/>
      <c r="C779" s="126" t="n"/>
      <c r="D779" s="127" t="n"/>
      <c r="E779" s="127" t="n"/>
      <c r="F779" s="127" t="n"/>
      <c r="G779" s="127" t="n"/>
      <c r="H779" s="127" t="n"/>
      <c r="I779" s="127" t="n"/>
    </row>
    <row r="780" ht="15" customHeight="1" s="73">
      <c r="A780" s="124" t="n"/>
      <c r="B780" s="125" t="n"/>
      <c r="C780" s="126" t="n"/>
      <c r="D780" s="127" t="n"/>
      <c r="E780" s="127" t="n"/>
      <c r="F780" s="127" t="n"/>
      <c r="G780" s="127" t="n"/>
      <c r="H780" s="127" t="n"/>
      <c r="I780" s="127" t="n"/>
    </row>
    <row r="781" ht="15" customHeight="1" s="73">
      <c r="A781" s="124" t="n"/>
      <c r="B781" s="125" t="n"/>
      <c r="C781" s="126" t="n"/>
      <c r="D781" s="127" t="n"/>
      <c r="E781" s="127" t="n"/>
      <c r="F781" s="127" t="n"/>
      <c r="G781" s="127" t="n"/>
      <c r="H781" s="127" t="n"/>
      <c r="I781" s="127" t="n"/>
    </row>
    <row r="782" ht="15" customHeight="1" s="73">
      <c r="A782" s="124" t="n"/>
      <c r="B782" s="125" t="n"/>
      <c r="C782" s="126" t="n"/>
      <c r="D782" s="127" t="n"/>
      <c r="E782" s="127" t="n"/>
      <c r="F782" s="127" t="n"/>
      <c r="G782" s="127" t="n"/>
      <c r="H782" s="127" t="n"/>
      <c r="I782" s="127" t="n"/>
    </row>
    <row r="783" ht="15" customHeight="1" s="73">
      <c r="A783" s="124" t="n"/>
      <c r="B783" s="125" t="n"/>
      <c r="C783" s="126" t="n"/>
      <c r="D783" s="127" t="n"/>
      <c r="E783" s="127" t="n"/>
      <c r="F783" s="127" t="n"/>
      <c r="G783" s="127" t="n"/>
      <c r="H783" s="127" t="n"/>
      <c r="I783" s="127" t="n"/>
    </row>
    <row r="784" ht="15" customHeight="1" s="73">
      <c r="A784" s="124" t="n"/>
      <c r="B784" s="125" t="n"/>
      <c r="C784" s="126" t="n"/>
      <c r="D784" s="127" t="n"/>
      <c r="E784" s="127" t="n"/>
      <c r="F784" s="127" t="n"/>
      <c r="G784" s="127" t="n"/>
      <c r="H784" s="127" t="n"/>
      <c r="I784" s="127" t="n"/>
    </row>
    <row r="785" ht="15" customHeight="1" s="73">
      <c r="A785" s="124" t="n"/>
      <c r="B785" s="125" t="n"/>
      <c r="C785" s="126" t="n"/>
      <c r="D785" s="127" t="n"/>
      <c r="E785" s="127" t="n"/>
      <c r="F785" s="127" t="n"/>
      <c r="G785" s="127" t="n"/>
      <c r="H785" s="127" t="n"/>
      <c r="I785" s="127" t="n"/>
    </row>
    <row r="786" ht="15" customHeight="1" s="73">
      <c r="A786" s="124" t="n"/>
      <c r="B786" s="125" t="n"/>
      <c r="C786" s="126" t="n"/>
      <c r="D786" s="127" t="n"/>
      <c r="E786" s="127" t="n"/>
      <c r="F786" s="127" t="n"/>
      <c r="G786" s="127" t="n"/>
      <c r="H786" s="127" t="n"/>
      <c r="I786" s="127" t="n"/>
    </row>
    <row r="787" ht="15" customHeight="1" s="73">
      <c r="A787" s="124" t="n"/>
      <c r="B787" s="125" t="n"/>
      <c r="C787" s="126" t="n"/>
      <c r="D787" s="127" t="n"/>
      <c r="E787" s="127" t="n"/>
      <c r="F787" s="127" t="n"/>
      <c r="G787" s="127" t="n"/>
      <c r="H787" s="127" t="n"/>
      <c r="I787" s="127" t="n"/>
    </row>
    <row r="788" ht="15" customHeight="1" s="73">
      <c r="A788" s="124" t="n"/>
      <c r="B788" s="125" t="n"/>
      <c r="C788" s="126" t="n"/>
      <c r="D788" s="127" t="n"/>
      <c r="E788" s="127" t="n"/>
      <c r="F788" s="127" t="n"/>
      <c r="G788" s="127" t="n"/>
      <c r="H788" s="127" t="n"/>
      <c r="I788" s="127" t="n"/>
    </row>
    <row r="789" ht="15" customHeight="1" s="73">
      <c r="A789" s="124" t="n"/>
      <c r="B789" s="125" t="n"/>
      <c r="C789" s="126" t="n"/>
      <c r="D789" s="127" t="n"/>
      <c r="E789" s="127" t="n"/>
      <c r="F789" s="127" t="n"/>
      <c r="G789" s="127" t="n"/>
      <c r="H789" s="127" t="n"/>
      <c r="I789" s="127" t="n"/>
    </row>
    <row r="790" ht="15" customHeight="1" s="73">
      <c r="A790" s="124" t="n"/>
      <c r="B790" s="125" t="n"/>
      <c r="C790" s="126" t="n"/>
      <c r="D790" s="127" t="n"/>
      <c r="E790" s="127" t="n"/>
      <c r="F790" s="127" t="n"/>
      <c r="G790" s="127" t="n"/>
      <c r="H790" s="127" t="n"/>
      <c r="I790" s="127" t="n"/>
    </row>
    <row r="791" ht="15" customHeight="1" s="73">
      <c r="A791" s="124" t="n"/>
      <c r="B791" s="125" t="n"/>
      <c r="C791" s="126" t="n"/>
      <c r="D791" s="127" t="n"/>
      <c r="E791" s="127" t="n"/>
      <c r="F791" s="127" t="n"/>
      <c r="G791" s="127" t="n"/>
      <c r="H791" s="127" t="n"/>
      <c r="I791" s="127" t="n"/>
    </row>
    <row r="792" ht="15" customHeight="1" s="73">
      <c r="A792" s="124" t="n"/>
      <c r="B792" s="125" t="n"/>
      <c r="C792" s="126" t="n"/>
      <c r="D792" s="127" t="n"/>
      <c r="E792" s="127" t="n"/>
      <c r="F792" s="127" t="n"/>
      <c r="G792" s="127" t="n"/>
      <c r="H792" s="127" t="n"/>
      <c r="I792" s="127" t="n"/>
    </row>
    <row r="793" ht="15" customHeight="1" s="73">
      <c r="A793" s="124" t="n"/>
      <c r="B793" s="125" t="n"/>
      <c r="C793" s="126" t="n"/>
      <c r="D793" s="127" t="n"/>
      <c r="E793" s="127" t="n"/>
      <c r="F793" s="127" t="n"/>
      <c r="G793" s="127" t="n"/>
      <c r="H793" s="127" t="n"/>
      <c r="I793" s="127" t="n"/>
    </row>
    <row r="794" ht="15" customHeight="1" s="73">
      <c r="A794" s="124" t="n"/>
      <c r="B794" s="125" t="n"/>
      <c r="C794" s="126" t="n"/>
      <c r="D794" s="127" t="n"/>
      <c r="E794" s="127" t="n"/>
      <c r="F794" s="127" t="n"/>
      <c r="G794" s="127" t="n"/>
      <c r="H794" s="127" t="n"/>
      <c r="I794" s="127" t="n"/>
    </row>
    <row r="795" ht="15" customHeight="1" s="73">
      <c r="A795" s="124" t="n"/>
      <c r="B795" s="125" t="n"/>
      <c r="C795" s="126" t="n"/>
      <c r="D795" s="127" t="n"/>
      <c r="E795" s="127" t="n"/>
      <c r="F795" s="127" t="n"/>
      <c r="G795" s="127" t="n"/>
      <c r="H795" s="127" t="n"/>
      <c r="I795" s="127" t="n"/>
    </row>
    <row r="796" ht="15" customHeight="1" s="73">
      <c r="A796" s="124" t="n"/>
      <c r="B796" s="125" t="n"/>
      <c r="C796" s="126" t="n"/>
      <c r="D796" s="127" t="n"/>
      <c r="E796" s="127" t="n"/>
      <c r="F796" s="127" t="n"/>
      <c r="G796" s="127" t="n"/>
      <c r="H796" s="127" t="n"/>
      <c r="I796" s="127" t="n"/>
    </row>
    <row r="797" ht="15" customHeight="1" s="73">
      <c r="A797" s="124" t="n"/>
      <c r="B797" s="125" t="n"/>
      <c r="C797" s="126" t="n"/>
      <c r="D797" s="127" t="n"/>
      <c r="E797" s="127" t="n"/>
      <c r="F797" s="127" t="n"/>
      <c r="G797" s="127" t="n"/>
      <c r="H797" s="127" t="n"/>
      <c r="I797" s="127" t="n"/>
    </row>
    <row r="798" ht="15" customHeight="1" s="73">
      <c r="A798" s="124" t="n"/>
      <c r="B798" s="125" t="n"/>
      <c r="C798" s="126" t="n"/>
      <c r="D798" s="127" t="n"/>
      <c r="E798" s="127" t="n"/>
      <c r="F798" s="127" t="n"/>
      <c r="G798" s="127" t="n"/>
      <c r="H798" s="127" t="n"/>
      <c r="I798" s="127" t="n"/>
    </row>
    <row r="799" ht="15" customHeight="1" s="73">
      <c r="A799" s="124" t="n"/>
      <c r="B799" s="125" t="n"/>
      <c r="C799" s="126" t="n"/>
      <c r="D799" s="127" t="n"/>
      <c r="E799" s="127" t="n"/>
      <c r="F799" s="127" t="n"/>
      <c r="G799" s="127" t="n"/>
      <c r="H799" s="127" t="n"/>
      <c r="I799" s="127" t="n"/>
    </row>
    <row r="800" ht="15" customHeight="1" s="73">
      <c r="A800" s="124" t="n"/>
      <c r="B800" s="125" t="n"/>
      <c r="C800" s="126" t="n"/>
      <c r="D800" s="127" t="n"/>
      <c r="E800" s="127" t="n"/>
      <c r="F800" s="127" t="n"/>
      <c r="G800" s="127" t="n"/>
      <c r="H800" s="127" t="n"/>
      <c r="I800" s="127" t="n"/>
    </row>
    <row r="801" ht="15" customHeight="1" s="73">
      <c r="A801" s="124" t="n"/>
      <c r="B801" s="125" t="n"/>
      <c r="C801" s="126" t="n"/>
      <c r="D801" s="127" t="n"/>
      <c r="E801" s="127" t="n"/>
      <c r="F801" s="127" t="n"/>
      <c r="G801" s="127" t="n"/>
      <c r="H801" s="127" t="n"/>
      <c r="I801" s="127" t="n"/>
    </row>
    <row r="802" ht="15" customHeight="1" s="73">
      <c r="A802" s="124" t="n"/>
      <c r="B802" s="125" t="n"/>
      <c r="C802" s="126" t="n"/>
      <c r="D802" s="127" t="n"/>
      <c r="E802" s="127" t="n"/>
      <c r="F802" s="127" t="n"/>
      <c r="G802" s="127" t="n"/>
      <c r="H802" s="127" t="n"/>
      <c r="I802" s="127" t="n"/>
    </row>
    <row r="803" ht="15" customHeight="1" s="73">
      <c r="A803" s="124" t="n"/>
      <c r="B803" s="125" t="n"/>
      <c r="C803" s="126" t="n"/>
      <c r="D803" s="127" t="n"/>
      <c r="E803" s="127" t="n"/>
      <c r="F803" s="127" t="n"/>
      <c r="G803" s="127" t="n"/>
      <c r="H803" s="127" t="n"/>
      <c r="I803" s="127" t="n"/>
    </row>
    <row r="804" ht="15" customHeight="1" s="73">
      <c r="A804" s="124" t="n"/>
      <c r="B804" s="125" t="n"/>
      <c r="C804" s="126" t="n"/>
      <c r="D804" s="127" t="n"/>
      <c r="E804" s="127" t="n"/>
      <c r="F804" s="127" t="n"/>
      <c r="G804" s="127" t="n"/>
      <c r="H804" s="127" t="n"/>
      <c r="I804" s="127" t="n"/>
    </row>
    <row r="805" ht="15" customHeight="1" s="73">
      <c r="A805" s="124" t="n"/>
      <c r="B805" s="125" t="n"/>
      <c r="C805" s="126" t="n"/>
      <c r="D805" s="127" t="n"/>
      <c r="E805" s="127" t="n"/>
      <c r="F805" s="127" t="n"/>
      <c r="G805" s="127" t="n"/>
      <c r="H805" s="127" t="n"/>
      <c r="I805" s="127" t="n"/>
    </row>
    <row r="806" ht="15" customHeight="1" s="73">
      <c r="A806" s="124" t="n"/>
      <c r="B806" s="125" t="n"/>
      <c r="C806" s="126" t="n"/>
      <c r="D806" s="127" t="n"/>
      <c r="E806" s="127" t="n"/>
      <c r="F806" s="127" t="n"/>
      <c r="G806" s="127" t="n"/>
      <c r="H806" s="127" t="n"/>
      <c r="I806" s="127" t="n"/>
    </row>
    <row r="807" ht="15" customHeight="1" s="73">
      <c r="A807" s="124" t="n"/>
      <c r="B807" s="125" t="n"/>
      <c r="C807" s="126" t="n"/>
      <c r="D807" s="127" t="n"/>
      <c r="E807" s="127" t="n"/>
      <c r="F807" s="127" t="n"/>
      <c r="G807" s="127" t="n"/>
      <c r="H807" s="127" t="n"/>
      <c r="I807" s="127" t="n"/>
    </row>
    <row r="808" ht="15" customHeight="1" s="73">
      <c r="A808" s="124" t="n"/>
      <c r="B808" s="125" t="n"/>
      <c r="C808" s="126" t="n"/>
      <c r="D808" s="127" t="n"/>
      <c r="E808" s="127" t="n"/>
      <c r="F808" s="127" t="n"/>
      <c r="G808" s="127" t="n"/>
      <c r="H808" s="127" t="n"/>
      <c r="I808" s="127" t="n"/>
    </row>
    <row r="809" ht="15" customHeight="1" s="73">
      <c r="A809" s="124" t="n"/>
      <c r="B809" s="125" t="n"/>
      <c r="C809" s="126" t="n"/>
      <c r="D809" s="127" t="n"/>
      <c r="E809" s="127" t="n"/>
      <c r="F809" s="127" t="n"/>
      <c r="G809" s="127" t="n"/>
      <c r="H809" s="127" t="n"/>
      <c r="I809" s="127" t="n"/>
    </row>
    <row r="810" ht="15" customHeight="1" s="73">
      <c r="A810" s="124" t="n"/>
      <c r="B810" s="125" t="n"/>
      <c r="C810" s="126" t="n"/>
      <c r="D810" s="127" t="n"/>
      <c r="E810" s="127" t="n"/>
      <c r="F810" s="127" t="n"/>
      <c r="G810" s="127" t="n"/>
      <c r="H810" s="127" t="n"/>
      <c r="I810" s="127" t="n"/>
    </row>
    <row r="811" ht="15" customHeight="1" s="73">
      <c r="A811" s="124" t="n"/>
      <c r="B811" s="125" t="n"/>
      <c r="C811" s="126" t="n"/>
      <c r="D811" s="127" t="n"/>
      <c r="E811" s="127" t="n"/>
      <c r="F811" s="127" t="n"/>
      <c r="G811" s="127" t="n"/>
      <c r="H811" s="127" t="n"/>
      <c r="I811" s="127" t="n"/>
    </row>
    <row r="812" ht="15" customHeight="1" s="73">
      <c r="A812" s="124" t="n"/>
      <c r="B812" s="125" t="n"/>
      <c r="C812" s="126" t="n"/>
      <c r="D812" s="127" t="n"/>
      <c r="E812" s="127" t="n"/>
      <c r="F812" s="127" t="n"/>
      <c r="G812" s="127" t="n"/>
      <c r="H812" s="127" t="n"/>
      <c r="I812" s="127" t="n"/>
    </row>
    <row r="813" ht="15" customHeight="1" s="73">
      <c r="A813" s="124" t="n"/>
      <c r="B813" s="125" t="n"/>
      <c r="C813" s="126" t="n"/>
      <c r="D813" s="127" t="n"/>
      <c r="E813" s="127" t="n"/>
      <c r="F813" s="127" t="n"/>
      <c r="G813" s="127" t="n"/>
      <c r="H813" s="127" t="n"/>
      <c r="I813" s="127" t="n"/>
    </row>
    <row r="814" ht="15" customHeight="1" s="73">
      <c r="A814" s="124" t="n"/>
      <c r="B814" s="125" t="n"/>
      <c r="C814" s="126" t="n"/>
      <c r="D814" s="127" t="n"/>
      <c r="E814" s="127" t="n"/>
      <c r="F814" s="127" t="n"/>
      <c r="G814" s="127" t="n"/>
      <c r="H814" s="127" t="n"/>
      <c r="I814" s="127" t="n"/>
    </row>
    <row r="815" ht="15" customHeight="1" s="73">
      <c r="A815" s="124" t="n"/>
      <c r="B815" s="125" t="n"/>
      <c r="C815" s="126" t="n"/>
      <c r="D815" s="127" t="n"/>
      <c r="E815" s="127" t="n"/>
      <c r="F815" s="127" t="n"/>
      <c r="G815" s="127" t="n"/>
      <c r="H815" s="127" t="n"/>
      <c r="I815" s="127" t="n"/>
    </row>
    <row r="816" ht="15" customHeight="1" s="73">
      <c r="A816" s="124" t="n"/>
      <c r="B816" s="125" t="n"/>
      <c r="C816" s="126" t="n"/>
      <c r="D816" s="127" t="n"/>
      <c r="E816" s="127" t="n"/>
      <c r="F816" s="127" t="n"/>
      <c r="G816" s="127" t="n"/>
      <c r="H816" s="127" t="n"/>
      <c r="I816" s="127" t="n"/>
    </row>
    <row r="817" ht="15" customHeight="1" s="73">
      <c r="A817" s="124" t="n"/>
      <c r="B817" s="125" t="n"/>
      <c r="C817" s="126" t="n"/>
      <c r="D817" s="127" t="n"/>
      <c r="E817" s="127" t="n"/>
      <c r="F817" s="127" t="n"/>
      <c r="G817" s="127" t="n"/>
      <c r="H817" s="127" t="n"/>
      <c r="I817" s="127" t="n"/>
    </row>
    <row r="818" ht="15" customHeight="1" s="73">
      <c r="A818" s="124" t="n"/>
      <c r="B818" s="125" t="n"/>
      <c r="C818" s="126" t="n"/>
      <c r="D818" s="127" t="n"/>
      <c r="E818" s="127" t="n"/>
      <c r="F818" s="127" t="n"/>
      <c r="G818" s="127" t="n"/>
      <c r="H818" s="127" t="n"/>
      <c r="I818" s="127" t="n"/>
    </row>
    <row r="819" ht="15" customHeight="1" s="73">
      <c r="A819" s="124" t="n"/>
      <c r="B819" s="125" t="n"/>
      <c r="C819" s="126" t="n"/>
      <c r="D819" s="127" t="n"/>
      <c r="E819" s="127" t="n"/>
      <c r="F819" s="127" t="n"/>
      <c r="G819" s="127" t="n"/>
      <c r="H819" s="127" t="n"/>
      <c r="I819" s="127" t="n"/>
    </row>
    <row r="820" ht="15" customHeight="1" s="73">
      <c r="A820" s="124" t="n"/>
      <c r="B820" s="125" t="n"/>
      <c r="C820" s="126" t="n"/>
      <c r="D820" s="127" t="n"/>
      <c r="E820" s="127" t="n"/>
      <c r="F820" s="127" t="n"/>
      <c r="G820" s="127" t="n"/>
      <c r="H820" s="127" t="n"/>
      <c r="I820" s="127" t="n"/>
    </row>
    <row r="821" ht="15" customHeight="1" s="73">
      <c r="A821" s="124" t="n"/>
      <c r="B821" s="125" t="n"/>
      <c r="C821" s="126" t="n"/>
      <c r="D821" s="127" t="n"/>
      <c r="E821" s="127" t="n"/>
      <c r="F821" s="127" t="n"/>
      <c r="G821" s="127" t="n"/>
      <c r="H821" s="127" t="n"/>
      <c r="I821" s="127" t="n"/>
    </row>
    <row r="822" ht="15" customHeight="1" s="73">
      <c r="A822" s="124" t="n"/>
      <c r="B822" s="125" t="n"/>
      <c r="C822" s="126" t="n"/>
      <c r="D822" s="127" t="n"/>
      <c r="E822" s="127" t="n"/>
      <c r="F822" s="127" t="n"/>
      <c r="G822" s="127" t="n"/>
      <c r="H822" s="127" t="n"/>
      <c r="I822" s="127" t="n"/>
    </row>
    <row r="823" ht="15" customHeight="1" s="73">
      <c r="A823" s="124" t="n"/>
      <c r="B823" s="125" t="n"/>
      <c r="C823" s="126" t="n"/>
      <c r="D823" s="127" t="n"/>
      <c r="E823" s="127" t="n"/>
      <c r="F823" s="127" t="n"/>
      <c r="G823" s="127" t="n"/>
      <c r="H823" s="127" t="n"/>
      <c r="I823" s="127" t="n"/>
    </row>
    <row r="824" ht="15" customHeight="1" s="73">
      <c r="A824" s="124" t="n"/>
      <c r="B824" s="125" t="n"/>
      <c r="C824" s="126" t="n"/>
      <c r="D824" s="127" t="n"/>
      <c r="E824" s="127" t="n"/>
      <c r="F824" s="127" t="n"/>
      <c r="G824" s="127" t="n"/>
      <c r="H824" s="127" t="n"/>
      <c r="I824" s="127" t="n"/>
    </row>
    <row r="825" ht="15" customHeight="1" s="73">
      <c r="A825" s="124" t="n"/>
      <c r="B825" s="125" t="n"/>
      <c r="C825" s="126" t="n"/>
      <c r="D825" s="127" t="n"/>
      <c r="E825" s="127" t="n"/>
      <c r="F825" s="127" t="n"/>
      <c r="G825" s="127" t="n"/>
      <c r="H825" s="127" t="n"/>
      <c r="I825" s="127" t="n"/>
    </row>
    <row r="826" ht="15" customHeight="1" s="73">
      <c r="A826" s="124" t="n"/>
      <c r="B826" s="125" t="n"/>
      <c r="C826" s="126" t="n"/>
      <c r="D826" s="127" t="n"/>
      <c r="E826" s="127" t="n"/>
      <c r="F826" s="127" t="n"/>
      <c r="G826" s="127" t="n"/>
      <c r="H826" s="127" t="n"/>
      <c r="I826" s="127" t="n"/>
    </row>
    <row r="827" ht="15" customHeight="1" s="73">
      <c r="A827" s="124" t="n"/>
      <c r="B827" s="125" t="n"/>
      <c r="C827" s="126" t="n"/>
      <c r="D827" s="127" t="n"/>
      <c r="E827" s="127" t="n"/>
      <c r="F827" s="127" t="n"/>
      <c r="G827" s="127" t="n"/>
      <c r="H827" s="127" t="n"/>
      <c r="I827" s="127" t="n"/>
    </row>
    <row r="828" ht="15" customHeight="1" s="73">
      <c r="A828" s="124" t="n"/>
      <c r="B828" s="125" t="n"/>
      <c r="C828" s="126" t="n"/>
      <c r="D828" s="127" t="n"/>
      <c r="E828" s="127" t="n"/>
      <c r="F828" s="127" t="n"/>
      <c r="G828" s="127" t="n"/>
      <c r="H828" s="127" t="n"/>
      <c r="I828" s="127" t="n"/>
    </row>
    <row r="829" ht="15" customHeight="1" s="73">
      <c r="A829" s="124" t="n"/>
      <c r="B829" s="125" t="n"/>
      <c r="C829" s="126" t="n"/>
      <c r="D829" s="127" t="n"/>
      <c r="E829" s="127" t="n"/>
      <c r="F829" s="127" t="n"/>
      <c r="G829" s="127" t="n"/>
      <c r="H829" s="127" t="n"/>
      <c r="I829" s="127" t="n"/>
    </row>
    <row r="830" ht="15" customHeight="1" s="73">
      <c r="A830" s="124" t="n"/>
      <c r="B830" s="125" t="n"/>
      <c r="C830" s="126" t="n"/>
      <c r="D830" s="127" t="n"/>
      <c r="E830" s="127" t="n"/>
      <c r="F830" s="127" t="n"/>
      <c r="G830" s="127" t="n"/>
      <c r="H830" s="127" t="n"/>
      <c r="I830" s="127" t="n"/>
    </row>
    <row r="831" ht="15" customHeight="1" s="73">
      <c r="A831" s="124" t="n"/>
      <c r="B831" s="125" t="n"/>
      <c r="C831" s="126" t="n"/>
      <c r="D831" s="127" t="n"/>
      <c r="E831" s="127" t="n"/>
      <c r="F831" s="127" t="n"/>
      <c r="G831" s="127" t="n"/>
      <c r="H831" s="127" t="n"/>
      <c r="I831" s="127" t="n"/>
    </row>
    <row r="832" ht="15" customHeight="1" s="73">
      <c r="A832" s="124" t="n"/>
      <c r="B832" s="125" t="n"/>
      <c r="C832" s="126" t="n"/>
      <c r="D832" s="127" t="n"/>
      <c r="E832" s="127" t="n"/>
      <c r="F832" s="127" t="n"/>
      <c r="G832" s="127" t="n"/>
      <c r="H832" s="127" t="n"/>
      <c r="I832" s="127" t="n"/>
    </row>
    <row r="833" ht="15" customHeight="1" s="73">
      <c r="A833" s="124" t="n"/>
      <c r="B833" s="125" t="n"/>
      <c r="C833" s="126" t="n"/>
      <c r="D833" s="127" t="n"/>
      <c r="E833" s="127" t="n"/>
      <c r="F833" s="127" t="n"/>
      <c r="G833" s="127" t="n"/>
      <c r="H833" s="127" t="n"/>
      <c r="I833" s="127" t="n"/>
    </row>
    <row r="834" ht="15" customHeight="1" s="73">
      <c r="A834" s="124" t="n"/>
      <c r="B834" s="125" t="n"/>
      <c r="C834" s="126" t="n"/>
      <c r="D834" s="127" t="n"/>
      <c r="E834" s="127" t="n"/>
      <c r="F834" s="127" t="n"/>
      <c r="G834" s="127" t="n"/>
      <c r="H834" s="127" t="n"/>
      <c r="I834" s="127" t="n"/>
    </row>
    <row r="835" ht="15" customHeight="1" s="73">
      <c r="A835" s="124" t="n"/>
      <c r="B835" s="125" t="n"/>
      <c r="C835" s="126" t="n"/>
      <c r="D835" s="127" t="n"/>
      <c r="E835" s="127" t="n"/>
      <c r="F835" s="127" t="n"/>
      <c r="G835" s="127" t="n"/>
      <c r="H835" s="127" t="n"/>
      <c r="I835" s="127" t="n"/>
    </row>
    <row r="836" ht="15" customHeight="1" s="73">
      <c r="A836" s="124" t="n"/>
      <c r="B836" s="125" t="n"/>
      <c r="C836" s="126" t="n"/>
      <c r="D836" s="127" t="n"/>
      <c r="E836" s="127" t="n"/>
      <c r="F836" s="127" t="n"/>
      <c r="G836" s="127" t="n"/>
      <c r="H836" s="127" t="n"/>
      <c r="I836" s="127" t="n"/>
    </row>
    <row r="837" ht="15" customHeight="1" s="73">
      <c r="A837" s="124" t="n"/>
      <c r="B837" s="125" t="n"/>
      <c r="C837" s="126" t="n"/>
      <c r="D837" s="127" t="n"/>
      <c r="E837" s="127" t="n"/>
      <c r="F837" s="127" t="n"/>
      <c r="G837" s="127" t="n"/>
      <c r="H837" s="127" t="n"/>
      <c r="I837" s="127" t="n"/>
    </row>
    <row r="838" ht="15" customHeight="1" s="73">
      <c r="A838" s="124" t="n"/>
      <c r="B838" s="125" t="n"/>
      <c r="C838" s="126" t="n"/>
      <c r="D838" s="127" t="n"/>
      <c r="E838" s="127" t="n"/>
      <c r="F838" s="127" t="n"/>
      <c r="G838" s="127" t="n"/>
      <c r="H838" s="127" t="n"/>
      <c r="I838" s="127" t="n"/>
    </row>
    <row r="839" ht="15" customHeight="1" s="73">
      <c r="A839" s="124" t="n"/>
      <c r="B839" s="125" t="n"/>
      <c r="C839" s="126" t="n"/>
      <c r="D839" s="127" t="n"/>
      <c r="E839" s="127" t="n"/>
      <c r="F839" s="127" t="n"/>
      <c r="G839" s="127" t="n"/>
      <c r="H839" s="127" t="n"/>
      <c r="I839" s="127" t="n"/>
    </row>
    <row r="840" ht="15" customHeight="1" s="73">
      <c r="A840" s="124" t="n"/>
      <c r="B840" s="125" t="n"/>
      <c r="C840" s="126" t="n"/>
      <c r="D840" s="127" t="n"/>
      <c r="E840" s="127" t="n"/>
      <c r="F840" s="127" t="n"/>
      <c r="G840" s="127" t="n"/>
      <c r="H840" s="127" t="n"/>
      <c r="I840" s="127" t="n"/>
    </row>
    <row r="841" ht="15" customHeight="1" s="73">
      <c r="A841" s="124" t="n"/>
      <c r="B841" s="125" t="n"/>
      <c r="C841" s="126" t="n"/>
      <c r="D841" s="127" t="n"/>
      <c r="E841" s="127" t="n"/>
      <c r="F841" s="127" t="n"/>
      <c r="G841" s="127" t="n"/>
      <c r="H841" s="127" t="n"/>
      <c r="I841" s="127" t="n"/>
    </row>
    <row r="842" ht="15" customHeight="1" s="73">
      <c r="A842" s="124" t="n"/>
      <c r="B842" s="125" t="n"/>
      <c r="C842" s="126" t="n"/>
      <c r="D842" s="127" t="n"/>
      <c r="E842" s="127" t="n"/>
      <c r="F842" s="127" t="n"/>
      <c r="G842" s="127" t="n"/>
      <c r="H842" s="127" t="n"/>
      <c r="I842" s="127" t="n"/>
    </row>
    <row r="843" ht="15" customHeight="1" s="73">
      <c r="A843" s="124" t="n"/>
      <c r="B843" s="125" t="n"/>
      <c r="C843" s="126" t="n"/>
      <c r="D843" s="127" t="n"/>
      <c r="E843" s="127" t="n"/>
      <c r="F843" s="127" t="n"/>
      <c r="G843" s="127" t="n"/>
      <c r="H843" s="127" t="n"/>
      <c r="I843" s="127" t="n"/>
    </row>
    <row r="844" ht="15" customHeight="1" s="73">
      <c r="A844" s="124" t="n"/>
      <c r="B844" s="125" t="n"/>
      <c r="C844" s="126" t="n"/>
      <c r="D844" s="127" t="n"/>
      <c r="E844" s="127" t="n"/>
      <c r="F844" s="127" t="n"/>
      <c r="G844" s="127" t="n"/>
      <c r="H844" s="127" t="n"/>
      <c r="I844" s="127" t="n"/>
    </row>
    <row r="845" ht="15" customHeight="1" s="73">
      <c r="A845" s="124" t="n"/>
      <c r="B845" s="125" t="n"/>
      <c r="C845" s="126" t="n"/>
      <c r="D845" s="127" t="n"/>
      <c r="E845" s="127" t="n"/>
      <c r="F845" s="127" t="n"/>
      <c r="G845" s="127" t="n"/>
      <c r="H845" s="127" t="n"/>
      <c r="I845" s="127" t="n"/>
    </row>
    <row r="846" ht="15" customHeight="1" s="73">
      <c r="A846" s="124" t="n"/>
      <c r="B846" s="125" t="n"/>
      <c r="C846" s="126" t="n"/>
      <c r="D846" s="127" t="n"/>
      <c r="E846" s="127" t="n"/>
      <c r="F846" s="127" t="n"/>
      <c r="G846" s="127" t="n"/>
      <c r="H846" s="127" t="n"/>
      <c r="I846" s="127" t="n"/>
    </row>
    <row r="847" ht="15" customHeight="1" s="73">
      <c r="A847" s="124" t="n"/>
      <c r="B847" s="125" t="n"/>
      <c r="C847" s="126" t="n"/>
      <c r="D847" s="127" t="n"/>
      <c r="E847" s="127" t="n"/>
      <c r="F847" s="127" t="n"/>
      <c r="G847" s="127" t="n"/>
      <c r="H847" s="127" t="n"/>
      <c r="I847" s="127" t="n"/>
    </row>
    <row r="848" ht="15" customHeight="1" s="73">
      <c r="A848" s="124" t="n"/>
      <c r="B848" s="125" t="n"/>
      <c r="C848" s="126" t="n"/>
      <c r="D848" s="127" t="n"/>
      <c r="E848" s="127" t="n"/>
      <c r="F848" s="127" t="n"/>
      <c r="G848" s="127" t="n"/>
      <c r="H848" s="127" t="n"/>
      <c r="I848" s="127" t="n"/>
    </row>
    <row r="849" ht="15" customHeight="1" s="73">
      <c r="A849" s="124" t="n"/>
      <c r="B849" s="125" t="n"/>
      <c r="C849" s="126" t="n"/>
      <c r="D849" s="127" t="n"/>
      <c r="E849" s="127" t="n"/>
      <c r="F849" s="127" t="n"/>
      <c r="G849" s="127" t="n"/>
      <c r="H849" s="127" t="n"/>
      <c r="I849" s="127" t="n"/>
    </row>
    <row r="850" ht="15" customHeight="1" s="73">
      <c r="A850" s="124" t="n"/>
      <c r="B850" s="125" t="n"/>
      <c r="C850" s="126" t="n"/>
      <c r="D850" s="127" t="n"/>
      <c r="E850" s="127" t="n"/>
      <c r="F850" s="127" t="n"/>
      <c r="G850" s="127" t="n"/>
      <c r="H850" s="127" t="n"/>
      <c r="I850" s="127" t="n"/>
    </row>
    <row r="851" ht="15" customHeight="1" s="73">
      <c r="A851" s="124" t="n"/>
      <c r="B851" s="125" t="n"/>
      <c r="C851" s="126" t="n"/>
      <c r="D851" s="127" t="n"/>
      <c r="E851" s="127" t="n"/>
      <c r="F851" s="127" t="n"/>
      <c r="G851" s="127" t="n"/>
      <c r="H851" s="127" t="n"/>
      <c r="I851" s="127" t="n"/>
    </row>
    <row r="852" ht="15" customHeight="1" s="73">
      <c r="A852" s="124" t="n"/>
      <c r="B852" s="125" t="n"/>
      <c r="C852" s="126" t="n"/>
      <c r="D852" s="127" t="n"/>
      <c r="E852" s="127" t="n"/>
      <c r="F852" s="127" t="n"/>
      <c r="G852" s="127" t="n"/>
      <c r="H852" s="127" t="n"/>
      <c r="I852" s="127" t="n"/>
    </row>
    <row r="853" ht="15" customHeight="1" s="73">
      <c r="A853" s="124" t="n"/>
      <c r="B853" s="125" t="n"/>
      <c r="C853" s="126" t="n"/>
      <c r="D853" s="127" t="n"/>
      <c r="E853" s="127" t="n"/>
      <c r="F853" s="127" t="n"/>
      <c r="G853" s="127" t="n"/>
      <c r="H853" s="127" t="n"/>
      <c r="I853" s="127" t="n"/>
    </row>
    <row r="854" ht="15" customHeight="1" s="73">
      <c r="A854" s="124" t="n"/>
      <c r="B854" s="125" t="n"/>
      <c r="C854" s="126" t="n"/>
      <c r="D854" s="127" t="n"/>
      <c r="E854" s="127" t="n"/>
      <c r="F854" s="127" t="n"/>
      <c r="G854" s="127" t="n"/>
      <c r="H854" s="127" t="n"/>
      <c r="I854" s="127" t="n"/>
    </row>
    <row r="855" ht="15" customHeight="1" s="73">
      <c r="A855" s="124" t="n"/>
      <c r="B855" s="125" t="n"/>
      <c r="C855" s="126" t="n"/>
      <c r="D855" s="127" t="n"/>
      <c r="E855" s="127" t="n"/>
      <c r="F855" s="127" t="n"/>
      <c r="G855" s="127" t="n"/>
      <c r="H855" s="127" t="n"/>
      <c r="I855" s="127" t="n"/>
    </row>
    <row r="856" ht="15" customHeight="1" s="73">
      <c r="A856" s="124" t="n"/>
      <c r="B856" s="125" t="n"/>
      <c r="C856" s="126" t="n"/>
      <c r="D856" s="127" t="n"/>
      <c r="E856" s="127" t="n"/>
      <c r="F856" s="127" t="n"/>
      <c r="G856" s="127" t="n"/>
      <c r="H856" s="127" t="n"/>
      <c r="I856" s="127" t="n"/>
    </row>
    <row r="857" ht="15" customHeight="1" s="73">
      <c r="A857" s="124" t="n"/>
      <c r="B857" s="125" t="n"/>
      <c r="C857" s="126" t="n"/>
      <c r="D857" s="127" t="n"/>
      <c r="E857" s="127" t="n"/>
      <c r="F857" s="127" t="n"/>
      <c r="G857" s="127" t="n"/>
      <c r="H857" s="127" t="n"/>
      <c r="I857" s="127" t="n"/>
    </row>
    <row r="858" ht="15" customHeight="1" s="73">
      <c r="A858" s="124" t="n"/>
      <c r="B858" s="125" t="n"/>
      <c r="C858" s="126" t="n"/>
      <c r="D858" s="127" t="n"/>
      <c r="E858" s="127" t="n"/>
      <c r="F858" s="127" t="n"/>
      <c r="G858" s="127" t="n"/>
      <c r="H858" s="127" t="n"/>
      <c r="I858" s="127" t="n"/>
    </row>
    <row r="859" ht="15" customHeight="1" s="73">
      <c r="A859" s="124" t="n"/>
      <c r="B859" s="125" t="n"/>
      <c r="C859" s="126" t="n"/>
      <c r="D859" s="127" t="n"/>
      <c r="E859" s="127" t="n"/>
      <c r="F859" s="127" t="n"/>
      <c r="G859" s="127" t="n"/>
      <c r="H859" s="127" t="n"/>
      <c r="I859" s="127" t="n"/>
    </row>
    <row r="860" ht="15" customHeight="1" s="73">
      <c r="A860" s="124" t="n"/>
      <c r="B860" s="125" t="n"/>
      <c r="C860" s="126" t="n"/>
      <c r="D860" s="127" t="n"/>
      <c r="E860" s="127" t="n"/>
      <c r="F860" s="127" t="n"/>
      <c r="G860" s="127" t="n"/>
      <c r="H860" s="127" t="n"/>
      <c r="I860" s="127" t="n"/>
    </row>
    <row r="861" ht="15" customHeight="1" s="73">
      <c r="A861" s="124" t="n"/>
      <c r="B861" s="125" t="n"/>
      <c r="C861" s="126" t="n"/>
      <c r="D861" s="127" t="n"/>
      <c r="E861" s="127" t="n"/>
      <c r="F861" s="127" t="n"/>
      <c r="G861" s="127" t="n"/>
      <c r="H861" s="127" t="n"/>
      <c r="I861" s="127" t="n"/>
    </row>
    <row r="862" ht="15" customHeight="1" s="73">
      <c r="A862" s="124" t="n"/>
      <c r="B862" s="125" t="n"/>
      <c r="C862" s="126" t="n"/>
      <c r="D862" s="127" t="n"/>
      <c r="E862" s="127" t="n"/>
      <c r="F862" s="127" t="n"/>
      <c r="G862" s="127" t="n"/>
      <c r="H862" s="127" t="n"/>
      <c r="I862" s="127" t="n"/>
    </row>
    <row r="863" ht="15" customHeight="1" s="73">
      <c r="A863" s="124" t="n"/>
      <c r="B863" s="125" t="n"/>
      <c r="C863" s="126" t="n"/>
      <c r="D863" s="127" t="n"/>
      <c r="E863" s="127" t="n"/>
      <c r="F863" s="127" t="n"/>
      <c r="G863" s="127" t="n"/>
      <c r="H863" s="127" t="n"/>
      <c r="I863" s="127" t="n"/>
    </row>
    <row r="864" ht="15" customHeight="1" s="73">
      <c r="A864" s="124" t="n"/>
      <c r="B864" s="125" t="n"/>
      <c r="C864" s="126" t="n"/>
      <c r="D864" s="127" t="n"/>
      <c r="E864" s="127" t="n"/>
      <c r="F864" s="127" t="n"/>
      <c r="G864" s="127" t="n"/>
      <c r="H864" s="127" t="n"/>
      <c r="I864" s="127" t="n"/>
    </row>
    <row r="865" ht="15" customHeight="1" s="73">
      <c r="A865" s="124" t="n"/>
      <c r="B865" s="125" t="n"/>
      <c r="C865" s="126" t="n"/>
      <c r="D865" s="127" t="n"/>
      <c r="E865" s="127" t="n"/>
      <c r="F865" s="127" t="n"/>
      <c r="G865" s="127" t="n"/>
      <c r="H865" s="127" t="n"/>
      <c r="I865" s="127" t="n"/>
    </row>
    <row r="866" ht="15" customHeight="1" s="73">
      <c r="A866" s="124" t="n"/>
      <c r="B866" s="125" t="n"/>
      <c r="C866" s="126" t="n"/>
      <c r="D866" s="127" t="n"/>
      <c r="E866" s="127" t="n"/>
      <c r="F866" s="127" t="n"/>
      <c r="G866" s="127" t="n"/>
      <c r="H866" s="127" t="n"/>
      <c r="I866" s="127" t="n"/>
    </row>
    <row r="867" ht="15" customHeight="1" s="73">
      <c r="A867" s="124" t="n"/>
      <c r="B867" s="125" t="n"/>
      <c r="C867" s="126" t="n"/>
      <c r="D867" s="127" t="n"/>
      <c r="E867" s="127" t="n"/>
      <c r="F867" s="127" t="n"/>
      <c r="G867" s="127" t="n"/>
      <c r="H867" s="127" t="n"/>
      <c r="I867" s="127" t="n"/>
    </row>
    <row r="868" ht="15" customHeight="1" s="73">
      <c r="A868" s="124" t="n"/>
      <c r="B868" s="125" t="n"/>
      <c r="C868" s="126" t="n"/>
      <c r="D868" s="127" t="n"/>
      <c r="E868" s="127" t="n"/>
      <c r="F868" s="127" t="n"/>
      <c r="G868" s="127" t="n"/>
      <c r="H868" s="127" t="n"/>
      <c r="I868" s="127" t="n"/>
    </row>
    <row r="869" ht="15" customHeight="1" s="73">
      <c r="A869" s="124" t="n"/>
      <c r="B869" s="125" t="n"/>
      <c r="C869" s="126" t="n"/>
      <c r="D869" s="127" t="n"/>
      <c r="E869" s="127" t="n"/>
      <c r="F869" s="127" t="n"/>
      <c r="G869" s="127" t="n"/>
      <c r="H869" s="127" t="n"/>
      <c r="I869" s="127" t="n"/>
    </row>
    <row r="870" ht="15" customHeight="1" s="73">
      <c r="A870" s="124" t="n"/>
      <c r="B870" s="125" t="n"/>
      <c r="C870" s="126" t="n"/>
      <c r="D870" s="127" t="n"/>
      <c r="E870" s="127" t="n"/>
      <c r="F870" s="127" t="n"/>
      <c r="G870" s="127" t="n"/>
      <c r="H870" s="127" t="n"/>
      <c r="I870" s="127" t="n"/>
    </row>
    <row r="871" ht="15" customHeight="1" s="73">
      <c r="A871" s="124" t="n"/>
      <c r="B871" s="125" t="n"/>
      <c r="C871" s="126" t="n"/>
      <c r="D871" s="127" t="n"/>
      <c r="E871" s="127" t="n"/>
      <c r="F871" s="127" t="n"/>
      <c r="G871" s="127" t="n"/>
      <c r="H871" s="127" t="n"/>
      <c r="I871" s="127" t="n"/>
    </row>
    <row r="872" ht="15" customHeight="1" s="73">
      <c r="A872" s="124" t="n"/>
      <c r="B872" s="125" t="n"/>
      <c r="C872" s="126" t="n"/>
      <c r="D872" s="127" t="n"/>
      <c r="E872" s="127" t="n"/>
      <c r="F872" s="127" t="n"/>
      <c r="G872" s="127" t="n"/>
      <c r="H872" s="127" t="n"/>
      <c r="I872" s="127" t="n"/>
    </row>
    <row r="873" ht="15" customHeight="1" s="73">
      <c r="A873" s="124" t="n"/>
      <c r="B873" s="125" t="n"/>
      <c r="C873" s="126" t="n"/>
      <c r="D873" s="127" t="n"/>
      <c r="E873" s="127" t="n"/>
      <c r="F873" s="127" t="n"/>
      <c r="G873" s="127" t="n"/>
      <c r="H873" s="127" t="n"/>
      <c r="I873" s="127" t="n"/>
    </row>
    <row r="874" ht="15" customHeight="1" s="73">
      <c r="A874" s="124" t="n"/>
      <c r="B874" s="125" t="n"/>
      <c r="C874" s="126" t="n"/>
      <c r="D874" s="127" t="n"/>
      <c r="E874" s="127" t="n"/>
      <c r="F874" s="127" t="n"/>
      <c r="G874" s="127" t="n"/>
      <c r="H874" s="127" t="n"/>
      <c r="I874" s="127" t="n"/>
    </row>
    <row r="875" ht="15" customHeight="1" s="73">
      <c r="A875" s="124" t="n"/>
      <c r="B875" s="125" t="n"/>
      <c r="C875" s="126" t="n"/>
      <c r="D875" s="127" t="n"/>
      <c r="E875" s="127" t="n"/>
      <c r="F875" s="127" t="n"/>
      <c r="G875" s="127" t="n"/>
      <c r="H875" s="127" t="n"/>
      <c r="I875" s="127" t="n"/>
    </row>
    <row r="876" ht="15" customHeight="1" s="73">
      <c r="A876" s="124" t="n"/>
      <c r="B876" s="125" t="n"/>
      <c r="C876" s="126" t="n"/>
      <c r="D876" s="127" t="n"/>
      <c r="E876" s="127" t="n"/>
      <c r="F876" s="127" t="n"/>
      <c r="G876" s="127" t="n"/>
      <c r="H876" s="127" t="n"/>
      <c r="I876" s="127" t="n"/>
    </row>
    <row r="877" ht="15" customHeight="1" s="73">
      <c r="A877" s="124" t="n"/>
      <c r="B877" s="125" t="n"/>
      <c r="C877" s="126" t="n"/>
      <c r="D877" s="127" t="n"/>
      <c r="E877" s="127" t="n"/>
      <c r="F877" s="127" t="n"/>
      <c r="G877" s="127" t="n"/>
      <c r="H877" s="127" t="n"/>
      <c r="I877" s="127" t="n"/>
    </row>
    <row r="878" ht="15" customHeight="1" s="73">
      <c r="A878" s="124" t="n"/>
      <c r="B878" s="125" t="n"/>
      <c r="C878" s="126" t="n"/>
      <c r="D878" s="127" t="n"/>
      <c r="E878" s="127" t="n"/>
      <c r="F878" s="127" t="n"/>
      <c r="G878" s="127" t="n"/>
      <c r="H878" s="127" t="n"/>
      <c r="I878" s="127" t="n"/>
    </row>
    <row r="879" ht="15" customHeight="1" s="73">
      <c r="A879" s="124" t="n"/>
      <c r="B879" s="125" t="n"/>
      <c r="C879" s="126" t="n"/>
      <c r="D879" s="127" t="n"/>
      <c r="E879" s="127" t="n"/>
      <c r="F879" s="127" t="n"/>
      <c r="G879" s="127" t="n"/>
      <c r="H879" s="127" t="n"/>
      <c r="I879" s="127" t="n"/>
    </row>
    <row r="880" ht="15" customHeight="1" s="73">
      <c r="A880" s="124" t="n"/>
      <c r="B880" s="125" t="n"/>
      <c r="C880" s="126" t="n"/>
      <c r="D880" s="127" t="n"/>
      <c r="E880" s="127" t="n"/>
      <c r="F880" s="127" t="n"/>
      <c r="G880" s="127" t="n"/>
      <c r="H880" s="127" t="n"/>
      <c r="I880" s="127" t="n"/>
    </row>
    <row r="881" ht="15" customHeight="1" s="73">
      <c r="A881" s="124" t="n"/>
      <c r="B881" s="125" t="n"/>
      <c r="C881" s="126" t="n"/>
      <c r="D881" s="127" t="n"/>
      <c r="E881" s="127" t="n"/>
      <c r="F881" s="127" t="n"/>
      <c r="G881" s="127" t="n"/>
      <c r="H881" s="127" t="n"/>
      <c r="I881" s="127" t="n"/>
    </row>
    <row r="882" ht="15" customHeight="1" s="73">
      <c r="A882" s="124" t="n"/>
      <c r="B882" s="125" t="n"/>
      <c r="C882" s="126" t="n"/>
      <c r="D882" s="127" t="n"/>
      <c r="E882" s="127" t="n"/>
      <c r="F882" s="127" t="n"/>
      <c r="G882" s="127" t="n"/>
      <c r="H882" s="127" t="n"/>
      <c r="I882" s="127" t="n"/>
    </row>
    <row r="883" ht="15" customHeight="1" s="73">
      <c r="A883" s="124" t="n"/>
      <c r="B883" s="125" t="n"/>
      <c r="C883" s="126" t="n"/>
      <c r="D883" s="127" t="n"/>
      <c r="E883" s="127" t="n"/>
      <c r="F883" s="127" t="n"/>
      <c r="G883" s="127" t="n"/>
      <c r="H883" s="127" t="n"/>
      <c r="I883" s="127" t="n"/>
    </row>
    <row r="884" ht="15" customHeight="1" s="73">
      <c r="A884" s="124" t="n"/>
      <c r="B884" s="125" t="n"/>
      <c r="C884" s="126" t="n"/>
      <c r="D884" s="127" t="n"/>
      <c r="E884" s="127" t="n"/>
      <c r="F884" s="127" t="n"/>
      <c r="G884" s="127" t="n"/>
      <c r="H884" s="127" t="n"/>
      <c r="I884" s="127" t="n"/>
    </row>
    <row r="885" ht="15" customHeight="1" s="73">
      <c r="A885" s="124" t="n"/>
      <c r="B885" s="125" t="n"/>
      <c r="C885" s="126" t="n"/>
      <c r="D885" s="127" t="n"/>
      <c r="E885" s="127" t="n"/>
      <c r="F885" s="127" t="n"/>
      <c r="G885" s="127" t="n"/>
      <c r="H885" s="127" t="n"/>
      <c r="I885" s="127" t="n"/>
    </row>
    <row r="886" ht="15" customHeight="1" s="73">
      <c r="A886" s="124" t="n"/>
      <c r="B886" s="125" t="n"/>
      <c r="C886" s="126" t="n"/>
      <c r="D886" s="127" t="n"/>
      <c r="E886" s="127" t="n"/>
      <c r="F886" s="127" t="n"/>
      <c r="G886" s="127" t="n"/>
      <c r="H886" s="127" t="n"/>
      <c r="I886" s="127" t="n"/>
    </row>
    <row r="887" ht="15" customHeight="1" s="73">
      <c r="A887" s="124" t="n"/>
      <c r="B887" s="125" t="n"/>
      <c r="C887" s="126" t="n"/>
      <c r="D887" s="127" t="n"/>
      <c r="E887" s="127" t="n"/>
      <c r="F887" s="127" t="n"/>
      <c r="G887" s="127" t="n"/>
      <c r="H887" s="127" t="n"/>
      <c r="I887" s="127" t="n"/>
    </row>
    <row r="888" ht="15" customHeight="1" s="73">
      <c r="A888" s="124" t="n"/>
      <c r="B888" s="125" t="n"/>
      <c r="C888" s="126" t="n"/>
      <c r="D888" s="127" t="n"/>
      <c r="E888" s="127" t="n"/>
      <c r="F888" s="127" t="n"/>
      <c r="G888" s="127" t="n"/>
      <c r="H888" s="127" t="n"/>
      <c r="I888" s="127" t="n"/>
    </row>
    <row r="889" ht="15" customHeight="1" s="73">
      <c r="A889" s="124" t="n"/>
      <c r="B889" s="125" t="n"/>
      <c r="C889" s="126" t="n"/>
      <c r="D889" s="127" t="n"/>
      <c r="E889" s="127" t="n"/>
      <c r="F889" s="127" t="n"/>
      <c r="G889" s="127" t="n"/>
      <c r="H889" s="127" t="n"/>
      <c r="I889" s="127" t="n"/>
    </row>
    <row r="890" ht="15" customHeight="1" s="73">
      <c r="A890" s="124" t="n"/>
      <c r="B890" s="125" t="n"/>
      <c r="C890" s="126" t="n"/>
      <c r="D890" s="127" t="n"/>
      <c r="E890" s="127" t="n"/>
      <c r="F890" s="127" t="n"/>
      <c r="G890" s="127" t="n"/>
      <c r="H890" s="127" t="n"/>
      <c r="I890" s="127" t="n"/>
    </row>
    <row r="891" ht="15" customHeight="1" s="73">
      <c r="A891" s="124" t="n"/>
      <c r="B891" s="125" t="n"/>
      <c r="C891" s="126" t="n"/>
      <c r="D891" s="127" t="n"/>
      <c r="E891" s="127" t="n"/>
      <c r="F891" s="127" t="n"/>
      <c r="G891" s="127" t="n"/>
      <c r="H891" s="127" t="n"/>
      <c r="I891" s="127" t="n"/>
    </row>
    <row r="892" ht="15" customHeight="1" s="73">
      <c r="A892" s="124" t="n"/>
      <c r="B892" s="125" t="n"/>
      <c r="C892" s="126" t="n"/>
      <c r="D892" s="127" t="n"/>
      <c r="E892" s="127" t="n"/>
      <c r="F892" s="127" t="n"/>
      <c r="G892" s="127" t="n"/>
      <c r="H892" s="127" t="n"/>
      <c r="I892" s="127" t="n"/>
    </row>
    <row r="893" ht="15" customHeight="1" s="73">
      <c r="A893" s="124" t="n"/>
      <c r="B893" s="125" t="n"/>
      <c r="C893" s="126" t="n"/>
      <c r="D893" s="127" t="n"/>
      <c r="E893" s="127" t="n"/>
      <c r="F893" s="127" t="n"/>
      <c r="G893" s="127" t="n"/>
      <c r="H893" s="127" t="n"/>
      <c r="I893" s="127" t="n"/>
    </row>
    <row r="894" ht="15" customHeight="1" s="73">
      <c r="A894" s="124" t="n"/>
      <c r="B894" s="125" t="n"/>
      <c r="C894" s="126" t="n"/>
      <c r="D894" s="127" t="n"/>
      <c r="E894" s="127" t="n"/>
      <c r="F894" s="127" t="n"/>
      <c r="G894" s="127" t="n"/>
      <c r="H894" s="127" t="n"/>
      <c r="I894" s="127" t="n"/>
    </row>
    <row r="895" ht="15" customHeight="1" s="73">
      <c r="A895" s="124" t="n"/>
      <c r="B895" s="125" t="n"/>
      <c r="C895" s="126" t="n"/>
      <c r="D895" s="127" t="n"/>
      <c r="E895" s="127" t="n"/>
      <c r="F895" s="127" t="n"/>
      <c r="G895" s="127" t="n"/>
      <c r="H895" s="127" t="n"/>
      <c r="I895" s="127" t="n"/>
    </row>
    <row r="896" ht="15" customHeight="1" s="73">
      <c r="A896" s="124" t="n"/>
      <c r="B896" s="125" t="n"/>
      <c r="C896" s="126" t="n"/>
      <c r="D896" s="127" t="n"/>
      <c r="E896" s="127" t="n"/>
      <c r="F896" s="127" t="n"/>
      <c r="G896" s="127" t="n"/>
      <c r="H896" s="127" t="n"/>
      <c r="I896" s="127" t="n"/>
    </row>
    <row r="897" ht="15" customHeight="1" s="73">
      <c r="A897" s="124" t="n"/>
      <c r="B897" s="125" t="n"/>
      <c r="C897" s="126" t="n"/>
      <c r="D897" s="127" t="n"/>
      <c r="E897" s="127" t="n"/>
      <c r="F897" s="127" t="n"/>
      <c r="G897" s="127" t="n"/>
      <c r="H897" s="127" t="n"/>
      <c r="I897" s="127" t="n"/>
    </row>
    <row r="898" ht="15" customHeight="1" s="73">
      <c r="A898" s="124" t="n"/>
      <c r="B898" s="125" t="n"/>
      <c r="C898" s="126" t="n"/>
      <c r="D898" s="127" t="n"/>
      <c r="E898" s="127" t="n"/>
      <c r="F898" s="127" t="n"/>
      <c r="G898" s="127" t="n"/>
      <c r="H898" s="127" t="n"/>
      <c r="I898" s="127" t="n"/>
    </row>
    <row r="899" ht="15" customHeight="1" s="73">
      <c r="A899" s="124" t="n"/>
      <c r="B899" s="125" t="n"/>
      <c r="C899" s="126" t="n"/>
      <c r="D899" s="127" t="n"/>
      <c r="E899" s="127" t="n"/>
      <c r="F899" s="127" t="n"/>
      <c r="G899" s="127" t="n"/>
      <c r="H899" s="127" t="n"/>
      <c r="I899" s="127" t="n"/>
    </row>
    <row r="900" ht="15" customHeight="1" s="73">
      <c r="A900" s="124" t="n"/>
      <c r="B900" s="125" t="n"/>
      <c r="C900" s="126" t="n"/>
      <c r="D900" s="127" t="n"/>
      <c r="E900" s="127" t="n"/>
      <c r="F900" s="127" t="n"/>
      <c r="G900" s="127" t="n"/>
      <c r="H900" s="127" t="n"/>
      <c r="I900" s="127" t="n"/>
    </row>
    <row r="901" ht="15" customHeight="1" s="73">
      <c r="A901" s="124" t="n"/>
      <c r="B901" s="125" t="n"/>
      <c r="C901" s="126" t="n"/>
      <c r="D901" s="127" t="n"/>
      <c r="E901" s="127" t="n"/>
      <c r="F901" s="127" t="n"/>
      <c r="G901" s="127" t="n"/>
      <c r="H901" s="127" t="n"/>
      <c r="I901" s="127" t="n"/>
    </row>
    <row r="902" ht="15" customHeight="1" s="73">
      <c r="A902" s="124" t="n"/>
      <c r="B902" s="125" t="n"/>
      <c r="C902" s="126" t="n"/>
      <c r="D902" s="127" t="n"/>
      <c r="E902" s="127" t="n"/>
      <c r="F902" s="127" t="n"/>
      <c r="G902" s="127" t="n"/>
      <c r="H902" s="127" t="n"/>
      <c r="I902" s="127" t="n"/>
    </row>
    <row r="903" ht="15" customHeight="1" s="73">
      <c r="A903" s="124" t="n"/>
      <c r="B903" s="125" t="n"/>
      <c r="C903" s="126" t="n"/>
      <c r="D903" s="127" t="n"/>
      <c r="E903" s="127" t="n"/>
      <c r="F903" s="127" t="n"/>
      <c r="G903" s="127" t="n"/>
      <c r="H903" s="127" t="n"/>
      <c r="I903" s="127" t="n"/>
    </row>
    <row r="904" ht="15" customHeight="1" s="73">
      <c r="A904" s="124" t="n"/>
      <c r="B904" s="125" t="n"/>
      <c r="C904" s="126" t="n"/>
      <c r="D904" s="127" t="n"/>
      <c r="E904" s="127" t="n"/>
      <c r="F904" s="127" t="n"/>
      <c r="G904" s="127" t="n"/>
      <c r="H904" s="127" t="n"/>
      <c r="I904" s="127" t="n"/>
    </row>
    <row r="905" ht="15" customHeight="1" s="73">
      <c r="A905" s="124" t="n"/>
      <c r="B905" s="125" t="n"/>
      <c r="C905" s="126" t="n"/>
      <c r="D905" s="127" t="n"/>
      <c r="E905" s="127" t="n"/>
      <c r="F905" s="127" t="n"/>
      <c r="G905" s="127" t="n"/>
      <c r="H905" s="127" t="n"/>
      <c r="I905" s="127" t="n"/>
    </row>
    <row r="906" ht="15" customHeight="1" s="73">
      <c r="A906" s="124" t="n"/>
      <c r="B906" s="125" t="n"/>
      <c r="C906" s="126" t="n"/>
      <c r="D906" s="127" t="n"/>
      <c r="E906" s="127" t="n"/>
      <c r="F906" s="127" t="n"/>
      <c r="G906" s="127" t="n"/>
      <c r="H906" s="127" t="n"/>
      <c r="I906" s="127" t="n"/>
    </row>
    <row r="907" ht="15" customHeight="1" s="73">
      <c r="A907" s="124" t="n"/>
      <c r="B907" s="125" t="n"/>
      <c r="C907" s="126" t="n"/>
      <c r="D907" s="127" t="n"/>
      <c r="E907" s="127" t="n"/>
      <c r="F907" s="127" t="n"/>
      <c r="G907" s="127" t="n"/>
      <c r="H907" s="127" t="n"/>
      <c r="I907" s="127" t="n"/>
    </row>
    <row r="908" ht="15" customHeight="1" s="73">
      <c r="A908" s="124" t="n"/>
      <c r="B908" s="125" t="n"/>
      <c r="C908" s="126" t="n"/>
      <c r="D908" s="127" t="n"/>
      <c r="E908" s="127" t="n"/>
      <c r="F908" s="127" t="n"/>
      <c r="G908" s="127" t="n"/>
      <c r="H908" s="127" t="n"/>
      <c r="I908" s="127" t="n"/>
    </row>
    <row r="909" ht="15" customHeight="1" s="73">
      <c r="A909" s="124" t="n"/>
      <c r="B909" s="125" t="n"/>
      <c r="C909" s="126" t="n"/>
      <c r="D909" s="127" t="n"/>
      <c r="E909" s="127" t="n"/>
      <c r="F909" s="127" t="n"/>
      <c r="G909" s="127" t="n"/>
      <c r="H909" s="127" t="n"/>
      <c r="I909" s="127" t="n"/>
    </row>
    <row r="910" ht="15" customHeight="1" s="73">
      <c r="A910" s="124" t="n"/>
      <c r="B910" s="125" t="n"/>
      <c r="C910" s="126" t="n"/>
      <c r="D910" s="127" t="n"/>
      <c r="E910" s="127" t="n"/>
      <c r="F910" s="127" t="n"/>
      <c r="G910" s="127" t="n"/>
      <c r="H910" s="127" t="n"/>
      <c r="I910" s="127" t="n"/>
    </row>
    <row r="911" ht="15" customHeight="1" s="73">
      <c r="A911" s="124" t="n"/>
      <c r="B911" s="125" t="n"/>
      <c r="C911" s="126" t="n"/>
      <c r="D911" s="127" t="n"/>
      <c r="E911" s="127" t="n"/>
      <c r="F911" s="127" t="n"/>
      <c r="G911" s="127" t="n"/>
      <c r="H911" s="127" t="n"/>
      <c r="I911" s="127" t="n"/>
    </row>
    <row r="912" ht="15" customHeight="1" s="73">
      <c r="A912" s="124" t="n"/>
      <c r="B912" s="125" t="n"/>
      <c r="C912" s="126" t="n"/>
      <c r="D912" s="127" t="n"/>
      <c r="E912" s="127" t="n"/>
      <c r="F912" s="127" t="n"/>
      <c r="G912" s="127" t="n"/>
      <c r="H912" s="127" t="n"/>
      <c r="I912" s="127" t="n"/>
    </row>
    <row r="913" ht="15" customHeight="1" s="73">
      <c r="A913" s="124" t="n"/>
      <c r="B913" s="125" t="n"/>
      <c r="C913" s="126" t="n"/>
      <c r="D913" s="127" t="n"/>
      <c r="E913" s="127" t="n"/>
      <c r="F913" s="127" t="n"/>
      <c r="G913" s="127" t="n"/>
      <c r="H913" s="127" t="n"/>
      <c r="I913" s="127" t="n"/>
    </row>
    <row r="914" ht="15" customHeight="1" s="73">
      <c r="A914" s="124" t="n"/>
      <c r="B914" s="125" t="n"/>
      <c r="C914" s="126" t="n"/>
      <c r="D914" s="127" t="n"/>
      <c r="E914" s="127" t="n"/>
      <c r="F914" s="127" t="n"/>
      <c r="G914" s="127" t="n"/>
      <c r="H914" s="127" t="n"/>
      <c r="I914" s="127" t="n"/>
    </row>
    <row r="915" ht="15" customHeight="1" s="73">
      <c r="A915" s="124" t="n"/>
      <c r="B915" s="125" t="n"/>
      <c r="C915" s="126" t="n"/>
      <c r="D915" s="127" t="n"/>
      <c r="E915" s="127" t="n"/>
      <c r="F915" s="127" t="n"/>
      <c r="G915" s="127" t="n"/>
      <c r="H915" s="127" t="n"/>
      <c r="I915" s="127" t="n"/>
    </row>
    <row r="916" ht="15" customHeight="1" s="73">
      <c r="A916" s="124" t="n"/>
      <c r="B916" s="125" t="n"/>
      <c r="C916" s="126" t="n"/>
      <c r="D916" s="127" t="n"/>
      <c r="E916" s="127" t="n"/>
      <c r="F916" s="127" t="n"/>
      <c r="G916" s="127" t="n"/>
      <c r="H916" s="127" t="n"/>
      <c r="I916" s="127" t="n"/>
    </row>
    <row r="917" ht="15" customHeight="1" s="73">
      <c r="A917" s="124" t="n"/>
      <c r="B917" s="125" t="n"/>
      <c r="C917" s="126" t="n"/>
      <c r="D917" s="127" t="n"/>
      <c r="E917" s="127" t="n"/>
      <c r="F917" s="127" t="n"/>
      <c r="G917" s="127" t="n"/>
      <c r="H917" s="127" t="n"/>
      <c r="I917" s="127" t="n"/>
    </row>
    <row r="918" ht="15" customHeight="1" s="73">
      <c r="A918" s="124" t="n"/>
      <c r="B918" s="125" t="n"/>
      <c r="C918" s="126" t="n"/>
      <c r="D918" s="127" t="n"/>
      <c r="E918" s="127" t="n"/>
      <c r="F918" s="127" t="n"/>
      <c r="G918" s="127" t="n"/>
      <c r="H918" s="127" t="n"/>
      <c r="I918" s="127" t="n"/>
    </row>
    <row r="919" ht="15" customHeight="1" s="73">
      <c r="A919" s="124" t="n"/>
      <c r="B919" s="125" t="n"/>
      <c r="C919" s="126" t="n"/>
      <c r="D919" s="127" t="n"/>
      <c r="E919" s="127" t="n"/>
      <c r="F919" s="127" t="n"/>
      <c r="G919" s="127" t="n"/>
      <c r="H919" s="127" t="n"/>
      <c r="I919" s="127" t="n"/>
    </row>
    <row r="920" ht="15" customHeight="1" s="73">
      <c r="A920" s="124" t="n"/>
      <c r="B920" s="125" t="n"/>
      <c r="C920" s="126" t="n"/>
      <c r="D920" s="127" t="n"/>
      <c r="E920" s="127" t="n"/>
      <c r="F920" s="127" t="n"/>
      <c r="G920" s="127" t="n"/>
      <c r="H920" s="127" t="n"/>
      <c r="I920" s="127" t="n"/>
    </row>
    <row r="921" ht="15" customHeight="1" s="73">
      <c r="A921" s="124" t="n"/>
      <c r="B921" s="125" t="n"/>
      <c r="C921" s="126" t="n"/>
      <c r="D921" s="127" t="n"/>
      <c r="E921" s="127" t="n"/>
      <c r="F921" s="127" t="n"/>
      <c r="G921" s="127" t="n"/>
      <c r="H921" s="127" t="n"/>
      <c r="I921" s="127" t="n"/>
    </row>
    <row r="922" ht="15" customHeight="1" s="73">
      <c r="A922" s="124" t="n"/>
      <c r="B922" s="125" t="n"/>
      <c r="C922" s="126" t="n"/>
      <c r="D922" s="127" t="n"/>
      <c r="E922" s="127" t="n"/>
      <c r="F922" s="127" t="n"/>
      <c r="G922" s="127" t="n"/>
      <c r="H922" s="127" t="n"/>
      <c r="I922" s="127" t="n"/>
    </row>
    <row r="923" ht="15" customHeight="1" s="73">
      <c r="A923" s="124" t="n"/>
      <c r="B923" s="125" t="n"/>
      <c r="C923" s="126" t="n"/>
      <c r="D923" s="127" t="n"/>
      <c r="E923" s="127" t="n"/>
      <c r="F923" s="127" t="n"/>
      <c r="G923" s="127" t="n"/>
      <c r="H923" s="127" t="n"/>
      <c r="I923" s="127" t="n"/>
    </row>
    <row r="924" ht="15" customHeight="1" s="73">
      <c r="A924" s="124" t="n"/>
      <c r="B924" s="125" t="n"/>
      <c r="C924" s="126" t="n"/>
      <c r="D924" s="127" t="n"/>
      <c r="E924" s="127" t="n"/>
      <c r="F924" s="127" t="n"/>
      <c r="G924" s="127" t="n"/>
      <c r="H924" s="127" t="n"/>
      <c r="I924" s="127" t="n"/>
    </row>
    <row r="925" ht="15" customHeight="1" s="73">
      <c r="A925" s="124" t="n"/>
      <c r="B925" s="125" t="n"/>
      <c r="C925" s="126" t="n"/>
      <c r="D925" s="127" t="n"/>
      <c r="E925" s="127" t="n"/>
      <c r="F925" s="127" t="n"/>
      <c r="G925" s="127" t="n"/>
      <c r="H925" s="127" t="n"/>
      <c r="I925" s="127" t="n"/>
    </row>
    <row r="926" ht="15" customHeight="1" s="73">
      <c r="A926" s="124" t="n"/>
      <c r="B926" s="125" t="n"/>
      <c r="C926" s="126" t="n"/>
      <c r="D926" s="127" t="n"/>
      <c r="E926" s="127" t="n"/>
      <c r="F926" s="127" t="n"/>
      <c r="G926" s="127" t="n"/>
      <c r="H926" s="127" t="n"/>
      <c r="I926" s="127" t="n"/>
    </row>
    <row r="927" ht="15" customHeight="1" s="73">
      <c r="A927" s="124" t="n"/>
      <c r="B927" s="125" t="n"/>
      <c r="C927" s="126" t="n"/>
      <c r="D927" s="127" t="n"/>
      <c r="E927" s="127" t="n"/>
      <c r="F927" s="127" t="n"/>
      <c r="G927" s="127" t="n"/>
      <c r="H927" s="127" t="n"/>
      <c r="I927" s="127" t="n"/>
    </row>
    <row r="928" ht="15" customHeight="1" s="73">
      <c r="A928" s="124" t="n"/>
      <c r="B928" s="125" t="n"/>
      <c r="C928" s="126" t="n"/>
      <c r="D928" s="127" t="n"/>
      <c r="E928" s="127" t="n"/>
      <c r="F928" s="127" t="n"/>
      <c r="G928" s="127" t="n"/>
      <c r="H928" s="127" t="n"/>
      <c r="I928" s="127" t="n"/>
    </row>
    <row r="929" ht="15" customHeight="1" s="73">
      <c r="A929" s="124" t="n"/>
      <c r="B929" s="125" t="n"/>
      <c r="C929" s="126" t="n"/>
      <c r="D929" s="127" t="n"/>
      <c r="E929" s="127" t="n"/>
      <c r="F929" s="127" t="n"/>
      <c r="G929" s="127" t="n"/>
      <c r="H929" s="127" t="n"/>
      <c r="I929" s="127" t="n"/>
    </row>
    <row r="930" ht="15" customHeight="1" s="73">
      <c r="A930" s="124" t="n"/>
      <c r="B930" s="125" t="n"/>
      <c r="C930" s="126" t="n"/>
      <c r="D930" s="127" t="n"/>
      <c r="E930" s="127" t="n"/>
      <c r="F930" s="127" t="n"/>
      <c r="G930" s="127" t="n"/>
      <c r="H930" s="127" t="n"/>
      <c r="I930" s="127" t="n"/>
    </row>
    <row r="931" ht="15" customHeight="1" s="73">
      <c r="A931" s="124" t="n"/>
      <c r="B931" s="125" t="n"/>
      <c r="C931" s="126" t="n"/>
      <c r="D931" s="127" t="n"/>
      <c r="E931" s="127" t="n"/>
      <c r="F931" s="127" t="n"/>
      <c r="G931" s="127" t="n"/>
      <c r="H931" s="127" t="n"/>
      <c r="I931" s="127" t="n"/>
    </row>
    <row r="932" ht="15" customHeight="1" s="73">
      <c r="A932" s="124" t="n"/>
      <c r="B932" s="125" t="n"/>
      <c r="C932" s="126" t="n"/>
      <c r="D932" s="127" t="n"/>
      <c r="E932" s="127" t="n"/>
      <c r="F932" s="127" t="n"/>
      <c r="G932" s="127" t="n"/>
      <c r="H932" s="127" t="n"/>
      <c r="I932" s="127" t="n"/>
    </row>
    <row r="933" ht="15" customHeight="1" s="73">
      <c r="A933" s="124" t="n"/>
      <c r="B933" s="125" t="n"/>
      <c r="C933" s="126" t="n"/>
      <c r="D933" s="127" t="n"/>
      <c r="E933" s="127" t="n"/>
      <c r="F933" s="127" t="n"/>
      <c r="G933" s="127" t="n"/>
      <c r="H933" s="127" t="n"/>
      <c r="I933" s="127" t="n"/>
    </row>
    <row r="934" ht="15" customHeight="1" s="73">
      <c r="A934" s="124" t="n"/>
      <c r="B934" s="125" t="n"/>
      <c r="C934" s="126" t="n"/>
      <c r="D934" s="127" t="n"/>
      <c r="E934" s="127" t="n"/>
      <c r="F934" s="127" t="n"/>
      <c r="G934" s="127" t="n"/>
      <c r="H934" s="127" t="n"/>
      <c r="I934" s="127" t="n"/>
    </row>
    <row r="935" ht="15" customHeight="1" s="73">
      <c r="A935" s="124" t="n"/>
      <c r="B935" s="125" t="n"/>
      <c r="C935" s="126" t="n"/>
      <c r="D935" s="127" t="n"/>
      <c r="E935" s="127" t="n"/>
      <c r="F935" s="127" t="n"/>
      <c r="G935" s="127" t="n"/>
      <c r="H935" s="127" t="n"/>
      <c r="I935" s="127" t="n"/>
    </row>
    <row r="936" ht="15" customHeight="1" s="73">
      <c r="A936" s="124" t="n"/>
      <c r="B936" s="125" t="n"/>
      <c r="C936" s="126" t="n"/>
      <c r="D936" s="127" t="n"/>
      <c r="E936" s="127" t="n"/>
      <c r="F936" s="127" t="n"/>
      <c r="G936" s="127" t="n"/>
      <c r="H936" s="127" t="n"/>
      <c r="I936" s="127" t="n"/>
    </row>
    <row r="937" ht="15" customHeight="1" s="73">
      <c r="A937" s="124" t="n"/>
      <c r="B937" s="125" t="n"/>
      <c r="C937" s="126" t="n"/>
      <c r="D937" s="127" t="n"/>
      <c r="E937" s="127" t="n"/>
      <c r="F937" s="127" t="n"/>
      <c r="G937" s="127" t="n"/>
      <c r="H937" s="127" t="n"/>
      <c r="I937" s="127" t="n"/>
    </row>
    <row r="938" ht="15" customHeight="1" s="73">
      <c r="A938" s="124" t="n"/>
      <c r="B938" s="125" t="n"/>
      <c r="C938" s="126" t="n"/>
      <c r="D938" s="127" t="n"/>
      <c r="E938" s="127" t="n"/>
      <c r="F938" s="127" t="n"/>
      <c r="G938" s="127" t="n"/>
      <c r="H938" s="127" t="n"/>
      <c r="I938" s="127" t="n"/>
    </row>
    <row r="939" ht="15" customHeight="1" s="73">
      <c r="A939" s="124" t="n"/>
      <c r="B939" s="125" t="n"/>
      <c r="C939" s="126" t="n"/>
      <c r="D939" s="127" t="n"/>
      <c r="E939" s="127" t="n"/>
      <c r="F939" s="127" t="n"/>
      <c r="G939" s="127" t="n"/>
      <c r="H939" s="127" t="n"/>
      <c r="I939" s="127" t="n"/>
    </row>
    <row r="940" ht="15" customHeight="1" s="73">
      <c r="A940" s="124" t="n"/>
      <c r="B940" s="125" t="n"/>
      <c r="C940" s="126" t="n"/>
      <c r="D940" s="127" t="n"/>
      <c r="E940" s="127" t="n"/>
      <c r="F940" s="127" t="n"/>
      <c r="G940" s="127" t="n"/>
      <c r="H940" s="127" t="n"/>
      <c r="I940" s="127" t="n"/>
    </row>
    <row r="941" ht="15" customHeight="1" s="73">
      <c r="A941" s="124" t="n"/>
      <c r="B941" s="125" t="n"/>
      <c r="C941" s="126" t="n"/>
      <c r="D941" s="127" t="n"/>
      <c r="E941" s="127" t="n"/>
      <c r="F941" s="127" t="n"/>
      <c r="G941" s="127" t="n"/>
      <c r="H941" s="127" t="n"/>
      <c r="I941" s="127" t="n"/>
    </row>
    <row r="942" ht="15" customHeight="1" s="73">
      <c r="A942" s="124" t="n"/>
      <c r="B942" s="125" t="n"/>
      <c r="C942" s="126" t="n"/>
      <c r="D942" s="127" t="n"/>
      <c r="E942" s="127" t="n"/>
      <c r="F942" s="127" t="n"/>
      <c r="G942" s="127" t="n"/>
      <c r="H942" s="127" t="n"/>
      <c r="I942" s="127" t="n"/>
    </row>
    <row r="943" ht="15" customHeight="1" s="73">
      <c r="A943" s="124" t="n"/>
      <c r="B943" s="125" t="n"/>
      <c r="C943" s="126" t="n"/>
      <c r="D943" s="127" t="n"/>
      <c r="E943" s="127" t="n"/>
      <c r="F943" s="127" t="n"/>
      <c r="G943" s="127" t="n"/>
      <c r="H943" s="127" t="n"/>
      <c r="I943" s="127" t="n"/>
    </row>
    <row r="944" ht="15" customHeight="1" s="73">
      <c r="A944" s="124" t="n"/>
      <c r="B944" s="125" t="n"/>
      <c r="C944" s="126" t="n"/>
      <c r="D944" s="127" t="n"/>
      <c r="E944" s="127" t="n"/>
      <c r="F944" s="127" t="n"/>
      <c r="G944" s="127" t="n"/>
      <c r="H944" s="127" t="n"/>
      <c r="I944" s="127" t="n"/>
    </row>
    <row r="945" ht="15" customHeight="1" s="73">
      <c r="A945" s="124" t="n"/>
      <c r="B945" s="125" t="n"/>
      <c r="C945" s="126" t="n"/>
      <c r="D945" s="127" t="n"/>
      <c r="E945" s="127" t="n"/>
      <c r="F945" s="127" t="n"/>
      <c r="G945" s="127" t="n"/>
      <c r="H945" s="127" t="n"/>
      <c r="I945" s="127" t="n"/>
    </row>
    <row r="946" ht="15" customHeight="1" s="73">
      <c r="A946" s="124" t="n"/>
      <c r="B946" s="125" t="n"/>
      <c r="C946" s="126" t="n"/>
      <c r="D946" s="127" t="n"/>
      <c r="E946" s="127" t="n"/>
      <c r="F946" s="127" t="n"/>
      <c r="G946" s="127" t="n"/>
      <c r="H946" s="127" t="n"/>
      <c r="I946" s="127" t="n"/>
    </row>
    <row r="947" ht="15" customHeight="1" s="73">
      <c r="A947" s="124" t="n"/>
      <c r="B947" s="125" t="n"/>
      <c r="C947" s="126" t="n"/>
      <c r="D947" s="127" t="n"/>
      <c r="E947" s="127" t="n"/>
      <c r="F947" s="127" t="n"/>
      <c r="G947" s="127" t="n"/>
      <c r="H947" s="127" t="n"/>
      <c r="I947" s="127" t="n"/>
    </row>
    <row r="948" ht="15" customHeight="1" s="73">
      <c r="A948" s="124" t="n"/>
      <c r="B948" s="125" t="n"/>
      <c r="C948" s="126" t="n"/>
      <c r="D948" s="127" t="n"/>
      <c r="E948" s="127" t="n"/>
      <c r="F948" s="127" t="n"/>
      <c r="G948" s="127" t="n"/>
      <c r="H948" s="127" t="n"/>
      <c r="I948" s="127" t="n"/>
    </row>
    <row r="949" ht="15" customHeight="1" s="73">
      <c r="A949" s="124" t="n"/>
      <c r="B949" s="125" t="n"/>
      <c r="C949" s="126" t="n"/>
      <c r="D949" s="127" t="n"/>
      <c r="E949" s="127" t="n"/>
      <c r="F949" s="127" t="n"/>
      <c r="G949" s="127" t="n"/>
      <c r="H949" s="127" t="n"/>
      <c r="I949" s="127" t="n"/>
    </row>
    <row r="950" ht="15" customHeight="1" s="73">
      <c r="A950" s="124" t="n"/>
      <c r="B950" s="125" t="n"/>
      <c r="C950" s="126" t="n"/>
      <c r="D950" s="127" t="n"/>
      <c r="E950" s="127" t="n"/>
      <c r="F950" s="127" t="n"/>
      <c r="G950" s="127" t="n"/>
      <c r="H950" s="127" t="n"/>
      <c r="I950" s="127" t="n"/>
    </row>
    <row r="951" ht="15" customHeight="1" s="73">
      <c r="A951" s="124" t="n"/>
      <c r="B951" s="125" t="n"/>
      <c r="C951" s="126" t="n"/>
      <c r="D951" s="127" t="n"/>
      <c r="E951" s="127" t="n"/>
      <c r="F951" s="127" t="n"/>
      <c r="G951" s="127" t="n"/>
      <c r="H951" s="127" t="n"/>
      <c r="I951" s="127" t="n"/>
    </row>
    <row r="952" ht="15" customHeight="1" s="73">
      <c r="A952" s="124" t="n"/>
      <c r="B952" s="125" t="n"/>
      <c r="C952" s="126" t="n"/>
      <c r="D952" s="127" t="n"/>
      <c r="E952" s="127" t="n"/>
      <c r="F952" s="127" t="n"/>
      <c r="G952" s="127" t="n"/>
      <c r="H952" s="127" t="n"/>
      <c r="I952" s="127" t="n"/>
    </row>
    <row r="953" ht="15" customHeight="1" s="73">
      <c r="A953" s="124" t="n"/>
      <c r="B953" s="125" t="n"/>
      <c r="C953" s="126" t="n"/>
      <c r="D953" s="127" t="n"/>
      <c r="E953" s="127" t="n"/>
      <c r="F953" s="127" t="n"/>
      <c r="G953" s="127" t="n"/>
      <c r="H953" s="127" t="n"/>
      <c r="I953" s="127" t="n"/>
    </row>
    <row r="954" ht="15" customHeight="1" s="73">
      <c r="A954" s="124" t="n"/>
      <c r="B954" s="125" t="n"/>
      <c r="C954" s="126" t="n"/>
      <c r="D954" s="127" t="n"/>
      <c r="E954" s="127" t="n"/>
      <c r="F954" s="127" t="n"/>
      <c r="G954" s="127" t="n"/>
      <c r="H954" s="127" t="n"/>
      <c r="I954" s="127" t="n"/>
    </row>
    <row r="955" ht="15" customHeight="1" s="73">
      <c r="A955" s="124" t="n"/>
      <c r="B955" s="125" t="n"/>
      <c r="C955" s="126" t="n"/>
      <c r="D955" s="127" t="n"/>
      <c r="E955" s="127" t="n"/>
      <c r="F955" s="127" t="n"/>
      <c r="G955" s="127" t="n"/>
      <c r="H955" s="127" t="n"/>
      <c r="I955" s="127" t="n"/>
    </row>
    <row r="956" ht="15" customHeight="1" s="73">
      <c r="A956" s="124" t="n"/>
      <c r="B956" s="125" t="n"/>
      <c r="C956" s="126" t="n"/>
      <c r="D956" s="127" t="n"/>
      <c r="E956" s="127" t="n"/>
      <c r="F956" s="127" t="n"/>
      <c r="G956" s="127" t="n"/>
      <c r="H956" s="127" t="n"/>
      <c r="I956" s="127" t="n"/>
    </row>
    <row r="957" ht="15" customHeight="1" s="73">
      <c r="A957" s="124" t="n"/>
      <c r="B957" s="125" t="n"/>
      <c r="C957" s="126" t="n"/>
      <c r="D957" s="127" t="n"/>
      <c r="E957" s="127" t="n"/>
      <c r="F957" s="127" t="n"/>
      <c r="G957" s="127" t="n"/>
      <c r="H957" s="127" t="n"/>
      <c r="I957" s="127" t="n"/>
    </row>
    <row r="958" ht="15" customHeight="1" s="73">
      <c r="A958" s="124" t="n"/>
      <c r="B958" s="125" t="n"/>
      <c r="C958" s="126" t="n"/>
      <c r="D958" s="127" t="n"/>
      <c r="E958" s="127" t="n"/>
      <c r="F958" s="127" t="n"/>
      <c r="G958" s="127" t="n"/>
      <c r="H958" s="127" t="n"/>
      <c r="I958" s="127" t="n"/>
    </row>
    <row r="959" ht="15" customHeight="1" s="73">
      <c r="A959" s="124" t="n"/>
      <c r="B959" s="125" t="n"/>
      <c r="C959" s="126" t="n"/>
      <c r="D959" s="127" t="n"/>
      <c r="E959" s="127" t="n"/>
      <c r="F959" s="127" t="n"/>
      <c r="G959" s="127" t="n"/>
      <c r="H959" s="127" t="n"/>
      <c r="I959" s="127" t="n"/>
    </row>
    <row r="960" ht="15" customHeight="1" s="73">
      <c r="A960" s="124" t="n"/>
      <c r="B960" s="125" t="n"/>
      <c r="C960" s="126" t="n"/>
      <c r="D960" s="127" t="n"/>
      <c r="E960" s="127" t="n"/>
      <c r="F960" s="127" t="n"/>
      <c r="G960" s="127" t="n"/>
      <c r="H960" s="127" t="n"/>
      <c r="I960" s="127" t="n"/>
    </row>
    <row r="961" ht="15" customHeight="1" s="73">
      <c r="A961" s="124" t="n"/>
      <c r="B961" s="125" t="n"/>
      <c r="C961" s="126" t="n"/>
      <c r="D961" s="127" t="n"/>
      <c r="E961" s="127" t="n"/>
      <c r="F961" s="127" t="n"/>
      <c r="G961" s="127" t="n"/>
      <c r="H961" s="127" t="n"/>
      <c r="I961" s="127" t="n"/>
    </row>
    <row r="962" ht="15" customHeight="1" s="73">
      <c r="A962" s="124" t="n"/>
      <c r="B962" s="125" t="n"/>
      <c r="C962" s="126" t="n"/>
      <c r="D962" s="127" t="n"/>
      <c r="E962" s="127" t="n"/>
      <c r="F962" s="127" t="n"/>
      <c r="G962" s="127" t="n"/>
      <c r="H962" s="127" t="n"/>
      <c r="I962" s="127" t="n"/>
    </row>
    <row r="963" ht="15" customHeight="1" s="73">
      <c r="A963" s="124" t="n"/>
      <c r="B963" s="125" t="n"/>
      <c r="C963" s="126" t="n"/>
      <c r="D963" s="127" t="n"/>
      <c r="E963" s="127" t="n"/>
      <c r="F963" s="127" t="n"/>
      <c r="G963" s="127" t="n"/>
      <c r="H963" s="127" t="n"/>
      <c r="I963" s="127" t="n"/>
    </row>
    <row r="964" ht="15" customHeight="1" s="73">
      <c r="A964" s="124" t="n"/>
      <c r="B964" s="125" t="n"/>
      <c r="C964" s="126" t="n"/>
      <c r="D964" s="127" t="n"/>
      <c r="E964" s="127" t="n"/>
      <c r="F964" s="127" t="n"/>
      <c r="G964" s="127" t="n"/>
      <c r="H964" s="127" t="n"/>
      <c r="I964" s="127" t="n"/>
    </row>
    <row r="965" ht="15" customHeight="1" s="73">
      <c r="A965" s="124" t="n"/>
      <c r="B965" s="125" t="n"/>
      <c r="C965" s="126" t="n"/>
      <c r="D965" s="127" t="n"/>
      <c r="E965" s="127" t="n"/>
      <c r="F965" s="127" t="n"/>
      <c r="G965" s="127" t="n"/>
      <c r="H965" s="127" t="n"/>
      <c r="I965" s="127" t="n"/>
    </row>
    <row r="966" ht="15" customHeight="1" s="73">
      <c r="A966" s="124" t="n"/>
      <c r="B966" s="125" t="n"/>
      <c r="C966" s="126" t="n"/>
      <c r="D966" s="127" t="n"/>
      <c r="E966" s="127" t="n"/>
      <c r="F966" s="127" t="n"/>
      <c r="G966" s="127" t="n"/>
      <c r="H966" s="127" t="n"/>
      <c r="I966" s="127" t="n"/>
    </row>
    <row r="967" ht="15" customHeight="1" s="73">
      <c r="A967" s="124" t="n"/>
      <c r="B967" s="125" t="n"/>
      <c r="C967" s="126" t="n"/>
      <c r="D967" s="127" t="n"/>
      <c r="E967" s="127" t="n"/>
      <c r="F967" s="127" t="n"/>
      <c r="G967" s="127" t="n"/>
      <c r="H967" s="127" t="n"/>
      <c r="I967" s="127" t="n"/>
    </row>
    <row r="968" ht="15" customHeight="1" s="73">
      <c r="A968" s="124" t="n"/>
      <c r="B968" s="125" t="n"/>
      <c r="C968" s="126" t="n"/>
      <c r="D968" s="127" t="n"/>
      <c r="E968" s="127" t="n"/>
      <c r="F968" s="127" t="n"/>
      <c r="G968" s="127" t="n"/>
      <c r="H968" s="127" t="n"/>
      <c r="I968" s="127" t="n"/>
    </row>
    <row r="969" ht="15" customHeight="1" s="73">
      <c r="A969" s="124" t="n"/>
      <c r="B969" s="125" t="n"/>
      <c r="C969" s="126" t="n"/>
      <c r="D969" s="127" t="n"/>
      <c r="E969" s="127" t="n"/>
      <c r="F969" s="127" t="n"/>
      <c r="G969" s="127" t="n"/>
      <c r="H969" s="127" t="n"/>
      <c r="I969" s="127" t="n"/>
    </row>
    <row r="970" ht="15" customHeight="1" s="73">
      <c r="A970" s="124" t="n"/>
      <c r="B970" s="125" t="n"/>
      <c r="C970" s="126" t="n"/>
      <c r="D970" s="127" t="n"/>
      <c r="E970" s="127" t="n"/>
      <c r="F970" s="127" t="n"/>
      <c r="G970" s="127" t="n"/>
      <c r="H970" s="127" t="n"/>
      <c r="I970" s="127" t="n"/>
    </row>
    <row r="971" ht="15" customHeight="1" s="73">
      <c r="A971" s="124" t="n"/>
      <c r="B971" s="125" t="n"/>
      <c r="C971" s="126" t="n"/>
      <c r="D971" s="127" t="n"/>
      <c r="E971" s="127" t="n"/>
      <c r="F971" s="127" t="n"/>
      <c r="G971" s="127" t="n"/>
      <c r="H971" s="127" t="n"/>
      <c r="I971" s="127" t="n"/>
    </row>
    <row r="972" ht="15" customHeight="1" s="73">
      <c r="A972" s="124" t="n"/>
      <c r="B972" s="125" t="n"/>
      <c r="C972" s="126" t="n"/>
      <c r="D972" s="127" t="n"/>
      <c r="E972" s="127" t="n"/>
      <c r="F972" s="127" t="n"/>
      <c r="G972" s="127" t="n"/>
      <c r="H972" s="127" t="n"/>
      <c r="I972" s="127" t="n"/>
    </row>
    <row r="973" ht="15" customHeight="1" s="73">
      <c r="A973" s="124" t="n"/>
      <c r="B973" s="125" t="n"/>
      <c r="C973" s="126" t="n"/>
      <c r="D973" s="127" t="n"/>
      <c r="E973" s="127" t="n"/>
      <c r="F973" s="127" t="n"/>
      <c r="G973" s="127" t="n"/>
      <c r="H973" s="127" t="n"/>
      <c r="I973" s="127" t="n"/>
    </row>
    <row r="974" ht="15" customHeight="1" s="73">
      <c r="A974" s="124" t="n"/>
      <c r="B974" s="125" t="n"/>
      <c r="C974" s="126" t="n"/>
      <c r="D974" s="127" t="n"/>
      <c r="E974" s="127" t="n"/>
      <c r="F974" s="127" t="n"/>
      <c r="G974" s="127" t="n"/>
      <c r="H974" s="127" t="n"/>
      <c r="I974" s="127" t="n"/>
    </row>
    <row r="975" ht="15" customHeight="1" s="73">
      <c r="A975" s="124" t="n"/>
      <c r="B975" s="125" t="n"/>
      <c r="C975" s="126" t="n"/>
      <c r="D975" s="127" t="n"/>
      <c r="E975" s="127" t="n"/>
      <c r="F975" s="127" t="n"/>
      <c r="G975" s="127" t="n"/>
      <c r="H975" s="127" t="n"/>
      <c r="I975" s="127" t="n"/>
    </row>
    <row r="976" ht="15" customHeight="1" s="73">
      <c r="A976" s="124" t="n"/>
      <c r="B976" s="125" t="n"/>
      <c r="C976" s="126" t="n"/>
      <c r="D976" s="127" t="n"/>
      <c r="E976" s="127" t="n"/>
      <c r="F976" s="127" t="n"/>
      <c r="G976" s="127" t="n"/>
      <c r="H976" s="127" t="n"/>
      <c r="I976" s="127" t="n"/>
    </row>
    <row r="977" ht="15" customHeight="1" s="73">
      <c r="A977" s="124" t="n"/>
      <c r="B977" s="125" t="n"/>
      <c r="C977" s="126" t="n"/>
      <c r="D977" s="127" t="n"/>
      <c r="E977" s="127" t="n"/>
      <c r="F977" s="127" t="n"/>
      <c r="G977" s="127" t="n"/>
      <c r="H977" s="127" t="n"/>
      <c r="I977" s="127" t="n"/>
    </row>
    <row r="978" ht="15" customHeight="1" s="73">
      <c r="A978" s="124" t="n"/>
      <c r="B978" s="125" t="n"/>
      <c r="C978" s="126" t="n"/>
      <c r="D978" s="127" t="n"/>
      <c r="E978" s="127" t="n"/>
      <c r="F978" s="127" t="n"/>
      <c r="G978" s="127" t="n"/>
      <c r="H978" s="127" t="n"/>
      <c r="I978" s="127" t="n"/>
    </row>
    <row r="979" ht="15" customHeight="1" s="73">
      <c r="A979" s="124" t="n"/>
      <c r="B979" s="125" t="n"/>
      <c r="C979" s="126" t="n"/>
      <c r="D979" s="127" t="n"/>
      <c r="E979" s="127" t="n"/>
      <c r="F979" s="127" t="n"/>
      <c r="G979" s="127" t="n"/>
      <c r="H979" s="127" t="n"/>
      <c r="I979" s="127" t="n"/>
    </row>
    <row r="980" ht="15" customHeight="1" s="73">
      <c r="A980" s="124" t="n"/>
      <c r="B980" s="125" t="n"/>
      <c r="C980" s="126" t="n"/>
      <c r="D980" s="127" t="n"/>
      <c r="E980" s="127" t="n"/>
      <c r="F980" s="127" t="n"/>
      <c r="G980" s="127" t="n"/>
      <c r="H980" s="127" t="n"/>
      <c r="I980" s="127" t="n"/>
    </row>
    <row r="981" ht="15" customHeight="1" s="73">
      <c r="A981" s="124" t="n"/>
      <c r="B981" s="125" t="n"/>
      <c r="C981" s="126" t="n"/>
      <c r="D981" s="127" t="n"/>
      <c r="E981" s="127" t="n"/>
      <c r="F981" s="127" t="n"/>
      <c r="G981" s="127" t="n"/>
      <c r="H981" s="127" t="n"/>
      <c r="I981" s="127" t="n"/>
    </row>
    <row r="982" ht="15" customHeight="1" s="73">
      <c r="A982" s="124" t="n"/>
      <c r="B982" s="125" t="n"/>
      <c r="C982" s="126" t="n"/>
      <c r="D982" s="127" t="n"/>
      <c r="E982" s="127" t="n"/>
      <c r="F982" s="127" t="n"/>
      <c r="G982" s="127" t="n"/>
      <c r="H982" s="127" t="n"/>
      <c r="I982" s="127" t="n"/>
    </row>
    <row r="983" ht="15" customHeight="1" s="73">
      <c r="A983" s="124" t="n"/>
      <c r="B983" s="125" t="n"/>
      <c r="C983" s="126" t="n"/>
      <c r="D983" s="127" t="n"/>
      <c r="E983" s="127" t="n"/>
      <c r="F983" s="127" t="n"/>
      <c r="G983" s="127" t="n"/>
      <c r="H983" s="127" t="n"/>
      <c r="I983" s="127" t="n"/>
    </row>
    <row r="984" ht="15" customHeight="1" s="73">
      <c r="A984" s="124" t="n"/>
      <c r="B984" s="125" t="n"/>
      <c r="C984" s="126" t="n"/>
      <c r="D984" s="127" t="n"/>
      <c r="E984" s="127" t="n"/>
      <c r="F984" s="127" t="n"/>
      <c r="G984" s="127" t="n"/>
      <c r="H984" s="127" t="n"/>
      <c r="I984" s="127" t="n"/>
    </row>
    <row r="985" ht="15" customHeight="1" s="73">
      <c r="A985" s="124" t="n"/>
      <c r="B985" s="125" t="n"/>
      <c r="C985" s="126" t="n"/>
      <c r="D985" s="127" t="n"/>
      <c r="E985" s="127" t="n"/>
      <c r="F985" s="127" t="n"/>
      <c r="G985" s="127" t="n"/>
      <c r="H985" s="127" t="n"/>
      <c r="I985" s="127" t="n"/>
    </row>
    <row r="986" ht="15" customHeight="1" s="73">
      <c r="A986" s="124" t="n"/>
      <c r="B986" s="125" t="n"/>
      <c r="C986" s="126" t="n"/>
      <c r="D986" s="127" t="n"/>
      <c r="E986" s="127" t="n"/>
      <c r="F986" s="127" t="n"/>
      <c r="G986" s="127" t="n"/>
      <c r="H986" s="127" t="n"/>
      <c r="I986" s="127" t="n"/>
    </row>
    <row r="987" ht="15" customHeight="1" s="73">
      <c r="A987" s="124" t="n"/>
      <c r="B987" s="125" t="n"/>
      <c r="C987" s="126" t="n"/>
      <c r="D987" s="127" t="n"/>
      <c r="E987" s="127" t="n"/>
      <c r="F987" s="127" t="n"/>
      <c r="G987" s="127" t="n"/>
      <c r="H987" s="127" t="n"/>
      <c r="I987" s="127" t="n"/>
    </row>
    <row r="988" ht="15" customHeight="1" s="73">
      <c r="A988" s="124" t="n"/>
      <c r="B988" s="125" t="n"/>
      <c r="C988" s="126" t="n"/>
      <c r="D988" s="127" t="n"/>
      <c r="E988" s="127" t="n"/>
      <c r="F988" s="127" t="n"/>
      <c r="G988" s="127" t="n"/>
      <c r="H988" s="127" t="n"/>
      <c r="I988" s="127" t="n"/>
    </row>
    <row r="989" ht="15" customHeight="1" s="73">
      <c r="A989" s="124" t="n"/>
      <c r="B989" s="125" t="n"/>
      <c r="C989" s="126" t="n"/>
      <c r="D989" s="127" t="n"/>
      <c r="E989" s="127" t="n"/>
      <c r="F989" s="127" t="n"/>
      <c r="G989" s="127" t="n"/>
      <c r="H989" s="127" t="n"/>
      <c r="I989" s="127" t="n"/>
    </row>
    <row r="990" ht="15" customHeight="1" s="73">
      <c r="A990" s="124" t="n"/>
      <c r="B990" s="125" t="n"/>
      <c r="C990" s="126" t="n"/>
      <c r="D990" s="127" t="n"/>
      <c r="E990" s="127" t="n"/>
      <c r="F990" s="127" t="n"/>
      <c r="G990" s="127" t="n"/>
      <c r="H990" s="127" t="n"/>
      <c r="I990" s="127" t="n"/>
    </row>
    <row r="991" ht="15" customHeight="1" s="73">
      <c r="A991" s="124" t="n"/>
      <c r="B991" s="125" t="n"/>
      <c r="C991" s="126" t="n"/>
      <c r="D991" s="127" t="n"/>
      <c r="E991" s="127" t="n"/>
      <c r="F991" s="127" t="n"/>
      <c r="G991" s="127" t="n"/>
      <c r="H991" s="127" t="n"/>
      <c r="I991" s="127" t="n"/>
    </row>
    <row r="992" ht="15" customHeight="1" s="73">
      <c r="A992" s="124" t="n"/>
      <c r="B992" s="125" t="n"/>
      <c r="C992" s="126" t="n"/>
      <c r="D992" s="127" t="n"/>
      <c r="E992" s="127" t="n"/>
      <c r="F992" s="127" t="n"/>
      <c r="G992" s="127" t="n"/>
      <c r="H992" s="127" t="n"/>
      <c r="I992" s="127" t="n"/>
    </row>
    <row r="993" ht="15" customHeight="1" s="73">
      <c r="A993" s="124" t="n"/>
      <c r="B993" s="125" t="n"/>
      <c r="C993" s="126" t="n"/>
      <c r="D993" s="127" t="n"/>
      <c r="E993" s="127" t="n"/>
      <c r="F993" s="127" t="n"/>
      <c r="G993" s="127" t="n"/>
      <c r="H993" s="127" t="n"/>
      <c r="I993" s="127" t="n"/>
    </row>
    <row r="994" ht="15" customHeight="1" s="73">
      <c r="A994" s="124" t="n"/>
      <c r="B994" s="125" t="n"/>
      <c r="C994" s="126" t="n"/>
      <c r="D994" s="127" t="n"/>
      <c r="E994" s="127" t="n"/>
      <c r="F994" s="127" t="n"/>
      <c r="G994" s="127" t="n"/>
      <c r="H994" s="127" t="n"/>
      <c r="I994" s="127" t="n"/>
    </row>
    <row r="995" ht="15" customHeight="1" s="73">
      <c r="A995" s="124" t="n"/>
      <c r="B995" s="125" t="n"/>
      <c r="C995" s="126" t="n"/>
      <c r="D995" s="127" t="n"/>
      <c r="E995" s="127" t="n"/>
      <c r="F995" s="127" t="n"/>
      <c r="G995" s="127" t="n"/>
      <c r="H995" s="127" t="n"/>
      <c r="I995" s="127" t="n"/>
    </row>
    <row r="996" ht="15" customHeight="1" s="73">
      <c r="A996" s="124" t="n"/>
      <c r="B996" s="125" t="n"/>
      <c r="C996" s="126" t="n"/>
      <c r="D996" s="127" t="n"/>
      <c r="E996" s="127" t="n"/>
      <c r="F996" s="127" t="n"/>
      <c r="G996" s="127" t="n"/>
      <c r="H996" s="127" t="n"/>
      <c r="I996" s="127" t="n"/>
    </row>
    <row r="997" ht="15" customHeight="1" s="73">
      <c r="A997" s="124" t="n"/>
      <c r="B997" s="125" t="n"/>
      <c r="C997" s="126" t="n"/>
      <c r="D997" s="127" t="n"/>
      <c r="E997" s="127" t="n"/>
      <c r="F997" s="127" t="n"/>
      <c r="G997" s="127" t="n"/>
      <c r="H997" s="127" t="n"/>
      <c r="I997" s="127" t="n"/>
    </row>
    <row r="998" ht="15" customHeight="1" s="73">
      <c r="A998" s="124" t="n"/>
      <c r="B998" s="125" t="n"/>
      <c r="C998" s="126" t="n"/>
      <c r="D998" s="127" t="n"/>
      <c r="E998" s="127" t="n"/>
      <c r="F998" s="127" t="n"/>
      <c r="G998" s="127" t="n"/>
      <c r="H998" s="127" t="n"/>
      <c r="I998" s="127" t="n"/>
    </row>
    <row r="999" ht="15" customHeight="1" s="73">
      <c r="A999" s="124" t="n"/>
      <c r="B999" s="125" t="n"/>
      <c r="C999" s="126" t="n"/>
      <c r="D999" s="127" t="n"/>
      <c r="E999" s="127" t="n"/>
      <c r="F999" s="127" t="n"/>
      <c r="G999" s="127" t="n"/>
      <c r="H999" s="127" t="n"/>
      <c r="I999" s="127" t="n"/>
    </row>
    <row r="1000" ht="15" customHeight="1" s="73">
      <c r="A1000" s="124" t="n"/>
      <c r="B1000" s="125" t="n"/>
      <c r="C1000" s="126" t="n"/>
      <c r="D1000" s="127" t="n"/>
      <c r="E1000" s="127" t="n"/>
      <c r="F1000" s="127" t="n"/>
      <c r="G1000" s="127" t="n"/>
      <c r="H1000" s="127" t="n"/>
      <c r="I1000" s="127" t="n"/>
    </row>
    <row r="1001" ht="15" customHeight="1" s="73">
      <c r="A1001" s="124" t="n"/>
      <c r="B1001" s="125" t="n"/>
      <c r="C1001" s="126" t="n"/>
      <c r="D1001" s="127" t="n"/>
      <c r="E1001" s="127" t="n"/>
      <c r="F1001" s="127" t="n"/>
      <c r="G1001" s="127" t="n"/>
      <c r="H1001" s="127" t="n"/>
      <c r="I1001" s="127" t="n"/>
    </row>
    <row r="1002" ht="15" customHeight="1" s="73">
      <c r="A1002" s="124" t="n"/>
      <c r="B1002" s="125" t="n"/>
      <c r="C1002" s="126" t="n"/>
      <c r="D1002" s="127" t="n"/>
      <c r="E1002" s="127" t="n"/>
      <c r="F1002" s="127" t="n"/>
      <c r="G1002" s="127" t="n"/>
      <c r="H1002" s="127" t="n"/>
      <c r="I1002" s="127" t="n"/>
    </row>
    <row r="1003" ht="15" customHeight="1" s="73">
      <c r="A1003" s="124" t="n"/>
      <c r="B1003" s="125" t="n"/>
      <c r="C1003" s="126" t="n"/>
      <c r="D1003" s="127" t="n"/>
      <c r="E1003" s="127" t="n"/>
      <c r="F1003" s="127" t="n"/>
      <c r="G1003" s="127" t="n"/>
      <c r="H1003" s="127" t="n"/>
      <c r="I1003" s="127" t="n"/>
    </row>
    <row r="1004" ht="15" customHeight="1" s="73">
      <c r="A1004" s="124" t="n"/>
      <c r="B1004" s="124" t="n"/>
      <c r="C1004" s="124" t="n"/>
    </row>
    <row r="1006" ht="19.5" customHeight="1" s="73">
      <c r="A1006" s="110" t="inlineStr">
        <is>
          <t>KDV, tevkifat, stopaj, SGK, teminat ve net tutar formülle üretilir; yalnızca ilk üç kolon giriştir.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006:AN1006"/>
    <mergeCell ref="A3:I3"/>
    <mergeCell ref="A1:AD1"/>
  </mergeCells>
  <conditionalFormatting sqref="E6">
    <cfRule type="cellIs" rank="0" priority="2" equalAverage="0" operator="greaterThan" aboveAverage="0" dxfId="7" text="" percent="0" bottom="0">
      <formula>0</formula>
    </cfRule>
  </conditionalFormatting>
  <conditionalFormatting sqref="F6">
    <cfRule type="cellIs" rank="0" priority="3" equalAverage="0" operator="greaterThan" aboveAverage="0" dxfId="7" text="" percent="0" bottom="0">
      <formula>0</formula>
    </cfRule>
  </conditionalFormatting>
  <conditionalFormatting sqref="I6">
    <cfRule type="cellIs" rank="0" priority="4" equalAverage="0" operator="lessThan" aboveAverage="0" dxfId="8" text="" percent="0" bottom="0">
      <formula>0</formula>
    </cfRule>
  </conditionalFormatting>
  <conditionalFormatting sqref="E7">
    <cfRule type="cellIs" rank="0" priority="5" equalAverage="0" operator="greaterThan" aboveAverage="0" dxfId="7" text="" percent="0" bottom="0">
      <formula>0</formula>
    </cfRule>
  </conditionalFormatting>
  <conditionalFormatting sqref="F7">
    <cfRule type="cellIs" rank="0" priority="6" equalAverage="0" operator="greaterThan" aboveAverage="0" dxfId="7" text="" percent="0" bottom="0">
      <formula>0</formula>
    </cfRule>
  </conditionalFormatting>
  <conditionalFormatting sqref="I7">
    <cfRule type="cellIs" rank="0" priority="7" equalAverage="0" operator="lessThan" aboveAverage="0" dxfId="8" text="" percent="0" bottom="0">
      <formula>0</formula>
    </cfRule>
  </conditionalFormatting>
  <conditionalFormatting sqref="E8">
    <cfRule type="cellIs" rank="0" priority="8" equalAverage="0" operator="greaterThan" aboveAverage="0" dxfId="7" text="" percent="0" bottom="0">
      <formula>0</formula>
    </cfRule>
  </conditionalFormatting>
  <conditionalFormatting sqref="F8">
    <cfRule type="cellIs" rank="0" priority="9" equalAverage="0" operator="greaterThan" aboveAverage="0" dxfId="7" text="" percent="0" bottom="0">
      <formula>0</formula>
    </cfRule>
  </conditionalFormatting>
  <conditionalFormatting sqref="I8">
    <cfRule type="cellIs" rank="0" priority="10" equalAverage="0" operator="lessThan" aboveAverage="0" dxfId="8" text="" percent="0" bottom="0">
      <formula>0</formula>
    </cfRule>
  </conditionalFormatting>
  <conditionalFormatting sqref="E9">
    <cfRule type="cellIs" rank="0" priority="11" equalAverage="0" operator="greaterThan" aboveAverage="0" dxfId="7" text="" percent="0" bottom="0">
      <formula>0</formula>
    </cfRule>
  </conditionalFormatting>
  <conditionalFormatting sqref="F9">
    <cfRule type="cellIs" rank="0" priority="12" equalAverage="0" operator="greaterThan" aboveAverage="0" dxfId="7" text="" percent="0" bottom="0">
      <formula>0</formula>
    </cfRule>
  </conditionalFormatting>
  <conditionalFormatting sqref="I9">
    <cfRule type="cellIs" rank="0" priority="13" equalAverage="0" operator="lessThan" aboveAverage="0" dxfId="8" text="" percent="0" bottom="0">
      <formula>0</formula>
    </cfRule>
  </conditionalFormatting>
  <conditionalFormatting sqref="E10">
    <cfRule type="cellIs" rank="0" priority="14" equalAverage="0" operator="greaterThan" aboveAverage="0" dxfId="7" text="" percent="0" bottom="0">
      <formula>0</formula>
    </cfRule>
  </conditionalFormatting>
  <conditionalFormatting sqref="F10">
    <cfRule type="cellIs" rank="0" priority="15" equalAverage="0" operator="greaterThan" aboveAverage="0" dxfId="7" text="" percent="0" bottom="0">
      <formula>0</formula>
    </cfRule>
  </conditionalFormatting>
  <conditionalFormatting sqref="I10">
    <cfRule type="cellIs" rank="0" priority="16" equalAverage="0" operator="lessThan" aboveAverage="0" dxfId="8" text="" percent="0" bottom="0">
      <formula>0</formula>
    </cfRule>
  </conditionalFormatting>
  <conditionalFormatting sqref="E11">
    <cfRule type="cellIs" rank="0" priority="17" equalAverage="0" operator="greaterThan" aboveAverage="0" dxfId="7" text="" percent="0" bottom="0">
      <formula>0</formula>
    </cfRule>
  </conditionalFormatting>
  <conditionalFormatting sqref="F11">
    <cfRule type="cellIs" rank="0" priority="18" equalAverage="0" operator="greaterThan" aboveAverage="0" dxfId="7" text="" percent="0" bottom="0">
      <formula>0</formula>
    </cfRule>
  </conditionalFormatting>
  <conditionalFormatting sqref="I11">
    <cfRule type="cellIs" rank="0" priority="19" equalAverage="0" operator="lessThan" aboveAverage="0" dxfId="8" text="" percent="0" bottom="0">
      <formula>0</formula>
    </cfRule>
  </conditionalFormatting>
  <conditionalFormatting sqref="E12">
    <cfRule type="cellIs" rank="0" priority="20" equalAverage="0" operator="greaterThan" aboveAverage="0" dxfId="7" text="" percent="0" bottom="0">
      <formula>0</formula>
    </cfRule>
  </conditionalFormatting>
  <conditionalFormatting sqref="F12">
    <cfRule type="cellIs" rank="0" priority="21" equalAverage="0" operator="greaterThan" aboveAverage="0" dxfId="7" text="" percent="0" bottom="0">
      <formula>0</formula>
    </cfRule>
  </conditionalFormatting>
  <conditionalFormatting sqref="I12">
    <cfRule type="cellIs" rank="0" priority="22" equalAverage="0" operator="lessThan" aboveAverage="0" dxfId="8" text="" percent="0" bottom="0">
      <formula>0</formula>
    </cfRule>
  </conditionalFormatting>
  <conditionalFormatting sqref="E13">
    <cfRule type="cellIs" rank="0" priority="23" equalAverage="0" operator="greaterThan" aboveAverage="0" dxfId="7" text="" percent="0" bottom="0">
      <formula>0</formula>
    </cfRule>
  </conditionalFormatting>
  <conditionalFormatting sqref="F13">
    <cfRule type="cellIs" rank="0" priority="24" equalAverage="0" operator="greaterThan" aboveAverage="0" dxfId="7" text="" percent="0" bottom="0">
      <formula>0</formula>
    </cfRule>
  </conditionalFormatting>
  <conditionalFormatting sqref="I13">
    <cfRule type="cellIs" rank="0" priority="25" equalAverage="0" operator="lessThan" aboveAverage="0" dxfId="8" text="" percent="0" bottom="0">
      <formula>0</formula>
    </cfRule>
  </conditionalFormatting>
  <conditionalFormatting sqref="E14">
    <cfRule type="cellIs" rank="0" priority="26" equalAverage="0" operator="greaterThan" aboveAverage="0" dxfId="7" text="" percent="0" bottom="0">
      <formula>0</formula>
    </cfRule>
  </conditionalFormatting>
  <conditionalFormatting sqref="F14">
    <cfRule type="cellIs" rank="0" priority="27" equalAverage="0" operator="greaterThan" aboveAverage="0" dxfId="7" text="" percent="0" bottom="0">
      <formula>0</formula>
    </cfRule>
  </conditionalFormatting>
  <conditionalFormatting sqref="I14">
    <cfRule type="cellIs" rank="0" priority="28" equalAverage="0" operator="lessThan" aboveAverage="0" dxfId="8" text="" percent="0" bottom="0">
      <formula>0</formula>
    </cfRule>
  </conditionalFormatting>
  <conditionalFormatting sqref="E15">
    <cfRule type="cellIs" rank="0" priority="29" equalAverage="0" operator="greaterThan" aboveAverage="0" dxfId="7" text="" percent="0" bottom="0">
      <formula>0</formula>
    </cfRule>
  </conditionalFormatting>
  <conditionalFormatting sqref="F15">
    <cfRule type="cellIs" rank="0" priority="30" equalAverage="0" operator="greaterThan" aboveAverage="0" dxfId="7" text="" percent="0" bottom="0">
      <formula>0</formula>
    </cfRule>
  </conditionalFormatting>
  <conditionalFormatting sqref="I15">
    <cfRule type="cellIs" rank="0" priority="31" equalAverage="0" operator="lessThan" aboveAverage="0" dxfId="8" text="" percent="0" bottom="0">
      <formula>0</formula>
    </cfRule>
  </conditionalFormatting>
  <conditionalFormatting sqref="E16">
    <cfRule type="cellIs" rank="0" priority="32" equalAverage="0" operator="greaterThan" aboveAverage="0" dxfId="7" text="" percent="0" bottom="0">
      <formula>0</formula>
    </cfRule>
  </conditionalFormatting>
  <conditionalFormatting sqref="F16">
    <cfRule type="cellIs" rank="0" priority="33" equalAverage="0" operator="greaterThan" aboveAverage="0" dxfId="7" text="" percent="0" bottom="0">
      <formula>0</formula>
    </cfRule>
  </conditionalFormatting>
  <conditionalFormatting sqref="I16">
    <cfRule type="cellIs" rank="0" priority="34" equalAverage="0" operator="lessThan" aboveAverage="0" dxfId="8" text="" percent="0" bottom="0">
      <formula>0</formula>
    </cfRule>
  </conditionalFormatting>
  <conditionalFormatting sqref="E17">
    <cfRule type="cellIs" rank="0" priority="35" equalAverage="0" operator="greaterThan" aboveAverage="0" dxfId="7" text="" percent="0" bottom="0">
      <formula>0</formula>
    </cfRule>
  </conditionalFormatting>
  <conditionalFormatting sqref="F17">
    <cfRule type="cellIs" rank="0" priority="36" equalAverage="0" operator="greaterThan" aboveAverage="0" dxfId="7" text="" percent="0" bottom="0">
      <formula>0</formula>
    </cfRule>
  </conditionalFormatting>
  <conditionalFormatting sqref="I17">
    <cfRule type="cellIs" rank="0" priority="37" equalAverage="0" operator="lessThan" aboveAverage="0" dxfId="8" text="" percent="0" bottom="0">
      <formula>0</formula>
    </cfRule>
  </conditionalFormatting>
  <conditionalFormatting sqref="E18">
    <cfRule type="cellIs" rank="0" priority="38" equalAverage="0" operator="greaterThan" aboveAverage="0" dxfId="7" text="" percent="0" bottom="0">
      <formula>0</formula>
    </cfRule>
  </conditionalFormatting>
  <conditionalFormatting sqref="F18">
    <cfRule type="cellIs" rank="0" priority="39" equalAverage="0" operator="greaterThan" aboveAverage="0" dxfId="7" text="" percent="0" bottom="0">
      <formula>0</formula>
    </cfRule>
  </conditionalFormatting>
  <conditionalFormatting sqref="I18">
    <cfRule type="cellIs" rank="0" priority="40" equalAverage="0" operator="lessThan" aboveAverage="0" dxfId="8" text="" percent="0" bottom="0">
      <formula>0</formula>
    </cfRule>
  </conditionalFormatting>
  <conditionalFormatting sqref="E19">
    <cfRule type="cellIs" rank="0" priority="41" equalAverage="0" operator="greaterThan" aboveAverage="0" dxfId="7" text="" percent="0" bottom="0">
      <formula>0</formula>
    </cfRule>
  </conditionalFormatting>
  <conditionalFormatting sqref="F19">
    <cfRule type="cellIs" rank="0" priority="42" equalAverage="0" operator="greaterThan" aboveAverage="0" dxfId="7" text="" percent="0" bottom="0">
      <formula>0</formula>
    </cfRule>
  </conditionalFormatting>
  <conditionalFormatting sqref="I19">
    <cfRule type="cellIs" rank="0" priority="43" equalAverage="0" operator="lessThan" aboveAverage="0" dxfId="8" text="" percent="0" bottom="0">
      <formula>0</formula>
    </cfRule>
  </conditionalFormatting>
  <conditionalFormatting sqref="E20">
    <cfRule type="cellIs" rank="0" priority="44" equalAverage="0" operator="greaterThan" aboveAverage="0" dxfId="7" text="" percent="0" bottom="0">
      <formula>0</formula>
    </cfRule>
  </conditionalFormatting>
  <conditionalFormatting sqref="F20">
    <cfRule type="cellIs" rank="0" priority="45" equalAverage="0" operator="greaterThan" aboveAverage="0" dxfId="7" text="" percent="0" bottom="0">
      <formula>0</formula>
    </cfRule>
  </conditionalFormatting>
  <conditionalFormatting sqref="I20">
    <cfRule type="cellIs" rank="0" priority="46" equalAverage="0" operator="lessThan" aboveAverage="0" dxfId="8" text="" percent="0" bottom="0">
      <formula>0</formula>
    </cfRule>
  </conditionalFormatting>
  <conditionalFormatting sqref="E21">
    <cfRule type="cellIs" rank="0" priority="47" equalAverage="0" operator="greaterThan" aboveAverage="0" dxfId="7" text="" percent="0" bottom="0">
      <formula>0</formula>
    </cfRule>
  </conditionalFormatting>
  <conditionalFormatting sqref="F21">
    <cfRule type="cellIs" rank="0" priority="48" equalAverage="0" operator="greaterThan" aboveAverage="0" dxfId="7" text="" percent="0" bottom="0">
      <formula>0</formula>
    </cfRule>
  </conditionalFormatting>
  <conditionalFormatting sqref="I21">
    <cfRule type="cellIs" rank="0" priority="49" equalAverage="0" operator="lessThan" aboveAverage="0" dxfId="8" text="" percent="0" bottom="0">
      <formula>0</formula>
    </cfRule>
  </conditionalFormatting>
  <conditionalFormatting sqref="E22">
    <cfRule type="cellIs" rank="0" priority="50" equalAverage="0" operator="greaterThan" aboveAverage="0" dxfId="7" text="" percent="0" bottom="0">
      <formula>0</formula>
    </cfRule>
  </conditionalFormatting>
  <conditionalFormatting sqref="F22">
    <cfRule type="cellIs" rank="0" priority="51" equalAverage="0" operator="greaterThan" aboveAverage="0" dxfId="7" text="" percent="0" bottom="0">
      <formula>0</formula>
    </cfRule>
  </conditionalFormatting>
  <conditionalFormatting sqref="I22">
    <cfRule type="cellIs" rank="0" priority="52" equalAverage="0" operator="lessThan" aboveAverage="0" dxfId="8" text="" percent="0" bottom="0">
      <formula>0</formula>
    </cfRule>
  </conditionalFormatting>
  <conditionalFormatting sqref="E23">
    <cfRule type="cellIs" rank="0" priority="53" equalAverage="0" operator="greaterThan" aboveAverage="0" dxfId="7" text="" percent="0" bottom="0">
      <formula>0</formula>
    </cfRule>
  </conditionalFormatting>
  <conditionalFormatting sqref="F23">
    <cfRule type="cellIs" rank="0" priority="54" equalAverage="0" operator="greaterThan" aboveAverage="0" dxfId="7" text="" percent="0" bottom="0">
      <formula>0</formula>
    </cfRule>
  </conditionalFormatting>
  <conditionalFormatting sqref="I23">
    <cfRule type="cellIs" rank="0" priority="55" equalAverage="0" operator="lessThan" aboveAverage="0" dxfId="8" text="" percent="0" bottom="0">
      <formula>0</formula>
    </cfRule>
  </conditionalFormatting>
  <conditionalFormatting sqref="E24">
    <cfRule type="cellIs" rank="0" priority="56" equalAverage="0" operator="greaterThan" aboveAverage="0" dxfId="7" text="" percent="0" bottom="0">
      <formula>0</formula>
    </cfRule>
  </conditionalFormatting>
  <conditionalFormatting sqref="F24">
    <cfRule type="cellIs" rank="0" priority="57" equalAverage="0" operator="greaterThan" aboveAverage="0" dxfId="7" text="" percent="0" bottom="0">
      <formula>0</formula>
    </cfRule>
  </conditionalFormatting>
  <conditionalFormatting sqref="I24">
    <cfRule type="cellIs" rank="0" priority="58" equalAverage="0" operator="lessThan" aboveAverage="0" dxfId="8" text="" percent="0" bottom="0">
      <formula>0</formula>
    </cfRule>
  </conditionalFormatting>
  <conditionalFormatting sqref="E25">
    <cfRule type="cellIs" rank="0" priority="59" equalAverage="0" operator="greaterThan" aboveAverage="0" dxfId="7" text="" percent="0" bottom="0">
      <formula>0</formula>
    </cfRule>
  </conditionalFormatting>
  <conditionalFormatting sqref="F25">
    <cfRule type="cellIs" rank="0" priority="60" equalAverage="0" operator="greaterThan" aboveAverage="0" dxfId="7" text="" percent="0" bottom="0">
      <formula>0</formula>
    </cfRule>
  </conditionalFormatting>
  <conditionalFormatting sqref="I25">
    <cfRule type="cellIs" rank="0" priority="61" equalAverage="0" operator="lessThan" aboveAverage="0" dxfId="8" text="" percent="0" bottom="0">
      <formula>0</formula>
    </cfRule>
  </conditionalFormatting>
  <conditionalFormatting sqref="E26">
    <cfRule type="cellIs" rank="0" priority="62" equalAverage="0" operator="greaterThan" aboveAverage="0" dxfId="7" text="" percent="0" bottom="0">
      <formula>0</formula>
    </cfRule>
  </conditionalFormatting>
  <conditionalFormatting sqref="F26">
    <cfRule type="cellIs" rank="0" priority="63" equalAverage="0" operator="greaterThan" aboveAverage="0" dxfId="7" text="" percent="0" bottom="0">
      <formula>0</formula>
    </cfRule>
  </conditionalFormatting>
  <conditionalFormatting sqref="I26">
    <cfRule type="cellIs" rank="0" priority="64" equalAverage="0" operator="lessThan" aboveAverage="0" dxfId="8" text="" percent="0" bottom="0">
      <formula>0</formula>
    </cfRule>
  </conditionalFormatting>
  <conditionalFormatting sqref="E27">
    <cfRule type="cellIs" rank="0" priority="65" equalAverage="0" operator="greaterThan" aboveAverage="0" dxfId="7" text="" percent="0" bottom="0">
      <formula>0</formula>
    </cfRule>
  </conditionalFormatting>
  <conditionalFormatting sqref="F27">
    <cfRule type="cellIs" rank="0" priority="66" equalAverage="0" operator="greaterThan" aboveAverage="0" dxfId="7" text="" percent="0" bottom="0">
      <formula>0</formula>
    </cfRule>
  </conditionalFormatting>
  <conditionalFormatting sqref="I27">
    <cfRule type="cellIs" rank="0" priority="67" equalAverage="0" operator="lessThan" aboveAverage="0" dxfId="8" text="" percent="0" bottom="0">
      <formula>0</formula>
    </cfRule>
  </conditionalFormatting>
  <conditionalFormatting sqref="E28">
    <cfRule type="cellIs" rank="0" priority="68" equalAverage="0" operator="greaterThan" aboveAverage="0" dxfId="7" text="" percent="0" bottom="0">
      <formula>0</formula>
    </cfRule>
  </conditionalFormatting>
  <conditionalFormatting sqref="F28">
    <cfRule type="cellIs" rank="0" priority="69" equalAverage="0" operator="greaterThan" aboveAverage="0" dxfId="7" text="" percent="0" bottom="0">
      <formula>0</formula>
    </cfRule>
  </conditionalFormatting>
  <conditionalFormatting sqref="I28">
    <cfRule type="cellIs" rank="0" priority="70" equalAverage="0" operator="lessThan" aboveAverage="0" dxfId="8" text="" percent="0" bottom="0">
      <formula>0</formula>
    </cfRule>
  </conditionalFormatting>
  <conditionalFormatting sqref="E29">
    <cfRule type="cellIs" rank="0" priority="71" equalAverage="0" operator="greaterThan" aboveAverage="0" dxfId="7" text="" percent="0" bottom="0">
      <formula>0</formula>
    </cfRule>
  </conditionalFormatting>
  <conditionalFormatting sqref="F29">
    <cfRule type="cellIs" rank="0" priority="72" equalAverage="0" operator="greaterThan" aboveAverage="0" dxfId="7" text="" percent="0" bottom="0">
      <formula>0</formula>
    </cfRule>
  </conditionalFormatting>
  <conditionalFormatting sqref="I29">
    <cfRule type="cellIs" rank="0" priority="73" equalAverage="0" operator="lessThan" aboveAverage="0" dxfId="8" text="" percent="0" bottom="0">
      <formula>0</formula>
    </cfRule>
  </conditionalFormatting>
  <conditionalFormatting sqref="E30">
    <cfRule type="cellIs" rank="0" priority="74" equalAverage="0" operator="greaterThan" aboveAverage="0" dxfId="7" text="" percent="0" bottom="0">
      <formula>0</formula>
    </cfRule>
  </conditionalFormatting>
  <conditionalFormatting sqref="F30">
    <cfRule type="cellIs" rank="0" priority="75" equalAverage="0" operator="greaterThan" aboveAverage="0" dxfId="7" text="" percent="0" bottom="0">
      <formula>0</formula>
    </cfRule>
  </conditionalFormatting>
  <conditionalFormatting sqref="I30">
    <cfRule type="cellIs" rank="0" priority="76" equalAverage="0" operator="lessThan" aboveAverage="0" dxfId="8" text="" percent="0" bottom="0">
      <formula>0</formula>
    </cfRule>
  </conditionalFormatting>
  <conditionalFormatting sqref="E31">
    <cfRule type="cellIs" rank="0" priority="77" equalAverage="0" operator="greaterThan" aboveAverage="0" dxfId="7" text="" percent="0" bottom="0">
      <formula>0</formula>
    </cfRule>
  </conditionalFormatting>
  <conditionalFormatting sqref="F31">
    <cfRule type="cellIs" rank="0" priority="78" equalAverage="0" operator="greaterThan" aboveAverage="0" dxfId="7" text="" percent="0" bottom="0">
      <formula>0</formula>
    </cfRule>
  </conditionalFormatting>
  <conditionalFormatting sqref="I31">
    <cfRule type="cellIs" rank="0" priority="79" equalAverage="0" operator="lessThan" aboveAverage="0" dxfId="8" text="" percent="0" bottom="0">
      <formula>0</formula>
    </cfRule>
  </conditionalFormatting>
  <conditionalFormatting sqref="E32">
    <cfRule type="cellIs" rank="0" priority="80" equalAverage="0" operator="greaterThan" aboveAverage="0" dxfId="7" text="" percent="0" bottom="0">
      <formula>0</formula>
    </cfRule>
  </conditionalFormatting>
  <conditionalFormatting sqref="F32">
    <cfRule type="cellIs" rank="0" priority="81" equalAverage="0" operator="greaterThan" aboveAverage="0" dxfId="7" text="" percent="0" bottom="0">
      <formula>0</formula>
    </cfRule>
  </conditionalFormatting>
  <conditionalFormatting sqref="I32">
    <cfRule type="cellIs" rank="0" priority="82" equalAverage="0" operator="lessThan" aboveAverage="0" dxfId="8" text="" percent="0" bottom="0">
      <formula>0</formula>
    </cfRule>
  </conditionalFormatting>
  <conditionalFormatting sqref="E33">
    <cfRule type="cellIs" rank="0" priority="83" equalAverage="0" operator="greaterThan" aboveAverage="0" dxfId="7" text="" percent="0" bottom="0">
      <formula>0</formula>
    </cfRule>
  </conditionalFormatting>
  <conditionalFormatting sqref="F33">
    <cfRule type="cellIs" rank="0" priority="84" equalAverage="0" operator="greaterThan" aboveAverage="0" dxfId="7" text="" percent="0" bottom="0">
      <formula>0</formula>
    </cfRule>
  </conditionalFormatting>
  <conditionalFormatting sqref="I33">
    <cfRule type="cellIs" rank="0" priority="85" equalAverage="0" operator="lessThan" aboveAverage="0" dxfId="8" text="" percent="0" bottom="0">
      <formula>0</formula>
    </cfRule>
  </conditionalFormatting>
  <conditionalFormatting sqref="E34">
    <cfRule type="cellIs" rank="0" priority="86" equalAverage="0" operator="greaterThan" aboveAverage="0" dxfId="7" text="" percent="0" bottom="0">
      <formula>0</formula>
    </cfRule>
  </conditionalFormatting>
  <conditionalFormatting sqref="F34">
    <cfRule type="cellIs" rank="0" priority="87" equalAverage="0" operator="greaterThan" aboveAverage="0" dxfId="7" text="" percent="0" bottom="0">
      <formula>0</formula>
    </cfRule>
  </conditionalFormatting>
  <conditionalFormatting sqref="I34">
    <cfRule type="cellIs" rank="0" priority="88" equalAverage="0" operator="lessThan" aboveAverage="0" dxfId="8" text="" percent="0" bottom="0">
      <formula>0</formula>
    </cfRule>
  </conditionalFormatting>
  <conditionalFormatting sqref="E35">
    <cfRule type="cellIs" rank="0" priority="89" equalAverage="0" operator="greaterThan" aboveAverage="0" dxfId="7" text="" percent="0" bottom="0">
      <formula>0</formula>
    </cfRule>
  </conditionalFormatting>
  <conditionalFormatting sqref="F35">
    <cfRule type="cellIs" rank="0" priority="90" equalAverage="0" operator="greaterThan" aboveAverage="0" dxfId="7" text="" percent="0" bottom="0">
      <formula>0</formula>
    </cfRule>
  </conditionalFormatting>
  <conditionalFormatting sqref="I35">
    <cfRule type="cellIs" rank="0" priority="91" equalAverage="0" operator="lessThan" aboveAverage="0" dxfId="8" text="" percent="0" bottom="0">
      <formula>0</formula>
    </cfRule>
  </conditionalFormatting>
  <conditionalFormatting sqref="E36">
    <cfRule type="cellIs" rank="0" priority="92" equalAverage="0" operator="greaterThan" aboveAverage="0" dxfId="7" text="" percent="0" bottom="0">
      <formula>0</formula>
    </cfRule>
  </conditionalFormatting>
  <conditionalFormatting sqref="F36">
    <cfRule type="cellIs" rank="0" priority="93" equalAverage="0" operator="greaterThan" aboveAverage="0" dxfId="7" text="" percent="0" bottom="0">
      <formula>0</formula>
    </cfRule>
  </conditionalFormatting>
  <conditionalFormatting sqref="I36">
    <cfRule type="cellIs" rank="0" priority="94" equalAverage="0" operator="lessThan" aboveAverage="0" dxfId="8" text="" percent="0" bottom="0">
      <formula>0</formula>
    </cfRule>
  </conditionalFormatting>
  <conditionalFormatting sqref="E37">
    <cfRule type="cellIs" rank="0" priority="95" equalAverage="0" operator="greaterThan" aboveAverage="0" dxfId="7" text="" percent="0" bottom="0">
      <formula>0</formula>
    </cfRule>
  </conditionalFormatting>
  <conditionalFormatting sqref="F37">
    <cfRule type="cellIs" rank="0" priority="96" equalAverage="0" operator="greaterThan" aboveAverage="0" dxfId="7" text="" percent="0" bottom="0">
      <formula>0</formula>
    </cfRule>
  </conditionalFormatting>
  <conditionalFormatting sqref="I37">
    <cfRule type="cellIs" rank="0" priority="97" equalAverage="0" operator="lessThan" aboveAverage="0" dxfId="8" text="" percent="0" bottom="0">
      <formula>0</formula>
    </cfRule>
  </conditionalFormatting>
  <conditionalFormatting sqref="E38">
    <cfRule type="cellIs" rank="0" priority="98" equalAverage="0" operator="greaterThan" aboveAverage="0" dxfId="7" text="" percent="0" bottom="0">
      <formula>0</formula>
    </cfRule>
  </conditionalFormatting>
  <conditionalFormatting sqref="F38">
    <cfRule type="cellIs" rank="0" priority="99" equalAverage="0" operator="greaterThan" aboveAverage="0" dxfId="7" text="" percent="0" bottom="0">
      <formula>0</formula>
    </cfRule>
  </conditionalFormatting>
  <conditionalFormatting sqref="I38">
    <cfRule type="cellIs" rank="0" priority="100" equalAverage="0" operator="lessThan" aboveAverage="0" dxfId="8" text="" percent="0" bottom="0">
      <formula>0</formula>
    </cfRule>
  </conditionalFormatting>
  <conditionalFormatting sqref="E39">
    <cfRule type="cellIs" rank="0" priority="101" equalAverage="0" operator="greaterThan" aboveAverage="0" dxfId="7" text="" percent="0" bottom="0">
      <formula>0</formula>
    </cfRule>
  </conditionalFormatting>
  <conditionalFormatting sqref="F39">
    <cfRule type="cellIs" rank="0" priority="102" equalAverage="0" operator="greaterThan" aboveAverage="0" dxfId="7" text="" percent="0" bottom="0">
      <formula>0</formula>
    </cfRule>
  </conditionalFormatting>
  <conditionalFormatting sqref="I39">
    <cfRule type="cellIs" rank="0" priority="103" equalAverage="0" operator="lessThan" aboveAverage="0" dxfId="8" text="" percent="0" bottom="0">
      <formula>0</formula>
    </cfRule>
  </conditionalFormatting>
  <conditionalFormatting sqref="E40">
    <cfRule type="cellIs" rank="0" priority="104" equalAverage="0" operator="greaterThan" aboveAverage="0" dxfId="7" text="" percent="0" bottom="0">
      <formula>0</formula>
    </cfRule>
  </conditionalFormatting>
  <conditionalFormatting sqref="F40">
    <cfRule type="cellIs" rank="0" priority="105" equalAverage="0" operator="greaterThan" aboveAverage="0" dxfId="7" text="" percent="0" bottom="0">
      <formula>0</formula>
    </cfRule>
  </conditionalFormatting>
  <conditionalFormatting sqref="I40">
    <cfRule type="cellIs" rank="0" priority="106" equalAverage="0" operator="lessThan" aboveAverage="0" dxfId="8" text="" percent="0" bottom="0">
      <formula>0</formula>
    </cfRule>
  </conditionalFormatting>
  <conditionalFormatting sqref="E41">
    <cfRule type="cellIs" rank="0" priority="107" equalAverage="0" operator="greaterThan" aboveAverage="0" dxfId="7" text="" percent="0" bottom="0">
      <formula>0</formula>
    </cfRule>
  </conditionalFormatting>
  <conditionalFormatting sqref="F41">
    <cfRule type="cellIs" rank="0" priority="108" equalAverage="0" operator="greaterThan" aboveAverage="0" dxfId="7" text="" percent="0" bottom="0">
      <formula>0</formula>
    </cfRule>
  </conditionalFormatting>
  <conditionalFormatting sqref="I41">
    <cfRule type="cellIs" rank="0" priority="109" equalAverage="0" operator="lessThan" aboveAverage="0" dxfId="8" text="" percent="0" bottom="0">
      <formula>0</formula>
    </cfRule>
  </conditionalFormatting>
  <conditionalFormatting sqref="E42">
    <cfRule type="cellIs" rank="0" priority="110" equalAverage="0" operator="greaterThan" aboveAverage="0" dxfId="7" text="" percent="0" bottom="0">
      <formula>0</formula>
    </cfRule>
  </conditionalFormatting>
  <conditionalFormatting sqref="F42">
    <cfRule type="cellIs" rank="0" priority="111" equalAverage="0" operator="greaterThan" aboveAverage="0" dxfId="7" text="" percent="0" bottom="0">
      <formula>0</formula>
    </cfRule>
  </conditionalFormatting>
  <conditionalFormatting sqref="I42">
    <cfRule type="cellIs" rank="0" priority="112" equalAverage="0" operator="lessThan" aboveAverage="0" dxfId="8" text="" percent="0" bottom="0">
      <formula>0</formula>
    </cfRule>
  </conditionalFormatting>
  <conditionalFormatting sqref="E43">
    <cfRule type="cellIs" rank="0" priority="113" equalAverage="0" operator="greaterThan" aboveAverage="0" dxfId="7" text="" percent="0" bottom="0">
      <formula>0</formula>
    </cfRule>
  </conditionalFormatting>
  <conditionalFormatting sqref="F43">
    <cfRule type="cellIs" rank="0" priority="114" equalAverage="0" operator="greaterThan" aboveAverage="0" dxfId="7" text="" percent="0" bottom="0">
      <formula>0</formula>
    </cfRule>
  </conditionalFormatting>
  <conditionalFormatting sqref="I43">
    <cfRule type="cellIs" rank="0" priority="115" equalAverage="0" operator="lessThan" aboveAverage="0" dxfId="8" text="" percent="0" bottom="0">
      <formula>0</formula>
    </cfRule>
  </conditionalFormatting>
  <conditionalFormatting sqref="E44">
    <cfRule type="cellIs" rank="0" priority="116" equalAverage="0" operator="greaterThan" aboveAverage="0" dxfId="7" text="" percent="0" bottom="0">
      <formula>0</formula>
    </cfRule>
  </conditionalFormatting>
  <conditionalFormatting sqref="F44">
    <cfRule type="cellIs" rank="0" priority="117" equalAverage="0" operator="greaterThan" aboveAverage="0" dxfId="7" text="" percent="0" bottom="0">
      <formula>0</formula>
    </cfRule>
  </conditionalFormatting>
  <conditionalFormatting sqref="I44">
    <cfRule type="cellIs" rank="0" priority="118" equalAverage="0" operator="lessThan" aboveAverage="0" dxfId="8" text="" percent="0" bottom="0">
      <formula>0</formula>
    </cfRule>
  </conditionalFormatting>
  <conditionalFormatting sqref="E45">
    <cfRule type="cellIs" rank="0" priority="119" equalAverage="0" operator="greaterThan" aboveAverage="0" dxfId="7" text="" percent="0" bottom="0">
      <formula>0</formula>
    </cfRule>
  </conditionalFormatting>
  <conditionalFormatting sqref="F45">
    <cfRule type="cellIs" rank="0" priority="120" equalAverage="0" operator="greaterThan" aboveAverage="0" dxfId="7" text="" percent="0" bottom="0">
      <formula>0</formula>
    </cfRule>
  </conditionalFormatting>
  <conditionalFormatting sqref="I45">
    <cfRule type="cellIs" rank="0" priority="121" equalAverage="0" operator="lessThan" aboveAverage="0" dxfId="8" text="" percent="0" bottom="0">
      <formula>0</formula>
    </cfRule>
  </conditionalFormatting>
  <conditionalFormatting sqref="E46">
    <cfRule type="cellIs" rank="0" priority="122" equalAverage="0" operator="greaterThan" aboveAverage="0" dxfId="7" text="" percent="0" bottom="0">
      <formula>0</formula>
    </cfRule>
  </conditionalFormatting>
  <conditionalFormatting sqref="F46">
    <cfRule type="cellIs" rank="0" priority="123" equalAverage="0" operator="greaterThan" aboveAverage="0" dxfId="7" text="" percent="0" bottom="0">
      <formula>0</formula>
    </cfRule>
  </conditionalFormatting>
  <conditionalFormatting sqref="I46">
    <cfRule type="cellIs" rank="0" priority="124" equalAverage="0" operator="lessThan" aboveAverage="0" dxfId="8" text="" percent="0" bottom="0">
      <formula>0</formula>
    </cfRule>
  </conditionalFormatting>
  <conditionalFormatting sqref="E47">
    <cfRule type="cellIs" rank="0" priority="125" equalAverage="0" operator="greaterThan" aboveAverage="0" dxfId="7" text="" percent="0" bottom="0">
      <formula>0</formula>
    </cfRule>
  </conditionalFormatting>
  <conditionalFormatting sqref="F47">
    <cfRule type="cellIs" rank="0" priority="126" equalAverage="0" operator="greaterThan" aboveAverage="0" dxfId="7" text="" percent="0" bottom="0">
      <formula>0</formula>
    </cfRule>
  </conditionalFormatting>
  <conditionalFormatting sqref="I47">
    <cfRule type="cellIs" rank="0" priority="127" equalAverage="0" operator="lessThan" aboveAverage="0" dxfId="8" text="" percent="0" bottom="0">
      <formula>0</formula>
    </cfRule>
  </conditionalFormatting>
  <conditionalFormatting sqref="E48">
    <cfRule type="cellIs" rank="0" priority="128" equalAverage="0" operator="greaterThan" aboveAverage="0" dxfId="7" text="" percent="0" bottom="0">
      <formula>0</formula>
    </cfRule>
  </conditionalFormatting>
  <conditionalFormatting sqref="F48">
    <cfRule type="cellIs" rank="0" priority="129" equalAverage="0" operator="greaterThan" aboveAverage="0" dxfId="7" text="" percent="0" bottom="0">
      <formula>0</formula>
    </cfRule>
  </conditionalFormatting>
  <conditionalFormatting sqref="I48">
    <cfRule type="cellIs" rank="0" priority="130" equalAverage="0" operator="lessThan" aboveAverage="0" dxfId="8" text="" percent="0" bottom="0">
      <formula>0</formula>
    </cfRule>
  </conditionalFormatting>
  <conditionalFormatting sqref="E49">
    <cfRule type="cellIs" rank="0" priority="131" equalAverage="0" operator="greaterThan" aboveAverage="0" dxfId="7" text="" percent="0" bottom="0">
      <formula>0</formula>
    </cfRule>
  </conditionalFormatting>
  <conditionalFormatting sqref="F49">
    <cfRule type="cellIs" rank="0" priority="132" equalAverage="0" operator="greaterThan" aboveAverage="0" dxfId="7" text="" percent="0" bottom="0">
      <formula>0</formula>
    </cfRule>
  </conditionalFormatting>
  <conditionalFormatting sqref="I49">
    <cfRule type="cellIs" rank="0" priority="133" equalAverage="0" operator="lessThan" aboveAverage="0" dxfId="8" text="" percent="0" bottom="0">
      <formula>0</formula>
    </cfRule>
  </conditionalFormatting>
  <conditionalFormatting sqref="E50">
    <cfRule type="cellIs" rank="0" priority="134" equalAverage="0" operator="greaterThan" aboveAverage="0" dxfId="7" text="" percent="0" bottom="0">
      <formula>0</formula>
    </cfRule>
  </conditionalFormatting>
  <conditionalFormatting sqref="F50">
    <cfRule type="cellIs" rank="0" priority="135" equalAverage="0" operator="greaterThan" aboveAverage="0" dxfId="7" text="" percent="0" bottom="0">
      <formula>0</formula>
    </cfRule>
  </conditionalFormatting>
  <conditionalFormatting sqref="I50">
    <cfRule type="cellIs" rank="0" priority="136" equalAverage="0" operator="lessThan" aboveAverage="0" dxfId="8" text="" percent="0" bottom="0">
      <formula>0</formula>
    </cfRule>
  </conditionalFormatting>
  <conditionalFormatting sqref="E51">
    <cfRule type="cellIs" rank="0" priority="137" equalAverage="0" operator="greaterThan" aboveAverage="0" dxfId="7" text="" percent="0" bottom="0">
      <formula>0</formula>
    </cfRule>
  </conditionalFormatting>
  <conditionalFormatting sqref="F51">
    <cfRule type="cellIs" rank="0" priority="138" equalAverage="0" operator="greaterThan" aboveAverage="0" dxfId="7" text="" percent="0" bottom="0">
      <formula>0</formula>
    </cfRule>
  </conditionalFormatting>
  <conditionalFormatting sqref="I51">
    <cfRule type="cellIs" rank="0" priority="139" equalAverage="0" operator="lessThan" aboveAverage="0" dxfId="8" text="" percent="0" bottom="0">
      <formula>0</formula>
    </cfRule>
  </conditionalFormatting>
  <conditionalFormatting sqref="E52">
    <cfRule type="cellIs" rank="0" priority="140" equalAverage="0" operator="greaterThan" aboveAverage="0" dxfId="7" text="" percent="0" bottom="0">
      <formula>0</formula>
    </cfRule>
  </conditionalFormatting>
  <conditionalFormatting sqref="F52">
    <cfRule type="cellIs" rank="0" priority="141" equalAverage="0" operator="greaterThan" aboveAverage="0" dxfId="7" text="" percent="0" bottom="0">
      <formula>0</formula>
    </cfRule>
  </conditionalFormatting>
  <conditionalFormatting sqref="I52">
    <cfRule type="cellIs" rank="0" priority="142" equalAverage="0" operator="lessThan" aboveAverage="0" dxfId="8" text="" percent="0" bottom="0">
      <formula>0</formula>
    </cfRule>
  </conditionalFormatting>
  <conditionalFormatting sqref="E53">
    <cfRule type="cellIs" rank="0" priority="143" equalAverage="0" operator="greaterThan" aboveAverage="0" dxfId="7" text="" percent="0" bottom="0">
      <formula>0</formula>
    </cfRule>
  </conditionalFormatting>
  <conditionalFormatting sqref="F53">
    <cfRule type="cellIs" rank="0" priority="144" equalAverage="0" operator="greaterThan" aboveAverage="0" dxfId="7" text="" percent="0" bottom="0">
      <formula>0</formula>
    </cfRule>
  </conditionalFormatting>
  <conditionalFormatting sqref="I53">
    <cfRule type="cellIs" rank="0" priority="145" equalAverage="0" operator="lessThan" aboveAverage="0" dxfId="8" text="" percent="0" bottom="0">
      <formula>0</formula>
    </cfRule>
  </conditionalFormatting>
  <conditionalFormatting sqref="E54">
    <cfRule type="cellIs" rank="0" priority="146" equalAverage="0" operator="greaterThan" aboveAverage="0" dxfId="7" text="" percent="0" bottom="0">
      <formula>0</formula>
    </cfRule>
  </conditionalFormatting>
  <conditionalFormatting sqref="F54">
    <cfRule type="cellIs" rank="0" priority="147" equalAverage="0" operator="greaterThan" aboveAverage="0" dxfId="7" text="" percent="0" bottom="0">
      <formula>0</formula>
    </cfRule>
  </conditionalFormatting>
  <conditionalFormatting sqref="I54">
    <cfRule type="cellIs" rank="0" priority="148" equalAverage="0" operator="lessThan" aboveAverage="0" dxfId="8" text="" percent="0" bottom="0">
      <formula>0</formula>
    </cfRule>
  </conditionalFormatting>
  <conditionalFormatting sqref="E55">
    <cfRule type="cellIs" rank="0" priority="149" equalAverage="0" operator="greaterThan" aboveAverage="0" dxfId="7" text="" percent="0" bottom="0">
      <formula>0</formula>
    </cfRule>
  </conditionalFormatting>
  <conditionalFormatting sqref="F55">
    <cfRule type="cellIs" rank="0" priority="150" equalAverage="0" operator="greaterThan" aboveAverage="0" dxfId="7" text="" percent="0" bottom="0">
      <formula>0</formula>
    </cfRule>
  </conditionalFormatting>
  <conditionalFormatting sqref="I55">
    <cfRule type="cellIs" rank="0" priority="151" equalAverage="0" operator="lessThan" aboveAverage="0" dxfId="8" text="" percent="0" bottom="0">
      <formula>0</formula>
    </cfRule>
  </conditionalFormatting>
  <conditionalFormatting sqref="E56">
    <cfRule type="cellIs" rank="0" priority="152" equalAverage="0" operator="greaterThan" aboveAverage="0" dxfId="7" text="" percent="0" bottom="0">
      <formula>0</formula>
    </cfRule>
  </conditionalFormatting>
  <conditionalFormatting sqref="F56">
    <cfRule type="cellIs" rank="0" priority="153" equalAverage="0" operator="greaterThan" aboveAverage="0" dxfId="7" text="" percent="0" bottom="0">
      <formula>0</formula>
    </cfRule>
  </conditionalFormatting>
  <conditionalFormatting sqref="I56">
    <cfRule type="cellIs" rank="0" priority="154" equalAverage="0" operator="lessThan" aboveAverage="0" dxfId="8" text="" percent="0" bottom="0">
      <formula>0</formula>
    </cfRule>
  </conditionalFormatting>
  <conditionalFormatting sqref="E57">
    <cfRule type="cellIs" rank="0" priority="155" equalAverage="0" operator="greaterThan" aboveAverage="0" dxfId="7" text="" percent="0" bottom="0">
      <formula>0</formula>
    </cfRule>
  </conditionalFormatting>
  <conditionalFormatting sqref="F57">
    <cfRule type="cellIs" rank="0" priority="156" equalAverage="0" operator="greaterThan" aboveAverage="0" dxfId="7" text="" percent="0" bottom="0">
      <formula>0</formula>
    </cfRule>
  </conditionalFormatting>
  <conditionalFormatting sqref="I57">
    <cfRule type="cellIs" rank="0" priority="157" equalAverage="0" operator="lessThan" aboveAverage="0" dxfId="8" text="" percent="0" bottom="0">
      <formula>0</formula>
    </cfRule>
  </conditionalFormatting>
  <conditionalFormatting sqref="E58">
    <cfRule type="cellIs" rank="0" priority="158" equalAverage="0" operator="greaterThan" aboveAverage="0" dxfId="7" text="" percent="0" bottom="0">
      <formula>0</formula>
    </cfRule>
  </conditionalFormatting>
  <conditionalFormatting sqref="F58">
    <cfRule type="cellIs" rank="0" priority="159" equalAverage="0" operator="greaterThan" aboveAverage="0" dxfId="7" text="" percent="0" bottom="0">
      <formula>0</formula>
    </cfRule>
  </conditionalFormatting>
  <conditionalFormatting sqref="I58">
    <cfRule type="cellIs" rank="0" priority="160" equalAverage="0" operator="lessThan" aboveAverage="0" dxfId="8" text="" percent="0" bottom="0">
      <formula>0</formula>
    </cfRule>
  </conditionalFormatting>
  <conditionalFormatting sqref="E59">
    <cfRule type="cellIs" rank="0" priority="161" equalAverage="0" operator="greaterThan" aboveAverage="0" dxfId="7" text="" percent="0" bottom="0">
      <formula>0</formula>
    </cfRule>
  </conditionalFormatting>
  <conditionalFormatting sqref="F59">
    <cfRule type="cellIs" rank="0" priority="162" equalAverage="0" operator="greaterThan" aboveAverage="0" dxfId="7" text="" percent="0" bottom="0">
      <formula>0</formula>
    </cfRule>
  </conditionalFormatting>
  <conditionalFormatting sqref="I59">
    <cfRule type="cellIs" rank="0" priority="163" equalAverage="0" operator="lessThan" aboveAverage="0" dxfId="8" text="" percent="0" bottom="0">
      <formula>0</formula>
    </cfRule>
  </conditionalFormatting>
  <conditionalFormatting sqref="E60">
    <cfRule type="cellIs" rank="0" priority="164" equalAverage="0" operator="greaterThan" aboveAverage="0" dxfId="7" text="" percent="0" bottom="0">
      <formula>0</formula>
    </cfRule>
  </conditionalFormatting>
  <conditionalFormatting sqref="F60">
    <cfRule type="cellIs" rank="0" priority="165" equalAverage="0" operator="greaterThan" aboveAverage="0" dxfId="7" text="" percent="0" bottom="0">
      <formula>0</formula>
    </cfRule>
  </conditionalFormatting>
  <conditionalFormatting sqref="I60">
    <cfRule type="cellIs" rank="0" priority="166" equalAverage="0" operator="lessThan" aboveAverage="0" dxfId="8" text="" percent="0" bottom="0">
      <formula>0</formula>
    </cfRule>
  </conditionalFormatting>
  <conditionalFormatting sqref="E61">
    <cfRule type="cellIs" rank="0" priority="167" equalAverage="0" operator="greaterThan" aboveAverage="0" dxfId="7" text="" percent="0" bottom="0">
      <formula>0</formula>
    </cfRule>
  </conditionalFormatting>
  <conditionalFormatting sqref="F61">
    <cfRule type="cellIs" rank="0" priority="168" equalAverage="0" operator="greaterThan" aboveAverage="0" dxfId="7" text="" percent="0" bottom="0">
      <formula>0</formula>
    </cfRule>
  </conditionalFormatting>
  <conditionalFormatting sqref="I61">
    <cfRule type="cellIs" rank="0" priority="169" equalAverage="0" operator="lessThan" aboveAverage="0" dxfId="8" text="" percent="0" bottom="0">
      <formula>0</formula>
    </cfRule>
  </conditionalFormatting>
  <conditionalFormatting sqref="E62">
    <cfRule type="cellIs" rank="0" priority="170" equalAverage="0" operator="greaterThan" aboveAverage="0" dxfId="7" text="" percent="0" bottom="0">
      <formula>0</formula>
    </cfRule>
  </conditionalFormatting>
  <conditionalFormatting sqref="F62">
    <cfRule type="cellIs" rank="0" priority="171" equalAverage="0" operator="greaterThan" aboveAverage="0" dxfId="7" text="" percent="0" bottom="0">
      <formula>0</formula>
    </cfRule>
  </conditionalFormatting>
  <conditionalFormatting sqref="I62">
    <cfRule type="cellIs" rank="0" priority="172" equalAverage="0" operator="lessThan" aboveAverage="0" dxfId="8" text="" percent="0" bottom="0">
      <formula>0</formula>
    </cfRule>
  </conditionalFormatting>
  <conditionalFormatting sqref="E63">
    <cfRule type="cellIs" rank="0" priority="173" equalAverage="0" operator="greaterThan" aboveAverage="0" dxfId="7" text="" percent="0" bottom="0">
      <formula>0</formula>
    </cfRule>
  </conditionalFormatting>
  <conditionalFormatting sqref="F63">
    <cfRule type="cellIs" rank="0" priority="174" equalAverage="0" operator="greaterThan" aboveAverage="0" dxfId="7" text="" percent="0" bottom="0">
      <formula>0</formula>
    </cfRule>
  </conditionalFormatting>
  <conditionalFormatting sqref="I63">
    <cfRule type="cellIs" rank="0" priority="175" equalAverage="0" operator="lessThan" aboveAverage="0" dxfId="8" text="" percent="0" bottom="0">
      <formula>0</formula>
    </cfRule>
  </conditionalFormatting>
  <conditionalFormatting sqref="E64">
    <cfRule type="cellIs" rank="0" priority="176" equalAverage="0" operator="greaterThan" aboveAverage="0" dxfId="7" text="" percent="0" bottom="0">
      <formula>0</formula>
    </cfRule>
  </conditionalFormatting>
  <conditionalFormatting sqref="F64">
    <cfRule type="cellIs" rank="0" priority="177" equalAverage="0" operator="greaterThan" aboveAverage="0" dxfId="7" text="" percent="0" bottom="0">
      <formula>0</formula>
    </cfRule>
  </conditionalFormatting>
  <conditionalFormatting sqref="I64">
    <cfRule type="cellIs" rank="0" priority="178" equalAverage="0" operator="lessThan" aboveAverage="0" dxfId="8" text="" percent="0" bottom="0">
      <formula>0</formula>
    </cfRule>
  </conditionalFormatting>
  <conditionalFormatting sqref="E65">
    <cfRule type="cellIs" rank="0" priority="179" equalAverage="0" operator="greaterThan" aboveAverage="0" dxfId="7" text="" percent="0" bottom="0">
      <formula>0</formula>
    </cfRule>
  </conditionalFormatting>
  <conditionalFormatting sqref="F65">
    <cfRule type="cellIs" rank="0" priority="180" equalAverage="0" operator="greaterThan" aboveAverage="0" dxfId="7" text="" percent="0" bottom="0">
      <formula>0</formula>
    </cfRule>
  </conditionalFormatting>
  <conditionalFormatting sqref="I65">
    <cfRule type="cellIs" rank="0" priority="181" equalAverage="0" operator="lessThan" aboveAverage="0" dxfId="8" text="" percent="0" bottom="0">
      <formula>0</formula>
    </cfRule>
  </conditionalFormatting>
  <conditionalFormatting sqref="E66">
    <cfRule type="cellIs" rank="0" priority="182" equalAverage="0" operator="greaterThan" aboveAverage="0" dxfId="7" text="" percent="0" bottom="0">
      <formula>0</formula>
    </cfRule>
  </conditionalFormatting>
  <conditionalFormatting sqref="F66">
    <cfRule type="cellIs" rank="0" priority="183" equalAverage="0" operator="greaterThan" aboveAverage="0" dxfId="7" text="" percent="0" bottom="0">
      <formula>0</formula>
    </cfRule>
  </conditionalFormatting>
  <conditionalFormatting sqref="I66">
    <cfRule type="cellIs" rank="0" priority="184" equalAverage="0" operator="lessThan" aboveAverage="0" dxfId="8" text="" percent="0" bottom="0">
      <formula>0</formula>
    </cfRule>
  </conditionalFormatting>
  <conditionalFormatting sqref="E67">
    <cfRule type="cellIs" rank="0" priority="185" equalAverage="0" operator="greaterThan" aboveAverage="0" dxfId="7" text="" percent="0" bottom="0">
      <formula>0</formula>
    </cfRule>
  </conditionalFormatting>
  <conditionalFormatting sqref="F67">
    <cfRule type="cellIs" rank="0" priority="186" equalAverage="0" operator="greaterThan" aboveAverage="0" dxfId="7" text="" percent="0" bottom="0">
      <formula>0</formula>
    </cfRule>
  </conditionalFormatting>
  <conditionalFormatting sqref="I67">
    <cfRule type="cellIs" rank="0" priority="187" equalAverage="0" operator="lessThan" aboveAverage="0" dxfId="8" text="" percent="0" bottom="0">
      <formula>0</formula>
    </cfRule>
  </conditionalFormatting>
  <conditionalFormatting sqref="E68">
    <cfRule type="cellIs" rank="0" priority="188" equalAverage="0" operator="greaterThan" aboveAverage="0" dxfId="7" text="" percent="0" bottom="0">
      <formula>0</formula>
    </cfRule>
  </conditionalFormatting>
  <conditionalFormatting sqref="F68">
    <cfRule type="cellIs" rank="0" priority="189" equalAverage="0" operator="greaterThan" aboveAverage="0" dxfId="7" text="" percent="0" bottom="0">
      <formula>0</formula>
    </cfRule>
  </conditionalFormatting>
  <conditionalFormatting sqref="I68">
    <cfRule type="cellIs" rank="0" priority="190" equalAverage="0" operator="lessThan" aboveAverage="0" dxfId="8" text="" percent="0" bottom="0">
      <formula>0</formula>
    </cfRule>
  </conditionalFormatting>
  <conditionalFormatting sqref="E69">
    <cfRule type="cellIs" rank="0" priority="191" equalAverage="0" operator="greaterThan" aboveAverage="0" dxfId="7" text="" percent="0" bottom="0">
      <formula>0</formula>
    </cfRule>
  </conditionalFormatting>
  <conditionalFormatting sqref="F69">
    <cfRule type="cellIs" rank="0" priority="192" equalAverage="0" operator="greaterThan" aboveAverage="0" dxfId="7" text="" percent="0" bottom="0">
      <formula>0</formula>
    </cfRule>
  </conditionalFormatting>
  <conditionalFormatting sqref="I69">
    <cfRule type="cellIs" rank="0" priority="193" equalAverage="0" operator="lessThan" aboveAverage="0" dxfId="8" text="" percent="0" bottom="0">
      <formula>0</formula>
    </cfRule>
  </conditionalFormatting>
  <conditionalFormatting sqref="E70">
    <cfRule type="cellIs" rank="0" priority="194" equalAverage="0" operator="greaterThan" aboveAverage="0" dxfId="7" text="" percent="0" bottom="0">
      <formula>0</formula>
    </cfRule>
  </conditionalFormatting>
  <conditionalFormatting sqref="F70">
    <cfRule type="cellIs" rank="0" priority="195" equalAverage="0" operator="greaterThan" aboveAverage="0" dxfId="7" text="" percent="0" bottom="0">
      <formula>0</formula>
    </cfRule>
  </conditionalFormatting>
  <conditionalFormatting sqref="I70">
    <cfRule type="cellIs" rank="0" priority="196" equalAverage="0" operator="lessThan" aboveAverage="0" dxfId="8" text="" percent="0" bottom="0">
      <formula>0</formula>
    </cfRule>
  </conditionalFormatting>
  <conditionalFormatting sqref="E71">
    <cfRule type="cellIs" rank="0" priority="197" equalAverage="0" operator="greaterThan" aboveAverage="0" dxfId="7" text="" percent="0" bottom="0">
      <formula>0</formula>
    </cfRule>
  </conditionalFormatting>
  <conditionalFormatting sqref="F71">
    <cfRule type="cellIs" rank="0" priority="198" equalAverage="0" operator="greaterThan" aboveAverage="0" dxfId="7" text="" percent="0" bottom="0">
      <formula>0</formula>
    </cfRule>
  </conditionalFormatting>
  <conditionalFormatting sqref="I71">
    <cfRule type="cellIs" rank="0" priority="199" equalAverage="0" operator="lessThan" aboveAverage="0" dxfId="8" text="" percent="0" bottom="0">
      <formula>0</formula>
    </cfRule>
  </conditionalFormatting>
  <conditionalFormatting sqref="E72">
    <cfRule type="cellIs" rank="0" priority="200" equalAverage="0" operator="greaterThan" aboveAverage="0" dxfId="7" text="" percent="0" bottom="0">
      <formula>0</formula>
    </cfRule>
  </conditionalFormatting>
  <conditionalFormatting sqref="F72">
    <cfRule type="cellIs" rank="0" priority="201" equalAverage="0" operator="greaterThan" aboveAverage="0" dxfId="7" text="" percent="0" bottom="0">
      <formula>0</formula>
    </cfRule>
  </conditionalFormatting>
  <conditionalFormatting sqref="I72">
    <cfRule type="cellIs" rank="0" priority="202" equalAverage="0" operator="lessThan" aboveAverage="0" dxfId="8" text="" percent="0" bottom="0">
      <formula>0</formula>
    </cfRule>
  </conditionalFormatting>
  <conditionalFormatting sqref="E73">
    <cfRule type="cellIs" rank="0" priority="203" equalAverage="0" operator="greaterThan" aboveAverage="0" dxfId="7" text="" percent="0" bottom="0">
      <formula>0</formula>
    </cfRule>
  </conditionalFormatting>
  <conditionalFormatting sqref="F73">
    <cfRule type="cellIs" rank="0" priority="204" equalAverage="0" operator="greaterThan" aboveAverage="0" dxfId="7" text="" percent="0" bottom="0">
      <formula>0</formula>
    </cfRule>
  </conditionalFormatting>
  <conditionalFormatting sqref="I73">
    <cfRule type="cellIs" rank="0" priority="205" equalAverage="0" operator="lessThan" aboveAverage="0" dxfId="8" text="" percent="0" bottom="0">
      <formula>0</formula>
    </cfRule>
  </conditionalFormatting>
  <conditionalFormatting sqref="E74">
    <cfRule type="cellIs" rank="0" priority="206" equalAverage="0" operator="greaterThan" aboveAverage="0" dxfId="7" text="" percent="0" bottom="0">
      <formula>0</formula>
    </cfRule>
  </conditionalFormatting>
  <conditionalFormatting sqref="F74">
    <cfRule type="cellIs" rank="0" priority="207" equalAverage="0" operator="greaterThan" aboveAverage="0" dxfId="7" text="" percent="0" bottom="0">
      <formula>0</formula>
    </cfRule>
  </conditionalFormatting>
  <conditionalFormatting sqref="I74">
    <cfRule type="cellIs" rank="0" priority="208" equalAverage="0" operator="lessThan" aboveAverage="0" dxfId="8" text="" percent="0" bottom="0">
      <formula>0</formula>
    </cfRule>
  </conditionalFormatting>
  <conditionalFormatting sqref="E75">
    <cfRule type="cellIs" rank="0" priority="209" equalAverage="0" operator="greaterThan" aboveAverage="0" dxfId="7" text="" percent="0" bottom="0">
      <formula>0</formula>
    </cfRule>
  </conditionalFormatting>
  <conditionalFormatting sqref="F75">
    <cfRule type="cellIs" rank="0" priority="210" equalAverage="0" operator="greaterThan" aboveAverage="0" dxfId="7" text="" percent="0" bottom="0">
      <formula>0</formula>
    </cfRule>
  </conditionalFormatting>
  <conditionalFormatting sqref="I75">
    <cfRule type="cellIs" rank="0" priority="211" equalAverage="0" operator="lessThan" aboveAverage="0" dxfId="8" text="" percent="0" bottom="0">
      <formula>0</formula>
    </cfRule>
  </conditionalFormatting>
  <conditionalFormatting sqref="E76">
    <cfRule type="cellIs" rank="0" priority="212" equalAverage="0" operator="greaterThan" aboveAverage="0" dxfId="7" text="" percent="0" bottom="0">
      <formula>0</formula>
    </cfRule>
  </conditionalFormatting>
  <conditionalFormatting sqref="F76">
    <cfRule type="cellIs" rank="0" priority="213" equalAverage="0" operator="greaterThan" aboveAverage="0" dxfId="7" text="" percent="0" bottom="0">
      <formula>0</formula>
    </cfRule>
  </conditionalFormatting>
  <conditionalFormatting sqref="I76">
    <cfRule type="cellIs" rank="0" priority="214" equalAverage="0" operator="lessThan" aboveAverage="0" dxfId="8" text="" percent="0" bottom="0">
      <formula>0</formula>
    </cfRule>
  </conditionalFormatting>
  <conditionalFormatting sqref="E77">
    <cfRule type="cellIs" rank="0" priority="215" equalAverage="0" operator="greaterThan" aboveAverage="0" dxfId="7" text="" percent="0" bottom="0">
      <formula>0</formula>
    </cfRule>
  </conditionalFormatting>
  <conditionalFormatting sqref="F77">
    <cfRule type="cellIs" rank="0" priority="216" equalAverage="0" operator="greaterThan" aboveAverage="0" dxfId="7" text="" percent="0" bottom="0">
      <formula>0</formula>
    </cfRule>
  </conditionalFormatting>
  <conditionalFormatting sqref="I77">
    <cfRule type="cellIs" rank="0" priority="217" equalAverage="0" operator="lessThan" aboveAverage="0" dxfId="8" text="" percent="0" bottom="0">
      <formula>0</formula>
    </cfRule>
  </conditionalFormatting>
  <conditionalFormatting sqref="E78">
    <cfRule type="cellIs" rank="0" priority="218" equalAverage="0" operator="greaterThan" aboveAverage="0" dxfId="7" text="" percent="0" bottom="0">
      <formula>0</formula>
    </cfRule>
  </conditionalFormatting>
  <conditionalFormatting sqref="F78">
    <cfRule type="cellIs" rank="0" priority="219" equalAverage="0" operator="greaterThan" aboveAverage="0" dxfId="7" text="" percent="0" bottom="0">
      <formula>0</formula>
    </cfRule>
  </conditionalFormatting>
  <conditionalFormatting sqref="I78">
    <cfRule type="cellIs" rank="0" priority="220" equalAverage="0" operator="lessThan" aboveAverage="0" dxfId="8" text="" percent="0" bottom="0">
      <formula>0</formula>
    </cfRule>
  </conditionalFormatting>
  <conditionalFormatting sqref="E79">
    <cfRule type="cellIs" rank="0" priority="221" equalAverage="0" operator="greaterThan" aboveAverage="0" dxfId="7" text="" percent="0" bottom="0">
      <formula>0</formula>
    </cfRule>
  </conditionalFormatting>
  <conditionalFormatting sqref="F79">
    <cfRule type="cellIs" rank="0" priority="222" equalAverage="0" operator="greaterThan" aboveAverage="0" dxfId="7" text="" percent="0" bottom="0">
      <formula>0</formula>
    </cfRule>
  </conditionalFormatting>
  <conditionalFormatting sqref="I79">
    <cfRule type="cellIs" rank="0" priority="223" equalAverage="0" operator="lessThan" aboveAverage="0" dxfId="8" text="" percent="0" bottom="0">
      <formula>0</formula>
    </cfRule>
  </conditionalFormatting>
  <conditionalFormatting sqref="E80">
    <cfRule type="cellIs" rank="0" priority="224" equalAverage="0" operator="greaterThan" aboveAverage="0" dxfId="7" text="" percent="0" bottom="0">
      <formula>0</formula>
    </cfRule>
  </conditionalFormatting>
  <conditionalFormatting sqref="F80">
    <cfRule type="cellIs" rank="0" priority="225" equalAverage="0" operator="greaterThan" aboveAverage="0" dxfId="7" text="" percent="0" bottom="0">
      <formula>0</formula>
    </cfRule>
  </conditionalFormatting>
  <conditionalFormatting sqref="I80">
    <cfRule type="cellIs" rank="0" priority="226" equalAverage="0" operator="lessThan" aboveAverage="0" dxfId="8" text="" percent="0" bottom="0">
      <formula>0</formula>
    </cfRule>
  </conditionalFormatting>
  <conditionalFormatting sqref="E81">
    <cfRule type="cellIs" rank="0" priority="227" equalAverage="0" operator="greaterThan" aboveAverage="0" dxfId="7" text="" percent="0" bottom="0">
      <formula>0</formula>
    </cfRule>
  </conditionalFormatting>
  <conditionalFormatting sqref="F81">
    <cfRule type="cellIs" rank="0" priority="228" equalAverage="0" operator="greaterThan" aboveAverage="0" dxfId="7" text="" percent="0" bottom="0">
      <formula>0</formula>
    </cfRule>
  </conditionalFormatting>
  <conditionalFormatting sqref="I81">
    <cfRule type="cellIs" rank="0" priority="229" equalAverage="0" operator="lessThan" aboveAverage="0" dxfId="8" text="" percent="0" bottom="0">
      <formula>0</formula>
    </cfRule>
  </conditionalFormatting>
  <conditionalFormatting sqref="E82">
    <cfRule type="cellIs" rank="0" priority="230" equalAverage="0" operator="greaterThan" aboveAverage="0" dxfId="7" text="" percent="0" bottom="0">
      <formula>0</formula>
    </cfRule>
  </conditionalFormatting>
  <conditionalFormatting sqref="F82">
    <cfRule type="cellIs" rank="0" priority="231" equalAverage="0" operator="greaterThan" aboveAverage="0" dxfId="7" text="" percent="0" bottom="0">
      <formula>0</formula>
    </cfRule>
  </conditionalFormatting>
  <conditionalFormatting sqref="I82">
    <cfRule type="cellIs" rank="0" priority="232" equalAverage="0" operator="lessThan" aboveAverage="0" dxfId="8" text="" percent="0" bottom="0">
      <formula>0</formula>
    </cfRule>
  </conditionalFormatting>
  <conditionalFormatting sqref="E83">
    <cfRule type="cellIs" rank="0" priority="233" equalAverage="0" operator="greaterThan" aboveAverage="0" dxfId="7" text="" percent="0" bottom="0">
      <formula>0</formula>
    </cfRule>
  </conditionalFormatting>
  <conditionalFormatting sqref="F83">
    <cfRule type="cellIs" rank="0" priority="234" equalAverage="0" operator="greaterThan" aboveAverage="0" dxfId="7" text="" percent="0" bottom="0">
      <formula>0</formula>
    </cfRule>
  </conditionalFormatting>
  <conditionalFormatting sqref="I83">
    <cfRule type="cellIs" rank="0" priority="235" equalAverage="0" operator="lessThan" aboveAverage="0" dxfId="8" text="" percent="0" bottom="0">
      <formula>0</formula>
    </cfRule>
  </conditionalFormatting>
  <conditionalFormatting sqref="E84">
    <cfRule type="cellIs" rank="0" priority="236" equalAverage="0" operator="greaterThan" aboveAverage="0" dxfId="7" text="" percent="0" bottom="0">
      <formula>0</formula>
    </cfRule>
  </conditionalFormatting>
  <conditionalFormatting sqref="F84">
    <cfRule type="cellIs" rank="0" priority="237" equalAverage="0" operator="greaterThan" aboveAverage="0" dxfId="7" text="" percent="0" bottom="0">
      <formula>0</formula>
    </cfRule>
  </conditionalFormatting>
  <conditionalFormatting sqref="I84">
    <cfRule type="cellIs" rank="0" priority="238" equalAverage="0" operator="lessThan" aboveAverage="0" dxfId="8" text="" percent="0" bottom="0">
      <formula>0</formula>
    </cfRule>
  </conditionalFormatting>
  <conditionalFormatting sqref="E85">
    <cfRule type="cellIs" rank="0" priority="239" equalAverage="0" operator="greaterThan" aboveAverage="0" dxfId="7" text="" percent="0" bottom="0">
      <formula>0</formula>
    </cfRule>
  </conditionalFormatting>
  <conditionalFormatting sqref="F85">
    <cfRule type="cellIs" rank="0" priority="240" equalAverage="0" operator="greaterThan" aboveAverage="0" dxfId="7" text="" percent="0" bottom="0">
      <formula>0</formula>
    </cfRule>
  </conditionalFormatting>
  <conditionalFormatting sqref="I85">
    <cfRule type="cellIs" rank="0" priority="241" equalAverage="0" operator="lessThan" aboveAverage="0" dxfId="8" text="" percent="0" bottom="0">
      <formula>0</formula>
    </cfRule>
  </conditionalFormatting>
  <conditionalFormatting sqref="E86">
    <cfRule type="cellIs" rank="0" priority="242" equalAverage="0" operator="greaterThan" aboveAverage="0" dxfId="7" text="" percent="0" bottom="0">
      <formula>0</formula>
    </cfRule>
  </conditionalFormatting>
  <conditionalFormatting sqref="F86">
    <cfRule type="cellIs" rank="0" priority="243" equalAverage="0" operator="greaterThan" aboveAverage="0" dxfId="7" text="" percent="0" bottom="0">
      <formula>0</formula>
    </cfRule>
  </conditionalFormatting>
  <conditionalFormatting sqref="I86">
    <cfRule type="cellIs" rank="0" priority="244" equalAverage="0" operator="lessThan" aboveAverage="0" dxfId="8" text="" percent="0" bottom="0">
      <formula>0</formula>
    </cfRule>
  </conditionalFormatting>
  <conditionalFormatting sqref="E87">
    <cfRule type="cellIs" rank="0" priority="245" equalAverage="0" operator="greaterThan" aboveAverage="0" dxfId="7" text="" percent="0" bottom="0">
      <formula>0</formula>
    </cfRule>
  </conditionalFormatting>
  <conditionalFormatting sqref="F87">
    <cfRule type="cellIs" rank="0" priority="246" equalAverage="0" operator="greaterThan" aboveAverage="0" dxfId="7" text="" percent="0" bottom="0">
      <formula>0</formula>
    </cfRule>
  </conditionalFormatting>
  <conditionalFormatting sqref="I87">
    <cfRule type="cellIs" rank="0" priority="247" equalAverage="0" operator="lessThan" aboveAverage="0" dxfId="8" text="" percent="0" bottom="0">
      <formula>0</formula>
    </cfRule>
  </conditionalFormatting>
  <conditionalFormatting sqref="E88">
    <cfRule type="cellIs" rank="0" priority="248" equalAverage="0" operator="greaterThan" aboveAverage="0" dxfId="7" text="" percent="0" bottom="0">
      <formula>0</formula>
    </cfRule>
  </conditionalFormatting>
  <conditionalFormatting sqref="F88">
    <cfRule type="cellIs" rank="0" priority="249" equalAverage="0" operator="greaterThan" aboveAverage="0" dxfId="7" text="" percent="0" bottom="0">
      <formula>0</formula>
    </cfRule>
  </conditionalFormatting>
  <conditionalFormatting sqref="I88">
    <cfRule type="cellIs" rank="0" priority="250" equalAverage="0" operator="lessThan" aboveAverage="0" dxfId="8" text="" percent="0" bottom="0">
      <formula>0</formula>
    </cfRule>
  </conditionalFormatting>
  <conditionalFormatting sqref="E89">
    <cfRule type="cellIs" rank="0" priority="251" equalAverage="0" operator="greaterThan" aboveAverage="0" dxfId="7" text="" percent="0" bottom="0">
      <formula>0</formula>
    </cfRule>
  </conditionalFormatting>
  <conditionalFormatting sqref="F89">
    <cfRule type="cellIs" rank="0" priority="252" equalAverage="0" operator="greaterThan" aboveAverage="0" dxfId="7" text="" percent="0" bottom="0">
      <formula>0</formula>
    </cfRule>
  </conditionalFormatting>
  <conditionalFormatting sqref="I89">
    <cfRule type="cellIs" rank="0" priority="253" equalAverage="0" operator="lessThan" aboveAverage="0" dxfId="8" text="" percent="0" bottom="0">
      <formula>0</formula>
    </cfRule>
  </conditionalFormatting>
  <conditionalFormatting sqref="E90">
    <cfRule type="cellIs" rank="0" priority="254" equalAverage="0" operator="greaterThan" aboveAverage="0" dxfId="7" text="" percent="0" bottom="0">
      <formula>0</formula>
    </cfRule>
  </conditionalFormatting>
  <conditionalFormatting sqref="F90">
    <cfRule type="cellIs" rank="0" priority="255" equalAverage="0" operator="greaterThan" aboveAverage="0" dxfId="7" text="" percent="0" bottom="0">
      <formula>0</formula>
    </cfRule>
  </conditionalFormatting>
  <conditionalFormatting sqref="I90">
    <cfRule type="cellIs" rank="0" priority="256" equalAverage="0" operator="lessThan" aboveAverage="0" dxfId="8" text="" percent="0" bottom="0">
      <formula>0</formula>
    </cfRule>
  </conditionalFormatting>
  <conditionalFormatting sqref="E91">
    <cfRule type="cellIs" rank="0" priority="257" equalAverage="0" operator="greaterThan" aboveAverage="0" dxfId="7" text="" percent="0" bottom="0">
      <formula>0</formula>
    </cfRule>
  </conditionalFormatting>
  <conditionalFormatting sqref="F91">
    <cfRule type="cellIs" rank="0" priority="258" equalAverage="0" operator="greaterThan" aboveAverage="0" dxfId="7" text="" percent="0" bottom="0">
      <formula>0</formula>
    </cfRule>
  </conditionalFormatting>
  <conditionalFormatting sqref="I91">
    <cfRule type="cellIs" rank="0" priority="259" equalAverage="0" operator="lessThan" aboveAverage="0" dxfId="8" text="" percent="0" bottom="0">
      <formula>0</formula>
    </cfRule>
  </conditionalFormatting>
  <conditionalFormatting sqref="E92">
    <cfRule type="cellIs" rank="0" priority="260" equalAverage="0" operator="greaterThan" aboveAverage="0" dxfId="7" text="" percent="0" bottom="0">
      <formula>0</formula>
    </cfRule>
  </conditionalFormatting>
  <conditionalFormatting sqref="F92">
    <cfRule type="cellIs" rank="0" priority="261" equalAverage="0" operator="greaterThan" aboveAverage="0" dxfId="7" text="" percent="0" bottom="0">
      <formula>0</formula>
    </cfRule>
  </conditionalFormatting>
  <conditionalFormatting sqref="I92">
    <cfRule type="cellIs" rank="0" priority="262" equalAverage="0" operator="lessThan" aboveAverage="0" dxfId="8" text="" percent="0" bottom="0">
      <formula>0</formula>
    </cfRule>
  </conditionalFormatting>
  <conditionalFormatting sqref="E93">
    <cfRule type="cellIs" rank="0" priority="263" equalAverage="0" operator="greaterThan" aboveAverage="0" dxfId="7" text="" percent="0" bottom="0">
      <formula>0</formula>
    </cfRule>
  </conditionalFormatting>
  <conditionalFormatting sqref="F93">
    <cfRule type="cellIs" rank="0" priority="264" equalAverage="0" operator="greaterThan" aboveAverage="0" dxfId="7" text="" percent="0" bottom="0">
      <formula>0</formula>
    </cfRule>
  </conditionalFormatting>
  <conditionalFormatting sqref="I93">
    <cfRule type="cellIs" rank="0" priority="265" equalAverage="0" operator="lessThan" aboveAverage="0" dxfId="8" text="" percent="0" bottom="0">
      <formula>0</formula>
    </cfRule>
  </conditionalFormatting>
  <conditionalFormatting sqref="E94">
    <cfRule type="cellIs" rank="0" priority="266" equalAverage="0" operator="greaterThan" aboveAverage="0" dxfId="7" text="" percent="0" bottom="0">
      <formula>0</formula>
    </cfRule>
  </conditionalFormatting>
  <conditionalFormatting sqref="F94">
    <cfRule type="cellIs" rank="0" priority="267" equalAverage="0" operator="greaterThan" aboveAverage="0" dxfId="7" text="" percent="0" bottom="0">
      <formula>0</formula>
    </cfRule>
  </conditionalFormatting>
  <conditionalFormatting sqref="I94">
    <cfRule type="cellIs" rank="0" priority="268" equalAverage="0" operator="lessThan" aboveAverage="0" dxfId="8" text="" percent="0" bottom="0">
      <formula>0</formula>
    </cfRule>
  </conditionalFormatting>
  <conditionalFormatting sqref="E95">
    <cfRule type="cellIs" rank="0" priority="269" equalAverage="0" operator="greaterThan" aboveAverage="0" dxfId="7" text="" percent="0" bottom="0">
      <formula>0</formula>
    </cfRule>
  </conditionalFormatting>
  <conditionalFormatting sqref="F95">
    <cfRule type="cellIs" rank="0" priority="270" equalAverage="0" operator="greaterThan" aboveAverage="0" dxfId="7" text="" percent="0" bottom="0">
      <formula>0</formula>
    </cfRule>
  </conditionalFormatting>
  <conditionalFormatting sqref="I95">
    <cfRule type="cellIs" rank="0" priority="271" equalAverage="0" operator="lessThan" aboveAverage="0" dxfId="8" text="" percent="0" bottom="0">
      <formula>0</formula>
    </cfRule>
  </conditionalFormatting>
  <conditionalFormatting sqref="E96">
    <cfRule type="cellIs" rank="0" priority="272" equalAverage="0" operator="greaterThan" aboveAverage="0" dxfId="7" text="" percent="0" bottom="0">
      <formula>0</formula>
    </cfRule>
  </conditionalFormatting>
  <conditionalFormatting sqref="F96">
    <cfRule type="cellIs" rank="0" priority="273" equalAverage="0" operator="greaterThan" aboveAverage="0" dxfId="7" text="" percent="0" bottom="0">
      <formula>0</formula>
    </cfRule>
  </conditionalFormatting>
  <conditionalFormatting sqref="I96">
    <cfRule type="cellIs" rank="0" priority="274" equalAverage="0" operator="lessThan" aboveAverage="0" dxfId="8" text="" percent="0" bottom="0">
      <formula>0</formula>
    </cfRule>
  </conditionalFormatting>
  <conditionalFormatting sqref="E97">
    <cfRule type="cellIs" rank="0" priority="275" equalAverage="0" operator="greaterThan" aboveAverage="0" dxfId="7" text="" percent="0" bottom="0">
      <formula>0</formula>
    </cfRule>
  </conditionalFormatting>
  <conditionalFormatting sqref="F97">
    <cfRule type="cellIs" rank="0" priority="276" equalAverage="0" operator="greaterThan" aboveAverage="0" dxfId="7" text="" percent="0" bottom="0">
      <formula>0</formula>
    </cfRule>
  </conditionalFormatting>
  <conditionalFormatting sqref="I97">
    <cfRule type="cellIs" rank="0" priority="277" equalAverage="0" operator="lessThan" aboveAverage="0" dxfId="8" text="" percent="0" bottom="0">
      <formula>0</formula>
    </cfRule>
  </conditionalFormatting>
  <conditionalFormatting sqref="E98">
    <cfRule type="cellIs" rank="0" priority="278" equalAverage="0" operator="greaterThan" aboveAverage="0" dxfId="7" text="" percent="0" bottom="0">
      <formula>0</formula>
    </cfRule>
  </conditionalFormatting>
  <conditionalFormatting sqref="F98">
    <cfRule type="cellIs" rank="0" priority="279" equalAverage="0" operator="greaterThan" aboveAverage="0" dxfId="7" text="" percent="0" bottom="0">
      <formula>0</formula>
    </cfRule>
  </conditionalFormatting>
  <conditionalFormatting sqref="I98">
    <cfRule type="cellIs" rank="0" priority="280" equalAverage="0" operator="lessThan" aboveAverage="0" dxfId="8" text="" percent="0" bottom="0">
      <formula>0</formula>
    </cfRule>
  </conditionalFormatting>
  <conditionalFormatting sqref="E99">
    <cfRule type="cellIs" rank="0" priority="281" equalAverage="0" operator="greaterThan" aboveAverage="0" dxfId="7" text="" percent="0" bottom="0">
      <formula>0</formula>
    </cfRule>
  </conditionalFormatting>
  <conditionalFormatting sqref="F99">
    <cfRule type="cellIs" rank="0" priority="282" equalAverage="0" operator="greaterThan" aboveAverage="0" dxfId="7" text="" percent="0" bottom="0">
      <formula>0</formula>
    </cfRule>
  </conditionalFormatting>
  <conditionalFormatting sqref="I99">
    <cfRule type="cellIs" rank="0" priority="283" equalAverage="0" operator="lessThan" aboveAverage="0" dxfId="8" text="" percent="0" bottom="0">
      <formula>0</formula>
    </cfRule>
  </conditionalFormatting>
  <conditionalFormatting sqref="E100">
    <cfRule type="cellIs" rank="0" priority="284" equalAverage="0" operator="greaterThan" aboveAverage="0" dxfId="7" text="" percent="0" bottom="0">
      <formula>0</formula>
    </cfRule>
  </conditionalFormatting>
  <conditionalFormatting sqref="F100">
    <cfRule type="cellIs" rank="0" priority="285" equalAverage="0" operator="greaterThan" aboveAverage="0" dxfId="7" text="" percent="0" bottom="0">
      <formula>0</formula>
    </cfRule>
  </conditionalFormatting>
  <conditionalFormatting sqref="I100">
    <cfRule type="cellIs" rank="0" priority="286" equalAverage="0" operator="lessThan" aboveAverage="0" dxfId="8" text="" percent="0" bottom="0">
      <formula>0</formula>
    </cfRule>
  </conditionalFormatting>
  <conditionalFormatting sqref="E101">
    <cfRule type="cellIs" rank="0" priority="287" equalAverage="0" operator="greaterThan" aboveAverage="0" dxfId="7" text="" percent="0" bottom="0">
      <formula>0</formula>
    </cfRule>
  </conditionalFormatting>
  <conditionalFormatting sqref="F101">
    <cfRule type="cellIs" rank="0" priority="288" equalAverage="0" operator="greaterThan" aboveAverage="0" dxfId="7" text="" percent="0" bottom="0">
      <formula>0</formula>
    </cfRule>
  </conditionalFormatting>
  <conditionalFormatting sqref="I101">
    <cfRule type="cellIs" rank="0" priority="289" equalAverage="0" operator="lessThan" aboveAverage="0" dxfId="8" text="" percent="0" bottom="0">
      <formula>0</formula>
    </cfRule>
  </conditionalFormatting>
  <conditionalFormatting sqref="E102">
    <cfRule type="cellIs" rank="0" priority="290" equalAverage="0" operator="greaterThan" aboveAverage="0" dxfId="7" text="" percent="0" bottom="0">
      <formula>0</formula>
    </cfRule>
  </conditionalFormatting>
  <conditionalFormatting sqref="F102">
    <cfRule type="cellIs" rank="0" priority="291" equalAverage="0" operator="greaterThan" aboveAverage="0" dxfId="7" text="" percent="0" bottom="0">
      <formula>0</formula>
    </cfRule>
  </conditionalFormatting>
  <conditionalFormatting sqref="I102">
    <cfRule type="cellIs" rank="0" priority="292" equalAverage="0" operator="lessThan" aboveAverage="0" dxfId="8" text="" percent="0" bottom="0">
      <formula>0</formula>
    </cfRule>
  </conditionalFormatting>
  <conditionalFormatting sqref="E103">
    <cfRule type="cellIs" rank="0" priority="293" equalAverage="0" operator="greaterThan" aboveAverage="0" dxfId="7" text="" percent="0" bottom="0">
      <formula>0</formula>
    </cfRule>
  </conditionalFormatting>
  <conditionalFormatting sqref="F103">
    <cfRule type="cellIs" rank="0" priority="294" equalAverage="0" operator="greaterThan" aboveAverage="0" dxfId="7" text="" percent="0" bottom="0">
      <formula>0</formula>
    </cfRule>
  </conditionalFormatting>
  <conditionalFormatting sqref="I103">
    <cfRule type="cellIs" rank="0" priority="295" equalAverage="0" operator="lessThan" aboveAverage="0" dxfId="8" text="" percent="0" bottom="0">
      <formula>0</formula>
    </cfRule>
  </conditionalFormatting>
  <conditionalFormatting sqref="E104">
    <cfRule type="cellIs" rank="0" priority="296" equalAverage="0" operator="greaterThan" aboveAverage="0" dxfId="7" text="" percent="0" bottom="0">
      <formula>0</formula>
    </cfRule>
  </conditionalFormatting>
  <conditionalFormatting sqref="F104">
    <cfRule type="cellIs" rank="0" priority="297" equalAverage="0" operator="greaterThan" aboveAverage="0" dxfId="7" text="" percent="0" bottom="0">
      <formula>0</formula>
    </cfRule>
  </conditionalFormatting>
  <conditionalFormatting sqref="I104">
    <cfRule type="cellIs" rank="0" priority="298" equalAverage="0" operator="lessThan" aboveAverage="0" dxfId="8" text="" percent="0" bottom="0">
      <formula>0</formula>
    </cfRule>
  </conditionalFormatting>
  <conditionalFormatting sqref="E105">
    <cfRule type="cellIs" rank="0" priority="299" equalAverage="0" operator="greaterThan" aboveAverage="0" dxfId="7" text="" percent="0" bottom="0">
      <formula>0</formula>
    </cfRule>
  </conditionalFormatting>
  <conditionalFormatting sqref="F105">
    <cfRule type="cellIs" rank="0" priority="300" equalAverage="0" operator="greaterThan" aboveAverage="0" dxfId="7" text="" percent="0" bottom="0">
      <formula>0</formula>
    </cfRule>
  </conditionalFormatting>
  <conditionalFormatting sqref="I105">
    <cfRule type="cellIs" rank="0" priority="301" equalAverage="0" operator="lessThan" aboveAverage="0" dxfId="8" text="" percent="0" bottom="0">
      <formula>0</formula>
    </cfRule>
  </conditionalFormatting>
  <conditionalFormatting sqref="E106">
    <cfRule type="cellIs" rank="0" priority="302" equalAverage="0" operator="greaterThan" aboveAverage="0" dxfId="7" text="" percent="0" bottom="0">
      <formula>0</formula>
    </cfRule>
  </conditionalFormatting>
  <conditionalFormatting sqref="F106">
    <cfRule type="cellIs" rank="0" priority="303" equalAverage="0" operator="greaterThan" aboveAverage="0" dxfId="7" text="" percent="0" bottom="0">
      <formula>0</formula>
    </cfRule>
  </conditionalFormatting>
  <conditionalFormatting sqref="I106">
    <cfRule type="cellIs" rank="0" priority="304" equalAverage="0" operator="lessThan" aboveAverage="0" dxfId="8" text="" percent="0" bottom="0">
      <formula>0</formula>
    </cfRule>
  </conditionalFormatting>
  <conditionalFormatting sqref="E107">
    <cfRule type="cellIs" rank="0" priority="305" equalAverage="0" operator="greaterThan" aboveAverage="0" dxfId="7" text="" percent="0" bottom="0">
      <formula>0</formula>
    </cfRule>
  </conditionalFormatting>
  <conditionalFormatting sqref="F107">
    <cfRule type="cellIs" rank="0" priority="306" equalAverage="0" operator="greaterThan" aboveAverage="0" dxfId="7" text="" percent="0" bottom="0">
      <formula>0</formula>
    </cfRule>
  </conditionalFormatting>
  <conditionalFormatting sqref="I107">
    <cfRule type="cellIs" rank="0" priority="307" equalAverage="0" operator="lessThan" aboveAverage="0" dxfId="8" text="" percent="0" bottom="0">
      <formula>0</formula>
    </cfRule>
  </conditionalFormatting>
  <conditionalFormatting sqref="E108">
    <cfRule type="cellIs" rank="0" priority="308" equalAverage="0" operator="greaterThan" aboveAverage="0" dxfId="7" text="" percent="0" bottom="0">
      <formula>0</formula>
    </cfRule>
  </conditionalFormatting>
  <conditionalFormatting sqref="F108">
    <cfRule type="cellIs" rank="0" priority="309" equalAverage="0" operator="greaterThan" aboveAverage="0" dxfId="7" text="" percent="0" bottom="0">
      <formula>0</formula>
    </cfRule>
  </conditionalFormatting>
  <conditionalFormatting sqref="I108">
    <cfRule type="cellIs" rank="0" priority="310" equalAverage="0" operator="lessThan" aboveAverage="0" dxfId="8" text="" percent="0" bottom="0">
      <formula>0</formula>
    </cfRule>
  </conditionalFormatting>
  <conditionalFormatting sqref="E109">
    <cfRule type="cellIs" rank="0" priority="311" equalAverage="0" operator="greaterThan" aboveAverage="0" dxfId="7" text="" percent="0" bottom="0">
      <formula>0</formula>
    </cfRule>
  </conditionalFormatting>
  <conditionalFormatting sqref="F109">
    <cfRule type="cellIs" rank="0" priority="312" equalAverage="0" operator="greaterThan" aboveAverage="0" dxfId="7" text="" percent="0" bottom="0">
      <formula>0</formula>
    </cfRule>
  </conditionalFormatting>
  <conditionalFormatting sqref="I109">
    <cfRule type="cellIs" rank="0" priority="313" equalAverage="0" operator="lessThan" aboveAverage="0" dxfId="8" text="" percent="0" bottom="0">
      <formula>0</formula>
    </cfRule>
  </conditionalFormatting>
  <conditionalFormatting sqref="E110">
    <cfRule type="cellIs" rank="0" priority="314" equalAverage="0" operator="greaterThan" aboveAverage="0" dxfId="7" text="" percent="0" bottom="0">
      <formula>0</formula>
    </cfRule>
  </conditionalFormatting>
  <conditionalFormatting sqref="F110">
    <cfRule type="cellIs" rank="0" priority="315" equalAverage="0" operator="greaterThan" aboveAverage="0" dxfId="7" text="" percent="0" bottom="0">
      <formula>0</formula>
    </cfRule>
  </conditionalFormatting>
  <conditionalFormatting sqref="I110">
    <cfRule type="cellIs" rank="0" priority="316" equalAverage="0" operator="lessThan" aboveAverage="0" dxfId="8" text="" percent="0" bottom="0">
      <formula>0</formula>
    </cfRule>
  </conditionalFormatting>
  <conditionalFormatting sqref="E111">
    <cfRule type="cellIs" rank="0" priority="317" equalAverage="0" operator="greaterThan" aboveAverage="0" dxfId="7" text="" percent="0" bottom="0">
      <formula>0</formula>
    </cfRule>
  </conditionalFormatting>
  <conditionalFormatting sqref="F111">
    <cfRule type="cellIs" rank="0" priority="318" equalAverage="0" operator="greaterThan" aboveAverage="0" dxfId="7" text="" percent="0" bottom="0">
      <formula>0</formula>
    </cfRule>
  </conditionalFormatting>
  <conditionalFormatting sqref="I111">
    <cfRule type="cellIs" rank="0" priority="319" equalAverage="0" operator="lessThan" aboveAverage="0" dxfId="8" text="" percent="0" bottom="0">
      <formula>0</formula>
    </cfRule>
  </conditionalFormatting>
  <conditionalFormatting sqref="E112">
    <cfRule type="cellIs" rank="0" priority="320" equalAverage="0" operator="greaterThan" aboveAverage="0" dxfId="7" text="" percent="0" bottom="0">
      <formula>0</formula>
    </cfRule>
  </conditionalFormatting>
  <conditionalFormatting sqref="F112">
    <cfRule type="cellIs" rank="0" priority="321" equalAverage="0" operator="greaterThan" aboveAverage="0" dxfId="7" text="" percent="0" bottom="0">
      <formula>0</formula>
    </cfRule>
  </conditionalFormatting>
  <conditionalFormatting sqref="I112">
    <cfRule type="cellIs" rank="0" priority="322" equalAverage="0" operator="lessThan" aboveAverage="0" dxfId="8" text="" percent="0" bottom="0">
      <formula>0</formula>
    </cfRule>
  </conditionalFormatting>
  <conditionalFormatting sqref="E113">
    <cfRule type="cellIs" rank="0" priority="323" equalAverage="0" operator="greaterThan" aboveAverage="0" dxfId="7" text="" percent="0" bottom="0">
      <formula>0</formula>
    </cfRule>
  </conditionalFormatting>
  <conditionalFormatting sqref="F113">
    <cfRule type="cellIs" rank="0" priority="324" equalAverage="0" operator="greaterThan" aboveAverage="0" dxfId="7" text="" percent="0" bottom="0">
      <formula>0</formula>
    </cfRule>
  </conditionalFormatting>
  <conditionalFormatting sqref="I113">
    <cfRule type="cellIs" rank="0" priority="325" equalAverage="0" operator="lessThan" aboveAverage="0" dxfId="8" text="" percent="0" bottom="0">
      <formula>0</formula>
    </cfRule>
  </conditionalFormatting>
  <conditionalFormatting sqref="E114">
    <cfRule type="cellIs" rank="0" priority="326" equalAverage="0" operator="greaterThan" aboveAverage="0" dxfId="7" text="" percent="0" bottom="0">
      <formula>0</formula>
    </cfRule>
  </conditionalFormatting>
  <conditionalFormatting sqref="F114">
    <cfRule type="cellIs" rank="0" priority="327" equalAverage="0" operator="greaterThan" aboveAverage="0" dxfId="7" text="" percent="0" bottom="0">
      <formula>0</formula>
    </cfRule>
  </conditionalFormatting>
  <conditionalFormatting sqref="I114">
    <cfRule type="cellIs" rank="0" priority="328" equalAverage="0" operator="lessThan" aboveAverage="0" dxfId="8" text="" percent="0" bottom="0">
      <formula>0</formula>
    </cfRule>
  </conditionalFormatting>
  <conditionalFormatting sqref="E115">
    <cfRule type="cellIs" rank="0" priority="329" equalAverage="0" operator="greaterThan" aboveAverage="0" dxfId="7" text="" percent="0" bottom="0">
      <formula>0</formula>
    </cfRule>
  </conditionalFormatting>
  <conditionalFormatting sqref="F115">
    <cfRule type="cellIs" rank="0" priority="330" equalAverage="0" operator="greaterThan" aboveAverage="0" dxfId="7" text="" percent="0" bottom="0">
      <formula>0</formula>
    </cfRule>
  </conditionalFormatting>
  <conditionalFormatting sqref="I115">
    <cfRule type="cellIs" rank="0" priority="331" equalAverage="0" operator="lessThan" aboveAverage="0" dxfId="8" text="" percent="0" bottom="0">
      <formula>0</formula>
    </cfRule>
  </conditionalFormatting>
  <conditionalFormatting sqref="E116">
    <cfRule type="cellIs" rank="0" priority="332" equalAverage="0" operator="greaterThan" aboveAverage="0" dxfId="7" text="" percent="0" bottom="0">
      <formula>0</formula>
    </cfRule>
  </conditionalFormatting>
  <conditionalFormatting sqref="F116">
    <cfRule type="cellIs" rank="0" priority="333" equalAverage="0" operator="greaterThan" aboveAverage="0" dxfId="7" text="" percent="0" bottom="0">
      <formula>0</formula>
    </cfRule>
  </conditionalFormatting>
  <conditionalFormatting sqref="I116">
    <cfRule type="cellIs" rank="0" priority="334" equalAverage="0" operator="lessThan" aboveAverage="0" dxfId="8" text="" percent="0" bottom="0">
      <formula>0</formula>
    </cfRule>
  </conditionalFormatting>
  <conditionalFormatting sqref="E117">
    <cfRule type="cellIs" rank="0" priority="335" equalAverage="0" operator="greaterThan" aboveAverage="0" dxfId="7" text="" percent="0" bottom="0">
      <formula>0</formula>
    </cfRule>
  </conditionalFormatting>
  <conditionalFormatting sqref="F117">
    <cfRule type="cellIs" rank="0" priority="336" equalAverage="0" operator="greaterThan" aboveAverage="0" dxfId="7" text="" percent="0" bottom="0">
      <formula>0</formula>
    </cfRule>
  </conditionalFormatting>
  <conditionalFormatting sqref="I117">
    <cfRule type="cellIs" rank="0" priority="337" equalAverage="0" operator="lessThan" aboveAverage="0" dxfId="8" text="" percent="0" bottom="0">
      <formula>0</formula>
    </cfRule>
  </conditionalFormatting>
  <conditionalFormatting sqref="E118">
    <cfRule type="cellIs" rank="0" priority="338" equalAverage="0" operator="greaterThan" aboveAverage="0" dxfId="7" text="" percent="0" bottom="0">
      <formula>0</formula>
    </cfRule>
  </conditionalFormatting>
  <conditionalFormatting sqref="F118">
    <cfRule type="cellIs" rank="0" priority="339" equalAverage="0" operator="greaterThan" aboveAverage="0" dxfId="7" text="" percent="0" bottom="0">
      <formula>0</formula>
    </cfRule>
  </conditionalFormatting>
  <conditionalFormatting sqref="I118">
    <cfRule type="cellIs" rank="0" priority="340" equalAverage="0" operator="lessThan" aboveAverage="0" dxfId="8" text="" percent="0" bottom="0">
      <formula>0</formula>
    </cfRule>
  </conditionalFormatting>
  <conditionalFormatting sqref="E119">
    <cfRule type="cellIs" rank="0" priority="341" equalAverage="0" operator="greaterThan" aboveAverage="0" dxfId="7" text="" percent="0" bottom="0">
      <formula>0</formula>
    </cfRule>
  </conditionalFormatting>
  <conditionalFormatting sqref="F119">
    <cfRule type="cellIs" rank="0" priority="342" equalAverage="0" operator="greaterThan" aboveAverage="0" dxfId="7" text="" percent="0" bottom="0">
      <formula>0</formula>
    </cfRule>
  </conditionalFormatting>
  <conditionalFormatting sqref="I119">
    <cfRule type="cellIs" rank="0" priority="343" equalAverage="0" operator="lessThan" aboveAverage="0" dxfId="8" text="" percent="0" bottom="0">
      <formula>0</formula>
    </cfRule>
  </conditionalFormatting>
  <conditionalFormatting sqref="E120">
    <cfRule type="cellIs" rank="0" priority="344" equalAverage="0" operator="greaterThan" aboveAverage="0" dxfId="7" text="" percent="0" bottom="0">
      <formula>0</formula>
    </cfRule>
  </conditionalFormatting>
  <conditionalFormatting sqref="F120">
    <cfRule type="cellIs" rank="0" priority="345" equalAverage="0" operator="greaterThan" aboveAverage="0" dxfId="7" text="" percent="0" bottom="0">
      <formula>0</formula>
    </cfRule>
  </conditionalFormatting>
  <conditionalFormatting sqref="I120">
    <cfRule type="cellIs" rank="0" priority="346" equalAverage="0" operator="lessThan" aboveAverage="0" dxfId="8" text="" percent="0" bottom="0">
      <formula>0</formula>
    </cfRule>
  </conditionalFormatting>
  <conditionalFormatting sqref="E121">
    <cfRule type="cellIs" rank="0" priority="347" equalAverage="0" operator="greaterThan" aboveAverage="0" dxfId="7" text="" percent="0" bottom="0">
      <formula>0</formula>
    </cfRule>
  </conditionalFormatting>
  <conditionalFormatting sqref="F121">
    <cfRule type="cellIs" rank="0" priority="348" equalAverage="0" operator="greaterThan" aboveAverage="0" dxfId="7" text="" percent="0" bottom="0">
      <formula>0</formula>
    </cfRule>
  </conditionalFormatting>
  <conditionalFormatting sqref="I121">
    <cfRule type="cellIs" rank="0" priority="349" equalAverage="0" operator="lessThan" aboveAverage="0" dxfId="8" text="" percent="0" bottom="0">
      <formula>0</formula>
    </cfRule>
  </conditionalFormatting>
  <conditionalFormatting sqref="E122">
    <cfRule type="cellIs" rank="0" priority="350" equalAverage="0" operator="greaterThan" aboveAverage="0" dxfId="7" text="" percent="0" bottom="0">
      <formula>0</formula>
    </cfRule>
  </conditionalFormatting>
  <conditionalFormatting sqref="F122">
    <cfRule type="cellIs" rank="0" priority="351" equalAverage="0" operator="greaterThan" aboveAverage="0" dxfId="7" text="" percent="0" bottom="0">
      <formula>0</formula>
    </cfRule>
  </conditionalFormatting>
  <conditionalFormatting sqref="I122">
    <cfRule type="cellIs" rank="0" priority="352" equalAverage="0" operator="lessThan" aboveAverage="0" dxfId="8" text="" percent="0" bottom="0">
      <formula>0</formula>
    </cfRule>
  </conditionalFormatting>
  <conditionalFormatting sqref="E123">
    <cfRule type="cellIs" rank="0" priority="353" equalAverage="0" operator="greaterThan" aboveAverage="0" dxfId="7" text="" percent="0" bottom="0">
      <formula>0</formula>
    </cfRule>
  </conditionalFormatting>
  <conditionalFormatting sqref="F123">
    <cfRule type="cellIs" rank="0" priority="354" equalAverage="0" operator="greaterThan" aboveAverage="0" dxfId="7" text="" percent="0" bottom="0">
      <formula>0</formula>
    </cfRule>
  </conditionalFormatting>
  <conditionalFormatting sqref="I123">
    <cfRule type="cellIs" rank="0" priority="355" equalAverage="0" operator="lessThan" aboveAverage="0" dxfId="8" text="" percent="0" bottom="0">
      <formula>0</formula>
    </cfRule>
  </conditionalFormatting>
  <conditionalFormatting sqref="E124">
    <cfRule type="cellIs" rank="0" priority="356" equalAverage="0" operator="greaterThan" aboveAverage="0" dxfId="7" text="" percent="0" bottom="0">
      <formula>0</formula>
    </cfRule>
  </conditionalFormatting>
  <conditionalFormatting sqref="F124">
    <cfRule type="cellIs" rank="0" priority="357" equalAverage="0" operator="greaterThan" aboveAverage="0" dxfId="7" text="" percent="0" bottom="0">
      <formula>0</formula>
    </cfRule>
  </conditionalFormatting>
  <conditionalFormatting sqref="I124">
    <cfRule type="cellIs" rank="0" priority="358" equalAverage="0" operator="lessThan" aboveAverage="0" dxfId="8" text="" percent="0" bottom="0">
      <formula>0</formula>
    </cfRule>
  </conditionalFormatting>
  <conditionalFormatting sqref="E125">
    <cfRule type="cellIs" rank="0" priority="359" equalAverage="0" operator="greaterThan" aboveAverage="0" dxfId="7" text="" percent="0" bottom="0">
      <formula>0</formula>
    </cfRule>
  </conditionalFormatting>
  <conditionalFormatting sqref="F125">
    <cfRule type="cellIs" rank="0" priority="360" equalAverage="0" operator="greaterThan" aboveAverage="0" dxfId="7" text="" percent="0" bottom="0">
      <formula>0</formula>
    </cfRule>
  </conditionalFormatting>
  <conditionalFormatting sqref="I125">
    <cfRule type="cellIs" rank="0" priority="361" equalAverage="0" operator="lessThan" aboveAverage="0" dxfId="8" text="" percent="0" bottom="0">
      <formula>0</formula>
    </cfRule>
  </conditionalFormatting>
  <conditionalFormatting sqref="E126">
    <cfRule type="cellIs" rank="0" priority="362" equalAverage="0" operator="greaterThan" aboveAverage="0" dxfId="7" text="" percent="0" bottom="0">
      <formula>0</formula>
    </cfRule>
  </conditionalFormatting>
  <conditionalFormatting sqref="F126">
    <cfRule type="cellIs" rank="0" priority="363" equalAverage="0" operator="greaterThan" aboveAverage="0" dxfId="7" text="" percent="0" bottom="0">
      <formula>0</formula>
    </cfRule>
  </conditionalFormatting>
  <conditionalFormatting sqref="I126">
    <cfRule type="cellIs" rank="0" priority="364" equalAverage="0" operator="lessThan" aboveAverage="0" dxfId="8" text="" percent="0" bottom="0">
      <formula>0</formula>
    </cfRule>
  </conditionalFormatting>
  <conditionalFormatting sqref="E127">
    <cfRule type="cellIs" rank="0" priority="365" equalAverage="0" operator="greaterThan" aboveAverage="0" dxfId="7" text="" percent="0" bottom="0">
      <formula>0</formula>
    </cfRule>
  </conditionalFormatting>
  <conditionalFormatting sqref="F127">
    <cfRule type="cellIs" rank="0" priority="366" equalAverage="0" operator="greaterThan" aboveAverage="0" dxfId="7" text="" percent="0" bottom="0">
      <formula>0</formula>
    </cfRule>
  </conditionalFormatting>
  <conditionalFormatting sqref="I127">
    <cfRule type="cellIs" rank="0" priority="367" equalAverage="0" operator="lessThan" aboveAverage="0" dxfId="8" text="" percent="0" bottom="0">
      <formula>0</formula>
    </cfRule>
  </conditionalFormatting>
  <conditionalFormatting sqref="E128">
    <cfRule type="cellIs" rank="0" priority="368" equalAverage="0" operator="greaterThan" aboveAverage="0" dxfId="7" text="" percent="0" bottom="0">
      <formula>0</formula>
    </cfRule>
  </conditionalFormatting>
  <conditionalFormatting sqref="F128">
    <cfRule type="cellIs" rank="0" priority="369" equalAverage="0" operator="greaterThan" aboveAverage="0" dxfId="7" text="" percent="0" bottom="0">
      <formula>0</formula>
    </cfRule>
  </conditionalFormatting>
  <conditionalFormatting sqref="I128">
    <cfRule type="cellIs" rank="0" priority="370" equalAverage="0" operator="lessThan" aboveAverage="0" dxfId="8" text="" percent="0" bottom="0">
      <formula>0</formula>
    </cfRule>
  </conditionalFormatting>
  <conditionalFormatting sqref="E129">
    <cfRule type="cellIs" rank="0" priority="371" equalAverage="0" operator="greaterThan" aboveAverage="0" dxfId="7" text="" percent="0" bottom="0">
      <formula>0</formula>
    </cfRule>
  </conditionalFormatting>
  <conditionalFormatting sqref="F129">
    <cfRule type="cellIs" rank="0" priority="372" equalAverage="0" operator="greaterThan" aboveAverage="0" dxfId="7" text="" percent="0" bottom="0">
      <formula>0</formula>
    </cfRule>
  </conditionalFormatting>
  <conditionalFormatting sqref="I129">
    <cfRule type="cellIs" rank="0" priority="373" equalAverage="0" operator="lessThan" aboveAverage="0" dxfId="8" text="" percent="0" bottom="0">
      <formula>0</formula>
    </cfRule>
  </conditionalFormatting>
  <conditionalFormatting sqref="E130">
    <cfRule type="cellIs" rank="0" priority="374" equalAverage="0" operator="greaterThan" aboveAverage="0" dxfId="7" text="" percent="0" bottom="0">
      <formula>0</formula>
    </cfRule>
  </conditionalFormatting>
  <conditionalFormatting sqref="F130">
    <cfRule type="cellIs" rank="0" priority="375" equalAverage="0" operator="greaterThan" aboveAverage="0" dxfId="7" text="" percent="0" bottom="0">
      <formula>0</formula>
    </cfRule>
  </conditionalFormatting>
  <conditionalFormatting sqref="I130">
    <cfRule type="cellIs" rank="0" priority="376" equalAverage="0" operator="lessThan" aboveAverage="0" dxfId="8" text="" percent="0" bottom="0">
      <formula>0</formula>
    </cfRule>
  </conditionalFormatting>
  <conditionalFormatting sqref="E131">
    <cfRule type="cellIs" rank="0" priority="377" equalAverage="0" operator="greaterThan" aboveAverage="0" dxfId="7" text="" percent="0" bottom="0">
      <formula>0</formula>
    </cfRule>
  </conditionalFormatting>
  <conditionalFormatting sqref="F131">
    <cfRule type="cellIs" rank="0" priority="378" equalAverage="0" operator="greaterThan" aboveAverage="0" dxfId="7" text="" percent="0" bottom="0">
      <formula>0</formula>
    </cfRule>
  </conditionalFormatting>
  <conditionalFormatting sqref="I131">
    <cfRule type="cellIs" rank="0" priority="379" equalAverage="0" operator="lessThan" aboveAverage="0" dxfId="8" text="" percent="0" bottom="0">
      <formula>0</formula>
    </cfRule>
  </conditionalFormatting>
  <conditionalFormatting sqref="E132">
    <cfRule type="cellIs" rank="0" priority="380" equalAverage="0" operator="greaterThan" aboveAverage="0" dxfId="7" text="" percent="0" bottom="0">
      <formula>0</formula>
    </cfRule>
  </conditionalFormatting>
  <conditionalFormatting sqref="F132">
    <cfRule type="cellIs" rank="0" priority="381" equalAverage="0" operator="greaterThan" aboveAverage="0" dxfId="7" text="" percent="0" bottom="0">
      <formula>0</formula>
    </cfRule>
  </conditionalFormatting>
  <conditionalFormatting sqref="I132">
    <cfRule type="cellIs" rank="0" priority="382" equalAverage="0" operator="lessThan" aboveAverage="0" dxfId="8" text="" percent="0" bottom="0">
      <formula>0</formula>
    </cfRule>
  </conditionalFormatting>
  <conditionalFormatting sqref="E133">
    <cfRule type="cellIs" rank="0" priority="383" equalAverage="0" operator="greaterThan" aboveAverage="0" dxfId="7" text="" percent="0" bottom="0">
      <formula>0</formula>
    </cfRule>
  </conditionalFormatting>
  <conditionalFormatting sqref="F133">
    <cfRule type="cellIs" rank="0" priority="384" equalAverage="0" operator="greaterThan" aboveAverage="0" dxfId="7" text="" percent="0" bottom="0">
      <formula>0</formula>
    </cfRule>
  </conditionalFormatting>
  <conditionalFormatting sqref="I133">
    <cfRule type="cellIs" rank="0" priority="385" equalAverage="0" operator="lessThan" aboveAverage="0" dxfId="8" text="" percent="0" bottom="0">
      <formula>0</formula>
    </cfRule>
  </conditionalFormatting>
  <conditionalFormatting sqref="E134">
    <cfRule type="cellIs" rank="0" priority="386" equalAverage="0" operator="greaterThan" aboveAverage="0" dxfId="7" text="" percent="0" bottom="0">
      <formula>0</formula>
    </cfRule>
  </conditionalFormatting>
  <conditionalFormatting sqref="F134">
    <cfRule type="cellIs" rank="0" priority="387" equalAverage="0" operator="greaterThan" aboveAverage="0" dxfId="7" text="" percent="0" bottom="0">
      <formula>0</formula>
    </cfRule>
  </conditionalFormatting>
  <conditionalFormatting sqref="I134">
    <cfRule type="cellIs" rank="0" priority="388" equalAverage="0" operator="lessThan" aboveAverage="0" dxfId="8" text="" percent="0" bottom="0">
      <formula>0</formula>
    </cfRule>
  </conditionalFormatting>
  <conditionalFormatting sqref="E135">
    <cfRule type="cellIs" rank="0" priority="389" equalAverage="0" operator="greaterThan" aboveAverage="0" dxfId="7" text="" percent="0" bottom="0">
      <formula>0</formula>
    </cfRule>
  </conditionalFormatting>
  <conditionalFormatting sqref="F135">
    <cfRule type="cellIs" rank="0" priority="390" equalAverage="0" operator="greaterThan" aboveAverage="0" dxfId="7" text="" percent="0" bottom="0">
      <formula>0</formula>
    </cfRule>
  </conditionalFormatting>
  <conditionalFormatting sqref="I135">
    <cfRule type="cellIs" rank="0" priority="391" equalAverage="0" operator="lessThan" aboveAverage="0" dxfId="8" text="" percent="0" bottom="0">
      <formula>0</formula>
    </cfRule>
  </conditionalFormatting>
  <conditionalFormatting sqref="E136">
    <cfRule type="cellIs" rank="0" priority="392" equalAverage="0" operator="greaterThan" aboveAverage="0" dxfId="7" text="" percent="0" bottom="0">
      <formula>0</formula>
    </cfRule>
  </conditionalFormatting>
  <conditionalFormatting sqref="F136">
    <cfRule type="cellIs" rank="0" priority="393" equalAverage="0" operator="greaterThan" aboveAverage="0" dxfId="7" text="" percent="0" bottom="0">
      <formula>0</formula>
    </cfRule>
  </conditionalFormatting>
  <conditionalFormatting sqref="I136">
    <cfRule type="cellIs" rank="0" priority="394" equalAverage="0" operator="lessThan" aboveAverage="0" dxfId="8" text="" percent="0" bottom="0">
      <formula>0</formula>
    </cfRule>
  </conditionalFormatting>
  <conditionalFormatting sqref="E137">
    <cfRule type="cellIs" rank="0" priority="395" equalAverage="0" operator="greaterThan" aboveAverage="0" dxfId="7" text="" percent="0" bottom="0">
      <formula>0</formula>
    </cfRule>
  </conditionalFormatting>
  <conditionalFormatting sqref="F137">
    <cfRule type="cellIs" rank="0" priority="396" equalAverage="0" operator="greaterThan" aboveAverage="0" dxfId="7" text="" percent="0" bottom="0">
      <formula>0</formula>
    </cfRule>
  </conditionalFormatting>
  <conditionalFormatting sqref="I137">
    <cfRule type="cellIs" rank="0" priority="397" equalAverage="0" operator="lessThan" aboveAverage="0" dxfId="8" text="" percent="0" bottom="0">
      <formula>0</formula>
    </cfRule>
  </conditionalFormatting>
  <conditionalFormatting sqref="E138">
    <cfRule type="cellIs" rank="0" priority="398" equalAverage="0" operator="greaterThan" aboveAverage="0" dxfId="7" text="" percent="0" bottom="0">
      <formula>0</formula>
    </cfRule>
  </conditionalFormatting>
  <conditionalFormatting sqref="F138">
    <cfRule type="cellIs" rank="0" priority="399" equalAverage="0" operator="greaterThan" aboveAverage="0" dxfId="7" text="" percent="0" bottom="0">
      <formula>0</formula>
    </cfRule>
  </conditionalFormatting>
  <conditionalFormatting sqref="I138">
    <cfRule type="cellIs" rank="0" priority="400" equalAverage="0" operator="lessThan" aboveAverage="0" dxfId="8" text="" percent="0" bottom="0">
      <formula>0</formula>
    </cfRule>
  </conditionalFormatting>
  <conditionalFormatting sqref="E139">
    <cfRule type="cellIs" rank="0" priority="401" equalAverage="0" operator="greaterThan" aboveAverage="0" dxfId="7" text="" percent="0" bottom="0">
      <formula>0</formula>
    </cfRule>
  </conditionalFormatting>
  <conditionalFormatting sqref="F139">
    <cfRule type="cellIs" rank="0" priority="402" equalAverage="0" operator="greaterThan" aboveAverage="0" dxfId="7" text="" percent="0" bottom="0">
      <formula>0</formula>
    </cfRule>
  </conditionalFormatting>
  <conditionalFormatting sqref="I139">
    <cfRule type="cellIs" rank="0" priority="403" equalAverage="0" operator="lessThan" aboveAverage="0" dxfId="8" text="" percent="0" bottom="0">
      <formula>0</formula>
    </cfRule>
  </conditionalFormatting>
  <conditionalFormatting sqref="E140">
    <cfRule type="cellIs" rank="0" priority="404" equalAverage="0" operator="greaterThan" aboveAverage="0" dxfId="7" text="" percent="0" bottom="0">
      <formula>0</formula>
    </cfRule>
  </conditionalFormatting>
  <conditionalFormatting sqref="F140">
    <cfRule type="cellIs" rank="0" priority="405" equalAverage="0" operator="greaterThan" aboveAverage="0" dxfId="7" text="" percent="0" bottom="0">
      <formula>0</formula>
    </cfRule>
  </conditionalFormatting>
  <conditionalFormatting sqref="I140">
    <cfRule type="cellIs" rank="0" priority="406" equalAverage="0" operator="lessThan" aboveAverage="0" dxfId="8" text="" percent="0" bottom="0">
      <formula>0</formula>
    </cfRule>
  </conditionalFormatting>
  <conditionalFormatting sqref="E141">
    <cfRule type="cellIs" rank="0" priority="407" equalAverage="0" operator="greaterThan" aboveAverage="0" dxfId="7" text="" percent="0" bottom="0">
      <formula>0</formula>
    </cfRule>
  </conditionalFormatting>
  <conditionalFormatting sqref="F141">
    <cfRule type="cellIs" rank="0" priority="408" equalAverage="0" operator="greaterThan" aboveAverage="0" dxfId="7" text="" percent="0" bottom="0">
      <formula>0</formula>
    </cfRule>
  </conditionalFormatting>
  <conditionalFormatting sqref="I141">
    <cfRule type="cellIs" rank="0" priority="409" equalAverage="0" operator="lessThan" aboveAverage="0" dxfId="8" text="" percent="0" bottom="0">
      <formula>0</formula>
    </cfRule>
  </conditionalFormatting>
  <conditionalFormatting sqref="E142">
    <cfRule type="cellIs" rank="0" priority="410" equalAverage="0" operator="greaterThan" aboveAverage="0" dxfId="7" text="" percent="0" bottom="0">
      <formula>0</formula>
    </cfRule>
  </conditionalFormatting>
  <conditionalFormatting sqref="F142">
    <cfRule type="cellIs" rank="0" priority="411" equalAverage="0" operator="greaterThan" aboveAverage="0" dxfId="7" text="" percent="0" bottom="0">
      <formula>0</formula>
    </cfRule>
  </conditionalFormatting>
  <conditionalFormatting sqref="I142">
    <cfRule type="cellIs" rank="0" priority="412" equalAverage="0" operator="lessThan" aboveAverage="0" dxfId="8" text="" percent="0" bottom="0">
      <formula>0</formula>
    </cfRule>
  </conditionalFormatting>
  <conditionalFormatting sqref="E143">
    <cfRule type="cellIs" rank="0" priority="413" equalAverage="0" operator="greaterThan" aboveAverage="0" dxfId="7" text="" percent="0" bottom="0">
      <formula>0</formula>
    </cfRule>
  </conditionalFormatting>
  <conditionalFormatting sqref="F143">
    <cfRule type="cellIs" rank="0" priority="414" equalAverage="0" operator="greaterThan" aboveAverage="0" dxfId="7" text="" percent="0" bottom="0">
      <formula>0</formula>
    </cfRule>
  </conditionalFormatting>
  <conditionalFormatting sqref="I143">
    <cfRule type="cellIs" rank="0" priority="415" equalAverage="0" operator="lessThan" aboveAverage="0" dxfId="8" text="" percent="0" bottom="0">
      <formula>0</formula>
    </cfRule>
  </conditionalFormatting>
  <conditionalFormatting sqref="E144">
    <cfRule type="cellIs" rank="0" priority="416" equalAverage="0" operator="greaterThan" aboveAverage="0" dxfId="7" text="" percent="0" bottom="0">
      <formula>0</formula>
    </cfRule>
  </conditionalFormatting>
  <conditionalFormatting sqref="F144">
    <cfRule type="cellIs" rank="0" priority="417" equalAverage="0" operator="greaterThan" aboveAverage="0" dxfId="7" text="" percent="0" bottom="0">
      <formula>0</formula>
    </cfRule>
  </conditionalFormatting>
  <conditionalFormatting sqref="I144">
    <cfRule type="cellIs" rank="0" priority="418" equalAverage="0" operator="lessThan" aboveAverage="0" dxfId="8" text="" percent="0" bottom="0">
      <formula>0</formula>
    </cfRule>
  </conditionalFormatting>
  <conditionalFormatting sqref="E145">
    <cfRule type="cellIs" rank="0" priority="419" equalAverage="0" operator="greaterThan" aboveAverage="0" dxfId="7" text="" percent="0" bottom="0">
      <formula>0</formula>
    </cfRule>
  </conditionalFormatting>
  <conditionalFormatting sqref="F145">
    <cfRule type="cellIs" rank="0" priority="420" equalAverage="0" operator="greaterThan" aboveAverage="0" dxfId="7" text="" percent="0" bottom="0">
      <formula>0</formula>
    </cfRule>
  </conditionalFormatting>
  <conditionalFormatting sqref="I145">
    <cfRule type="cellIs" rank="0" priority="421" equalAverage="0" operator="lessThan" aboveAverage="0" dxfId="8" text="" percent="0" bottom="0">
      <formula>0</formula>
    </cfRule>
  </conditionalFormatting>
  <conditionalFormatting sqref="E146">
    <cfRule type="cellIs" rank="0" priority="422" equalAverage="0" operator="greaterThan" aboveAverage="0" dxfId="7" text="" percent="0" bottom="0">
      <formula>0</formula>
    </cfRule>
  </conditionalFormatting>
  <conditionalFormatting sqref="F146">
    <cfRule type="cellIs" rank="0" priority="423" equalAverage="0" operator="greaterThan" aboveAverage="0" dxfId="7" text="" percent="0" bottom="0">
      <formula>0</formula>
    </cfRule>
  </conditionalFormatting>
  <conditionalFormatting sqref="I146">
    <cfRule type="cellIs" rank="0" priority="424" equalAverage="0" operator="lessThan" aboveAverage="0" dxfId="8" text="" percent="0" bottom="0">
      <formula>0</formula>
    </cfRule>
  </conditionalFormatting>
  <conditionalFormatting sqref="E147">
    <cfRule type="cellIs" rank="0" priority="425" equalAverage="0" operator="greaterThan" aboveAverage="0" dxfId="7" text="" percent="0" bottom="0">
      <formula>0</formula>
    </cfRule>
  </conditionalFormatting>
  <conditionalFormatting sqref="F147">
    <cfRule type="cellIs" rank="0" priority="426" equalAverage="0" operator="greaterThan" aboveAverage="0" dxfId="7" text="" percent="0" bottom="0">
      <formula>0</formula>
    </cfRule>
  </conditionalFormatting>
  <conditionalFormatting sqref="I147">
    <cfRule type="cellIs" rank="0" priority="427" equalAverage="0" operator="lessThan" aboveAverage="0" dxfId="8" text="" percent="0" bottom="0">
      <formula>0</formula>
    </cfRule>
  </conditionalFormatting>
  <conditionalFormatting sqref="E148">
    <cfRule type="cellIs" rank="0" priority="428" equalAverage="0" operator="greaterThan" aboveAverage="0" dxfId="7" text="" percent="0" bottom="0">
      <formula>0</formula>
    </cfRule>
  </conditionalFormatting>
  <conditionalFormatting sqref="F148">
    <cfRule type="cellIs" rank="0" priority="429" equalAverage="0" operator="greaterThan" aboveAverage="0" dxfId="7" text="" percent="0" bottom="0">
      <formula>0</formula>
    </cfRule>
  </conditionalFormatting>
  <conditionalFormatting sqref="I148">
    <cfRule type="cellIs" rank="0" priority="430" equalAverage="0" operator="lessThan" aboveAverage="0" dxfId="8" text="" percent="0" bottom="0">
      <formula>0</formula>
    </cfRule>
  </conditionalFormatting>
  <conditionalFormatting sqref="E149">
    <cfRule type="cellIs" rank="0" priority="431" equalAverage="0" operator="greaterThan" aboveAverage="0" dxfId="7" text="" percent="0" bottom="0">
      <formula>0</formula>
    </cfRule>
  </conditionalFormatting>
  <conditionalFormatting sqref="F149">
    <cfRule type="cellIs" rank="0" priority="432" equalAverage="0" operator="greaterThan" aboveAverage="0" dxfId="7" text="" percent="0" bottom="0">
      <formula>0</formula>
    </cfRule>
  </conditionalFormatting>
  <conditionalFormatting sqref="I149">
    <cfRule type="cellIs" rank="0" priority="433" equalAverage="0" operator="lessThan" aboveAverage="0" dxfId="8" text="" percent="0" bottom="0">
      <formula>0</formula>
    </cfRule>
  </conditionalFormatting>
  <conditionalFormatting sqref="E150">
    <cfRule type="cellIs" rank="0" priority="434" equalAverage="0" operator="greaterThan" aboveAverage="0" dxfId="7" text="" percent="0" bottom="0">
      <formula>0</formula>
    </cfRule>
  </conditionalFormatting>
  <conditionalFormatting sqref="F150">
    <cfRule type="cellIs" rank="0" priority="435" equalAverage="0" operator="greaterThan" aboveAverage="0" dxfId="7" text="" percent="0" bottom="0">
      <formula>0</formula>
    </cfRule>
  </conditionalFormatting>
  <conditionalFormatting sqref="I150">
    <cfRule type="cellIs" rank="0" priority="436" equalAverage="0" operator="lessThan" aboveAverage="0" dxfId="8" text="" percent="0" bottom="0">
      <formula>0</formula>
    </cfRule>
  </conditionalFormatting>
  <conditionalFormatting sqref="E151">
    <cfRule type="cellIs" rank="0" priority="437" equalAverage="0" operator="greaterThan" aboveAverage="0" dxfId="7" text="" percent="0" bottom="0">
      <formula>0</formula>
    </cfRule>
  </conditionalFormatting>
  <conditionalFormatting sqref="F151">
    <cfRule type="cellIs" rank="0" priority="438" equalAverage="0" operator="greaterThan" aboveAverage="0" dxfId="7" text="" percent="0" bottom="0">
      <formula>0</formula>
    </cfRule>
  </conditionalFormatting>
  <conditionalFormatting sqref="I151">
    <cfRule type="cellIs" rank="0" priority="439" equalAverage="0" operator="lessThan" aboveAverage="0" dxfId="8" text="" percent="0" bottom="0">
      <formula>0</formula>
    </cfRule>
  </conditionalFormatting>
  <conditionalFormatting sqref="E152">
    <cfRule type="cellIs" rank="0" priority="440" equalAverage="0" operator="greaterThan" aboveAverage="0" dxfId="7" text="" percent="0" bottom="0">
      <formula>0</formula>
    </cfRule>
  </conditionalFormatting>
  <conditionalFormatting sqref="F152">
    <cfRule type="cellIs" rank="0" priority="441" equalAverage="0" operator="greaterThan" aboveAverage="0" dxfId="7" text="" percent="0" bottom="0">
      <formula>0</formula>
    </cfRule>
  </conditionalFormatting>
  <conditionalFormatting sqref="I152">
    <cfRule type="cellIs" rank="0" priority="442" equalAverage="0" operator="lessThan" aboveAverage="0" dxfId="8" text="" percent="0" bottom="0">
      <formula>0</formula>
    </cfRule>
  </conditionalFormatting>
  <conditionalFormatting sqref="E153">
    <cfRule type="cellIs" rank="0" priority="443" equalAverage="0" operator="greaterThan" aboveAverage="0" dxfId="7" text="" percent="0" bottom="0">
      <formula>0</formula>
    </cfRule>
  </conditionalFormatting>
  <conditionalFormatting sqref="F153">
    <cfRule type="cellIs" rank="0" priority="444" equalAverage="0" operator="greaterThan" aboveAverage="0" dxfId="7" text="" percent="0" bottom="0">
      <formula>0</formula>
    </cfRule>
  </conditionalFormatting>
  <conditionalFormatting sqref="I153">
    <cfRule type="cellIs" rank="0" priority="445" equalAverage="0" operator="lessThan" aboveAverage="0" dxfId="8" text="" percent="0" bottom="0">
      <formula>0</formula>
    </cfRule>
  </conditionalFormatting>
  <conditionalFormatting sqref="E154">
    <cfRule type="cellIs" rank="0" priority="446" equalAverage="0" operator="greaterThan" aboveAverage="0" dxfId="7" text="" percent="0" bottom="0">
      <formula>0</formula>
    </cfRule>
  </conditionalFormatting>
  <conditionalFormatting sqref="F154">
    <cfRule type="cellIs" rank="0" priority="447" equalAverage="0" operator="greaterThan" aboveAverage="0" dxfId="7" text="" percent="0" bottom="0">
      <formula>0</formula>
    </cfRule>
  </conditionalFormatting>
  <conditionalFormatting sqref="I154">
    <cfRule type="cellIs" rank="0" priority="448" equalAverage="0" operator="lessThan" aboveAverage="0" dxfId="8" text="" percent="0" bottom="0">
      <formula>0</formula>
    </cfRule>
  </conditionalFormatting>
  <conditionalFormatting sqref="E155">
    <cfRule type="cellIs" rank="0" priority="449" equalAverage="0" operator="greaterThan" aboveAverage="0" dxfId="7" text="" percent="0" bottom="0">
      <formula>0</formula>
    </cfRule>
  </conditionalFormatting>
  <conditionalFormatting sqref="F155">
    <cfRule type="cellIs" rank="0" priority="450" equalAverage="0" operator="greaterThan" aboveAverage="0" dxfId="7" text="" percent="0" bottom="0">
      <formula>0</formula>
    </cfRule>
  </conditionalFormatting>
  <conditionalFormatting sqref="I155">
    <cfRule type="cellIs" rank="0" priority="451" equalAverage="0" operator="lessThan" aboveAverage="0" dxfId="8" text="" percent="0" bottom="0">
      <formula>0</formula>
    </cfRule>
  </conditionalFormatting>
  <conditionalFormatting sqref="E156">
    <cfRule type="cellIs" rank="0" priority="452" equalAverage="0" operator="greaterThan" aboveAverage="0" dxfId="7" text="" percent="0" bottom="0">
      <formula>0</formula>
    </cfRule>
  </conditionalFormatting>
  <conditionalFormatting sqref="F156">
    <cfRule type="cellIs" rank="0" priority="453" equalAverage="0" operator="greaterThan" aboveAverage="0" dxfId="7" text="" percent="0" bottom="0">
      <formula>0</formula>
    </cfRule>
  </conditionalFormatting>
  <conditionalFormatting sqref="I156">
    <cfRule type="cellIs" rank="0" priority="454" equalAverage="0" operator="lessThan" aboveAverage="0" dxfId="8" text="" percent="0" bottom="0">
      <formula>0</formula>
    </cfRule>
  </conditionalFormatting>
  <conditionalFormatting sqref="E157">
    <cfRule type="cellIs" rank="0" priority="455" equalAverage="0" operator="greaterThan" aboveAverage="0" dxfId="7" text="" percent="0" bottom="0">
      <formula>0</formula>
    </cfRule>
  </conditionalFormatting>
  <conditionalFormatting sqref="F157">
    <cfRule type="cellIs" rank="0" priority="456" equalAverage="0" operator="greaterThan" aboveAverage="0" dxfId="7" text="" percent="0" bottom="0">
      <formula>0</formula>
    </cfRule>
  </conditionalFormatting>
  <conditionalFormatting sqref="I157">
    <cfRule type="cellIs" rank="0" priority="457" equalAverage="0" operator="lessThan" aboveAverage="0" dxfId="8" text="" percent="0" bottom="0">
      <formula>0</formula>
    </cfRule>
  </conditionalFormatting>
  <conditionalFormatting sqref="E158">
    <cfRule type="cellIs" rank="0" priority="458" equalAverage="0" operator="greaterThan" aboveAverage="0" dxfId="7" text="" percent="0" bottom="0">
      <formula>0</formula>
    </cfRule>
  </conditionalFormatting>
  <conditionalFormatting sqref="F158">
    <cfRule type="cellIs" rank="0" priority="459" equalAverage="0" operator="greaterThan" aboveAverage="0" dxfId="7" text="" percent="0" bottom="0">
      <formula>0</formula>
    </cfRule>
  </conditionalFormatting>
  <conditionalFormatting sqref="I158">
    <cfRule type="cellIs" rank="0" priority="460" equalAverage="0" operator="lessThan" aboveAverage="0" dxfId="8" text="" percent="0" bottom="0">
      <formula>0</formula>
    </cfRule>
  </conditionalFormatting>
  <conditionalFormatting sqref="E159">
    <cfRule type="cellIs" rank="0" priority="461" equalAverage="0" operator="greaterThan" aboveAverage="0" dxfId="7" text="" percent="0" bottom="0">
      <formula>0</formula>
    </cfRule>
  </conditionalFormatting>
  <conditionalFormatting sqref="F159">
    <cfRule type="cellIs" rank="0" priority="462" equalAverage="0" operator="greaterThan" aboveAverage="0" dxfId="7" text="" percent="0" bottom="0">
      <formula>0</formula>
    </cfRule>
  </conditionalFormatting>
  <conditionalFormatting sqref="I159">
    <cfRule type="cellIs" rank="0" priority="463" equalAverage="0" operator="lessThan" aboveAverage="0" dxfId="8" text="" percent="0" bottom="0">
      <formula>0</formula>
    </cfRule>
  </conditionalFormatting>
  <conditionalFormatting sqref="E160">
    <cfRule type="cellIs" rank="0" priority="464" equalAverage="0" operator="greaterThan" aboveAverage="0" dxfId="7" text="" percent="0" bottom="0">
      <formula>0</formula>
    </cfRule>
  </conditionalFormatting>
  <conditionalFormatting sqref="F160">
    <cfRule type="cellIs" rank="0" priority="465" equalAverage="0" operator="greaterThan" aboveAverage="0" dxfId="7" text="" percent="0" bottom="0">
      <formula>0</formula>
    </cfRule>
  </conditionalFormatting>
  <conditionalFormatting sqref="I160">
    <cfRule type="cellIs" rank="0" priority="466" equalAverage="0" operator="lessThan" aboveAverage="0" dxfId="8" text="" percent="0" bottom="0">
      <formula>0</formula>
    </cfRule>
  </conditionalFormatting>
  <conditionalFormatting sqref="E161">
    <cfRule type="cellIs" rank="0" priority="467" equalAverage="0" operator="greaterThan" aboveAverage="0" dxfId="7" text="" percent="0" bottom="0">
      <formula>0</formula>
    </cfRule>
  </conditionalFormatting>
  <conditionalFormatting sqref="F161">
    <cfRule type="cellIs" rank="0" priority="468" equalAverage="0" operator="greaterThan" aboveAverage="0" dxfId="7" text="" percent="0" bottom="0">
      <formula>0</formula>
    </cfRule>
  </conditionalFormatting>
  <conditionalFormatting sqref="I161">
    <cfRule type="cellIs" rank="0" priority="469" equalAverage="0" operator="lessThan" aboveAverage="0" dxfId="8" text="" percent="0" bottom="0">
      <formula>0</formula>
    </cfRule>
  </conditionalFormatting>
  <conditionalFormatting sqref="E162">
    <cfRule type="cellIs" rank="0" priority="470" equalAverage="0" operator="greaterThan" aboveAverage="0" dxfId="7" text="" percent="0" bottom="0">
      <formula>0</formula>
    </cfRule>
  </conditionalFormatting>
  <conditionalFormatting sqref="F162">
    <cfRule type="cellIs" rank="0" priority="471" equalAverage="0" operator="greaterThan" aboveAverage="0" dxfId="7" text="" percent="0" bottom="0">
      <formula>0</formula>
    </cfRule>
  </conditionalFormatting>
  <conditionalFormatting sqref="I162">
    <cfRule type="cellIs" rank="0" priority="472" equalAverage="0" operator="lessThan" aboveAverage="0" dxfId="8" text="" percent="0" bottom="0">
      <formula>0</formula>
    </cfRule>
  </conditionalFormatting>
  <conditionalFormatting sqref="E163">
    <cfRule type="cellIs" rank="0" priority="473" equalAverage="0" operator="greaterThan" aboveAverage="0" dxfId="7" text="" percent="0" bottom="0">
      <formula>0</formula>
    </cfRule>
  </conditionalFormatting>
  <conditionalFormatting sqref="F163">
    <cfRule type="cellIs" rank="0" priority="474" equalAverage="0" operator="greaterThan" aboveAverage="0" dxfId="7" text="" percent="0" bottom="0">
      <formula>0</formula>
    </cfRule>
  </conditionalFormatting>
  <conditionalFormatting sqref="I163">
    <cfRule type="cellIs" rank="0" priority="475" equalAverage="0" operator="lessThan" aboveAverage="0" dxfId="8" text="" percent="0" bottom="0">
      <formula>0</formula>
    </cfRule>
  </conditionalFormatting>
  <conditionalFormatting sqref="E164">
    <cfRule type="cellIs" rank="0" priority="476" equalAverage="0" operator="greaterThan" aboveAverage="0" dxfId="7" text="" percent="0" bottom="0">
      <formula>0</formula>
    </cfRule>
  </conditionalFormatting>
  <conditionalFormatting sqref="F164">
    <cfRule type="cellIs" rank="0" priority="477" equalAverage="0" operator="greaterThan" aboveAverage="0" dxfId="7" text="" percent="0" bottom="0">
      <formula>0</formula>
    </cfRule>
  </conditionalFormatting>
  <conditionalFormatting sqref="I164">
    <cfRule type="cellIs" rank="0" priority="478" equalAverage="0" operator="lessThan" aboveAverage="0" dxfId="8" text="" percent="0" bottom="0">
      <formula>0</formula>
    </cfRule>
  </conditionalFormatting>
  <conditionalFormatting sqref="E165">
    <cfRule type="cellIs" rank="0" priority="479" equalAverage="0" operator="greaterThan" aboveAverage="0" dxfId="7" text="" percent="0" bottom="0">
      <formula>0</formula>
    </cfRule>
  </conditionalFormatting>
  <conditionalFormatting sqref="F165">
    <cfRule type="cellIs" rank="0" priority="480" equalAverage="0" operator="greaterThan" aboveAverage="0" dxfId="7" text="" percent="0" bottom="0">
      <formula>0</formula>
    </cfRule>
  </conditionalFormatting>
  <conditionalFormatting sqref="I165">
    <cfRule type="cellIs" rank="0" priority="481" equalAverage="0" operator="lessThan" aboveAverage="0" dxfId="8" text="" percent="0" bottom="0">
      <formula>0</formula>
    </cfRule>
  </conditionalFormatting>
  <conditionalFormatting sqref="E166">
    <cfRule type="cellIs" rank="0" priority="482" equalAverage="0" operator="greaterThan" aboveAverage="0" dxfId="7" text="" percent="0" bottom="0">
      <formula>0</formula>
    </cfRule>
  </conditionalFormatting>
  <conditionalFormatting sqref="F166">
    <cfRule type="cellIs" rank="0" priority="483" equalAverage="0" operator="greaterThan" aboveAverage="0" dxfId="7" text="" percent="0" bottom="0">
      <formula>0</formula>
    </cfRule>
  </conditionalFormatting>
  <conditionalFormatting sqref="I166">
    <cfRule type="cellIs" rank="0" priority="484" equalAverage="0" operator="lessThan" aboveAverage="0" dxfId="8" text="" percent="0" bottom="0">
      <formula>0</formula>
    </cfRule>
  </conditionalFormatting>
  <conditionalFormatting sqref="E167">
    <cfRule type="cellIs" rank="0" priority="485" equalAverage="0" operator="greaterThan" aboveAverage="0" dxfId="7" text="" percent="0" bottom="0">
      <formula>0</formula>
    </cfRule>
  </conditionalFormatting>
  <conditionalFormatting sqref="F167">
    <cfRule type="cellIs" rank="0" priority="486" equalAverage="0" operator="greaterThan" aboveAverage="0" dxfId="7" text="" percent="0" bottom="0">
      <formula>0</formula>
    </cfRule>
  </conditionalFormatting>
  <conditionalFormatting sqref="I167">
    <cfRule type="cellIs" rank="0" priority="487" equalAverage="0" operator="lessThan" aboveAverage="0" dxfId="8" text="" percent="0" bottom="0">
      <formula>0</formula>
    </cfRule>
  </conditionalFormatting>
  <conditionalFormatting sqref="E168">
    <cfRule type="cellIs" rank="0" priority="488" equalAverage="0" operator="greaterThan" aboveAverage="0" dxfId="7" text="" percent="0" bottom="0">
      <formula>0</formula>
    </cfRule>
  </conditionalFormatting>
  <conditionalFormatting sqref="F168">
    <cfRule type="cellIs" rank="0" priority="489" equalAverage="0" operator="greaterThan" aboveAverage="0" dxfId="7" text="" percent="0" bottom="0">
      <formula>0</formula>
    </cfRule>
  </conditionalFormatting>
  <conditionalFormatting sqref="I168">
    <cfRule type="cellIs" rank="0" priority="490" equalAverage="0" operator="lessThan" aboveAverage="0" dxfId="8" text="" percent="0" bottom="0">
      <formula>0</formula>
    </cfRule>
  </conditionalFormatting>
  <conditionalFormatting sqref="E169">
    <cfRule type="cellIs" rank="0" priority="491" equalAverage="0" operator="greaterThan" aboveAverage="0" dxfId="7" text="" percent="0" bottom="0">
      <formula>0</formula>
    </cfRule>
  </conditionalFormatting>
  <conditionalFormatting sqref="F169">
    <cfRule type="cellIs" rank="0" priority="492" equalAverage="0" operator="greaterThan" aboveAverage="0" dxfId="7" text="" percent="0" bottom="0">
      <formula>0</formula>
    </cfRule>
  </conditionalFormatting>
  <conditionalFormatting sqref="I169">
    <cfRule type="cellIs" rank="0" priority="493" equalAverage="0" operator="lessThan" aboveAverage="0" dxfId="8" text="" percent="0" bottom="0">
      <formula>0</formula>
    </cfRule>
  </conditionalFormatting>
  <conditionalFormatting sqref="E170">
    <cfRule type="cellIs" rank="0" priority="494" equalAverage="0" operator="greaterThan" aboveAverage="0" dxfId="7" text="" percent="0" bottom="0">
      <formula>0</formula>
    </cfRule>
  </conditionalFormatting>
  <conditionalFormatting sqref="F170">
    <cfRule type="cellIs" rank="0" priority="495" equalAverage="0" operator="greaterThan" aboveAverage="0" dxfId="7" text="" percent="0" bottom="0">
      <formula>0</formula>
    </cfRule>
  </conditionalFormatting>
  <conditionalFormatting sqref="I170">
    <cfRule type="cellIs" rank="0" priority="496" equalAverage="0" operator="lessThan" aboveAverage="0" dxfId="8" text="" percent="0" bottom="0">
      <formula>0</formula>
    </cfRule>
  </conditionalFormatting>
  <conditionalFormatting sqref="E171">
    <cfRule type="cellIs" rank="0" priority="497" equalAverage="0" operator="greaterThan" aboveAverage="0" dxfId="7" text="" percent="0" bottom="0">
      <formula>0</formula>
    </cfRule>
  </conditionalFormatting>
  <conditionalFormatting sqref="F171">
    <cfRule type="cellIs" rank="0" priority="498" equalAverage="0" operator="greaterThan" aboveAverage="0" dxfId="7" text="" percent="0" bottom="0">
      <formula>0</formula>
    </cfRule>
  </conditionalFormatting>
  <conditionalFormatting sqref="I171">
    <cfRule type="cellIs" rank="0" priority="499" equalAverage="0" operator="lessThan" aboveAverage="0" dxfId="8" text="" percent="0" bottom="0">
      <formula>0</formula>
    </cfRule>
  </conditionalFormatting>
  <conditionalFormatting sqref="E172">
    <cfRule type="cellIs" rank="0" priority="500" equalAverage="0" operator="greaterThan" aboveAverage="0" dxfId="7" text="" percent="0" bottom="0">
      <formula>0</formula>
    </cfRule>
  </conditionalFormatting>
  <conditionalFormatting sqref="F172">
    <cfRule type="cellIs" rank="0" priority="501" equalAverage="0" operator="greaterThan" aboveAverage="0" dxfId="7" text="" percent="0" bottom="0">
      <formula>0</formula>
    </cfRule>
  </conditionalFormatting>
  <conditionalFormatting sqref="I172">
    <cfRule type="cellIs" rank="0" priority="502" equalAverage="0" operator="lessThan" aboveAverage="0" dxfId="8" text="" percent="0" bottom="0">
      <formula>0</formula>
    </cfRule>
  </conditionalFormatting>
  <conditionalFormatting sqref="E173">
    <cfRule type="cellIs" rank="0" priority="503" equalAverage="0" operator="greaterThan" aboveAverage="0" dxfId="7" text="" percent="0" bottom="0">
      <formula>0</formula>
    </cfRule>
  </conditionalFormatting>
  <conditionalFormatting sqref="F173">
    <cfRule type="cellIs" rank="0" priority="504" equalAverage="0" operator="greaterThan" aboveAverage="0" dxfId="7" text="" percent="0" bottom="0">
      <formula>0</formula>
    </cfRule>
  </conditionalFormatting>
  <conditionalFormatting sqref="I173">
    <cfRule type="cellIs" rank="0" priority="505" equalAverage="0" operator="lessThan" aboveAverage="0" dxfId="8" text="" percent="0" bottom="0">
      <formula>0</formula>
    </cfRule>
  </conditionalFormatting>
  <conditionalFormatting sqref="E174">
    <cfRule type="cellIs" rank="0" priority="506" equalAverage="0" operator="greaterThan" aboveAverage="0" dxfId="7" text="" percent="0" bottom="0">
      <formula>0</formula>
    </cfRule>
  </conditionalFormatting>
  <conditionalFormatting sqref="F174">
    <cfRule type="cellIs" rank="0" priority="507" equalAverage="0" operator="greaterThan" aboveAverage="0" dxfId="7" text="" percent="0" bottom="0">
      <formula>0</formula>
    </cfRule>
  </conditionalFormatting>
  <conditionalFormatting sqref="I174">
    <cfRule type="cellIs" rank="0" priority="508" equalAverage="0" operator="lessThan" aboveAverage="0" dxfId="8" text="" percent="0" bottom="0">
      <formula>0</formula>
    </cfRule>
  </conditionalFormatting>
  <conditionalFormatting sqref="E175">
    <cfRule type="cellIs" rank="0" priority="509" equalAverage="0" operator="greaterThan" aboveAverage="0" dxfId="7" text="" percent="0" bottom="0">
      <formula>0</formula>
    </cfRule>
  </conditionalFormatting>
  <conditionalFormatting sqref="F175">
    <cfRule type="cellIs" rank="0" priority="510" equalAverage="0" operator="greaterThan" aboveAverage="0" dxfId="7" text="" percent="0" bottom="0">
      <formula>0</formula>
    </cfRule>
  </conditionalFormatting>
  <conditionalFormatting sqref="I175">
    <cfRule type="cellIs" rank="0" priority="511" equalAverage="0" operator="lessThan" aboveAverage="0" dxfId="8" text="" percent="0" bottom="0">
      <formula>0</formula>
    </cfRule>
  </conditionalFormatting>
  <conditionalFormatting sqref="E176">
    <cfRule type="cellIs" rank="0" priority="512" equalAverage="0" operator="greaterThan" aboveAverage="0" dxfId="7" text="" percent="0" bottom="0">
      <formula>0</formula>
    </cfRule>
  </conditionalFormatting>
  <conditionalFormatting sqref="F176">
    <cfRule type="cellIs" rank="0" priority="513" equalAverage="0" operator="greaterThan" aboveAverage="0" dxfId="7" text="" percent="0" bottom="0">
      <formula>0</formula>
    </cfRule>
  </conditionalFormatting>
  <conditionalFormatting sqref="I176">
    <cfRule type="cellIs" rank="0" priority="514" equalAverage="0" operator="lessThan" aboveAverage="0" dxfId="8" text="" percent="0" bottom="0">
      <formula>0</formula>
    </cfRule>
  </conditionalFormatting>
  <conditionalFormatting sqref="E177">
    <cfRule type="cellIs" rank="0" priority="515" equalAverage="0" operator="greaterThan" aboveAverage="0" dxfId="7" text="" percent="0" bottom="0">
      <formula>0</formula>
    </cfRule>
  </conditionalFormatting>
  <conditionalFormatting sqref="F177">
    <cfRule type="cellIs" rank="0" priority="516" equalAverage="0" operator="greaterThan" aboveAverage="0" dxfId="7" text="" percent="0" bottom="0">
      <formula>0</formula>
    </cfRule>
  </conditionalFormatting>
  <conditionalFormatting sqref="I177">
    <cfRule type="cellIs" rank="0" priority="517" equalAverage="0" operator="lessThan" aboveAverage="0" dxfId="8" text="" percent="0" bottom="0">
      <formula>0</formula>
    </cfRule>
  </conditionalFormatting>
  <conditionalFormatting sqref="E178">
    <cfRule type="cellIs" rank="0" priority="518" equalAverage="0" operator="greaterThan" aboveAverage="0" dxfId="7" text="" percent="0" bottom="0">
      <formula>0</formula>
    </cfRule>
  </conditionalFormatting>
  <conditionalFormatting sqref="F178">
    <cfRule type="cellIs" rank="0" priority="519" equalAverage="0" operator="greaterThan" aboveAverage="0" dxfId="7" text="" percent="0" bottom="0">
      <formula>0</formula>
    </cfRule>
  </conditionalFormatting>
  <conditionalFormatting sqref="I178">
    <cfRule type="cellIs" rank="0" priority="520" equalAverage="0" operator="lessThan" aboveAverage="0" dxfId="8" text="" percent="0" bottom="0">
      <formula>0</formula>
    </cfRule>
  </conditionalFormatting>
  <conditionalFormatting sqref="E179">
    <cfRule type="cellIs" rank="0" priority="521" equalAverage="0" operator="greaterThan" aboveAverage="0" dxfId="7" text="" percent="0" bottom="0">
      <formula>0</formula>
    </cfRule>
  </conditionalFormatting>
  <conditionalFormatting sqref="F179">
    <cfRule type="cellIs" rank="0" priority="522" equalAverage="0" operator="greaterThan" aboveAverage="0" dxfId="7" text="" percent="0" bottom="0">
      <formula>0</formula>
    </cfRule>
  </conditionalFormatting>
  <conditionalFormatting sqref="I179">
    <cfRule type="cellIs" rank="0" priority="523" equalAverage="0" operator="lessThan" aboveAverage="0" dxfId="8" text="" percent="0" bottom="0">
      <formula>0</formula>
    </cfRule>
  </conditionalFormatting>
  <conditionalFormatting sqref="E180">
    <cfRule type="cellIs" rank="0" priority="524" equalAverage="0" operator="greaterThan" aboveAverage="0" dxfId="7" text="" percent="0" bottom="0">
      <formula>0</formula>
    </cfRule>
  </conditionalFormatting>
  <conditionalFormatting sqref="F180">
    <cfRule type="cellIs" rank="0" priority="525" equalAverage="0" operator="greaterThan" aboveAverage="0" dxfId="7" text="" percent="0" bottom="0">
      <formula>0</formula>
    </cfRule>
  </conditionalFormatting>
  <conditionalFormatting sqref="I180">
    <cfRule type="cellIs" rank="0" priority="526" equalAverage="0" operator="lessThan" aboveAverage="0" dxfId="8" text="" percent="0" bottom="0">
      <formula>0</formula>
    </cfRule>
  </conditionalFormatting>
  <conditionalFormatting sqref="E181">
    <cfRule type="cellIs" rank="0" priority="527" equalAverage="0" operator="greaterThan" aboveAverage="0" dxfId="7" text="" percent="0" bottom="0">
      <formula>0</formula>
    </cfRule>
  </conditionalFormatting>
  <conditionalFormatting sqref="F181">
    <cfRule type="cellIs" rank="0" priority="528" equalAverage="0" operator="greaterThan" aboveAverage="0" dxfId="7" text="" percent="0" bottom="0">
      <formula>0</formula>
    </cfRule>
  </conditionalFormatting>
  <conditionalFormatting sqref="I181">
    <cfRule type="cellIs" rank="0" priority="529" equalAverage="0" operator="lessThan" aboveAverage="0" dxfId="8" text="" percent="0" bottom="0">
      <formula>0</formula>
    </cfRule>
  </conditionalFormatting>
  <conditionalFormatting sqref="E182">
    <cfRule type="cellIs" rank="0" priority="530" equalAverage="0" operator="greaterThan" aboveAverage="0" dxfId="7" text="" percent="0" bottom="0">
      <formula>0</formula>
    </cfRule>
  </conditionalFormatting>
  <conditionalFormatting sqref="F182">
    <cfRule type="cellIs" rank="0" priority="531" equalAverage="0" operator="greaterThan" aboveAverage="0" dxfId="7" text="" percent="0" bottom="0">
      <formula>0</formula>
    </cfRule>
  </conditionalFormatting>
  <conditionalFormatting sqref="I182">
    <cfRule type="cellIs" rank="0" priority="532" equalAverage="0" operator="lessThan" aboveAverage="0" dxfId="8" text="" percent="0" bottom="0">
      <formula>0</formula>
    </cfRule>
  </conditionalFormatting>
  <conditionalFormatting sqref="E183">
    <cfRule type="cellIs" rank="0" priority="533" equalAverage="0" operator="greaterThan" aboveAverage="0" dxfId="7" text="" percent="0" bottom="0">
      <formula>0</formula>
    </cfRule>
  </conditionalFormatting>
  <conditionalFormatting sqref="F183">
    <cfRule type="cellIs" rank="0" priority="534" equalAverage="0" operator="greaterThan" aboveAverage="0" dxfId="7" text="" percent="0" bottom="0">
      <formula>0</formula>
    </cfRule>
  </conditionalFormatting>
  <conditionalFormatting sqref="I183">
    <cfRule type="cellIs" rank="0" priority="535" equalAverage="0" operator="lessThan" aboveAverage="0" dxfId="8" text="" percent="0" bottom="0">
      <formula>0</formula>
    </cfRule>
  </conditionalFormatting>
  <conditionalFormatting sqref="E184">
    <cfRule type="cellIs" rank="0" priority="536" equalAverage="0" operator="greaterThan" aboveAverage="0" dxfId="7" text="" percent="0" bottom="0">
      <formula>0</formula>
    </cfRule>
  </conditionalFormatting>
  <conditionalFormatting sqref="F184">
    <cfRule type="cellIs" rank="0" priority="537" equalAverage="0" operator="greaterThan" aboveAverage="0" dxfId="7" text="" percent="0" bottom="0">
      <formula>0</formula>
    </cfRule>
  </conditionalFormatting>
  <conditionalFormatting sqref="I184">
    <cfRule type="cellIs" rank="0" priority="538" equalAverage="0" operator="lessThan" aboveAverage="0" dxfId="8" text="" percent="0" bottom="0">
      <formula>0</formula>
    </cfRule>
  </conditionalFormatting>
  <conditionalFormatting sqref="E185">
    <cfRule type="cellIs" rank="0" priority="539" equalAverage="0" operator="greaterThan" aboveAverage="0" dxfId="7" text="" percent="0" bottom="0">
      <formula>0</formula>
    </cfRule>
  </conditionalFormatting>
  <conditionalFormatting sqref="F185">
    <cfRule type="cellIs" rank="0" priority="540" equalAverage="0" operator="greaterThan" aboveAverage="0" dxfId="7" text="" percent="0" bottom="0">
      <formula>0</formula>
    </cfRule>
  </conditionalFormatting>
  <conditionalFormatting sqref="I185">
    <cfRule type="cellIs" rank="0" priority="541" equalAverage="0" operator="lessThan" aboveAverage="0" dxfId="8" text="" percent="0" bottom="0">
      <formula>0</formula>
    </cfRule>
  </conditionalFormatting>
  <conditionalFormatting sqref="E186">
    <cfRule type="cellIs" rank="0" priority="542" equalAverage="0" operator="greaterThan" aboveAverage="0" dxfId="7" text="" percent="0" bottom="0">
      <formula>0</formula>
    </cfRule>
  </conditionalFormatting>
  <conditionalFormatting sqref="F186">
    <cfRule type="cellIs" rank="0" priority="543" equalAverage="0" operator="greaterThan" aboveAverage="0" dxfId="7" text="" percent="0" bottom="0">
      <formula>0</formula>
    </cfRule>
  </conditionalFormatting>
  <conditionalFormatting sqref="I186">
    <cfRule type="cellIs" rank="0" priority="544" equalAverage="0" operator="lessThan" aboveAverage="0" dxfId="8" text="" percent="0" bottom="0">
      <formula>0</formula>
    </cfRule>
  </conditionalFormatting>
  <conditionalFormatting sqref="E187">
    <cfRule type="cellIs" rank="0" priority="545" equalAverage="0" operator="greaterThan" aboveAverage="0" dxfId="7" text="" percent="0" bottom="0">
      <formula>0</formula>
    </cfRule>
  </conditionalFormatting>
  <conditionalFormatting sqref="F187">
    <cfRule type="cellIs" rank="0" priority="546" equalAverage="0" operator="greaterThan" aboveAverage="0" dxfId="7" text="" percent="0" bottom="0">
      <formula>0</formula>
    </cfRule>
  </conditionalFormatting>
  <conditionalFormatting sqref="I187">
    <cfRule type="cellIs" rank="0" priority="547" equalAverage="0" operator="lessThan" aboveAverage="0" dxfId="8" text="" percent="0" bottom="0">
      <formula>0</formula>
    </cfRule>
  </conditionalFormatting>
  <conditionalFormatting sqref="E188">
    <cfRule type="cellIs" rank="0" priority="548" equalAverage="0" operator="greaterThan" aboveAverage="0" dxfId="7" text="" percent="0" bottom="0">
      <formula>0</formula>
    </cfRule>
  </conditionalFormatting>
  <conditionalFormatting sqref="F188">
    <cfRule type="cellIs" rank="0" priority="549" equalAverage="0" operator="greaterThan" aboveAverage="0" dxfId="7" text="" percent="0" bottom="0">
      <formula>0</formula>
    </cfRule>
  </conditionalFormatting>
  <conditionalFormatting sqref="I188">
    <cfRule type="cellIs" rank="0" priority="550" equalAverage="0" operator="lessThan" aboveAverage="0" dxfId="8" text="" percent="0" bottom="0">
      <formula>0</formula>
    </cfRule>
  </conditionalFormatting>
  <conditionalFormatting sqref="E189">
    <cfRule type="cellIs" rank="0" priority="551" equalAverage="0" operator="greaterThan" aboveAverage="0" dxfId="7" text="" percent="0" bottom="0">
      <formula>0</formula>
    </cfRule>
  </conditionalFormatting>
  <conditionalFormatting sqref="F189">
    <cfRule type="cellIs" rank="0" priority="552" equalAverage="0" operator="greaterThan" aboveAverage="0" dxfId="7" text="" percent="0" bottom="0">
      <formula>0</formula>
    </cfRule>
  </conditionalFormatting>
  <conditionalFormatting sqref="I189">
    <cfRule type="cellIs" rank="0" priority="553" equalAverage="0" operator="lessThan" aboveAverage="0" dxfId="8" text="" percent="0" bottom="0">
      <formula>0</formula>
    </cfRule>
  </conditionalFormatting>
  <conditionalFormatting sqref="E190">
    <cfRule type="cellIs" rank="0" priority="554" equalAverage="0" operator="greaterThan" aboveAverage="0" dxfId="7" text="" percent="0" bottom="0">
      <formula>0</formula>
    </cfRule>
  </conditionalFormatting>
  <conditionalFormatting sqref="F190">
    <cfRule type="cellIs" rank="0" priority="555" equalAverage="0" operator="greaterThan" aboveAverage="0" dxfId="7" text="" percent="0" bottom="0">
      <formula>0</formula>
    </cfRule>
  </conditionalFormatting>
  <conditionalFormatting sqref="I190">
    <cfRule type="cellIs" rank="0" priority="556" equalAverage="0" operator="lessThan" aboveAverage="0" dxfId="8" text="" percent="0" bottom="0">
      <formula>0</formula>
    </cfRule>
  </conditionalFormatting>
  <conditionalFormatting sqref="E191">
    <cfRule type="cellIs" rank="0" priority="557" equalAverage="0" operator="greaterThan" aboveAverage="0" dxfId="7" text="" percent="0" bottom="0">
      <formula>0</formula>
    </cfRule>
  </conditionalFormatting>
  <conditionalFormatting sqref="F191">
    <cfRule type="cellIs" rank="0" priority="558" equalAverage="0" operator="greaterThan" aboveAverage="0" dxfId="7" text="" percent="0" bottom="0">
      <formula>0</formula>
    </cfRule>
  </conditionalFormatting>
  <conditionalFormatting sqref="I191">
    <cfRule type="cellIs" rank="0" priority="559" equalAverage="0" operator="lessThan" aboveAverage="0" dxfId="8" text="" percent="0" bottom="0">
      <formula>0</formula>
    </cfRule>
  </conditionalFormatting>
  <conditionalFormatting sqref="E192">
    <cfRule type="cellIs" rank="0" priority="560" equalAverage="0" operator="greaterThan" aboveAverage="0" dxfId="7" text="" percent="0" bottom="0">
      <formula>0</formula>
    </cfRule>
  </conditionalFormatting>
  <conditionalFormatting sqref="F192">
    <cfRule type="cellIs" rank="0" priority="561" equalAverage="0" operator="greaterThan" aboveAverage="0" dxfId="7" text="" percent="0" bottom="0">
      <formula>0</formula>
    </cfRule>
  </conditionalFormatting>
  <conditionalFormatting sqref="I192">
    <cfRule type="cellIs" rank="0" priority="562" equalAverage="0" operator="lessThan" aboveAverage="0" dxfId="8" text="" percent="0" bottom="0">
      <formula>0</formula>
    </cfRule>
  </conditionalFormatting>
  <conditionalFormatting sqref="E193">
    <cfRule type="cellIs" rank="0" priority="563" equalAverage="0" operator="greaterThan" aboveAverage="0" dxfId="7" text="" percent="0" bottom="0">
      <formula>0</formula>
    </cfRule>
  </conditionalFormatting>
  <conditionalFormatting sqref="F193">
    <cfRule type="cellIs" rank="0" priority="564" equalAverage="0" operator="greaterThan" aboveAverage="0" dxfId="7" text="" percent="0" bottom="0">
      <formula>0</formula>
    </cfRule>
  </conditionalFormatting>
  <conditionalFormatting sqref="I193">
    <cfRule type="cellIs" rank="0" priority="565" equalAverage="0" operator="lessThan" aboveAverage="0" dxfId="8" text="" percent="0" bottom="0">
      <formula>0</formula>
    </cfRule>
  </conditionalFormatting>
  <conditionalFormatting sqref="E194">
    <cfRule type="cellIs" rank="0" priority="566" equalAverage="0" operator="greaterThan" aboveAverage="0" dxfId="7" text="" percent="0" bottom="0">
      <formula>0</formula>
    </cfRule>
  </conditionalFormatting>
  <conditionalFormatting sqref="F194">
    <cfRule type="cellIs" rank="0" priority="567" equalAverage="0" operator="greaterThan" aboveAverage="0" dxfId="7" text="" percent="0" bottom="0">
      <formula>0</formula>
    </cfRule>
  </conditionalFormatting>
  <conditionalFormatting sqref="I194">
    <cfRule type="cellIs" rank="0" priority="568" equalAverage="0" operator="lessThan" aboveAverage="0" dxfId="8" text="" percent="0" bottom="0">
      <formula>0</formula>
    </cfRule>
  </conditionalFormatting>
  <conditionalFormatting sqref="E195">
    <cfRule type="cellIs" rank="0" priority="569" equalAverage="0" operator="greaterThan" aboveAverage="0" dxfId="7" text="" percent="0" bottom="0">
      <formula>0</formula>
    </cfRule>
  </conditionalFormatting>
  <conditionalFormatting sqref="F195">
    <cfRule type="cellIs" rank="0" priority="570" equalAverage="0" operator="greaterThan" aboveAverage="0" dxfId="7" text="" percent="0" bottom="0">
      <formula>0</formula>
    </cfRule>
  </conditionalFormatting>
  <conditionalFormatting sqref="I195">
    <cfRule type="cellIs" rank="0" priority="571" equalAverage="0" operator="lessThan" aboveAverage="0" dxfId="8" text="" percent="0" bottom="0">
      <formula>0</formula>
    </cfRule>
  </conditionalFormatting>
  <conditionalFormatting sqref="E196">
    <cfRule type="cellIs" rank="0" priority="572" equalAverage="0" operator="greaterThan" aboveAverage="0" dxfId="7" text="" percent="0" bottom="0">
      <formula>0</formula>
    </cfRule>
  </conditionalFormatting>
  <conditionalFormatting sqref="F196">
    <cfRule type="cellIs" rank="0" priority="573" equalAverage="0" operator="greaterThan" aboveAverage="0" dxfId="7" text="" percent="0" bottom="0">
      <formula>0</formula>
    </cfRule>
  </conditionalFormatting>
  <conditionalFormatting sqref="I196">
    <cfRule type="cellIs" rank="0" priority="574" equalAverage="0" operator="lessThan" aboveAverage="0" dxfId="8" text="" percent="0" bottom="0">
      <formula>0</formula>
    </cfRule>
  </conditionalFormatting>
  <conditionalFormatting sqref="E197">
    <cfRule type="cellIs" rank="0" priority="575" equalAverage="0" operator="greaterThan" aboveAverage="0" dxfId="7" text="" percent="0" bottom="0">
      <formula>0</formula>
    </cfRule>
  </conditionalFormatting>
  <conditionalFormatting sqref="F197">
    <cfRule type="cellIs" rank="0" priority="576" equalAverage="0" operator="greaterThan" aboveAverage="0" dxfId="7" text="" percent="0" bottom="0">
      <formula>0</formula>
    </cfRule>
  </conditionalFormatting>
  <conditionalFormatting sqref="I197">
    <cfRule type="cellIs" rank="0" priority="577" equalAverage="0" operator="lessThan" aboveAverage="0" dxfId="8" text="" percent="0" bottom="0">
      <formula>0</formula>
    </cfRule>
  </conditionalFormatting>
  <conditionalFormatting sqref="E198">
    <cfRule type="cellIs" rank="0" priority="578" equalAverage="0" operator="greaterThan" aboveAverage="0" dxfId="7" text="" percent="0" bottom="0">
      <formula>0</formula>
    </cfRule>
  </conditionalFormatting>
  <conditionalFormatting sqref="F198">
    <cfRule type="cellIs" rank="0" priority="579" equalAverage="0" operator="greaterThan" aboveAverage="0" dxfId="7" text="" percent="0" bottom="0">
      <formula>0</formula>
    </cfRule>
  </conditionalFormatting>
  <conditionalFormatting sqref="I198">
    <cfRule type="cellIs" rank="0" priority="580" equalAverage="0" operator="lessThan" aboveAverage="0" dxfId="8" text="" percent="0" bottom="0">
      <formula>0</formula>
    </cfRule>
  </conditionalFormatting>
  <conditionalFormatting sqref="E199">
    <cfRule type="cellIs" rank="0" priority="581" equalAverage="0" operator="greaterThan" aboveAverage="0" dxfId="7" text="" percent="0" bottom="0">
      <formula>0</formula>
    </cfRule>
  </conditionalFormatting>
  <conditionalFormatting sqref="F199">
    <cfRule type="cellIs" rank="0" priority="582" equalAverage="0" operator="greaterThan" aboveAverage="0" dxfId="7" text="" percent="0" bottom="0">
      <formula>0</formula>
    </cfRule>
  </conditionalFormatting>
  <conditionalFormatting sqref="I199">
    <cfRule type="cellIs" rank="0" priority="583" equalAverage="0" operator="lessThan" aboveAverage="0" dxfId="8" text="" percent="0" bottom="0">
      <formula>0</formula>
    </cfRule>
  </conditionalFormatting>
  <conditionalFormatting sqref="E200">
    <cfRule type="cellIs" rank="0" priority="584" equalAverage="0" operator="greaterThan" aboveAverage="0" dxfId="7" text="" percent="0" bottom="0">
      <formula>0</formula>
    </cfRule>
  </conditionalFormatting>
  <conditionalFormatting sqref="F200">
    <cfRule type="cellIs" rank="0" priority="585" equalAverage="0" operator="greaterThan" aboveAverage="0" dxfId="7" text="" percent="0" bottom="0">
      <formula>0</formula>
    </cfRule>
  </conditionalFormatting>
  <conditionalFormatting sqref="I200">
    <cfRule type="cellIs" rank="0" priority="586" equalAverage="0" operator="lessThan" aboveAverage="0" dxfId="8" text="" percent="0" bottom="0">
      <formula>0</formula>
    </cfRule>
  </conditionalFormatting>
  <conditionalFormatting sqref="E201">
    <cfRule type="cellIs" rank="0" priority="587" equalAverage="0" operator="greaterThan" aboveAverage="0" dxfId="7" text="" percent="0" bottom="0">
      <formula>0</formula>
    </cfRule>
  </conditionalFormatting>
  <conditionalFormatting sqref="F201">
    <cfRule type="cellIs" rank="0" priority="588" equalAverage="0" operator="greaterThan" aboveAverage="0" dxfId="7" text="" percent="0" bottom="0">
      <formula>0</formula>
    </cfRule>
  </conditionalFormatting>
  <conditionalFormatting sqref="I201">
    <cfRule type="cellIs" rank="0" priority="589" equalAverage="0" operator="lessThan" aboveAverage="0" dxfId="8" text="" percent="0" bottom="0">
      <formula>0</formula>
    </cfRule>
  </conditionalFormatting>
  <conditionalFormatting sqref="E202">
    <cfRule type="cellIs" rank="0" priority="590" equalAverage="0" operator="greaterThan" aboveAverage="0" dxfId="7" text="" percent="0" bottom="0">
      <formula>0</formula>
    </cfRule>
  </conditionalFormatting>
  <conditionalFormatting sqref="F202">
    <cfRule type="cellIs" rank="0" priority="591" equalAverage="0" operator="greaterThan" aboveAverage="0" dxfId="7" text="" percent="0" bottom="0">
      <formula>0</formula>
    </cfRule>
  </conditionalFormatting>
  <conditionalFormatting sqref="I202">
    <cfRule type="cellIs" rank="0" priority="592" equalAverage="0" operator="lessThan" aboveAverage="0" dxfId="8" text="" percent="0" bottom="0">
      <formula>0</formula>
    </cfRule>
  </conditionalFormatting>
  <conditionalFormatting sqref="E203">
    <cfRule type="cellIs" rank="0" priority="593" equalAverage="0" operator="greaterThan" aboveAverage="0" dxfId="7" text="" percent="0" bottom="0">
      <formula>0</formula>
    </cfRule>
  </conditionalFormatting>
  <conditionalFormatting sqref="F203">
    <cfRule type="cellIs" rank="0" priority="594" equalAverage="0" operator="greaterThan" aboveAverage="0" dxfId="7" text="" percent="0" bottom="0">
      <formula>0</formula>
    </cfRule>
  </conditionalFormatting>
  <conditionalFormatting sqref="I203">
    <cfRule type="cellIs" rank="0" priority="595" equalAverage="0" operator="lessThan" aboveAverage="0" dxfId="8" text="" percent="0" bottom="0">
      <formula>0</formula>
    </cfRule>
  </conditionalFormatting>
  <conditionalFormatting sqref="E204">
    <cfRule type="cellIs" rank="0" priority="596" equalAverage="0" operator="greaterThan" aboveAverage="0" dxfId="7" text="" percent="0" bottom="0">
      <formula>0</formula>
    </cfRule>
  </conditionalFormatting>
  <conditionalFormatting sqref="F204">
    <cfRule type="cellIs" rank="0" priority="597" equalAverage="0" operator="greaterThan" aboveAverage="0" dxfId="7" text="" percent="0" bottom="0">
      <formula>0</formula>
    </cfRule>
  </conditionalFormatting>
  <conditionalFormatting sqref="I204">
    <cfRule type="cellIs" rank="0" priority="598" equalAverage="0" operator="lessThan" aboveAverage="0" dxfId="8" text="" percent="0" bottom="0">
      <formula>0</formula>
    </cfRule>
  </conditionalFormatting>
  <conditionalFormatting sqref="E205">
    <cfRule type="cellIs" rank="0" priority="599" equalAverage="0" operator="greaterThan" aboveAverage="0" dxfId="7" text="" percent="0" bottom="0">
      <formula>0</formula>
    </cfRule>
  </conditionalFormatting>
  <conditionalFormatting sqref="F205">
    <cfRule type="cellIs" rank="0" priority="600" equalAverage="0" operator="greaterThan" aboveAverage="0" dxfId="7" text="" percent="0" bottom="0">
      <formula>0</formula>
    </cfRule>
  </conditionalFormatting>
  <conditionalFormatting sqref="I205">
    <cfRule type="cellIs" rank="0" priority="601" equalAverage="0" operator="lessThan" aboveAverage="0" dxfId="8" text="" percent="0" bottom="0">
      <formula>0</formula>
    </cfRule>
  </conditionalFormatting>
  <conditionalFormatting sqref="E206">
    <cfRule type="cellIs" rank="0" priority="602" equalAverage="0" operator="greaterThan" aboveAverage="0" dxfId="7" text="" percent="0" bottom="0">
      <formula>0</formula>
    </cfRule>
  </conditionalFormatting>
  <conditionalFormatting sqref="F206">
    <cfRule type="cellIs" rank="0" priority="603" equalAverage="0" operator="greaterThan" aboveAverage="0" dxfId="7" text="" percent="0" bottom="0">
      <formula>0</formula>
    </cfRule>
  </conditionalFormatting>
  <conditionalFormatting sqref="I206">
    <cfRule type="cellIs" rank="0" priority="604" equalAverage="0" operator="lessThan" aboveAverage="0" dxfId="8" text="" percent="0" bottom="0">
      <formula>0</formula>
    </cfRule>
  </conditionalFormatting>
  <conditionalFormatting sqref="E207">
    <cfRule type="cellIs" rank="0" priority="605" equalAverage="0" operator="greaterThan" aboveAverage="0" dxfId="7" text="" percent="0" bottom="0">
      <formula>0</formula>
    </cfRule>
  </conditionalFormatting>
  <conditionalFormatting sqref="F207">
    <cfRule type="cellIs" rank="0" priority="606" equalAverage="0" operator="greaterThan" aboveAverage="0" dxfId="7" text="" percent="0" bottom="0">
      <formula>0</formula>
    </cfRule>
  </conditionalFormatting>
  <conditionalFormatting sqref="I207">
    <cfRule type="cellIs" rank="0" priority="607" equalAverage="0" operator="lessThan" aboveAverage="0" dxfId="8" text="" percent="0" bottom="0">
      <formula>0</formula>
    </cfRule>
  </conditionalFormatting>
  <conditionalFormatting sqref="E208">
    <cfRule type="cellIs" rank="0" priority="608" equalAverage="0" operator="greaterThan" aboveAverage="0" dxfId="7" text="" percent="0" bottom="0">
      <formula>0</formula>
    </cfRule>
  </conditionalFormatting>
  <conditionalFormatting sqref="F208">
    <cfRule type="cellIs" rank="0" priority="609" equalAverage="0" operator="greaterThan" aboveAverage="0" dxfId="7" text="" percent="0" bottom="0">
      <formula>0</formula>
    </cfRule>
  </conditionalFormatting>
  <conditionalFormatting sqref="I208">
    <cfRule type="cellIs" rank="0" priority="610" equalAverage="0" operator="lessThan" aboveAverage="0" dxfId="8" text="" percent="0" bottom="0">
      <formula>0</formula>
    </cfRule>
  </conditionalFormatting>
  <conditionalFormatting sqref="E209">
    <cfRule type="cellIs" rank="0" priority="611" equalAverage="0" operator="greaterThan" aboveAverage="0" dxfId="7" text="" percent="0" bottom="0">
      <formula>0</formula>
    </cfRule>
  </conditionalFormatting>
  <conditionalFormatting sqref="F209">
    <cfRule type="cellIs" rank="0" priority="612" equalAverage="0" operator="greaterThan" aboveAverage="0" dxfId="7" text="" percent="0" bottom="0">
      <formula>0</formula>
    </cfRule>
  </conditionalFormatting>
  <conditionalFormatting sqref="I209">
    <cfRule type="cellIs" rank="0" priority="613" equalAverage="0" operator="lessThan" aboveAverage="0" dxfId="8" text="" percent="0" bottom="0">
      <formula>0</formula>
    </cfRule>
  </conditionalFormatting>
  <conditionalFormatting sqref="E210">
    <cfRule type="cellIs" rank="0" priority="614" equalAverage="0" operator="greaterThan" aboveAverage="0" dxfId="7" text="" percent="0" bottom="0">
      <formula>0</formula>
    </cfRule>
  </conditionalFormatting>
  <conditionalFormatting sqref="F210">
    <cfRule type="cellIs" rank="0" priority="615" equalAverage="0" operator="greaterThan" aboveAverage="0" dxfId="7" text="" percent="0" bottom="0">
      <formula>0</formula>
    </cfRule>
  </conditionalFormatting>
  <conditionalFormatting sqref="I210">
    <cfRule type="cellIs" rank="0" priority="616" equalAverage="0" operator="lessThan" aboveAverage="0" dxfId="8" text="" percent="0" bottom="0">
      <formula>0</formula>
    </cfRule>
  </conditionalFormatting>
  <conditionalFormatting sqref="E211">
    <cfRule type="cellIs" rank="0" priority="617" equalAverage="0" operator="greaterThan" aboveAverage="0" dxfId="7" text="" percent="0" bottom="0">
      <formula>0</formula>
    </cfRule>
  </conditionalFormatting>
  <conditionalFormatting sqref="F211">
    <cfRule type="cellIs" rank="0" priority="618" equalAverage="0" operator="greaterThan" aboveAverage="0" dxfId="7" text="" percent="0" bottom="0">
      <formula>0</formula>
    </cfRule>
  </conditionalFormatting>
  <conditionalFormatting sqref="I211">
    <cfRule type="cellIs" rank="0" priority="619" equalAverage="0" operator="lessThan" aboveAverage="0" dxfId="8" text="" percent="0" bottom="0">
      <formula>0</formula>
    </cfRule>
  </conditionalFormatting>
  <conditionalFormatting sqref="E212">
    <cfRule type="cellIs" rank="0" priority="620" equalAverage="0" operator="greaterThan" aboveAverage="0" dxfId="7" text="" percent="0" bottom="0">
      <formula>0</formula>
    </cfRule>
  </conditionalFormatting>
  <conditionalFormatting sqref="F212">
    <cfRule type="cellIs" rank="0" priority="621" equalAverage="0" operator="greaterThan" aboveAverage="0" dxfId="7" text="" percent="0" bottom="0">
      <formula>0</formula>
    </cfRule>
  </conditionalFormatting>
  <conditionalFormatting sqref="I212">
    <cfRule type="cellIs" rank="0" priority="622" equalAverage="0" operator="lessThan" aboveAverage="0" dxfId="8" text="" percent="0" bottom="0">
      <formula>0</formula>
    </cfRule>
  </conditionalFormatting>
  <conditionalFormatting sqref="E213">
    <cfRule type="cellIs" rank="0" priority="623" equalAverage="0" operator="greaterThan" aboveAverage="0" dxfId="7" text="" percent="0" bottom="0">
      <formula>0</formula>
    </cfRule>
  </conditionalFormatting>
  <conditionalFormatting sqref="F213">
    <cfRule type="cellIs" rank="0" priority="624" equalAverage="0" operator="greaterThan" aboveAverage="0" dxfId="7" text="" percent="0" bottom="0">
      <formula>0</formula>
    </cfRule>
  </conditionalFormatting>
  <conditionalFormatting sqref="I213">
    <cfRule type="cellIs" rank="0" priority="625" equalAverage="0" operator="lessThan" aboveAverage="0" dxfId="8" text="" percent="0" bottom="0">
      <formula>0</formula>
    </cfRule>
  </conditionalFormatting>
  <conditionalFormatting sqref="E214">
    <cfRule type="cellIs" rank="0" priority="626" equalAverage="0" operator="greaterThan" aboveAverage="0" dxfId="7" text="" percent="0" bottom="0">
      <formula>0</formula>
    </cfRule>
  </conditionalFormatting>
  <conditionalFormatting sqref="F214">
    <cfRule type="cellIs" rank="0" priority="627" equalAverage="0" operator="greaterThan" aboveAverage="0" dxfId="7" text="" percent="0" bottom="0">
      <formula>0</formula>
    </cfRule>
  </conditionalFormatting>
  <conditionalFormatting sqref="I214">
    <cfRule type="cellIs" rank="0" priority="628" equalAverage="0" operator="lessThan" aboveAverage="0" dxfId="8" text="" percent="0" bottom="0">
      <formula>0</formula>
    </cfRule>
  </conditionalFormatting>
  <conditionalFormatting sqref="E215">
    <cfRule type="cellIs" rank="0" priority="629" equalAverage="0" operator="greaterThan" aboveAverage="0" dxfId="7" text="" percent="0" bottom="0">
      <formula>0</formula>
    </cfRule>
  </conditionalFormatting>
  <conditionalFormatting sqref="F215">
    <cfRule type="cellIs" rank="0" priority="630" equalAverage="0" operator="greaterThan" aboveAverage="0" dxfId="7" text="" percent="0" bottom="0">
      <formula>0</formula>
    </cfRule>
  </conditionalFormatting>
  <conditionalFormatting sqref="I215">
    <cfRule type="cellIs" rank="0" priority="631" equalAverage="0" operator="lessThan" aboveAverage="0" dxfId="8" text="" percent="0" bottom="0">
      <formula>0</formula>
    </cfRule>
  </conditionalFormatting>
  <conditionalFormatting sqref="E216">
    <cfRule type="cellIs" rank="0" priority="632" equalAverage="0" operator="greaterThan" aboveAverage="0" dxfId="7" text="" percent="0" bottom="0">
      <formula>0</formula>
    </cfRule>
  </conditionalFormatting>
  <conditionalFormatting sqref="F216">
    <cfRule type="cellIs" rank="0" priority="633" equalAverage="0" operator="greaterThan" aboveAverage="0" dxfId="7" text="" percent="0" bottom="0">
      <formula>0</formula>
    </cfRule>
  </conditionalFormatting>
  <conditionalFormatting sqref="I216">
    <cfRule type="cellIs" rank="0" priority="634" equalAverage="0" operator="lessThan" aboveAverage="0" dxfId="8" text="" percent="0" bottom="0">
      <formula>0</formula>
    </cfRule>
  </conditionalFormatting>
  <conditionalFormatting sqref="E217">
    <cfRule type="cellIs" rank="0" priority="635" equalAverage="0" operator="greaterThan" aboveAverage="0" dxfId="7" text="" percent="0" bottom="0">
      <formula>0</formula>
    </cfRule>
  </conditionalFormatting>
  <conditionalFormatting sqref="F217">
    <cfRule type="cellIs" rank="0" priority="636" equalAverage="0" operator="greaterThan" aboveAverage="0" dxfId="7" text="" percent="0" bottom="0">
      <formula>0</formula>
    </cfRule>
  </conditionalFormatting>
  <conditionalFormatting sqref="I217">
    <cfRule type="cellIs" rank="0" priority="637" equalAverage="0" operator="lessThan" aboveAverage="0" dxfId="8" text="" percent="0" bottom="0">
      <formula>0</formula>
    </cfRule>
  </conditionalFormatting>
  <conditionalFormatting sqref="E218">
    <cfRule type="cellIs" rank="0" priority="638" equalAverage="0" operator="greaterThan" aboveAverage="0" dxfId="7" text="" percent="0" bottom="0">
      <formula>0</formula>
    </cfRule>
  </conditionalFormatting>
  <conditionalFormatting sqref="F218">
    <cfRule type="cellIs" rank="0" priority="639" equalAverage="0" operator="greaterThan" aboveAverage="0" dxfId="7" text="" percent="0" bottom="0">
      <formula>0</formula>
    </cfRule>
  </conditionalFormatting>
  <conditionalFormatting sqref="I218">
    <cfRule type="cellIs" rank="0" priority="640" equalAverage="0" operator="lessThan" aboveAverage="0" dxfId="8" text="" percent="0" bottom="0">
      <formula>0</formula>
    </cfRule>
  </conditionalFormatting>
  <conditionalFormatting sqref="E219">
    <cfRule type="cellIs" rank="0" priority="641" equalAverage="0" operator="greaterThan" aboveAverage="0" dxfId="7" text="" percent="0" bottom="0">
      <formula>0</formula>
    </cfRule>
  </conditionalFormatting>
  <conditionalFormatting sqref="F219">
    <cfRule type="cellIs" rank="0" priority="642" equalAverage="0" operator="greaterThan" aboveAverage="0" dxfId="7" text="" percent="0" bottom="0">
      <formula>0</formula>
    </cfRule>
  </conditionalFormatting>
  <conditionalFormatting sqref="I219">
    <cfRule type="cellIs" rank="0" priority="643" equalAverage="0" operator="lessThan" aboveAverage="0" dxfId="8" text="" percent="0" bottom="0">
      <formula>0</formula>
    </cfRule>
  </conditionalFormatting>
  <conditionalFormatting sqref="E220">
    <cfRule type="cellIs" rank="0" priority="644" equalAverage="0" operator="greaterThan" aboveAverage="0" dxfId="7" text="" percent="0" bottom="0">
      <formula>0</formula>
    </cfRule>
  </conditionalFormatting>
  <conditionalFormatting sqref="F220">
    <cfRule type="cellIs" rank="0" priority="645" equalAverage="0" operator="greaterThan" aboveAverage="0" dxfId="7" text="" percent="0" bottom="0">
      <formula>0</formula>
    </cfRule>
  </conditionalFormatting>
  <conditionalFormatting sqref="I220">
    <cfRule type="cellIs" rank="0" priority="646" equalAverage="0" operator="lessThan" aboveAverage="0" dxfId="8" text="" percent="0" bottom="0">
      <formula>0</formula>
    </cfRule>
  </conditionalFormatting>
  <conditionalFormatting sqref="E221">
    <cfRule type="cellIs" rank="0" priority="647" equalAverage="0" operator="greaterThan" aboveAverage="0" dxfId="7" text="" percent="0" bottom="0">
      <formula>0</formula>
    </cfRule>
  </conditionalFormatting>
  <conditionalFormatting sqref="F221">
    <cfRule type="cellIs" rank="0" priority="648" equalAverage="0" operator="greaterThan" aboveAverage="0" dxfId="7" text="" percent="0" bottom="0">
      <formula>0</formula>
    </cfRule>
  </conditionalFormatting>
  <conditionalFormatting sqref="I221">
    <cfRule type="cellIs" rank="0" priority="649" equalAverage="0" operator="lessThan" aboveAverage="0" dxfId="8" text="" percent="0" bottom="0">
      <formula>0</formula>
    </cfRule>
  </conditionalFormatting>
  <conditionalFormatting sqref="E222">
    <cfRule type="cellIs" rank="0" priority="650" equalAverage="0" operator="greaterThan" aboveAverage="0" dxfId="7" text="" percent="0" bottom="0">
      <formula>0</formula>
    </cfRule>
  </conditionalFormatting>
  <conditionalFormatting sqref="F222">
    <cfRule type="cellIs" rank="0" priority="651" equalAverage="0" operator="greaterThan" aboveAverage="0" dxfId="7" text="" percent="0" bottom="0">
      <formula>0</formula>
    </cfRule>
  </conditionalFormatting>
  <conditionalFormatting sqref="I222">
    <cfRule type="cellIs" rank="0" priority="652" equalAverage="0" operator="lessThan" aboveAverage="0" dxfId="8" text="" percent="0" bottom="0">
      <formula>0</formula>
    </cfRule>
  </conditionalFormatting>
  <conditionalFormatting sqref="E223">
    <cfRule type="cellIs" rank="0" priority="653" equalAverage="0" operator="greaterThan" aboveAverage="0" dxfId="7" text="" percent="0" bottom="0">
      <formula>0</formula>
    </cfRule>
  </conditionalFormatting>
  <conditionalFormatting sqref="F223">
    <cfRule type="cellIs" rank="0" priority="654" equalAverage="0" operator="greaterThan" aboveAverage="0" dxfId="7" text="" percent="0" bottom="0">
      <formula>0</formula>
    </cfRule>
  </conditionalFormatting>
  <conditionalFormatting sqref="I223">
    <cfRule type="cellIs" rank="0" priority="655" equalAverage="0" operator="lessThan" aboveAverage="0" dxfId="8" text="" percent="0" bottom="0">
      <formula>0</formula>
    </cfRule>
  </conditionalFormatting>
  <conditionalFormatting sqref="E224">
    <cfRule type="cellIs" rank="0" priority="656" equalAverage="0" operator="greaterThan" aboveAverage="0" dxfId="7" text="" percent="0" bottom="0">
      <formula>0</formula>
    </cfRule>
  </conditionalFormatting>
  <conditionalFormatting sqref="F224">
    <cfRule type="cellIs" rank="0" priority="657" equalAverage="0" operator="greaterThan" aboveAverage="0" dxfId="7" text="" percent="0" bottom="0">
      <formula>0</formula>
    </cfRule>
  </conditionalFormatting>
  <conditionalFormatting sqref="I224">
    <cfRule type="cellIs" rank="0" priority="658" equalAverage="0" operator="lessThan" aboveAverage="0" dxfId="8" text="" percent="0" bottom="0">
      <formula>0</formula>
    </cfRule>
  </conditionalFormatting>
  <conditionalFormatting sqref="E225">
    <cfRule type="cellIs" rank="0" priority="659" equalAverage="0" operator="greaterThan" aboveAverage="0" dxfId="7" text="" percent="0" bottom="0">
      <formula>0</formula>
    </cfRule>
  </conditionalFormatting>
  <conditionalFormatting sqref="F225">
    <cfRule type="cellIs" rank="0" priority="660" equalAverage="0" operator="greaterThan" aboveAverage="0" dxfId="7" text="" percent="0" bottom="0">
      <formula>0</formula>
    </cfRule>
  </conditionalFormatting>
  <conditionalFormatting sqref="I225">
    <cfRule type="cellIs" rank="0" priority="661" equalAverage="0" operator="lessThan" aboveAverage="0" dxfId="8" text="" percent="0" bottom="0">
      <formula>0</formula>
    </cfRule>
  </conditionalFormatting>
  <conditionalFormatting sqref="E226">
    <cfRule type="cellIs" rank="0" priority="662" equalAverage="0" operator="greaterThan" aboveAverage="0" dxfId="7" text="" percent="0" bottom="0">
      <formula>0</formula>
    </cfRule>
  </conditionalFormatting>
  <conditionalFormatting sqref="F226">
    <cfRule type="cellIs" rank="0" priority="663" equalAverage="0" operator="greaterThan" aboveAverage="0" dxfId="7" text="" percent="0" bottom="0">
      <formula>0</formula>
    </cfRule>
  </conditionalFormatting>
  <conditionalFormatting sqref="I226">
    <cfRule type="cellIs" rank="0" priority="664" equalAverage="0" operator="lessThan" aboveAverage="0" dxfId="8" text="" percent="0" bottom="0">
      <formula>0</formula>
    </cfRule>
  </conditionalFormatting>
  <conditionalFormatting sqref="E227">
    <cfRule type="cellIs" rank="0" priority="665" equalAverage="0" operator="greaterThan" aboveAverage="0" dxfId="7" text="" percent="0" bottom="0">
      <formula>0</formula>
    </cfRule>
  </conditionalFormatting>
  <conditionalFormatting sqref="F227">
    <cfRule type="cellIs" rank="0" priority="666" equalAverage="0" operator="greaterThan" aboveAverage="0" dxfId="7" text="" percent="0" bottom="0">
      <formula>0</formula>
    </cfRule>
  </conditionalFormatting>
  <conditionalFormatting sqref="I227">
    <cfRule type="cellIs" rank="0" priority="667" equalAverage="0" operator="lessThan" aboveAverage="0" dxfId="8" text="" percent="0" bottom="0">
      <formula>0</formula>
    </cfRule>
  </conditionalFormatting>
  <conditionalFormatting sqref="E228">
    <cfRule type="cellIs" rank="0" priority="668" equalAverage="0" operator="greaterThan" aboveAverage="0" dxfId="7" text="" percent="0" bottom="0">
      <formula>0</formula>
    </cfRule>
  </conditionalFormatting>
  <conditionalFormatting sqref="F228">
    <cfRule type="cellIs" rank="0" priority="669" equalAverage="0" operator="greaterThan" aboveAverage="0" dxfId="7" text="" percent="0" bottom="0">
      <formula>0</formula>
    </cfRule>
  </conditionalFormatting>
  <conditionalFormatting sqref="I228">
    <cfRule type="cellIs" rank="0" priority="670" equalAverage="0" operator="lessThan" aboveAverage="0" dxfId="8" text="" percent="0" bottom="0">
      <formula>0</formula>
    </cfRule>
  </conditionalFormatting>
  <conditionalFormatting sqref="E229">
    <cfRule type="cellIs" rank="0" priority="671" equalAverage="0" operator="greaterThan" aboveAverage="0" dxfId="7" text="" percent="0" bottom="0">
      <formula>0</formula>
    </cfRule>
  </conditionalFormatting>
  <conditionalFormatting sqref="F229">
    <cfRule type="cellIs" rank="0" priority="672" equalAverage="0" operator="greaterThan" aboveAverage="0" dxfId="7" text="" percent="0" bottom="0">
      <formula>0</formula>
    </cfRule>
  </conditionalFormatting>
  <conditionalFormatting sqref="I229">
    <cfRule type="cellIs" rank="0" priority="673" equalAverage="0" operator="lessThan" aboveAverage="0" dxfId="8" text="" percent="0" bottom="0">
      <formula>0</formula>
    </cfRule>
  </conditionalFormatting>
  <conditionalFormatting sqref="E230">
    <cfRule type="cellIs" rank="0" priority="674" equalAverage="0" operator="greaterThan" aboveAverage="0" dxfId="7" text="" percent="0" bottom="0">
      <formula>0</formula>
    </cfRule>
  </conditionalFormatting>
  <conditionalFormatting sqref="F230">
    <cfRule type="cellIs" rank="0" priority="675" equalAverage="0" operator="greaterThan" aboveAverage="0" dxfId="7" text="" percent="0" bottom="0">
      <formula>0</formula>
    </cfRule>
  </conditionalFormatting>
  <conditionalFormatting sqref="I230">
    <cfRule type="cellIs" rank="0" priority="676" equalAverage="0" operator="lessThan" aboveAverage="0" dxfId="8" text="" percent="0" bottom="0">
      <formula>0</formula>
    </cfRule>
  </conditionalFormatting>
  <conditionalFormatting sqref="E231">
    <cfRule type="cellIs" rank="0" priority="677" equalAverage="0" operator="greaterThan" aboveAverage="0" dxfId="7" text="" percent="0" bottom="0">
      <formula>0</formula>
    </cfRule>
  </conditionalFormatting>
  <conditionalFormatting sqref="F231">
    <cfRule type="cellIs" rank="0" priority="678" equalAverage="0" operator="greaterThan" aboveAverage="0" dxfId="7" text="" percent="0" bottom="0">
      <formula>0</formula>
    </cfRule>
  </conditionalFormatting>
  <conditionalFormatting sqref="I231">
    <cfRule type="cellIs" rank="0" priority="679" equalAverage="0" operator="lessThan" aboveAverage="0" dxfId="8" text="" percent="0" bottom="0">
      <formula>0</formula>
    </cfRule>
  </conditionalFormatting>
  <conditionalFormatting sqref="E232">
    <cfRule type="cellIs" rank="0" priority="680" equalAverage="0" operator="greaterThan" aboveAverage="0" dxfId="7" text="" percent="0" bottom="0">
      <formula>0</formula>
    </cfRule>
  </conditionalFormatting>
  <conditionalFormatting sqref="F232">
    <cfRule type="cellIs" rank="0" priority="681" equalAverage="0" operator="greaterThan" aboveAverage="0" dxfId="7" text="" percent="0" bottom="0">
      <formula>0</formula>
    </cfRule>
  </conditionalFormatting>
  <conditionalFormatting sqref="I232">
    <cfRule type="cellIs" rank="0" priority="682" equalAverage="0" operator="lessThan" aboveAverage="0" dxfId="8" text="" percent="0" bottom="0">
      <formula>0</formula>
    </cfRule>
  </conditionalFormatting>
  <conditionalFormatting sqref="E233">
    <cfRule type="cellIs" rank="0" priority="683" equalAverage="0" operator="greaterThan" aboveAverage="0" dxfId="7" text="" percent="0" bottom="0">
      <formula>0</formula>
    </cfRule>
  </conditionalFormatting>
  <conditionalFormatting sqref="F233">
    <cfRule type="cellIs" rank="0" priority="684" equalAverage="0" operator="greaterThan" aboveAverage="0" dxfId="7" text="" percent="0" bottom="0">
      <formula>0</formula>
    </cfRule>
  </conditionalFormatting>
  <conditionalFormatting sqref="I233">
    <cfRule type="cellIs" rank="0" priority="685" equalAverage="0" operator="lessThan" aboveAverage="0" dxfId="8" text="" percent="0" bottom="0">
      <formula>0</formula>
    </cfRule>
  </conditionalFormatting>
  <conditionalFormatting sqref="E234">
    <cfRule type="cellIs" rank="0" priority="686" equalAverage="0" operator="greaterThan" aboveAverage="0" dxfId="7" text="" percent="0" bottom="0">
      <formula>0</formula>
    </cfRule>
  </conditionalFormatting>
  <conditionalFormatting sqref="F234">
    <cfRule type="cellIs" rank="0" priority="687" equalAverage="0" operator="greaterThan" aboveAverage="0" dxfId="7" text="" percent="0" bottom="0">
      <formula>0</formula>
    </cfRule>
  </conditionalFormatting>
  <conditionalFormatting sqref="I234">
    <cfRule type="cellIs" rank="0" priority="688" equalAverage="0" operator="lessThan" aboveAverage="0" dxfId="8" text="" percent="0" bottom="0">
      <formula>0</formula>
    </cfRule>
  </conditionalFormatting>
  <conditionalFormatting sqref="E235">
    <cfRule type="cellIs" rank="0" priority="689" equalAverage="0" operator="greaterThan" aboveAverage="0" dxfId="7" text="" percent="0" bottom="0">
      <formula>0</formula>
    </cfRule>
  </conditionalFormatting>
  <conditionalFormatting sqref="F235">
    <cfRule type="cellIs" rank="0" priority="690" equalAverage="0" operator="greaterThan" aboveAverage="0" dxfId="7" text="" percent="0" bottom="0">
      <formula>0</formula>
    </cfRule>
  </conditionalFormatting>
  <conditionalFormatting sqref="I235">
    <cfRule type="cellIs" rank="0" priority="691" equalAverage="0" operator="lessThan" aboveAverage="0" dxfId="8" text="" percent="0" bottom="0">
      <formula>0</formula>
    </cfRule>
  </conditionalFormatting>
  <conditionalFormatting sqref="E236">
    <cfRule type="cellIs" rank="0" priority="692" equalAverage="0" operator="greaterThan" aboveAverage="0" dxfId="7" text="" percent="0" bottom="0">
      <formula>0</formula>
    </cfRule>
  </conditionalFormatting>
  <conditionalFormatting sqref="F236">
    <cfRule type="cellIs" rank="0" priority="693" equalAverage="0" operator="greaterThan" aboveAverage="0" dxfId="7" text="" percent="0" bottom="0">
      <formula>0</formula>
    </cfRule>
  </conditionalFormatting>
  <conditionalFormatting sqref="I236">
    <cfRule type="cellIs" rank="0" priority="694" equalAverage="0" operator="lessThan" aboveAverage="0" dxfId="8" text="" percent="0" bottom="0">
      <formula>0</formula>
    </cfRule>
  </conditionalFormatting>
  <conditionalFormatting sqref="E237">
    <cfRule type="cellIs" rank="0" priority="695" equalAverage="0" operator="greaterThan" aboveAverage="0" dxfId="7" text="" percent="0" bottom="0">
      <formula>0</formula>
    </cfRule>
  </conditionalFormatting>
  <conditionalFormatting sqref="F237">
    <cfRule type="cellIs" rank="0" priority="696" equalAverage="0" operator="greaterThan" aboveAverage="0" dxfId="7" text="" percent="0" bottom="0">
      <formula>0</formula>
    </cfRule>
  </conditionalFormatting>
  <conditionalFormatting sqref="I237">
    <cfRule type="cellIs" rank="0" priority="697" equalAverage="0" operator="lessThan" aboveAverage="0" dxfId="8" text="" percent="0" bottom="0">
      <formula>0</formula>
    </cfRule>
  </conditionalFormatting>
  <conditionalFormatting sqref="E238">
    <cfRule type="cellIs" rank="0" priority="698" equalAverage="0" operator="greaterThan" aboveAverage="0" dxfId="7" text="" percent="0" bottom="0">
      <formula>0</formula>
    </cfRule>
  </conditionalFormatting>
  <conditionalFormatting sqref="F238">
    <cfRule type="cellIs" rank="0" priority="699" equalAverage="0" operator="greaterThan" aboveAverage="0" dxfId="7" text="" percent="0" bottom="0">
      <formula>0</formula>
    </cfRule>
  </conditionalFormatting>
  <conditionalFormatting sqref="I238">
    <cfRule type="cellIs" rank="0" priority="700" equalAverage="0" operator="lessThan" aboveAverage="0" dxfId="8" text="" percent="0" bottom="0">
      <formula>0</formula>
    </cfRule>
  </conditionalFormatting>
  <conditionalFormatting sqref="E239">
    <cfRule type="cellIs" rank="0" priority="701" equalAverage="0" operator="greaterThan" aboveAverage="0" dxfId="7" text="" percent="0" bottom="0">
      <formula>0</formula>
    </cfRule>
  </conditionalFormatting>
  <conditionalFormatting sqref="F239">
    <cfRule type="cellIs" rank="0" priority="702" equalAverage="0" operator="greaterThan" aboveAverage="0" dxfId="7" text="" percent="0" bottom="0">
      <formula>0</formula>
    </cfRule>
  </conditionalFormatting>
  <conditionalFormatting sqref="I239">
    <cfRule type="cellIs" rank="0" priority="703" equalAverage="0" operator="lessThan" aboveAverage="0" dxfId="8" text="" percent="0" bottom="0">
      <formula>0</formula>
    </cfRule>
  </conditionalFormatting>
  <conditionalFormatting sqref="E240">
    <cfRule type="cellIs" rank="0" priority="704" equalAverage="0" operator="greaterThan" aboveAverage="0" dxfId="7" text="" percent="0" bottom="0">
      <formula>0</formula>
    </cfRule>
  </conditionalFormatting>
  <conditionalFormatting sqref="F240">
    <cfRule type="cellIs" rank="0" priority="705" equalAverage="0" operator="greaterThan" aboveAverage="0" dxfId="7" text="" percent="0" bottom="0">
      <formula>0</formula>
    </cfRule>
  </conditionalFormatting>
  <conditionalFormatting sqref="I240">
    <cfRule type="cellIs" rank="0" priority="706" equalAverage="0" operator="lessThan" aboveAverage="0" dxfId="8" text="" percent="0" bottom="0">
      <formula>0</formula>
    </cfRule>
  </conditionalFormatting>
  <conditionalFormatting sqref="E241">
    <cfRule type="cellIs" rank="0" priority="707" equalAverage="0" operator="greaterThan" aboveAverage="0" dxfId="7" text="" percent="0" bottom="0">
      <formula>0</formula>
    </cfRule>
  </conditionalFormatting>
  <conditionalFormatting sqref="F241">
    <cfRule type="cellIs" rank="0" priority="708" equalAverage="0" operator="greaterThan" aboveAverage="0" dxfId="7" text="" percent="0" bottom="0">
      <formula>0</formula>
    </cfRule>
  </conditionalFormatting>
  <conditionalFormatting sqref="I241">
    <cfRule type="cellIs" rank="0" priority="709" equalAverage="0" operator="lessThan" aboveAverage="0" dxfId="8" text="" percent="0" bottom="0">
      <formula>0</formula>
    </cfRule>
  </conditionalFormatting>
  <conditionalFormatting sqref="E242">
    <cfRule type="cellIs" rank="0" priority="710" equalAverage="0" operator="greaterThan" aboveAverage="0" dxfId="7" text="" percent="0" bottom="0">
      <formula>0</formula>
    </cfRule>
  </conditionalFormatting>
  <conditionalFormatting sqref="F242">
    <cfRule type="cellIs" rank="0" priority="711" equalAverage="0" operator="greaterThan" aboveAverage="0" dxfId="7" text="" percent="0" bottom="0">
      <formula>0</formula>
    </cfRule>
  </conditionalFormatting>
  <conditionalFormatting sqref="I242">
    <cfRule type="cellIs" rank="0" priority="712" equalAverage="0" operator="lessThan" aboveAverage="0" dxfId="8" text="" percent="0" bottom="0">
      <formula>0</formula>
    </cfRule>
  </conditionalFormatting>
  <conditionalFormatting sqref="E243">
    <cfRule type="cellIs" rank="0" priority="713" equalAverage="0" operator="greaterThan" aboveAverage="0" dxfId="7" text="" percent="0" bottom="0">
      <formula>0</formula>
    </cfRule>
  </conditionalFormatting>
  <conditionalFormatting sqref="F243">
    <cfRule type="cellIs" rank="0" priority="714" equalAverage="0" operator="greaterThan" aboveAverage="0" dxfId="7" text="" percent="0" bottom="0">
      <formula>0</formula>
    </cfRule>
  </conditionalFormatting>
  <conditionalFormatting sqref="I243">
    <cfRule type="cellIs" rank="0" priority="715" equalAverage="0" operator="lessThan" aboveAverage="0" dxfId="8" text="" percent="0" bottom="0">
      <formula>0</formula>
    </cfRule>
  </conditionalFormatting>
  <conditionalFormatting sqref="E244">
    <cfRule type="cellIs" rank="0" priority="716" equalAverage="0" operator="greaterThan" aboveAverage="0" dxfId="7" text="" percent="0" bottom="0">
      <formula>0</formula>
    </cfRule>
  </conditionalFormatting>
  <conditionalFormatting sqref="F244">
    <cfRule type="cellIs" rank="0" priority="717" equalAverage="0" operator="greaterThan" aboveAverage="0" dxfId="7" text="" percent="0" bottom="0">
      <formula>0</formula>
    </cfRule>
  </conditionalFormatting>
  <conditionalFormatting sqref="I244">
    <cfRule type="cellIs" rank="0" priority="718" equalAverage="0" operator="lessThan" aboveAverage="0" dxfId="8" text="" percent="0" bottom="0">
      <formula>0</formula>
    </cfRule>
  </conditionalFormatting>
  <conditionalFormatting sqref="E245">
    <cfRule type="cellIs" rank="0" priority="719" equalAverage="0" operator="greaterThan" aboveAverage="0" dxfId="7" text="" percent="0" bottom="0">
      <formula>0</formula>
    </cfRule>
  </conditionalFormatting>
  <conditionalFormatting sqref="F245">
    <cfRule type="cellIs" rank="0" priority="720" equalAverage="0" operator="greaterThan" aboveAverage="0" dxfId="7" text="" percent="0" bottom="0">
      <formula>0</formula>
    </cfRule>
  </conditionalFormatting>
  <conditionalFormatting sqref="I245">
    <cfRule type="cellIs" rank="0" priority="721" equalAverage="0" operator="lessThan" aboveAverage="0" dxfId="8" text="" percent="0" bottom="0">
      <formula>0</formula>
    </cfRule>
  </conditionalFormatting>
  <conditionalFormatting sqref="E246">
    <cfRule type="cellIs" rank="0" priority="722" equalAverage="0" operator="greaterThan" aboveAverage="0" dxfId="7" text="" percent="0" bottom="0">
      <formula>0</formula>
    </cfRule>
  </conditionalFormatting>
  <conditionalFormatting sqref="F246">
    <cfRule type="cellIs" rank="0" priority="723" equalAverage="0" operator="greaterThan" aboveAverage="0" dxfId="7" text="" percent="0" bottom="0">
      <formula>0</formula>
    </cfRule>
  </conditionalFormatting>
  <conditionalFormatting sqref="I246">
    <cfRule type="cellIs" rank="0" priority="724" equalAverage="0" operator="lessThan" aboveAverage="0" dxfId="8" text="" percent="0" bottom="0">
      <formula>0</formula>
    </cfRule>
  </conditionalFormatting>
  <conditionalFormatting sqref="E247">
    <cfRule type="cellIs" rank="0" priority="725" equalAverage="0" operator="greaterThan" aboveAverage="0" dxfId="7" text="" percent="0" bottom="0">
      <formula>0</formula>
    </cfRule>
  </conditionalFormatting>
  <conditionalFormatting sqref="F247">
    <cfRule type="cellIs" rank="0" priority="726" equalAverage="0" operator="greaterThan" aboveAverage="0" dxfId="7" text="" percent="0" bottom="0">
      <formula>0</formula>
    </cfRule>
  </conditionalFormatting>
  <conditionalFormatting sqref="I247">
    <cfRule type="cellIs" rank="0" priority="727" equalAverage="0" operator="lessThan" aboveAverage="0" dxfId="8" text="" percent="0" bottom="0">
      <formula>0</formula>
    </cfRule>
  </conditionalFormatting>
  <conditionalFormatting sqref="E248">
    <cfRule type="cellIs" rank="0" priority="728" equalAverage="0" operator="greaterThan" aboveAverage="0" dxfId="7" text="" percent="0" bottom="0">
      <formula>0</formula>
    </cfRule>
  </conditionalFormatting>
  <conditionalFormatting sqref="F248">
    <cfRule type="cellIs" rank="0" priority="729" equalAverage="0" operator="greaterThan" aboveAverage="0" dxfId="7" text="" percent="0" bottom="0">
      <formula>0</formula>
    </cfRule>
  </conditionalFormatting>
  <conditionalFormatting sqref="I248">
    <cfRule type="cellIs" rank="0" priority="730" equalAverage="0" operator="lessThan" aboveAverage="0" dxfId="8" text="" percent="0" bottom="0">
      <formula>0</formula>
    </cfRule>
  </conditionalFormatting>
  <conditionalFormatting sqref="E249">
    <cfRule type="cellIs" rank="0" priority="731" equalAverage="0" operator="greaterThan" aboveAverage="0" dxfId="7" text="" percent="0" bottom="0">
      <formula>0</formula>
    </cfRule>
  </conditionalFormatting>
  <conditionalFormatting sqref="F249">
    <cfRule type="cellIs" rank="0" priority="732" equalAverage="0" operator="greaterThan" aboveAverage="0" dxfId="7" text="" percent="0" bottom="0">
      <formula>0</formula>
    </cfRule>
  </conditionalFormatting>
  <conditionalFormatting sqref="I249">
    <cfRule type="cellIs" rank="0" priority="733" equalAverage="0" operator="lessThan" aboveAverage="0" dxfId="8" text="" percent="0" bottom="0">
      <formula>0</formula>
    </cfRule>
  </conditionalFormatting>
  <conditionalFormatting sqref="E250">
    <cfRule type="cellIs" rank="0" priority="734" equalAverage="0" operator="greaterThan" aboveAverage="0" dxfId="7" text="" percent="0" bottom="0">
      <formula>0</formula>
    </cfRule>
  </conditionalFormatting>
  <conditionalFormatting sqref="F250">
    <cfRule type="cellIs" rank="0" priority="735" equalAverage="0" operator="greaterThan" aboveAverage="0" dxfId="7" text="" percent="0" bottom="0">
      <formula>0</formula>
    </cfRule>
  </conditionalFormatting>
  <conditionalFormatting sqref="I250">
    <cfRule type="cellIs" rank="0" priority="736" equalAverage="0" operator="lessThan" aboveAverage="0" dxfId="8" text="" percent="0" bottom="0">
      <formula>0</formula>
    </cfRule>
  </conditionalFormatting>
  <conditionalFormatting sqref="E251">
    <cfRule type="cellIs" rank="0" priority="737" equalAverage="0" operator="greaterThan" aboveAverage="0" dxfId="7" text="" percent="0" bottom="0">
      <formula>0</formula>
    </cfRule>
  </conditionalFormatting>
  <conditionalFormatting sqref="F251">
    <cfRule type="cellIs" rank="0" priority="738" equalAverage="0" operator="greaterThan" aboveAverage="0" dxfId="7" text="" percent="0" bottom="0">
      <formula>0</formula>
    </cfRule>
  </conditionalFormatting>
  <conditionalFormatting sqref="I251">
    <cfRule type="cellIs" rank="0" priority="739" equalAverage="0" operator="lessThan" aboveAverage="0" dxfId="8" text="" percent="0" bottom="0">
      <formula>0</formula>
    </cfRule>
  </conditionalFormatting>
  <conditionalFormatting sqref="E252">
    <cfRule type="cellIs" rank="0" priority="740" equalAverage="0" operator="greaterThan" aboveAverage="0" dxfId="7" text="" percent="0" bottom="0">
      <formula>0</formula>
    </cfRule>
  </conditionalFormatting>
  <conditionalFormatting sqref="F252">
    <cfRule type="cellIs" rank="0" priority="741" equalAverage="0" operator="greaterThan" aboveAverage="0" dxfId="7" text="" percent="0" bottom="0">
      <formula>0</formula>
    </cfRule>
  </conditionalFormatting>
  <conditionalFormatting sqref="I252">
    <cfRule type="cellIs" rank="0" priority="742" equalAverage="0" operator="lessThan" aboveAverage="0" dxfId="8" text="" percent="0" bottom="0">
      <formula>0</formula>
    </cfRule>
  </conditionalFormatting>
  <conditionalFormatting sqref="E253">
    <cfRule type="cellIs" rank="0" priority="743" equalAverage="0" operator="greaterThan" aboveAverage="0" dxfId="7" text="" percent="0" bottom="0">
      <formula>0</formula>
    </cfRule>
  </conditionalFormatting>
  <conditionalFormatting sqref="F253">
    <cfRule type="cellIs" rank="0" priority="744" equalAverage="0" operator="greaterThan" aboveAverage="0" dxfId="7" text="" percent="0" bottom="0">
      <formula>0</formula>
    </cfRule>
  </conditionalFormatting>
  <conditionalFormatting sqref="I253">
    <cfRule type="cellIs" rank="0" priority="745" equalAverage="0" operator="lessThan" aboveAverage="0" dxfId="8" text="" percent="0" bottom="0">
      <formula>0</formula>
    </cfRule>
  </conditionalFormatting>
  <conditionalFormatting sqref="E254">
    <cfRule type="cellIs" rank="0" priority="746" equalAverage="0" operator="greaterThan" aboveAverage="0" dxfId="7" text="" percent="0" bottom="0">
      <formula>0</formula>
    </cfRule>
  </conditionalFormatting>
  <conditionalFormatting sqref="F254">
    <cfRule type="cellIs" rank="0" priority="747" equalAverage="0" operator="greaterThan" aboveAverage="0" dxfId="7" text="" percent="0" bottom="0">
      <formula>0</formula>
    </cfRule>
  </conditionalFormatting>
  <conditionalFormatting sqref="I254">
    <cfRule type="cellIs" rank="0" priority="748" equalAverage="0" operator="lessThan" aboveAverage="0" dxfId="8" text="" percent="0" bottom="0">
      <formula>0</formula>
    </cfRule>
  </conditionalFormatting>
  <conditionalFormatting sqref="E255">
    <cfRule type="cellIs" rank="0" priority="749" equalAverage="0" operator="greaterThan" aboveAverage="0" dxfId="7" text="" percent="0" bottom="0">
      <formula>0</formula>
    </cfRule>
  </conditionalFormatting>
  <conditionalFormatting sqref="F255">
    <cfRule type="cellIs" rank="0" priority="750" equalAverage="0" operator="greaterThan" aboveAverage="0" dxfId="7" text="" percent="0" bottom="0">
      <formula>0</formula>
    </cfRule>
  </conditionalFormatting>
  <conditionalFormatting sqref="I255">
    <cfRule type="cellIs" rank="0" priority="751" equalAverage="0" operator="lessThan" aboveAverage="0" dxfId="8" text="" percent="0" bottom="0">
      <formula>0</formula>
    </cfRule>
  </conditionalFormatting>
  <conditionalFormatting sqref="E256">
    <cfRule type="cellIs" rank="0" priority="752" equalAverage="0" operator="greaterThan" aboveAverage="0" dxfId="7" text="" percent="0" bottom="0">
      <formula>0</formula>
    </cfRule>
  </conditionalFormatting>
  <conditionalFormatting sqref="F256">
    <cfRule type="cellIs" rank="0" priority="753" equalAverage="0" operator="greaterThan" aboveAverage="0" dxfId="7" text="" percent="0" bottom="0">
      <formula>0</formula>
    </cfRule>
  </conditionalFormatting>
  <conditionalFormatting sqref="I256">
    <cfRule type="cellIs" rank="0" priority="754" equalAverage="0" operator="lessThan" aboveAverage="0" dxfId="8" text="" percent="0" bottom="0">
      <formula>0</formula>
    </cfRule>
  </conditionalFormatting>
  <conditionalFormatting sqref="E257">
    <cfRule type="cellIs" rank="0" priority="755" equalAverage="0" operator="greaterThan" aboveAverage="0" dxfId="7" text="" percent="0" bottom="0">
      <formula>0</formula>
    </cfRule>
  </conditionalFormatting>
  <conditionalFormatting sqref="F257">
    <cfRule type="cellIs" rank="0" priority="756" equalAverage="0" operator="greaterThan" aboveAverage="0" dxfId="7" text="" percent="0" bottom="0">
      <formula>0</formula>
    </cfRule>
  </conditionalFormatting>
  <conditionalFormatting sqref="I257">
    <cfRule type="cellIs" rank="0" priority="757" equalAverage="0" operator="lessThan" aboveAverage="0" dxfId="8" text="" percent="0" bottom="0">
      <formula>0</formula>
    </cfRule>
  </conditionalFormatting>
  <conditionalFormatting sqref="E258">
    <cfRule type="cellIs" rank="0" priority="758" equalAverage="0" operator="greaterThan" aboveAverage="0" dxfId="7" text="" percent="0" bottom="0">
      <formula>0</formula>
    </cfRule>
  </conditionalFormatting>
  <conditionalFormatting sqref="F258">
    <cfRule type="cellIs" rank="0" priority="759" equalAverage="0" operator="greaterThan" aboveAverage="0" dxfId="7" text="" percent="0" bottom="0">
      <formula>0</formula>
    </cfRule>
  </conditionalFormatting>
  <conditionalFormatting sqref="I258">
    <cfRule type="cellIs" rank="0" priority="760" equalAverage="0" operator="lessThan" aboveAverage="0" dxfId="8" text="" percent="0" bottom="0">
      <formula>0</formula>
    </cfRule>
  </conditionalFormatting>
  <conditionalFormatting sqref="E259">
    <cfRule type="cellIs" rank="0" priority="761" equalAverage="0" operator="greaterThan" aboveAverage="0" dxfId="7" text="" percent="0" bottom="0">
      <formula>0</formula>
    </cfRule>
  </conditionalFormatting>
  <conditionalFormatting sqref="F259">
    <cfRule type="cellIs" rank="0" priority="762" equalAverage="0" operator="greaterThan" aboveAverage="0" dxfId="7" text="" percent="0" bottom="0">
      <formula>0</formula>
    </cfRule>
  </conditionalFormatting>
  <conditionalFormatting sqref="I259">
    <cfRule type="cellIs" rank="0" priority="763" equalAverage="0" operator="lessThan" aboveAverage="0" dxfId="8" text="" percent="0" bottom="0">
      <formula>0</formula>
    </cfRule>
  </conditionalFormatting>
  <conditionalFormatting sqref="E260">
    <cfRule type="cellIs" rank="0" priority="764" equalAverage="0" operator="greaterThan" aboveAverage="0" dxfId="7" text="" percent="0" bottom="0">
      <formula>0</formula>
    </cfRule>
  </conditionalFormatting>
  <conditionalFormatting sqref="F260">
    <cfRule type="cellIs" rank="0" priority="765" equalAverage="0" operator="greaterThan" aboveAverage="0" dxfId="7" text="" percent="0" bottom="0">
      <formula>0</formula>
    </cfRule>
  </conditionalFormatting>
  <conditionalFormatting sqref="I260">
    <cfRule type="cellIs" rank="0" priority="766" equalAverage="0" operator="lessThan" aboveAverage="0" dxfId="8" text="" percent="0" bottom="0">
      <formula>0</formula>
    </cfRule>
  </conditionalFormatting>
  <conditionalFormatting sqref="E261">
    <cfRule type="cellIs" rank="0" priority="767" equalAverage="0" operator="greaterThan" aboveAverage="0" dxfId="7" text="" percent="0" bottom="0">
      <formula>0</formula>
    </cfRule>
  </conditionalFormatting>
  <conditionalFormatting sqref="F261">
    <cfRule type="cellIs" rank="0" priority="768" equalAverage="0" operator="greaterThan" aboveAverage="0" dxfId="7" text="" percent="0" bottom="0">
      <formula>0</formula>
    </cfRule>
  </conditionalFormatting>
  <conditionalFormatting sqref="I261">
    <cfRule type="cellIs" rank="0" priority="769" equalAverage="0" operator="lessThan" aboveAverage="0" dxfId="8" text="" percent="0" bottom="0">
      <formula>0</formula>
    </cfRule>
  </conditionalFormatting>
  <conditionalFormatting sqref="E262">
    <cfRule type="cellIs" rank="0" priority="770" equalAverage="0" operator="greaterThan" aboveAverage="0" dxfId="7" text="" percent="0" bottom="0">
      <formula>0</formula>
    </cfRule>
  </conditionalFormatting>
  <conditionalFormatting sqref="F262">
    <cfRule type="cellIs" rank="0" priority="771" equalAverage="0" operator="greaterThan" aboveAverage="0" dxfId="7" text="" percent="0" bottom="0">
      <formula>0</formula>
    </cfRule>
  </conditionalFormatting>
  <conditionalFormatting sqref="I262">
    <cfRule type="cellIs" rank="0" priority="772" equalAverage="0" operator="lessThan" aboveAverage="0" dxfId="8" text="" percent="0" bottom="0">
      <formula>0</formula>
    </cfRule>
  </conditionalFormatting>
  <conditionalFormatting sqref="E263">
    <cfRule type="cellIs" rank="0" priority="773" equalAverage="0" operator="greaterThan" aboveAverage="0" dxfId="7" text="" percent="0" bottom="0">
      <formula>0</formula>
    </cfRule>
  </conditionalFormatting>
  <conditionalFormatting sqref="F263">
    <cfRule type="cellIs" rank="0" priority="774" equalAverage="0" operator="greaterThan" aboveAverage="0" dxfId="7" text="" percent="0" bottom="0">
      <formula>0</formula>
    </cfRule>
  </conditionalFormatting>
  <conditionalFormatting sqref="I263">
    <cfRule type="cellIs" rank="0" priority="775" equalAverage="0" operator="lessThan" aboveAverage="0" dxfId="8" text="" percent="0" bottom="0">
      <formula>0</formula>
    </cfRule>
  </conditionalFormatting>
  <conditionalFormatting sqref="E264">
    <cfRule type="cellIs" rank="0" priority="776" equalAverage="0" operator="greaterThan" aboveAverage="0" dxfId="7" text="" percent="0" bottom="0">
      <formula>0</formula>
    </cfRule>
  </conditionalFormatting>
  <conditionalFormatting sqref="F264">
    <cfRule type="cellIs" rank="0" priority="777" equalAverage="0" operator="greaterThan" aboveAverage="0" dxfId="7" text="" percent="0" bottom="0">
      <formula>0</formula>
    </cfRule>
  </conditionalFormatting>
  <conditionalFormatting sqref="I264">
    <cfRule type="cellIs" rank="0" priority="778" equalAverage="0" operator="lessThan" aboveAverage="0" dxfId="8" text="" percent="0" bottom="0">
      <formula>0</formula>
    </cfRule>
  </conditionalFormatting>
  <conditionalFormatting sqref="E265">
    <cfRule type="cellIs" rank="0" priority="779" equalAverage="0" operator="greaterThan" aboveAverage="0" dxfId="7" text="" percent="0" bottom="0">
      <formula>0</formula>
    </cfRule>
  </conditionalFormatting>
  <conditionalFormatting sqref="F265">
    <cfRule type="cellIs" rank="0" priority="780" equalAverage="0" operator="greaterThan" aboveAverage="0" dxfId="7" text="" percent="0" bottom="0">
      <formula>0</formula>
    </cfRule>
  </conditionalFormatting>
  <conditionalFormatting sqref="I265">
    <cfRule type="cellIs" rank="0" priority="781" equalAverage="0" operator="lessThan" aboveAverage="0" dxfId="8" text="" percent="0" bottom="0">
      <formula>0</formula>
    </cfRule>
  </conditionalFormatting>
  <conditionalFormatting sqref="E266">
    <cfRule type="cellIs" rank="0" priority="782" equalAverage="0" operator="greaterThan" aboveAverage="0" dxfId="7" text="" percent="0" bottom="0">
      <formula>0</formula>
    </cfRule>
  </conditionalFormatting>
  <conditionalFormatting sqref="F266">
    <cfRule type="cellIs" rank="0" priority="783" equalAverage="0" operator="greaterThan" aboveAverage="0" dxfId="7" text="" percent="0" bottom="0">
      <formula>0</formula>
    </cfRule>
  </conditionalFormatting>
  <conditionalFormatting sqref="I266">
    <cfRule type="cellIs" rank="0" priority="784" equalAverage="0" operator="lessThan" aboveAverage="0" dxfId="8" text="" percent="0" bottom="0">
      <formula>0</formula>
    </cfRule>
  </conditionalFormatting>
  <conditionalFormatting sqref="E267">
    <cfRule type="cellIs" rank="0" priority="785" equalAverage="0" operator="greaterThan" aboveAverage="0" dxfId="7" text="" percent="0" bottom="0">
      <formula>0</formula>
    </cfRule>
  </conditionalFormatting>
  <conditionalFormatting sqref="F267">
    <cfRule type="cellIs" rank="0" priority="786" equalAverage="0" operator="greaterThan" aboveAverage="0" dxfId="7" text="" percent="0" bottom="0">
      <formula>0</formula>
    </cfRule>
  </conditionalFormatting>
  <conditionalFormatting sqref="I267">
    <cfRule type="cellIs" rank="0" priority="787" equalAverage="0" operator="lessThan" aboveAverage="0" dxfId="8" text="" percent="0" bottom="0">
      <formula>0</formula>
    </cfRule>
  </conditionalFormatting>
  <conditionalFormatting sqref="E268">
    <cfRule type="cellIs" rank="0" priority="788" equalAverage="0" operator="greaterThan" aboveAverage="0" dxfId="7" text="" percent="0" bottom="0">
      <formula>0</formula>
    </cfRule>
  </conditionalFormatting>
  <conditionalFormatting sqref="F268">
    <cfRule type="cellIs" rank="0" priority="789" equalAverage="0" operator="greaterThan" aboveAverage="0" dxfId="7" text="" percent="0" bottom="0">
      <formula>0</formula>
    </cfRule>
  </conditionalFormatting>
  <conditionalFormatting sqref="I268">
    <cfRule type="cellIs" rank="0" priority="790" equalAverage="0" operator="lessThan" aboveAverage="0" dxfId="8" text="" percent="0" bottom="0">
      <formula>0</formula>
    </cfRule>
  </conditionalFormatting>
  <conditionalFormatting sqref="E269">
    <cfRule type="cellIs" rank="0" priority="791" equalAverage="0" operator="greaterThan" aboveAverage="0" dxfId="7" text="" percent="0" bottom="0">
      <formula>0</formula>
    </cfRule>
  </conditionalFormatting>
  <conditionalFormatting sqref="F269">
    <cfRule type="cellIs" rank="0" priority="792" equalAverage="0" operator="greaterThan" aboveAverage="0" dxfId="7" text="" percent="0" bottom="0">
      <formula>0</formula>
    </cfRule>
  </conditionalFormatting>
  <conditionalFormatting sqref="I269">
    <cfRule type="cellIs" rank="0" priority="793" equalAverage="0" operator="lessThan" aboveAverage="0" dxfId="8" text="" percent="0" bottom="0">
      <formula>0</formula>
    </cfRule>
  </conditionalFormatting>
  <conditionalFormatting sqref="E270">
    <cfRule type="cellIs" rank="0" priority="794" equalAverage="0" operator="greaterThan" aboveAverage="0" dxfId="7" text="" percent="0" bottom="0">
      <formula>0</formula>
    </cfRule>
  </conditionalFormatting>
  <conditionalFormatting sqref="F270">
    <cfRule type="cellIs" rank="0" priority="795" equalAverage="0" operator="greaterThan" aboveAverage="0" dxfId="7" text="" percent="0" bottom="0">
      <formula>0</formula>
    </cfRule>
  </conditionalFormatting>
  <conditionalFormatting sqref="I270">
    <cfRule type="cellIs" rank="0" priority="796" equalAverage="0" operator="lessThan" aboveAverage="0" dxfId="8" text="" percent="0" bottom="0">
      <formula>0</formula>
    </cfRule>
  </conditionalFormatting>
  <conditionalFormatting sqref="E271">
    <cfRule type="cellIs" rank="0" priority="797" equalAverage="0" operator="greaterThan" aboveAverage="0" dxfId="7" text="" percent="0" bottom="0">
      <formula>0</formula>
    </cfRule>
  </conditionalFormatting>
  <conditionalFormatting sqref="F271">
    <cfRule type="cellIs" rank="0" priority="798" equalAverage="0" operator="greaterThan" aboveAverage="0" dxfId="7" text="" percent="0" bottom="0">
      <formula>0</formula>
    </cfRule>
  </conditionalFormatting>
  <conditionalFormatting sqref="I271">
    <cfRule type="cellIs" rank="0" priority="799" equalAverage="0" operator="lessThan" aboveAverage="0" dxfId="8" text="" percent="0" bottom="0">
      <formula>0</formula>
    </cfRule>
  </conditionalFormatting>
  <conditionalFormatting sqref="E272">
    <cfRule type="cellIs" rank="0" priority="800" equalAverage="0" operator="greaterThan" aboveAverage="0" dxfId="7" text="" percent="0" bottom="0">
      <formula>0</formula>
    </cfRule>
  </conditionalFormatting>
  <conditionalFormatting sqref="F272">
    <cfRule type="cellIs" rank="0" priority="801" equalAverage="0" operator="greaterThan" aboveAverage="0" dxfId="7" text="" percent="0" bottom="0">
      <formula>0</formula>
    </cfRule>
  </conditionalFormatting>
  <conditionalFormatting sqref="I272">
    <cfRule type="cellIs" rank="0" priority="802" equalAverage="0" operator="lessThan" aboveAverage="0" dxfId="8" text="" percent="0" bottom="0">
      <formula>0</formula>
    </cfRule>
  </conditionalFormatting>
  <conditionalFormatting sqref="E273">
    <cfRule type="cellIs" rank="0" priority="803" equalAverage="0" operator="greaterThan" aboveAverage="0" dxfId="7" text="" percent="0" bottom="0">
      <formula>0</formula>
    </cfRule>
  </conditionalFormatting>
  <conditionalFormatting sqref="F273">
    <cfRule type="cellIs" rank="0" priority="804" equalAverage="0" operator="greaterThan" aboveAverage="0" dxfId="7" text="" percent="0" bottom="0">
      <formula>0</formula>
    </cfRule>
  </conditionalFormatting>
  <conditionalFormatting sqref="I273">
    <cfRule type="cellIs" rank="0" priority="805" equalAverage="0" operator="lessThan" aboveAverage="0" dxfId="8" text="" percent="0" bottom="0">
      <formula>0</formula>
    </cfRule>
  </conditionalFormatting>
  <conditionalFormatting sqref="E274">
    <cfRule type="cellIs" rank="0" priority="806" equalAverage="0" operator="greaterThan" aboveAverage="0" dxfId="7" text="" percent="0" bottom="0">
      <formula>0</formula>
    </cfRule>
  </conditionalFormatting>
  <conditionalFormatting sqref="F274">
    <cfRule type="cellIs" rank="0" priority="807" equalAverage="0" operator="greaterThan" aboveAverage="0" dxfId="7" text="" percent="0" bottom="0">
      <formula>0</formula>
    </cfRule>
  </conditionalFormatting>
  <conditionalFormatting sqref="I274">
    <cfRule type="cellIs" rank="0" priority="808" equalAverage="0" operator="lessThan" aboveAverage="0" dxfId="8" text="" percent="0" bottom="0">
      <formula>0</formula>
    </cfRule>
  </conditionalFormatting>
  <conditionalFormatting sqref="E275">
    <cfRule type="cellIs" rank="0" priority="809" equalAverage="0" operator="greaterThan" aboveAverage="0" dxfId="7" text="" percent="0" bottom="0">
      <formula>0</formula>
    </cfRule>
  </conditionalFormatting>
  <conditionalFormatting sqref="F275">
    <cfRule type="cellIs" rank="0" priority="810" equalAverage="0" operator="greaterThan" aboveAverage="0" dxfId="7" text="" percent="0" bottom="0">
      <formula>0</formula>
    </cfRule>
  </conditionalFormatting>
  <conditionalFormatting sqref="I275">
    <cfRule type="cellIs" rank="0" priority="811" equalAverage="0" operator="lessThan" aboveAverage="0" dxfId="8" text="" percent="0" bottom="0">
      <formula>0</formula>
    </cfRule>
  </conditionalFormatting>
  <conditionalFormatting sqref="E276">
    <cfRule type="cellIs" rank="0" priority="812" equalAverage="0" operator="greaterThan" aboveAverage="0" dxfId="7" text="" percent="0" bottom="0">
      <formula>0</formula>
    </cfRule>
  </conditionalFormatting>
  <conditionalFormatting sqref="F276">
    <cfRule type="cellIs" rank="0" priority="813" equalAverage="0" operator="greaterThan" aboveAverage="0" dxfId="7" text="" percent="0" bottom="0">
      <formula>0</formula>
    </cfRule>
  </conditionalFormatting>
  <conditionalFormatting sqref="I276">
    <cfRule type="cellIs" rank="0" priority="814" equalAverage="0" operator="lessThan" aboveAverage="0" dxfId="8" text="" percent="0" bottom="0">
      <formula>0</formula>
    </cfRule>
  </conditionalFormatting>
  <conditionalFormatting sqref="E277">
    <cfRule type="cellIs" rank="0" priority="815" equalAverage="0" operator="greaterThan" aboveAverage="0" dxfId="7" text="" percent="0" bottom="0">
      <formula>0</formula>
    </cfRule>
  </conditionalFormatting>
  <conditionalFormatting sqref="F277">
    <cfRule type="cellIs" rank="0" priority="816" equalAverage="0" operator="greaterThan" aboveAverage="0" dxfId="7" text="" percent="0" bottom="0">
      <formula>0</formula>
    </cfRule>
  </conditionalFormatting>
  <conditionalFormatting sqref="I277">
    <cfRule type="cellIs" rank="0" priority="817" equalAverage="0" operator="lessThan" aboveAverage="0" dxfId="8" text="" percent="0" bottom="0">
      <formula>0</formula>
    </cfRule>
  </conditionalFormatting>
  <conditionalFormatting sqref="E278">
    <cfRule type="cellIs" rank="0" priority="818" equalAverage="0" operator="greaterThan" aboveAverage="0" dxfId="7" text="" percent="0" bottom="0">
      <formula>0</formula>
    </cfRule>
  </conditionalFormatting>
  <conditionalFormatting sqref="F278">
    <cfRule type="cellIs" rank="0" priority="819" equalAverage="0" operator="greaterThan" aboveAverage="0" dxfId="7" text="" percent="0" bottom="0">
      <formula>0</formula>
    </cfRule>
  </conditionalFormatting>
  <conditionalFormatting sqref="I278">
    <cfRule type="cellIs" rank="0" priority="820" equalAverage="0" operator="lessThan" aboveAverage="0" dxfId="8" text="" percent="0" bottom="0">
      <formula>0</formula>
    </cfRule>
  </conditionalFormatting>
  <conditionalFormatting sqref="E279">
    <cfRule type="cellIs" rank="0" priority="821" equalAverage="0" operator="greaterThan" aboveAverage="0" dxfId="7" text="" percent="0" bottom="0">
      <formula>0</formula>
    </cfRule>
  </conditionalFormatting>
  <conditionalFormatting sqref="F279">
    <cfRule type="cellIs" rank="0" priority="822" equalAverage="0" operator="greaterThan" aboveAverage="0" dxfId="7" text="" percent="0" bottom="0">
      <formula>0</formula>
    </cfRule>
  </conditionalFormatting>
  <conditionalFormatting sqref="I279">
    <cfRule type="cellIs" rank="0" priority="823" equalAverage="0" operator="lessThan" aboveAverage="0" dxfId="8" text="" percent="0" bottom="0">
      <formula>0</formula>
    </cfRule>
  </conditionalFormatting>
  <conditionalFormatting sqref="E280">
    <cfRule type="cellIs" rank="0" priority="824" equalAverage="0" operator="greaterThan" aboveAverage="0" dxfId="7" text="" percent="0" bottom="0">
      <formula>0</formula>
    </cfRule>
  </conditionalFormatting>
  <conditionalFormatting sqref="F280">
    <cfRule type="cellIs" rank="0" priority="825" equalAverage="0" operator="greaterThan" aboveAverage="0" dxfId="7" text="" percent="0" bottom="0">
      <formula>0</formula>
    </cfRule>
  </conditionalFormatting>
  <conditionalFormatting sqref="I280">
    <cfRule type="cellIs" rank="0" priority="826" equalAverage="0" operator="lessThan" aboveAverage="0" dxfId="8" text="" percent="0" bottom="0">
      <formula>0</formula>
    </cfRule>
  </conditionalFormatting>
  <conditionalFormatting sqref="E281">
    <cfRule type="cellIs" rank="0" priority="827" equalAverage="0" operator="greaterThan" aboveAverage="0" dxfId="7" text="" percent="0" bottom="0">
      <formula>0</formula>
    </cfRule>
  </conditionalFormatting>
  <conditionalFormatting sqref="F281">
    <cfRule type="cellIs" rank="0" priority="828" equalAverage="0" operator="greaterThan" aboveAverage="0" dxfId="7" text="" percent="0" bottom="0">
      <formula>0</formula>
    </cfRule>
  </conditionalFormatting>
  <conditionalFormatting sqref="I281">
    <cfRule type="cellIs" rank="0" priority="829" equalAverage="0" operator="lessThan" aboveAverage="0" dxfId="8" text="" percent="0" bottom="0">
      <formula>0</formula>
    </cfRule>
  </conditionalFormatting>
  <conditionalFormatting sqref="E282">
    <cfRule type="cellIs" rank="0" priority="830" equalAverage="0" operator="greaterThan" aboveAverage="0" dxfId="7" text="" percent="0" bottom="0">
      <formula>0</formula>
    </cfRule>
  </conditionalFormatting>
  <conditionalFormatting sqref="F282">
    <cfRule type="cellIs" rank="0" priority="831" equalAverage="0" operator="greaterThan" aboveAverage="0" dxfId="7" text="" percent="0" bottom="0">
      <formula>0</formula>
    </cfRule>
  </conditionalFormatting>
  <conditionalFormatting sqref="I282">
    <cfRule type="cellIs" rank="0" priority="832" equalAverage="0" operator="lessThan" aboveAverage="0" dxfId="8" text="" percent="0" bottom="0">
      <formula>0</formula>
    </cfRule>
  </conditionalFormatting>
  <conditionalFormatting sqref="E283">
    <cfRule type="cellIs" rank="0" priority="833" equalAverage="0" operator="greaterThan" aboveAverage="0" dxfId="7" text="" percent="0" bottom="0">
      <formula>0</formula>
    </cfRule>
  </conditionalFormatting>
  <conditionalFormatting sqref="F283">
    <cfRule type="cellIs" rank="0" priority="834" equalAverage="0" operator="greaterThan" aboveAverage="0" dxfId="7" text="" percent="0" bottom="0">
      <formula>0</formula>
    </cfRule>
  </conditionalFormatting>
  <conditionalFormatting sqref="I283">
    <cfRule type="cellIs" rank="0" priority="835" equalAverage="0" operator="lessThan" aboveAverage="0" dxfId="8" text="" percent="0" bottom="0">
      <formula>0</formula>
    </cfRule>
  </conditionalFormatting>
  <conditionalFormatting sqref="E284">
    <cfRule type="cellIs" rank="0" priority="836" equalAverage="0" operator="greaterThan" aboveAverage="0" dxfId="7" text="" percent="0" bottom="0">
      <formula>0</formula>
    </cfRule>
  </conditionalFormatting>
  <conditionalFormatting sqref="F284">
    <cfRule type="cellIs" rank="0" priority="837" equalAverage="0" operator="greaterThan" aboveAverage="0" dxfId="7" text="" percent="0" bottom="0">
      <formula>0</formula>
    </cfRule>
  </conditionalFormatting>
  <conditionalFormatting sqref="I284">
    <cfRule type="cellIs" rank="0" priority="838" equalAverage="0" operator="lessThan" aboveAverage="0" dxfId="8" text="" percent="0" bottom="0">
      <formula>0</formula>
    </cfRule>
  </conditionalFormatting>
  <conditionalFormatting sqref="E285">
    <cfRule type="cellIs" rank="0" priority="839" equalAverage="0" operator="greaterThan" aboveAverage="0" dxfId="7" text="" percent="0" bottom="0">
      <formula>0</formula>
    </cfRule>
  </conditionalFormatting>
  <conditionalFormatting sqref="F285">
    <cfRule type="cellIs" rank="0" priority="840" equalAverage="0" operator="greaterThan" aboveAverage="0" dxfId="7" text="" percent="0" bottom="0">
      <formula>0</formula>
    </cfRule>
  </conditionalFormatting>
  <conditionalFormatting sqref="I285">
    <cfRule type="cellIs" rank="0" priority="841" equalAverage="0" operator="lessThan" aboveAverage="0" dxfId="8" text="" percent="0" bottom="0">
      <formula>0</formula>
    </cfRule>
  </conditionalFormatting>
  <conditionalFormatting sqref="E286">
    <cfRule type="cellIs" rank="0" priority="842" equalAverage="0" operator="greaterThan" aboveAverage="0" dxfId="7" text="" percent="0" bottom="0">
      <formula>0</formula>
    </cfRule>
  </conditionalFormatting>
  <conditionalFormatting sqref="F286">
    <cfRule type="cellIs" rank="0" priority="843" equalAverage="0" operator="greaterThan" aboveAverage="0" dxfId="7" text="" percent="0" bottom="0">
      <formula>0</formula>
    </cfRule>
  </conditionalFormatting>
  <conditionalFormatting sqref="I286">
    <cfRule type="cellIs" rank="0" priority="844" equalAverage="0" operator="lessThan" aboveAverage="0" dxfId="8" text="" percent="0" bottom="0">
      <formula>0</formula>
    </cfRule>
  </conditionalFormatting>
  <conditionalFormatting sqref="E287">
    <cfRule type="cellIs" rank="0" priority="845" equalAverage="0" operator="greaterThan" aboveAverage="0" dxfId="7" text="" percent="0" bottom="0">
      <formula>0</formula>
    </cfRule>
  </conditionalFormatting>
  <conditionalFormatting sqref="F287">
    <cfRule type="cellIs" rank="0" priority="846" equalAverage="0" operator="greaterThan" aboveAverage="0" dxfId="7" text="" percent="0" bottom="0">
      <formula>0</formula>
    </cfRule>
  </conditionalFormatting>
  <conditionalFormatting sqref="I287">
    <cfRule type="cellIs" rank="0" priority="847" equalAverage="0" operator="lessThan" aboveAverage="0" dxfId="8" text="" percent="0" bottom="0">
      <formula>0</formula>
    </cfRule>
  </conditionalFormatting>
  <conditionalFormatting sqref="E288">
    <cfRule type="cellIs" rank="0" priority="848" equalAverage="0" operator="greaterThan" aboveAverage="0" dxfId="7" text="" percent="0" bottom="0">
      <formula>0</formula>
    </cfRule>
  </conditionalFormatting>
  <conditionalFormatting sqref="F288">
    <cfRule type="cellIs" rank="0" priority="849" equalAverage="0" operator="greaterThan" aboveAverage="0" dxfId="7" text="" percent="0" bottom="0">
      <formula>0</formula>
    </cfRule>
  </conditionalFormatting>
  <conditionalFormatting sqref="I288">
    <cfRule type="cellIs" rank="0" priority="850" equalAverage="0" operator="lessThan" aboveAverage="0" dxfId="8" text="" percent="0" bottom="0">
      <formula>0</formula>
    </cfRule>
  </conditionalFormatting>
  <conditionalFormatting sqref="E289">
    <cfRule type="cellIs" rank="0" priority="851" equalAverage="0" operator="greaterThan" aboveAverage="0" dxfId="7" text="" percent="0" bottom="0">
      <formula>0</formula>
    </cfRule>
  </conditionalFormatting>
  <conditionalFormatting sqref="F289">
    <cfRule type="cellIs" rank="0" priority="852" equalAverage="0" operator="greaterThan" aboveAverage="0" dxfId="7" text="" percent="0" bottom="0">
      <formula>0</formula>
    </cfRule>
  </conditionalFormatting>
  <conditionalFormatting sqref="I289">
    <cfRule type="cellIs" rank="0" priority="853" equalAverage="0" operator="lessThan" aboveAverage="0" dxfId="8" text="" percent="0" bottom="0">
      <formula>0</formula>
    </cfRule>
  </conditionalFormatting>
  <conditionalFormatting sqref="E290">
    <cfRule type="cellIs" rank="0" priority="854" equalAverage="0" operator="greaterThan" aboveAverage="0" dxfId="7" text="" percent="0" bottom="0">
      <formula>0</formula>
    </cfRule>
  </conditionalFormatting>
  <conditionalFormatting sqref="F290">
    <cfRule type="cellIs" rank="0" priority="855" equalAverage="0" operator="greaterThan" aboveAverage="0" dxfId="7" text="" percent="0" bottom="0">
      <formula>0</formula>
    </cfRule>
  </conditionalFormatting>
  <conditionalFormatting sqref="I290">
    <cfRule type="cellIs" rank="0" priority="856" equalAverage="0" operator="lessThan" aboveAverage="0" dxfId="8" text="" percent="0" bottom="0">
      <formula>0</formula>
    </cfRule>
  </conditionalFormatting>
  <conditionalFormatting sqref="E291">
    <cfRule type="cellIs" rank="0" priority="857" equalAverage="0" operator="greaterThan" aboveAverage="0" dxfId="7" text="" percent="0" bottom="0">
      <formula>0</formula>
    </cfRule>
  </conditionalFormatting>
  <conditionalFormatting sqref="F291">
    <cfRule type="cellIs" rank="0" priority="858" equalAverage="0" operator="greaterThan" aboveAverage="0" dxfId="7" text="" percent="0" bottom="0">
      <formula>0</formula>
    </cfRule>
  </conditionalFormatting>
  <conditionalFormatting sqref="I291">
    <cfRule type="cellIs" rank="0" priority="859" equalAverage="0" operator="lessThan" aboveAverage="0" dxfId="8" text="" percent="0" bottom="0">
      <formula>0</formula>
    </cfRule>
  </conditionalFormatting>
  <conditionalFormatting sqref="E292">
    <cfRule type="cellIs" rank="0" priority="860" equalAverage="0" operator="greaterThan" aboveAverage="0" dxfId="7" text="" percent="0" bottom="0">
      <formula>0</formula>
    </cfRule>
  </conditionalFormatting>
  <conditionalFormatting sqref="F292">
    <cfRule type="cellIs" rank="0" priority="861" equalAverage="0" operator="greaterThan" aboveAverage="0" dxfId="7" text="" percent="0" bottom="0">
      <formula>0</formula>
    </cfRule>
  </conditionalFormatting>
  <conditionalFormatting sqref="I292">
    <cfRule type="cellIs" rank="0" priority="862" equalAverage="0" operator="lessThan" aboveAverage="0" dxfId="8" text="" percent="0" bottom="0">
      <formula>0</formula>
    </cfRule>
  </conditionalFormatting>
  <conditionalFormatting sqref="E293">
    <cfRule type="cellIs" rank="0" priority="863" equalAverage="0" operator="greaterThan" aboveAverage="0" dxfId="7" text="" percent="0" bottom="0">
      <formula>0</formula>
    </cfRule>
  </conditionalFormatting>
  <conditionalFormatting sqref="F293">
    <cfRule type="cellIs" rank="0" priority="864" equalAverage="0" operator="greaterThan" aboveAverage="0" dxfId="7" text="" percent="0" bottom="0">
      <formula>0</formula>
    </cfRule>
  </conditionalFormatting>
  <conditionalFormatting sqref="I293">
    <cfRule type="cellIs" rank="0" priority="865" equalAverage="0" operator="lessThan" aboveAverage="0" dxfId="8" text="" percent="0" bottom="0">
      <formula>0</formula>
    </cfRule>
  </conditionalFormatting>
  <conditionalFormatting sqref="E294">
    <cfRule type="cellIs" rank="0" priority="866" equalAverage="0" operator="greaterThan" aboveAverage="0" dxfId="7" text="" percent="0" bottom="0">
      <formula>0</formula>
    </cfRule>
  </conditionalFormatting>
  <conditionalFormatting sqref="F294">
    <cfRule type="cellIs" rank="0" priority="867" equalAverage="0" operator="greaterThan" aboveAverage="0" dxfId="7" text="" percent="0" bottom="0">
      <formula>0</formula>
    </cfRule>
  </conditionalFormatting>
  <conditionalFormatting sqref="I294">
    <cfRule type="cellIs" rank="0" priority="868" equalAverage="0" operator="lessThan" aboveAverage="0" dxfId="8" text="" percent="0" bottom="0">
      <formula>0</formula>
    </cfRule>
  </conditionalFormatting>
  <conditionalFormatting sqref="E295">
    <cfRule type="cellIs" rank="0" priority="869" equalAverage="0" operator="greaterThan" aboveAverage="0" dxfId="7" text="" percent="0" bottom="0">
      <formula>0</formula>
    </cfRule>
  </conditionalFormatting>
  <conditionalFormatting sqref="F295">
    <cfRule type="cellIs" rank="0" priority="870" equalAverage="0" operator="greaterThan" aboveAverage="0" dxfId="7" text="" percent="0" bottom="0">
      <formula>0</formula>
    </cfRule>
  </conditionalFormatting>
  <conditionalFormatting sqref="I295">
    <cfRule type="cellIs" rank="0" priority="871" equalAverage="0" operator="lessThan" aboveAverage="0" dxfId="8" text="" percent="0" bottom="0">
      <formula>0</formula>
    </cfRule>
  </conditionalFormatting>
  <conditionalFormatting sqref="E296">
    <cfRule type="cellIs" rank="0" priority="872" equalAverage="0" operator="greaterThan" aboveAverage="0" dxfId="7" text="" percent="0" bottom="0">
      <formula>0</formula>
    </cfRule>
  </conditionalFormatting>
  <conditionalFormatting sqref="F296">
    <cfRule type="cellIs" rank="0" priority="873" equalAverage="0" operator="greaterThan" aboveAverage="0" dxfId="7" text="" percent="0" bottom="0">
      <formula>0</formula>
    </cfRule>
  </conditionalFormatting>
  <conditionalFormatting sqref="I296">
    <cfRule type="cellIs" rank="0" priority="874" equalAverage="0" operator="lessThan" aboveAverage="0" dxfId="8" text="" percent="0" bottom="0">
      <formula>0</formula>
    </cfRule>
  </conditionalFormatting>
  <conditionalFormatting sqref="E297">
    <cfRule type="cellIs" rank="0" priority="875" equalAverage="0" operator="greaterThan" aboveAverage="0" dxfId="7" text="" percent="0" bottom="0">
      <formula>0</formula>
    </cfRule>
  </conditionalFormatting>
  <conditionalFormatting sqref="F297">
    <cfRule type="cellIs" rank="0" priority="876" equalAverage="0" operator="greaterThan" aboveAverage="0" dxfId="7" text="" percent="0" bottom="0">
      <formula>0</formula>
    </cfRule>
  </conditionalFormatting>
  <conditionalFormatting sqref="I297">
    <cfRule type="cellIs" rank="0" priority="877" equalAverage="0" operator="lessThan" aboveAverage="0" dxfId="8" text="" percent="0" bottom="0">
      <formula>0</formula>
    </cfRule>
  </conditionalFormatting>
  <conditionalFormatting sqref="E298">
    <cfRule type="cellIs" rank="0" priority="878" equalAverage="0" operator="greaterThan" aboveAverage="0" dxfId="7" text="" percent="0" bottom="0">
      <formula>0</formula>
    </cfRule>
  </conditionalFormatting>
  <conditionalFormatting sqref="F298">
    <cfRule type="cellIs" rank="0" priority="879" equalAverage="0" operator="greaterThan" aboveAverage="0" dxfId="7" text="" percent="0" bottom="0">
      <formula>0</formula>
    </cfRule>
  </conditionalFormatting>
  <conditionalFormatting sqref="I298">
    <cfRule type="cellIs" rank="0" priority="880" equalAverage="0" operator="lessThan" aboveAverage="0" dxfId="8" text="" percent="0" bottom="0">
      <formula>0</formula>
    </cfRule>
  </conditionalFormatting>
  <conditionalFormatting sqref="E299">
    <cfRule type="cellIs" rank="0" priority="881" equalAverage="0" operator="greaterThan" aboveAverage="0" dxfId="7" text="" percent="0" bottom="0">
      <formula>0</formula>
    </cfRule>
  </conditionalFormatting>
  <conditionalFormatting sqref="F299">
    <cfRule type="cellIs" rank="0" priority="882" equalAverage="0" operator="greaterThan" aboveAverage="0" dxfId="7" text="" percent="0" bottom="0">
      <formula>0</formula>
    </cfRule>
  </conditionalFormatting>
  <conditionalFormatting sqref="I299">
    <cfRule type="cellIs" rank="0" priority="883" equalAverage="0" operator="lessThan" aboveAverage="0" dxfId="8" text="" percent="0" bottom="0">
      <formula>0</formula>
    </cfRule>
  </conditionalFormatting>
  <conditionalFormatting sqref="E300">
    <cfRule type="cellIs" rank="0" priority="884" equalAverage="0" operator="greaterThan" aboveAverage="0" dxfId="7" text="" percent="0" bottom="0">
      <formula>0</formula>
    </cfRule>
  </conditionalFormatting>
  <conditionalFormatting sqref="F300">
    <cfRule type="cellIs" rank="0" priority="885" equalAverage="0" operator="greaterThan" aboveAverage="0" dxfId="7" text="" percent="0" bottom="0">
      <formula>0</formula>
    </cfRule>
  </conditionalFormatting>
  <conditionalFormatting sqref="I300">
    <cfRule type="cellIs" rank="0" priority="886" equalAverage="0" operator="lessThan" aboveAverage="0" dxfId="8" text="" percent="0" bottom="0">
      <formula>0</formula>
    </cfRule>
  </conditionalFormatting>
  <conditionalFormatting sqref="E301">
    <cfRule type="cellIs" rank="0" priority="887" equalAverage="0" operator="greaterThan" aboveAverage="0" dxfId="7" text="" percent="0" bottom="0">
      <formula>0</formula>
    </cfRule>
  </conditionalFormatting>
  <conditionalFormatting sqref="F301">
    <cfRule type="cellIs" rank="0" priority="888" equalAverage="0" operator="greaterThan" aboveAverage="0" dxfId="7" text="" percent="0" bottom="0">
      <formula>0</formula>
    </cfRule>
  </conditionalFormatting>
  <conditionalFormatting sqref="I301">
    <cfRule type="cellIs" rank="0" priority="889" equalAverage="0" operator="lessThan" aboveAverage="0" dxfId="8" text="" percent="0" bottom="0">
      <formula>0</formula>
    </cfRule>
  </conditionalFormatting>
  <conditionalFormatting sqref="E302">
    <cfRule type="cellIs" rank="0" priority="890" equalAverage="0" operator="greaterThan" aboveAverage="0" dxfId="7" text="" percent="0" bottom="0">
      <formula>0</formula>
    </cfRule>
  </conditionalFormatting>
  <conditionalFormatting sqref="F302">
    <cfRule type="cellIs" rank="0" priority="891" equalAverage="0" operator="greaterThan" aboveAverage="0" dxfId="7" text="" percent="0" bottom="0">
      <formula>0</formula>
    </cfRule>
  </conditionalFormatting>
  <conditionalFormatting sqref="I302">
    <cfRule type="cellIs" rank="0" priority="892" equalAverage="0" operator="lessThan" aboveAverage="0" dxfId="8" text="" percent="0" bottom="0">
      <formula>0</formula>
    </cfRule>
  </conditionalFormatting>
  <conditionalFormatting sqref="E303">
    <cfRule type="cellIs" rank="0" priority="893" equalAverage="0" operator="greaterThan" aboveAverage="0" dxfId="7" text="" percent="0" bottom="0">
      <formula>0</formula>
    </cfRule>
  </conditionalFormatting>
  <conditionalFormatting sqref="F303">
    <cfRule type="cellIs" rank="0" priority="894" equalAverage="0" operator="greaterThan" aboveAverage="0" dxfId="7" text="" percent="0" bottom="0">
      <formula>0</formula>
    </cfRule>
  </conditionalFormatting>
  <conditionalFormatting sqref="I303">
    <cfRule type="cellIs" rank="0" priority="895" equalAverage="0" operator="lessThan" aboveAverage="0" dxfId="8" text="" percent="0" bottom="0">
      <formula>0</formula>
    </cfRule>
  </conditionalFormatting>
  <conditionalFormatting sqref="E304">
    <cfRule type="cellIs" rank="0" priority="896" equalAverage="0" operator="greaterThan" aboveAverage="0" dxfId="7" text="" percent="0" bottom="0">
      <formula>0</formula>
    </cfRule>
  </conditionalFormatting>
  <conditionalFormatting sqref="F304">
    <cfRule type="cellIs" rank="0" priority="897" equalAverage="0" operator="greaterThan" aboveAverage="0" dxfId="7" text="" percent="0" bottom="0">
      <formula>0</formula>
    </cfRule>
  </conditionalFormatting>
  <conditionalFormatting sqref="I304">
    <cfRule type="cellIs" rank="0" priority="898" equalAverage="0" operator="lessThan" aboveAverage="0" dxfId="8" text="" percent="0" bottom="0">
      <formula>0</formula>
    </cfRule>
  </conditionalFormatting>
  <conditionalFormatting sqref="E305">
    <cfRule type="cellIs" rank="0" priority="899" equalAverage="0" operator="greaterThan" aboveAverage="0" dxfId="7" text="" percent="0" bottom="0">
      <formula>0</formula>
    </cfRule>
  </conditionalFormatting>
  <conditionalFormatting sqref="F305">
    <cfRule type="cellIs" rank="0" priority="900" equalAverage="0" operator="greaterThan" aboveAverage="0" dxfId="7" text="" percent="0" bottom="0">
      <formula>0</formula>
    </cfRule>
  </conditionalFormatting>
  <conditionalFormatting sqref="I305">
    <cfRule type="cellIs" rank="0" priority="901" equalAverage="0" operator="lessThan" aboveAverage="0" dxfId="8" text="" percent="0" bottom="0">
      <formula>0</formula>
    </cfRule>
  </conditionalFormatting>
  <conditionalFormatting sqref="E306">
    <cfRule type="cellIs" rank="0" priority="902" equalAverage="0" operator="greaterThan" aboveAverage="0" dxfId="7" text="" percent="0" bottom="0">
      <formula>0</formula>
    </cfRule>
  </conditionalFormatting>
  <conditionalFormatting sqref="F306">
    <cfRule type="cellIs" rank="0" priority="903" equalAverage="0" operator="greaterThan" aboveAverage="0" dxfId="7" text="" percent="0" bottom="0">
      <formula>0</formula>
    </cfRule>
  </conditionalFormatting>
  <conditionalFormatting sqref="I306">
    <cfRule type="cellIs" rank="0" priority="904" equalAverage="0" operator="lessThan" aboveAverage="0" dxfId="8" text="" percent="0" bottom="0">
      <formula>0</formula>
    </cfRule>
  </conditionalFormatting>
  <conditionalFormatting sqref="E307">
    <cfRule type="cellIs" rank="0" priority="905" equalAverage="0" operator="greaterThan" aboveAverage="0" dxfId="7" text="" percent="0" bottom="0">
      <formula>0</formula>
    </cfRule>
  </conditionalFormatting>
  <conditionalFormatting sqref="F307">
    <cfRule type="cellIs" rank="0" priority="906" equalAverage="0" operator="greaterThan" aboveAverage="0" dxfId="7" text="" percent="0" bottom="0">
      <formula>0</formula>
    </cfRule>
  </conditionalFormatting>
  <conditionalFormatting sqref="I307">
    <cfRule type="cellIs" rank="0" priority="907" equalAverage="0" operator="lessThan" aboveAverage="0" dxfId="8" text="" percent="0" bottom="0">
      <formula>0</formula>
    </cfRule>
  </conditionalFormatting>
  <conditionalFormatting sqref="E308">
    <cfRule type="cellIs" rank="0" priority="908" equalAverage="0" operator="greaterThan" aboveAverage="0" dxfId="7" text="" percent="0" bottom="0">
      <formula>0</formula>
    </cfRule>
  </conditionalFormatting>
  <conditionalFormatting sqref="F308">
    <cfRule type="cellIs" rank="0" priority="909" equalAverage="0" operator="greaterThan" aboveAverage="0" dxfId="7" text="" percent="0" bottom="0">
      <formula>0</formula>
    </cfRule>
  </conditionalFormatting>
  <conditionalFormatting sqref="I308">
    <cfRule type="cellIs" rank="0" priority="910" equalAverage="0" operator="lessThan" aboveAverage="0" dxfId="8" text="" percent="0" bottom="0">
      <formula>0</formula>
    </cfRule>
  </conditionalFormatting>
  <conditionalFormatting sqref="E309">
    <cfRule type="cellIs" rank="0" priority="911" equalAverage="0" operator="greaterThan" aboveAverage="0" dxfId="7" text="" percent="0" bottom="0">
      <formula>0</formula>
    </cfRule>
  </conditionalFormatting>
  <conditionalFormatting sqref="F309">
    <cfRule type="cellIs" rank="0" priority="912" equalAverage="0" operator="greaterThan" aboveAverage="0" dxfId="7" text="" percent="0" bottom="0">
      <formula>0</formula>
    </cfRule>
  </conditionalFormatting>
  <conditionalFormatting sqref="I309">
    <cfRule type="cellIs" rank="0" priority="913" equalAverage="0" operator="lessThan" aboveAverage="0" dxfId="8" text="" percent="0" bottom="0">
      <formula>0</formula>
    </cfRule>
  </conditionalFormatting>
  <conditionalFormatting sqref="E310">
    <cfRule type="cellIs" rank="0" priority="914" equalAverage="0" operator="greaterThan" aboveAverage="0" dxfId="7" text="" percent="0" bottom="0">
      <formula>0</formula>
    </cfRule>
  </conditionalFormatting>
  <conditionalFormatting sqref="F310">
    <cfRule type="cellIs" rank="0" priority="915" equalAverage="0" operator="greaterThan" aboveAverage="0" dxfId="7" text="" percent="0" bottom="0">
      <formula>0</formula>
    </cfRule>
  </conditionalFormatting>
  <conditionalFormatting sqref="I310">
    <cfRule type="cellIs" rank="0" priority="916" equalAverage="0" operator="lessThan" aboveAverage="0" dxfId="8" text="" percent="0" bottom="0">
      <formula>0</formula>
    </cfRule>
  </conditionalFormatting>
  <conditionalFormatting sqref="E311">
    <cfRule type="cellIs" rank="0" priority="917" equalAverage="0" operator="greaterThan" aboveAverage="0" dxfId="7" text="" percent="0" bottom="0">
      <formula>0</formula>
    </cfRule>
  </conditionalFormatting>
  <conditionalFormatting sqref="F311">
    <cfRule type="cellIs" rank="0" priority="918" equalAverage="0" operator="greaterThan" aboveAverage="0" dxfId="7" text="" percent="0" bottom="0">
      <formula>0</formula>
    </cfRule>
  </conditionalFormatting>
  <conditionalFormatting sqref="I311">
    <cfRule type="cellIs" rank="0" priority="919" equalAverage="0" operator="lessThan" aboveAverage="0" dxfId="8" text="" percent="0" bottom="0">
      <formula>0</formula>
    </cfRule>
  </conditionalFormatting>
  <conditionalFormatting sqref="E312">
    <cfRule type="cellIs" rank="0" priority="920" equalAverage="0" operator="greaterThan" aboveAverage="0" dxfId="7" text="" percent="0" bottom="0">
      <formula>0</formula>
    </cfRule>
  </conditionalFormatting>
  <conditionalFormatting sqref="F312">
    <cfRule type="cellIs" rank="0" priority="921" equalAverage="0" operator="greaterThan" aboveAverage="0" dxfId="7" text="" percent="0" bottom="0">
      <formula>0</formula>
    </cfRule>
  </conditionalFormatting>
  <conditionalFormatting sqref="I312">
    <cfRule type="cellIs" rank="0" priority="922" equalAverage="0" operator="lessThan" aboveAverage="0" dxfId="8" text="" percent="0" bottom="0">
      <formula>0</formula>
    </cfRule>
  </conditionalFormatting>
  <conditionalFormatting sqref="E313">
    <cfRule type="cellIs" rank="0" priority="923" equalAverage="0" operator="greaterThan" aboveAverage="0" dxfId="7" text="" percent="0" bottom="0">
      <formula>0</formula>
    </cfRule>
  </conditionalFormatting>
  <conditionalFormatting sqref="F313">
    <cfRule type="cellIs" rank="0" priority="924" equalAverage="0" operator="greaterThan" aboveAverage="0" dxfId="7" text="" percent="0" bottom="0">
      <formula>0</formula>
    </cfRule>
  </conditionalFormatting>
  <conditionalFormatting sqref="I313">
    <cfRule type="cellIs" rank="0" priority="925" equalAverage="0" operator="lessThan" aboveAverage="0" dxfId="8" text="" percent="0" bottom="0">
      <formula>0</formula>
    </cfRule>
  </conditionalFormatting>
  <conditionalFormatting sqref="E314">
    <cfRule type="cellIs" rank="0" priority="926" equalAverage="0" operator="greaterThan" aboveAverage="0" dxfId="7" text="" percent="0" bottom="0">
      <formula>0</formula>
    </cfRule>
  </conditionalFormatting>
  <conditionalFormatting sqref="F314">
    <cfRule type="cellIs" rank="0" priority="927" equalAverage="0" operator="greaterThan" aboveAverage="0" dxfId="7" text="" percent="0" bottom="0">
      <formula>0</formula>
    </cfRule>
  </conditionalFormatting>
  <conditionalFormatting sqref="I314">
    <cfRule type="cellIs" rank="0" priority="928" equalAverage="0" operator="lessThan" aboveAverage="0" dxfId="8" text="" percent="0" bottom="0">
      <formula>0</formula>
    </cfRule>
  </conditionalFormatting>
  <conditionalFormatting sqref="E315">
    <cfRule type="cellIs" rank="0" priority="929" equalAverage="0" operator="greaterThan" aboveAverage="0" dxfId="7" text="" percent="0" bottom="0">
      <formula>0</formula>
    </cfRule>
  </conditionalFormatting>
  <conditionalFormatting sqref="F315">
    <cfRule type="cellIs" rank="0" priority="930" equalAverage="0" operator="greaterThan" aboveAverage="0" dxfId="7" text="" percent="0" bottom="0">
      <formula>0</formula>
    </cfRule>
  </conditionalFormatting>
  <conditionalFormatting sqref="I315">
    <cfRule type="cellIs" rank="0" priority="931" equalAverage="0" operator="lessThan" aboveAverage="0" dxfId="8" text="" percent="0" bottom="0">
      <formula>0</formula>
    </cfRule>
  </conditionalFormatting>
  <conditionalFormatting sqref="E316">
    <cfRule type="cellIs" rank="0" priority="932" equalAverage="0" operator="greaterThan" aboveAverage="0" dxfId="7" text="" percent="0" bottom="0">
      <formula>0</formula>
    </cfRule>
  </conditionalFormatting>
  <conditionalFormatting sqref="F316">
    <cfRule type="cellIs" rank="0" priority="933" equalAverage="0" operator="greaterThan" aboveAverage="0" dxfId="7" text="" percent="0" bottom="0">
      <formula>0</formula>
    </cfRule>
  </conditionalFormatting>
  <conditionalFormatting sqref="I316">
    <cfRule type="cellIs" rank="0" priority="934" equalAverage="0" operator="lessThan" aboveAverage="0" dxfId="8" text="" percent="0" bottom="0">
      <formula>0</formula>
    </cfRule>
  </conditionalFormatting>
  <conditionalFormatting sqref="E317">
    <cfRule type="cellIs" rank="0" priority="935" equalAverage="0" operator="greaterThan" aboveAverage="0" dxfId="7" text="" percent="0" bottom="0">
      <formula>0</formula>
    </cfRule>
  </conditionalFormatting>
  <conditionalFormatting sqref="F317">
    <cfRule type="cellIs" rank="0" priority="936" equalAverage="0" operator="greaterThan" aboveAverage="0" dxfId="7" text="" percent="0" bottom="0">
      <formula>0</formula>
    </cfRule>
  </conditionalFormatting>
  <conditionalFormatting sqref="I317">
    <cfRule type="cellIs" rank="0" priority="937" equalAverage="0" operator="lessThan" aboveAverage="0" dxfId="8" text="" percent="0" bottom="0">
      <formula>0</formula>
    </cfRule>
  </conditionalFormatting>
  <conditionalFormatting sqref="E318">
    <cfRule type="cellIs" rank="0" priority="938" equalAverage="0" operator="greaterThan" aboveAverage="0" dxfId="7" text="" percent="0" bottom="0">
      <formula>0</formula>
    </cfRule>
  </conditionalFormatting>
  <conditionalFormatting sqref="F318">
    <cfRule type="cellIs" rank="0" priority="939" equalAverage="0" operator="greaterThan" aboveAverage="0" dxfId="7" text="" percent="0" bottom="0">
      <formula>0</formula>
    </cfRule>
  </conditionalFormatting>
  <conditionalFormatting sqref="I318">
    <cfRule type="cellIs" rank="0" priority="940" equalAverage="0" operator="lessThan" aboveAverage="0" dxfId="8" text="" percent="0" bottom="0">
      <formula>0</formula>
    </cfRule>
  </conditionalFormatting>
  <conditionalFormatting sqref="E319">
    <cfRule type="cellIs" rank="0" priority="941" equalAverage="0" operator="greaterThan" aboveAverage="0" dxfId="7" text="" percent="0" bottom="0">
      <formula>0</formula>
    </cfRule>
  </conditionalFormatting>
  <conditionalFormatting sqref="F319">
    <cfRule type="cellIs" rank="0" priority="942" equalAverage="0" operator="greaterThan" aboveAverage="0" dxfId="7" text="" percent="0" bottom="0">
      <formula>0</formula>
    </cfRule>
  </conditionalFormatting>
  <conditionalFormatting sqref="I319">
    <cfRule type="cellIs" rank="0" priority="943" equalAverage="0" operator="lessThan" aboveAverage="0" dxfId="8" text="" percent="0" bottom="0">
      <formula>0</formula>
    </cfRule>
  </conditionalFormatting>
  <conditionalFormatting sqref="E320">
    <cfRule type="cellIs" rank="0" priority="944" equalAverage="0" operator="greaterThan" aboveAverage="0" dxfId="7" text="" percent="0" bottom="0">
      <formula>0</formula>
    </cfRule>
  </conditionalFormatting>
  <conditionalFormatting sqref="F320">
    <cfRule type="cellIs" rank="0" priority="945" equalAverage="0" operator="greaterThan" aboveAverage="0" dxfId="7" text="" percent="0" bottom="0">
      <formula>0</formula>
    </cfRule>
  </conditionalFormatting>
  <conditionalFormatting sqref="I320">
    <cfRule type="cellIs" rank="0" priority="946" equalAverage="0" operator="lessThan" aboveAverage="0" dxfId="8" text="" percent="0" bottom="0">
      <formula>0</formula>
    </cfRule>
  </conditionalFormatting>
  <conditionalFormatting sqref="E321">
    <cfRule type="cellIs" rank="0" priority="947" equalAverage="0" operator="greaterThan" aboveAverage="0" dxfId="7" text="" percent="0" bottom="0">
      <formula>0</formula>
    </cfRule>
  </conditionalFormatting>
  <conditionalFormatting sqref="F321">
    <cfRule type="cellIs" rank="0" priority="948" equalAverage="0" operator="greaterThan" aboveAverage="0" dxfId="7" text="" percent="0" bottom="0">
      <formula>0</formula>
    </cfRule>
  </conditionalFormatting>
  <conditionalFormatting sqref="I321">
    <cfRule type="cellIs" rank="0" priority="949" equalAverage="0" operator="lessThan" aboveAverage="0" dxfId="8" text="" percent="0" bottom="0">
      <formula>0</formula>
    </cfRule>
  </conditionalFormatting>
  <conditionalFormatting sqref="E322">
    <cfRule type="cellIs" rank="0" priority="950" equalAverage="0" operator="greaterThan" aboveAverage="0" dxfId="7" text="" percent="0" bottom="0">
      <formula>0</formula>
    </cfRule>
  </conditionalFormatting>
  <conditionalFormatting sqref="F322">
    <cfRule type="cellIs" rank="0" priority="951" equalAverage="0" operator="greaterThan" aboveAverage="0" dxfId="7" text="" percent="0" bottom="0">
      <formula>0</formula>
    </cfRule>
  </conditionalFormatting>
  <conditionalFormatting sqref="I322">
    <cfRule type="cellIs" rank="0" priority="952" equalAverage="0" operator="lessThan" aboveAverage="0" dxfId="8" text="" percent="0" bottom="0">
      <formula>0</formula>
    </cfRule>
  </conditionalFormatting>
  <conditionalFormatting sqref="E323">
    <cfRule type="cellIs" rank="0" priority="953" equalAverage="0" operator="greaterThan" aboveAverage="0" dxfId="7" text="" percent="0" bottom="0">
      <formula>0</formula>
    </cfRule>
  </conditionalFormatting>
  <conditionalFormatting sqref="F323">
    <cfRule type="cellIs" rank="0" priority="954" equalAverage="0" operator="greaterThan" aboveAverage="0" dxfId="7" text="" percent="0" bottom="0">
      <formula>0</formula>
    </cfRule>
  </conditionalFormatting>
  <conditionalFormatting sqref="I323">
    <cfRule type="cellIs" rank="0" priority="955" equalAverage="0" operator="lessThan" aboveAverage="0" dxfId="8" text="" percent="0" bottom="0">
      <formula>0</formula>
    </cfRule>
  </conditionalFormatting>
  <conditionalFormatting sqref="E324">
    <cfRule type="cellIs" rank="0" priority="956" equalAverage="0" operator="greaterThan" aboveAverage="0" dxfId="7" text="" percent="0" bottom="0">
      <formula>0</formula>
    </cfRule>
  </conditionalFormatting>
  <conditionalFormatting sqref="F324">
    <cfRule type="cellIs" rank="0" priority="957" equalAverage="0" operator="greaterThan" aboveAverage="0" dxfId="7" text="" percent="0" bottom="0">
      <formula>0</formula>
    </cfRule>
  </conditionalFormatting>
  <conditionalFormatting sqref="I324">
    <cfRule type="cellIs" rank="0" priority="958" equalAverage="0" operator="lessThan" aboveAverage="0" dxfId="8" text="" percent="0" bottom="0">
      <formula>0</formula>
    </cfRule>
  </conditionalFormatting>
  <conditionalFormatting sqref="E325">
    <cfRule type="cellIs" rank="0" priority="959" equalAverage="0" operator="greaterThan" aboveAverage="0" dxfId="7" text="" percent="0" bottom="0">
      <formula>0</formula>
    </cfRule>
  </conditionalFormatting>
  <conditionalFormatting sqref="F325">
    <cfRule type="cellIs" rank="0" priority="960" equalAverage="0" operator="greaterThan" aboveAverage="0" dxfId="7" text="" percent="0" bottom="0">
      <formula>0</formula>
    </cfRule>
  </conditionalFormatting>
  <conditionalFormatting sqref="I325">
    <cfRule type="cellIs" rank="0" priority="961" equalAverage="0" operator="lessThan" aboveAverage="0" dxfId="8" text="" percent="0" bottom="0">
      <formula>0</formula>
    </cfRule>
  </conditionalFormatting>
  <conditionalFormatting sqref="E326">
    <cfRule type="cellIs" rank="0" priority="962" equalAverage="0" operator="greaterThan" aboveAverage="0" dxfId="7" text="" percent="0" bottom="0">
      <formula>0</formula>
    </cfRule>
  </conditionalFormatting>
  <conditionalFormatting sqref="F326">
    <cfRule type="cellIs" rank="0" priority="963" equalAverage="0" operator="greaterThan" aboveAverage="0" dxfId="7" text="" percent="0" bottom="0">
      <formula>0</formula>
    </cfRule>
  </conditionalFormatting>
  <conditionalFormatting sqref="I326">
    <cfRule type="cellIs" rank="0" priority="964" equalAverage="0" operator="lessThan" aboveAverage="0" dxfId="8" text="" percent="0" bottom="0">
      <formula>0</formula>
    </cfRule>
  </conditionalFormatting>
  <conditionalFormatting sqref="E327">
    <cfRule type="cellIs" rank="0" priority="965" equalAverage="0" operator="greaterThan" aboveAverage="0" dxfId="7" text="" percent="0" bottom="0">
      <formula>0</formula>
    </cfRule>
  </conditionalFormatting>
  <conditionalFormatting sqref="F327">
    <cfRule type="cellIs" rank="0" priority="966" equalAverage="0" operator="greaterThan" aboveAverage="0" dxfId="7" text="" percent="0" bottom="0">
      <formula>0</formula>
    </cfRule>
  </conditionalFormatting>
  <conditionalFormatting sqref="I327">
    <cfRule type="cellIs" rank="0" priority="967" equalAverage="0" operator="lessThan" aboveAverage="0" dxfId="8" text="" percent="0" bottom="0">
      <formula>0</formula>
    </cfRule>
  </conditionalFormatting>
  <conditionalFormatting sqref="E328">
    <cfRule type="cellIs" rank="0" priority="968" equalAverage="0" operator="greaterThan" aboveAverage="0" dxfId="7" text="" percent="0" bottom="0">
      <formula>0</formula>
    </cfRule>
  </conditionalFormatting>
  <conditionalFormatting sqref="F328">
    <cfRule type="cellIs" rank="0" priority="969" equalAverage="0" operator="greaterThan" aboveAverage="0" dxfId="7" text="" percent="0" bottom="0">
      <formula>0</formula>
    </cfRule>
  </conditionalFormatting>
  <conditionalFormatting sqref="I328">
    <cfRule type="cellIs" rank="0" priority="970" equalAverage="0" operator="lessThan" aboveAverage="0" dxfId="8" text="" percent="0" bottom="0">
      <formula>0</formula>
    </cfRule>
  </conditionalFormatting>
  <conditionalFormatting sqref="E329">
    <cfRule type="cellIs" rank="0" priority="971" equalAverage="0" operator="greaterThan" aboveAverage="0" dxfId="7" text="" percent="0" bottom="0">
      <formula>0</formula>
    </cfRule>
  </conditionalFormatting>
  <conditionalFormatting sqref="F329">
    <cfRule type="cellIs" rank="0" priority="972" equalAverage="0" operator="greaterThan" aboveAverage="0" dxfId="7" text="" percent="0" bottom="0">
      <formula>0</formula>
    </cfRule>
  </conditionalFormatting>
  <conditionalFormatting sqref="I329">
    <cfRule type="cellIs" rank="0" priority="973" equalAverage="0" operator="lessThan" aboveAverage="0" dxfId="8" text="" percent="0" bottom="0">
      <formula>0</formula>
    </cfRule>
  </conditionalFormatting>
  <conditionalFormatting sqref="E330">
    <cfRule type="cellIs" rank="0" priority="974" equalAverage="0" operator="greaterThan" aboveAverage="0" dxfId="7" text="" percent="0" bottom="0">
      <formula>0</formula>
    </cfRule>
  </conditionalFormatting>
  <conditionalFormatting sqref="F330">
    <cfRule type="cellIs" rank="0" priority="975" equalAverage="0" operator="greaterThan" aboveAverage="0" dxfId="7" text="" percent="0" bottom="0">
      <formula>0</formula>
    </cfRule>
  </conditionalFormatting>
  <conditionalFormatting sqref="I330">
    <cfRule type="cellIs" rank="0" priority="976" equalAverage="0" operator="lessThan" aboveAverage="0" dxfId="8" text="" percent="0" bottom="0">
      <formula>0</formula>
    </cfRule>
  </conditionalFormatting>
  <conditionalFormatting sqref="E331">
    <cfRule type="cellIs" rank="0" priority="977" equalAverage="0" operator="greaterThan" aboveAverage="0" dxfId="7" text="" percent="0" bottom="0">
      <formula>0</formula>
    </cfRule>
  </conditionalFormatting>
  <conditionalFormatting sqref="F331">
    <cfRule type="cellIs" rank="0" priority="978" equalAverage="0" operator="greaterThan" aboveAverage="0" dxfId="7" text="" percent="0" bottom="0">
      <formula>0</formula>
    </cfRule>
  </conditionalFormatting>
  <conditionalFormatting sqref="I331">
    <cfRule type="cellIs" rank="0" priority="979" equalAverage="0" operator="lessThan" aboveAverage="0" dxfId="8" text="" percent="0" bottom="0">
      <formula>0</formula>
    </cfRule>
  </conditionalFormatting>
  <conditionalFormatting sqref="E332">
    <cfRule type="cellIs" rank="0" priority="980" equalAverage="0" operator="greaterThan" aboveAverage="0" dxfId="7" text="" percent="0" bottom="0">
      <formula>0</formula>
    </cfRule>
  </conditionalFormatting>
  <conditionalFormatting sqref="F332">
    <cfRule type="cellIs" rank="0" priority="981" equalAverage="0" operator="greaterThan" aboveAverage="0" dxfId="7" text="" percent="0" bottom="0">
      <formula>0</formula>
    </cfRule>
  </conditionalFormatting>
  <conditionalFormatting sqref="I332">
    <cfRule type="cellIs" rank="0" priority="982" equalAverage="0" operator="lessThan" aboveAverage="0" dxfId="8" text="" percent="0" bottom="0">
      <formula>0</formula>
    </cfRule>
  </conditionalFormatting>
  <conditionalFormatting sqref="E333">
    <cfRule type="cellIs" rank="0" priority="983" equalAverage="0" operator="greaterThan" aboveAverage="0" dxfId="7" text="" percent="0" bottom="0">
      <formula>0</formula>
    </cfRule>
  </conditionalFormatting>
  <conditionalFormatting sqref="F333">
    <cfRule type="cellIs" rank="0" priority="984" equalAverage="0" operator="greaterThan" aboveAverage="0" dxfId="7" text="" percent="0" bottom="0">
      <formula>0</formula>
    </cfRule>
  </conditionalFormatting>
  <conditionalFormatting sqref="I333">
    <cfRule type="cellIs" rank="0" priority="985" equalAverage="0" operator="lessThan" aboveAverage="0" dxfId="8" text="" percent="0" bottom="0">
      <formula>0</formula>
    </cfRule>
  </conditionalFormatting>
  <conditionalFormatting sqref="E334">
    <cfRule type="cellIs" rank="0" priority="986" equalAverage="0" operator="greaterThan" aboveAverage="0" dxfId="7" text="" percent="0" bottom="0">
      <formula>0</formula>
    </cfRule>
  </conditionalFormatting>
  <conditionalFormatting sqref="F334">
    <cfRule type="cellIs" rank="0" priority="987" equalAverage="0" operator="greaterThan" aboveAverage="0" dxfId="7" text="" percent="0" bottom="0">
      <formula>0</formula>
    </cfRule>
  </conditionalFormatting>
  <conditionalFormatting sqref="I334">
    <cfRule type="cellIs" rank="0" priority="988" equalAverage="0" operator="lessThan" aboveAverage="0" dxfId="8" text="" percent="0" bottom="0">
      <formula>0</formula>
    </cfRule>
  </conditionalFormatting>
  <conditionalFormatting sqref="E335">
    <cfRule type="cellIs" rank="0" priority="989" equalAverage="0" operator="greaterThan" aboveAverage="0" dxfId="7" text="" percent="0" bottom="0">
      <formula>0</formula>
    </cfRule>
  </conditionalFormatting>
  <conditionalFormatting sqref="F335">
    <cfRule type="cellIs" rank="0" priority="990" equalAverage="0" operator="greaterThan" aboveAverage="0" dxfId="7" text="" percent="0" bottom="0">
      <formula>0</formula>
    </cfRule>
  </conditionalFormatting>
  <conditionalFormatting sqref="I335">
    <cfRule type="cellIs" rank="0" priority="991" equalAverage="0" operator="lessThan" aboveAverage="0" dxfId="8" text="" percent="0" bottom="0">
      <formula>0</formula>
    </cfRule>
  </conditionalFormatting>
  <conditionalFormatting sqref="E336">
    <cfRule type="cellIs" rank="0" priority="992" equalAverage="0" operator="greaterThan" aboveAverage="0" dxfId="7" text="" percent="0" bottom="0">
      <formula>0</formula>
    </cfRule>
  </conditionalFormatting>
  <conditionalFormatting sqref="F336">
    <cfRule type="cellIs" rank="0" priority="993" equalAverage="0" operator="greaterThan" aboveAverage="0" dxfId="7" text="" percent="0" bottom="0">
      <formula>0</formula>
    </cfRule>
  </conditionalFormatting>
  <conditionalFormatting sqref="I336">
    <cfRule type="cellIs" rank="0" priority="994" equalAverage="0" operator="lessThan" aboveAverage="0" dxfId="8" text="" percent="0" bottom="0">
      <formula>0</formula>
    </cfRule>
  </conditionalFormatting>
  <conditionalFormatting sqref="E337">
    <cfRule type="cellIs" rank="0" priority="995" equalAverage="0" operator="greaterThan" aboveAverage="0" dxfId="7" text="" percent="0" bottom="0">
      <formula>0</formula>
    </cfRule>
  </conditionalFormatting>
  <conditionalFormatting sqref="F337">
    <cfRule type="cellIs" rank="0" priority="996" equalAverage="0" operator="greaterThan" aboveAverage="0" dxfId="7" text="" percent="0" bottom="0">
      <formula>0</formula>
    </cfRule>
  </conditionalFormatting>
  <conditionalFormatting sqref="I337">
    <cfRule type="cellIs" rank="0" priority="997" equalAverage="0" operator="lessThan" aboveAverage="0" dxfId="8" text="" percent="0" bottom="0">
      <formula>0</formula>
    </cfRule>
  </conditionalFormatting>
  <conditionalFormatting sqref="E338">
    <cfRule type="cellIs" rank="0" priority="998" equalAverage="0" operator="greaterThan" aboveAverage="0" dxfId="7" text="" percent="0" bottom="0">
      <formula>0</formula>
    </cfRule>
  </conditionalFormatting>
  <conditionalFormatting sqref="F338">
    <cfRule type="cellIs" rank="0" priority="999" equalAverage="0" operator="greaterThan" aboveAverage="0" dxfId="7" text="" percent="0" bottom="0">
      <formula>0</formula>
    </cfRule>
  </conditionalFormatting>
  <conditionalFormatting sqref="I338">
    <cfRule type="cellIs" rank="0" priority="1000" equalAverage="0" operator="lessThan" aboveAverage="0" dxfId="8" text="" percent="0" bottom="0">
      <formula>0</formula>
    </cfRule>
  </conditionalFormatting>
  <conditionalFormatting sqref="E339">
    <cfRule type="cellIs" rank="0" priority="1001" equalAverage="0" operator="greaterThan" aboveAverage="0" dxfId="7" text="" percent="0" bottom="0">
      <formula>0</formula>
    </cfRule>
  </conditionalFormatting>
  <conditionalFormatting sqref="F339">
    <cfRule type="cellIs" rank="0" priority="1002" equalAverage="0" operator="greaterThan" aboveAverage="0" dxfId="7" text="" percent="0" bottom="0">
      <formula>0</formula>
    </cfRule>
  </conditionalFormatting>
  <conditionalFormatting sqref="I339">
    <cfRule type="cellIs" rank="0" priority="1003" equalAverage="0" operator="lessThan" aboveAverage="0" dxfId="8" text="" percent="0" bottom="0">
      <formula>0</formula>
    </cfRule>
  </conditionalFormatting>
  <conditionalFormatting sqref="E340">
    <cfRule type="cellIs" rank="0" priority="1004" equalAverage="0" operator="greaterThan" aboveAverage="0" dxfId="7" text="" percent="0" bottom="0">
      <formula>0</formula>
    </cfRule>
  </conditionalFormatting>
  <conditionalFormatting sqref="F340">
    <cfRule type="cellIs" rank="0" priority="1005" equalAverage="0" operator="greaterThan" aboveAverage="0" dxfId="7" text="" percent="0" bottom="0">
      <formula>0</formula>
    </cfRule>
  </conditionalFormatting>
  <conditionalFormatting sqref="I340">
    <cfRule type="cellIs" rank="0" priority="1006" equalAverage="0" operator="lessThan" aboveAverage="0" dxfId="8" text="" percent="0" bottom="0">
      <formula>0</formula>
    </cfRule>
  </conditionalFormatting>
  <conditionalFormatting sqref="E341">
    <cfRule type="cellIs" rank="0" priority="1007" equalAverage="0" operator="greaterThan" aboveAverage="0" dxfId="7" text="" percent="0" bottom="0">
      <formula>0</formula>
    </cfRule>
  </conditionalFormatting>
  <conditionalFormatting sqref="F341">
    <cfRule type="cellIs" rank="0" priority="1008" equalAverage="0" operator="greaterThan" aboveAverage="0" dxfId="7" text="" percent="0" bottom="0">
      <formula>0</formula>
    </cfRule>
  </conditionalFormatting>
  <conditionalFormatting sqref="I341">
    <cfRule type="cellIs" rank="0" priority="1009" equalAverage="0" operator="lessThan" aboveAverage="0" dxfId="8" text="" percent="0" bottom="0">
      <formula>0</formula>
    </cfRule>
  </conditionalFormatting>
  <conditionalFormatting sqref="E342">
    <cfRule type="cellIs" rank="0" priority="1010" equalAverage="0" operator="greaterThan" aboveAverage="0" dxfId="7" text="" percent="0" bottom="0">
      <formula>0</formula>
    </cfRule>
  </conditionalFormatting>
  <conditionalFormatting sqref="F342">
    <cfRule type="cellIs" rank="0" priority="1011" equalAverage="0" operator="greaterThan" aboveAverage="0" dxfId="7" text="" percent="0" bottom="0">
      <formula>0</formula>
    </cfRule>
  </conditionalFormatting>
  <conditionalFormatting sqref="I342">
    <cfRule type="cellIs" rank="0" priority="1012" equalAverage="0" operator="lessThan" aboveAverage="0" dxfId="8" text="" percent="0" bottom="0">
      <formula>0</formula>
    </cfRule>
  </conditionalFormatting>
  <conditionalFormatting sqref="E343">
    <cfRule type="cellIs" rank="0" priority="1013" equalAverage="0" operator="greaterThan" aboveAverage="0" dxfId="7" text="" percent="0" bottom="0">
      <formula>0</formula>
    </cfRule>
  </conditionalFormatting>
  <conditionalFormatting sqref="F343">
    <cfRule type="cellIs" rank="0" priority="1014" equalAverage="0" operator="greaterThan" aboveAverage="0" dxfId="7" text="" percent="0" bottom="0">
      <formula>0</formula>
    </cfRule>
  </conditionalFormatting>
  <conditionalFormatting sqref="I343">
    <cfRule type="cellIs" rank="0" priority="1015" equalAverage="0" operator="lessThan" aboveAverage="0" dxfId="8" text="" percent="0" bottom="0">
      <formula>0</formula>
    </cfRule>
  </conditionalFormatting>
  <conditionalFormatting sqref="E344">
    <cfRule type="cellIs" rank="0" priority="1016" equalAverage="0" operator="greaterThan" aboveAverage="0" dxfId="7" text="" percent="0" bottom="0">
      <formula>0</formula>
    </cfRule>
  </conditionalFormatting>
  <conditionalFormatting sqref="F344">
    <cfRule type="cellIs" rank="0" priority="1017" equalAverage="0" operator="greaterThan" aboveAverage="0" dxfId="7" text="" percent="0" bottom="0">
      <formula>0</formula>
    </cfRule>
  </conditionalFormatting>
  <conditionalFormatting sqref="I344">
    <cfRule type="cellIs" rank="0" priority="1018" equalAverage="0" operator="lessThan" aboveAverage="0" dxfId="8" text="" percent="0" bottom="0">
      <formula>0</formula>
    </cfRule>
  </conditionalFormatting>
  <conditionalFormatting sqref="E345">
    <cfRule type="cellIs" rank="0" priority="1019" equalAverage="0" operator="greaterThan" aboveAverage="0" dxfId="7" text="" percent="0" bottom="0">
      <formula>0</formula>
    </cfRule>
  </conditionalFormatting>
  <conditionalFormatting sqref="F345">
    <cfRule type="cellIs" rank="0" priority="1020" equalAverage="0" operator="greaterThan" aboveAverage="0" dxfId="7" text="" percent="0" bottom="0">
      <formula>0</formula>
    </cfRule>
  </conditionalFormatting>
  <conditionalFormatting sqref="I345">
    <cfRule type="cellIs" rank="0" priority="1021" equalAverage="0" operator="lessThan" aboveAverage="0" dxfId="8" text="" percent="0" bottom="0">
      <formula>0</formula>
    </cfRule>
  </conditionalFormatting>
  <conditionalFormatting sqref="E346">
    <cfRule type="cellIs" rank="0" priority="1022" equalAverage="0" operator="greaterThan" aboveAverage="0" dxfId="7" text="" percent="0" bottom="0">
      <formula>0</formula>
    </cfRule>
  </conditionalFormatting>
  <conditionalFormatting sqref="F346">
    <cfRule type="cellIs" rank="0" priority="1023" equalAverage="0" operator="greaterThan" aboveAverage="0" dxfId="7" text="" percent="0" bottom="0">
      <formula>0</formula>
    </cfRule>
  </conditionalFormatting>
  <conditionalFormatting sqref="I346">
    <cfRule type="cellIs" rank="0" priority="1024" equalAverage="0" operator="lessThan" aboveAverage="0" dxfId="8" text="" percent="0" bottom="0">
      <formula>0</formula>
    </cfRule>
  </conditionalFormatting>
  <conditionalFormatting sqref="E347">
    <cfRule type="cellIs" rank="0" priority="1025" equalAverage="0" operator="greaterThan" aboveAverage="0" dxfId="7" text="" percent="0" bottom="0">
      <formula>0</formula>
    </cfRule>
  </conditionalFormatting>
  <conditionalFormatting sqref="F347">
    <cfRule type="cellIs" rank="0" priority="1026" equalAverage="0" operator="greaterThan" aboveAverage="0" dxfId="7" text="" percent="0" bottom="0">
      <formula>0</formula>
    </cfRule>
  </conditionalFormatting>
  <conditionalFormatting sqref="I347">
    <cfRule type="cellIs" rank="0" priority="1027" equalAverage="0" operator="lessThan" aboveAverage="0" dxfId="8" text="" percent="0" bottom="0">
      <formula>0</formula>
    </cfRule>
  </conditionalFormatting>
  <conditionalFormatting sqref="E348">
    <cfRule type="cellIs" rank="0" priority="1028" equalAverage="0" operator="greaterThan" aboveAverage="0" dxfId="7" text="" percent="0" bottom="0">
      <formula>0</formula>
    </cfRule>
  </conditionalFormatting>
  <conditionalFormatting sqref="F348">
    <cfRule type="cellIs" rank="0" priority="1029" equalAverage="0" operator="greaterThan" aboveAverage="0" dxfId="7" text="" percent="0" bottom="0">
      <formula>0</formula>
    </cfRule>
  </conditionalFormatting>
  <conditionalFormatting sqref="I348">
    <cfRule type="cellIs" rank="0" priority="1030" equalAverage="0" operator="lessThan" aboveAverage="0" dxfId="8" text="" percent="0" bottom="0">
      <formula>0</formula>
    </cfRule>
  </conditionalFormatting>
  <conditionalFormatting sqref="E349">
    <cfRule type="cellIs" rank="0" priority="1031" equalAverage="0" operator="greaterThan" aboveAverage="0" dxfId="7" text="" percent="0" bottom="0">
      <formula>0</formula>
    </cfRule>
  </conditionalFormatting>
  <conditionalFormatting sqref="F349">
    <cfRule type="cellIs" rank="0" priority="1032" equalAverage="0" operator="greaterThan" aboveAverage="0" dxfId="7" text="" percent="0" bottom="0">
      <formula>0</formula>
    </cfRule>
  </conditionalFormatting>
  <conditionalFormatting sqref="I349">
    <cfRule type="cellIs" rank="0" priority="1033" equalAverage="0" operator="lessThan" aboveAverage="0" dxfId="8" text="" percent="0" bottom="0">
      <formula>0</formula>
    </cfRule>
  </conditionalFormatting>
  <conditionalFormatting sqref="E350">
    <cfRule type="cellIs" rank="0" priority="1034" equalAverage="0" operator="greaterThan" aboveAverage="0" dxfId="7" text="" percent="0" bottom="0">
      <formula>0</formula>
    </cfRule>
  </conditionalFormatting>
  <conditionalFormatting sqref="F350">
    <cfRule type="cellIs" rank="0" priority="1035" equalAverage="0" operator="greaterThan" aboveAverage="0" dxfId="7" text="" percent="0" bottom="0">
      <formula>0</formula>
    </cfRule>
  </conditionalFormatting>
  <conditionalFormatting sqref="I350">
    <cfRule type="cellIs" rank="0" priority="1036" equalAverage="0" operator="lessThan" aboveAverage="0" dxfId="8" text="" percent="0" bottom="0">
      <formula>0</formula>
    </cfRule>
  </conditionalFormatting>
  <conditionalFormatting sqref="E351">
    <cfRule type="cellIs" rank="0" priority="1037" equalAverage="0" operator="greaterThan" aboveAverage="0" dxfId="7" text="" percent="0" bottom="0">
      <formula>0</formula>
    </cfRule>
  </conditionalFormatting>
  <conditionalFormatting sqref="F351">
    <cfRule type="cellIs" rank="0" priority="1038" equalAverage="0" operator="greaterThan" aboveAverage="0" dxfId="7" text="" percent="0" bottom="0">
      <formula>0</formula>
    </cfRule>
  </conditionalFormatting>
  <conditionalFormatting sqref="I351">
    <cfRule type="cellIs" rank="0" priority="1039" equalAverage="0" operator="lessThan" aboveAverage="0" dxfId="8" text="" percent="0" bottom="0">
      <formula>0</formula>
    </cfRule>
  </conditionalFormatting>
  <conditionalFormatting sqref="E352">
    <cfRule type="cellIs" rank="0" priority="1040" equalAverage="0" operator="greaterThan" aboveAverage="0" dxfId="7" text="" percent="0" bottom="0">
      <formula>0</formula>
    </cfRule>
  </conditionalFormatting>
  <conditionalFormatting sqref="F352">
    <cfRule type="cellIs" rank="0" priority="1041" equalAverage="0" operator="greaterThan" aboveAverage="0" dxfId="7" text="" percent="0" bottom="0">
      <formula>0</formula>
    </cfRule>
  </conditionalFormatting>
  <conditionalFormatting sqref="I352">
    <cfRule type="cellIs" rank="0" priority="1042" equalAverage="0" operator="lessThan" aboveAverage="0" dxfId="8" text="" percent="0" bottom="0">
      <formula>0</formula>
    </cfRule>
  </conditionalFormatting>
  <conditionalFormatting sqref="E353">
    <cfRule type="cellIs" rank="0" priority="1043" equalAverage="0" operator="greaterThan" aboveAverage="0" dxfId="7" text="" percent="0" bottom="0">
      <formula>0</formula>
    </cfRule>
  </conditionalFormatting>
  <conditionalFormatting sqref="F353">
    <cfRule type="cellIs" rank="0" priority="1044" equalAverage="0" operator="greaterThan" aboveAverage="0" dxfId="7" text="" percent="0" bottom="0">
      <formula>0</formula>
    </cfRule>
  </conditionalFormatting>
  <conditionalFormatting sqref="I353">
    <cfRule type="cellIs" rank="0" priority="1045" equalAverage="0" operator="lessThan" aboveAverage="0" dxfId="8" text="" percent="0" bottom="0">
      <formula>0</formula>
    </cfRule>
  </conditionalFormatting>
  <conditionalFormatting sqref="E354">
    <cfRule type="cellIs" rank="0" priority="1046" equalAverage="0" operator="greaterThan" aboveAverage="0" dxfId="7" text="" percent="0" bottom="0">
      <formula>0</formula>
    </cfRule>
  </conditionalFormatting>
  <conditionalFormatting sqref="F354">
    <cfRule type="cellIs" rank="0" priority="1047" equalAverage="0" operator="greaterThan" aboveAverage="0" dxfId="7" text="" percent="0" bottom="0">
      <formula>0</formula>
    </cfRule>
  </conditionalFormatting>
  <conditionalFormatting sqref="I354">
    <cfRule type="cellIs" rank="0" priority="1048" equalAverage="0" operator="lessThan" aboveAverage="0" dxfId="8" text="" percent="0" bottom="0">
      <formula>0</formula>
    </cfRule>
  </conditionalFormatting>
  <conditionalFormatting sqref="E355">
    <cfRule type="cellIs" rank="0" priority="1049" equalAverage="0" operator="greaterThan" aboveAverage="0" dxfId="7" text="" percent="0" bottom="0">
      <formula>0</formula>
    </cfRule>
  </conditionalFormatting>
  <conditionalFormatting sqref="F355">
    <cfRule type="cellIs" rank="0" priority="1050" equalAverage="0" operator="greaterThan" aboveAverage="0" dxfId="7" text="" percent="0" bottom="0">
      <formula>0</formula>
    </cfRule>
  </conditionalFormatting>
  <conditionalFormatting sqref="I355">
    <cfRule type="cellIs" rank="0" priority="1051" equalAverage="0" operator="lessThan" aboveAverage="0" dxfId="8" text="" percent="0" bottom="0">
      <formula>0</formula>
    </cfRule>
  </conditionalFormatting>
  <conditionalFormatting sqref="E356">
    <cfRule type="cellIs" rank="0" priority="1052" equalAverage="0" operator="greaterThan" aboveAverage="0" dxfId="7" text="" percent="0" bottom="0">
      <formula>0</formula>
    </cfRule>
  </conditionalFormatting>
  <conditionalFormatting sqref="F356">
    <cfRule type="cellIs" rank="0" priority="1053" equalAverage="0" operator="greaterThan" aboveAverage="0" dxfId="7" text="" percent="0" bottom="0">
      <formula>0</formula>
    </cfRule>
  </conditionalFormatting>
  <conditionalFormatting sqref="I356">
    <cfRule type="cellIs" rank="0" priority="1054" equalAverage="0" operator="lessThan" aboveAverage="0" dxfId="8" text="" percent="0" bottom="0">
      <formula>0</formula>
    </cfRule>
  </conditionalFormatting>
  <conditionalFormatting sqref="E357">
    <cfRule type="cellIs" rank="0" priority="1055" equalAverage="0" operator="greaterThan" aboveAverage="0" dxfId="7" text="" percent="0" bottom="0">
      <formula>0</formula>
    </cfRule>
  </conditionalFormatting>
  <conditionalFormatting sqref="F357">
    <cfRule type="cellIs" rank="0" priority="1056" equalAverage="0" operator="greaterThan" aboveAverage="0" dxfId="7" text="" percent="0" bottom="0">
      <formula>0</formula>
    </cfRule>
  </conditionalFormatting>
  <conditionalFormatting sqref="I357">
    <cfRule type="cellIs" rank="0" priority="1057" equalAverage="0" operator="lessThan" aboveAverage="0" dxfId="8" text="" percent="0" bottom="0">
      <formula>0</formula>
    </cfRule>
  </conditionalFormatting>
  <conditionalFormatting sqref="E358">
    <cfRule type="cellIs" rank="0" priority="1058" equalAverage="0" operator="greaterThan" aboveAverage="0" dxfId="7" text="" percent="0" bottom="0">
      <formula>0</formula>
    </cfRule>
  </conditionalFormatting>
  <conditionalFormatting sqref="F358">
    <cfRule type="cellIs" rank="0" priority="1059" equalAverage="0" operator="greaterThan" aboveAverage="0" dxfId="7" text="" percent="0" bottom="0">
      <formula>0</formula>
    </cfRule>
  </conditionalFormatting>
  <conditionalFormatting sqref="I358">
    <cfRule type="cellIs" rank="0" priority="1060" equalAverage="0" operator="lessThan" aboveAverage="0" dxfId="8" text="" percent="0" bottom="0">
      <formula>0</formula>
    </cfRule>
  </conditionalFormatting>
  <conditionalFormatting sqref="E359">
    <cfRule type="cellIs" rank="0" priority="1061" equalAverage="0" operator="greaterThan" aboveAverage="0" dxfId="7" text="" percent="0" bottom="0">
      <formula>0</formula>
    </cfRule>
  </conditionalFormatting>
  <conditionalFormatting sqref="F359">
    <cfRule type="cellIs" rank="0" priority="1062" equalAverage="0" operator="greaterThan" aboveAverage="0" dxfId="7" text="" percent="0" bottom="0">
      <formula>0</formula>
    </cfRule>
  </conditionalFormatting>
  <conditionalFormatting sqref="I359">
    <cfRule type="cellIs" rank="0" priority="1063" equalAverage="0" operator="lessThan" aboveAverage="0" dxfId="8" text="" percent="0" bottom="0">
      <formula>0</formula>
    </cfRule>
  </conditionalFormatting>
  <conditionalFormatting sqref="E360">
    <cfRule type="cellIs" rank="0" priority="1064" equalAverage="0" operator="greaterThan" aboveAverage="0" dxfId="7" text="" percent="0" bottom="0">
      <formula>0</formula>
    </cfRule>
  </conditionalFormatting>
  <conditionalFormatting sqref="F360">
    <cfRule type="cellIs" rank="0" priority="1065" equalAverage="0" operator="greaterThan" aboveAverage="0" dxfId="7" text="" percent="0" bottom="0">
      <formula>0</formula>
    </cfRule>
  </conditionalFormatting>
  <conditionalFormatting sqref="I360">
    <cfRule type="cellIs" rank="0" priority="1066" equalAverage="0" operator="lessThan" aboveAverage="0" dxfId="8" text="" percent="0" bottom="0">
      <formula>0</formula>
    </cfRule>
  </conditionalFormatting>
  <conditionalFormatting sqref="E361">
    <cfRule type="cellIs" rank="0" priority="1067" equalAverage="0" operator="greaterThan" aboveAverage="0" dxfId="7" text="" percent="0" bottom="0">
      <formula>0</formula>
    </cfRule>
  </conditionalFormatting>
  <conditionalFormatting sqref="F361">
    <cfRule type="cellIs" rank="0" priority="1068" equalAverage="0" operator="greaterThan" aboveAverage="0" dxfId="7" text="" percent="0" bottom="0">
      <formula>0</formula>
    </cfRule>
  </conditionalFormatting>
  <conditionalFormatting sqref="I361">
    <cfRule type="cellIs" rank="0" priority="1069" equalAverage="0" operator="lessThan" aboveAverage="0" dxfId="8" text="" percent="0" bottom="0">
      <formula>0</formula>
    </cfRule>
  </conditionalFormatting>
  <conditionalFormatting sqref="E362">
    <cfRule type="cellIs" rank="0" priority="1070" equalAverage="0" operator="greaterThan" aboveAverage="0" dxfId="7" text="" percent="0" bottom="0">
      <formula>0</formula>
    </cfRule>
  </conditionalFormatting>
  <conditionalFormatting sqref="F362">
    <cfRule type="cellIs" rank="0" priority="1071" equalAverage="0" operator="greaterThan" aboveAverage="0" dxfId="7" text="" percent="0" bottom="0">
      <formula>0</formula>
    </cfRule>
  </conditionalFormatting>
  <conditionalFormatting sqref="I362">
    <cfRule type="cellIs" rank="0" priority="1072" equalAverage="0" operator="lessThan" aboveAverage="0" dxfId="8" text="" percent="0" bottom="0">
      <formula>0</formula>
    </cfRule>
  </conditionalFormatting>
  <conditionalFormatting sqref="E363">
    <cfRule type="cellIs" rank="0" priority="1073" equalAverage="0" operator="greaterThan" aboveAverage="0" dxfId="7" text="" percent="0" bottom="0">
      <formula>0</formula>
    </cfRule>
  </conditionalFormatting>
  <conditionalFormatting sqref="F363">
    <cfRule type="cellIs" rank="0" priority="1074" equalAverage="0" operator="greaterThan" aboveAverage="0" dxfId="7" text="" percent="0" bottom="0">
      <formula>0</formula>
    </cfRule>
  </conditionalFormatting>
  <conditionalFormatting sqref="I363">
    <cfRule type="cellIs" rank="0" priority="1075" equalAverage="0" operator="lessThan" aboveAverage="0" dxfId="8" text="" percent="0" bottom="0">
      <formula>0</formula>
    </cfRule>
  </conditionalFormatting>
  <conditionalFormatting sqref="E364">
    <cfRule type="cellIs" rank="0" priority="1076" equalAverage="0" operator="greaterThan" aboveAverage="0" dxfId="7" text="" percent="0" bottom="0">
      <formula>0</formula>
    </cfRule>
  </conditionalFormatting>
  <conditionalFormatting sqref="F364">
    <cfRule type="cellIs" rank="0" priority="1077" equalAverage="0" operator="greaterThan" aboveAverage="0" dxfId="7" text="" percent="0" bottom="0">
      <formula>0</formula>
    </cfRule>
  </conditionalFormatting>
  <conditionalFormatting sqref="I364">
    <cfRule type="cellIs" rank="0" priority="1078" equalAverage="0" operator="lessThan" aboveAverage="0" dxfId="8" text="" percent="0" bottom="0">
      <formula>0</formula>
    </cfRule>
  </conditionalFormatting>
  <conditionalFormatting sqref="E365">
    <cfRule type="cellIs" rank="0" priority="1079" equalAverage="0" operator="greaterThan" aboveAverage="0" dxfId="7" text="" percent="0" bottom="0">
      <formula>0</formula>
    </cfRule>
  </conditionalFormatting>
  <conditionalFormatting sqref="F365">
    <cfRule type="cellIs" rank="0" priority="1080" equalAverage="0" operator="greaterThan" aboveAverage="0" dxfId="7" text="" percent="0" bottom="0">
      <formula>0</formula>
    </cfRule>
  </conditionalFormatting>
  <conditionalFormatting sqref="I365">
    <cfRule type="cellIs" rank="0" priority="1081" equalAverage="0" operator="lessThan" aboveAverage="0" dxfId="8" text="" percent="0" bottom="0">
      <formula>0</formula>
    </cfRule>
  </conditionalFormatting>
  <conditionalFormatting sqref="E366">
    <cfRule type="cellIs" rank="0" priority="1082" equalAverage="0" operator="greaterThan" aboveAverage="0" dxfId="7" text="" percent="0" bottom="0">
      <formula>0</formula>
    </cfRule>
  </conditionalFormatting>
  <conditionalFormatting sqref="F366">
    <cfRule type="cellIs" rank="0" priority="1083" equalAverage="0" operator="greaterThan" aboveAverage="0" dxfId="7" text="" percent="0" bottom="0">
      <formula>0</formula>
    </cfRule>
  </conditionalFormatting>
  <conditionalFormatting sqref="I366">
    <cfRule type="cellIs" rank="0" priority="1084" equalAverage="0" operator="lessThan" aboveAverage="0" dxfId="8" text="" percent="0" bottom="0">
      <formula>0</formula>
    </cfRule>
  </conditionalFormatting>
  <conditionalFormatting sqref="E367">
    <cfRule type="cellIs" rank="0" priority="1085" equalAverage="0" operator="greaterThan" aboveAverage="0" dxfId="7" text="" percent="0" bottom="0">
      <formula>0</formula>
    </cfRule>
  </conditionalFormatting>
  <conditionalFormatting sqref="F367">
    <cfRule type="cellIs" rank="0" priority="1086" equalAverage="0" operator="greaterThan" aboveAverage="0" dxfId="7" text="" percent="0" bottom="0">
      <formula>0</formula>
    </cfRule>
  </conditionalFormatting>
  <conditionalFormatting sqref="I367">
    <cfRule type="cellIs" rank="0" priority="1087" equalAverage="0" operator="lessThan" aboveAverage="0" dxfId="8" text="" percent="0" bottom="0">
      <formula>0</formula>
    </cfRule>
  </conditionalFormatting>
  <conditionalFormatting sqref="E368">
    <cfRule type="cellIs" rank="0" priority="1088" equalAverage="0" operator="greaterThan" aboveAverage="0" dxfId="7" text="" percent="0" bottom="0">
      <formula>0</formula>
    </cfRule>
  </conditionalFormatting>
  <conditionalFormatting sqref="F368">
    <cfRule type="cellIs" rank="0" priority="1089" equalAverage="0" operator="greaterThan" aboveAverage="0" dxfId="7" text="" percent="0" bottom="0">
      <formula>0</formula>
    </cfRule>
  </conditionalFormatting>
  <conditionalFormatting sqref="I368">
    <cfRule type="cellIs" rank="0" priority="1090" equalAverage="0" operator="lessThan" aboveAverage="0" dxfId="8" text="" percent="0" bottom="0">
      <formula>0</formula>
    </cfRule>
  </conditionalFormatting>
  <conditionalFormatting sqref="E369">
    <cfRule type="cellIs" rank="0" priority="1091" equalAverage="0" operator="greaterThan" aboveAverage="0" dxfId="7" text="" percent="0" bottom="0">
      <formula>0</formula>
    </cfRule>
  </conditionalFormatting>
  <conditionalFormatting sqref="F369">
    <cfRule type="cellIs" rank="0" priority="1092" equalAverage="0" operator="greaterThan" aboveAverage="0" dxfId="7" text="" percent="0" bottom="0">
      <formula>0</formula>
    </cfRule>
  </conditionalFormatting>
  <conditionalFormatting sqref="I369">
    <cfRule type="cellIs" rank="0" priority="1093" equalAverage="0" operator="lessThan" aboveAverage="0" dxfId="8" text="" percent="0" bottom="0">
      <formula>0</formula>
    </cfRule>
  </conditionalFormatting>
  <conditionalFormatting sqref="E370">
    <cfRule type="cellIs" rank="0" priority="1094" equalAverage="0" operator="greaterThan" aboveAverage="0" dxfId="7" text="" percent="0" bottom="0">
      <formula>0</formula>
    </cfRule>
  </conditionalFormatting>
  <conditionalFormatting sqref="F370">
    <cfRule type="cellIs" rank="0" priority="1095" equalAverage="0" operator="greaterThan" aboveAverage="0" dxfId="7" text="" percent="0" bottom="0">
      <formula>0</formula>
    </cfRule>
  </conditionalFormatting>
  <conditionalFormatting sqref="I370">
    <cfRule type="cellIs" rank="0" priority="1096" equalAverage="0" operator="lessThan" aboveAverage="0" dxfId="8" text="" percent="0" bottom="0">
      <formula>0</formula>
    </cfRule>
  </conditionalFormatting>
  <conditionalFormatting sqref="E371">
    <cfRule type="cellIs" rank="0" priority="1097" equalAverage="0" operator="greaterThan" aboveAverage="0" dxfId="7" text="" percent="0" bottom="0">
      <formula>0</formula>
    </cfRule>
  </conditionalFormatting>
  <conditionalFormatting sqref="F371">
    <cfRule type="cellIs" rank="0" priority="1098" equalAverage="0" operator="greaterThan" aboveAverage="0" dxfId="7" text="" percent="0" bottom="0">
      <formula>0</formula>
    </cfRule>
  </conditionalFormatting>
  <conditionalFormatting sqref="I371">
    <cfRule type="cellIs" rank="0" priority="1099" equalAverage="0" operator="lessThan" aboveAverage="0" dxfId="8" text="" percent="0" bottom="0">
      <formula>0</formula>
    </cfRule>
  </conditionalFormatting>
  <conditionalFormatting sqref="E372">
    <cfRule type="cellIs" rank="0" priority="1100" equalAverage="0" operator="greaterThan" aboveAverage="0" dxfId="7" text="" percent="0" bottom="0">
      <formula>0</formula>
    </cfRule>
  </conditionalFormatting>
  <conditionalFormatting sqref="F372">
    <cfRule type="cellIs" rank="0" priority="1101" equalAverage="0" operator="greaterThan" aboveAverage="0" dxfId="7" text="" percent="0" bottom="0">
      <formula>0</formula>
    </cfRule>
  </conditionalFormatting>
  <conditionalFormatting sqref="I372">
    <cfRule type="cellIs" rank="0" priority="1102" equalAverage="0" operator="lessThan" aboveAverage="0" dxfId="8" text="" percent="0" bottom="0">
      <formula>0</formula>
    </cfRule>
  </conditionalFormatting>
  <conditionalFormatting sqref="E373">
    <cfRule type="cellIs" rank="0" priority="1103" equalAverage="0" operator="greaterThan" aboveAverage="0" dxfId="7" text="" percent="0" bottom="0">
      <formula>0</formula>
    </cfRule>
  </conditionalFormatting>
  <conditionalFormatting sqref="F373">
    <cfRule type="cellIs" rank="0" priority="1104" equalAverage="0" operator="greaterThan" aboveAverage="0" dxfId="7" text="" percent="0" bottom="0">
      <formula>0</formula>
    </cfRule>
  </conditionalFormatting>
  <conditionalFormatting sqref="I373">
    <cfRule type="cellIs" rank="0" priority="1105" equalAverage="0" operator="lessThan" aboveAverage="0" dxfId="8" text="" percent="0" bottom="0">
      <formula>0</formula>
    </cfRule>
  </conditionalFormatting>
  <conditionalFormatting sqref="E374">
    <cfRule type="cellIs" rank="0" priority="1106" equalAverage="0" operator="greaterThan" aboveAverage="0" dxfId="7" text="" percent="0" bottom="0">
      <formula>0</formula>
    </cfRule>
  </conditionalFormatting>
  <conditionalFormatting sqref="F374">
    <cfRule type="cellIs" rank="0" priority="1107" equalAverage="0" operator="greaterThan" aboveAverage="0" dxfId="7" text="" percent="0" bottom="0">
      <formula>0</formula>
    </cfRule>
  </conditionalFormatting>
  <conditionalFormatting sqref="I374">
    <cfRule type="cellIs" rank="0" priority="1108" equalAverage="0" operator="lessThan" aboveAverage="0" dxfId="8" text="" percent="0" bottom="0">
      <formula>0</formula>
    </cfRule>
  </conditionalFormatting>
  <conditionalFormatting sqref="E375">
    <cfRule type="cellIs" rank="0" priority="1109" equalAverage="0" operator="greaterThan" aboveAverage="0" dxfId="7" text="" percent="0" bottom="0">
      <formula>0</formula>
    </cfRule>
  </conditionalFormatting>
  <conditionalFormatting sqref="F375">
    <cfRule type="cellIs" rank="0" priority="1110" equalAverage="0" operator="greaterThan" aboveAverage="0" dxfId="7" text="" percent="0" bottom="0">
      <formula>0</formula>
    </cfRule>
  </conditionalFormatting>
  <conditionalFormatting sqref="I375">
    <cfRule type="cellIs" rank="0" priority="1111" equalAverage="0" operator="lessThan" aboveAverage="0" dxfId="8" text="" percent="0" bottom="0">
      <formula>0</formula>
    </cfRule>
  </conditionalFormatting>
  <conditionalFormatting sqref="E376">
    <cfRule type="cellIs" rank="0" priority="1112" equalAverage="0" operator="greaterThan" aboveAverage="0" dxfId="7" text="" percent="0" bottom="0">
      <formula>0</formula>
    </cfRule>
  </conditionalFormatting>
  <conditionalFormatting sqref="F376">
    <cfRule type="cellIs" rank="0" priority="1113" equalAverage="0" operator="greaterThan" aboveAverage="0" dxfId="7" text="" percent="0" bottom="0">
      <formula>0</formula>
    </cfRule>
  </conditionalFormatting>
  <conditionalFormatting sqref="I376">
    <cfRule type="cellIs" rank="0" priority="1114" equalAverage="0" operator="lessThan" aboveAverage="0" dxfId="8" text="" percent="0" bottom="0">
      <formula>0</formula>
    </cfRule>
  </conditionalFormatting>
  <conditionalFormatting sqref="E377">
    <cfRule type="cellIs" rank="0" priority="1115" equalAverage="0" operator="greaterThan" aboveAverage="0" dxfId="7" text="" percent="0" bottom="0">
      <formula>0</formula>
    </cfRule>
  </conditionalFormatting>
  <conditionalFormatting sqref="F377">
    <cfRule type="cellIs" rank="0" priority="1116" equalAverage="0" operator="greaterThan" aboveAverage="0" dxfId="7" text="" percent="0" bottom="0">
      <formula>0</formula>
    </cfRule>
  </conditionalFormatting>
  <conditionalFormatting sqref="I377">
    <cfRule type="cellIs" rank="0" priority="1117" equalAverage="0" operator="lessThan" aboveAverage="0" dxfId="8" text="" percent="0" bottom="0">
      <formula>0</formula>
    </cfRule>
  </conditionalFormatting>
  <conditionalFormatting sqref="E378">
    <cfRule type="cellIs" rank="0" priority="1118" equalAverage="0" operator="greaterThan" aboveAverage="0" dxfId="7" text="" percent="0" bottom="0">
      <formula>0</formula>
    </cfRule>
  </conditionalFormatting>
  <conditionalFormatting sqref="F378">
    <cfRule type="cellIs" rank="0" priority="1119" equalAverage="0" operator="greaterThan" aboveAverage="0" dxfId="7" text="" percent="0" bottom="0">
      <formula>0</formula>
    </cfRule>
  </conditionalFormatting>
  <conditionalFormatting sqref="I378">
    <cfRule type="cellIs" rank="0" priority="1120" equalAverage="0" operator="lessThan" aboveAverage="0" dxfId="8" text="" percent="0" bottom="0">
      <formula>0</formula>
    </cfRule>
  </conditionalFormatting>
  <conditionalFormatting sqref="E379">
    <cfRule type="cellIs" rank="0" priority="1121" equalAverage="0" operator="greaterThan" aboveAverage="0" dxfId="7" text="" percent="0" bottom="0">
      <formula>0</formula>
    </cfRule>
  </conditionalFormatting>
  <conditionalFormatting sqref="F379">
    <cfRule type="cellIs" rank="0" priority="1122" equalAverage="0" operator="greaterThan" aboveAverage="0" dxfId="7" text="" percent="0" bottom="0">
      <formula>0</formula>
    </cfRule>
  </conditionalFormatting>
  <conditionalFormatting sqref="I379">
    <cfRule type="cellIs" rank="0" priority="1123" equalAverage="0" operator="lessThan" aboveAverage="0" dxfId="8" text="" percent="0" bottom="0">
      <formula>0</formula>
    </cfRule>
  </conditionalFormatting>
  <conditionalFormatting sqref="E380">
    <cfRule type="cellIs" rank="0" priority="1124" equalAverage="0" operator="greaterThan" aboveAverage="0" dxfId="7" text="" percent="0" bottom="0">
      <formula>0</formula>
    </cfRule>
  </conditionalFormatting>
  <conditionalFormatting sqref="F380">
    <cfRule type="cellIs" rank="0" priority="1125" equalAverage="0" operator="greaterThan" aboveAverage="0" dxfId="7" text="" percent="0" bottom="0">
      <formula>0</formula>
    </cfRule>
  </conditionalFormatting>
  <conditionalFormatting sqref="I380">
    <cfRule type="cellIs" rank="0" priority="1126" equalAverage="0" operator="lessThan" aboveAverage="0" dxfId="8" text="" percent="0" bottom="0">
      <formula>0</formula>
    </cfRule>
  </conditionalFormatting>
  <conditionalFormatting sqref="E381">
    <cfRule type="cellIs" rank="0" priority="1127" equalAverage="0" operator="greaterThan" aboveAverage="0" dxfId="7" text="" percent="0" bottom="0">
      <formula>0</formula>
    </cfRule>
  </conditionalFormatting>
  <conditionalFormatting sqref="F381">
    <cfRule type="cellIs" rank="0" priority="1128" equalAverage="0" operator="greaterThan" aboveAverage="0" dxfId="7" text="" percent="0" bottom="0">
      <formula>0</formula>
    </cfRule>
  </conditionalFormatting>
  <conditionalFormatting sqref="I381">
    <cfRule type="cellIs" rank="0" priority="1129" equalAverage="0" operator="lessThan" aboveAverage="0" dxfId="8" text="" percent="0" bottom="0">
      <formula>0</formula>
    </cfRule>
  </conditionalFormatting>
  <conditionalFormatting sqref="E382">
    <cfRule type="cellIs" rank="0" priority="1130" equalAverage="0" operator="greaterThan" aboveAverage="0" dxfId="7" text="" percent="0" bottom="0">
      <formula>0</formula>
    </cfRule>
  </conditionalFormatting>
  <conditionalFormatting sqref="F382">
    <cfRule type="cellIs" rank="0" priority="1131" equalAverage="0" operator="greaterThan" aboveAverage="0" dxfId="7" text="" percent="0" bottom="0">
      <formula>0</formula>
    </cfRule>
  </conditionalFormatting>
  <conditionalFormatting sqref="I382">
    <cfRule type="cellIs" rank="0" priority="1132" equalAverage="0" operator="lessThan" aboveAverage="0" dxfId="8" text="" percent="0" bottom="0">
      <formula>0</formula>
    </cfRule>
  </conditionalFormatting>
  <conditionalFormatting sqref="E383">
    <cfRule type="cellIs" rank="0" priority="1133" equalAverage="0" operator="greaterThan" aboveAverage="0" dxfId="7" text="" percent="0" bottom="0">
      <formula>0</formula>
    </cfRule>
  </conditionalFormatting>
  <conditionalFormatting sqref="F383">
    <cfRule type="cellIs" rank="0" priority="1134" equalAverage="0" operator="greaterThan" aboveAverage="0" dxfId="7" text="" percent="0" bottom="0">
      <formula>0</formula>
    </cfRule>
  </conditionalFormatting>
  <conditionalFormatting sqref="I383">
    <cfRule type="cellIs" rank="0" priority="1135" equalAverage="0" operator="lessThan" aboveAverage="0" dxfId="8" text="" percent="0" bottom="0">
      <formula>0</formula>
    </cfRule>
  </conditionalFormatting>
  <conditionalFormatting sqref="E384">
    <cfRule type="cellIs" rank="0" priority="1136" equalAverage="0" operator="greaterThan" aboveAverage="0" dxfId="7" text="" percent="0" bottom="0">
      <formula>0</formula>
    </cfRule>
  </conditionalFormatting>
  <conditionalFormatting sqref="F384">
    <cfRule type="cellIs" rank="0" priority="1137" equalAverage="0" operator="greaterThan" aboveAverage="0" dxfId="7" text="" percent="0" bottom="0">
      <formula>0</formula>
    </cfRule>
  </conditionalFormatting>
  <conditionalFormatting sqref="I384">
    <cfRule type="cellIs" rank="0" priority="1138" equalAverage="0" operator="lessThan" aboveAverage="0" dxfId="8" text="" percent="0" bottom="0">
      <formula>0</formula>
    </cfRule>
  </conditionalFormatting>
  <conditionalFormatting sqref="E385">
    <cfRule type="cellIs" rank="0" priority="1139" equalAverage="0" operator="greaterThan" aboveAverage="0" dxfId="7" text="" percent="0" bottom="0">
      <formula>0</formula>
    </cfRule>
  </conditionalFormatting>
  <conditionalFormatting sqref="F385">
    <cfRule type="cellIs" rank="0" priority="1140" equalAverage="0" operator="greaterThan" aboveAverage="0" dxfId="7" text="" percent="0" bottom="0">
      <formula>0</formula>
    </cfRule>
  </conditionalFormatting>
  <conditionalFormatting sqref="I385">
    <cfRule type="cellIs" rank="0" priority="1141" equalAverage="0" operator="lessThan" aboveAverage="0" dxfId="8" text="" percent="0" bottom="0">
      <formula>0</formula>
    </cfRule>
  </conditionalFormatting>
  <conditionalFormatting sqref="E386">
    <cfRule type="cellIs" rank="0" priority="1142" equalAverage="0" operator="greaterThan" aboveAverage="0" dxfId="7" text="" percent="0" bottom="0">
      <formula>0</formula>
    </cfRule>
  </conditionalFormatting>
  <conditionalFormatting sqref="F386">
    <cfRule type="cellIs" rank="0" priority="1143" equalAverage="0" operator="greaterThan" aboveAverage="0" dxfId="7" text="" percent="0" bottom="0">
      <formula>0</formula>
    </cfRule>
  </conditionalFormatting>
  <conditionalFormatting sqref="I386">
    <cfRule type="cellIs" rank="0" priority="1144" equalAverage="0" operator="lessThan" aboveAverage="0" dxfId="8" text="" percent="0" bottom="0">
      <formula>0</formula>
    </cfRule>
  </conditionalFormatting>
  <conditionalFormatting sqref="E387">
    <cfRule type="cellIs" rank="0" priority="1145" equalAverage="0" operator="greaterThan" aboveAverage="0" dxfId="7" text="" percent="0" bottom="0">
      <formula>0</formula>
    </cfRule>
  </conditionalFormatting>
  <conditionalFormatting sqref="F387">
    <cfRule type="cellIs" rank="0" priority="1146" equalAverage="0" operator="greaterThan" aboveAverage="0" dxfId="7" text="" percent="0" bottom="0">
      <formula>0</formula>
    </cfRule>
  </conditionalFormatting>
  <conditionalFormatting sqref="I387">
    <cfRule type="cellIs" rank="0" priority="1147" equalAverage="0" operator="lessThan" aboveAverage="0" dxfId="8" text="" percent="0" bottom="0">
      <formula>0</formula>
    </cfRule>
  </conditionalFormatting>
  <conditionalFormatting sqref="E388">
    <cfRule type="cellIs" rank="0" priority="1148" equalAverage="0" operator="greaterThan" aboveAverage="0" dxfId="7" text="" percent="0" bottom="0">
      <formula>0</formula>
    </cfRule>
  </conditionalFormatting>
  <conditionalFormatting sqref="F388">
    <cfRule type="cellIs" rank="0" priority="1149" equalAverage="0" operator="greaterThan" aboveAverage="0" dxfId="7" text="" percent="0" bottom="0">
      <formula>0</formula>
    </cfRule>
  </conditionalFormatting>
  <conditionalFormatting sqref="I388">
    <cfRule type="cellIs" rank="0" priority="1150" equalAverage="0" operator="lessThan" aboveAverage="0" dxfId="8" text="" percent="0" bottom="0">
      <formula>0</formula>
    </cfRule>
  </conditionalFormatting>
  <conditionalFormatting sqref="E389">
    <cfRule type="cellIs" rank="0" priority="1151" equalAverage="0" operator="greaterThan" aboveAverage="0" dxfId="7" text="" percent="0" bottom="0">
      <formula>0</formula>
    </cfRule>
  </conditionalFormatting>
  <conditionalFormatting sqref="F389">
    <cfRule type="cellIs" rank="0" priority="1152" equalAverage="0" operator="greaterThan" aboveAverage="0" dxfId="7" text="" percent="0" bottom="0">
      <formula>0</formula>
    </cfRule>
  </conditionalFormatting>
  <conditionalFormatting sqref="I389">
    <cfRule type="cellIs" rank="0" priority="1153" equalAverage="0" operator="lessThan" aboveAverage="0" dxfId="8" text="" percent="0" bottom="0">
      <formula>0</formula>
    </cfRule>
  </conditionalFormatting>
  <conditionalFormatting sqref="E390">
    <cfRule type="cellIs" rank="0" priority="1154" equalAverage="0" operator="greaterThan" aboveAverage="0" dxfId="7" text="" percent="0" bottom="0">
      <formula>0</formula>
    </cfRule>
  </conditionalFormatting>
  <conditionalFormatting sqref="F390">
    <cfRule type="cellIs" rank="0" priority="1155" equalAverage="0" operator="greaterThan" aboveAverage="0" dxfId="7" text="" percent="0" bottom="0">
      <formula>0</formula>
    </cfRule>
  </conditionalFormatting>
  <conditionalFormatting sqref="I390">
    <cfRule type="cellIs" rank="0" priority="1156" equalAverage="0" operator="lessThan" aboveAverage="0" dxfId="8" text="" percent="0" bottom="0">
      <formula>0</formula>
    </cfRule>
  </conditionalFormatting>
  <conditionalFormatting sqref="E391">
    <cfRule type="cellIs" rank="0" priority="1157" equalAverage="0" operator="greaterThan" aboveAverage="0" dxfId="7" text="" percent="0" bottom="0">
      <formula>0</formula>
    </cfRule>
  </conditionalFormatting>
  <conditionalFormatting sqref="F391">
    <cfRule type="cellIs" rank="0" priority="1158" equalAverage="0" operator="greaterThan" aboveAverage="0" dxfId="7" text="" percent="0" bottom="0">
      <formula>0</formula>
    </cfRule>
  </conditionalFormatting>
  <conditionalFormatting sqref="I391">
    <cfRule type="cellIs" rank="0" priority="1159" equalAverage="0" operator="lessThan" aboveAverage="0" dxfId="8" text="" percent="0" bottom="0">
      <formula>0</formula>
    </cfRule>
  </conditionalFormatting>
  <conditionalFormatting sqref="E392">
    <cfRule type="cellIs" rank="0" priority="1160" equalAverage="0" operator="greaterThan" aboveAverage="0" dxfId="7" text="" percent="0" bottom="0">
      <formula>0</formula>
    </cfRule>
  </conditionalFormatting>
  <conditionalFormatting sqref="F392">
    <cfRule type="cellIs" rank="0" priority="1161" equalAverage="0" operator="greaterThan" aboveAverage="0" dxfId="7" text="" percent="0" bottom="0">
      <formula>0</formula>
    </cfRule>
  </conditionalFormatting>
  <conditionalFormatting sqref="I392">
    <cfRule type="cellIs" rank="0" priority="1162" equalAverage="0" operator="lessThan" aboveAverage="0" dxfId="8" text="" percent="0" bottom="0">
      <formula>0</formula>
    </cfRule>
  </conditionalFormatting>
  <conditionalFormatting sqref="E393">
    <cfRule type="cellIs" rank="0" priority="1163" equalAverage="0" operator="greaterThan" aboveAverage="0" dxfId="7" text="" percent="0" bottom="0">
      <formula>0</formula>
    </cfRule>
  </conditionalFormatting>
  <conditionalFormatting sqref="F393">
    <cfRule type="cellIs" rank="0" priority="1164" equalAverage="0" operator="greaterThan" aboveAverage="0" dxfId="7" text="" percent="0" bottom="0">
      <formula>0</formula>
    </cfRule>
  </conditionalFormatting>
  <conditionalFormatting sqref="I393">
    <cfRule type="cellIs" rank="0" priority="1165" equalAverage="0" operator="lessThan" aboveAverage="0" dxfId="8" text="" percent="0" bottom="0">
      <formula>0</formula>
    </cfRule>
  </conditionalFormatting>
  <conditionalFormatting sqref="E394">
    <cfRule type="cellIs" rank="0" priority="1166" equalAverage="0" operator="greaterThan" aboveAverage="0" dxfId="7" text="" percent="0" bottom="0">
      <formula>0</formula>
    </cfRule>
  </conditionalFormatting>
  <conditionalFormatting sqref="F394">
    <cfRule type="cellIs" rank="0" priority="1167" equalAverage="0" operator="greaterThan" aboveAverage="0" dxfId="7" text="" percent="0" bottom="0">
      <formula>0</formula>
    </cfRule>
  </conditionalFormatting>
  <conditionalFormatting sqref="I394">
    <cfRule type="cellIs" rank="0" priority="1168" equalAverage="0" operator="lessThan" aboveAverage="0" dxfId="8" text="" percent="0" bottom="0">
      <formula>0</formula>
    </cfRule>
  </conditionalFormatting>
  <conditionalFormatting sqref="E395">
    <cfRule type="cellIs" rank="0" priority="1169" equalAverage="0" operator="greaterThan" aboveAverage="0" dxfId="7" text="" percent="0" bottom="0">
      <formula>0</formula>
    </cfRule>
  </conditionalFormatting>
  <conditionalFormatting sqref="F395">
    <cfRule type="cellIs" rank="0" priority="1170" equalAverage="0" operator="greaterThan" aboveAverage="0" dxfId="7" text="" percent="0" bottom="0">
      <formula>0</formula>
    </cfRule>
  </conditionalFormatting>
  <conditionalFormatting sqref="I395">
    <cfRule type="cellIs" rank="0" priority="1171" equalAverage="0" operator="lessThan" aboveAverage="0" dxfId="8" text="" percent="0" bottom="0">
      <formula>0</formula>
    </cfRule>
  </conditionalFormatting>
  <conditionalFormatting sqref="E396">
    <cfRule type="cellIs" rank="0" priority="1172" equalAverage="0" operator="greaterThan" aboveAverage="0" dxfId="7" text="" percent="0" bottom="0">
      <formula>0</formula>
    </cfRule>
  </conditionalFormatting>
  <conditionalFormatting sqref="F396">
    <cfRule type="cellIs" rank="0" priority="1173" equalAverage="0" operator="greaterThan" aboveAverage="0" dxfId="7" text="" percent="0" bottom="0">
      <formula>0</formula>
    </cfRule>
  </conditionalFormatting>
  <conditionalFormatting sqref="I396">
    <cfRule type="cellIs" rank="0" priority="1174" equalAverage="0" operator="lessThan" aboveAverage="0" dxfId="8" text="" percent="0" bottom="0">
      <formula>0</formula>
    </cfRule>
  </conditionalFormatting>
  <conditionalFormatting sqref="E397">
    <cfRule type="cellIs" rank="0" priority="1175" equalAverage="0" operator="greaterThan" aboveAverage="0" dxfId="7" text="" percent="0" bottom="0">
      <formula>0</formula>
    </cfRule>
  </conditionalFormatting>
  <conditionalFormatting sqref="F397">
    <cfRule type="cellIs" rank="0" priority="1176" equalAverage="0" operator="greaterThan" aboveAverage="0" dxfId="7" text="" percent="0" bottom="0">
      <formula>0</formula>
    </cfRule>
  </conditionalFormatting>
  <conditionalFormatting sqref="I397">
    <cfRule type="cellIs" rank="0" priority="1177" equalAverage="0" operator="lessThan" aboveAverage="0" dxfId="8" text="" percent="0" bottom="0">
      <formula>0</formula>
    </cfRule>
  </conditionalFormatting>
  <conditionalFormatting sqref="E398">
    <cfRule type="cellIs" rank="0" priority="1178" equalAverage="0" operator="greaterThan" aboveAverage="0" dxfId="7" text="" percent="0" bottom="0">
      <formula>0</formula>
    </cfRule>
  </conditionalFormatting>
  <conditionalFormatting sqref="F398">
    <cfRule type="cellIs" rank="0" priority="1179" equalAverage="0" operator="greaterThan" aboveAverage="0" dxfId="7" text="" percent="0" bottom="0">
      <formula>0</formula>
    </cfRule>
  </conditionalFormatting>
  <conditionalFormatting sqref="I398">
    <cfRule type="cellIs" rank="0" priority="1180" equalAverage="0" operator="lessThan" aboveAverage="0" dxfId="8" text="" percent="0" bottom="0">
      <formula>0</formula>
    </cfRule>
  </conditionalFormatting>
  <conditionalFormatting sqref="E399">
    <cfRule type="cellIs" rank="0" priority="1181" equalAverage="0" operator="greaterThan" aboveAverage="0" dxfId="7" text="" percent="0" bottom="0">
      <formula>0</formula>
    </cfRule>
  </conditionalFormatting>
  <conditionalFormatting sqref="F399">
    <cfRule type="cellIs" rank="0" priority="1182" equalAverage="0" operator="greaterThan" aboveAverage="0" dxfId="7" text="" percent="0" bottom="0">
      <formula>0</formula>
    </cfRule>
  </conditionalFormatting>
  <conditionalFormatting sqref="I399">
    <cfRule type="cellIs" rank="0" priority="1183" equalAverage="0" operator="lessThan" aboveAverage="0" dxfId="8" text="" percent="0" bottom="0">
      <formula>0</formula>
    </cfRule>
  </conditionalFormatting>
  <conditionalFormatting sqref="E400">
    <cfRule type="cellIs" rank="0" priority="1184" equalAverage="0" operator="greaterThan" aboveAverage="0" dxfId="7" text="" percent="0" bottom="0">
      <formula>0</formula>
    </cfRule>
  </conditionalFormatting>
  <conditionalFormatting sqref="F400">
    <cfRule type="cellIs" rank="0" priority="1185" equalAverage="0" operator="greaterThan" aboveAverage="0" dxfId="7" text="" percent="0" bottom="0">
      <formula>0</formula>
    </cfRule>
  </conditionalFormatting>
  <conditionalFormatting sqref="I400">
    <cfRule type="cellIs" rank="0" priority="1186" equalAverage="0" operator="lessThan" aboveAverage="0" dxfId="8" text="" percent="0" bottom="0">
      <formula>0</formula>
    </cfRule>
  </conditionalFormatting>
  <conditionalFormatting sqref="E401">
    <cfRule type="cellIs" rank="0" priority="1187" equalAverage="0" operator="greaterThan" aboveAverage="0" dxfId="7" text="" percent="0" bottom="0">
      <formula>0</formula>
    </cfRule>
  </conditionalFormatting>
  <conditionalFormatting sqref="F401">
    <cfRule type="cellIs" rank="0" priority="1188" equalAverage="0" operator="greaterThan" aboveAverage="0" dxfId="7" text="" percent="0" bottom="0">
      <formula>0</formula>
    </cfRule>
  </conditionalFormatting>
  <conditionalFormatting sqref="I401">
    <cfRule type="cellIs" rank="0" priority="1189" equalAverage="0" operator="lessThan" aboveAverage="0" dxfId="8" text="" percent="0" bottom="0">
      <formula>0</formula>
    </cfRule>
  </conditionalFormatting>
  <conditionalFormatting sqref="E402">
    <cfRule type="cellIs" rank="0" priority="1190" equalAverage="0" operator="greaterThan" aboveAverage="0" dxfId="7" text="" percent="0" bottom="0">
      <formula>0</formula>
    </cfRule>
  </conditionalFormatting>
  <conditionalFormatting sqref="F402">
    <cfRule type="cellIs" rank="0" priority="1191" equalAverage="0" operator="greaterThan" aboveAverage="0" dxfId="7" text="" percent="0" bottom="0">
      <formula>0</formula>
    </cfRule>
  </conditionalFormatting>
  <conditionalFormatting sqref="I402">
    <cfRule type="cellIs" rank="0" priority="1192" equalAverage="0" operator="lessThan" aboveAverage="0" dxfId="8" text="" percent="0" bottom="0">
      <formula>0</formula>
    </cfRule>
  </conditionalFormatting>
  <conditionalFormatting sqref="E403">
    <cfRule type="cellIs" rank="0" priority="1193" equalAverage="0" operator="greaterThan" aboveAverage="0" dxfId="7" text="" percent="0" bottom="0">
      <formula>0</formula>
    </cfRule>
  </conditionalFormatting>
  <conditionalFormatting sqref="F403">
    <cfRule type="cellIs" rank="0" priority="1194" equalAverage="0" operator="greaterThan" aboveAverage="0" dxfId="7" text="" percent="0" bottom="0">
      <formula>0</formula>
    </cfRule>
  </conditionalFormatting>
  <conditionalFormatting sqref="I403">
    <cfRule type="cellIs" rank="0" priority="1195" equalAverage="0" operator="lessThan" aboveAverage="0" dxfId="8" text="" percent="0" bottom="0">
      <formula>0</formula>
    </cfRule>
  </conditionalFormatting>
  <conditionalFormatting sqref="E404">
    <cfRule type="cellIs" rank="0" priority="1196" equalAverage="0" operator="greaterThan" aboveAverage="0" dxfId="7" text="" percent="0" bottom="0">
      <formula>0</formula>
    </cfRule>
  </conditionalFormatting>
  <conditionalFormatting sqref="F404">
    <cfRule type="cellIs" rank="0" priority="1197" equalAverage="0" operator="greaterThan" aboveAverage="0" dxfId="7" text="" percent="0" bottom="0">
      <formula>0</formula>
    </cfRule>
  </conditionalFormatting>
  <conditionalFormatting sqref="I404">
    <cfRule type="cellIs" rank="0" priority="1198" equalAverage="0" operator="lessThan" aboveAverage="0" dxfId="8" text="" percent="0" bottom="0">
      <formula>0</formula>
    </cfRule>
  </conditionalFormatting>
  <conditionalFormatting sqref="E405">
    <cfRule type="cellIs" rank="0" priority="1199" equalAverage="0" operator="greaterThan" aboveAverage="0" dxfId="7" text="" percent="0" bottom="0">
      <formula>0</formula>
    </cfRule>
  </conditionalFormatting>
  <conditionalFormatting sqref="F405">
    <cfRule type="cellIs" rank="0" priority="1200" equalAverage="0" operator="greaterThan" aboveAverage="0" dxfId="7" text="" percent="0" bottom="0">
      <formula>0</formula>
    </cfRule>
  </conditionalFormatting>
  <conditionalFormatting sqref="I405">
    <cfRule type="cellIs" rank="0" priority="1201" equalAverage="0" operator="lessThan" aboveAverage="0" dxfId="8" text="" percent="0" bottom="0">
      <formula>0</formula>
    </cfRule>
  </conditionalFormatting>
  <conditionalFormatting sqref="E406">
    <cfRule type="cellIs" rank="0" priority="1202" equalAverage="0" operator="greaterThan" aboveAverage="0" dxfId="7" text="" percent="0" bottom="0">
      <formula>0</formula>
    </cfRule>
  </conditionalFormatting>
  <conditionalFormatting sqref="F406">
    <cfRule type="cellIs" rank="0" priority="1203" equalAverage="0" operator="greaterThan" aboveAverage="0" dxfId="7" text="" percent="0" bottom="0">
      <formula>0</formula>
    </cfRule>
  </conditionalFormatting>
  <conditionalFormatting sqref="I406">
    <cfRule type="cellIs" rank="0" priority="1204" equalAverage="0" operator="lessThan" aboveAverage="0" dxfId="8" text="" percent="0" bottom="0">
      <formula>0</formula>
    </cfRule>
  </conditionalFormatting>
  <conditionalFormatting sqref="E407">
    <cfRule type="cellIs" rank="0" priority="1205" equalAverage="0" operator="greaterThan" aboveAverage="0" dxfId="7" text="" percent="0" bottom="0">
      <formula>0</formula>
    </cfRule>
  </conditionalFormatting>
  <conditionalFormatting sqref="F407">
    <cfRule type="cellIs" rank="0" priority="1206" equalAverage="0" operator="greaterThan" aboveAverage="0" dxfId="7" text="" percent="0" bottom="0">
      <formula>0</formula>
    </cfRule>
  </conditionalFormatting>
  <conditionalFormatting sqref="I407">
    <cfRule type="cellIs" rank="0" priority="1207" equalAverage="0" operator="lessThan" aboveAverage="0" dxfId="8" text="" percent="0" bottom="0">
      <formula>0</formula>
    </cfRule>
  </conditionalFormatting>
  <conditionalFormatting sqref="E408">
    <cfRule type="cellIs" rank="0" priority="1208" equalAverage="0" operator="greaterThan" aboveAverage="0" dxfId="7" text="" percent="0" bottom="0">
      <formula>0</formula>
    </cfRule>
  </conditionalFormatting>
  <conditionalFormatting sqref="F408">
    <cfRule type="cellIs" rank="0" priority="1209" equalAverage="0" operator="greaterThan" aboveAverage="0" dxfId="7" text="" percent="0" bottom="0">
      <formula>0</formula>
    </cfRule>
  </conditionalFormatting>
  <conditionalFormatting sqref="I408">
    <cfRule type="cellIs" rank="0" priority="1210" equalAverage="0" operator="lessThan" aboveAverage="0" dxfId="8" text="" percent="0" bottom="0">
      <formula>0</formula>
    </cfRule>
  </conditionalFormatting>
  <conditionalFormatting sqref="E409">
    <cfRule type="cellIs" rank="0" priority="1211" equalAverage="0" operator="greaterThan" aboveAverage="0" dxfId="7" text="" percent="0" bottom="0">
      <formula>0</formula>
    </cfRule>
  </conditionalFormatting>
  <conditionalFormatting sqref="F409">
    <cfRule type="cellIs" rank="0" priority="1212" equalAverage="0" operator="greaterThan" aboveAverage="0" dxfId="7" text="" percent="0" bottom="0">
      <formula>0</formula>
    </cfRule>
  </conditionalFormatting>
  <conditionalFormatting sqref="I409">
    <cfRule type="cellIs" rank="0" priority="1213" equalAverage="0" operator="lessThan" aboveAverage="0" dxfId="8" text="" percent="0" bottom="0">
      <formula>0</formula>
    </cfRule>
  </conditionalFormatting>
  <conditionalFormatting sqref="E410">
    <cfRule type="cellIs" rank="0" priority="1214" equalAverage="0" operator="greaterThan" aboveAverage="0" dxfId="7" text="" percent="0" bottom="0">
      <formula>0</formula>
    </cfRule>
  </conditionalFormatting>
  <conditionalFormatting sqref="F410">
    <cfRule type="cellIs" rank="0" priority="1215" equalAverage="0" operator="greaterThan" aboveAverage="0" dxfId="7" text="" percent="0" bottom="0">
      <formula>0</formula>
    </cfRule>
  </conditionalFormatting>
  <conditionalFormatting sqref="I410">
    <cfRule type="cellIs" rank="0" priority="1216" equalAverage="0" operator="lessThan" aboveAverage="0" dxfId="8" text="" percent="0" bottom="0">
      <formula>0</formula>
    </cfRule>
  </conditionalFormatting>
  <conditionalFormatting sqref="E411">
    <cfRule type="cellIs" rank="0" priority="1217" equalAverage="0" operator="greaterThan" aboveAverage="0" dxfId="7" text="" percent="0" bottom="0">
      <formula>0</formula>
    </cfRule>
  </conditionalFormatting>
  <conditionalFormatting sqref="F411">
    <cfRule type="cellIs" rank="0" priority="1218" equalAverage="0" operator="greaterThan" aboveAverage="0" dxfId="7" text="" percent="0" bottom="0">
      <formula>0</formula>
    </cfRule>
  </conditionalFormatting>
  <conditionalFormatting sqref="I411">
    <cfRule type="cellIs" rank="0" priority="1219" equalAverage="0" operator="lessThan" aboveAverage="0" dxfId="8" text="" percent="0" bottom="0">
      <formula>0</formula>
    </cfRule>
  </conditionalFormatting>
  <conditionalFormatting sqref="E412">
    <cfRule type="cellIs" rank="0" priority="1220" equalAverage="0" operator="greaterThan" aboveAverage="0" dxfId="7" text="" percent="0" bottom="0">
      <formula>0</formula>
    </cfRule>
  </conditionalFormatting>
  <conditionalFormatting sqref="F412">
    <cfRule type="cellIs" rank="0" priority="1221" equalAverage="0" operator="greaterThan" aboveAverage="0" dxfId="7" text="" percent="0" bottom="0">
      <formula>0</formula>
    </cfRule>
  </conditionalFormatting>
  <conditionalFormatting sqref="I412">
    <cfRule type="cellIs" rank="0" priority="1222" equalAverage="0" operator="lessThan" aboveAverage="0" dxfId="8" text="" percent="0" bottom="0">
      <formula>0</formula>
    </cfRule>
  </conditionalFormatting>
  <conditionalFormatting sqref="E413">
    <cfRule type="cellIs" rank="0" priority="1223" equalAverage="0" operator="greaterThan" aboveAverage="0" dxfId="7" text="" percent="0" bottom="0">
      <formula>0</formula>
    </cfRule>
  </conditionalFormatting>
  <conditionalFormatting sqref="F413">
    <cfRule type="cellIs" rank="0" priority="1224" equalAverage="0" operator="greaterThan" aboveAverage="0" dxfId="7" text="" percent="0" bottom="0">
      <formula>0</formula>
    </cfRule>
  </conditionalFormatting>
  <conditionalFormatting sqref="I413">
    <cfRule type="cellIs" rank="0" priority="1225" equalAverage="0" operator="lessThan" aboveAverage="0" dxfId="8" text="" percent="0" bottom="0">
      <formula>0</formula>
    </cfRule>
  </conditionalFormatting>
  <conditionalFormatting sqref="E414">
    <cfRule type="cellIs" rank="0" priority="1226" equalAverage="0" operator="greaterThan" aboveAverage="0" dxfId="7" text="" percent="0" bottom="0">
      <formula>0</formula>
    </cfRule>
  </conditionalFormatting>
  <conditionalFormatting sqref="F414">
    <cfRule type="cellIs" rank="0" priority="1227" equalAverage="0" operator="greaterThan" aboveAverage="0" dxfId="7" text="" percent="0" bottom="0">
      <formula>0</formula>
    </cfRule>
  </conditionalFormatting>
  <conditionalFormatting sqref="I414">
    <cfRule type="cellIs" rank="0" priority="1228" equalAverage="0" operator="lessThan" aboveAverage="0" dxfId="8" text="" percent="0" bottom="0">
      <formula>0</formula>
    </cfRule>
  </conditionalFormatting>
  <conditionalFormatting sqref="E415">
    <cfRule type="cellIs" rank="0" priority="1229" equalAverage="0" operator="greaterThan" aboveAverage="0" dxfId="7" text="" percent="0" bottom="0">
      <formula>0</formula>
    </cfRule>
  </conditionalFormatting>
  <conditionalFormatting sqref="F415">
    <cfRule type="cellIs" rank="0" priority="1230" equalAverage="0" operator="greaterThan" aboveAverage="0" dxfId="7" text="" percent="0" bottom="0">
      <formula>0</formula>
    </cfRule>
  </conditionalFormatting>
  <conditionalFormatting sqref="I415">
    <cfRule type="cellIs" rank="0" priority="1231" equalAverage="0" operator="lessThan" aboveAverage="0" dxfId="8" text="" percent="0" bottom="0">
      <formula>0</formula>
    </cfRule>
  </conditionalFormatting>
  <conditionalFormatting sqref="E416">
    <cfRule type="cellIs" rank="0" priority="1232" equalAverage="0" operator="greaterThan" aboveAverage="0" dxfId="7" text="" percent="0" bottom="0">
      <formula>0</formula>
    </cfRule>
  </conditionalFormatting>
  <conditionalFormatting sqref="F416">
    <cfRule type="cellIs" rank="0" priority="1233" equalAverage="0" operator="greaterThan" aboveAverage="0" dxfId="7" text="" percent="0" bottom="0">
      <formula>0</formula>
    </cfRule>
  </conditionalFormatting>
  <conditionalFormatting sqref="I416">
    <cfRule type="cellIs" rank="0" priority="1234" equalAverage="0" operator="lessThan" aboveAverage="0" dxfId="8" text="" percent="0" bottom="0">
      <formula>0</formula>
    </cfRule>
  </conditionalFormatting>
  <conditionalFormatting sqref="E417">
    <cfRule type="cellIs" rank="0" priority="1235" equalAverage="0" operator="greaterThan" aboveAverage="0" dxfId="7" text="" percent="0" bottom="0">
      <formula>0</formula>
    </cfRule>
  </conditionalFormatting>
  <conditionalFormatting sqref="F417">
    <cfRule type="cellIs" rank="0" priority="1236" equalAverage="0" operator="greaterThan" aboveAverage="0" dxfId="7" text="" percent="0" bottom="0">
      <formula>0</formula>
    </cfRule>
  </conditionalFormatting>
  <conditionalFormatting sqref="I417">
    <cfRule type="cellIs" rank="0" priority="1237" equalAverage="0" operator="lessThan" aboveAverage="0" dxfId="8" text="" percent="0" bottom="0">
      <formula>0</formula>
    </cfRule>
  </conditionalFormatting>
  <conditionalFormatting sqref="E418">
    <cfRule type="cellIs" rank="0" priority="1238" equalAverage="0" operator="greaterThan" aboveAverage="0" dxfId="7" text="" percent="0" bottom="0">
      <formula>0</formula>
    </cfRule>
  </conditionalFormatting>
  <conditionalFormatting sqref="F418">
    <cfRule type="cellIs" rank="0" priority="1239" equalAverage="0" operator="greaterThan" aboveAverage="0" dxfId="7" text="" percent="0" bottom="0">
      <formula>0</formula>
    </cfRule>
  </conditionalFormatting>
  <conditionalFormatting sqref="I418">
    <cfRule type="cellIs" rank="0" priority="1240" equalAverage="0" operator="lessThan" aboveAverage="0" dxfId="8" text="" percent="0" bottom="0">
      <formula>0</formula>
    </cfRule>
  </conditionalFormatting>
  <conditionalFormatting sqref="E419">
    <cfRule type="cellIs" rank="0" priority="1241" equalAverage="0" operator="greaterThan" aboveAverage="0" dxfId="7" text="" percent="0" bottom="0">
      <formula>0</formula>
    </cfRule>
  </conditionalFormatting>
  <conditionalFormatting sqref="F419">
    <cfRule type="cellIs" rank="0" priority="1242" equalAverage="0" operator="greaterThan" aboveAverage="0" dxfId="7" text="" percent="0" bottom="0">
      <formula>0</formula>
    </cfRule>
  </conditionalFormatting>
  <conditionalFormatting sqref="I419">
    <cfRule type="cellIs" rank="0" priority="1243" equalAverage="0" operator="lessThan" aboveAverage="0" dxfId="8" text="" percent="0" bottom="0">
      <formula>0</formula>
    </cfRule>
  </conditionalFormatting>
  <conditionalFormatting sqref="E420">
    <cfRule type="cellIs" rank="0" priority="1244" equalAverage="0" operator="greaterThan" aboveAverage="0" dxfId="7" text="" percent="0" bottom="0">
      <formula>0</formula>
    </cfRule>
  </conditionalFormatting>
  <conditionalFormatting sqref="F420">
    <cfRule type="cellIs" rank="0" priority="1245" equalAverage="0" operator="greaterThan" aboveAverage="0" dxfId="7" text="" percent="0" bottom="0">
      <formula>0</formula>
    </cfRule>
  </conditionalFormatting>
  <conditionalFormatting sqref="I420">
    <cfRule type="cellIs" rank="0" priority="1246" equalAverage="0" operator="lessThan" aboveAverage="0" dxfId="8" text="" percent="0" bottom="0">
      <formula>0</formula>
    </cfRule>
  </conditionalFormatting>
  <conditionalFormatting sqref="E421">
    <cfRule type="cellIs" rank="0" priority="1247" equalAverage="0" operator="greaterThan" aboveAverage="0" dxfId="7" text="" percent="0" bottom="0">
      <formula>0</formula>
    </cfRule>
  </conditionalFormatting>
  <conditionalFormatting sqref="F421">
    <cfRule type="cellIs" rank="0" priority="1248" equalAverage="0" operator="greaterThan" aboveAverage="0" dxfId="7" text="" percent="0" bottom="0">
      <formula>0</formula>
    </cfRule>
  </conditionalFormatting>
  <conditionalFormatting sqref="I421">
    <cfRule type="cellIs" rank="0" priority="1249" equalAverage="0" operator="lessThan" aboveAverage="0" dxfId="8" text="" percent="0" bottom="0">
      <formula>0</formula>
    </cfRule>
  </conditionalFormatting>
  <conditionalFormatting sqref="E422">
    <cfRule type="cellIs" rank="0" priority="1250" equalAverage="0" operator="greaterThan" aboveAverage="0" dxfId="7" text="" percent="0" bottom="0">
      <formula>0</formula>
    </cfRule>
  </conditionalFormatting>
  <conditionalFormatting sqref="F422">
    <cfRule type="cellIs" rank="0" priority="1251" equalAverage="0" operator="greaterThan" aboveAverage="0" dxfId="7" text="" percent="0" bottom="0">
      <formula>0</formula>
    </cfRule>
  </conditionalFormatting>
  <conditionalFormatting sqref="I422">
    <cfRule type="cellIs" rank="0" priority="1252" equalAverage="0" operator="lessThan" aboveAverage="0" dxfId="8" text="" percent="0" bottom="0">
      <formula>0</formula>
    </cfRule>
  </conditionalFormatting>
  <conditionalFormatting sqref="E423">
    <cfRule type="cellIs" rank="0" priority="1253" equalAverage="0" operator="greaterThan" aboveAverage="0" dxfId="7" text="" percent="0" bottom="0">
      <formula>0</formula>
    </cfRule>
  </conditionalFormatting>
  <conditionalFormatting sqref="F423">
    <cfRule type="cellIs" rank="0" priority="1254" equalAverage="0" operator="greaterThan" aboveAverage="0" dxfId="7" text="" percent="0" bottom="0">
      <formula>0</formula>
    </cfRule>
  </conditionalFormatting>
  <conditionalFormatting sqref="I423">
    <cfRule type="cellIs" rank="0" priority="1255" equalAverage="0" operator="lessThan" aboveAverage="0" dxfId="8" text="" percent="0" bottom="0">
      <formula>0</formula>
    </cfRule>
  </conditionalFormatting>
  <conditionalFormatting sqref="E424">
    <cfRule type="cellIs" rank="0" priority="1256" equalAverage="0" operator="greaterThan" aboveAverage="0" dxfId="7" text="" percent="0" bottom="0">
      <formula>0</formula>
    </cfRule>
  </conditionalFormatting>
  <conditionalFormatting sqref="F424">
    <cfRule type="cellIs" rank="0" priority="1257" equalAverage="0" operator="greaterThan" aboveAverage="0" dxfId="7" text="" percent="0" bottom="0">
      <formula>0</formula>
    </cfRule>
  </conditionalFormatting>
  <conditionalFormatting sqref="I424">
    <cfRule type="cellIs" rank="0" priority="1258" equalAverage="0" operator="lessThan" aboveAverage="0" dxfId="8" text="" percent="0" bottom="0">
      <formula>0</formula>
    </cfRule>
  </conditionalFormatting>
  <conditionalFormatting sqref="E425">
    <cfRule type="cellIs" rank="0" priority="1259" equalAverage="0" operator="greaterThan" aboveAverage="0" dxfId="7" text="" percent="0" bottom="0">
      <formula>0</formula>
    </cfRule>
  </conditionalFormatting>
  <conditionalFormatting sqref="F425">
    <cfRule type="cellIs" rank="0" priority="1260" equalAverage="0" operator="greaterThan" aboveAverage="0" dxfId="7" text="" percent="0" bottom="0">
      <formula>0</formula>
    </cfRule>
  </conditionalFormatting>
  <conditionalFormatting sqref="I425">
    <cfRule type="cellIs" rank="0" priority="1261" equalAverage="0" operator="lessThan" aboveAverage="0" dxfId="8" text="" percent="0" bottom="0">
      <formula>0</formula>
    </cfRule>
  </conditionalFormatting>
  <conditionalFormatting sqref="E426">
    <cfRule type="cellIs" rank="0" priority="1262" equalAverage="0" operator="greaterThan" aboveAverage="0" dxfId="7" text="" percent="0" bottom="0">
      <formula>0</formula>
    </cfRule>
  </conditionalFormatting>
  <conditionalFormatting sqref="F426">
    <cfRule type="cellIs" rank="0" priority="1263" equalAverage="0" operator="greaterThan" aboveAverage="0" dxfId="7" text="" percent="0" bottom="0">
      <formula>0</formula>
    </cfRule>
  </conditionalFormatting>
  <conditionalFormatting sqref="I426">
    <cfRule type="cellIs" rank="0" priority="1264" equalAverage="0" operator="lessThan" aboveAverage="0" dxfId="8" text="" percent="0" bottom="0">
      <formula>0</formula>
    </cfRule>
  </conditionalFormatting>
  <conditionalFormatting sqref="E427">
    <cfRule type="cellIs" rank="0" priority="1265" equalAverage="0" operator="greaterThan" aboveAverage="0" dxfId="7" text="" percent="0" bottom="0">
      <formula>0</formula>
    </cfRule>
  </conditionalFormatting>
  <conditionalFormatting sqref="F427">
    <cfRule type="cellIs" rank="0" priority="1266" equalAverage="0" operator="greaterThan" aboveAverage="0" dxfId="7" text="" percent="0" bottom="0">
      <formula>0</formula>
    </cfRule>
  </conditionalFormatting>
  <conditionalFormatting sqref="I427">
    <cfRule type="cellIs" rank="0" priority="1267" equalAverage="0" operator="lessThan" aboveAverage="0" dxfId="8" text="" percent="0" bottom="0">
      <formula>0</formula>
    </cfRule>
  </conditionalFormatting>
  <conditionalFormatting sqref="E428">
    <cfRule type="cellIs" rank="0" priority="1268" equalAverage="0" operator="greaterThan" aboveAverage="0" dxfId="7" text="" percent="0" bottom="0">
      <formula>0</formula>
    </cfRule>
  </conditionalFormatting>
  <conditionalFormatting sqref="F428">
    <cfRule type="cellIs" rank="0" priority="1269" equalAverage="0" operator="greaterThan" aboveAverage="0" dxfId="7" text="" percent="0" bottom="0">
      <formula>0</formula>
    </cfRule>
  </conditionalFormatting>
  <conditionalFormatting sqref="I428">
    <cfRule type="cellIs" rank="0" priority="1270" equalAverage="0" operator="lessThan" aboveAverage="0" dxfId="8" text="" percent="0" bottom="0">
      <formula>0</formula>
    </cfRule>
  </conditionalFormatting>
  <conditionalFormatting sqref="E429">
    <cfRule type="cellIs" rank="0" priority="1271" equalAverage="0" operator="greaterThan" aboveAverage="0" dxfId="7" text="" percent="0" bottom="0">
      <formula>0</formula>
    </cfRule>
  </conditionalFormatting>
  <conditionalFormatting sqref="F429">
    <cfRule type="cellIs" rank="0" priority="1272" equalAverage="0" operator="greaterThan" aboveAverage="0" dxfId="7" text="" percent="0" bottom="0">
      <formula>0</formula>
    </cfRule>
  </conditionalFormatting>
  <conditionalFormatting sqref="I429">
    <cfRule type="cellIs" rank="0" priority="1273" equalAverage="0" operator="lessThan" aboveAverage="0" dxfId="8" text="" percent="0" bottom="0">
      <formula>0</formula>
    </cfRule>
  </conditionalFormatting>
  <conditionalFormatting sqref="E430">
    <cfRule type="cellIs" rank="0" priority="1274" equalAverage="0" operator="greaterThan" aboveAverage="0" dxfId="7" text="" percent="0" bottom="0">
      <formula>0</formula>
    </cfRule>
  </conditionalFormatting>
  <conditionalFormatting sqref="F430">
    <cfRule type="cellIs" rank="0" priority="1275" equalAverage="0" operator="greaterThan" aboveAverage="0" dxfId="7" text="" percent="0" bottom="0">
      <formula>0</formula>
    </cfRule>
  </conditionalFormatting>
  <conditionalFormatting sqref="I430">
    <cfRule type="cellIs" rank="0" priority="1276" equalAverage="0" operator="lessThan" aboveAverage="0" dxfId="8" text="" percent="0" bottom="0">
      <formula>0</formula>
    </cfRule>
  </conditionalFormatting>
  <conditionalFormatting sqref="E431">
    <cfRule type="cellIs" rank="0" priority="1277" equalAverage="0" operator="greaterThan" aboveAverage="0" dxfId="7" text="" percent="0" bottom="0">
      <formula>0</formula>
    </cfRule>
  </conditionalFormatting>
  <conditionalFormatting sqref="F431">
    <cfRule type="cellIs" rank="0" priority="1278" equalAverage="0" operator="greaterThan" aboveAverage="0" dxfId="7" text="" percent="0" bottom="0">
      <formula>0</formula>
    </cfRule>
  </conditionalFormatting>
  <conditionalFormatting sqref="I431">
    <cfRule type="cellIs" rank="0" priority="1279" equalAverage="0" operator="lessThan" aboveAverage="0" dxfId="8" text="" percent="0" bottom="0">
      <formula>0</formula>
    </cfRule>
  </conditionalFormatting>
  <conditionalFormatting sqref="E432">
    <cfRule type="cellIs" rank="0" priority="1280" equalAverage="0" operator="greaterThan" aboveAverage="0" dxfId="7" text="" percent="0" bottom="0">
      <formula>0</formula>
    </cfRule>
  </conditionalFormatting>
  <conditionalFormatting sqref="F432">
    <cfRule type="cellIs" rank="0" priority="1281" equalAverage="0" operator="greaterThan" aboveAverage="0" dxfId="7" text="" percent="0" bottom="0">
      <formula>0</formula>
    </cfRule>
  </conditionalFormatting>
  <conditionalFormatting sqref="I432">
    <cfRule type="cellIs" rank="0" priority="1282" equalAverage="0" operator="lessThan" aboveAverage="0" dxfId="8" text="" percent="0" bottom="0">
      <formula>0</formula>
    </cfRule>
  </conditionalFormatting>
  <conditionalFormatting sqref="E433">
    <cfRule type="cellIs" rank="0" priority="1283" equalAverage="0" operator="greaterThan" aboveAverage="0" dxfId="7" text="" percent="0" bottom="0">
      <formula>0</formula>
    </cfRule>
  </conditionalFormatting>
  <conditionalFormatting sqref="F433">
    <cfRule type="cellIs" rank="0" priority="1284" equalAverage="0" operator="greaterThan" aboveAverage="0" dxfId="7" text="" percent="0" bottom="0">
      <formula>0</formula>
    </cfRule>
  </conditionalFormatting>
  <conditionalFormatting sqref="I433">
    <cfRule type="cellIs" rank="0" priority="1285" equalAverage="0" operator="lessThan" aboveAverage="0" dxfId="8" text="" percent="0" bottom="0">
      <formula>0</formula>
    </cfRule>
  </conditionalFormatting>
  <conditionalFormatting sqref="E434">
    <cfRule type="cellIs" rank="0" priority="1286" equalAverage="0" operator="greaterThan" aboveAverage="0" dxfId="7" text="" percent="0" bottom="0">
      <formula>0</formula>
    </cfRule>
  </conditionalFormatting>
  <conditionalFormatting sqref="F434">
    <cfRule type="cellIs" rank="0" priority="1287" equalAverage="0" operator="greaterThan" aboveAverage="0" dxfId="7" text="" percent="0" bottom="0">
      <formula>0</formula>
    </cfRule>
  </conditionalFormatting>
  <conditionalFormatting sqref="I434">
    <cfRule type="cellIs" rank="0" priority="1288" equalAverage="0" operator="lessThan" aboveAverage="0" dxfId="8" text="" percent="0" bottom="0">
      <formula>0</formula>
    </cfRule>
  </conditionalFormatting>
  <conditionalFormatting sqref="E435">
    <cfRule type="cellIs" rank="0" priority="1289" equalAverage="0" operator="greaterThan" aboveAverage="0" dxfId="7" text="" percent="0" bottom="0">
      <formula>0</formula>
    </cfRule>
  </conditionalFormatting>
  <conditionalFormatting sqref="F435">
    <cfRule type="cellIs" rank="0" priority="1290" equalAverage="0" operator="greaterThan" aboveAverage="0" dxfId="7" text="" percent="0" bottom="0">
      <formula>0</formula>
    </cfRule>
  </conditionalFormatting>
  <conditionalFormatting sqref="I435">
    <cfRule type="cellIs" rank="0" priority="1291" equalAverage="0" operator="lessThan" aboveAverage="0" dxfId="8" text="" percent="0" bottom="0">
      <formula>0</formula>
    </cfRule>
  </conditionalFormatting>
  <conditionalFormatting sqref="E436">
    <cfRule type="cellIs" rank="0" priority="1292" equalAverage="0" operator="greaterThan" aboveAverage="0" dxfId="7" text="" percent="0" bottom="0">
      <formula>0</formula>
    </cfRule>
  </conditionalFormatting>
  <conditionalFormatting sqref="F436">
    <cfRule type="cellIs" rank="0" priority="1293" equalAverage="0" operator="greaterThan" aboveAverage="0" dxfId="7" text="" percent="0" bottom="0">
      <formula>0</formula>
    </cfRule>
  </conditionalFormatting>
  <conditionalFormatting sqref="I436">
    <cfRule type="cellIs" rank="0" priority="1294" equalAverage="0" operator="lessThan" aboveAverage="0" dxfId="8" text="" percent="0" bottom="0">
      <formula>0</formula>
    </cfRule>
  </conditionalFormatting>
  <conditionalFormatting sqref="E437">
    <cfRule type="cellIs" rank="0" priority="1295" equalAverage="0" operator="greaterThan" aboveAverage="0" dxfId="7" text="" percent="0" bottom="0">
      <formula>0</formula>
    </cfRule>
  </conditionalFormatting>
  <conditionalFormatting sqref="F437">
    <cfRule type="cellIs" rank="0" priority="1296" equalAverage="0" operator="greaterThan" aboveAverage="0" dxfId="7" text="" percent="0" bottom="0">
      <formula>0</formula>
    </cfRule>
  </conditionalFormatting>
  <conditionalFormatting sqref="I437">
    <cfRule type="cellIs" rank="0" priority="1297" equalAverage="0" operator="lessThan" aboveAverage="0" dxfId="8" text="" percent="0" bottom="0">
      <formula>0</formula>
    </cfRule>
  </conditionalFormatting>
  <conditionalFormatting sqref="E438">
    <cfRule type="cellIs" rank="0" priority="1298" equalAverage="0" operator="greaterThan" aboveAverage="0" dxfId="7" text="" percent="0" bottom="0">
      <formula>0</formula>
    </cfRule>
  </conditionalFormatting>
  <conditionalFormatting sqref="F438">
    <cfRule type="cellIs" rank="0" priority="1299" equalAverage="0" operator="greaterThan" aboveAverage="0" dxfId="7" text="" percent="0" bottom="0">
      <formula>0</formula>
    </cfRule>
  </conditionalFormatting>
  <conditionalFormatting sqref="I438">
    <cfRule type="cellIs" rank="0" priority="1300" equalAverage="0" operator="lessThan" aboveAverage="0" dxfId="8" text="" percent="0" bottom="0">
      <formula>0</formula>
    </cfRule>
  </conditionalFormatting>
  <conditionalFormatting sqref="E439">
    <cfRule type="cellIs" rank="0" priority="1301" equalAverage="0" operator="greaterThan" aboveAverage="0" dxfId="7" text="" percent="0" bottom="0">
      <formula>0</formula>
    </cfRule>
  </conditionalFormatting>
  <conditionalFormatting sqref="F439">
    <cfRule type="cellIs" rank="0" priority="1302" equalAverage="0" operator="greaterThan" aboveAverage="0" dxfId="7" text="" percent="0" bottom="0">
      <formula>0</formula>
    </cfRule>
  </conditionalFormatting>
  <conditionalFormatting sqref="I439">
    <cfRule type="cellIs" rank="0" priority="1303" equalAverage="0" operator="lessThan" aboveAverage="0" dxfId="8" text="" percent="0" bottom="0">
      <formula>0</formula>
    </cfRule>
  </conditionalFormatting>
  <conditionalFormatting sqref="E440">
    <cfRule type="cellIs" rank="0" priority="1304" equalAverage="0" operator="greaterThan" aboveAverage="0" dxfId="7" text="" percent="0" bottom="0">
      <formula>0</formula>
    </cfRule>
  </conditionalFormatting>
  <conditionalFormatting sqref="F440">
    <cfRule type="cellIs" rank="0" priority="1305" equalAverage="0" operator="greaterThan" aboveAverage="0" dxfId="7" text="" percent="0" bottom="0">
      <formula>0</formula>
    </cfRule>
  </conditionalFormatting>
  <conditionalFormatting sqref="I440">
    <cfRule type="cellIs" rank="0" priority="1306" equalAverage="0" operator="lessThan" aboveAverage="0" dxfId="8" text="" percent="0" bottom="0">
      <formula>0</formula>
    </cfRule>
  </conditionalFormatting>
  <conditionalFormatting sqref="E441">
    <cfRule type="cellIs" rank="0" priority="1307" equalAverage="0" operator="greaterThan" aboveAverage="0" dxfId="7" text="" percent="0" bottom="0">
      <formula>0</formula>
    </cfRule>
  </conditionalFormatting>
  <conditionalFormatting sqref="F441">
    <cfRule type="cellIs" rank="0" priority="1308" equalAverage="0" operator="greaterThan" aboveAverage="0" dxfId="7" text="" percent="0" bottom="0">
      <formula>0</formula>
    </cfRule>
  </conditionalFormatting>
  <conditionalFormatting sqref="I441">
    <cfRule type="cellIs" rank="0" priority="1309" equalAverage="0" operator="lessThan" aboveAverage="0" dxfId="8" text="" percent="0" bottom="0">
      <formula>0</formula>
    </cfRule>
  </conditionalFormatting>
  <conditionalFormatting sqref="E442">
    <cfRule type="cellIs" rank="0" priority="1310" equalAverage="0" operator="greaterThan" aboveAverage="0" dxfId="7" text="" percent="0" bottom="0">
      <formula>0</formula>
    </cfRule>
  </conditionalFormatting>
  <conditionalFormatting sqref="F442">
    <cfRule type="cellIs" rank="0" priority="1311" equalAverage="0" operator="greaterThan" aboveAverage="0" dxfId="7" text="" percent="0" bottom="0">
      <formula>0</formula>
    </cfRule>
  </conditionalFormatting>
  <conditionalFormatting sqref="I442">
    <cfRule type="cellIs" rank="0" priority="1312" equalAverage="0" operator="lessThan" aboveAverage="0" dxfId="8" text="" percent="0" bottom="0">
      <formula>0</formula>
    </cfRule>
  </conditionalFormatting>
  <conditionalFormatting sqref="E443">
    <cfRule type="cellIs" rank="0" priority="1313" equalAverage="0" operator="greaterThan" aboveAverage="0" dxfId="7" text="" percent="0" bottom="0">
      <formula>0</formula>
    </cfRule>
  </conditionalFormatting>
  <conditionalFormatting sqref="F443">
    <cfRule type="cellIs" rank="0" priority="1314" equalAverage="0" operator="greaterThan" aboveAverage="0" dxfId="7" text="" percent="0" bottom="0">
      <formula>0</formula>
    </cfRule>
  </conditionalFormatting>
  <conditionalFormatting sqref="I443">
    <cfRule type="cellIs" rank="0" priority="1315" equalAverage="0" operator="lessThan" aboveAverage="0" dxfId="8" text="" percent="0" bottom="0">
      <formula>0</formula>
    </cfRule>
  </conditionalFormatting>
  <conditionalFormatting sqref="E444">
    <cfRule type="cellIs" rank="0" priority="1316" equalAverage="0" operator="greaterThan" aboveAverage="0" dxfId="7" text="" percent="0" bottom="0">
      <formula>0</formula>
    </cfRule>
  </conditionalFormatting>
  <conditionalFormatting sqref="F444">
    <cfRule type="cellIs" rank="0" priority="1317" equalAverage="0" operator="greaterThan" aboveAverage="0" dxfId="7" text="" percent="0" bottom="0">
      <formula>0</formula>
    </cfRule>
  </conditionalFormatting>
  <conditionalFormatting sqref="I444">
    <cfRule type="cellIs" rank="0" priority="1318" equalAverage="0" operator="lessThan" aboveAverage="0" dxfId="8" text="" percent="0" bottom="0">
      <formula>0</formula>
    </cfRule>
  </conditionalFormatting>
  <conditionalFormatting sqref="E445">
    <cfRule type="cellIs" rank="0" priority="1319" equalAverage="0" operator="greaterThan" aboveAverage="0" dxfId="7" text="" percent="0" bottom="0">
      <formula>0</formula>
    </cfRule>
  </conditionalFormatting>
  <conditionalFormatting sqref="F445">
    <cfRule type="cellIs" rank="0" priority="1320" equalAverage="0" operator="greaterThan" aboveAverage="0" dxfId="7" text="" percent="0" bottom="0">
      <formula>0</formula>
    </cfRule>
  </conditionalFormatting>
  <conditionalFormatting sqref="I445">
    <cfRule type="cellIs" rank="0" priority="1321" equalAverage="0" operator="lessThan" aboveAverage="0" dxfId="8" text="" percent="0" bottom="0">
      <formula>0</formula>
    </cfRule>
  </conditionalFormatting>
  <conditionalFormatting sqref="E446">
    <cfRule type="cellIs" rank="0" priority="1322" equalAverage="0" operator="greaterThan" aboveAverage="0" dxfId="7" text="" percent="0" bottom="0">
      <formula>0</formula>
    </cfRule>
  </conditionalFormatting>
  <conditionalFormatting sqref="F446">
    <cfRule type="cellIs" rank="0" priority="1323" equalAverage="0" operator="greaterThan" aboveAverage="0" dxfId="7" text="" percent="0" bottom="0">
      <formula>0</formula>
    </cfRule>
  </conditionalFormatting>
  <conditionalFormatting sqref="I446">
    <cfRule type="cellIs" rank="0" priority="1324" equalAverage="0" operator="lessThan" aboveAverage="0" dxfId="8" text="" percent="0" bottom="0">
      <formula>0</formula>
    </cfRule>
  </conditionalFormatting>
  <conditionalFormatting sqref="E447">
    <cfRule type="cellIs" rank="0" priority="1325" equalAverage="0" operator="greaterThan" aboveAverage="0" dxfId="7" text="" percent="0" bottom="0">
      <formula>0</formula>
    </cfRule>
  </conditionalFormatting>
  <conditionalFormatting sqref="F447">
    <cfRule type="cellIs" rank="0" priority="1326" equalAverage="0" operator="greaterThan" aboveAverage="0" dxfId="7" text="" percent="0" bottom="0">
      <formula>0</formula>
    </cfRule>
  </conditionalFormatting>
  <conditionalFormatting sqref="I447">
    <cfRule type="cellIs" rank="0" priority="1327" equalAverage="0" operator="lessThan" aboveAverage="0" dxfId="8" text="" percent="0" bottom="0">
      <formula>0</formula>
    </cfRule>
  </conditionalFormatting>
  <conditionalFormatting sqref="E448">
    <cfRule type="cellIs" rank="0" priority="1328" equalAverage="0" operator="greaterThan" aboveAverage="0" dxfId="7" text="" percent="0" bottom="0">
      <formula>0</formula>
    </cfRule>
  </conditionalFormatting>
  <conditionalFormatting sqref="F448">
    <cfRule type="cellIs" rank="0" priority="1329" equalAverage="0" operator="greaterThan" aboveAverage="0" dxfId="7" text="" percent="0" bottom="0">
      <formula>0</formula>
    </cfRule>
  </conditionalFormatting>
  <conditionalFormatting sqref="I448">
    <cfRule type="cellIs" rank="0" priority="1330" equalAverage="0" operator="lessThan" aboveAverage="0" dxfId="8" text="" percent="0" bottom="0">
      <formula>0</formula>
    </cfRule>
  </conditionalFormatting>
  <conditionalFormatting sqref="E449">
    <cfRule type="cellIs" rank="0" priority="1331" equalAverage="0" operator="greaterThan" aboveAverage="0" dxfId="7" text="" percent="0" bottom="0">
      <formula>0</formula>
    </cfRule>
  </conditionalFormatting>
  <conditionalFormatting sqref="F449">
    <cfRule type="cellIs" rank="0" priority="1332" equalAverage="0" operator="greaterThan" aboveAverage="0" dxfId="7" text="" percent="0" bottom="0">
      <formula>0</formula>
    </cfRule>
  </conditionalFormatting>
  <conditionalFormatting sqref="I449">
    <cfRule type="cellIs" rank="0" priority="1333" equalAverage="0" operator="lessThan" aboveAverage="0" dxfId="8" text="" percent="0" bottom="0">
      <formula>0</formula>
    </cfRule>
  </conditionalFormatting>
  <conditionalFormatting sqref="E450">
    <cfRule type="cellIs" rank="0" priority="1334" equalAverage="0" operator="greaterThan" aboveAverage="0" dxfId="7" text="" percent="0" bottom="0">
      <formula>0</formula>
    </cfRule>
  </conditionalFormatting>
  <conditionalFormatting sqref="F450">
    <cfRule type="cellIs" rank="0" priority="1335" equalAverage="0" operator="greaterThan" aboveAverage="0" dxfId="7" text="" percent="0" bottom="0">
      <formula>0</formula>
    </cfRule>
  </conditionalFormatting>
  <conditionalFormatting sqref="I450">
    <cfRule type="cellIs" rank="0" priority="1336" equalAverage="0" operator="lessThan" aboveAverage="0" dxfId="8" text="" percent="0" bottom="0">
      <formula>0</formula>
    </cfRule>
  </conditionalFormatting>
  <conditionalFormatting sqref="E451">
    <cfRule type="cellIs" rank="0" priority="1337" equalAverage="0" operator="greaterThan" aboveAverage="0" dxfId="7" text="" percent="0" bottom="0">
      <formula>0</formula>
    </cfRule>
  </conditionalFormatting>
  <conditionalFormatting sqref="F451">
    <cfRule type="cellIs" rank="0" priority="1338" equalAverage="0" operator="greaterThan" aboveAverage="0" dxfId="7" text="" percent="0" bottom="0">
      <formula>0</formula>
    </cfRule>
  </conditionalFormatting>
  <conditionalFormatting sqref="I451">
    <cfRule type="cellIs" rank="0" priority="1339" equalAverage="0" operator="lessThan" aboveAverage="0" dxfId="8" text="" percent="0" bottom="0">
      <formula>0</formula>
    </cfRule>
  </conditionalFormatting>
  <conditionalFormatting sqref="E452">
    <cfRule type="cellIs" rank="0" priority="1340" equalAverage="0" operator="greaterThan" aboveAverage="0" dxfId="7" text="" percent="0" bottom="0">
      <formula>0</formula>
    </cfRule>
  </conditionalFormatting>
  <conditionalFormatting sqref="F452">
    <cfRule type="cellIs" rank="0" priority="1341" equalAverage="0" operator="greaterThan" aboveAverage="0" dxfId="7" text="" percent="0" bottom="0">
      <formula>0</formula>
    </cfRule>
  </conditionalFormatting>
  <conditionalFormatting sqref="I452">
    <cfRule type="cellIs" rank="0" priority="1342" equalAverage="0" operator="lessThan" aboveAverage="0" dxfId="8" text="" percent="0" bottom="0">
      <formula>0</formula>
    </cfRule>
  </conditionalFormatting>
  <conditionalFormatting sqref="E453">
    <cfRule type="cellIs" rank="0" priority="1343" equalAverage="0" operator="greaterThan" aboveAverage="0" dxfId="7" text="" percent="0" bottom="0">
      <formula>0</formula>
    </cfRule>
  </conditionalFormatting>
  <conditionalFormatting sqref="F453">
    <cfRule type="cellIs" rank="0" priority="1344" equalAverage="0" operator="greaterThan" aboveAverage="0" dxfId="7" text="" percent="0" bottom="0">
      <formula>0</formula>
    </cfRule>
  </conditionalFormatting>
  <conditionalFormatting sqref="I453">
    <cfRule type="cellIs" rank="0" priority="1345" equalAverage="0" operator="lessThan" aboveAverage="0" dxfId="8" text="" percent="0" bottom="0">
      <formula>0</formula>
    </cfRule>
  </conditionalFormatting>
  <conditionalFormatting sqref="E454">
    <cfRule type="cellIs" rank="0" priority="1346" equalAverage="0" operator="greaterThan" aboveAverage="0" dxfId="7" text="" percent="0" bottom="0">
      <formula>0</formula>
    </cfRule>
  </conditionalFormatting>
  <conditionalFormatting sqref="F454">
    <cfRule type="cellIs" rank="0" priority="1347" equalAverage="0" operator="greaterThan" aboveAverage="0" dxfId="7" text="" percent="0" bottom="0">
      <formula>0</formula>
    </cfRule>
  </conditionalFormatting>
  <conditionalFormatting sqref="I454">
    <cfRule type="cellIs" rank="0" priority="1348" equalAverage="0" operator="lessThan" aboveAverage="0" dxfId="8" text="" percent="0" bottom="0">
      <formula>0</formula>
    </cfRule>
  </conditionalFormatting>
  <conditionalFormatting sqref="E455">
    <cfRule type="cellIs" rank="0" priority="1349" equalAverage="0" operator="greaterThan" aboveAverage="0" dxfId="7" text="" percent="0" bottom="0">
      <formula>0</formula>
    </cfRule>
  </conditionalFormatting>
  <conditionalFormatting sqref="F455">
    <cfRule type="cellIs" rank="0" priority="1350" equalAverage="0" operator="greaterThan" aboveAverage="0" dxfId="7" text="" percent="0" bottom="0">
      <formula>0</formula>
    </cfRule>
  </conditionalFormatting>
  <conditionalFormatting sqref="I455">
    <cfRule type="cellIs" rank="0" priority="1351" equalAverage="0" operator="lessThan" aboveAverage="0" dxfId="8" text="" percent="0" bottom="0">
      <formula>0</formula>
    </cfRule>
  </conditionalFormatting>
  <conditionalFormatting sqref="E456">
    <cfRule type="cellIs" rank="0" priority="1352" equalAverage="0" operator="greaterThan" aboveAverage="0" dxfId="7" text="" percent="0" bottom="0">
      <formula>0</formula>
    </cfRule>
  </conditionalFormatting>
  <conditionalFormatting sqref="F456">
    <cfRule type="cellIs" rank="0" priority="1353" equalAverage="0" operator="greaterThan" aboveAverage="0" dxfId="7" text="" percent="0" bottom="0">
      <formula>0</formula>
    </cfRule>
  </conditionalFormatting>
  <conditionalFormatting sqref="I456">
    <cfRule type="cellIs" rank="0" priority="1354" equalAverage="0" operator="lessThan" aboveAverage="0" dxfId="8" text="" percent="0" bottom="0">
      <formula>0</formula>
    </cfRule>
  </conditionalFormatting>
  <conditionalFormatting sqref="E457">
    <cfRule type="cellIs" rank="0" priority="1355" equalAverage="0" operator="greaterThan" aboveAverage="0" dxfId="7" text="" percent="0" bottom="0">
      <formula>0</formula>
    </cfRule>
  </conditionalFormatting>
  <conditionalFormatting sqref="F457">
    <cfRule type="cellIs" rank="0" priority="1356" equalAverage="0" operator="greaterThan" aboveAverage="0" dxfId="7" text="" percent="0" bottom="0">
      <formula>0</formula>
    </cfRule>
  </conditionalFormatting>
  <conditionalFormatting sqref="I457">
    <cfRule type="cellIs" rank="0" priority="1357" equalAverage="0" operator="lessThan" aboveAverage="0" dxfId="8" text="" percent="0" bottom="0">
      <formula>0</formula>
    </cfRule>
  </conditionalFormatting>
  <conditionalFormatting sqref="E458">
    <cfRule type="cellIs" rank="0" priority="1358" equalAverage="0" operator="greaterThan" aboveAverage="0" dxfId="7" text="" percent="0" bottom="0">
      <formula>0</formula>
    </cfRule>
  </conditionalFormatting>
  <conditionalFormatting sqref="F458">
    <cfRule type="cellIs" rank="0" priority="1359" equalAverage="0" operator="greaterThan" aboveAverage="0" dxfId="7" text="" percent="0" bottom="0">
      <formula>0</formula>
    </cfRule>
  </conditionalFormatting>
  <conditionalFormatting sqref="I458">
    <cfRule type="cellIs" rank="0" priority="1360" equalAverage="0" operator="lessThan" aboveAverage="0" dxfId="8" text="" percent="0" bottom="0">
      <formula>0</formula>
    </cfRule>
  </conditionalFormatting>
  <conditionalFormatting sqref="E459">
    <cfRule type="cellIs" rank="0" priority="1361" equalAverage="0" operator="greaterThan" aboveAverage="0" dxfId="7" text="" percent="0" bottom="0">
      <formula>0</formula>
    </cfRule>
  </conditionalFormatting>
  <conditionalFormatting sqref="F459">
    <cfRule type="cellIs" rank="0" priority="1362" equalAverage="0" operator="greaterThan" aboveAverage="0" dxfId="7" text="" percent="0" bottom="0">
      <formula>0</formula>
    </cfRule>
  </conditionalFormatting>
  <conditionalFormatting sqref="I459">
    <cfRule type="cellIs" rank="0" priority="1363" equalAverage="0" operator="lessThan" aboveAverage="0" dxfId="8" text="" percent="0" bottom="0">
      <formula>0</formula>
    </cfRule>
  </conditionalFormatting>
  <conditionalFormatting sqref="E460">
    <cfRule type="cellIs" rank="0" priority="1364" equalAverage="0" operator="greaterThan" aboveAverage="0" dxfId="7" text="" percent="0" bottom="0">
      <formula>0</formula>
    </cfRule>
  </conditionalFormatting>
  <conditionalFormatting sqref="F460">
    <cfRule type="cellIs" rank="0" priority="1365" equalAverage="0" operator="greaterThan" aboveAverage="0" dxfId="7" text="" percent="0" bottom="0">
      <formula>0</formula>
    </cfRule>
  </conditionalFormatting>
  <conditionalFormatting sqref="I460">
    <cfRule type="cellIs" rank="0" priority="1366" equalAverage="0" operator="lessThan" aboveAverage="0" dxfId="8" text="" percent="0" bottom="0">
      <formula>0</formula>
    </cfRule>
  </conditionalFormatting>
  <conditionalFormatting sqref="E461">
    <cfRule type="cellIs" rank="0" priority="1367" equalAverage="0" operator="greaterThan" aboveAverage="0" dxfId="7" text="" percent="0" bottom="0">
      <formula>0</formula>
    </cfRule>
  </conditionalFormatting>
  <conditionalFormatting sqref="F461">
    <cfRule type="cellIs" rank="0" priority="1368" equalAverage="0" operator="greaterThan" aboveAverage="0" dxfId="7" text="" percent="0" bottom="0">
      <formula>0</formula>
    </cfRule>
  </conditionalFormatting>
  <conditionalFormatting sqref="I461">
    <cfRule type="cellIs" rank="0" priority="1369" equalAverage="0" operator="lessThan" aboveAverage="0" dxfId="8" text="" percent="0" bottom="0">
      <formula>0</formula>
    </cfRule>
  </conditionalFormatting>
  <conditionalFormatting sqref="E462">
    <cfRule type="cellIs" rank="0" priority="1370" equalAverage="0" operator="greaterThan" aboveAverage="0" dxfId="7" text="" percent="0" bottom="0">
      <formula>0</formula>
    </cfRule>
  </conditionalFormatting>
  <conditionalFormatting sqref="F462">
    <cfRule type="cellIs" rank="0" priority="1371" equalAverage="0" operator="greaterThan" aboveAverage="0" dxfId="7" text="" percent="0" bottom="0">
      <formula>0</formula>
    </cfRule>
  </conditionalFormatting>
  <conditionalFormatting sqref="I462">
    <cfRule type="cellIs" rank="0" priority="1372" equalAverage="0" operator="lessThan" aboveAverage="0" dxfId="8" text="" percent="0" bottom="0">
      <formula>0</formula>
    </cfRule>
  </conditionalFormatting>
  <conditionalFormatting sqref="E463">
    <cfRule type="cellIs" rank="0" priority="1373" equalAverage="0" operator="greaterThan" aboveAverage="0" dxfId="7" text="" percent="0" bottom="0">
      <formula>0</formula>
    </cfRule>
  </conditionalFormatting>
  <conditionalFormatting sqref="F463">
    <cfRule type="cellIs" rank="0" priority="1374" equalAverage="0" operator="greaterThan" aboveAverage="0" dxfId="7" text="" percent="0" bottom="0">
      <formula>0</formula>
    </cfRule>
  </conditionalFormatting>
  <conditionalFormatting sqref="I463">
    <cfRule type="cellIs" rank="0" priority="1375" equalAverage="0" operator="lessThan" aboveAverage="0" dxfId="8" text="" percent="0" bottom="0">
      <formula>0</formula>
    </cfRule>
  </conditionalFormatting>
  <conditionalFormatting sqref="E464">
    <cfRule type="cellIs" rank="0" priority="1376" equalAverage="0" operator="greaterThan" aboveAverage="0" dxfId="7" text="" percent="0" bottom="0">
      <formula>0</formula>
    </cfRule>
  </conditionalFormatting>
  <conditionalFormatting sqref="F464">
    <cfRule type="cellIs" rank="0" priority="1377" equalAverage="0" operator="greaterThan" aboveAverage="0" dxfId="7" text="" percent="0" bottom="0">
      <formula>0</formula>
    </cfRule>
  </conditionalFormatting>
  <conditionalFormatting sqref="I464">
    <cfRule type="cellIs" rank="0" priority="1378" equalAverage="0" operator="lessThan" aboveAverage="0" dxfId="8" text="" percent="0" bottom="0">
      <formula>0</formula>
    </cfRule>
  </conditionalFormatting>
  <conditionalFormatting sqref="E465">
    <cfRule type="cellIs" rank="0" priority="1379" equalAverage="0" operator="greaterThan" aboveAverage="0" dxfId="7" text="" percent="0" bottom="0">
      <formula>0</formula>
    </cfRule>
  </conditionalFormatting>
  <conditionalFormatting sqref="F465">
    <cfRule type="cellIs" rank="0" priority="1380" equalAverage="0" operator="greaterThan" aboveAverage="0" dxfId="7" text="" percent="0" bottom="0">
      <formula>0</formula>
    </cfRule>
  </conditionalFormatting>
  <conditionalFormatting sqref="I465">
    <cfRule type="cellIs" rank="0" priority="1381" equalAverage="0" operator="lessThan" aboveAverage="0" dxfId="8" text="" percent="0" bottom="0">
      <formula>0</formula>
    </cfRule>
  </conditionalFormatting>
  <conditionalFormatting sqref="E466">
    <cfRule type="cellIs" rank="0" priority="1382" equalAverage="0" operator="greaterThan" aboveAverage="0" dxfId="7" text="" percent="0" bottom="0">
      <formula>0</formula>
    </cfRule>
  </conditionalFormatting>
  <conditionalFormatting sqref="F466">
    <cfRule type="cellIs" rank="0" priority="1383" equalAverage="0" operator="greaterThan" aboveAverage="0" dxfId="7" text="" percent="0" bottom="0">
      <formula>0</formula>
    </cfRule>
  </conditionalFormatting>
  <conditionalFormatting sqref="I466">
    <cfRule type="cellIs" rank="0" priority="1384" equalAverage="0" operator="lessThan" aboveAverage="0" dxfId="8" text="" percent="0" bottom="0">
      <formula>0</formula>
    </cfRule>
  </conditionalFormatting>
  <conditionalFormatting sqref="E467">
    <cfRule type="cellIs" rank="0" priority="1385" equalAverage="0" operator="greaterThan" aboveAverage="0" dxfId="7" text="" percent="0" bottom="0">
      <formula>0</formula>
    </cfRule>
  </conditionalFormatting>
  <conditionalFormatting sqref="F467">
    <cfRule type="cellIs" rank="0" priority="1386" equalAverage="0" operator="greaterThan" aboveAverage="0" dxfId="7" text="" percent="0" bottom="0">
      <formula>0</formula>
    </cfRule>
  </conditionalFormatting>
  <conditionalFormatting sqref="I467">
    <cfRule type="cellIs" rank="0" priority="1387" equalAverage="0" operator="lessThan" aboveAverage="0" dxfId="8" text="" percent="0" bottom="0">
      <formula>0</formula>
    </cfRule>
  </conditionalFormatting>
  <conditionalFormatting sqref="E468">
    <cfRule type="cellIs" rank="0" priority="1388" equalAverage="0" operator="greaterThan" aboveAverage="0" dxfId="7" text="" percent="0" bottom="0">
      <formula>0</formula>
    </cfRule>
  </conditionalFormatting>
  <conditionalFormatting sqref="F468">
    <cfRule type="cellIs" rank="0" priority="1389" equalAverage="0" operator="greaterThan" aboveAverage="0" dxfId="7" text="" percent="0" bottom="0">
      <formula>0</formula>
    </cfRule>
  </conditionalFormatting>
  <conditionalFormatting sqref="I468">
    <cfRule type="cellIs" rank="0" priority="1390" equalAverage="0" operator="lessThan" aboveAverage="0" dxfId="8" text="" percent="0" bottom="0">
      <formula>0</formula>
    </cfRule>
  </conditionalFormatting>
  <conditionalFormatting sqref="E469">
    <cfRule type="cellIs" rank="0" priority="1391" equalAverage="0" operator="greaterThan" aboveAverage="0" dxfId="7" text="" percent="0" bottom="0">
      <formula>0</formula>
    </cfRule>
  </conditionalFormatting>
  <conditionalFormatting sqref="F469">
    <cfRule type="cellIs" rank="0" priority="1392" equalAverage="0" operator="greaterThan" aboveAverage="0" dxfId="7" text="" percent="0" bottom="0">
      <formula>0</formula>
    </cfRule>
  </conditionalFormatting>
  <conditionalFormatting sqref="I469">
    <cfRule type="cellIs" rank="0" priority="1393" equalAverage="0" operator="lessThan" aboveAverage="0" dxfId="8" text="" percent="0" bottom="0">
      <formula>0</formula>
    </cfRule>
  </conditionalFormatting>
  <conditionalFormatting sqref="E470">
    <cfRule type="cellIs" rank="0" priority="1394" equalAverage="0" operator="greaterThan" aboveAverage="0" dxfId="7" text="" percent="0" bottom="0">
      <formula>0</formula>
    </cfRule>
  </conditionalFormatting>
  <conditionalFormatting sqref="F470">
    <cfRule type="cellIs" rank="0" priority="1395" equalAverage="0" operator="greaterThan" aboveAverage="0" dxfId="7" text="" percent="0" bottom="0">
      <formula>0</formula>
    </cfRule>
  </conditionalFormatting>
  <conditionalFormatting sqref="I470">
    <cfRule type="cellIs" rank="0" priority="1396" equalAverage="0" operator="lessThan" aboveAverage="0" dxfId="8" text="" percent="0" bottom="0">
      <formula>0</formula>
    </cfRule>
  </conditionalFormatting>
  <conditionalFormatting sqref="E471">
    <cfRule type="cellIs" rank="0" priority="1397" equalAverage="0" operator="greaterThan" aboveAverage="0" dxfId="7" text="" percent="0" bottom="0">
      <formula>0</formula>
    </cfRule>
  </conditionalFormatting>
  <conditionalFormatting sqref="F471">
    <cfRule type="cellIs" rank="0" priority="1398" equalAverage="0" operator="greaterThan" aboveAverage="0" dxfId="7" text="" percent="0" bottom="0">
      <formula>0</formula>
    </cfRule>
  </conditionalFormatting>
  <conditionalFormatting sqref="I471">
    <cfRule type="cellIs" rank="0" priority="1399" equalAverage="0" operator="lessThan" aboveAverage="0" dxfId="8" text="" percent="0" bottom="0">
      <formula>0</formula>
    </cfRule>
  </conditionalFormatting>
  <conditionalFormatting sqref="E472">
    <cfRule type="cellIs" rank="0" priority="1400" equalAverage="0" operator="greaterThan" aboveAverage="0" dxfId="7" text="" percent="0" bottom="0">
      <formula>0</formula>
    </cfRule>
  </conditionalFormatting>
  <conditionalFormatting sqref="F472">
    <cfRule type="cellIs" rank="0" priority="1401" equalAverage="0" operator="greaterThan" aboveAverage="0" dxfId="7" text="" percent="0" bottom="0">
      <formula>0</formula>
    </cfRule>
  </conditionalFormatting>
  <conditionalFormatting sqref="I472">
    <cfRule type="cellIs" rank="0" priority="1402" equalAverage="0" operator="lessThan" aboveAverage="0" dxfId="8" text="" percent="0" bottom="0">
      <formula>0</formula>
    </cfRule>
  </conditionalFormatting>
  <conditionalFormatting sqref="E473">
    <cfRule type="cellIs" rank="0" priority="1403" equalAverage="0" operator="greaterThan" aboveAverage="0" dxfId="7" text="" percent="0" bottom="0">
      <formula>0</formula>
    </cfRule>
  </conditionalFormatting>
  <conditionalFormatting sqref="F473">
    <cfRule type="cellIs" rank="0" priority="1404" equalAverage="0" operator="greaterThan" aboveAverage="0" dxfId="7" text="" percent="0" bottom="0">
      <formula>0</formula>
    </cfRule>
  </conditionalFormatting>
  <conditionalFormatting sqref="I473">
    <cfRule type="cellIs" rank="0" priority="1405" equalAverage="0" operator="lessThan" aboveAverage="0" dxfId="8" text="" percent="0" bottom="0">
      <formula>0</formula>
    </cfRule>
  </conditionalFormatting>
  <conditionalFormatting sqref="E474">
    <cfRule type="cellIs" rank="0" priority="1406" equalAverage="0" operator="greaterThan" aboveAverage="0" dxfId="7" text="" percent="0" bottom="0">
      <formula>0</formula>
    </cfRule>
  </conditionalFormatting>
  <conditionalFormatting sqref="F474">
    <cfRule type="cellIs" rank="0" priority="1407" equalAverage="0" operator="greaterThan" aboveAverage="0" dxfId="7" text="" percent="0" bottom="0">
      <formula>0</formula>
    </cfRule>
  </conditionalFormatting>
  <conditionalFormatting sqref="I474">
    <cfRule type="cellIs" rank="0" priority="1408" equalAverage="0" operator="lessThan" aboveAverage="0" dxfId="8" text="" percent="0" bottom="0">
      <formula>0</formula>
    </cfRule>
  </conditionalFormatting>
  <conditionalFormatting sqref="E475">
    <cfRule type="cellIs" rank="0" priority="1409" equalAverage="0" operator="greaterThan" aboveAverage="0" dxfId="7" text="" percent="0" bottom="0">
      <formula>0</formula>
    </cfRule>
  </conditionalFormatting>
  <conditionalFormatting sqref="F475">
    <cfRule type="cellIs" rank="0" priority="1410" equalAverage="0" operator="greaterThan" aboveAverage="0" dxfId="7" text="" percent="0" bottom="0">
      <formula>0</formula>
    </cfRule>
  </conditionalFormatting>
  <conditionalFormatting sqref="I475">
    <cfRule type="cellIs" rank="0" priority="1411" equalAverage="0" operator="lessThan" aboveAverage="0" dxfId="8" text="" percent="0" bottom="0">
      <formula>0</formula>
    </cfRule>
  </conditionalFormatting>
  <conditionalFormatting sqref="E476">
    <cfRule type="cellIs" rank="0" priority="1412" equalAverage="0" operator="greaterThan" aboveAverage="0" dxfId="7" text="" percent="0" bottom="0">
      <formula>0</formula>
    </cfRule>
  </conditionalFormatting>
  <conditionalFormatting sqref="F476">
    <cfRule type="cellIs" rank="0" priority="1413" equalAverage="0" operator="greaterThan" aboveAverage="0" dxfId="7" text="" percent="0" bottom="0">
      <formula>0</formula>
    </cfRule>
  </conditionalFormatting>
  <conditionalFormatting sqref="I476">
    <cfRule type="cellIs" rank="0" priority="1414" equalAverage="0" operator="lessThan" aboveAverage="0" dxfId="8" text="" percent="0" bottom="0">
      <formula>0</formula>
    </cfRule>
  </conditionalFormatting>
  <conditionalFormatting sqref="E477">
    <cfRule type="cellIs" rank="0" priority="1415" equalAverage="0" operator="greaterThan" aboveAverage="0" dxfId="7" text="" percent="0" bottom="0">
      <formula>0</formula>
    </cfRule>
  </conditionalFormatting>
  <conditionalFormatting sqref="F477">
    <cfRule type="cellIs" rank="0" priority="1416" equalAverage="0" operator="greaterThan" aboveAverage="0" dxfId="7" text="" percent="0" bottom="0">
      <formula>0</formula>
    </cfRule>
  </conditionalFormatting>
  <conditionalFormatting sqref="I477">
    <cfRule type="cellIs" rank="0" priority="1417" equalAverage="0" operator="lessThan" aboveAverage="0" dxfId="8" text="" percent="0" bottom="0">
      <formula>0</formula>
    </cfRule>
  </conditionalFormatting>
  <conditionalFormatting sqref="E478">
    <cfRule type="cellIs" rank="0" priority="1418" equalAverage="0" operator="greaterThan" aboveAverage="0" dxfId="7" text="" percent="0" bottom="0">
      <formula>0</formula>
    </cfRule>
  </conditionalFormatting>
  <conditionalFormatting sqref="F478">
    <cfRule type="cellIs" rank="0" priority="1419" equalAverage="0" operator="greaterThan" aboveAverage="0" dxfId="7" text="" percent="0" bottom="0">
      <formula>0</formula>
    </cfRule>
  </conditionalFormatting>
  <conditionalFormatting sqref="I478">
    <cfRule type="cellIs" rank="0" priority="1420" equalAverage="0" operator="lessThan" aboveAverage="0" dxfId="8" text="" percent="0" bottom="0">
      <formula>0</formula>
    </cfRule>
  </conditionalFormatting>
  <conditionalFormatting sqref="E479">
    <cfRule type="cellIs" rank="0" priority="1421" equalAverage="0" operator="greaterThan" aboveAverage="0" dxfId="7" text="" percent="0" bottom="0">
      <formula>0</formula>
    </cfRule>
  </conditionalFormatting>
  <conditionalFormatting sqref="F479">
    <cfRule type="cellIs" rank="0" priority="1422" equalAverage="0" operator="greaterThan" aboveAverage="0" dxfId="7" text="" percent="0" bottom="0">
      <formula>0</formula>
    </cfRule>
  </conditionalFormatting>
  <conditionalFormatting sqref="I479">
    <cfRule type="cellIs" rank="0" priority="1423" equalAverage="0" operator="lessThan" aboveAverage="0" dxfId="8" text="" percent="0" bottom="0">
      <formula>0</formula>
    </cfRule>
  </conditionalFormatting>
  <conditionalFormatting sqref="E480">
    <cfRule type="cellIs" rank="0" priority="1424" equalAverage="0" operator="greaterThan" aboveAverage="0" dxfId="7" text="" percent="0" bottom="0">
      <formula>0</formula>
    </cfRule>
  </conditionalFormatting>
  <conditionalFormatting sqref="F480">
    <cfRule type="cellIs" rank="0" priority="1425" equalAverage="0" operator="greaterThan" aboveAverage="0" dxfId="7" text="" percent="0" bottom="0">
      <formula>0</formula>
    </cfRule>
  </conditionalFormatting>
  <conditionalFormatting sqref="I480">
    <cfRule type="cellIs" rank="0" priority="1426" equalAverage="0" operator="lessThan" aboveAverage="0" dxfId="8" text="" percent="0" bottom="0">
      <formula>0</formula>
    </cfRule>
  </conditionalFormatting>
  <conditionalFormatting sqref="E481">
    <cfRule type="cellIs" rank="0" priority="1427" equalAverage="0" operator="greaterThan" aboveAverage="0" dxfId="7" text="" percent="0" bottom="0">
      <formula>0</formula>
    </cfRule>
  </conditionalFormatting>
  <conditionalFormatting sqref="F481">
    <cfRule type="cellIs" rank="0" priority="1428" equalAverage="0" operator="greaterThan" aboveAverage="0" dxfId="7" text="" percent="0" bottom="0">
      <formula>0</formula>
    </cfRule>
  </conditionalFormatting>
  <conditionalFormatting sqref="I481">
    <cfRule type="cellIs" rank="0" priority="1429" equalAverage="0" operator="lessThan" aboveAverage="0" dxfId="8" text="" percent="0" bottom="0">
      <formula>0</formula>
    </cfRule>
  </conditionalFormatting>
  <conditionalFormatting sqref="E482">
    <cfRule type="cellIs" rank="0" priority="1430" equalAverage="0" operator="greaterThan" aboveAverage="0" dxfId="7" text="" percent="0" bottom="0">
      <formula>0</formula>
    </cfRule>
  </conditionalFormatting>
  <conditionalFormatting sqref="F482">
    <cfRule type="cellIs" rank="0" priority="1431" equalAverage="0" operator="greaterThan" aboveAverage="0" dxfId="7" text="" percent="0" bottom="0">
      <formula>0</formula>
    </cfRule>
  </conditionalFormatting>
  <conditionalFormatting sqref="I482">
    <cfRule type="cellIs" rank="0" priority="1432" equalAverage="0" operator="lessThan" aboveAverage="0" dxfId="8" text="" percent="0" bottom="0">
      <formula>0</formula>
    </cfRule>
  </conditionalFormatting>
  <conditionalFormatting sqref="E483">
    <cfRule type="cellIs" rank="0" priority="1433" equalAverage="0" operator="greaterThan" aboveAverage="0" dxfId="7" text="" percent="0" bottom="0">
      <formula>0</formula>
    </cfRule>
  </conditionalFormatting>
  <conditionalFormatting sqref="F483">
    <cfRule type="cellIs" rank="0" priority="1434" equalAverage="0" operator="greaterThan" aboveAverage="0" dxfId="7" text="" percent="0" bottom="0">
      <formula>0</formula>
    </cfRule>
  </conditionalFormatting>
  <conditionalFormatting sqref="I483">
    <cfRule type="cellIs" rank="0" priority="1435" equalAverage="0" operator="lessThan" aboveAverage="0" dxfId="8" text="" percent="0" bottom="0">
      <formula>0</formula>
    </cfRule>
  </conditionalFormatting>
  <conditionalFormatting sqref="E484">
    <cfRule type="cellIs" rank="0" priority="1436" equalAverage="0" operator="greaterThan" aboveAverage="0" dxfId="7" text="" percent="0" bottom="0">
      <formula>0</formula>
    </cfRule>
  </conditionalFormatting>
  <conditionalFormatting sqref="F484">
    <cfRule type="cellIs" rank="0" priority="1437" equalAverage="0" operator="greaterThan" aboveAverage="0" dxfId="7" text="" percent="0" bottom="0">
      <formula>0</formula>
    </cfRule>
  </conditionalFormatting>
  <conditionalFormatting sqref="I484">
    <cfRule type="cellIs" rank="0" priority="1438" equalAverage="0" operator="lessThan" aboveAverage="0" dxfId="8" text="" percent="0" bottom="0">
      <formula>0</formula>
    </cfRule>
  </conditionalFormatting>
  <conditionalFormatting sqref="E485">
    <cfRule type="cellIs" rank="0" priority="1439" equalAverage="0" operator="greaterThan" aboveAverage="0" dxfId="7" text="" percent="0" bottom="0">
      <formula>0</formula>
    </cfRule>
  </conditionalFormatting>
  <conditionalFormatting sqref="F485">
    <cfRule type="cellIs" rank="0" priority="1440" equalAverage="0" operator="greaterThan" aboveAverage="0" dxfId="7" text="" percent="0" bottom="0">
      <formula>0</formula>
    </cfRule>
  </conditionalFormatting>
  <conditionalFormatting sqref="I485">
    <cfRule type="cellIs" rank="0" priority="1441" equalAverage="0" operator="lessThan" aboveAverage="0" dxfId="8" text="" percent="0" bottom="0">
      <formula>0</formula>
    </cfRule>
  </conditionalFormatting>
  <conditionalFormatting sqref="E486">
    <cfRule type="cellIs" rank="0" priority="1442" equalAverage="0" operator="greaterThan" aboveAverage="0" dxfId="7" text="" percent="0" bottom="0">
      <formula>0</formula>
    </cfRule>
  </conditionalFormatting>
  <conditionalFormatting sqref="F486">
    <cfRule type="cellIs" rank="0" priority="1443" equalAverage="0" operator="greaterThan" aboveAverage="0" dxfId="7" text="" percent="0" bottom="0">
      <formula>0</formula>
    </cfRule>
  </conditionalFormatting>
  <conditionalFormatting sqref="I486">
    <cfRule type="cellIs" rank="0" priority="1444" equalAverage="0" operator="lessThan" aboveAverage="0" dxfId="8" text="" percent="0" bottom="0">
      <formula>0</formula>
    </cfRule>
  </conditionalFormatting>
  <conditionalFormatting sqref="E487">
    <cfRule type="cellIs" rank="0" priority="1445" equalAverage="0" operator="greaterThan" aboveAverage="0" dxfId="7" text="" percent="0" bottom="0">
      <formula>0</formula>
    </cfRule>
  </conditionalFormatting>
  <conditionalFormatting sqref="F487">
    <cfRule type="cellIs" rank="0" priority="1446" equalAverage="0" operator="greaterThan" aboveAverage="0" dxfId="7" text="" percent="0" bottom="0">
      <formula>0</formula>
    </cfRule>
  </conditionalFormatting>
  <conditionalFormatting sqref="I487">
    <cfRule type="cellIs" rank="0" priority="1447" equalAverage="0" operator="lessThan" aboveAverage="0" dxfId="8" text="" percent="0" bottom="0">
      <formula>0</formula>
    </cfRule>
  </conditionalFormatting>
  <conditionalFormatting sqref="E488">
    <cfRule type="cellIs" rank="0" priority="1448" equalAverage="0" operator="greaterThan" aboveAverage="0" dxfId="7" text="" percent="0" bottom="0">
      <formula>0</formula>
    </cfRule>
  </conditionalFormatting>
  <conditionalFormatting sqref="F488">
    <cfRule type="cellIs" rank="0" priority="1449" equalAverage="0" operator="greaterThan" aboveAverage="0" dxfId="7" text="" percent="0" bottom="0">
      <formula>0</formula>
    </cfRule>
  </conditionalFormatting>
  <conditionalFormatting sqref="I488">
    <cfRule type="cellIs" rank="0" priority="1450" equalAverage="0" operator="lessThan" aboveAverage="0" dxfId="8" text="" percent="0" bottom="0">
      <formula>0</formula>
    </cfRule>
  </conditionalFormatting>
  <conditionalFormatting sqref="E489">
    <cfRule type="cellIs" rank="0" priority="1451" equalAverage="0" operator="greaterThan" aboveAverage="0" dxfId="7" text="" percent="0" bottom="0">
      <formula>0</formula>
    </cfRule>
  </conditionalFormatting>
  <conditionalFormatting sqref="F489">
    <cfRule type="cellIs" rank="0" priority="1452" equalAverage="0" operator="greaterThan" aboveAverage="0" dxfId="7" text="" percent="0" bottom="0">
      <formula>0</formula>
    </cfRule>
  </conditionalFormatting>
  <conditionalFormatting sqref="I489">
    <cfRule type="cellIs" rank="0" priority="1453" equalAverage="0" operator="lessThan" aboveAverage="0" dxfId="8" text="" percent="0" bottom="0">
      <formula>0</formula>
    </cfRule>
  </conditionalFormatting>
  <conditionalFormatting sqref="E490">
    <cfRule type="cellIs" rank="0" priority="1454" equalAverage="0" operator="greaterThan" aboveAverage="0" dxfId="7" text="" percent="0" bottom="0">
      <formula>0</formula>
    </cfRule>
  </conditionalFormatting>
  <conditionalFormatting sqref="F490">
    <cfRule type="cellIs" rank="0" priority="1455" equalAverage="0" operator="greaterThan" aboveAverage="0" dxfId="7" text="" percent="0" bottom="0">
      <formula>0</formula>
    </cfRule>
  </conditionalFormatting>
  <conditionalFormatting sqref="I490">
    <cfRule type="cellIs" rank="0" priority="1456" equalAverage="0" operator="lessThan" aboveAverage="0" dxfId="8" text="" percent="0" bottom="0">
      <formula>0</formula>
    </cfRule>
  </conditionalFormatting>
  <conditionalFormatting sqref="E491">
    <cfRule type="cellIs" rank="0" priority="1457" equalAverage="0" operator="greaterThan" aboveAverage="0" dxfId="7" text="" percent="0" bottom="0">
      <formula>0</formula>
    </cfRule>
  </conditionalFormatting>
  <conditionalFormatting sqref="F491">
    <cfRule type="cellIs" rank="0" priority="1458" equalAverage="0" operator="greaterThan" aboveAverage="0" dxfId="7" text="" percent="0" bottom="0">
      <formula>0</formula>
    </cfRule>
  </conditionalFormatting>
  <conditionalFormatting sqref="I491">
    <cfRule type="cellIs" rank="0" priority="1459" equalAverage="0" operator="lessThan" aboveAverage="0" dxfId="8" text="" percent="0" bottom="0">
      <formula>0</formula>
    </cfRule>
  </conditionalFormatting>
  <conditionalFormatting sqref="E492">
    <cfRule type="cellIs" rank="0" priority="1460" equalAverage="0" operator="greaterThan" aboveAverage="0" dxfId="7" text="" percent="0" bottom="0">
      <formula>0</formula>
    </cfRule>
  </conditionalFormatting>
  <conditionalFormatting sqref="F492">
    <cfRule type="cellIs" rank="0" priority="1461" equalAverage="0" operator="greaterThan" aboveAverage="0" dxfId="7" text="" percent="0" bottom="0">
      <formula>0</formula>
    </cfRule>
  </conditionalFormatting>
  <conditionalFormatting sqref="I492">
    <cfRule type="cellIs" rank="0" priority="1462" equalAverage="0" operator="lessThan" aboveAverage="0" dxfId="8" text="" percent="0" bottom="0">
      <formula>0</formula>
    </cfRule>
  </conditionalFormatting>
  <conditionalFormatting sqref="E493">
    <cfRule type="cellIs" rank="0" priority="1463" equalAverage="0" operator="greaterThan" aboveAverage="0" dxfId="7" text="" percent="0" bottom="0">
      <formula>0</formula>
    </cfRule>
  </conditionalFormatting>
  <conditionalFormatting sqref="F493">
    <cfRule type="cellIs" rank="0" priority="1464" equalAverage="0" operator="greaterThan" aboveAverage="0" dxfId="7" text="" percent="0" bottom="0">
      <formula>0</formula>
    </cfRule>
  </conditionalFormatting>
  <conditionalFormatting sqref="I493">
    <cfRule type="cellIs" rank="0" priority="1465" equalAverage="0" operator="lessThan" aboveAverage="0" dxfId="8" text="" percent="0" bottom="0">
      <formula>0</formula>
    </cfRule>
  </conditionalFormatting>
  <conditionalFormatting sqref="E494">
    <cfRule type="cellIs" rank="0" priority="1466" equalAverage="0" operator="greaterThan" aboveAverage="0" dxfId="7" text="" percent="0" bottom="0">
      <formula>0</formula>
    </cfRule>
  </conditionalFormatting>
  <conditionalFormatting sqref="F494">
    <cfRule type="cellIs" rank="0" priority="1467" equalAverage="0" operator="greaterThan" aboveAverage="0" dxfId="7" text="" percent="0" bottom="0">
      <formula>0</formula>
    </cfRule>
  </conditionalFormatting>
  <conditionalFormatting sqref="I494">
    <cfRule type="cellIs" rank="0" priority="1468" equalAverage="0" operator="lessThan" aboveAverage="0" dxfId="8" text="" percent="0" bottom="0">
      <formula>0</formula>
    </cfRule>
  </conditionalFormatting>
  <conditionalFormatting sqref="E495">
    <cfRule type="cellIs" rank="0" priority="1469" equalAverage="0" operator="greaterThan" aboveAverage="0" dxfId="7" text="" percent="0" bottom="0">
      <formula>0</formula>
    </cfRule>
  </conditionalFormatting>
  <conditionalFormatting sqref="F495">
    <cfRule type="cellIs" rank="0" priority="1470" equalAverage="0" operator="greaterThan" aboveAverage="0" dxfId="7" text="" percent="0" bottom="0">
      <formula>0</formula>
    </cfRule>
  </conditionalFormatting>
  <conditionalFormatting sqref="I495">
    <cfRule type="cellIs" rank="0" priority="1471" equalAverage="0" operator="lessThan" aboveAverage="0" dxfId="8" text="" percent="0" bottom="0">
      <formula>0</formula>
    </cfRule>
  </conditionalFormatting>
  <conditionalFormatting sqref="E496">
    <cfRule type="cellIs" rank="0" priority="1472" equalAverage="0" operator="greaterThan" aboveAverage="0" dxfId="7" text="" percent="0" bottom="0">
      <formula>0</formula>
    </cfRule>
  </conditionalFormatting>
  <conditionalFormatting sqref="F496">
    <cfRule type="cellIs" rank="0" priority="1473" equalAverage="0" operator="greaterThan" aboveAverage="0" dxfId="7" text="" percent="0" bottom="0">
      <formula>0</formula>
    </cfRule>
  </conditionalFormatting>
  <conditionalFormatting sqref="I496">
    <cfRule type="cellIs" rank="0" priority="1474" equalAverage="0" operator="lessThan" aboveAverage="0" dxfId="8" text="" percent="0" bottom="0">
      <formula>0</formula>
    </cfRule>
  </conditionalFormatting>
  <conditionalFormatting sqref="E497">
    <cfRule type="cellIs" rank="0" priority="1475" equalAverage="0" operator="greaterThan" aboveAverage="0" dxfId="7" text="" percent="0" bottom="0">
      <formula>0</formula>
    </cfRule>
  </conditionalFormatting>
  <conditionalFormatting sqref="F497">
    <cfRule type="cellIs" rank="0" priority="1476" equalAverage="0" operator="greaterThan" aboveAverage="0" dxfId="7" text="" percent="0" bottom="0">
      <formula>0</formula>
    </cfRule>
  </conditionalFormatting>
  <conditionalFormatting sqref="I497">
    <cfRule type="cellIs" rank="0" priority="1477" equalAverage="0" operator="lessThan" aboveAverage="0" dxfId="8" text="" percent="0" bottom="0">
      <formula>0</formula>
    </cfRule>
  </conditionalFormatting>
  <conditionalFormatting sqref="E498">
    <cfRule type="cellIs" rank="0" priority="1478" equalAverage="0" operator="greaterThan" aboveAverage="0" dxfId="7" text="" percent="0" bottom="0">
      <formula>0</formula>
    </cfRule>
  </conditionalFormatting>
  <conditionalFormatting sqref="F498">
    <cfRule type="cellIs" rank="0" priority="1479" equalAverage="0" operator="greaterThan" aboveAverage="0" dxfId="7" text="" percent="0" bottom="0">
      <formula>0</formula>
    </cfRule>
  </conditionalFormatting>
  <conditionalFormatting sqref="I498">
    <cfRule type="cellIs" rank="0" priority="1480" equalAverage="0" operator="lessThan" aboveAverage="0" dxfId="8" text="" percent="0" bottom="0">
      <formula>0</formula>
    </cfRule>
  </conditionalFormatting>
  <conditionalFormatting sqref="E499">
    <cfRule type="cellIs" rank="0" priority="1481" equalAverage="0" operator="greaterThan" aboveAverage="0" dxfId="7" text="" percent="0" bottom="0">
      <formula>0</formula>
    </cfRule>
  </conditionalFormatting>
  <conditionalFormatting sqref="F499">
    <cfRule type="cellIs" rank="0" priority="1482" equalAverage="0" operator="greaterThan" aboveAverage="0" dxfId="7" text="" percent="0" bottom="0">
      <formula>0</formula>
    </cfRule>
  </conditionalFormatting>
  <conditionalFormatting sqref="I499">
    <cfRule type="cellIs" rank="0" priority="1483" equalAverage="0" operator="lessThan" aboveAverage="0" dxfId="8" text="" percent="0" bottom="0">
      <formula>0</formula>
    </cfRule>
  </conditionalFormatting>
  <conditionalFormatting sqref="E500">
    <cfRule type="cellIs" rank="0" priority="1484" equalAverage="0" operator="greaterThan" aboveAverage="0" dxfId="7" text="" percent="0" bottom="0">
      <formula>0</formula>
    </cfRule>
  </conditionalFormatting>
  <conditionalFormatting sqref="F500">
    <cfRule type="cellIs" rank="0" priority="1485" equalAverage="0" operator="greaterThan" aboveAverage="0" dxfId="7" text="" percent="0" bottom="0">
      <formula>0</formula>
    </cfRule>
  </conditionalFormatting>
  <conditionalFormatting sqref="I500">
    <cfRule type="cellIs" rank="0" priority="1486" equalAverage="0" operator="lessThan" aboveAverage="0" dxfId="8" text="" percent="0" bottom="0">
      <formula>0</formula>
    </cfRule>
  </conditionalFormatting>
  <conditionalFormatting sqref="E501">
    <cfRule type="cellIs" rank="0" priority="1487" equalAverage="0" operator="greaterThan" aboveAverage="0" dxfId="7" text="" percent="0" bottom="0">
      <formula>0</formula>
    </cfRule>
  </conditionalFormatting>
  <conditionalFormatting sqref="F501">
    <cfRule type="cellIs" rank="0" priority="1488" equalAverage="0" operator="greaterThan" aboveAverage="0" dxfId="7" text="" percent="0" bottom="0">
      <formula>0</formula>
    </cfRule>
  </conditionalFormatting>
  <conditionalFormatting sqref="I501">
    <cfRule type="cellIs" rank="0" priority="1489" equalAverage="0" operator="lessThan" aboveAverage="0" dxfId="8" text="" percent="0" bottom="0">
      <formula>0</formula>
    </cfRule>
  </conditionalFormatting>
  <conditionalFormatting sqref="E502">
    <cfRule type="cellIs" rank="0" priority="1490" equalAverage="0" operator="greaterThan" aboveAverage="0" dxfId="7" text="" percent="0" bottom="0">
      <formula>0</formula>
    </cfRule>
  </conditionalFormatting>
  <conditionalFormatting sqref="F502">
    <cfRule type="cellIs" rank="0" priority="1491" equalAverage="0" operator="greaterThan" aboveAverage="0" dxfId="7" text="" percent="0" bottom="0">
      <formula>0</formula>
    </cfRule>
  </conditionalFormatting>
  <conditionalFormatting sqref="I502">
    <cfRule type="cellIs" rank="0" priority="1492" equalAverage="0" operator="lessThan" aboveAverage="0" dxfId="8" text="" percent="0" bottom="0">
      <formula>0</formula>
    </cfRule>
  </conditionalFormatting>
  <conditionalFormatting sqref="E503">
    <cfRule type="cellIs" rank="0" priority="1493" equalAverage="0" operator="greaterThan" aboveAverage="0" dxfId="7" text="" percent="0" bottom="0">
      <formula>0</formula>
    </cfRule>
  </conditionalFormatting>
  <conditionalFormatting sqref="F503">
    <cfRule type="cellIs" rank="0" priority="1494" equalAverage="0" operator="greaterThan" aboveAverage="0" dxfId="7" text="" percent="0" bottom="0">
      <formula>0</formula>
    </cfRule>
  </conditionalFormatting>
  <conditionalFormatting sqref="I503">
    <cfRule type="cellIs" rank="0" priority="1495" equalAverage="0" operator="lessThan" aboveAverage="0" dxfId="8" text="" percent="0" bottom="0">
      <formula>0</formula>
    </cfRule>
  </conditionalFormatting>
  <conditionalFormatting sqref="E504">
    <cfRule type="cellIs" rank="0" priority="1496" equalAverage="0" operator="greaterThan" aboveAverage="0" dxfId="7" text="" percent="0" bottom="0">
      <formula>0</formula>
    </cfRule>
  </conditionalFormatting>
  <conditionalFormatting sqref="F504">
    <cfRule type="cellIs" rank="0" priority="1497" equalAverage="0" operator="greaterThan" aboveAverage="0" dxfId="7" text="" percent="0" bottom="0">
      <formula>0</formula>
    </cfRule>
  </conditionalFormatting>
  <conditionalFormatting sqref="I504">
    <cfRule type="cellIs" rank="0" priority="1498" equalAverage="0" operator="lessThan" aboveAverage="0" dxfId="8" text="" percent="0" bottom="0">
      <formula>0</formula>
    </cfRule>
  </conditionalFormatting>
  <conditionalFormatting sqref="E505">
    <cfRule type="cellIs" rank="0" priority="1499" equalAverage="0" operator="greaterThan" aboveAverage="0" dxfId="7" text="" percent="0" bottom="0">
      <formula>0</formula>
    </cfRule>
  </conditionalFormatting>
  <conditionalFormatting sqref="F505">
    <cfRule type="cellIs" rank="0" priority="1500" equalAverage="0" operator="greaterThan" aboveAverage="0" dxfId="7" text="" percent="0" bottom="0">
      <formula>0</formula>
    </cfRule>
  </conditionalFormatting>
  <conditionalFormatting sqref="I505">
    <cfRule type="cellIs" rank="0" priority="1501" equalAverage="0" operator="lessThan" aboveAverage="0" dxfId="8" text="" percent="0" bottom="0">
      <formula>0</formula>
    </cfRule>
  </conditionalFormatting>
  <conditionalFormatting sqref="E506">
    <cfRule type="cellIs" rank="0" priority="1502" equalAverage="0" operator="greaterThan" aboveAverage="0" dxfId="7" text="" percent="0" bottom="0">
      <formula>0</formula>
    </cfRule>
  </conditionalFormatting>
  <conditionalFormatting sqref="F506">
    <cfRule type="cellIs" rank="0" priority="1503" equalAverage="0" operator="greaterThan" aboveAverage="0" dxfId="7" text="" percent="0" bottom="0">
      <formula>0</formula>
    </cfRule>
  </conditionalFormatting>
  <conditionalFormatting sqref="I506">
    <cfRule type="cellIs" rank="0" priority="1504" equalAverage="0" operator="lessThan" aboveAverage="0" dxfId="8" text="" percent="0" bottom="0">
      <formula>0</formula>
    </cfRule>
  </conditionalFormatting>
  <conditionalFormatting sqref="E507">
    <cfRule type="cellIs" rank="0" priority="1505" equalAverage="0" operator="greaterThan" aboveAverage="0" dxfId="7" text="" percent="0" bottom="0">
      <formula>0</formula>
    </cfRule>
  </conditionalFormatting>
  <conditionalFormatting sqref="F507">
    <cfRule type="cellIs" rank="0" priority="1506" equalAverage="0" operator="greaterThan" aboveAverage="0" dxfId="7" text="" percent="0" bottom="0">
      <formula>0</formula>
    </cfRule>
  </conditionalFormatting>
  <conditionalFormatting sqref="I507">
    <cfRule type="cellIs" rank="0" priority="1507" equalAverage="0" operator="lessThan" aboveAverage="0" dxfId="8" text="" percent="0" bottom="0">
      <formula>0</formula>
    </cfRule>
  </conditionalFormatting>
  <conditionalFormatting sqref="E508">
    <cfRule type="cellIs" rank="0" priority="1508" equalAverage="0" operator="greaterThan" aboveAverage="0" dxfId="7" text="" percent="0" bottom="0">
      <formula>0</formula>
    </cfRule>
  </conditionalFormatting>
  <conditionalFormatting sqref="F508">
    <cfRule type="cellIs" rank="0" priority="1509" equalAverage="0" operator="greaterThan" aboveAverage="0" dxfId="7" text="" percent="0" bottom="0">
      <formula>0</formula>
    </cfRule>
  </conditionalFormatting>
  <conditionalFormatting sqref="I508">
    <cfRule type="cellIs" rank="0" priority="1510" equalAverage="0" operator="lessThan" aboveAverage="0" dxfId="8" text="" percent="0" bottom="0">
      <formula>0</formula>
    </cfRule>
  </conditionalFormatting>
  <conditionalFormatting sqref="E509">
    <cfRule type="cellIs" rank="0" priority="1511" equalAverage="0" operator="greaterThan" aboveAverage="0" dxfId="7" text="" percent="0" bottom="0">
      <formula>0</formula>
    </cfRule>
  </conditionalFormatting>
  <conditionalFormatting sqref="F509">
    <cfRule type="cellIs" rank="0" priority="1512" equalAverage="0" operator="greaterThan" aboveAverage="0" dxfId="7" text="" percent="0" bottom="0">
      <formula>0</formula>
    </cfRule>
  </conditionalFormatting>
  <conditionalFormatting sqref="I509">
    <cfRule type="cellIs" rank="0" priority="1513" equalAverage="0" operator="lessThan" aboveAverage="0" dxfId="8" text="" percent="0" bottom="0">
      <formula>0</formula>
    </cfRule>
  </conditionalFormatting>
  <conditionalFormatting sqref="E510">
    <cfRule type="cellIs" rank="0" priority="1514" equalAverage="0" operator="greaterThan" aboveAverage="0" dxfId="7" text="" percent="0" bottom="0">
      <formula>0</formula>
    </cfRule>
  </conditionalFormatting>
  <conditionalFormatting sqref="F510">
    <cfRule type="cellIs" rank="0" priority="1515" equalAverage="0" operator="greaterThan" aboveAverage="0" dxfId="7" text="" percent="0" bottom="0">
      <formula>0</formula>
    </cfRule>
  </conditionalFormatting>
  <conditionalFormatting sqref="I510">
    <cfRule type="cellIs" rank="0" priority="1516" equalAverage="0" operator="lessThan" aboveAverage="0" dxfId="8" text="" percent="0" bottom="0">
      <formula>0</formula>
    </cfRule>
  </conditionalFormatting>
  <conditionalFormatting sqref="E511">
    <cfRule type="cellIs" rank="0" priority="1517" equalAverage="0" operator="greaterThan" aboveAverage="0" dxfId="7" text="" percent="0" bottom="0">
      <formula>0</formula>
    </cfRule>
  </conditionalFormatting>
  <conditionalFormatting sqref="F511">
    <cfRule type="cellIs" rank="0" priority="1518" equalAverage="0" operator="greaterThan" aboveAverage="0" dxfId="7" text="" percent="0" bottom="0">
      <formula>0</formula>
    </cfRule>
  </conditionalFormatting>
  <conditionalFormatting sqref="I511">
    <cfRule type="cellIs" rank="0" priority="1519" equalAverage="0" operator="lessThan" aboveAverage="0" dxfId="8" text="" percent="0" bottom="0">
      <formula>0</formula>
    </cfRule>
  </conditionalFormatting>
  <conditionalFormatting sqref="E512">
    <cfRule type="cellIs" rank="0" priority="1520" equalAverage="0" operator="greaterThan" aboveAverage="0" dxfId="7" text="" percent="0" bottom="0">
      <formula>0</formula>
    </cfRule>
  </conditionalFormatting>
  <conditionalFormatting sqref="F512">
    <cfRule type="cellIs" rank="0" priority="1521" equalAverage="0" operator="greaterThan" aboveAverage="0" dxfId="7" text="" percent="0" bottom="0">
      <formula>0</formula>
    </cfRule>
  </conditionalFormatting>
  <conditionalFormatting sqref="I512">
    <cfRule type="cellIs" rank="0" priority="1522" equalAverage="0" operator="lessThan" aboveAverage="0" dxfId="8" text="" percent="0" bottom="0">
      <formula>0</formula>
    </cfRule>
  </conditionalFormatting>
  <conditionalFormatting sqref="E513">
    <cfRule type="cellIs" rank="0" priority="1523" equalAverage="0" operator="greaterThan" aboveAverage="0" dxfId="7" text="" percent="0" bottom="0">
      <formula>0</formula>
    </cfRule>
  </conditionalFormatting>
  <conditionalFormatting sqref="F513">
    <cfRule type="cellIs" rank="0" priority="1524" equalAverage="0" operator="greaterThan" aboveAverage="0" dxfId="7" text="" percent="0" bottom="0">
      <formula>0</formula>
    </cfRule>
  </conditionalFormatting>
  <conditionalFormatting sqref="I513">
    <cfRule type="cellIs" rank="0" priority="1525" equalAverage="0" operator="lessThan" aboveAverage="0" dxfId="8" text="" percent="0" bottom="0">
      <formula>0</formula>
    </cfRule>
  </conditionalFormatting>
  <conditionalFormatting sqref="E514">
    <cfRule type="cellIs" rank="0" priority="1526" equalAverage="0" operator="greaterThan" aboveAverage="0" dxfId="7" text="" percent="0" bottom="0">
      <formula>0</formula>
    </cfRule>
  </conditionalFormatting>
  <conditionalFormatting sqref="F514">
    <cfRule type="cellIs" rank="0" priority="1527" equalAverage="0" operator="greaterThan" aboveAverage="0" dxfId="7" text="" percent="0" bottom="0">
      <formula>0</formula>
    </cfRule>
  </conditionalFormatting>
  <conditionalFormatting sqref="I514">
    <cfRule type="cellIs" rank="0" priority="1528" equalAverage="0" operator="lessThan" aboveAverage="0" dxfId="8" text="" percent="0" bottom="0">
      <formula>0</formula>
    </cfRule>
  </conditionalFormatting>
  <conditionalFormatting sqref="E515">
    <cfRule type="cellIs" rank="0" priority="1529" equalAverage="0" operator="greaterThan" aboveAverage="0" dxfId="7" text="" percent="0" bottom="0">
      <formula>0</formula>
    </cfRule>
  </conditionalFormatting>
  <conditionalFormatting sqref="F515">
    <cfRule type="cellIs" rank="0" priority="1530" equalAverage="0" operator="greaterThan" aboveAverage="0" dxfId="7" text="" percent="0" bottom="0">
      <formula>0</formula>
    </cfRule>
  </conditionalFormatting>
  <conditionalFormatting sqref="I515">
    <cfRule type="cellIs" rank="0" priority="1531" equalAverage="0" operator="lessThan" aboveAverage="0" dxfId="8" text="" percent="0" bottom="0">
      <formula>0</formula>
    </cfRule>
  </conditionalFormatting>
  <conditionalFormatting sqref="E516">
    <cfRule type="cellIs" rank="0" priority="1532" equalAverage="0" operator="greaterThan" aboveAverage="0" dxfId="7" text="" percent="0" bottom="0">
      <formula>0</formula>
    </cfRule>
  </conditionalFormatting>
  <conditionalFormatting sqref="F516">
    <cfRule type="cellIs" rank="0" priority="1533" equalAverage="0" operator="greaterThan" aboveAverage="0" dxfId="7" text="" percent="0" bottom="0">
      <formula>0</formula>
    </cfRule>
  </conditionalFormatting>
  <conditionalFormatting sqref="I516">
    <cfRule type="cellIs" rank="0" priority="1534" equalAverage="0" operator="lessThan" aboveAverage="0" dxfId="8" text="" percent="0" bottom="0">
      <formula>0</formula>
    </cfRule>
  </conditionalFormatting>
  <conditionalFormatting sqref="E517">
    <cfRule type="cellIs" rank="0" priority="1535" equalAverage="0" operator="greaterThan" aboveAverage="0" dxfId="7" text="" percent="0" bottom="0">
      <formula>0</formula>
    </cfRule>
  </conditionalFormatting>
  <conditionalFormatting sqref="F517">
    <cfRule type="cellIs" rank="0" priority="1536" equalAverage="0" operator="greaterThan" aboveAverage="0" dxfId="7" text="" percent="0" bottom="0">
      <formula>0</formula>
    </cfRule>
  </conditionalFormatting>
  <conditionalFormatting sqref="I517">
    <cfRule type="cellIs" rank="0" priority="1537" equalAverage="0" operator="lessThan" aboveAverage="0" dxfId="8" text="" percent="0" bottom="0">
      <formula>0</formula>
    </cfRule>
  </conditionalFormatting>
  <conditionalFormatting sqref="E518">
    <cfRule type="cellIs" rank="0" priority="1538" equalAverage="0" operator="greaterThan" aboveAverage="0" dxfId="7" text="" percent="0" bottom="0">
      <formula>0</formula>
    </cfRule>
  </conditionalFormatting>
  <conditionalFormatting sqref="F518">
    <cfRule type="cellIs" rank="0" priority="1539" equalAverage="0" operator="greaterThan" aboveAverage="0" dxfId="7" text="" percent="0" bottom="0">
      <formula>0</formula>
    </cfRule>
  </conditionalFormatting>
  <conditionalFormatting sqref="I518">
    <cfRule type="cellIs" rank="0" priority="1540" equalAverage="0" operator="lessThan" aboveAverage="0" dxfId="8" text="" percent="0" bottom="0">
      <formula>0</formula>
    </cfRule>
  </conditionalFormatting>
  <conditionalFormatting sqref="E519">
    <cfRule type="cellIs" rank="0" priority="1541" equalAverage="0" operator="greaterThan" aboveAverage="0" dxfId="7" text="" percent="0" bottom="0">
      <formula>0</formula>
    </cfRule>
  </conditionalFormatting>
  <conditionalFormatting sqref="F519">
    <cfRule type="cellIs" rank="0" priority="1542" equalAverage="0" operator="greaterThan" aboveAverage="0" dxfId="7" text="" percent="0" bottom="0">
      <formula>0</formula>
    </cfRule>
  </conditionalFormatting>
  <conditionalFormatting sqref="I519">
    <cfRule type="cellIs" rank="0" priority="1543" equalAverage="0" operator="lessThan" aboveAverage="0" dxfId="8" text="" percent="0" bottom="0">
      <formula>0</formula>
    </cfRule>
  </conditionalFormatting>
  <conditionalFormatting sqref="E520">
    <cfRule type="cellIs" rank="0" priority="1544" equalAverage="0" operator="greaterThan" aboveAverage="0" dxfId="7" text="" percent="0" bottom="0">
      <formula>0</formula>
    </cfRule>
  </conditionalFormatting>
  <conditionalFormatting sqref="F520">
    <cfRule type="cellIs" rank="0" priority="1545" equalAverage="0" operator="greaterThan" aboveAverage="0" dxfId="7" text="" percent="0" bottom="0">
      <formula>0</formula>
    </cfRule>
  </conditionalFormatting>
  <conditionalFormatting sqref="I520">
    <cfRule type="cellIs" rank="0" priority="1546" equalAverage="0" operator="lessThan" aboveAverage="0" dxfId="8" text="" percent="0" bottom="0">
      <formula>0</formula>
    </cfRule>
  </conditionalFormatting>
  <conditionalFormatting sqref="E521">
    <cfRule type="cellIs" rank="0" priority="1547" equalAverage="0" operator="greaterThan" aboveAverage="0" dxfId="7" text="" percent="0" bottom="0">
      <formula>0</formula>
    </cfRule>
  </conditionalFormatting>
  <conditionalFormatting sqref="F521">
    <cfRule type="cellIs" rank="0" priority="1548" equalAverage="0" operator="greaterThan" aboveAverage="0" dxfId="7" text="" percent="0" bottom="0">
      <formula>0</formula>
    </cfRule>
  </conditionalFormatting>
  <conditionalFormatting sqref="I521">
    <cfRule type="cellIs" rank="0" priority="1549" equalAverage="0" operator="lessThan" aboveAverage="0" dxfId="8" text="" percent="0" bottom="0">
      <formula>0</formula>
    </cfRule>
  </conditionalFormatting>
  <conditionalFormatting sqref="E522">
    <cfRule type="cellIs" rank="0" priority="1550" equalAverage="0" operator="greaterThan" aboveAverage="0" dxfId="7" text="" percent="0" bottom="0">
      <formula>0</formula>
    </cfRule>
  </conditionalFormatting>
  <conditionalFormatting sqref="F522">
    <cfRule type="cellIs" rank="0" priority="1551" equalAverage="0" operator="greaterThan" aboveAverage="0" dxfId="7" text="" percent="0" bottom="0">
      <formula>0</formula>
    </cfRule>
  </conditionalFormatting>
  <conditionalFormatting sqref="I522">
    <cfRule type="cellIs" rank="0" priority="1552" equalAverage="0" operator="lessThan" aboveAverage="0" dxfId="8" text="" percent="0" bottom="0">
      <formula>0</formula>
    </cfRule>
  </conditionalFormatting>
  <conditionalFormatting sqref="E523">
    <cfRule type="cellIs" rank="0" priority="1553" equalAverage="0" operator="greaterThan" aboveAverage="0" dxfId="7" text="" percent="0" bottom="0">
      <formula>0</formula>
    </cfRule>
  </conditionalFormatting>
  <conditionalFormatting sqref="F523">
    <cfRule type="cellIs" rank="0" priority="1554" equalAverage="0" operator="greaterThan" aboveAverage="0" dxfId="7" text="" percent="0" bottom="0">
      <formula>0</formula>
    </cfRule>
  </conditionalFormatting>
  <conditionalFormatting sqref="I523">
    <cfRule type="cellIs" rank="0" priority="1555" equalAverage="0" operator="lessThan" aboveAverage="0" dxfId="8" text="" percent="0" bottom="0">
      <formula>0</formula>
    </cfRule>
  </conditionalFormatting>
  <conditionalFormatting sqref="E524">
    <cfRule type="cellIs" rank="0" priority="1556" equalAverage="0" operator="greaterThan" aboveAverage="0" dxfId="7" text="" percent="0" bottom="0">
      <formula>0</formula>
    </cfRule>
  </conditionalFormatting>
  <conditionalFormatting sqref="F524">
    <cfRule type="cellIs" rank="0" priority="1557" equalAverage="0" operator="greaterThan" aboveAverage="0" dxfId="7" text="" percent="0" bottom="0">
      <formula>0</formula>
    </cfRule>
  </conditionalFormatting>
  <conditionalFormatting sqref="I524">
    <cfRule type="cellIs" rank="0" priority="1558" equalAverage="0" operator="lessThan" aboveAverage="0" dxfId="8" text="" percent="0" bottom="0">
      <formula>0</formula>
    </cfRule>
  </conditionalFormatting>
  <conditionalFormatting sqref="E525">
    <cfRule type="cellIs" rank="0" priority="1559" equalAverage="0" operator="greaterThan" aboveAverage="0" dxfId="7" text="" percent="0" bottom="0">
      <formula>0</formula>
    </cfRule>
  </conditionalFormatting>
  <conditionalFormatting sqref="F525">
    <cfRule type="cellIs" rank="0" priority="1560" equalAverage="0" operator="greaterThan" aboveAverage="0" dxfId="7" text="" percent="0" bottom="0">
      <formula>0</formula>
    </cfRule>
  </conditionalFormatting>
  <conditionalFormatting sqref="I525">
    <cfRule type="cellIs" rank="0" priority="1561" equalAverage="0" operator="lessThan" aboveAverage="0" dxfId="8" text="" percent="0" bottom="0">
      <formula>0</formula>
    </cfRule>
  </conditionalFormatting>
  <conditionalFormatting sqref="E526">
    <cfRule type="cellIs" rank="0" priority="1562" equalAverage="0" operator="greaterThan" aboveAverage="0" dxfId="7" text="" percent="0" bottom="0">
      <formula>0</formula>
    </cfRule>
  </conditionalFormatting>
  <conditionalFormatting sqref="F526">
    <cfRule type="cellIs" rank="0" priority="1563" equalAverage="0" operator="greaterThan" aboveAverage="0" dxfId="7" text="" percent="0" bottom="0">
      <formula>0</formula>
    </cfRule>
  </conditionalFormatting>
  <conditionalFormatting sqref="I526">
    <cfRule type="cellIs" rank="0" priority="1564" equalAverage="0" operator="lessThan" aboveAverage="0" dxfId="8" text="" percent="0" bottom="0">
      <formula>0</formula>
    </cfRule>
  </conditionalFormatting>
  <conditionalFormatting sqref="E527">
    <cfRule type="cellIs" rank="0" priority="1565" equalAverage="0" operator="greaterThan" aboveAverage="0" dxfId="7" text="" percent="0" bottom="0">
      <formula>0</formula>
    </cfRule>
  </conditionalFormatting>
  <conditionalFormatting sqref="F527">
    <cfRule type="cellIs" rank="0" priority="1566" equalAverage="0" operator="greaterThan" aboveAverage="0" dxfId="7" text="" percent="0" bottom="0">
      <formula>0</formula>
    </cfRule>
  </conditionalFormatting>
  <conditionalFormatting sqref="I527">
    <cfRule type="cellIs" rank="0" priority="1567" equalAverage="0" operator="lessThan" aboveAverage="0" dxfId="8" text="" percent="0" bottom="0">
      <formula>0</formula>
    </cfRule>
  </conditionalFormatting>
  <conditionalFormatting sqref="E528">
    <cfRule type="cellIs" rank="0" priority="1568" equalAverage="0" operator="greaterThan" aboveAverage="0" dxfId="7" text="" percent="0" bottom="0">
      <formula>0</formula>
    </cfRule>
  </conditionalFormatting>
  <conditionalFormatting sqref="F528">
    <cfRule type="cellIs" rank="0" priority="1569" equalAverage="0" operator="greaterThan" aboveAverage="0" dxfId="7" text="" percent="0" bottom="0">
      <formula>0</formula>
    </cfRule>
  </conditionalFormatting>
  <conditionalFormatting sqref="I528">
    <cfRule type="cellIs" rank="0" priority="1570" equalAverage="0" operator="lessThan" aboveAverage="0" dxfId="8" text="" percent="0" bottom="0">
      <formula>0</formula>
    </cfRule>
  </conditionalFormatting>
  <conditionalFormatting sqref="E529">
    <cfRule type="cellIs" rank="0" priority="1571" equalAverage="0" operator="greaterThan" aboveAverage="0" dxfId="7" text="" percent="0" bottom="0">
      <formula>0</formula>
    </cfRule>
  </conditionalFormatting>
  <conditionalFormatting sqref="F529">
    <cfRule type="cellIs" rank="0" priority="1572" equalAverage="0" operator="greaterThan" aboveAverage="0" dxfId="7" text="" percent="0" bottom="0">
      <formula>0</formula>
    </cfRule>
  </conditionalFormatting>
  <conditionalFormatting sqref="I529">
    <cfRule type="cellIs" rank="0" priority="1573" equalAverage="0" operator="lessThan" aboveAverage="0" dxfId="8" text="" percent="0" bottom="0">
      <formula>0</formula>
    </cfRule>
  </conditionalFormatting>
  <conditionalFormatting sqref="E530">
    <cfRule type="cellIs" rank="0" priority="1574" equalAverage="0" operator="greaterThan" aboveAverage="0" dxfId="7" text="" percent="0" bottom="0">
      <formula>0</formula>
    </cfRule>
  </conditionalFormatting>
  <conditionalFormatting sqref="F530">
    <cfRule type="cellIs" rank="0" priority="1575" equalAverage="0" operator="greaterThan" aboveAverage="0" dxfId="7" text="" percent="0" bottom="0">
      <formula>0</formula>
    </cfRule>
  </conditionalFormatting>
  <conditionalFormatting sqref="I530">
    <cfRule type="cellIs" rank="0" priority="1576" equalAverage="0" operator="lessThan" aboveAverage="0" dxfId="8" text="" percent="0" bottom="0">
      <formula>0</formula>
    </cfRule>
  </conditionalFormatting>
  <conditionalFormatting sqref="E531">
    <cfRule type="cellIs" rank="0" priority="1577" equalAverage="0" operator="greaterThan" aboveAverage="0" dxfId="7" text="" percent="0" bottom="0">
      <formula>0</formula>
    </cfRule>
  </conditionalFormatting>
  <conditionalFormatting sqref="F531">
    <cfRule type="cellIs" rank="0" priority="1578" equalAverage="0" operator="greaterThan" aboveAverage="0" dxfId="7" text="" percent="0" bottom="0">
      <formula>0</formula>
    </cfRule>
  </conditionalFormatting>
  <conditionalFormatting sqref="I531">
    <cfRule type="cellIs" rank="0" priority="1579" equalAverage="0" operator="lessThan" aboveAverage="0" dxfId="8" text="" percent="0" bottom="0">
      <formula>0</formula>
    </cfRule>
  </conditionalFormatting>
  <conditionalFormatting sqref="E532">
    <cfRule type="cellIs" rank="0" priority="1580" equalAverage="0" operator="greaterThan" aboveAverage="0" dxfId="7" text="" percent="0" bottom="0">
      <formula>0</formula>
    </cfRule>
  </conditionalFormatting>
  <conditionalFormatting sqref="F532">
    <cfRule type="cellIs" rank="0" priority="1581" equalAverage="0" operator="greaterThan" aboveAverage="0" dxfId="7" text="" percent="0" bottom="0">
      <formula>0</formula>
    </cfRule>
  </conditionalFormatting>
  <conditionalFormatting sqref="I532">
    <cfRule type="cellIs" rank="0" priority="1582" equalAverage="0" operator="lessThan" aboveAverage="0" dxfId="8" text="" percent="0" bottom="0">
      <formula>0</formula>
    </cfRule>
  </conditionalFormatting>
  <conditionalFormatting sqref="E533">
    <cfRule type="cellIs" rank="0" priority="1583" equalAverage="0" operator="greaterThan" aboveAverage="0" dxfId="7" text="" percent="0" bottom="0">
      <formula>0</formula>
    </cfRule>
  </conditionalFormatting>
  <conditionalFormatting sqref="F533">
    <cfRule type="cellIs" rank="0" priority="1584" equalAverage="0" operator="greaterThan" aboveAverage="0" dxfId="7" text="" percent="0" bottom="0">
      <formula>0</formula>
    </cfRule>
  </conditionalFormatting>
  <conditionalFormatting sqref="I533">
    <cfRule type="cellIs" rank="0" priority="1585" equalAverage="0" operator="lessThan" aboveAverage="0" dxfId="8" text="" percent="0" bottom="0">
      <formula>0</formula>
    </cfRule>
  </conditionalFormatting>
  <conditionalFormatting sqref="E534">
    <cfRule type="cellIs" rank="0" priority="1586" equalAverage="0" operator="greaterThan" aboveAverage="0" dxfId="7" text="" percent="0" bottom="0">
      <formula>0</formula>
    </cfRule>
  </conditionalFormatting>
  <conditionalFormatting sqref="F534">
    <cfRule type="cellIs" rank="0" priority="1587" equalAverage="0" operator="greaterThan" aboveAverage="0" dxfId="7" text="" percent="0" bottom="0">
      <formula>0</formula>
    </cfRule>
  </conditionalFormatting>
  <conditionalFormatting sqref="I534">
    <cfRule type="cellIs" rank="0" priority="1588" equalAverage="0" operator="lessThan" aboveAverage="0" dxfId="8" text="" percent="0" bottom="0">
      <formula>0</formula>
    </cfRule>
  </conditionalFormatting>
  <conditionalFormatting sqref="E535">
    <cfRule type="cellIs" rank="0" priority="1589" equalAverage="0" operator="greaterThan" aboveAverage="0" dxfId="7" text="" percent="0" bottom="0">
      <formula>0</formula>
    </cfRule>
  </conditionalFormatting>
  <conditionalFormatting sqref="F535">
    <cfRule type="cellIs" rank="0" priority="1590" equalAverage="0" operator="greaterThan" aboveAverage="0" dxfId="7" text="" percent="0" bottom="0">
      <formula>0</formula>
    </cfRule>
  </conditionalFormatting>
  <conditionalFormatting sqref="I535">
    <cfRule type="cellIs" rank="0" priority="1591" equalAverage="0" operator="lessThan" aboveAverage="0" dxfId="8" text="" percent="0" bottom="0">
      <formula>0</formula>
    </cfRule>
  </conditionalFormatting>
  <conditionalFormatting sqref="E536">
    <cfRule type="cellIs" rank="0" priority="1592" equalAverage="0" operator="greaterThan" aboveAverage="0" dxfId="7" text="" percent="0" bottom="0">
      <formula>0</formula>
    </cfRule>
  </conditionalFormatting>
  <conditionalFormatting sqref="F536">
    <cfRule type="cellIs" rank="0" priority="1593" equalAverage="0" operator="greaterThan" aboveAverage="0" dxfId="7" text="" percent="0" bottom="0">
      <formula>0</formula>
    </cfRule>
  </conditionalFormatting>
  <conditionalFormatting sqref="I536">
    <cfRule type="cellIs" rank="0" priority="1594" equalAverage="0" operator="lessThan" aboveAverage="0" dxfId="8" text="" percent="0" bottom="0">
      <formula>0</formula>
    </cfRule>
  </conditionalFormatting>
  <conditionalFormatting sqref="E537">
    <cfRule type="cellIs" rank="0" priority="1595" equalAverage="0" operator="greaterThan" aboveAverage="0" dxfId="7" text="" percent="0" bottom="0">
      <formula>0</formula>
    </cfRule>
  </conditionalFormatting>
  <conditionalFormatting sqref="F537">
    <cfRule type="cellIs" rank="0" priority="1596" equalAverage="0" operator="greaterThan" aboveAverage="0" dxfId="7" text="" percent="0" bottom="0">
      <formula>0</formula>
    </cfRule>
  </conditionalFormatting>
  <conditionalFormatting sqref="I537">
    <cfRule type="cellIs" rank="0" priority="1597" equalAverage="0" operator="lessThan" aboveAverage="0" dxfId="8" text="" percent="0" bottom="0">
      <formula>0</formula>
    </cfRule>
  </conditionalFormatting>
  <conditionalFormatting sqref="E538">
    <cfRule type="cellIs" rank="0" priority="1598" equalAverage="0" operator="greaterThan" aboveAverage="0" dxfId="7" text="" percent="0" bottom="0">
      <formula>0</formula>
    </cfRule>
  </conditionalFormatting>
  <conditionalFormatting sqref="F538">
    <cfRule type="cellIs" rank="0" priority="1599" equalAverage="0" operator="greaterThan" aboveAverage="0" dxfId="7" text="" percent="0" bottom="0">
      <formula>0</formula>
    </cfRule>
  </conditionalFormatting>
  <conditionalFormatting sqref="I538">
    <cfRule type="cellIs" rank="0" priority="1600" equalAverage="0" operator="lessThan" aboveAverage="0" dxfId="8" text="" percent="0" bottom="0">
      <formula>0</formula>
    </cfRule>
  </conditionalFormatting>
  <conditionalFormatting sqref="E539">
    <cfRule type="cellIs" rank="0" priority="1601" equalAverage="0" operator="greaterThan" aboveAverage="0" dxfId="7" text="" percent="0" bottom="0">
      <formula>0</formula>
    </cfRule>
  </conditionalFormatting>
  <conditionalFormatting sqref="F539">
    <cfRule type="cellIs" rank="0" priority="1602" equalAverage="0" operator="greaterThan" aboveAverage="0" dxfId="7" text="" percent="0" bottom="0">
      <formula>0</formula>
    </cfRule>
  </conditionalFormatting>
  <conditionalFormatting sqref="I539">
    <cfRule type="cellIs" rank="0" priority="1603" equalAverage="0" operator="lessThan" aboveAverage="0" dxfId="8" text="" percent="0" bottom="0">
      <formula>0</formula>
    </cfRule>
  </conditionalFormatting>
  <conditionalFormatting sqref="E540">
    <cfRule type="cellIs" rank="0" priority="1604" equalAverage="0" operator="greaterThan" aboveAverage="0" dxfId="7" text="" percent="0" bottom="0">
      <formula>0</formula>
    </cfRule>
  </conditionalFormatting>
  <conditionalFormatting sqref="F540">
    <cfRule type="cellIs" rank="0" priority="1605" equalAverage="0" operator="greaterThan" aboveAverage="0" dxfId="7" text="" percent="0" bottom="0">
      <formula>0</formula>
    </cfRule>
  </conditionalFormatting>
  <conditionalFormatting sqref="I540">
    <cfRule type="cellIs" rank="0" priority="1606" equalAverage="0" operator="lessThan" aboveAverage="0" dxfId="8" text="" percent="0" bottom="0">
      <formula>0</formula>
    </cfRule>
  </conditionalFormatting>
  <conditionalFormatting sqref="E541">
    <cfRule type="cellIs" rank="0" priority="1607" equalAverage="0" operator="greaterThan" aboveAverage="0" dxfId="7" text="" percent="0" bottom="0">
      <formula>0</formula>
    </cfRule>
  </conditionalFormatting>
  <conditionalFormatting sqref="F541">
    <cfRule type="cellIs" rank="0" priority="1608" equalAverage="0" operator="greaterThan" aboveAverage="0" dxfId="7" text="" percent="0" bottom="0">
      <formula>0</formula>
    </cfRule>
  </conditionalFormatting>
  <conditionalFormatting sqref="I541">
    <cfRule type="cellIs" rank="0" priority="1609" equalAverage="0" operator="lessThan" aboveAverage="0" dxfId="8" text="" percent="0" bottom="0">
      <formula>0</formula>
    </cfRule>
  </conditionalFormatting>
  <conditionalFormatting sqref="E542">
    <cfRule type="cellIs" rank="0" priority="1610" equalAverage="0" operator="greaterThan" aboveAverage="0" dxfId="7" text="" percent="0" bottom="0">
      <formula>0</formula>
    </cfRule>
  </conditionalFormatting>
  <conditionalFormatting sqref="F542">
    <cfRule type="cellIs" rank="0" priority="1611" equalAverage="0" operator="greaterThan" aboveAverage="0" dxfId="7" text="" percent="0" bottom="0">
      <formula>0</formula>
    </cfRule>
  </conditionalFormatting>
  <conditionalFormatting sqref="I542">
    <cfRule type="cellIs" rank="0" priority="1612" equalAverage="0" operator="lessThan" aboveAverage="0" dxfId="8" text="" percent="0" bottom="0">
      <formula>0</formula>
    </cfRule>
  </conditionalFormatting>
  <conditionalFormatting sqref="E543">
    <cfRule type="cellIs" rank="0" priority="1613" equalAverage="0" operator="greaterThan" aboveAverage="0" dxfId="7" text="" percent="0" bottom="0">
      <formula>0</formula>
    </cfRule>
  </conditionalFormatting>
  <conditionalFormatting sqref="F543">
    <cfRule type="cellIs" rank="0" priority="1614" equalAverage="0" operator="greaterThan" aboveAverage="0" dxfId="7" text="" percent="0" bottom="0">
      <formula>0</formula>
    </cfRule>
  </conditionalFormatting>
  <conditionalFormatting sqref="I543">
    <cfRule type="cellIs" rank="0" priority="1615" equalAverage="0" operator="lessThan" aboveAverage="0" dxfId="8" text="" percent="0" bottom="0">
      <formula>0</formula>
    </cfRule>
  </conditionalFormatting>
  <conditionalFormatting sqref="E544">
    <cfRule type="cellIs" rank="0" priority="1616" equalAverage="0" operator="greaterThan" aboveAverage="0" dxfId="7" text="" percent="0" bottom="0">
      <formula>0</formula>
    </cfRule>
  </conditionalFormatting>
  <conditionalFormatting sqref="F544">
    <cfRule type="cellIs" rank="0" priority="1617" equalAverage="0" operator="greaterThan" aboveAverage="0" dxfId="7" text="" percent="0" bottom="0">
      <formula>0</formula>
    </cfRule>
  </conditionalFormatting>
  <conditionalFormatting sqref="I544">
    <cfRule type="cellIs" rank="0" priority="1618" equalAverage="0" operator="lessThan" aboveAverage="0" dxfId="8" text="" percent="0" bottom="0">
      <formula>0</formula>
    </cfRule>
  </conditionalFormatting>
  <conditionalFormatting sqref="E545">
    <cfRule type="cellIs" rank="0" priority="1619" equalAverage="0" operator="greaterThan" aboveAverage="0" dxfId="7" text="" percent="0" bottom="0">
      <formula>0</formula>
    </cfRule>
  </conditionalFormatting>
  <conditionalFormatting sqref="F545">
    <cfRule type="cellIs" rank="0" priority="1620" equalAverage="0" operator="greaterThan" aboveAverage="0" dxfId="7" text="" percent="0" bottom="0">
      <formula>0</formula>
    </cfRule>
  </conditionalFormatting>
  <conditionalFormatting sqref="I545">
    <cfRule type="cellIs" rank="0" priority="1621" equalAverage="0" operator="lessThan" aboveAverage="0" dxfId="8" text="" percent="0" bottom="0">
      <formula>0</formula>
    </cfRule>
  </conditionalFormatting>
  <conditionalFormatting sqref="E546">
    <cfRule type="cellIs" rank="0" priority="1622" equalAverage="0" operator="greaterThan" aboveAverage="0" dxfId="7" text="" percent="0" bottom="0">
      <formula>0</formula>
    </cfRule>
  </conditionalFormatting>
  <conditionalFormatting sqref="F546">
    <cfRule type="cellIs" rank="0" priority="1623" equalAverage="0" operator="greaterThan" aboveAverage="0" dxfId="7" text="" percent="0" bottom="0">
      <formula>0</formula>
    </cfRule>
  </conditionalFormatting>
  <conditionalFormatting sqref="I546">
    <cfRule type="cellIs" rank="0" priority="1624" equalAverage="0" operator="lessThan" aboveAverage="0" dxfId="8" text="" percent="0" bottom="0">
      <formula>0</formula>
    </cfRule>
  </conditionalFormatting>
  <conditionalFormatting sqref="E547">
    <cfRule type="cellIs" rank="0" priority="1625" equalAverage="0" operator="greaterThan" aboveAverage="0" dxfId="7" text="" percent="0" bottom="0">
      <formula>0</formula>
    </cfRule>
  </conditionalFormatting>
  <conditionalFormatting sqref="F547">
    <cfRule type="cellIs" rank="0" priority="1626" equalAverage="0" operator="greaterThan" aboveAverage="0" dxfId="7" text="" percent="0" bottom="0">
      <formula>0</formula>
    </cfRule>
  </conditionalFormatting>
  <conditionalFormatting sqref="I547">
    <cfRule type="cellIs" rank="0" priority="1627" equalAverage="0" operator="lessThan" aboveAverage="0" dxfId="8" text="" percent="0" bottom="0">
      <formula>0</formula>
    </cfRule>
  </conditionalFormatting>
  <conditionalFormatting sqref="E548">
    <cfRule type="cellIs" rank="0" priority="1628" equalAverage="0" operator="greaterThan" aboveAverage="0" dxfId="7" text="" percent="0" bottom="0">
      <formula>0</formula>
    </cfRule>
  </conditionalFormatting>
  <conditionalFormatting sqref="F548">
    <cfRule type="cellIs" rank="0" priority="1629" equalAverage="0" operator="greaterThan" aboveAverage="0" dxfId="7" text="" percent="0" bottom="0">
      <formula>0</formula>
    </cfRule>
  </conditionalFormatting>
  <conditionalFormatting sqref="I548">
    <cfRule type="cellIs" rank="0" priority="1630" equalAverage="0" operator="lessThan" aboveAverage="0" dxfId="8" text="" percent="0" bottom="0">
      <formula>0</formula>
    </cfRule>
  </conditionalFormatting>
  <conditionalFormatting sqref="E549">
    <cfRule type="cellIs" rank="0" priority="1631" equalAverage="0" operator="greaterThan" aboveAverage="0" dxfId="7" text="" percent="0" bottom="0">
      <formula>0</formula>
    </cfRule>
  </conditionalFormatting>
  <conditionalFormatting sqref="F549">
    <cfRule type="cellIs" rank="0" priority="1632" equalAverage="0" operator="greaterThan" aboveAverage="0" dxfId="7" text="" percent="0" bottom="0">
      <formula>0</formula>
    </cfRule>
  </conditionalFormatting>
  <conditionalFormatting sqref="I549">
    <cfRule type="cellIs" rank="0" priority="1633" equalAverage="0" operator="lessThan" aboveAverage="0" dxfId="8" text="" percent="0" bottom="0">
      <formula>0</formula>
    </cfRule>
  </conditionalFormatting>
  <conditionalFormatting sqref="E550">
    <cfRule type="cellIs" rank="0" priority="1634" equalAverage="0" operator="greaterThan" aboveAverage="0" dxfId="7" text="" percent="0" bottom="0">
      <formula>0</formula>
    </cfRule>
  </conditionalFormatting>
  <conditionalFormatting sqref="F550">
    <cfRule type="cellIs" rank="0" priority="1635" equalAverage="0" operator="greaterThan" aboveAverage="0" dxfId="7" text="" percent="0" bottom="0">
      <formula>0</formula>
    </cfRule>
  </conditionalFormatting>
  <conditionalFormatting sqref="I550">
    <cfRule type="cellIs" rank="0" priority="1636" equalAverage="0" operator="lessThan" aboveAverage="0" dxfId="8" text="" percent="0" bottom="0">
      <formula>0</formula>
    </cfRule>
  </conditionalFormatting>
  <conditionalFormatting sqref="E551">
    <cfRule type="cellIs" rank="0" priority="1637" equalAverage="0" operator="greaterThan" aboveAverage="0" dxfId="7" text="" percent="0" bottom="0">
      <formula>0</formula>
    </cfRule>
  </conditionalFormatting>
  <conditionalFormatting sqref="F551">
    <cfRule type="cellIs" rank="0" priority="1638" equalAverage="0" operator="greaterThan" aboveAverage="0" dxfId="7" text="" percent="0" bottom="0">
      <formula>0</formula>
    </cfRule>
  </conditionalFormatting>
  <conditionalFormatting sqref="I551">
    <cfRule type="cellIs" rank="0" priority="1639" equalAverage="0" operator="lessThan" aboveAverage="0" dxfId="8" text="" percent="0" bottom="0">
      <formula>0</formula>
    </cfRule>
  </conditionalFormatting>
  <conditionalFormatting sqref="E552">
    <cfRule type="cellIs" rank="0" priority="1640" equalAverage="0" operator="greaterThan" aboveAverage="0" dxfId="7" text="" percent="0" bottom="0">
      <formula>0</formula>
    </cfRule>
  </conditionalFormatting>
  <conditionalFormatting sqref="F552">
    <cfRule type="cellIs" rank="0" priority="1641" equalAverage="0" operator="greaterThan" aboveAverage="0" dxfId="7" text="" percent="0" bottom="0">
      <formula>0</formula>
    </cfRule>
  </conditionalFormatting>
  <conditionalFormatting sqref="I552">
    <cfRule type="cellIs" rank="0" priority="1642" equalAverage="0" operator="lessThan" aboveAverage="0" dxfId="8" text="" percent="0" bottom="0">
      <formula>0</formula>
    </cfRule>
  </conditionalFormatting>
  <conditionalFormatting sqref="E553">
    <cfRule type="cellIs" rank="0" priority="1643" equalAverage="0" operator="greaterThan" aboveAverage="0" dxfId="7" text="" percent="0" bottom="0">
      <formula>0</formula>
    </cfRule>
  </conditionalFormatting>
  <conditionalFormatting sqref="F553">
    <cfRule type="cellIs" rank="0" priority="1644" equalAverage="0" operator="greaterThan" aboveAverage="0" dxfId="7" text="" percent="0" bottom="0">
      <formula>0</formula>
    </cfRule>
  </conditionalFormatting>
  <conditionalFormatting sqref="I553">
    <cfRule type="cellIs" rank="0" priority="1645" equalAverage="0" operator="lessThan" aboveAverage="0" dxfId="8" text="" percent="0" bottom="0">
      <formula>0</formula>
    </cfRule>
  </conditionalFormatting>
  <conditionalFormatting sqref="E554">
    <cfRule type="cellIs" rank="0" priority="1646" equalAverage="0" operator="greaterThan" aboveAverage="0" dxfId="7" text="" percent="0" bottom="0">
      <formula>0</formula>
    </cfRule>
  </conditionalFormatting>
  <conditionalFormatting sqref="F554">
    <cfRule type="cellIs" rank="0" priority="1647" equalAverage="0" operator="greaterThan" aboveAverage="0" dxfId="7" text="" percent="0" bottom="0">
      <formula>0</formula>
    </cfRule>
  </conditionalFormatting>
  <conditionalFormatting sqref="I554">
    <cfRule type="cellIs" rank="0" priority="1648" equalAverage="0" operator="lessThan" aboveAverage="0" dxfId="8" text="" percent="0" bottom="0">
      <formula>0</formula>
    </cfRule>
  </conditionalFormatting>
  <conditionalFormatting sqref="E555">
    <cfRule type="cellIs" rank="0" priority="1649" equalAverage="0" operator="greaterThan" aboveAverage="0" dxfId="7" text="" percent="0" bottom="0">
      <formula>0</formula>
    </cfRule>
  </conditionalFormatting>
  <conditionalFormatting sqref="F555">
    <cfRule type="cellIs" rank="0" priority="1650" equalAverage="0" operator="greaterThan" aboveAverage="0" dxfId="7" text="" percent="0" bottom="0">
      <formula>0</formula>
    </cfRule>
  </conditionalFormatting>
  <conditionalFormatting sqref="I555">
    <cfRule type="cellIs" rank="0" priority="1651" equalAverage="0" operator="lessThan" aboveAverage="0" dxfId="8" text="" percent="0" bottom="0">
      <formula>0</formula>
    </cfRule>
  </conditionalFormatting>
  <conditionalFormatting sqref="E556">
    <cfRule type="cellIs" rank="0" priority="1652" equalAverage="0" operator="greaterThan" aboveAverage="0" dxfId="7" text="" percent="0" bottom="0">
      <formula>0</formula>
    </cfRule>
  </conditionalFormatting>
  <conditionalFormatting sqref="F556">
    <cfRule type="cellIs" rank="0" priority="1653" equalAverage="0" operator="greaterThan" aboveAverage="0" dxfId="7" text="" percent="0" bottom="0">
      <formula>0</formula>
    </cfRule>
  </conditionalFormatting>
  <conditionalFormatting sqref="I556">
    <cfRule type="cellIs" rank="0" priority="1654" equalAverage="0" operator="lessThan" aboveAverage="0" dxfId="8" text="" percent="0" bottom="0">
      <formula>0</formula>
    </cfRule>
  </conditionalFormatting>
  <conditionalFormatting sqref="E557">
    <cfRule type="cellIs" rank="0" priority="1655" equalAverage="0" operator="greaterThan" aboveAverage="0" dxfId="7" text="" percent="0" bottom="0">
      <formula>0</formula>
    </cfRule>
  </conditionalFormatting>
  <conditionalFormatting sqref="F557">
    <cfRule type="cellIs" rank="0" priority="1656" equalAverage="0" operator="greaterThan" aboveAverage="0" dxfId="7" text="" percent="0" bottom="0">
      <formula>0</formula>
    </cfRule>
  </conditionalFormatting>
  <conditionalFormatting sqref="I557">
    <cfRule type="cellIs" rank="0" priority="1657" equalAverage="0" operator="lessThan" aboveAverage="0" dxfId="8" text="" percent="0" bottom="0">
      <formula>0</formula>
    </cfRule>
  </conditionalFormatting>
  <conditionalFormatting sqref="E558">
    <cfRule type="cellIs" rank="0" priority="1658" equalAverage="0" operator="greaterThan" aboveAverage="0" dxfId="7" text="" percent="0" bottom="0">
      <formula>0</formula>
    </cfRule>
  </conditionalFormatting>
  <conditionalFormatting sqref="F558">
    <cfRule type="cellIs" rank="0" priority="1659" equalAverage="0" operator="greaterThan" aboveAverage="0" dxfId="7" text="" percent="0" bottom="0">
      <formula>0</formula>
    </cfRule>
  </conditionalFormatting>
  <conditionalFormatting sqref="I558">
    <cfRule type="cellIs" rank="0" priority="1660" equalAverage="0" operator="lessThan" aboveAverage="0" dxfId="8" text="" percent="0" bottom="0">
      <formula>0</formula>
    </cfRule>
  </conditionalFormatting>
  <conditionalFormatting sqref="E559">
    <cfRule type="cellIs" rank="0" priority="1661" equalAverage="0" operator="greaterThan" aboveAverage="0" dxfId="7" text="" percent="0" bottom="0">
      <formula>0</formula>
    </cfRule>
  </conditionalFormatting>
  <conditionalFormatting sqref="F559">
    <cfRule type="cellIs" rank="0" priority="1662" equalAverage="0" operator="greaterThan" aboveAverage="0" dxfId="7" text="" percent="0" bottom="0">
      <formula>0</formula>
    </cfRule>
  </conditionalFormatting>
  <conditionalFormatting sqref="I559">
    <cfRule type="cellIs" rank="0" priority="1663" equalAverage="0" operator="lessThan" aboveAverage="0" dxfId="8" text="" percent="0" bottom="0">
      <formula>0</formula>
    </cfRule>
  </conditionalFormatting>
  <conditionalFormatting sqref="E560">
    <cfRule type="cellIs" rank="0" priority="1664" equalAverage="0" operator="greaterThan" aboveAverage="0" dxfId="7" text="" percent="0" bottom="0">
      <formula>0</formula>
    </cfRule>
  </conditionalFormatting>
  <conditionalFormatting sqref="F560">
    <cfRule type="cellIs" rank="0" priority="1665" equalAverage="0" operator="greaterThan" aboveAverage="0" dxfId="7" text="" percent="0" bottom="0">
      <formula>0</formula>
    </cfRule>
  </conditionalFormatting>
  <conditionalFormatting sqref="I560">
    <cfRule type="cellIs" rank="0" priority="1666" equalAverage="0" operator="lessThan" aboveAverage="0" dxfId="8" text="" percent="0" bottom="0">
      <formula>0</formula>
    </cfRule>
  </conditionalFormatting>
  <conditionalFormatting sqref="E561">
    <cfRule type="cellIs" rank="0" priority="1667" equalAverage="0" operator="greaterThan" aboveAverage="0" dxfId="7" text="" percent="0" bottom="0">
      <formula>0</formula>
    </cfRule>
  </conditionalFormatting>
  <conditionalFormatting sqref="F561">
    <cfRule type="cellIs" rank="0" priority="1668" equalAverage="0" operator="greaterThan" aboveAverage="0" dxfId="7" text="" percent="0" bottom="0">
      <formula>0</formula>
    </cfRule>
  </conditionalFormatting>
  <conditionalFormatting sqref="I561">
    <cfRule type="cellIs" rank="0" priority="1669" equalAverage="0" operator="lessThan" aboveAverage="0" dxfId="8" text="" percent="0" bottom="0">
      <formula>0</formula>
    </cfRule>
  </conditionalFormatting>
  <conditionalFormatting sqref="E562">
    <cfRule type="cellIs" rank="0" priority="1670" equalAverage="0" operator="greaterThan" aboveAverage="0" dxfId="7" text="" percent="0" bottom="0">
      <formula>0</formula>
    </cfRule>
  </conditionalFormatting>
  <conditionalFormatting sqref="F562">
    <cfRule type="cellIs" rank="0" priority="1671" equalAverage="0" operator="greaterThan" aboveAverage="0" dxfId="7" text="" percent="0" bottom="0">
      <formula>0</formula>
    </cfRule>
  </conditionalFormatting>
  <conditionalFormatting sqref="I562">
    <cfRule type="cellIs" rank="0" priority="1672" equalAverage="0" operator="lessThan" aboveAverage="0" dxfId="8" text="" percent="0" bottom="0">
      <formula>0</formula>
    </cfRule>
  </conditionalFormatting>
  <conditionalFormatting sqref="E563">
    <cfRule type="cellIs" rank="0" priority="1673" equalAverage="0" operator="greaterThan" aboveAverage="0" dxfId="7" text="" percent="0" bottom="0">
      <formula>0</formula>
    </cfRule>
  </conditionalFormatting>
  <conditionalFormatting sqref="F563">
    <cfRule type="cellIs" rank="0" priority="1674" equalAverage="0" operator="greaterThan" aboveAverage="0" dxfId="7" text="" percent="0" bottom="0">
      <formula>0</formula>
    </cfRule>
  </conditionalFormatting>
  <conditionalFormatting sqref="I563">
    <cfRule type="cellIs" rank="0" priority="1675" equalAverage="0" operator="lessThan" aboveAverage="0" dxfId="8" text="" percent="0" bottom="0">
      <formula>0</formula>
    </cfRule>
  </conditionalFormatting>
  <conditionalFormatting sqref="E564">
    <cfRule type="cellIs" rank="0" priority="1676" equalAverage="0" operator="greaterThan" aboveAverage="0" dxfId="7" text="" percent="0" bottom="0">
      <formula>0</formula>
    </cfRule>
  </conditionalFormatting>
  <conditionalFormatting sqref="F564">
    <cfRule type="cellIs" rank="0" priority="1677" equalAverage="0" operator="greaterThan" aboveAverage="0" dxfId="7" text="" percent="0" bottom="0">
      <formula>0</formula>
    </cfRule>
  </conditionalFormatting>
  <conditionalFormatting sqref="I564">
    <cfRule type="cellIs" rank="0" priority="1678" equalAverage="0" operator="lessThan" aboveAverage="0" dxfId="8" text="" percent="0" bottom="0">
      <formula>0</formula>
    </cfRule>
  </conditionalFormatting>
  <conditionalFormatting sqref="E565">
    <cfRule type="cellIs" rank="0" priority="1679" equalAverage="0" operator="greaterThan" aboveAverage="0" dxfId="7" text="" percent="0" bottom="0">
      <formula>0</formula>
    </cfRule>
  </conditionalFormatting>
  <conditionalFormatting sqref="F565">
    <cfRule type="cellIs" rank="0" priority="1680" equalAverage="0" operator="greaterThan" aboveAverage="0" dxfId="7" text="" percent="0" bottom="0">
      <formula>0</formula>
    </cfRule>
  </conditionalFormatting>
  <conditionalFormatting sqref="I565">
    <cfRule type="cellIs" rank="0" priority="1681" equalAverage="0" operator="lessThan" aboveAverage="0" dxfId="8" text="" percent="0" bottom="0">
      <formula>0</formula>
    </cfRule>
  </conditionalFormatting>
  <conditionalFormatting sqref="E566">
    <cfRule type="cellIs" rank="0" priority="1682" equalAverage="0" operator="greaterThan" aboveAverage="0" dxfId="7" text="" percent="0" bottom="0">
      <formula>0</formula>
    </cfRule>
  </conditionalFormatting>
  <conditionalFormatting sqref="F566">
    <cfRule type="cellIs" rank="0" priority="1683" equalAverage="0" operator="greaterThan" aboveAverage="0" dxfId="7" text="" percent="0" bottom="0">
      <formula>0</formula>
    </cfRule>
  </conditionalFormatting>
  <conditionalFormatting sqref="I566">
    <cfRule type="cellIs" rank="0" priority="1684" equalAverage="0" operator="lessThan" aboveAverage="0" dxfId="8" text="" percent="0" bottom="0">
      <formula>0</formula>
    </cfRule>
  </conditionalFormatting>
  <conditionalFormatting sqref="E567">
    <cfRule type="cellIs" rank="0" priority="1685" equalAverage="0" operator="greaterThan" aboveAverage="0" dxfId="7" text="" percent="0" bottom="0">
      <formula>0</formula>
    </cfRule>
  </conditionalFormatting>
  <conditionalFormatting sqref="F567">
    <cfRule type="cellIs" rank="0" priority="1686" equalAverage="0" operator="greaterThan" aboveAverage="0" dxfId="7" text="" percent="0" bottom="0">
      <formula>0</formula>
    </cfRule>
  </conditionalFormatting>
  <conditionalFormatting sqref="I567">
    <cfRule type="cellIs" rank="0" priority="1687" equalAverage="0" operator="lessThan" aboveAverage="0" dxfId="8" text="" percent="0" bottom="0">
      <formula>0</formula>
    </cfRule>
  </conditionalFormatting>
  <conditionalFormatting sqref="E568">
    <cfRule type="cellIs" rank="0" priority="1688" equalAverage="0" operator="greaterThan" aboveAverage="0" dxfId="7" text="" percent="0" bottom="0">
      <formula>0</formula>
    </cfRule>
  </conditionalFormatting>
  <conditionalFormatting sqref="F568">
    <cfRule type="cellIs" rank="0" priority="1689" equalAverage="0" operator="greaterThan" aboveAverage="0" dxfId="7" text="" percent="0" bottom="0">
      <formula>0</formula>
    </cfRule>
  </conditionalFormatting>
  <conditionalFormatting sqref="I568">
    <cfRule type="cellIs" rank="0" priority="1690" equalAverage="0" operator="lessThan" aboveAverage="0" dxfId="8" text="" percent="0" bottom="0">
      <formula>0</formula>
    </cfRule>
  </conditionalFormatting>
  <conditionalFormatting sqref="E569">
    <cfRule type="cellIs" rank="0" priority="1691" equalAverage="0" operator="greaterThan" aboveAverage="0" dxfId="7" text="" percent="0" bottom="0">
      <formula>0</formula>
    </cfRule>
  </conditionalFormatting>
  <conditionalFormatting sqref="F569">
    <cfRule type="cellIs" rank="0" priority="1692" equalAverage="0" operator="greaterThan" aboveAverage="0" dxfId="7" text="" percent="0" bottom="0">
      <formula>0</formula>
    </cfRule>
  </conditionalFormatting>
  <conditionalFormatting sqref="I569">
    <cfRule type="cellIs" rank="0" priority="1693" equalAverage="0" operator="lessThan" aboveAverage="0" dxfId="8" text="" percent="0" bottom="0">
      <formula>0</formula>
    </cfRule>
  </conditionalFormatting>
  <conditionalFormatting sqref="E570">
    <cfRule type="cellIs" rank="0" priority="1694" equalAverage="0" operator="greaterThan" aboveAverage="0" dxfId="7" text="" percent="0" bottom="0">
      <formula>0</formula>
    </cfRule>
  </conditionalFormatting>
  <conditionalFormatting sqref="F570">
    <cfRule type="cellIs" rank="0" priority="1695" equalAverage="0" operator="greaterThan" aboveAverage="0" dxfId="7" text="" percent="0" bottom="0">
      <formula>0</formula>
    </cfRule>
  </conditionalFormatting>
  <conditionalFormatting sqref="I570">
    <cfRule type="cellIs" rank="0" priority="1696" equalAverage="0" operator="lessThan" aboveAverage="0" dxfId="8" text="" percent="0" bottom="0">
      <formula>0</formula>
    </cfRule>
  </conditionalFormatting>
  <conditionalFormatting sqref="E571">
    <cfRule type="cellIs" rank="0" priority="1697" equalAverage="0" operator="greaterThan" aboveAverage="0" dxfId="7" text="" percent="0" bottom="0">
      <formula>0</formula>
    </cfRule>
  </conditionalFormatting>
  <conditionalFormatting sqref="F571">
    <cfRule type="cellIs" rank="0" priority="1698" equalAverage="0" operator="greaterThan" aboveAverage="0" dxfId="7" text="" percent="0" bottom="0">
      <formula>0</formula>
    </cfRule>
  </conditionalFormatting>
  <conditionalFormatting sqref="I571">
    <cfRule type="cellIs" rank="0" priority="1699" equalAverage="0" operator="lessThan" aboveAverage="0" dxfId="8" text="" percent="0" bottom="0">
      <formula>0</formula>
    </cfRule>
  </conditionalFormatting>
  <conditionalFormatting sqref="E572">
    <cfRule type="cellIs" rank="0" priority="1700" equalAverage="0" operator="greaterThan" aboveAverage="0" dxfId="7" text="" percent="0" bottom="0">
      <formula>0</formula>
    </cfRule>
  </conditionalFormatting>
  <conditionalFormatting sqref="F572">
    <cfRule type="cellIs" rank="0" priority="1701" equalAverage="0" operator="greaterThan" aboveAverage="0" dxfId="7" text="" percent="0" bottom="0">
      <formula>0</formula>
    </cfRule>
  </conditionalFormatting>
  <conditionalFormatting sqref="I572">
    <cfRule type="cellIs" rank="0" priority="1702" equalAverage="0" operator="lessThan" aboveAverage="0" dxfId="8" text="" percent="0" bottom="0">
      <formula>0</formula>
    </cfRule>
  </conditionalFormatting>
  <conditionalFormatting sqref="E573">
    <cfRule type="cellIs" rank="0" priority="1703" equalAverage="0" operator="greaterThan" aboveAverage="0" dxfId="7" text="" percent="0" bottom="0">
      <formula>0</formula>
    </cfRule>
  </conditionalFormatting>
  <conditionalFormatting sqref="F573">
    <cfRule type="cellIs" rank="0" priority="1704" equalAverage="0" operator="greaterThan" aboveAverage="0" dxfId="7" text="" percent="0" bottom="0">
      <formula>0</formula>
    </cfRule>
  </conditionalFormatting>
  <conditionalFormatting sqref="I573">
    <cfRule type="cellIs" rank="0" priority="1705" equalAverage="0" operator="lessThan" aboveAverage="0" dxfId="8" text="" percent="0" bottom="0">
      <formula>0</formula>
    </cfRule>
  </conditionalFormatting>
  <conditionalFormatting sqref="E574">
    <cfRule type="cellIs" rank="0" priority="1706" equalAverage="0" operator="greaterThan" aboveAverage="0" dxfId="7" text="" percent="0" bottom="0">
      <formula>0</formula>
    </cfRule>
  </conditionalFormatting>
  <conditionalFormatting sqref="F574">
    <cfRule type="cellIs" rank="0" priority="1707" equalAverage="0" operator="greaterThan" aboveAverage="0" dxfId="7" text="" percent="0" bottom="0">
      <formula>0</formula>
    </cfRule>
  </conditionalFormatting>
  <conditionalFormatting sqref="I574">
    <cfRule type="cellIs" rank="0" priority="1708" equalAverage="0" operator="lessThan" aboveAverage="0" dxfId="8" text="" percent="0" bottom="0">
      <formula>0</formula>
    </cfRule>
  </conditionalFormatting>
  <conditionalFormatting sqref="E575">
    <cfRule type="cellIs" rank="0" priority="1709" equalAverage="0" operator="greaterThan" aboveAverage="0" dxfId="7" text="" percent="0" bottom="0">
      <formula>0</formula>
    </cfRule>
  </conditionalFormatting>
  <conditionalFormatting sqref="F575">
    <cfRule type="cellIs" rank="0" priority="1710" equalAverage="0" operator="greaterThan" aboveAverage="0" dxfId="7" text="" percent="0" bottom="0">
      <formula>0</formula>
    </cfRule>
  </conditionalFormatting>
  <conditionalFormatting sqref="I575">
    <cfRule type="cellIs" rank="0" priority="1711" equalAverage="0" operator="lessThan" aboveAverage="0" dxfId="8" text="" percent="0" bottom="0">
      <formula>0</formula>
    </cfRule>
  </conditionalFormatting>
  <conditionalFormatting sqref="E576">
    <cfRule type="cellIs" rank="0" priority="1712" equalAverage="0" operator="greaterThan" aboveAverage="0" dxfId="7" text="" percent="0" bottom="0">
      <formula>0</formula>
    </cfRule>
  </conditionalFormatting>
  <conditionalFormatting sqref="F576">
    <cfRule type="cellIs" rank="0" priority="1713" equalAverage="0" operator="greaterThan" aboveAverage="0" dxfId="7" text="" percent="0" bottom="0">
      <formula>0</formula>
    </cfRule>
  </conditionalFormatting>
  <conditionalFormatting sqref="I576">
    <cfRule type="cellIs" rank="0" priority="1714" equalAverage="0" operator="lessThan" aboveAverage="0" dxfId="8" text="" percent="0" bottom="0">
      <formula>0</formula>
    </cfRule>
  </conditionalFormatting>
  <conditionalFormatting sqref="E577">
    <cfRule type="cellIs" rank="0" priority="1715" equalAverage="0" operator="greaterThan" aboveAverage="0" dxfId="7" text="" percent="0" bottom="0">
      <formula>0</formula>
    </cfRule>
  </conditionalFormatting>
  <conditionalFormatting sqref="F577">
    <cfRule type="cellIs" rank="0" priority="1716" equalAverage="0" operator="greaterThan" aboveAverage="0" dxfId="7" text="" percent="0" bottom="0">
      <formula>0</formula>
    </cfRule>
  </conditionalFormatting>
  <conditionalFormatting sqref="I577">
    <cfRule type="cellIs" rank="0" priority="1717" equalAverage="0" operator="lessThan" aboveAverage="0" dxfId="8" text="" percent="0" bottom="0">
      <formula>0</formula>
    </cfRule>
  </conditionalFormatting>
  <conditionalFormatting sqref="E578">
    <cfRule type="cellIs" rank="0" priority="1718" equalAverage="0" operator="greaterThan" aboveAverage="0" dxfId="7" text="" percent="0" bottom="0">
      <formula>0</formula>
    </cfRule>
  </conditionalFormatting>
  <conditionalFormatting sqref="F578">
    <cfRule type="cellIs" rank="0" priority="1719" equalAverage="0" operator="greaterThan" aboveAverage="0" dxfId="7" text="" percent="0" bottom="0">
      <formula>0</formula>
    </cfRule>
  </conditionalFormatting>
  <conditionalFormatting sqref="I578">
    <cfRule type="cellIs" rank="0" priority="1720" equalAverage="0" operator="lessThan" aboveAverage="0" dxfId="8" text="" percent="0" bottom="0">
      <formula>0</formula>
    </cfRule>
  </conditionalFormatting>
  <conditionalFormatting sqref="E579">
    <cfRule type="cellIs" rank="0" priority="1721" equalAverage="0" operator="greaterThan" aboveAverage="0" dxfId="7" text="" percent="0" bottom="0">
      <formula>0</formula>
    </cfRule>
  </conditionalFormatting>
  <conditionalFormatting sqref="F579">
    <cfRule type="cellIs" rank="0" priority="1722" equalAverage="0" operator="greaterThan" aboveAverage="0" dxfId="7" text="" percent="0" bottom="0">
      <formula>0</formula>
    </cfRule>
  </conditionalFormatting>
  <conditionalFormatting sqref="I579">
    <cfRule type="cellIs" rank="0" priority="1723" equalAverage="0" operator="lessThan" aboveAverage="0" dxfId="8" text="" percent="0" bottom="0">
      <formula>0</formula>
    </cfRule>
  </conditionalFormatting>
  <conditionalFormatting sqref="E580">
    <cfRule type="cellIs" rank="0" priority="1724" equalAverage="0" operator="greaterThan" aboveAverage="0" dxfId="7" text="" percent="0" bottom="0">
      <formula>0</formula>
    </cfRule>
  </conditionalFormatting>
  <conditionalFormatting sqref="F580">
    <cfRule type="cellIs" rank="0" priority="1725" equalAverage="0" operator="greaterThan" aboveAverage="0" dxfId="7" text="" percent="0" bottom="0">
      <formula>0</formula>
    </cfRule>
  </conditionalFormatting>
  <conditionalFormatting sqref="I580">
    <cfRule type="cellIs" rank="0" priority="1726" equalAverage="0" operator="lessThan" aboveAverage="0" dxfId="8" text="" percent="0" bottom="0">
      <formula>0</formula>
    </cfRule>
  </conditionalFormatting>
  <conditionalFormatting sqref="E581">
    <cfRule type="cellIs" rank="0" priority="1727" equalAverage="0" operator="greaterThan" aboveAverage="0" dxfId="7" text="" percent="0" bottom="0">
      <formula>0</formula>
    </cfRule>
  </conditionalFormatting>
  <conditionalFormatting sqref="F581">
    <cfRule type="cellIs" rank="0" priority="1728" equalAverage="0" operator="greaterThan" aboveAverage="0" dxfId="7" text="" percent="0" bottom="0">
      <formula>0</formula>
    </cfRule>
  </conditionalFormatting>
  <conditionalFormatting sqref="I581">
    <cfRule type="cellIs" rank="0" priority="1729" equalAverage="0" operator="lessThan" aboveAverage="0" dxfId="8" text="" percent="0" bottom="0">
      <formula>0</formula>
    </cfRule>
  </conditionalFormatting>
  <conditionalFormatting sqref="E582">
    <cfRule type="cellIs" rank="0" priority="1730" equalAverage="0" operator="greaterThan" aboveAverage="0" dxfId="7" text="" percent="0" bottom="0">
      <formula>0</formula>
    </cfRule>
  </conditionalFormatting>
  <conditionalFormatting sqref="F582">
    <cfRule type="cellIs" rank="0" priority="1731" equalAverage="0" operator="greaterThan" aboveAverage="0" dxfId="7" text="" percent="0" bottom="0">
      <formula>0</formula>
    </cfRule>
  </conditionalFormatting>
  <conditionalFormatting sqref="I582">
    <cfRule type="cellIs" rank="0" priority="1732" equalAverage="0" operator="lessThan" aboveAverage="0" dxfId="8" text="" percent="0" bottom="0">
      <formula>0</formula>
    </cfRule>
  </conditionalFormatting>
  <conditionalFormatting sqref="E583">
    <cfRule type="cellIs" rank="0" priority="1733" equalAverage="0" operator="greaterThan" aboveAverage="0" dxfId="7" text="" percent="0" bottom="0">
      <formula>0</formula>
    </cfRule>
  </conditionalFormatting>
  <conditionalFormatting sqref="F583">
    <cfRule type="cellIs" rank="0" priority="1734" equalAverage="0" operator="greaterThan" aboveAverage="0" dxfId="7" text="" percent="0" bottom="0">
      <formula>0</formula>
    </cfRule>
  </conditionalFormatting>
  <conditionalFormatting sqref="I583">
    <cfRule type="cellIs" rank="0" priority="1735" equalAverage="0" operator="lessThan" aboveAverage="0" dxfId="8" text="" percent="0" bottom="0">
      <formula>0</formula>
    </cfRule>
  </conditionalFormatting>
  <conditionalFormatting sqref="E584">
    <cfRule type="cellIs" rank="0" priority="1736" equalAverage="0" operator="greaterThan" aboveAverage="0" dxfId="7" text="" percent="0" bottom="0">
      <formula>0</formula>
    </cfRule>
  </conditionalFormatting>
  <conditionalFormatting sqref="F584">
    <cfRule type="cellIs" rank="0" priority="1737" equalAverage="0" operator="greaterThan" aboveAverage="0" dxfId="7" text="" percent="0" bottom="0">
      <formula>0</formula>
    </cfRule>
  </conditionalFormatting>
  <conditionalFormatting sqref="I584">
    <cfRule type="cellIs" rank="0" priority="1738" equalAverage="0" operator="lessThan" aboveAverage="0" dxfId="8" text="" percent="0" bottom="0">
      <formula>0</formula>
    </cfRule>
  </conditionalFormatting>
  <conditionalFormatting sqref="E585">
    <cfRule type="cellIs" rank="0" priority="1739" equalAverage="0" operator="greaterThan" aboveAverage="0" dxfId="7" text="" percent="0" bottom="0">
      <formula>0</formula>
    </cfRule>
  </conditionalFormatting>
  <conditionalFormatting sqref="F585">
    <cfRule type="cellIs" rank="0" priority="1740" equalAverage="0" operator="greaterThan" aboveAverage="0" dxfId="7" text="" percent="0" bottom="0">
      <formula>0</formula>
    </cfRule>
  </conditionalFormatting>
  <conditionalFormatting sqref="I585">
    <cfRule type="cellIs" rank="0" priority="1741" equalAverage="0" operator="lessThan" aboveAverage="0" dxfId="8" text="" percent="0" bottom="0">
      <formula>0</formula>
    </cfRule>
  </conditionalFormatting>
  <conditionalFormatting sqref="E586">
    <cfRule type="cellIs" rank="0" priority="1742" equalAverage="0" operator="greaterThan" aboveAverage="0" dxfId="7" text="" percent="0" bottom="0">
      <formula>0</formula>
    </cfRule>
  </conditionalFormatting>
  <conditionalFormatting sqref="F586">
    <cfRule type="cellIs" rank="0" priority="1743" equalAverage="0" operator="greaterThan" aboveAverage="0" dxfId="7" text="" percent="0" bottom="0">
      <formula>0</formula>
    </cfRule>
  </conditionalFormatting>
  <conditionalFormatting sqref="I586">
    <cfRule type="cellIs" rank="0" priority="1744" equalAverage="0" operator="lessThan" aboveAverage="0" dxfId="8" text="" percent="0" bottom="0">
      <formula>0</formula>
    </cfRule>
  </conditionalFormatting>
  <conditionalFormatting sqref="E587">
    <cfRule type="cellIs" rank="0" priority="1745" equalAverage="0" operator="greaterThan" aboveAverage="0" dxfId="7" text="" percent="0" bottom="0">
      <formula>0</formula>
    </cfRule>
  </conditionalFormatting>
  <conditionalFormatting sqref="F587">
    <cfRule type="cellIs" rank="0" priority="1746" equalAverage="0" operator="greaterThan" aboveAverage="0" dxfId="7" text="" percent="0" bottom="0">
      <formula>0</formula>
    </cfRule>
  </conditionalFormatting>
  <conditionalFormatting sqref="I587">
    <cfRule type="cellIs" rank="0" priority="1747" equalAverage="0" operator="lessThan" aboveAverage="0" dxfId="8" text="" percent="0" bottom="0">
      <formula>0</formula>
    </cfRule>
  </conditionalFormatting>
  <conditionalFormatting sqref="E588">
    <cfRule type="cellIs" rank="0" priority="1748" equalAverage="0" operator="greaterThan" aboveAverage="0" dxfId="7" text="" percent="0" bottom="0">
      <formula>0</formula>
    </cfRule>
  </conditionalFormatting>
  <conditionalFormatting sqref="F588">
    <cfRule type="cellIs" rank="0" priority="1749" equalAverage="0" operator="greaterThan" aboveAverage="0" dxfId="7" text="" percent="0" bottom="0">
      <formula>0</formula>
    </cfRule>
  </conditionalFormatting>
  <conditionalFormatting sqref="I588">
    <cfRule type="cellIs" rank="0" priority="1750" equalAverage="0" operator="lessThan" aboveAverage="0" dxfId="8" text="" percent="0" bottom="0">
      <formula>0</formula>
    </cfRule>
  </conditionalFormatting>
  <conditionalFormatting sqref="E589">
    <cfRule type="cellIs" rank="0" priority="1751" equalAverage="0" operator="greaterThan" aboveAverage="0" dxfId="7" text="" percent="0" bottom="0">
      <formula>0</formula>
    </cfRule>
  </conditionalFormatting>
  <conditionalFormatting sqref="F589">
    <cfRule type="cellIs" rank="0" priority="1752" equalAverage="0" operator="greaterThan" aboveAverage="0" dxfId="7" text="" percent="0" bottom="0">
      <formula>0</formula>
    </cfRule>
  </conditionalFormatting>
  <conditionalFormatting sqref="I589">
    <cfRule type="cellIs" rank="0" priority="1753" equalAverage="0" operator="lessThan" aboveAverage="0" dxfId="8" text="" percent="0" bottom="0">
      <formula>0</formula>
    </cfRule>
  </conditionalFormatting>
  <conditionalFormatting sqref="E590">
    <cfRule type="cellIs" rank="0" priority="1754" equalAverage="0" operator="greaterThan" aboveAverage="0" dxfId="7" text="" percent="0" bottom="0">
      <formula>0</formula>
    </cfRule>
  </conditionalFormatting>
  <conditionalFormatting sqref="F590">
    <cfRule type="cellIs" rank="0" priority="1755" equalAverage="0" operator="greaterThan" aboveAverage="0" dxfId="7" text="" percent="0" bottom="0">
      <formula>0</formula>
    </cfRule>
  </conditionalFormatting>
  <conditionalFormatting sqref="I590">
    <cfRule type="cellIs" rank="0" priority="1756" equalAverage="0" operator="lessThan" aboveAverage="0" dxfId="8" text="" percent="0" bottom="0">
      <formula>0</formula>
    </cfRule>
  </conditionalFormatting>
  <conditionalFormatting sqref="E591">
    <cfRule type="cellIs" rank="0" priority="1757" equalAverage="0" operator="greaterThan" aboveAverage="0" dxfId="7" text="" percent="0" bottom="0">
      <formula>0</formula>
    </cfRule>
  </conditionalFormatting>
  <conditionalFormatting sqref="F591">
    <cfRule type="cellIs" rank="0" priority="1758" equalAverage="0" operator="greaterThan" aboveAverage="0" dxfId="7" text="" percent="0" bottom="0">
      <formula>0</formula>
    </cfRule>
  </conditionalFormatting>
  <conditionalFormatting sqref="I591">
    <cfRule type="cellIs" rank="0" priority="1759" equalAverage="0" operator="lessThan" aboveAverage="0" dxfId="8" text="" percent="0" bottom="0">
      <formula>0</formula>
    </cfRule>
  </conditionalFormatting>
  <conditionalFormatting sqref="E592">
    <cfRule type="cellIs" rank="0" priority="1760" equalAverage="0" operator="greaterThan" aboveAverage="0" dxfId="7" text="" percent="0" bottom="0">
      <formula>0</formula>
    </cfRule>
  </conditionalFormatting>
  <conditionalFormatting sqref="F592">
    <cfRule type="cellIs" rank="0" priority="1761" equalAverage="0" operator="greaterThan" aboveAverage="0" dxfId="7" text="" percent="0" bottom="0">
      <formula>0</formula>
    </cfRule>
  </conditionalFormatting>
  <conditionalFormatting sqref="I592">
    <cfRule type="cellIs" rank="0" priority="1762" equalAverage="0" operator="lessThan" aboveAverage="0" dxfId="8" text="" percent="0" bottom="0">
      <formula>0</formula>
    </cfRule>
  </conditionalFormatting>
  <conditionalFormatting sqref="E593">
    <cfRule type="cellIs" rank="0" priority="1763" equalAverage="0" operator="greaterThan" aboveAverage="0" dxfId="7" text="" percent="0" bottom="0">
      <formula>0</formula>
    </cfRule>
  </conditionalFormatting>
  <conditionalFormatting sqref="F593">
    <cfRule type="cellIs" rank="0" priority="1764" equalAverage="0" operator="greaterThan" aboveAverage="0" dxfId="7" text="" percent="0" bottom="0">
      <formula>0</formula>
    </cfRule>
  </conditionalFormatting>
  <conditionalFormatting sqref="I593">
    <cfRule type="cellIs" rank="0" priority="1765" equalAverage="0" operator="lessThan" aboveAverage="0" dxfId="8" text="" percent="0" bottom="0">
      <formula>0</formula>
    </cfRule>
  </conditionalFormatting>
  <conditionalFormatting sqref="E594">
    <cfRule type="cellIs" rank="0" priority="1766" equalAverage="0" operator="greaterThan" aboveAverage="0" dxfId="7" text="" percent="0" bottom="0">
      <formula>0</formula>
    </cfRule>
  </conditionalFormatting>
  <conditionalFormatting sqref="F594">
    <cfRule type="cellIs" rank="0" priority="1767" equalAverage="0" operator="greaterThan" aboveAverage="0" dxfId="7" text="" percent="0" bottom="0">
      <formula>0</formula>
    </cfRule>
  </conditionalFormatting>
  <conditionalFormatting sqref="I594">
    <cfRule type="cellIs" rank="0" priority="1768" equalAverage="0" operator="lessThan" aboveAverage="0" dxfId="8" text="" percent="0" bottom="0">
      <formula>0</formula>
    </cfRule>
  </conditionalFormatting>
  <conditionalFormatting sqref="E595">
    <cfRule type="cellIs" rank="0" priority="1769" equalAverage="0" operator="greaterThan" aboveAverage="0" dxfId="7" text="" percent="0" bottom="0">
      <formula>0</formula>
    </cfRule>
  </conditionalFormatting>
  <conditionalFormatting sqref="F595">
    <cfRule type="cellIs" rank="0" priority="1770" equalAverage="0" operator="greaterThan" aboveAverage="0" dxfId="7" text="" percent="0" bottom="0">
      <formula>0</formula>
    </cfRule>
  </conditionalFormatting>
  <conditionalFormatting sqref="I595">
    <cfRule type="cellIs" rank="0" priority="1771" equalAverage="0" operator="lessThan" aboveAverage="0" dxfId="8" text="" percent="0" bottom="0">
      <formula>0</formula>
    </cfRule>
  </conditionalFormatting>
  <conditionalFormatting sqref="E596">
    <cfRule type="cellIs" rank="0" priority="1772" equalAverage="0" operator="greaterThan" aboveAverage="0" dxfId="7" text="" percent="0" bottom="0">
      <formula>0</formula>
    </cfRule>
  </conditionalFormatting>
  <conditionalFormatting sqref="F596">
    <cfRule type="cellIs" rank="0" priority="1773" equalAverage="0" operator="greaterThan" aboveAverage="0" dxfId="7" text="" percent="0" bottom="0">
      <formula>0</formula>
    </cfRule>
  </conditionalFormatting>
  <conditionalFormatting sqref="I596">
    <cfRule type="cellIs" rank="0" priority="1774" equalAverage="0" operator="lessThan" aboveAverage="0" dxfId="8" text="" percent="0" bottom="0">
      <formula>0</formula>
    </cfRule>
  </conditionalFormatting>
  <conditionalFormatting sqref="E597">
    <cfRule type="cellIs" rank="0" priority="1775" equalAverage="0" operator="greaterThan" aboveAverage="0" dxfId="7" text="" percent="0" bottom="0">
      <formula>0</formula>
    </cfRule>
  </conditionalFormatting>
  <conditionalFormatting sqref="F597">
    <cfRule type="cellIs" rank="0" priority="1776" equalAverage="0" operator="greaterThan" aboveAverage="0" dxfId="7" text="" percent="0" bottom="0">
      <formula>0</formula>
    </cfRule>
  </conditionalFormatting>
  <conditionalFormatting sqref="I597">
    <cfRule type="cellIs" rank="0" priority="1777" equalAverage="0" operator="lessThan" aboveAverage="0" dxfId="8" text="" percent="0" bottom="0">
      <formula>0</formula>
    </cfRule>
  </conditionalFormatting>
  <conditionalFormatting sqref="E598">
    <cfRule type="cellIs" rank="0" priority="1778" equalAverage="0" operator="greaterThan" aboveAverage="0" dxfId="7" text="" percent="0" bottom="0">
      <formula>0</formula>
    </cfRule>
  </conditionalFormatting>
  <conditionalFormatting sqref="F598">
    <cfRule type="cellIs" rank="0" priority="1779" equalAverage="0" operator="greaterThan" aboveAverage="0" dxfId="7" text="" percent="0" bottom="0">
      <formula>0</formula>
    </cfRule>
  </conditionalFormatting>
  <conditionalFormatting sqref="I598">
    <cfRule type="cellIs" rank="0" priority="1780" equalAverage="0" operator="lessThan" aboveAverage="0" dxfId="8" text="" percent="0" bottom="0">
      <formula>0</formula>
    </cfRule>
  </conditionalFormatting>
  <conditionalFormatting sqref="E599">
    <cfRule type="cellIs" rank="0" priority="1781" equalAverage="0" operator="greaterThan" aboveAverage="0" dxfId="7" text="" percent="0" bottom="0">
      <formula>0</formula>
    </cfRule>
  </conditionalFormatting>
  <conditionalFormatting sqref="F599">
    <cfRule type="cellIs" rank="0" priority="1782" equalAverage="0" operator="greaterThan" aboveAverage="0" dxfId="7" text="" percent="0" bottom="0">
      <formula>0</formula>
    </cfRule>
  </conditionalFormatting>
  <conditionalFormatting sqref="I599">
    <cfRule type="cellIs" rank="0" priority="1783" equalAverage="0" operator="lessThan" aboveAverage="0" dxfId="8" text="" percent="0" bottom="0">
      <formula>0</formula>
    </cfRule>
  </conditionalFormatting>
  <conditionalFormatting sqref="E600">
    <cfRule type="cellIs" rank="0" priority="1784" equalAverage="0" operator="greaterThan" aboveAverage="0" dxfId="7" text="" percent="0" bottom="0">
      <formula>0</formula>
    </cfRule>
  </conditionalFormatting>
  <conditionalFormatting sqref="F600">
    <cfRule type="cellIs" rank="0" priority="1785" equalAverage="0" operator="greaterThan" aboveAverage="0" dxfId="7" text="" percent="0" bottom="0">
      <formula>0</formula>
    </cfRule>
  </conditionalFormatting>
  <conditionalFormatting sqref="I600">
    <cfRule type="cellIs" rank="0" priority="1786" equalAverage="0" operator="lessThan" aboveAverage="0" dxfId="8" text="" percent="0" bottom="0">
      <formula>0</formula>
    </cfRule>
  </conditionalFormatting>
  <conditionalFormatting sqref="E601">
    <cfRule type="cellIs" rank="0" priority="1787" equalAverage="0" operator="greaterThan" aboveAverage="0" dxfId="7" text="" percent="0" bottom="0">
      <formula>0</formula>
    </cfRule>
  </conditionalFormatting>
  <conditionalFormatting sqref="F601">
    <cfRule type="cellIs" rank="0" priority="1788" equalAverage="0" operator="greaterThan" aboveAverage="0" dxfId="7" text="" percent="0" bottom="0">
      <formula>0</formula>
    </cfRule>
  </conditionalFormatting>
  <conditionalFormatting sqref="I601">
    <cfRule type="cellIs" rank="0" priority="1789" equalAverage="0" operator="lessThan" aboveAverage="0" dxfId="8" text="" percent="0" bottom="0">
      <formula>0</formula>
    </cfRule>
  </conditionalFormatting>
  <conditionalFormatting sqref="E602">
    <cfRule type="cellIs" rank="0" priority="1790" equalAverage="0" operator="greaterThan" aboveAverage="0" dxfId="7" text="" percent="0" bottom="0">
      <formula>0</formula>
    </cfRule>
  </conditionalFormatting>
  <conditionalFormatting sqref="F602">
    <cfRule type="cellIs" rank="0" priority="1791" equalAverage="0" operator="greaterThan" aboveAverage="0" dxfId="7" text="" percent="0" bottom="0">
      <formula>0</formula>
    </cfRule>
  </conditionalFormatting>
  <conditionalFormatting sqref="I602">
    <cfRule type="cellIs" rank="0" priority="1792" equalAverage="0" operator="lessThan" aboveAverage="0" dxfId="8" text="" percent="0" bottom="0">
      <formula>0</formula>
    </cfRule>
  </conditionalFormatting>
  <conditionalFormatting sqref="E603">
    <cfRule type="cellIs" rank="0" priority="1793" equalAverage="0" operator="greaterThan" aboveAverage="0" dxfId="7" text="" percent="0" bottom="0">
      <formula>0</formula>
    </cfRule>
  </conditionalFormatting>
  <conditionalFormatting sqref="F603">
    <cfRule type="cellIs" rank="0" priority="1794" equalAverage="0" operator="greaterThan" aboveAverage="0" dxfId="7" text="" percent="0" bottom="0">
      <formula>0</formula>
    </cfRule>
  </conditionalFormatting>
  <conditionalFormatting sqref="I603">
    <cfRule type="cellIs" rank="0" priority="1795" equalAverage="0" operator="lessThan" aboveAverage="0" dxfId="8" text="" percent="0" bottom="0">
      <formula>0</formula>
    </cfRule>
  </conditionalFormatting>
  <conditionalFormatting sqref="E604">
    <cfRule type="cellIs" rank="0" priority="1796" equalAverage="0" operator="greaterThan" aboveAverage="0" dxfId="7" text="" percent="0" bottom="0">
      <formula>0</formula>
    </cfRule>
  </conditionalFormatting>
  <conditionalFormatting sqref="F604">
    <cfRule type="cellIs" rank="0" priority="1797" equalAverage="0" operator="greaterThan" aboveAverage="0" dxfId="7" text="" percent="0" bottom="0">
      <formula>0</formula>
    </cfRule>
  </conditionalFormatting>
  <conditionalFormatting sqref="I604">
    <cfRule type="cellIs" rank="0" priority="1798" equalAverage="0" operator="lessThan" aboveAverage="0" dxfId="8" text="" percent="0" bottom="0">
      <formula>0</formula>
    </cfRule>
  </conditionalFormatting>
  <conditionalFormatting sqref="E605">
    <cfRule type="cellIs" rank="0" priority="1799" equalAverage="0" operator="greaterThan" aboveAverage="0" dxfId="7" text="" percent="0" bottom="0">
      <formula>0</formula>
    </cfRule>
  </conditionalFormatting>
  <conditionalFormatting sqref="F605">
    <cfRule type="cellIs" rank="0" priority="1800" equalAverage="0" operator="greaterThan" aboveAverage="0" dxfId="7" text="" percent="0" bottom="0">
      <formula>0</formula>
    </cfRule>
  </conditionalFormatting>
  <conditionalFormatting sqref="I605">
    <cfRule type="cellIs" rank="0" priority="1801" equalAverage="0" operator="lessThan" aboveAverage="0" dxfId="8" text="" percent="0" bottom="0">
      <formula>0</formula>
    </cfRule>
  </conditionalFormatting>
  <conditionalFormatting sqref="E606">
    <cfRule type="cellIs" rank="0" priority="1802" equalAverage="0" operator="greaterThan" aboveAverage="0" dxfId="7" text="" percent="0" bottom="0">
      <formula>0</formula>
    </cfRule>
  </conditionalFormatting>
  <conditionalFormatting sqref="F606">
    <cfRule type="cellIs" rank="0" priority="1803" equalAverage="0" operator="greaterThan" aboveAverage="0" dxfId="7" text="" percent="0" bottom="0">
      <formula>0</formula>
    </cfRule>
  </conditionalFormatting>
  <conditionalFormatting sqref="I606">
    <cfRule type="cellIs" rank="0" priority="1804" equalAverage="0" operator="lessThan" aboveAverage="0" dxfId="8" text="" percent="0" bottom="0">
      <formula>0</formula>
    </cfRule>
  </conditionalFormatting>
  <conditionalFormatting sqref="E607">
    <cfRule type="cellIs" rank="0" priority="1805" equalAverage="0" operator="greaterThan" aboveAverage="0" dxfId="7" text="" percent="0" bottom="0">
      <formula>0</formula>
    </cfRule>
  </conditionalFormatting>
  <conditionalFormatting sqref="F607">
    <cfRule type="cellIs" rank="0" priority="1806" equalAverage="0" operator="greaterThan" aboveAverage="0" dxfId="7" text="" percent="0" bottom="0">
      <formula>0</formula>
    </cfRule>
  </conditionalFormatting>
  <conditionalFormatting sqref="I607">
    <cfRule type="cellIs" rank="0" priority="1807" equalAverage="0" operator="lessThan" aboveAverage="0" dxfId="8" text="" percent="0" bottom="0">
      <formula>0</formula>
    </cfRule>
  </conditionalFormatting>
  <conditionalFormatting sqref="E608">
    <cfRule type="cellIs" rank="0" priority="1808" equalAverage="0" operator="greaterThan" aboveAverage="0" dxfId="7" text="" percent="0" bottom="0">
      <formula>0</formula>
    </cfRule>
  </conditionalFormatting>
  <conditionalFormatting sqref="F608">
    <cfRule type="cellIs" rank="0" priority="1809" equalAverage="0" operator="greaterThan" aboveAverage="0" dxfId="7" text="" percent="0" bottom="0">
      <formula>0</formula>
    </cfRule>
  </conditionalFormatting>
  <conditionalFormatting sqref="I608">
    <cfRule type="cellIs" rank="0" priority="1810" equalAverage="0" operator="lessThan" aboveAverage="0" dxfId="8" text="" percent="0" bottom="0">
      <formula>0</formula>
    </cfRule>
  </conditionalFormatting>
  <conditionalFormatting sqref="E609">
    <cfRule type="cellIs" rank="0" priority="1811" equalAverage="0" operator="greaterThan" aboveAverage="0" dxfId="7" text="" percent="0" bottom="0">
      <formula>0</formula>
    </cfRule>
  </conditionalFormatting>
  <conditionalFormatting sqref="F609">
    <cfRule type="cellIs" rank="0" priority="1812" equalAverage="0" operator="greaterThan" aboveAverage="0" dxfId="7" text="" percent="0" bottom="0">
      <formula>0</formula>
    </cfRule>
  </conditionalFormatting>
  <conditionalFormatting sqref="I609">
    <cfRule type="cellIs" rank="0" priority="1813" equalAverage="0" operator="lessThan" aboveAverage="0" dxfId="8" text="" percent="0" bottom="0">
      <formula>0</formula>
    </cfRule>
  </conditionalFormatting>
  <conditionalFormatting sqref="E610">
    <cfRule type="cellIs" rank="0" priority="1814" equalAverage="0" operator="greaterThan" aboveAverage="0" dxfId="7" text="" percent="0" bottom="0">
      <formula>0</formula>
    </cfRule>
  </conditionalFormatting>
  <conditionalFormatting sqref="F610">
    <cfRule type="cellIs" rank="0" priority="1815" equalAverage="0" operator="greaterThan" aboveAverage="0" dxfId="7" text="" percent="0" bottom="0">
      <formula>0</formula>
    </cfRule>
  </conditionalFormatting>
  <conditionalFormatting sqref="I610">
    <cfRule type="cellIs" rank="0" priority="1816" equalAverage="0" operator="lessThan" aboveAverage="0" dxfId="8" text="" percent="0" bottom="0">
      <formula>0</formula>
    </cfRule>
  </conditionalFormatting>
  <conditionalFormatting sqref="E611">
    <cfRule type="cellIs" rank="0" priority="1817" equalAverage="0" operator="greaterThan" aboveAverage="0" dxfId="7" text="" percent="0" bottom="0">
      <formula>0</formula>
    </cfRule>
  </conditionalFormatting>
  <conditionalFormatting sqref="F611">
    <cfRule type="cellIs" rank="0" priority="1818" equalAverage="0" operator="greaterThan" aboveAverage="0" dxfId="7" text="" percent="0" bottom="0">
      <formula>0</formula>
    </cfRule>
  </conditionalFormatting>
  <conditionalFormatting sqref="I611">
    <cfRule type="cellIs" rank="0" priority="1819" equalAverage="0" operator="lessThan" aboveAverage="0" dxfId="8" text="" percent="0" bottom="0">
      <formula>0</formula>
    </cfRule>
  </conditionalFormatting>
  <conditionalFormatting sqref="E612">
    <cfRule type="cellIs" rank="0" priority="1820" equalAverage="0" operator="greaterThan" aboveAverage="0" dxfId="7" text="" percent="0" bottom="0">
      <formula>0</formula>
    </cfRule>
  </conditionalFormatting>
  <conditionalFormatting sqref="F612">
    <cfRule type="cellIs" rank="0" priority="1821" equalAverage="0" operator="greaterThan" aboveAverage="0" dxfId="7" text="" percent="0" bottom="0">
      <formula>0</formula>
    </cfRule>
  </conditionalFormatting>
  <conditionalFormatting sqref="I612">
    <cfRule type="cellIs" rank="0" priority="1822" equalAverage="0" operator="lessThan" aboveAverage="0" dxfId="8" text="" percent="0" bottom="0">
      <formula>0</formula>
    </cfRule>
  </conditionalFormatting>
  <conditionalFormatting sqref="E613">
    <cfRule type="cellIs" rank="0" priority="1823" equalAverage="0" operator="greaterThan" aboveAverage="0" dxfId="7" text="" percent="0" bottom="0">
      <formula>0</formula>
    </cfRule>
  </conditionalFormatting>
  <conditionalFormatting sqref="F613">
    <cfRule type="cellIs" rank="0" priority="1824" equalAverage="0" operator="greaterThan" aboveAverage="0" dxfId="7" text="" percent="0" bottom="0">
      <formula>0</formula>
    </cfRule>
  </conditionalFormatting>
  <conditionalFormatting sqref="I613">
    <cfRule type="cellIs" rank="0" priority="1825" equalAverage="0" operator="lessThan" aboveAverage="0" dxfId="8" text="" percent="0" bottom="0">
      <formula>0</formula>
    </cfRule>
  </conditionalFormatting>
  <conditionalFormatting sqref="E614">
    <cfRule type="cellIs" rank="0" priority="1826" equalAverage="0" operator="greaterThan" aboveAverage="0" dxfId="7" text="" percent="0" bottom="0">
      <formula>0</formula>
    </cfRule>
  </conditionalFormatting>
  <conditionalFormatting sqref="F614">
    <cfRule type="cellIs" rank="0" priority="1827" equalAverage="0" operator="greaterThan" aboveAverage="0" dxfId="7" text="" percent="0" bottom="0">
      <formula>0</formula>
    </cfRule>
  </conditionalFormatting>
  <conditionalFormatting sqref="I614">
    <cfRule type="cellIs" rank="0" priority="1828" equalAverage="0" operator="lessThan" aboveAverage="0" dxfId="8" text="" percent="0" bottom="0">
      <formula>0</formula>
    </cfRule>
  </conditionalFormatting>
  <conditionalFormatting sqref="E615">
    <cfRule type="cellIs" rank="0" priority="1829" equalAverage="0" operator="greaterThan" aboveAverage="0" dxfId="7" text="" percent="0" bottom="0">
      <formula>0</formula>
    </cfRule>
  </conditionalFormatting>
  <conditionalFormatting sqref="F615">
    <cfRule type="cellIs" rank="0" priority="1830" equalAverage="0" operator="greaterThan" aboveAverage="0" dxfId="7" text="" percent="0" bottom="0">
      <formula>0</formula>
    </cfRule>
  </conditionalFormatting>
  <conditionalFormatting sqref="I615">
    <cfRule type="cellIs" rank="0" priority="1831" equalAverage="0" operator="lessThan" aboveAverage="0" dxfId="8" text="" percent="0" bottom="0">
      <formula>0</formula>
    </cfRule>
  </conditionalFormatting>
  <conditionalFormatting sqref="E616">
    <cfRule type="cellIs" rank="0" priority="1832" equalAverage="0" operator="greaterThan" aboveAverage="0" dxfId="7" text="" percent="0" bottom="0">
      <formula>0</formula>
    </cfRule>
  </conditionalFormatting>
  <conditionalFormatting sqref="F616">
    <cfRule type="cellIs" rank="0" priority="1833" equalAverage="0" operator="greaterThan" aboveAverage="0" dxfId="7" text="" percent="0" bottom="0">
      <formula>0</formula>
    </cfRule>
  </conditionalFormatting>
  <conditionalFormatting sqref="I616">
    <cfRule type="cellIs" rank="0" priority="1834" equalAverage="0" operator="lessThan" aboveAverage="0" dxfId="8" text="" percent="0" bottom="0">
      <formula>0</formula>
    </cfRule>
  </conditionalFormatting>
  <conditionalFormatting sqref="E617">
    <cfRule type="cellIs" rank="0" priority="1835" equalAverage="0" operator="greaterThan" aboveAverage="0" dxfId="7" text="" percent="0" bottom="0">
      <formula>0</formula>
    </cfRule>
  </conditionalFormatting>
  <conditionalFormatting sqref="F617">
    <cfRule type="cellIs" rank="0" priority="1836" equalAverage="0" operator="greaterThan" aboveAverage="0" dxfId="7" text="" percent="0" bottom="0">
      <formula>0</formula>
    </cfRule>
  </conditionalFormatting>
  <conditionalFormatting sqref="I617">
    <cfRule type="cellIs" rank="0" priority="1837" equalAverage="0" operator="lessThan" aboveAverage="0" dxfId="8" text="" percent="0" bottom="0">
      <formula>0</formula>
    </cfRule>
  </conditionalFormatting>
  <conditionalFormatting sqref="E618">
    <cfRule type="cellIs" rank="0" priority="1838" equalAverage="0" operator="greaterThan" aboveAverage="0" dxfId="7" text="" percent="0" bottom="0">
      <formula>0</formula>
    </cfRule>
  </conditionalFormatting>
  <conditionalFormatting sqref="F618">
    <cfRule type="cellIs" rank="0" priority="1839" equalAverage="0" operator="greaterThan" aboveAverage="0" dxfId="7" text="" percent="0" bottom="0">
      <formula>0</formula>
    </cfRule>
  </conditionalFormatting>
  <conditionalFormatting sqref="I618">
    <cfRule type="cellIs" rank="0" priority="1840" equalAverage="0" operator="lessThan" aboveAverage="0" dxfId="8" text="" percent="0" bottom="0">
      <formula>0</formula>
    </cfRule>
  </conditionalFormatting>
  <conditionalFormatting sqref="E619">
    <cfRule type="cellIs" rank="0" priority="1841" equalAverage="0" operator="greaterThan" aboveAverage="0" dxfId="7" text="" percent="0" bottom="0">
      <formula>0</formula>
    </cfRule>
  </conditionalFormatting>
  <conditionalFormatting sqref="F619">
    <cfRule type="cellIs" rank="0" priority="1842" equalAverage="0" operator="greaterThan" aboveAverage="0" dxfId="7" text="" percent="0" bottom="0">
      <formula>0</formula>
    </cfRule>
  </conditionalFormatting>
  <conditionalFormatting sqref="I619">
    <cfRule type="cellIs" rank="0" priority="1843" equalAverage="0" operator="lessThan" aboveAverage="0" dxfId="8" text="" percent="0" bottom="0">
      <formula>0</formula>
    </cfRule>
  </conditionalFormatting>
  <conditionalFormatting sqref="E620">
    <cfRule type="cellIs" rank="0" priority="1844" equalAverage="0" operator="greaterThan" aboveAverage="0" dxfId="7" text="" percent="0" bottom="0">
      <formula>0</formula>
    </cfRule>
  </conditionalFormatting>
  <conditionalFormatting sqref="F620">
    <cfRule type="cellIs" rank="0" priority="1845" equalAverage="0" operator="greaterThan" aboveAverage="0" dxfId="7" text="" percent="0" bottom="0">
      <formula>0</formula>
    </cfRule>
  </conditionalFormatting>
  <conditionalFormatting sqref="I620">
    <cfRule type="cellIs" rank="0" priority="1846" equalAverage="0" operator="lessThan" aboveAverage="0" dxfId="8" text="" percent="0" bottom="0">
      <formula>0</formula>
    </cfRule>
  </conditionalFormatting>
  <conditionalFormatting sqref="E621">
    <cfRule type="cellIs" rank="0" priority="1847" equalAverage="0" operator="greaterThan" aboveAverage="0" dxfId="7" text="" percent="0" bottom="0">
      <formula>0</formula>
    </cfRule>
  </conditionalFormatting>
  <conditionalFormatting sqref="F621">
    <cfRule type="cellIs" rank="0" priority="1848" equalAverage="0" operator="greaterThan" aboveAverage="0" dxfId="7" text="" percent="0" bottom="0">
      <formula>0</formula>
    </cfRule>
  </conditionalFormatting>
  <conditionalFormatting sqref="I621">
    <cfRule type="cellIs" rank="0" priority="1849" equalAverage="0" operator="lessThan" aboveAverage="0" dxfId="8" text="" percent="0" bottom="0">
      <formula>0</formula>
    </cfRule>
  </conditionalFormatting>
  <conditionalFormatting sqref="E622">
    <cfRule type="cellIs" rank="0" priority="1850" equalAverage="0" operator="greaterThan" aboveAverage="0" dxfId="7" text="" percent="0" bottom="0">
      <formula>0</formula>
    </cfRule>
  </conditionalFormatting>
  <conditionalFormatting sqref="F622">
    <cfRule type="cellIs" rank="0" priority="1851" equalAverage="0" operator="greaterThan" aboveAverage="0" dxfId="7" text="" percent="0" bottom="0">
      <formula>0</formula>
    </cfRule>
  </conditionalFormatting>
  <conditionalFormatting sqref="I622">
    <cfRule type="cellIs" rank="0" priority="1852" equalAverage="0" operator="lessThan" aboveAverage="0" dxfId="8" text="" percent="0" bottom="0">
      <formula>0</formula>
    </cfRule>
  </conditionalFormatting>
  <conditionalFormatting sqref="E623">
    <cfRule type="cellIs" rank="0" priority="1853" equalAverage="0" operator="greaterThan" aboveAverage="0" dxfId="7" text="" percent="0" bottom="0">
      <formula>0</formula>
    </cfRule>
  </conditionalFormatting>
  <conditionalFormatting sqref="F623">
    <cfRule type="cellIs" rank="0" priority="1854" equalAverage="0" operator="greaterThan" aboveAverage="0" dxfId="7" text="" percent="0" bottom="0">
      <formula>0</formula>
    </cfRule>
  </conditionalFormatting>
  <conditionalFormatting sqref="I623">
    <cfRule type="cellIs" rank="0" priority="1855" equalAverage="0" operator="lessThan" aboveAverage="0" dxfId="8" text="" percent="0" bottom="0">
      <formula>0</formula>
    </cfRule>
  </conditionalFormatting>
  <conditionalFormatting sqref="E624">
    <cfRule type="cellIs" rank="0" priority="1856" equalAverage="0" operator="greaterThan" aboveAverage="0" dxfId="7" text="" percent="0" bottom="0">
      <formula>0</formula>
    </cfRule>
  </conditionalFormatting>
  <conditionalFormatting sqref="F624">
    <cfRule type="cellIs" rank="0" priority="1857" equalAverage="0" operator="greaterThan" aboveAverage="0" dxfId="7" text="" percent="0" bottom="0">
      <formula>0</formula>
    </cfRule>
  </conditionalFormatting>
  <conditionalFormatting sqref="I624">
    <cfRule type="cellIs" rank="0" priority="1858" equalAverage="0" operator="lessThan" aboveAverage="0" dxfId="8" text="" percent="0" bottom="0">
      <formula>0</formula>
    </cfRule>
  </conditionalFormatting>
  <conditionalFormatting sqref="E625">
    <cfRule type="cellIs" rank="0" priority="1859" equalAverage="0" operator="greaterThan" aboveAverage="0" dxfId="7" text="" percent="0" bottom="0">
      <formula>0</formula>
    </cfRule>
  </conditionalFormatting>
  <conditionalFormatting sqref="F625">
    <cfRule type="cellIs" rank="0" priority="1860" equalAverage="0" operator="greaterThan" aboveAverage="0" dxfId="7" text="" percent="0" bottom="0">
      <formula>0</formula>
    </cfRule>
  </conditionalFormatting>
  <conditionalFormatting sqref="I625">
    <cfRule type="cellIs" rank="0" priority="1861" equalAverage="0" operator="lessThan" aboveAverage="0" dxfId="8" text="" percent="0" bottom="0">
      <formula>0</formula>
    </cfRule>
  </conditionalFormatting>
  <conditionalFormatting sqref="E626">
    <cfRule type="cellIs" rank="0" priority="1862" equalAverage="0" operator="greaterThan" aboveAverage="0" dxfId="7" text="" percent="0" bottom="0">
      <formula>0</formula>
    </cfRule>
  </conditionalFormatting>
  <conditionalFormatting sqref="F626">
    <cfRule type="cellIs" rank="0" priority="1863" equalAverage="0" operator="greaterThan" aboveAverage="0" dxfId="7" text="" percent="0" bottom="0">
      <formula>0</formula>
    </cfRule>
  </conditionalFormatting>
  <conditionalFormatting sqref="I626">
    <cfRule type="cellIs" rank="0" priority="1864" equalAverage="0" operator="lessThan" aboveAverage="0" dxfId="8" text="" percent="0" bottom="0">
      <formula>0</formula>
    </cfRule>
  </conditionalFormatting>
  <conditionalFormatting sqref="E627">
    <cfRule type="cellIs" rank="0" priority="1865" equalAverage="0" operator="greaterThan" aboveAverage="0" dxfId="7" text="" percent="0" bottom="0">
      <formula>0</formula>
    </cfRule>
  </conditionalFormatting>
  <conditionalFormatting sqref="F627">
    <cfRule type="cellIs" rank="0" priority="1866" equalAverage="0" operator="greaterThan" aboveAverage="0" dxfId="7" text="" percent="0" bottom="0">
      <formula>0</formula>
    </cfRule>
  </conditionalFormatting>
  <conditionalFormatting sqref="I627">
    <cfRule type="cellIs" rank="0" priority="1867" equalAverage="0" operator="lessThan" aboveAverage="0" dxfId="8" text="" percent="0" bottom="0">
      <formula>0</formula>
    </cfRule>
  </conditionalFormatting>
  <conditionalFormatting sqref="E628">
    <cfRule type="cellIs" rank="0" priority="1868" equalAverage="0" operator="greaterThan" aboveAverage="0" dxfId="7" text="" percent="0" bottom="0">
      <formula>0</formula>
    </cfRule>
  </conditionalFormatting>
  <conditionalFormatting sqref="F628">
    <cfRule type="cellIs" rank="0" priority="1869" equalAverage="0" operator="greaterThan" aboveAverage="0" dxfId="7" text="" percent="0" bottom="0">
      <formula>0</formula>
    </cfRule>
  </conditionalFormatting>
  <conditionalFormatting sqref="I628">
    <cfRule type="cellIs" rank="0" priority="1870" equalAverage="0" operator="lessThan" aboveAverage="0" dxfId="8" text="" percent="0" bottom="0">
      <formula>0</formula>
    </cfRule>
  </conditionalFormatting>
  <conditionalFormatting sqref="E629">
    <cfRule type="cellIs" rank="0" priority="1871" equalAverage="0" operator="greaterThan" aboveAverage="0" dxfId="7" text="" percent="0" bottom="0">
      <formula>0</formula>
    </cfRule>
  </conditionalFormatting>
  <conditionalFormatting sqref="F629">
    <cfRule type="cellIs" rank="0" priority="1872" equalAverage="0" operator="greaterThan" aboveAverage="0" dxfId="7" text="" percent="0" bottom="0">
      <formula>0</formula>
    </cfRule>
  </conditionalFormatting>
  <conditionalFormatting sqref="I629">
    <cfRule type="cellIs" rank="0" priority="1873" equalAverage="0" operator="lessThan" aboveAverage="0" dxfId="8" text="" percent="0" bottom="0">
      <formula>0</formula>
    </cfRule>
  </conditionalFormatting>
  <conditionalFormatting sqref="E630">
    <cfRule type="cellIs" rank="0" priority="1874" equalAverage="0" operator="greaterThan" aboveAverage="0" dxfId="7" text="" percent="0" bottom="0">
      <formula>0</formula>
    </cfRule>
  </conditionalFormatting>
  <conditionalFormatting sqref="F630">
    <cfRule type="cellIs" rank="0" priority="1875" equalAverage="0" operator="greaterThan" aboveAverage="0" dxfId="7" text="" percent="0" bottom="0">
      <formula>0</formula>
    </cfRule>
  </conditionalFormatting>
  <conditionalFormatting sqref="I630">
    <cfRule type="cellIs" rank="0" priority="1876" equalAverage="0" operator="lessThan" aboveAverage="0" dxfId="8" text="" percent="0" bottom="0">
      <formula>0</formula>
    </cfRule>
  </conditionalFormatting>
  <conditionalFormatting sqref="E631">
    <cfRule type="cellIs" rank="0" priority="1877" equalAverage="0" operator="greaterThan" aboveAverage="0" dxfId="7" text="" percent="0" bottom="0">
      <formula>0</formula>
    </cfRule>
  </conditionalFormatting>
  <conditionalFormatting sqref="F631">
    <cfRule type="cellIs" rank="0" priority="1878" equalAverage="0" operator="greaterThan" aboveAverage="0" dxfId="7" text="" percent="0" bottom="0">
      <formula>0</formula>
    </cfRule>
  </conditionalFormatting>
  <conditionalFormatting sqref="I631">
    <cfRule type="cellIs" rank="0" priority="1879" equalAverage="0" operator="lessThan" aboveAverage="0" dxfId="8" text="" percent="0" bottom="0">
      <formula>0</formula>
    </cfRule>
  </conditionalFormatting>
  <conditionalFormatting sqref="E632">
    <cfRule type="cellIs" rank="0" priority="1880" equalAverage="0" operator="greaterThan" aboveAverage="0" dxfId="7" text="" percent="0" bottom="0">
      <formula>0</formula>
    </cfRule>
  </conditionalFormatting>
  <conditionalFormatting sqref="F632">
    <cfRule type="cellIs" rank="0" priority="1881" equalAverage="0" operator="greaterThan" aboveAverage="0" dxfId="7" text="" percent="0" bottom="0">
      <formula>0</formula>
    </cfRule>
  </conditionalFormatting>
  <conditionalFormatting sqref="I632">
    <cfRule type="cellIs" rank="0" priority="1882" equalAverage="0" operator="lessThan" aboveAverage="0" dxfId="8" text="" percent="0" bottom="0">
      <formula>0</formula>
    </cfRule>
  </conditionalFormatting>
  <conditionalFormatting sqref="E633">
    <cfRule type="cellIs" rank="0" priority="1883" equalAverage="0" operator="greaterThan" aboveAverage="0" dxfId="7" text="" percent="0" bottom="0">
      <formula>0</formula>
    </cfRule>
  </conditionalFormatting>
  <conditionalFormatting sqref="F633">
    <cfRule type="cellIs" rank="0" priority="1884" equalAverage="0" operator="greaterThan" aboveAverage="0" dxfId="7" text="" percent="0" bottom="0">
      <formula>0</formula>
    </cfRule>
  </conditionalFormatting>
  <conditionalFormatting sqref="I633">
    <cfRule type="cellIs" rank="0" priority="1885" equalAverage="0" operator="lessThan" aboveAverage="0" dxfId="8" text="" percent="0" bottom="0">
      <formula>0</formula>
    </cfRule>
  </conditionalFormatting>
  <conditionalFormatting sqref="E634">
    <cfRule type="cellIs" rank="0" priority="1886" equalAverage="0" operator="greaterThan" aboveAverage="0" dxfId="7" text="" percent="0" bottom="0">
      <formula>0</formula>
    </cfRule>
  </conditionalFormatting>
  <conditionalFormatting sqref="F634">
    <cfRule type="cellIs" rank="0" priority="1887" equalAverage="0" operator="greaterThan" aboveAverage="0" dxfId="7" text="" percent="0" bottom="0">
      <formula>0</formula>
    </cfRule>
  </conditionalFormatting>
  <conditionalFormatting sqref="I634">
    <cfRule type="cellIs" rank="0" priority="1888" equalAverage="0" operator="lessThan" aboveAverage="0" dxfId="8" text="" percent="0" bottom="0">
      <formula>0</formula>
    </cfRule>
  </conditionalFormatting>
  <conditionalFormatting sqref="E635">
    <cfRule type="cellIs" rank="0" priority="1889" equalAverage="0" operator="greaterThan" aboveAverage="0" dxfId="7" text="" percent="0" bottom="0">
      <formula>0</formula>
    </cfRule>
  </conditionalFormatting>
  <conditionalFormatting sqref="F635">
    <cfRule type="cellIs" rank="0" priority="1890" equalAverage="0" operator="greaterThan" aboveAverage="0" dxfId="7" text="" percent="0" bottom="0">
      <formula>0</formula>
    </cfRule>
  </conditionalFormatting>
  <conditionalFormatting sqref="I635">
    <cfRule type="cellIs" rank="0" priority="1891" equalAverage="0" operator="lessThan" aboveAverage="0" dxfId="8" text="" percent="0" bottom="0">
      <formula>0</formula>
    </cfRule>
  </conditionalFormatting>
  <conditionalFormatting sqref="E636">
    <cfRule type="cellIs" rank="0" priority="1892" equalAverage="0" operator="greaterThan" aboveAverage="0" dxfId="7" text="" percent="0" bottom="0">
      <formula>0</formula>
    </cfRule>
  </conditionalFormatting>
  <conditionalFormatting sqref="F636">
    <cfRule type="cellIs" rank="0" priority="1893" equalAverage="0" operator="greaterThan" aboveAverage="0" dxfId="7" text="" percent="0" bottom="0">
      <formula>0</formula>
    </cfRule>
  </conditionalFormatting>
  <conditionalFormatting sqref="I636">
    <cfRule type="cellIs" rank="0" priority="1894" equalAverage="0" operator="lessThan" aboveAverage="0" dxfId="8" text="" percent="0" bottom="0">
      <formula>0</formula>
    </cfRule>
  </conditionalFormatting>
  <conditionalFormatting sqref="E637">
    <cfRule type="cellIs" rank="0" priority="1895" equalAverage="0" operator="greaterThan" aboveAverage="0" dxfId="7" text="" percent="0" bottom="0">
      <formula>0</formula>
    </cfRule>
  </conditionalFormatting>
  <conditionalFormatting sqref="F637">
    <cfRule type="cellIs" rank="0" priority="1896" equalAverage="0" operator="greaterThan" aboveAverage="0" dxfId="7" text="" percent="0" bottom="0">
      <formula>0</formula>
    </cfRule>
  </conditionalFormatting>
  <conditionalFormatting sqref="I637">
    <cfRule type="cellIs" rank="0" priority="1897" equalAverage="0" operator="lessThan" aboveAverage="0" dxfId="8" text="" percent="0" bottom="0">
      <formula>0</formula>
    </cfRule>
  </conditionalFormatting>
  <conditionalFormatting sqref="E638">
    <cfRule type="cellIs" rank="0" priority="1898" equalAverage="0" operator="greaterThan" aboveAverage="0" dxfId="7" text="" percent="0" bottom="0">
      <formula>0</formula>
    </cfRule>
  </conditionalFormatting>
  <conditionalFormatting sqref="F638">
    <cfRule type="cellIs" rank="0" priority="1899" equalAverage="0" operator="greaterThan" aboveAverage="0" dxfId="7" text="" percent="0" bottom="0">
      <formula>0</formula>
    </cfRule>
  </conditionalFormatting>
  <conditionalFormatting sqref="I638">
    <cfRule type="cellIs" rank="0" priority="1900" equalAverage="0" operator="lessThan" aboveAverage="0" dxfId="8" text="" percent="0" bottom="0">
      <formula>0</formula>
    </cfRule>
  </conditionalFormatting>
  <conditionalFormatting sqref="E639">
    <cfRule type="cellIs" rank="0" priority="1901" equalAverage="0" operator="greaterThan" aboveAverage="0" dxfId="7" text="" percent="0" bottom="0">
      <formula>0</formula>
    </cfRule>
  </conditionalFormatting>
  <conditionalFormatting sqref="F639">
    <cfRule type="cellIs" rank="0" priority="1902" equalAverage="0" operator="greaterThan" aboveAverage="0" dxfId="7" text="" percent="0" bottom="0">
      <formula>0</formula>
    </cfRule>
  </conditionalFormatting>
  <conditionalFormatting sqref="I639">
    <cfRule type="cellIs" rank="0" priority="1903" equalAverage="0" operator="lessThan" aboveAverage="0" dxfId="8" text="" percent="0" bottom="0">
      <formula>0</formula>
    </cfRule>
  </conditionalFormatting>
  <conditionalFormatting sqref="E640">
    <cfRule type="cellIs" rank="0" priority="1904" equalAverage="0" operator="greaterThan" aboveAverage="0" dxfId="7" text="" percent="0" bottom="0">
      <formula>0</formula>
    </cfRule>
  </conditionalFormatting>
  <conditionalFormatting sqref="F640">
    <cfRule type="cellIs" rank="0" priority="1905" equalAverage="0" operator="greaterThan" aboveAverage="0" dxfId="7" text="" percent="0" bottom="0">
      <formula>0</formula>
    </cfRule>
  </conditionalFormatting>
  <conditionalFormatting sqref="I640">
    <cfRule type="cellIs" rank="0" priority="1906" equalAverage="0" operator="lessThan" aboveAverage="0" dxfId="8" text="" percent="0" bottom="0">
      <formula>0</formula>
    </cfRule>
  </conditionalFormatting>
  <conditionalFormatting sqref="E641">
    <cfRule type="cellIs" rank="0" priority="1907" equalAverage="0" operator="greaterThan" aboveAverage="0" dxfId="7" text="" percent="0" bottom="0">
      <formula>0</formula>
    </cfRule>
  </conditionalFormatting>
  <conditionalFormatting sqref="F641">
    <cfRule type="cellIs" rank="0" priority="1908" equalAverage="0" operator="greaterThan" aboveAverage="0" dxfId="7" text="" percent="0" bottom="0">
      <formula>0</formula>
    </cfRule>
  </conditionalFormatting>
  <conditionalFormatting sqref="I641">
    <cfRule type="cellIs" rank="0" priority="1909" equalAverage="0" operator="lessThan" aboveAverage="0" dxfId="8" text="" percent="0" bottom="0">
      <formula>0</formula>
    </cfRule>
  </conditionalFormatting>
  <conditionalFormatting sqref="E642">
    <cfRule type="cellIs" rank="0" priority="1910" equalAverage="0" operator="greaterThan" aboveAverage="0" dxfId="7" text="" percent="0" bottom="0">
      <formula>0</formula>
    </cfRule>
  </conditionalFormatting>
  <conditionalFormatting sqref="F642">
    <cfRule type="cellIs" rank="0" priority="1911" equalAverage="0" operator="greaterThan" aboveAverage="0" dxfId="7" text="" percent="0" bottom="0">
      <formula>0</formula>
    </cfRule>
  </conditionalFormatting>
  <conditionalFormatting sqref="I642">
    <cfRule type="cellIs" rank="0" priority="1912" equalAverage="0" operator="lessThan" aboveAverage="0" dxfId="8" text="" percent="0" bottom="0">
      <formula>0</formula>
    </cfRule>
  </conditionalFormatting>
  <conditionalFormatting sqref="E643">
    <cfRule type="cellIs" rank="0" priority="1913" equalAverage="0" operator="greaterThan" aboveAverage="0" dxfId="7" text="" percent="0" bottom="0">
      <formula>0</formula>
    </cfRule>
  </conditionalFormatting>
  <conditionalFormatting sqref="F643">
    <cfRule type="cellIs" rank="0" priority="1914" equalAverage="0" operator="greaterThan" aboveAverage="0" dxfId="7" text="" percent="0" bottom="0">
      <formula>0</formula>
    </cfRule>
  </conditionalFormatting>
  <conditionalFormatting sqref="I643">
    <cfRule type="cellIs" rank="0" priority="1915" equalAverage="0" operator="lessThan" aboveAverage="0" dxfId="8" text="" percent="0" bottom="0">
      <formula>0</formula>
    </cfRule>
  </conditionalFormatting>
  <conditionalFormatting sqref="E644">
    <cfRule type="cellIs" rank="0" priority="1916" equalAverage="0" operator="greaterThan" aboveAverage="0" dxfId="7" text="" percent="0" bottom="0">
      <formula>0</formula>
    </cfRule>
  </conditionalFormatting>
  <conditionalFormatting sqref="F644">
    <cfRule type="cellIs" rank="0" priority="1917" equalAverage="0" operator="greaterThan" aboveAverage="0" dxfId="7" text="" percent="0" bottom="0">
      <formula>0</formula>
    </cfRule>
  </conditionalFormatting>
  <conditionalFormatting sqref="I644">
    <cfRule type="cellIs" rank="0" priority="1918" equalAverage="0" operator="lessThan" aboveAverage="0" dxfId="8" text="" percent="0" bottom="0">
      <formula>0</formula>
    </cfRule>
  </conditionalFormatting>
  <conditionalFormatting sqref="E645">
    <cfRule type="cellIs" rank="0" priority="1919" equalAverage="0" operator="greaterThan" aboveAverage="0" dxfId="7" text="" percent="0" bottom="0">
      <formula>0</formula>
    </cfRule>
  </conditionalFormatting>
  <conditionalFormatting sqref="F645">
    <cfRule type="cellIs" rank="0" priority="1920" equalAverage="0" operator="greaterThan" aboveAverage="0" dxfId="7" text="" percent="0" bottom="0">
      <formula>0</formula>
    </cfRule>
  </conditionalFormatting>
  <conditionalFormatting sqref="I645">
    <cfRule type="cellIs" rank="0" priority="1921" equalAverage="0" operator="lessThan" aboveAverage="0" dxfId="8" text="" percent="0" bottom="0">
      <formula>0</formula>
    </cfRule>
  </conditionalFormatting>
  <conditionalFormatting sqref="E646">
    <cfRule type="cellIs" rank="0" priority="1922" equalAverage="0" operator="greaterThan" aboveAverage="0" dxfId="7" text="" percent="0" bottom="0">
      <formula>0</formula>
    </cfRule>
  </conditionalFormatting>
  <conditionalFormatting sqref="F646">
    <cfRule type="cellIs" rank="0" priority="1923" equalAverage="0" operator="greaterThan" aboveAverage="0" dxfId="7" text="" percent="0" bottom="0">
      <formula>0</formula>
    </cfRule>
  </conditionalFormatting>
  <conditionalFormatting sqref="I646">
    <cfRule type="cellIs" rank="0" priority="1924" equalAverage="0" operator="lessThan" aboveAverage="0" dxfId="8" text="" percent="0" bottom="0">
      <formula>0</formula>
    </cfRule>
  </conditionalFormatting>
  <conditionalFormatting sqref="E647">
    <cfRule type="cellIs" rank="0" priority="1925" equalAverage="0" operator="greaterThan" aboveAverage="0" dxfId="7" text="" percent="0" bottom="0">
      <formula>0</formula>
    </cfRule>
  </conditionalFormatting>
  <conditionalFormatting sqref="F647">
    <cfRule type="cellIs" rank="0" priority="1926" equalAverage="0" operator="greaterThan" aboveAverage="0" dxfId="7" text="" percent="0" bottom="0">
      <formula>0</formula>
    </cfRule>
  </conditionalFormatting>
  <conditionalFormatting sqref="I647">
    <cfRule type="cellIs" rank="0" priority="1927" equalAverage="0" operator="lessThan" aboveAverage="0" dxfId="8" text="" percent="0" bottom="0">
      <formula>0</formula>
    </cfRule>
  </conditionalFormatting>
  <conditionalFormatting sqref="E648">
    <cfRule type="cellIs" rank="0" priority="1928" equalAverage="0" operator="greaterThan" aboveAverage="0" dxfId="7" text="" percent="0" bottom="0">
      <formula>0</formula>
    </cfRule>
  </conditionalFormatting>
  <conditionalFormatting sqref="F648">
    <cfRule type="cellIs" rank="0" priority="1929" equalAverage="0" operator="greaterThan" aboveAverage="0" dxfId="7" text="" percent="0" bottom="0">
      <formula>0</formula>
    </cfRule>
  </conditionalFormatting>
  <conditionalFormatting sqref="I648">
    <cfRule type="cellIs" rank="0" priority="1930" equalAverage="0" operator="lessThan" aboveAverage="0" dxfId="8" text="" percent="0" bottom="0">
      <formula>0</formula>
    </cfRule>
  </conditionalFormatting>
  <conditionalFormatting sqref="E649">
    <cfRule type="cellIs" rank="0" priority="1931" equalAverage="0" operator="greaterThan" aboveAverage="0" dxfId="7" text="" percent="0" bottom="0">
      <formula>0</formula>
    </cfRule>
  </conditionalFormatting>
  <conditionalFormatting sqref="F649">
    <cfRule type="cellIs" rank="0" priority="1932" equalAverage="0" operator="greaterThan" aboveAverage="0" dxfId="7" text="" percent="0" bottom="0">
      <formula>0</formula>
    </cfRule>
  </conditionalFormatting>
  <conditionalFormatting sqref="I649">
    <cfRule type="cellIs" rank="0" priority="1933" equalAverage="0" operator="lessThan" aboveAverage="0" dxfId="8" text="" percent="0" bottom="0">
      <formula>0</formula>
    </cfRule>
  </conditionalFormatting>
  <conditionalFormatting sqref="E650">
    <cfRule type="cellIs" rank="0" priority="1934" equalAverage="0" operator="greaterThan" aboveAverage="0" dxfId="7" text="" percent="0" bottom="0">
      <formula>0</formula>
    </cfRule>
  </conditionalFormatting>
  <conditionalFormatting sqref="F650">
    <cfRule type="cellIs" rank="0" priority="1935" equalAverage="0" operator="greaterThan" aboveAverage="0" dxfId="7" text="" percent="0" bottom="0">
      <formula>0</formula>
    </cfRule>
  </conditionalFormatting>
  <conditionalFormatting sqref="I650">
    <cfRule type="cellIs" rank="0" priority="1936" equalAverage="0" operator="lessThan" aboveAverage="0" dxfId="8" text="" percent="0" bottom="0">
      <formula>0</formula>
    </cfRule>
  </conditionalFormatting>
  <conditionalFormatting sqref="E651">
    <cfRule type="cellIs" rank="0" priority="1937" equalAverage="0" operator="greaterThan" aboveAverage="0" dxfId="7" text="" percent="0" bottom="0">
      <formula>0</formula>
    </cfRule>
  </conditionalFormatting>
  <conditionalFormatting sqref="F651">
    <cfRule type="cellIs" rank="0" priority="1938" equalAverage="0" operator="greaterThan" aboveAverage="0" dxfId="7" text="" percent="0" bottom="0">
      <formula>0</formula>
    </cfRule>
  </conditionalFormatting>
  <conditionalFormatting sqref="I651">
    <cfRule type="cellIs" rank="0" priority="1939" equalAverage="0" operator="lessThan" aboveAverage="0" dxfId="8" text="" percent="0" bottom="0">
      <formula>0</formula>
    </cfRule>
  </conditionalFormatting>
  <conditionalFormatting sqref="E652">
    <cfRule type="cellIs" rank="0" priority="1940" equalAverage="0" operator="greaterThan" aboveAverage="0" dxfId="7" text="" percent="0" bottom="0">
      <formula>0</formula>
    </cfRule>
  </conditionalFormatting>
  <conditionalFormatting sqref="F652">
    <cfRule type="cellIs" rank="0" priority="1941" equalAverage="0" operator="greaterThan" aboveAverage="0" dxfId="7" text="" percent="0" bottom="0">
      <formula>0</formula>
    </cfRule>
  </conditionalFormatting>
  <conditionalFormatting sqref="I652">
    <cfRule type="cellIs" rank="0" priority="1942" equalAverage="0" operator="lessThan" aboveAverage="0" dxfId="8" text="" percent="0" bottom="0">
      <formula>0</formula>
    </cfRule>
  </conditionalFormatting>
  <conditionalFormatting sqref="E653">
    <cfRule type="cellIs" rank="0" priority="1943" equalAverage="0" operator="greaterThan" aboveAverage="0" dxfId="7" text="" percent="0" bottom="0">
      <formula>0</formula>
    </cfRule>
  </conditionalFormatting>
  <conditionalFormatting sqref="F653">
    <cfRule type="cellIs" rank="0" priority="1944" equalAverage="0" operator="greaterThan" aboveAverage="0" dxfId="7" text="" percent="0" bottom="0">
      <formula>0</formula>
    </cfRule>
  </conditionalFormatting>
  <conditionalFormatting sqref="I653">
    <cfRule type="cellIs" rank="0" priority="1945" equalAverage="0" operator="lessThan" aboveAverage="0" dxfId="8" text="" percent="0" bottom="0">
      <formula>0</formula>
    </cfRule>
  </conditionalFormatting>
  <conditionalFormatting sqref="E654">
    <cfRule type="cellIs" rank="0" priority="1946" equalAverage="0" operator="greaterThan" aboveAverage="0" dxfId="7" text="" percent="0" bottom="0">
      <formula>0</formula>
    </cfRule>
  </conditionalFormatting>
  <conditionalFormatting sqref="F654">
    <cfRule type="cellIs" rank="0" priority="1947" equalAverage="0" operator="greaterThan" aboveAverage="0" dxfId="7" text="" percent="0" bottom="0">
      <formula>0</formula>
    </cfRule>
  </conditionalFormatting>
  <conditionalFormatting sqref="I654">
    <cfRule type="cellIs" rank="0" priority="1948" equalAverage="0" operator="lessThan" aboveAverage="0" dxfId="8" text="" percent="0" bottom="0">
      <formula>0</formula>
    </cfRule>
  </conditionalFormatting>
  <conditionalFormatting sqref="E655">
    <cfRule type="cellIs" rank="0" priority="1949" equalAverage="0" operator="greaterThan" aboveAverage="0" dxfId="7" text="" percent="0" bottom="0">
      <formula>0</formula>
    </cfRule>
  </conditionalFormatting>
  <conditionalFormatting sqref="F655">
    <cfRule type="cellIs" rank="0" priority="1950" equalAverage="0" operator="greaterThan" aboveAverage="0" dxfId="7" text="" percent="0" bottom="0">
      <formula>0</formula>
    </cfRule>
  </conditionalFormatting>
  <conditionalFormatting sqref="I655">
    <cfRule type="cellIs" rank="0" priority="1951" equalAverage="0" operator="lessThan" aboveAverage="0" dxfId="8" text="" percent="0" bottom="0">
      <formula>0</formula>
    </cfRule>
  </conditionalFormatting>
  <conditionalFormatting sqref="E656">
    <cfRule type="cellIs" rank="0" priority="1952" equalAverage="0" operator="greaterThan" aboveAverage="0" dxfId="7" text="" percent="0" bottom="0">
      <formula>0</formula>
    </cfRule>
  </conditionalFormatting>
  <conditionalFormatting sqref="F656">
    <cfRule type="cellIs" rank="0" priority="1953" equalAverage="0" operator="greaterThan" aboveAverage="0" dxfId="7" text="" percent="0" bottom="0">
      <formula>0</formula>
    </cfRule>
  </conditionalFormatting>
  <conditionalFormatting sqref="I656">
    <cfRule type="cellIs" rank="0" priority="1954" equalAverage="0" operator="lessThan" aboveAverage="0" dxfId="8" text="" percent="0" bottom="0">
      <formula>0</formula>
    </cfRule>
  </conditionalFormatting>
  <conditionalFormatting sqref="E657">
    <cfRule type="cellIs" rank="0" priority="1955" equalAverage="0" operator="greaterThan" aboveAverage="0" dxfId="7" text="" percent="0" bottom="0">
      <formula>0</formula>
    </cfRule>
  </conditionalFormatting>
  <conditionalFormatting sqref="F657">
    <cfRule type="cellIs" rank="0" priority="1956" equalAverage="0" operator="greaterThan" aboveAverage="0" dxfId="7" text="" percent="0" bottom="0">
      <formula>0</formula>
    </cfRule>
  </conditionalFormatting>
  <conditionalFormatting sqref="I657">
    <cfRule type="cellIs" rank="0" priority="1957" equalAverage="0" operator="lessThan" aboveAverage="0" dxfId="8" text="" percent="0" bottom="0">
      <formula>0</formula>
    </cfRule>
  </conditionalFormatting>
  <conditionalFormatting sqref="E658">
    <cfRule type="cellIs" rank="0" priority="1958" equalAverage="0" operator="greaterThan" aboveAverage="0" dxfId="7" text="" percent="0" bottom="0">
      <formula>0</formula>
    </cfRule>
  </conditionalFormatting>
  <conditionalFormatting sqref="F658">
    <cfRule type="cellIs" rank="0" priority="1959" equalAverage="0" operator="greaterThan" aboveAverage="0" dxfId="7" text="" percent="0" bottom="0">
      <formula>0</formula>
    </cfRule>
  </conditionalFormatting>
  <conditionalFormatting sqref="I658">
    <cfRule type="cellIs" rank="0" priority="1960" equalAverage="0" operator="lessThan" aboveAverage="0" dxfId="8" text="" percent="0" bottom="0">
      <formula>0</formula>
    </cfRule>
  </conditionalFormatting>
  <conditionalFormatting sqref="E659">
    <cfRule type="cellIs" rank="0" priority="1961" equalAverage="0" operator="greaterThan" aboveAverage="0" dxfId="7" text="" percent="0" bottom="0">
      <formula>0</formula>
    </cfRule>
  </conditionalFormatting>
  <conditionalFormatting sqref="F659">
    <cfRule type="cellIs" rank="0" priority="1962" equalAverage="0" operator="greaterThan" aboveAverage="0" dxfId="7" text="" percent="0" bottom="0">
      <formula>0</formula>
    </cfRule>
  </conditionalFormatting>
  <conditionalFormatting sqref="I659">
    <cfRule type="cellIs" rank="0" priority="1963" equalAverage="0" operator="lessThan" aboveAverage="0" dxfId="8" text="" percent="0" bottom="0">
      <formula>0</formula>
    </cfRule>
  </conditionalFormatting>
  <conditionalFormatting sqref="E660">
    <cfRule type="cellIs" rank="0" priority="1964" equalAverage="0" operator="greaterThan" aboveAverage="0" dxfId="7" text="" percent="0" bottom="0">
      <formula>0</formula>
    </cfRule>
  </conditionalFormatting>
  <conditionalFormatting sqref="F660">
    <cfRule type="cellIs" rank="0" priority="1965" equalAverage="0" operator="greaterThan" aboveAverage="0" dxfId="7" text="" percent="0" bottom="0">
      <formula>0</formula>
    </cfRule>
  </conditionalFormatting>
  <conditionalFormatting sqref="I660">
    <cfRule type="cellIs" rank="0" priority="1966" equalAverage="0" operator="lessThan" aboveAverage="0" dxfId="8" text="" percent="0" bottom="0">
      <formula>0</formula>
    </cfRule>
  </conditionalFormatting>
  <conditionalFormatting sqref="E661">
    <cfRule type="cellIs" rank="0" priority="1967" equalAverage="0" operator="greaterThan" aboveAverage="0" dxfId="7" text="" percent="0" bottom="0">
      <formula>0</formula>
    </cfRule>
  </conditionalFormatting>
  <conditionalFormatting sqref="F661">
    <cfRule type="cellIs" rank="0" priority="1968" equalAverage="0" operator="greaterThan" aboveAverage="0" dxfId="7" text="" percent="0" bottom="0">
      <formula>0</formula>
    </cfRule>
  </conditionalFormatting>
  <conditionalFormatting sqref="I661">
    <cfRule type="cellIs" rank="0" priority="1969" equalAverage="0" operator="lessThan" aboveAverage="0" dxfId="8" text="" percent="0" bottom="0">
      <formula>0</formula>
    </cfRule>
  </conditionalFormatting>
  <conditionalFormatting sqref="E662">
    <cfRule type="cellIs" rank="0" priority="1970" equalAverage="0" operator="greaterThan" aboveAverage="0" dxfId="7" text="" percent="0" bottom="0">
      <formula>0</formula>
    </cfRule>
  </conditionalFormatting>
  <conditionalFormatting sqref="F662">
    <cfRule type="cellIs" rank="0" priority="1971" equalAverage="0" operator="greaterThan" aboveAverage="0" dxfId="7" text="" percent="0" bottom="0">
      <formula>0</formula>
    </cfRule>
  </conditionalFormatting>
  <conditionalFormatting sqref="I662">
    <cfRule type="cellIs" rank="0" priority="1972" equalAverage="0" operator="lessThan" aboveAverage="0" dxfId="8" text="" percent="0" bottom="0">
      <formula>0</formula>
    </cfRule>
  </conditionalFormatting>
  <conditionalFormatting sqref="E663">
    <cfRule type="cellIs" rank="0" priority="1973" equalAverage="0" operator="greaterThan" aboveAverage="0" dxfId="7" text="" percent="0" bottom="0">
      <formula>0</formula>
    </cfRule>
  </conditionalFormatting>
  <conditionalFormatting sqref="F663">
    <cfRule type="cellIs" rank="0" priority="1974" equalAverage="0" operator="greaterThan" aboveAverage="0" dxfId="7" text="" percent="0" bottom="0">
      <formula>0</formula>
    </cfRule>
  </conditionalFormatting>
  <conditionalFormatting sqref="I663">
    <cfRule type="cellIs" rank="0" priority="1975" equalAverage="0" operator="lessThan" aboveAverage="0" dxfId="8" text="" percent="0" bottom="0">
      <formula>0</formula>
    </cfRule>
  </conditionalFormatting>
  <conditionalFormatting sqref="E664">
    <cfRule type="cellIs" rank="0" priority="1976" equalAverage="0" operator="greaterThan" aboveAverage="0" dxfId="7" text="" percent="0" bottom="0">
      <formula>0</formula>
    </cfRule>
  </conditionalFormatting>
  <conditionalFormatting sqref="F664">
    <cfRule type="cellIs" rank="0" priority="1977" equalAverage="0" operator="greaterThan" aboveAverage="0" dxfId="7" text="" percent="0" bottom="0">
      <formula>0</formula>
    </cfRule>
  </conditionalFormatting>
  <conditionalFormatting sqref="I664">
    <cfRule type="cellIs" rank="0" priority="1978" equalAverage="0" operator="lessThan" aboveAverage="0" dxfId="8" text="" percent="0" bottom="0">
      <formula>0</formula>
    </cfRule>
  </conditionalFormatting>
  <conditionalFormatting sqref="E665">
    <cfRule type="cellIs" rank="0" priority="1979" equalAverage="0" operator="greaterThan" aboveAverage="0" dxfId="7" text="" percent="0" bottom="0">
      <formula>0</formula>
    </cfRule>
  </conditionalFormatting>
  <conditionalFormatting sqref="F665">
    <cfRule type="cellIs" rank="0" priority="1980" equalAverage="0" operator="greaterThan" aboveAverage="0" dxfId="7" text="" percent="0" bottom="0">
      <formula>0</formula>
    </cfRule>
  </conditionalFormatting>
  <conditionalFormatting sqref="I665">
    <cfRule type="cellIs" rank="0" priority="1981" equalAverage="0" operator="lessThan" aboveAverage="0" dxfId="8" text="" percent="0" bottom="0">
      <formula>0</formula>
    </cfRule>
  </conditionalFormatting>
  <conditionalFormatting sqref="E666">
    <cfRule type="cellIs" rank="0" priority="1982" equalAverage="0" operator="greaterThan" aboveAverage="0" dxfId="7" text="" percent="0" bottom="0">
      <formula>0</formula>
    </cfRule>
  </conditionalFormatting>
  <conditionalFormatting sqref="F666">
    <cfRule type="cellIs" rank="0" priority="1983" equalAverage="0" operator="greaterThan" aboveAverage="0" dxfId="7" text="" percent="0" bottom="0">
      <formula>0</formula>
    </cfRule>
  </conditionalFormatting>
  <conditionalFormatting sqref="I666">
    <cfRule type="cellIs" rank="0" priority="1984" equalAverage="0" operator="lessThan" aboveAverage="0" dxfId="8" text="" percent="0" bottom="0">
      <formula>0</formula>
    </cfRule>
  </conditionalFormatting>
  <conditionalFormatting sqref="E667">
    <cfRule type="cellIs" rank="0" priority="1985" equalAverage="0" operator="greaterThan" aboveAverage="0" dxfId="7" text="" percent="0" bottom="0">
      <formula>0</formula>
    </cfRule>
  </conditionalFormatting>
  <conditionalFormatting sqref="F667">
    <cfRule type="cellIs" rank="0" priority="1986" equalAverage="0" operator="greaterThan" aboveAverage="0" dxfId="7" text="" percent="0" bottom="0">
      <formula>0</formula>
    </cfRule>
  </conditionalFormatting>
  <conditionalFormatting sqref="I667">
    <cfRule type="cellIs" rank="0" priority="1987" equalAverage="0" operator="lessThan" aboveAverage="0" dxfId="8" text="" percent="0" bottom="0">
      <formula>0</formula>
    </cfRule>
  </conditionalFormatting>
  <conditionalFormatting sqref="E668">
    <cfRule type="cellIs" rank="0" priority="1988" equalAverage="0" operator="greaterThan" aboveAverage="0" dxfId="7" text="" percent="0" bottom="0">
      <formula>0</formula>
    </cfRule>
  </conditionalFormatting>
  <conditionalFormatting sqref="F668">
    <cfRule type="cellIs" rank="0" priority="1989" equalAverage="0" operator="greaterThan" aboveAverage="0" dxfId="7" text="" percent="0" bottom="0">
      <formula>0</formula>
    </cfRule>
  </conditionalFormatting>
  <conditionalFormatting sqref="I668">
    <cfRule type="cellIs" rank="0" priority="1990" equalAverage="0" operator="lessThan" aboveAverage="0" dxfId="8" text="" percent="0" bottom="0">
      <formula>0</formula>
    </cfRule>
  </conditionalFormatting>
  <conditionalFormatting sqref="E669">
    <cfRule type="cellIs" rank="0" priority="1991" equalAverage="0" operator="greaterThan" aboveAverage="0" dxfId="7" text="" percent="0" bottom="0">
      <formula>0</formula>
    </cfRule>
  </conditionalFormatting>
  <conditionalFormatting sqref="F669">
    <cfRule type="cellIs" rank="0" priority="1992" equalAverage="0" operator="greaterThan" aboveAverage="0" dxfId="7" text="" percent="0" bottom="0">
      <formula>0</formula>
    </cfRule>
  </conditionalFormatting>
  <conditionalFormatting sqref="I669">
    <cfRule type="cellIs" rank="0" priority="1993" equalAverage="0" operator="lessThan" aboveAverage="0" dxfId="8" text="" percent="0" bottom="0">
      <formula>0</formula>
    </cfRule>
  </conditionalFormatting>
  <conditionalFormatting sqref="E670">
    <cfRule type="cellIs" rank="0" priority="1994" equalAverage="0" operator="greaterThan" aboveAverage="0" dxfId="7" text="" percent="0" bottom="0">
      <formula>0</formula>
    </cfRule>
  </conditionalFormatting>
  <conditionalFormatting sqref="F670">
    <cfRule type="cellIs" rank="0" priority="1995" equalAverage="0" operator="greaterThan" aboveAverage="0" dxfId="7" text="" percent="0" bottom="0">
      <formula>0</formula>
    </cfRule>
  </conditionalFormatting>
  <conditionalFormatting sqref="I670">
    <cfRule type="cellIs" rank="0" priority="1996" equalAverage="0" operator="lessThan" aboveAverage="0" dxfId="8" text="" percent="0" bottom="0">
      <formula>0</formula>
    </cfRule>
  </conditionalFormatting>
  <conditionalFormatting sqref="E671">
    <cfRule type="cellIs" rank="0" priority="1997" equalAverage="0" operator="greaterThan" aboveAverage="0" dxfId="7" text="" percent="0" bottom="0">
      <formula>0</formula>
    </cfRule>
  </conditionalFormatting>
  <conditionalFormatting sqref="F671">
    <cfRule type="cellIs" rank="0" priority="1998" equalAverage="0" operator="greaterThan" aboveAverage="0" dxfId="7" text="" percent="0" bottom="0">
      <formula>0</formula>
    </cfRule>
  </conditionalFormatting>
  <conditionalFormatting sqref="I671">
    <cfRule type="cellIs" rank="0" priority="1999" equalAverage="0" operator="lessThan" aboveAverage="0" dxfId="8" text="" percent="0" bottom="0">
      <formula>0</formula>
    </cfRule>
  </conditionalFormatting>
  <conditionalFormatting sqref="E672">
    <cfRule type="cellIs" rank="0" priority="2000" equalAverage="0" operator="greaterThan" aboveAverage="0" dxfId="7" text="" percent="0" bottom="0">
      <formula>0</formula>
    </cfRule>
  </conditionalFormatting>
  <conditionalFormatting sqref="F672">
    <cfRule type="cellIs" rank="0" priority="2001" equalAverage="0" operator="greaterThan" aboveAverage="0" dxfId="7" text="" percent="0" bottom="0">
      <formula>0</formula>
    </cfRule>
  </conditionalFormatting>
  <conditionalFormatting sqref="I672">
    <cfRule type="cellIs" rank="0" priority="2002" equalAverage="0" operator="lessThan" aboveAverage="0" dxfId="8" text="" percent="0" bottom="0">
      <formula>0</formula>
    </cfRule>
  </conditionalFormatting>
  <conditionalFormatting sqref="E673">
    <cfRule type="cellIs" rank="0" priority="2003" equalAverage="0" operator="greaterThan" aboveAverage="0" dxfId="7" text="" percent="0" bottom="0">
      <formula>0</formula>
    </cfRule>
  </conditionalFormatting>
  <conditionalFormatting sqref="F673">
    <cfRule type="cellIs" rank="0" priority="2004" equalAverage="0" operator="greaterThan" aboveAverage="0" dxfId="7" text="" percent="0" bottom="0">
      <formula>0</formula>
    </cfRule>
  </conditionalFormatting>
  <conditionalFormatting sqref="I673">
    <cfRule type="cellIs" rank="0" priority="2005" equalAverage="0" operator="lessThan" aboveAverage="0" dxfId="8" text="" percent="0" bottom="0">
      <formula>0</formula>
    </cfRule>
  </conditionalFormatting>
  <conditionalFormatting sqref="E674">
    <cfRule type="cellIs" rank="0" priority="2006" equalAverage="0" operator="greaterThan" aboveAverage="0" dxfId="7" text="" percent="0" bottom="0">
      <formula>0</formula>
    </cfRule>
  </conditionalFormatting>
  <conditionalFormatting sqref="F674">
    <cfRule type="cellIs" rank="0" priority="2007" equalAverage="0" operator="greaterThan" aboveAverage="0" dxfId="7" text="" percent="0" bottom="0">
      <formula>0</formula>
    </cfRule>
  </conditionalFormatting>
  <conditionalFormatting sqref="I674">
    <cfRule type="cellIs" rank="0" priority="2008" equalAverage="0" operator="lessThan" aboveAverage="0" dxfId="8" text="" percent="0" bottom="0">
      <formula>0</formula>
    </cfRule>
  </conditionalFormatting>
  <conditionalFormatting sqref="E675">
    <cfRule type="cellIs" rank="0" priority="2009" equalAverage="0" operator="greaterThan" aboveAverage="0" dxfId="7" text="" percent="0" bottom="0">
      <formula>0</formula>
    </cfRule>
  </conditionalFormatting>
  <conditionalFormatting sqref="F675">
    <cfRule type="cellIs" rank="0" priority="2010" equalAverage="0" operator="greaterThan" aboveAverage="0" dxfId="7" text="" percent="0" bottom="0">
      <formula>0</formula>
    </cfRule>
  </conditionalFormatting>
  <conditionalFormatting sqref="I675">
    <cfRule type="cellIs" rank="0" priority="2011" equalAverage="0" operator="lessThan" aboveAverage="0" dxfId="8" text="" percent="0" bottom="0">
      <formula>0</formula>
    </cfRule>
  </conditionalFormatting>
  <conditionalFormatting sqref="E676">
    <cfRule type="cellIs" rank="0" priority="2012" equalAverage="0" operator="greaterThan" aboveAverage="0" dxfId="7" text="" percent="0" bottom="0">
      <formula>0</formula>
    </cfRule>
  </conditionalFormatting>
  <conditionalFormatting sqref="F676">
    <cfRule type="cellIs" rank="0" priority="2013" equalAverage="0" operator="greaterThan" aboveAverage="0" dxfId="7" text="" percent="0" bottom="0">
      <formula>0</formula>
    </cfRule>
  </conditionalFormatting>
  <conditionalFormatting sqref="I676">
    <cfRule type="cellIs" rank="0" priority="2014" equalAverage="0" operator="lessThan" aboveAverage="0" dxfId="8" text="" percent="0" bottom="0">
      <formula>0</formula>
    </cfRule>
  </conditionalFormatting>
  <conditionalFormatting sqref="E677">
    <cfRule type="cellIs" rank="0" priority="2015" equalAverage="0" operator="greaterThan" aboveAverage="0" dxfId="7" text="" percent="0" bottom="0">
      <formula>0</formula>
    </cfRule>
  </conditionalFormatting>
  <conditionalFormatting sqref="F677">
    <cfRule type="cellIs" rank="0" priority="2016" equalAverage="0" operator="greaterThan" aboveAverage="0" dxfId="7" text="" percent="0" bottom="0">
      <formula>0</formula>
    </cfRule>
  </conditionalFormatting>
  <conditionalFormatting sqref="I677">
    <cfRule type="cellIs" rank="0" priority="2017" equalAverage="0" operator="lessThan" aboveAverage="0" dxfId="8" text="" percent="0" bottom="0">
      <formula>0</formula>
    </cfRule>
  </conditionalFormatting>
  <conditionalFormatting sqref="E678">
    <cfRule type="cellIs" rank="0" priority="2018" equalAverage="0" operator="greaterThan" aboveAverage="0" dxfId="7" text="" percent="0" bottom="0">
      <formula>0</formula>
    </cfRule>
  </conditionalFormatting>
  <conditionalFormatting sqref="F678">
    <cfRule type="cellIs" rank="0" priority="2019" equalAverage="0" operator="greaterThan" aboveAverage="0" dxfId="7" text="" percent="0" bottom="0">
      <formula>0</formula>
    </cfRule>
  </conditionalFormatting>
  <conditionalFormatting sqref="I678">
    <cfRule type="cellIs" rank="0" priority="2020" equalAverage="0" operator="lessThan" aboveAverage="0" dxfId="8" text="" percent="0" bottom="0">
      <formula>0</formula>
    </cfRule>
  </conditionalFormatting>
  <conditionalFormatting sqref="E679">
    <cfRule type="cellIs" rank="0" priority="2021" equalAverage="0" operator="greaterThan" aboveAverage="0" dxfId="7" text="" percent="0" bottom="0">
      <formula>0</formula>
    </cfRule>
  </conditionalFormatting>
  <conditionalFormatting sqref="F679">
    <cfRule type="cellIs" rank="0" priority="2022" equalAverage="0" operator="greaterThan" aboveAverage="0" dxfId="7" text="" percent="0" bottom="0">
      <formula>0</formula>
    </cfRule>
  </conditionalFormatting>
  <conditionalFormatting sqref="I679">
    <cfRule type="cellIs" rank="0" priority="2023" equalAverage="0" operator="lessThan" aboveAverage="0" dxfId="8" text="" percent="0" bottom="0">
      <formula>0</formula>
    </cfRule>
  </conditionalFormatting>
  <conditionalFormatting sqref="E680">
    <cfRule type="cellIs" rank="0" priority="2024" equalAverage="0" operator="greaterThan" aboveAverage="0" dxfId="7" text="" percent="0" bottom="0">
      <formula>0</formula>
    </cfRule>
  </conditionalFormatting>
  <conditionalFormatting sqref="F680">
    <cfRule type="cellIs" rank="0" priority="2025" equalAverage="0" operator="greaterThan" aboveAverage="0" dxfId="7" text="" percent="0" bottom="0">
      <formula>0</formula>
    </cfRule>
  </conditionalFormatting>
  <conditionalFormatting sqref="I680">
    <cfRule type="cellIs" rank="0" priority="2026" equalAverage="0" operator="lessThan" aboveAverage="0" dxfId="8" text="" percent="0" bottom="0">
      <formula>0</formula>
    </cfRule>
  </conditionalFormatting>
  <conditionalFormatting sqref="E681">
    <cfRule type="cellIs" rank="0" priority="2027" equalAverage="0" operator="greaterThan" aboveAverage="0" dxfId="7" text="" percent="0" bottom="0">
      <formula>0</formula>
    </cfRule>
  </conditionalFormatting>
  <conditionalFormatting sqref="F681">
    <cfRule type="cellIs" rank="0" priority="2028" equalAverage="0" operator="greaterThan" aboveAverage="0" dxfId="7" text="" percent="0" bottom="0">
      <formula>0</formula>
    </cfRule>
  </conditionalFormatting>
  <conditionalFormatting sqref="I681">
    <cfRule type="cellIs" rank="0" priority="2029" equalAverage="0" operator="lessThan" aboveAverage="0" dxfId="8" text="" percent="0" bottom="0">
      <formula>0</formula>
    </cfRule>
  </conditionalFormatting>
  <conditionalFormatting sqref="E682">
    <cfRule type="cellIs" rank="0" priority="2030" equalAverage="0" operator="greaterThan" aboveAverage="0" dxfId="7" text="" percent="0" bottom="0">
      <formula>0</formula>
    </cfRule>
  </conditionalFormatting>
  <conditionalFormatting sqref="F682">
    <cfRule type="cellIs" rank="0" priority="2031" equalAverage="0" operator="greaterThan" aboveAverage="0" dxfId="7" text="" percent="0" bottom="0">
      <formula>0</formula>
    </cfRule>
  </conditionalFormatting>
  <conditionalFormatting sqref="I682">
    <cfRule type="cellIs" rank="0" priority="2032" equalAverage="0" operator="lessThan" aboveAverage="0" dxfId="8" text="" percent="0" bottom="0">
      <formula>0</formula>
    </cfRule>
  </conditionalFormatting>
  <conditionalFormatting sqref="E683">
    <cfRule type="cellIs" rank="0" priority="2033" equalAverage="0" operator="greaterThan" aboveAverage="0" dxfId="7" text="" percent="0" bottom="0">
      <formula>0</formula>
    </cfRule>
  </conditionalFormatting>
  <conditionalFormatting sqref="F683">
    <cfRule type="cellIs" rank="0" priority="2034" equalAverage="0" operator="greaterThan" aboveAverage="0" dxfId="7" text="" percent="0" bottom="0">
      <formula>0</formula>
    </cfRule>
  </conditionalFormatting>
  <conditionalFormatting sqref="I683">
    <cfRule type="cellIs" rank="0" priority="2035" equalAverage="0" operator="lessThan" aboveAverage="0" dxfId="8" text="" percent="0" bottom="0">
      <formula>0</formula>
    </cfRule>
  </conditionalFormatting>
  <conditionalFormatting sqref="E684">
    <cfRule type="cellIs" rank="0" priority="2036" equalAverage="0" operator="greaterThan" aboveAverage="0" dxfId="7" text="" percent="0" bottom="0">
      <formula>0</formula>
    </cfRule>
  </conditionalFormatting>
  <conditionalFormatting sqref="F684">
    <cfRule type="cellIs" rank="0" priority="2037" equalAverage="0" operator="greaterThan" aboveAverage="0" dxfId="7" text="" percent="0" bottom="0">
      <formula>0</formula>
    </cfRule>
  </conditionalFormatting>
  <conditionalFormatting sqref="I684">
    <cfRule type="cellIs" rank="0" priority="2038" equalAverage="0" operator="lessThan" aboveAverage="0" dxfId="8" text="" percent="0" bottom="0">
      <formula>0</formula>
    </cfRule>
  </conditionalFormatting>
  <conditionalFormatting sqref="E685">
    <cfRule type="cellIs" rank="0" priority="2039" equalAverage="0" operator="greaterThan" aboveAverage="0" dxfId="7" text="" percent="0" bottom="0">
      <formula>0</formula>
    </cfRule>
  </conditionalFormatting>
  <conditionalFormatting sqref="F685">
    <cfRule type="cellIs" rank="0" priority="2040" equalAverage="0" operator="greaterThan" aboveAverage="0" dxfId="7" text="" percent="0" bottom="0">
      <formula>0</formula>
    </cfRule>
  </conditionalFormatting>
  <conditionalFormatting sqref="I685">
    <cfRule type="cellIs" rank="0" priority="2041" equalAverage="0" operator="lessThan" aboveAverage="0" dxfId="8" text="" percent="0" bottom="0">
      <formula>0</formula>
    </cfRule>
  </conditionalFormatting>
  <conditionalFormatting sqref="E686">
    <cfRule type="cellIs" rank="0" priority="2042" equalAverage="0" operator="greaterThan" aboveAverage="0" dxfId="7" text="" percent="0" bottom="0">
      <formula>0</formula>
    </cfRule>
  </conditionalFormatting>
  <conditionalFormatting sqref="F686">
    <cfRule type="cellIs" rank="0" priority="2043" equalAverage="0" operator="greaterThan" aboveAverage="0" dxfId="7" text="" percent="0" bottom="0">
      <formula>0</formula>
    </cfRule>
  </conditionalFormatting>
  <conditionalFormatting sqref="I686">
    <cfRule type="cellIs" rank="0" priority="2044" equalAverage="0" operator="lessThan" aboveAverage="0" dxfId="8" text="" percent="0" bottom="0">
      <formula>0</formula>
    </cfRule>
  </conditionalFormatting>
  <conditionalFormatting sqref="E687">
    <cfRule type="cellIs" rank="0" priority="2045" equalAverage="0" operator="greaterThan" aboveAverage="0" dxfId="7" text="" percent="0" bottom="0">
      <formula>0</formula>
    </cfRule>
  </conditionalFormatting>
  <conditionalFormatting sqref="F687">
    <cfRule type="cellIs" rank="0" priority="2046" equalAverage="0" operator="greaterThan" aboveAverage="0" dxfId="7" text="" percent="0" bottom="0">
      <formula>0</formula>
    </cfRule>
  </conditionalFormatting>
  <conditionalFormatting sqref="I687">
    <cfRule type="cellIs" rank="0" priority="2047" equalAverage="0" operator="lessThan" aboveAverage="0" dxfId="8" text="" percent="0" bottom="0">
      <formula>0</formula>
    </cfRule>
  </conditionalFormatting>
  <conditionalFormatting sqref="E688">
    <cfRule type="cellIs" rank="0" priority="2048" equalAverage="0" operator="greaterThan" aboveAverage="0" dxfId="7" text="" percent="0" bottom="0">
      <formula>0</formula>
    </cfRule>
  </conditionalFormatting>
  <conditionalFormatting sqref="F688">
    <cfRule type="cellIs" rank="0" priority="2049" equalAverage="0" operator="greaterThan" aboveAverage="0" dxfId="7" text="" percent="0" bottom="0">
      <formula>0</formula>
    </cfRule>
  </conditionalFormatting>
  <conditionalFormatting sqref="I688">
    <cfRule type="cellIs" rank="0" priority="2050" equalAverage="0" operator="lessThan" aboveAverage="0" dxfId="8" text="" percent="0" bottom="0">
      <formula>0</formula>
    </cfRule>
  </conditionalFormatting>
  <conditionalFormatting sqref="E689">
    <cfRule type="cellIs" rank="0" priority="2051" equalAverage="0" operator="greaterThan" aboveAverage="0" dxfId="7" text="" percent="0" bottom="0">
      <formula>0</formula>
    </cfRule>
  </conditionalFormatting>
  <conditionalFormatting sqref="F689">
    <cfRule type="cellIs" rank="0" priority="2052" equalAverage="0" operator="greaterThan" aboveAverage="0" dxfId="7" text="" percent="0" bottom="0">
      <formula>0</formula>
    </cfRule>
  </conditionalFormatting>
  <conditionalFormatting sqref="I689">
    <cfRule type="cellIs" rank="0" priority="2053" equalAverage="0" operator="lessThan" aboveAverage="0" dxfId="8" text="" percent="0" bottom="0">
      <formula>0</formula>
    </cfRule>
  </conditionalFormatting>
  <conditionalFormatting sqref="E690">
    <cfRule type="cellIs" rank="0" priority="2054" equalAverage="0" operator="greaterThan" aboveAverage="0" dxfId="7" text="" percent="0" bottom="0">
      <formula>0</formula>
    </cfRule>
  </conditionalFormatting>
  <conditionalFormatting sqref="F690">
    <cfRule type="cellIs" rank="0" priority="2055" equalAverage="0" operator="greaterThan" aboveAverage="0" dxfId="7" text="" percent="0" bottom="0">
      <formula>0</formula>
    </cfRule>
  </conditionalFormatting>
  <conditionalFormatting sqref="I690">
    <cfRule type="cellIs" rank="0" priority="2056" equalAverage="0" operator="lessThan" aboveAverage="0" dxfId="8" text="" percent="0" bottom="0">
      <formula>0</formula>
    </cfRule>
  </conditionalFormatting>
  <conditionalFormatting sqref="E691">
    <cfRule type="cellIs" rank="0" priority="2057" equalAverage="0" operator="greaterThan" aboveAverage="0" dxfId="7" text="" percent="0" bottom="0">
      <formula>0</formula>
    </cfRule>
  </conditionalFormatting>
  <conditionalFormatting sqref="F691">
    <cfRule type="cellIs" rank="0" priority="2058" equalAverage="0" operator="greaterThan" aboveAverage="0" dxfId="7" text="" percent="0" bottom="0">
      <formula>0</formula>
    </cfRule>
  </conditionalFormatting>
  <conditionalFormatting sqref="I691">
    <cfRule type="cellIs" rank="0" priority="2059" equalAverage="0" operator="lessThan" aboveAverage="0" dxfId="8" text="" percent="0" bottom="0">
      <formula>0</formula>
    </cfRule>
  </conditionalFormatting>
  <conditionalFormatting sqref="E692">
    <cfRule type="cellIs" rank="0" priority="2060" equalAverage="0" operator="greaterThan" aboveAverage="0" dxfId="7" text="" percent="0" bottom="0">
      <formula>0</formula>
    </cfRule>
  </conditionalFormatting>
  <conditionalFormatting sqref="F692">
    <cfRule type="cellIs" rank="0" priority="2061" equalAverage="0" operator="greaterThan" aboveAverage="0" dxfId="7" text="" percent="0" bottom="0">
      <formula>0</formula>
    </cfRule>
  </conditionalFormatting>
  <conditionalFormatting sqref="I692">
    <cfRule type="cellIs" rank="0" priority="2062" equalAverage="0" operator="lessThan" aboveAverage="0" dxfId="8" text="" percent="0" bottom="0">
      <formula>0</formula>
    </cfRule>
  </conditionalFormatting>
  <conditionalFormatting sqref="E693">
    <cfRule type="cellIs" rank="0" priority="2063" equalAverage="0" operator="greaterThan" aboveAverage="0" dxfId="7" text="" percent="0" bottom="0">
      <formula>0</formula>
    </cfRule>
  </conditionalFormatting>
  <conditionalFormatting sqref="F693">
    <cfRule type="cellIs" rank="0" priority="2064" equalAverage="0" operator="greaterThan" aboveAverage="0" dxfId="7" text="" percent="0" bottom="0">
      <formula>0</formula>
    </cfRule>
  </conditionalFormatting>
  <conditionalFormatting sqref="I693">
    <cfRule type="cellIs" rank="0" priority="2065" equalAverage="0" operator="lessThan" aboveAverage="0" dxfId="8" text="" percent="0" bottom="0">
      <formula>0</formula>
    </cfRule>
  </conditionalFormatting>
  <conditionalFormatting sqref="E694">
    <cfRule type="cellIs" rank="0" priority="2066" equalAverage="0" operator="greaterThan" aboveAverage="0" dxfId="7" text="" percent="0" bottom="0">
      <formula>0</formula>
    </cfRule>
  </conditionalFormatting>
  <conditionalFormatting sqref="F694">
    <cfRule type="cellIs" rank="0" priority="2067" equalAverage="0" operator="greaterThan" aboveAverage="0" dxfId="7" text="" percent="0" bottom="0">
      <formula>0</formula>
    </cfRule>
  </conditionalFormatting>
  <conditionalFormatting sqref="I694">
    <cfRule type="cellIs" rank="0" priority="2068" equalAverage="0" operator="lessThan" aboveAverage="0" dxfId="8" text="" percent="0" bottom="0">
      <formula>0</formula>
    </cfRule>
  </conditionalFormatting>
  <conditionalFormatting sqref="E695">
    <cfRule type="cellIs" rank="0" priority="2069" equalAverage="0" operator="greaterThan" aboveAverage="0" dxfId="7" text="" percent="0" bottom="0">
      <formula>0</formula>
    </cfRule>
  </conditionalFormatting>
  <conditionalFormatting sqref="F695">
    <cfRule type="cellIs" rank="0" priority="2070" equalAverage="0" operator="greaterThan" aboveAverage="0" dxfId="7" text="" percent="0" bottom="0">
      <formula>0</formula>
    </cfRule>
  </conditionalFormatting>
  <conditionalFormatting sqref="I695">
    <cfRule type="cellIs" rank="0" priority="2071" equalAverage="0" operator="lessThan" aboveAverage="0" dxfId="8" text="" percent="0" bottom="0">
      <formula>0</formula>
    </cfRule>
  </conditionalFormatting>
  <conditionalFormatting sqref="E696">
    <cfRule type="cellIs" rank="0" priority="2072" equalAverage="0" operator="greaterThan" aboveAverage="0" dxfId="7" text="" percent="0" bottom="0">
      <formula>0</formula>
    </cfRule>
  </conditionalFormatting>
  <conditionalFormatting sqref="F696">
    <cfRule type="cellIs" rank="0" priority="2073" equalAverage="0" operator="greaterThan" aboveAverage="0" dxfId="7" text="" percent="0" bottom="0">
      <formula>0</formula>
    </cfRule>
  </conditionalFormatting>
  <conditionalFormatting sqref="I696">
    <cfRule type="cellIs" rank="0" priority="2074" equalAverage="0" operator="lessThan" aboveAverage="0" dxfId="8" text="" percent="0" bottom="0">
      <formula>0</formula>
    </cfRule>
  </conditionalFormatting>
  <conditionalFormatting sqref="E697">
    <cfRule type="cellIs" rank="0" priority="2075" equalAverage="0" operator="greaterThan" aboveAverage="0" dxfId="7" text="" percent="0" bottom="0">
      <formula>0</formula>
    </cfRule>
  </conditionalFormatting>
  <conditionalFormatting sqref="F697">
    <cfRule type="cellIs" rank="0" priority="2076" equalAverage="0" operator="greaterThan" aboveAverage="0" dxfId="7" text="" percent="0" bottom="0">
      <formula>0</formula>
    </cfRule>
  </conditionalFormatting>
  <conditionalFormatting sqref="I697">
    <cfRule type="cellIs" rank="0" priority="2077" equalAverage="0" operator="lessThan" aboveAverage="0" dxfId="8" text="" percent="0" bottom="0">
      <formula>0</formula>
    </cfRule>
  </conditionalFormatting>
  <conditionalFormatting sqref="E698">
    <cfRule type="cellIs" rank="0" priority="2078" equalAverage="0" operator="greaterThan" aboveAverage="0" dxfId="7" text="" percent="0" bottom="0">
      <formula>0</formula>
    </cfRule>
  </conditionalFormatting>
  <conditionalFormatting sqref="F698">
    <cfRule type="cellIs" rank="0" priority="2079" equalAverage="0" operator="greaterThan" aboveAverage="0" dxfId="7" text="" percent="0" bottom="0">
      <formula>0</formula>
    </cfRule>
  </conditionalFormatting>
  <conditionalFormatting sqref="I698">
    <cfRule type="cellIs" rank="0" priority="2080" equalAverage="0" operator="lessThan" aboveAverage="0" dxfId="8" text="" percent="0" bottom="0">
      <formula>0</formula>
    </cfRule>
  </conditionalFormatting>
  <conditionalFormatting sqref="E699">
    <cfRule type="cellIs" rank="0" priority="2081" equalAverage="0" operator="greaterThan" aboveAverage="0" dxfId="7" text="" percent="0" bottom="0">
      <formula>0</formula>
    </cfRule>
  </conditionalFormatting>
  <conditionalFormatting sqref="F699">
    <cfRule type="cellIs" rank="0" priority="2082" equalAverage="0" operator="greaterThan" aboveAverage="0" dxfId="7" text="" percent="0" bottom="0">
      <formula>0</formula>
    </cfRule>
  </conditionalFormatting>
  <conditionalFormatting sqref="I699">
    <cfRule type="cellIs" rank="0" priority="2083" equalAverage="0" operator="lessThan" aboveAverage="0" dxfId="8" text="" percent="0" bottom="0">
      <formula>0</formula>
    </cfRule>
  </conditionalFormatting>
  <conditionalFormatting sqref="E700">
    <cfRule type="cellIs" rank="0" priority="2084" equalAverage="0" operator="greaterThan" aboveAverage="0" dxfId="7" text="" percent="0" bottom="0">
      <formula>0</formula>
    </cfRule>
  </conditionalFormatting>
  <conditionalFormatting sqref="F700">
    <cfRule type="cellIs" rank="0" priority="2085" equalAverage="0" operator="greaterThan" aboveAverage="0" dxfId="7" text="" percent="0" bottom="0">
      <formula>0</formula>
    </cfRule>
  </conditionalFormatting>
  <conditionalFormatting sqref="I700">
    <cfRule type="cellIs" rank="0" priority="2086" equalAverage="0" operator="lessThan" aboveAverage="0" dxfId="8" text="" percent="0" bottom="0">
      <formula>0</formula>
    </cfRule>
  </conditionalFormatting>
  <conditionalFormatting sqref="E701">
    <cfRule type="cellIs" rank="0" priority="2087" equalAverage="0" operator="greaterThan" aboveAverage="0" dxfId="7" text="" percent="0" bottom="0">
      <formula>0</formula>
    </cfRule>
  </conditionalFormatting>
  <conditionalFormatting sqref="F701">
    <cfRule type="cellIs" rank="0" priority="2088" equalAverage="0" operator="greaterThan" aboveAverage="0" dxfId="7" text="" percent="0" bottom="0">
      <formula>0</formula>
    </cfRule>
  </conditionalFormatting>
  <conditionalFormatting sqref="I701">
    <cfRule type="cellIs" rank="0" priority="2089" equalAverage="0" operator="lessThan" aboveAverage="0" dxfId="8" text="" percent="0" bottom="0">
      <formula>0</formula>
    </cfRule>
  </conditionalFormatting>
  <conditionalFormatting sqref="E702">
    <cfRule type="cellIs" rank="0" priority="2090" equalAverage="0" operator="greaterThan" aboveAverage="0" dxfId="7" text="" percent="0" bottom="0">
      <formula>0</formula>
    </cfRule>
  </conditionalFormatting>
  <conditionalFormatting sqref="F702">
    <cfRule type="cellIs" rank="0" priority="2091" equalAverage="0" operator="greaterThan" aboveAverage="0" dxfId="7" text="" percent="0" bottom="0">
      <formula>0</formula>
    </cfRule>
  </conditionalFormatting>
  <conditionalFormatting sqref="I702">
    <cfRule type="cellIs" rank="0" priority="2092" equalAverage="0" operator="lessThan" aboveAverage="0" dxfId="8" text="" percent="0" bottom="0">
      <formula>0</formula>
    </cfRule>
  </conditionalFormatting>
  <conditionalFormatting sqref="E703">
    <cfRule type="cellIs" rank="0" priority="2093" equalAverage="0" operator="greaterThan" aboveAverage="0" dxfId="7" text="" percent="0" bottom="0">
      <formula>0</formula>
    </cfRule>
  </conditionalFormatting>
  <conditionalFormatting sqref="F703">
    <cfRule type="cellIs" rank="0" priority="2094" equalAverage="0" operator="greaterThan" aboveAverage="0" dxfId="7" text="" percent="0" bottom="0">
      <formula>0</formula>
    </cfRule>
  </conditionalFormatting>
  <conditionalFormatting sqref="I703">
    <cfRule type="cellIs" rank="0" priority="2095" equalAverage="0" operator="lessThan" aboveAverage="0" dxfId="8" text="" percent="0" bottom="0">
      <formula>0</formula>
    </cfRule>
  </conditionalFormatting>
  <conditionalFormatting sqref="E704">
    <cfRule type="cellIs" rank="0" priority="2096" equalAverage="0" operator="greaterThan" aboveAverage="0" dxfId="7" text="" percent="0" bottom="0">
      <formula>0</formula>
    </cfRule>
  </conditionalFormatting>
  <conditionalFormatting sqref="F704">
    <cfRule type="cellIs" rank="0" priority="2097" equalAverage="0" operator="greaterThan" aboveAverage="0" dxfId="7" text="" percent="0" bottom="0">
      <formula>0</formula>
    </cfRule>
  </conditionalFormatting>
  <conditionalFormatting sqref="I704">
    <cfRule type="cellIs" rank="0" priority="2098" equalAverage="0" operator="lessThan" aboveAverage="0" dxfId="8" text="" percent="0" bottom="0">
      <formula>0</formula>
    </cfRule>
  </conditionalFormatting>
  <conditionalFormatting sqref="E705">
    <cfRule type="cellIs" rank="0" priority="2099" equalAverage="0" operator="greaterThan" aboveAverage="0" dxfId="7" text="" percent="0" bottom="0">
      <formula>0</formula>
    </cfRule>
  </conditionalFormatting>
  <conditionalFormatting sqref="F705">
    <cfRule type="cellIs" rank="0" priority="2100" equalAverage="0" operator="greaterThan" aboveAverage="0" dxfId="7" text="" percent="0" bottom="0">
      <formula>0</formula>
    </cfRule>
  </conditionalFormatting>
  <conditionalFormatting sqref="I705">
    <cfRule type="cellIs" rank="0" priority="2101" equalAverage="0" operator="lessThan" aboveAverage="0" dxfId="8" text="" percent="0" bottom="0">
      <formula>0</formula>
    </cfRule>
  </conditionalFormatting>
  <conditionalFormatting sqref="E706">
    <cfRule type="cellIs" rank="0" priority="2102" equalAverage="0" operator="greaterThan" aboveAverage="0" dxfId="7" text="" percent="0" bottom="0">
      <formula>0</formula>
    </cfRule>
  </conditionalFormatting>
  <conditionalFormatting sqref="F706">
    <cfRule type="cellIs" rank="0" priority="2103" equalAverage="0" operator="greaterThan" aboveAverage="0" dxfId="7" text="" percent="0" bottom="0">
      <formula>0</formula>
    </cfRule>
  </conditionalFormatting>
  <conditionalFormatting sqref="I706">
    <cfRule type="cellIs" rank="0" priority="2104" equalAverage="0" operator="lessThan" aboveAverage="0" dxfId="8" text="" percent="0" bottom="0">
      <formula>0</formula>
    </cfRule>
  </conditionalFormatting>
  <conditionalFormatting sqref="E707">
    <cfRule type="cellIs" rank="0" priority="2105" equalAverage="0" operator="greaterThan" aboveAverage="0" dxfId="7" text="" percent="0" bottom="0">
      <formula>0</formula>
    </cfRule>
  </conditionalFormatting>
  <conditionalFormatting sqref="F707">
    <cfRule type="cellIs" rank="0" priority="2106" equalAverage="0" operator="greaterThan" aboveAverage="0" dxfId="7" text="" percent="0" bottom="0">
      <formula>0</formula>
    </cfRule>
  </conditionalFormatting>
  <conditionalFormatting sqref="I707">
    <cfRule type="cellIs" rank="0" priority="2107" equalAverage="0" operator="lessThan" aboveAverage="0" dxfId="8" text="" percent="0" bottom="0">
      <formula>0</formula>
    </cfRule>
  </conditionalFormatting>
  <conditionalFormatting sqref="E708">
    <cfRule type="cellIs" rank="0" priority="2108" equalAverage="0" operator="greaterThan" aboveAverage="0" dxfId="7" text="" percent="0" bottom="0">
      <formula>0</formula>
    </cfRule>
  </conditionalFormatting>
  <conditionalFormatting sqref="F708">
    <cfRule type="cellIs" rank="0" priority="2109" equalAverage="0" operator="greaterThan" aboveAverage="0" dxfId="7" text="" percent="0" bottom="0">
      <formula>0</formula>
    </cfRule>
  </conditionalFormatting>
  <conditionalFormatting sqref="I708">
    <cfRule type="cellIs" rank="0" priority="2110" equalAverage="0" operator="lessThan" aboveAverage="0" dxfId="8" text="" percent="0" bottom="0">
      <formula>0</formula>
    </cfRule>
  </conditionalFormatting>
  <conditionalFormatting sqref="E709">
    <cfRule type="cellIs" rank="0" priority="2111" equalAverage="0" operator="greaterThan" aboveAverage="0" dxfId="7" text="" percent="0" bottom="0">
      <formula>0</formula>
    </cfRule>
  </conditionalFormatting>
  <conditionalFormatting sqref="F709">
    <cfRule type="cellIs" rank="0" priority="2112" equalAverage="0" operator="greaterThan" aboveAverage="0" dxfId="7" text="" percent="0" bottom="0">
      <formula>0</formula>
    </cfRule>
  </conditionalFormatting>
  <conditionalFormatting sqref="I709">
    <cfRule type="cellIs" rank="0" priority="2113" equalAverage="0" operator="lessThan" aboveAverage="0" dxfId="8" text="" percent="0" bottom="0">
      <formula>0</formula>
    </cfRule>
  </conditionalFormatting>
  <conditionalFormatting sqref="E710">
    <cfRule type="cellIs" rank="0" priority="2114" equalAverage="0" operator="greaterThan" aboveAverage="0" dxfId="7" text="" percent="0" bottom="0">
      <formula>0</formula>
    </cfRule>
  </conditionalFormatting>
  <conditionalFormatting sqref="F710">
    <cfRule type="cellIs" rank="0" priority="2115" equalAverage="0" operator="greaterThan" aboveAverage="0" dxfId="7" text="" percent="0" bottom="0">
      <formula>0</formula>
    </cfRule>
  </conditionalFormatting>
  <conditionalFormatting sqref="I710">
    <cfRule type="cellIs" rank="0" priority="2116" equalAverage="0" operator="lessThan" aboveAverage="0" dxfId="8" text="" percent="0" bottom="0">
      <formula>0</formula>
    </cfRule>
  </conditionalFormatting>
  <conditionalFormatting sqref="E711">
    <cfRule type="cellIs" rank="0" priority="2117" equalAverage="0" operator="greaterThan" aboveAverage="0" dxfId="7" text="" percent="0" bottom="0">
      <formula>0</formula>
    </cfRule>
  </conditionalFormatting>
  <conditionalFormatting sqref="F711">
    <cfRule type="cellIs" rank="0" priority="2118" equalAverage="0" operator="greaterThan" aboveAverage="0" dxfId="7" text="" percent="0" bottom="0">
      <formula>0</formula>
    </cfRule>
  </conditionalFormatting>
  <conditionalFormatting sqref="I711">
    <cfRule type="cellIs" rank="0" priority="2119" equalAverage="0" operator="lessThan" aboveAverage="0" dxfId="8" text="" percent="0" bottom="0">
      <formula>0</formula>
    </cfRule>
  </conditionalFormatting>
  <conditionalFormatting sqref="E712">
    <cfRule type="cellIs" rank="0" priority="2120" equalAverage="0" operator="greaterThan" aboveAverage="0" dxfId="7" text="" percent="0" bottom="0">
      <formula>0</formula>
    </cfRule>
  </conditionalFormatting>
  <conditionalFormatting sqref="F712">
    <cfRule type="cellIs" rank="0" priority="2121" equalAverage="0" operator="greaterThan" aboveAverage="0" dxfId="7" text="" percent="0" bottom="0">
      <formula>0</formula>
    </cfRule>
  </conditionalFormatting>
  <conditionalFormatting sqref="I712">
    <cfRule type="cellIs" rank="0" priority="2122" equalAverage="0" operator="lessThan" aboveAverage="0" dxfId="8" text="" percent="0" bottom="0">
      <formula>0</formula>
    </cfRule>
  </conditionalFormatting>
  <conditionalFormatting sqref="E713">
    <cfRule type="cellIs" rank="0" priority="2123" equalAverage="0" operator="greaterThan" aboveAverage="0" dxfId="7" text="" percent="0" bottom="0">
      <formula>0</formula>
    </cfRule>
  </conditionalFormatting>
  <conditionalFormatting sqref="F713">
    <cfRule type="cellIs" rank="0" priority="2124" equalAverage="0" operator="greaterThan" aboveAverage="0" dxfId="7" text="" percent="0" bottom="0">
      <formula>0</formula>
    </cfRule>
  </conditionalFormatting>
  <conditionalFormatting sqref="I713">
    <cfRule type="cellIs" rank="0" priority="2125" equalAverage="0" operator="lessThan" aboveAverage="0" dxfId="8" text="" percent="0" bottom="0">
      <formula>0</formula>
    </cfRule>
  </conditionalFormatting>
  <conditionalFormatting sqref="E714">
    <cfRule type="cellIs" rank="0" priority="2126" equalAverage="0" operator="greaterThan" aboveAverage="0" dxfId="7" text="" percent="0" bottom="0">
      <formula>0</formula>
    </cfRule>
  </conditionalFormatting>
  <conditionalFormatting sqref="F714">
    <cfRule type="cellIs" rank="0" priority="2127" equalAverage="0" operator="greaterThan" aboveAverage="0" dxfId="7" text="" percent="0" bottom="0">
      <formula>0</formula>
    </cfRule>
  </conditionalFormatting>
  <conditionalFormatting sqref="I714">
    <cfRule type="cellIs" rank="0" priority="2128" equalAverage="0" operator="lessThan" aboveAverage="0" dxfId="8" text="" percent="0" bottom="0">
      <formula>0</formula>
    </cfRule>
  </conditionalFormatting>
  <conditionalFormatting sqref="E715">
    <cfRule type="cellIs" rank="0" priority="2129" equalAverage="0" operator="greaterThan" aboveAverage="0" dxfId="7" text="" percent="0" bottom="0">
      <formula>0</formula>
    </cfRule>
  </conditionalFormatting>
  <conditionalFormatting sqref="F715">
    <cfRule type="cellIs" rank="0" priority="2130" equalAverage="0" operator="greaterThan" aboveAverage="0" dxfId="7" text="" percent="0" bottom="0">
      <formula>0</formula>
    </cfRule>
  </conditionalFormatting>
  <conditionalFormatting sqref="I715">
    <cfRule type="cellIs" rank="0" priority="2131" equalAverage="0" operator="lessThan" aboveAverage="0" dxfId="8" text="" percent="0" bottom="0">
      <formula>0</formula>
    </cfRule>
  </conditionalFormatting>
  <conditionalFormatting sqref="E716">
    <cfRule type="cellIs" rank="0" priority="2132" equalAverage="0" operator="greaterThan" aboveAverage="0" dxfId="7" text="" percent="0" bottom="0">
      <formula>0</formula>
    </cfRule>
  </conditionalFormatting>
  <conditionalFormatting sqref="F716">
    <cfRule type="cellIs" rank="0" priority="2133" equalAverage="0" operator="greaterThan" aboveAverage="0" dxfId="7" text="" percent="0" bottom="0">
      <formula>0</formula>
    </cfRule>
  </conditionalFormatting>
  <conditionalFormatting sqref="I716">
    <cfRule type="cellIs" rank="0" priority="2134" equalAverage="0" operator="lessThan" aboveAverage="0" dxfId="8" text="" percent="0" bottom="0">
      <formula>0</formula>
    </cfRule>
  </conditionalFormatting>
  <conditionalFormatting sqref="E717">
    <cfRule type="cellIs" rank="0" priority="2135" equalAverage="0" operator="greaterThan" aboveAverage="0" dxfId="7" text="" percent="0" bottom="0">
      <formula>0</formula>
    </cfRule>
  </conditionalFormatting>
  <conditionalFormatting sqref="F717">
    <cfRule type="cellIs" rank="0" priority="2136" equalAverage="0" operator="greaterThan" aboveAverage="0" dxfId="7" text="" percent="0" bottom="0">
      <formula>0</formula>
    </cfRule>
  </conditionalFormatting>
  <conditionalFormatting sqref="I717">
    <cfRule type="cellIs" rank="0" priority="2137" equalAverage="0" operator="lessThan" aboveAverage="0" dxfId="8" text="" percent="0" bottom="0">
      <formula>0</formula>
    </cfRule>
  </conditionalFormatting>
  <conditionalFormatting sqref="E718">
    <cfRule type="cellIs" rank="0" priority="2138" equalAverage="0" operator="greaterThan" aboveAverage="0" dxfId="7" text="" percent="0" bottom="0">
      <formula>0</formula>
    </cfRule>
  </conditionalFormatting>
  <conditionalFormatting sqref="F718">
    <cfRule type="cellIs" rank="0" priority="2139" equalAverage="0" operator="greaterThan" aboveAverage="0" dxfId="7" text="" percent="0" bottom="0">
      <formula>0</formula>
    </cfRule>
  </conditionalFormatting>
  <conditionalFormatting sqref="I718">
    <cfRule type="cellIs" rank="0" priority="2140" equalAverage="0" operator="lessThan" aboveAverage="0" dxfId="8" text="" percent="0" bottom="0">
      <formula>0</formula>
    </cfRule>
  </conditionalFormatting>
  <conditionalFormatting sqref="E719">
    <cfRule type="cellIs" rank="0" priority="2141" equalAverage="0" operator="greaterThan" aboveAverage="0" dxfId="7" text="" percent="0" bottom="0">
      <formula>0</formula>
    </cfRule>
  </conditionalFormatting>
  <conditionalFormatting sqref="F719">
    <cfRule type="cellIs" rank="0" priority="2142" equalAverage="0" operator="greaterThan" aboveAverage="0" dxfId="7" text="" percent="0" bottom="0">
      <formula>0</formula>
    </cfRule>
  </conditionalFormatting>
  <conditionalFormatting sqref="I719">
    <cfRule type="cellIs" rank="0" priority="2143" equalAverage="0" operator="lessThan" aboveAverage="0" dxfId="8" text="" percent="0" bottom="0">
      <formula>0</formula>
    </cfRule>
  </conditionalFormatting>
  <conditionalFormatting sqref="E720">
    <cfRule type="cellIs" rank="0" priority="2144" equalAverage="0" operator="greaterThan" aboveAverage="0" dxfId="7" text="" percent="0" bottom="0">
      <formula>0</formula>
    </cfRule>
  </conditionalFormatting>
  <conditionalFormatting sqref="F720">
    <cfRule type="cellIs" rank="0" priority="2145" equalAverage="0" operator="greaterThan" aboveAverage="0" dxfId="7" text="" percent="0" bottom="0">
      <formula>0</formula>
    </cfRule>
  </conditionalFormatting>
  <conditionalFormatting sqref="I720">
    <cfRule type="cellIs" rank="0" priority="2146" equalAverage="0" operator="lessThan" aboveAverage="0" dxfId="8" text="" percent="0" bottom="0">
      <formula>0</formula>
    </cfRule>
  </conditionalFormatting>
  <conditionalFormatting sqref="E721">
    <cfRule type="cellIs" rank="0" priority="2147" equalAverage="0" operator="greaterThan" aboveAverage="0" dxfId="7" text="" percent="0" bottom="0">
      <formula>0</formula>
    </cfRule>
  </conditionalFormatting>
  <conditionalFormatting sqref="F721">
    <cfRule type="cellIs" rank="0" priority="2148" equalAverage="0" operator="greaterThan" aboveAverage="0" dxfId="7" text="" percent="0" bottom="0">
      <formula>0</formula>
    </cfRule>
  </conditionalFormatting>
  <conditionalFormatting sqref="I721">
    <cfRule type="cellIs" rank="0" priority="2149" equalAverage="0" operator="lessThan" aboveAverage="0" dxfId="8" text="" percent="0" bottom="0">
      <formula>0</formula>
    </cfRule>
  </conditionalFormatting>
  <conditionalFormatting sqref="E722">
    <cfRule type="cellIs" rank="0" priority="2150" equalAverage="0" operator="greaterThan" aboveAverage="0" dxfId="7" text="" percent="0" bottom="0">
      <formula>0</formula>
    </cfRule>
  </conditionalFormatting>
  <conditionalFormatting sqref="F722">
    <cfRule type="cellIs" rank="0" priority="2151" equalAverage="0" operator="greaterThan" aboveAverage="0" dxfId="7" text="" percent="0" bottom="0">
      <formula>0</formula>
    </cfRule>
  </conditionalFormatting>
  <conditionalFormatting sqref="I722">
    <cfRule type="cellIs" rank="0" priority="2152" equalAverage="0" operator="lessThan" aboveAverage="0" dxfId="8" text="" percent="0" bottom="0">
      <formula>0</formula>
    </cfRule>
  </conditionalFormatting>
  <conditionalFormatting sqref="E723">
    <cfRule type="cellIs" rank="0" priority="2153" equalAverage="0" operator="greaterThan" aboveAverage="0" dxfId="7" text="" percent="0" bottom="0">
      <formula>0</formula>
    </cfRule>
  </conditionalFormatting>
  <conditionalFormatting sqref="F723">
    <cfRule type="cellIs" rank="0" priority="2154" equalAverage="0" operator="greaterThan" aboveAverage="0" dxfId="7" text="" percent="0" bottom="0">
      <formula>0</formula>
    </cfRule>
  </conditionalFormatting>
  <conditionalFormatting sqref="I723">
    <cfRule type="cellIs" rank="0" priority="2155" equalAverage="0" operator="lessThan" aboveAverage="0" dxfId="8" text="" percent="0" bottom="0">
      <formula>0</formula>
    </cfRule>
  </conditionalFormatting>
  <conditionalFormatting sqref="E724">
    <cfRule type="cellIs" rank="0" priority="2156" equalAverage="0" operator="greaterThan" aboveAverage="0" dxfId="7" text="" percent="0" bottom="0">
      <formula>0</formula>
    </cfRule>
  </conditionalFormatting>
  <conditionalFormatting sqref="F724">
    <cfRule type="cellIs" rank="0" priority="2157" equalAverage="0" operator="greaterThan" aboveAverage="0" dxfId="7" text="" percent="0" bottom="0">
      <formula>0</formula>
    </cfRule>
  </conditionalFormatting>
  <conditionalFormatting sqref="I724">
    <cfRule type="cellIs" rank="0" priority="2158" equalAverage="0" operator="lessThan" aboveAverage="0" dxfId="8" text="" percent="0" bottom="0">
      <formula>0</formula>
    </cfRule>
  </conditionalFormatting>
  <conditionalFormatting sqref="E725">
    <cfRule type="cellIs" rank="0" priority="2159" equalAverage="0" operator="greaterThan" aboveAverage="0" dxfId="7" text="" percent="0" bottom="0">
      <formula>0</formula>
    </cfRule>
  </conditionalFormatting>
  <conditionalFormatting sqref="F725">
    <cfRule type="cellIs" rank="0" priority="2160" equalAverage="0" operator="greaterThan" aboveAverage="0" dxfId="7" text="" percent="0" bottom="0">
      <formula>0</formula>
    </cfRule>
  </conditionalFormatting>
  <conditionalFormatting sqref="I725">
    <cfRule type="cellIs" rank="0" priority="2161" equalAverage="0" operator="lessThan" aboveAverage="0" dxfId="8" text="" percent="0" bottom="0">
      <formula>0</formula>
    </cfRule>
  </conditionalFormatting>
  <conditionalFormatting sqref="E726">
    <cfRule type="cellIs" rank="0" priority="2162" equalAverage="0" operator="greaterThan" aboveAverage="0" dxfId="7" text="" percent="0" bottom="0">
      <formula>0</formula>
    </cfRule>
  </conditionalFormatting>
  <conditionalFormatting sqref="F726">
    <cfRule type="cellIs" rank="0" priority="2163" equalAverage="0" operator="greaterThan" aboveAverage="0" dxfId="7" text="" percent="0" bottom="0">
      <formula>0</formula>
    </cfRule>
  </conditionalFormatting>
  <conditionalFormatting sqref="I726">
    <cfRule type="cellIs" rank="0" priority="2164" equalAverage="0" operator="lessThan" aboveAverage="0" dxfId="8" text="" percent="0" bottom="0">
      <formula>0</formula>
    </cfRule>
  </conditionalFormatting>
  <conditionalFormatting sqref="E727">
    <cfRule type="cellIs" rank="0" priority="2165" equalAverage="0" operator="greaterThan" aboveAverage="0" dxfId="7" text="" percent="0" bottom="0">
      <formula>0</formula>
    </cfRule>
  </conditionalFormatting>
  <conditionalFormatting sqref="F727">
    <cfRule type="cellIs" rank="0" priority="2166" equalAverage="0" operator="greaterThan" aboveAverage="0" dxfId="7" text="" percent="0" bottom="0">
      <formula>0</formula>
    </cfRule>
  </conditionalFormatting>
  <conditionalFormatting sqref="I727">
    <cfRule type="cellIs" rank="0" priority="2167" equalAverage="0" operator="lessThan" aboveAverage="0" dxfId="8" text="" percent="0" bottom="0">
      <formula>0</formula>
    </cfRule>
  </conditionalFormatting>
  <conditionalFormatting sqref="E728">
    <cfRule type="cellIs" rank="0" priority="2168" equalAverage="0" operator="greaterThan" aboveAverage="0" dxfId="7" text="" percent="0" bottom="0">
      <formula>0</formula>
    </cfRule>
  </conditionalFormatting>
  <conditionalFormatting sqref="F728">
    <cfRule type="cellIs" rank="0" priority="2169" equalAverage="0" operator="greaterThan" aboveAverage="0" dxfId="7" text="" percent="0" bottom="0">
      <formula>0</formula>
    </cfRule>
  </conditionalFormatting>
  <conditionalFormatting sqref="I728">
    <cfRule type="cellIs" rank="0" priority="2170" equalAverage="0" operator="lessThan" aboveAverage="0" dxfId="8" text="" percent="0" bottom="0">
      <formula>0</formula>
    </cfRule>
  </conditionalFormatting>
  <conditionalFormatting sqref="E729">
    <cfRule type="cellIs" rank="0" priority="2171" equalAverage="0" operator="greaterThan" aboveAverage="0" dxfId="7" text="" percent="0" bottom="0">
      <formula>0</formula>
    </cfRule>
  </conditionalFormatting>
  <conditionalFormatting sqref="F729">
    <cfRule type="cellIs" rank="0" priority="2172" equalAverage="0" operator="greaterThan" aboveAverage="0" dxfId="7" text="" percent="0" bottom="0">
      <formula>0</formula>
    </cfRule>
  </conditionalFormatting>
  <conditionalFormatting sqref="I729">
    <cfRule type="cellIs" rank="0" priority="2173" equalAverage="0" operator="lessThan" aboveAverage="0" dxfId="8" text="" percent="0" bottom="0">
      <formula>0</formula>
    </cfRule>
  </conditionalFormatting>
  <conditionalFormatting sqref="E730">
    <cfRule type="cellIs" rank="0" priority="2174" equalAverage="0" operator="greaterThan" aboveAverage="0" dxfId="7" text="" percent="0" bottom="0">
      <formula>0</formula>
    </cfRule>
  </conditionalFormatting>
  <conditionalFormatting sqref="F730">
    <cfRule type="cellIs" rank="0" priority="2175" equalAverage="0" operator="greaterThan" aboveAverage="0" dxfId="7" text="" percent="0" bottom="0">
      <formula>0</formula>
    </cfRule>
  </conditionalFormatting>
  <conditionalFormatting sqref="I730">
    <cfRule type="cellIs" rank="0" priority="2176" equalAverage="0" operator="lessThan" aboveAverage="0" dxfId="8" text="" percent="0" bottom="0">
      <formula>0</formula>
    </cfRule>
  </conditionalFormatting>
  <conditionalFormatting sqref="E731">
    <cfRule type="cellIs" rank="0" priority="2177" equalAverage="0" operator="greaterThan" aboveAverage="0" dxfId="7" text="" percent="0" bottom="0">
      <formula>0</formula>
    </cfRule>
  </conditionalFormatting>
  <conditionalFormatting sqref="F731">
    <cfRule type="cellIs" rank="0" priority="2178" equalAverage="0" operator="greaterThan" aboveAverage="0" dxfId="7" text="" percent="0" bottom="0">
      <formula>0</formula>
    </cfRule>
  </conditionalFormatting>
  <conditionalFormatting sqref="I731">
    <cfRule type="cellIs" rank="0" priority="2179" equalAverage="0" operator="lessThan" aboveAverage="0" dxfId="8" text="" percent="0" bottom="0">
      <formula>0</formula>
    </cfRule>
  </conditionalFormatting>
  <conditionalFormatting sqref="E732">
    <cfRule type="cellIs" rank="0" priority="2180" equalAverage="0" operator="greaterThan" aboveAverage="0" dxfId="7" text="" percent="0" bottom="0">
      <formula>0</formula>
    </cfRule>
  </conditionalFormatting>
  <conditionalFormatting sqref="F732">
    <cfRule type="cellIs" rank="0" priority="2181" equalAverage="0" operator="greaterThan" aboveAverage="0" dxfId="7" text="" percent="0" bottom="0">
      <formula>0</formula>
    </cfRule>
  </conditionalFormatting>
  <conditionalFormatting sqref="I732">
    <cfRule type="cellIs" rank="0" priority="2182" equalAverage="0" operator="lessThan" aboveAverage="0" dxfId="8" text="" percent="0" bottom="0">
      <formula>0</formula>
    </cfRule>
  </conditionalFormatting>
  <conditionalFormatting sqref="E733">
    <cfRule type="cellIs" rank="0" priority="2183" equalAverage="0" operator="greaterThan" aboveAverage="0" dxfId="7" text="" percent="0" bottom="0">
      <formula>0</formula>
    </cfRule>
  </conditionalFormatting>
  <conditionalFormatting sqref="F733">
    <cfRule type="cellIs" rank="0" priority="2184" equalAverage="0" operator="greaterThan" aboveAverage="0" dxfId="7" text="" percent="0" bottom="0">
      <formula>0</formula>
    </cfRule>
  </conditionalFormatting>
  <conditionalFormatting sqref="I733">
    <cfRule type="cellIs" rank="0" priority="2185" equalAverage="0" operator="lessThan" aboveAverage="0" dxfId="8" text="" percent="0" bottom="0">
      <formula>0</formula>
    </cfRule>
  </conditionalFormatting>
  <conditionalFormatting sqref="E734">
    <cfRule type="cellIs" rank="0" priority="2186" equalAverage="0" operator="greaterThan" aboveAverage="0" dxfId="7" text="" percent="0" bottom="0">
      <formula>0</formula>
    </cfRule>
  </conditionalFormatting>
  <conditionalFormatting sqref="F734">
    <cfRule type="cellIs" rank="0" priority="2187" equalAverage="0" operator="greaterThan" aboveAverage="0" dxfId="7" text="" percent="0" bottom="0">
      <formula>0</formula>
    </cfRule>
  </conditionalFormatting>
  <conditionalFormatting sqref="I734">
    <cfRule type="cellIs" rank="0" priority="2188" equalAverage="0" operator="lessThan" aboveAverage="0" dxfId="8" text="" percent="0" bottom="0">
      <formula>0</formula>
    </cfRule>
  </conditionalFormatting>
  <conditionalFormatting sqref="E735">
    <cfRule type="cellIs" rank="0" priority="2189" equalAverage="0" operator="greaterThan" aboveAverage="0" dxfId="7" text="" percent="0" bottom="0">
      <formula>0</formula>
    </cfRule>
  </conditionalFormatting>
  <conditionalFormatting sqref="F735">
    <cfRule type="cellIs" rank="0" priority="2190" equalAverage="0" operator="greaterThan" aboveAverage="0" dxfId="7" text="" percent="0" bottom="0">
      <formula>0</formula>
    </cfRule>
  </conditionalFormatting>
  <conditionalFormatting sqref="I735">
    <cfRule type="cellIs" rank="0" priority="2191" equalAverage="0" operator="lessThan" aboveAverage="0" dxfId="8" text="" percent="0" bottom="0">
      <formula>0</formula>
    </cfRule>
  </conditionalFormatting>
  <conditionalFormatting sqref="E736">
    <cfRule type="cellIs" rank="0" priority="2192" equalAverage="0" operator="greaterThan" aboveAverage="0" dxfId="7" text="" percent="0" bottom="0">
      <formula>0</formula>
    </cfRule>
  </conditionalFormatting>
  <conditionalFormatting sqref="F736">
    <cfRule type="cellIs" rank="0" priority="2193" equalAverage="0" operator="greaterThan" aboveAverage="0" dxfId="7" text="" percent="0" bottom="0">
      <formula>0</formula>
    </cfRule>
  </conditionalFormatting>
  <conditionalFormatting sqref="I736">
    <cfRule type="cellIs" rank="0" priority="2194" equalAverage="0" operator="lessThan" aboveAverage="0" dxfId="8" text="" percent="0" bottom="0">
      <formula>0</formula>
    </cfRule>
  </conditionalFormatting>
  <conditionalFormatting sqref="E737">
    <cfRule type="cellIs" rank="0" priority="2195" equalAverage="0" operator="greaterThan" aboveAverage="0" dxfId="7" text="" percent="0" bottom="0">
      <formula>0</formula>
    </cfRule>
  </conditionalFormatting>
  <conditionalFormatting sqref="F737">
    <cfRule type="cellIs" rank="0" priority="2196" equalAverage="0" operator="greaterThan" aboveAverage="0" dxfId="7" text="" percent="0" bottom="0">
      <formula>0</formula>
    </cfRule>
  </conditionalFormatting>
  <conditionalFormatting sqref="I737">
    <cfRule type="cellIs" rank="0" priority="2197" equalAverage="0" operator="lessThan" aboveAverage="0" dxfId="8" text="" percent="0" bottom="0">
      <formula>0</formula>
    </cfRule>
  </conditionalFormatting>
  <conditionalFormatting sqref="E738">
    <cfRule type="cellIs" rank="0" priority="2198" equalAverage="0" operator="greaterThan" aboveAverage="0" dxfId="7" text="" percent="0" bottom="0">
      <formula>0</formula>
    </cfRule>
  </conditionalFormatting>
  <conditionalFormatting sqref="F738">
    <cfRule type="cellIs" rank="0" priority="2199" equalAverage="0" operator="greaterThan" aboveAverage="0" dxfId="7" text="" percent="0" bottom="0">
      <formula>0</formula>
    </cfRule>
  </conditionalFormatting>
  <conditionalFormatting sqref="I738">
    <cfRule type="cellIs" rank="0" priority="2200" equalAverage="0" operator="lessThan" aboveAverage="0" dxfId="8" text="" percent="0" bottom="0">
      <formula>0</formula>
    </cfRule>
  </conditionalFormatting>
  <conditionalFormatting sqref="E739">
    <cfRule type="cellIs" rank="0" priority="2201" equalAverage="0" operator="greaterThan" aboveAverage="0" dxfId="7" text="" percent="0" bottom="0">
      <formula>0</formula>
    </cfRule>
  </conditionalFormatting>
  <conditionalFormatting sqref="F739">
    <cfRule type="cellIs" rank="0" priority="2202" equalAverage="0" operator="greaterThan" aboveAverage="0" dxfId="7" text="" percent="0" bottom="0">
      <formula>0</formula>
    </cfRule>
  </conditionalFormatting>
  <conditionalFormatting sqref="I739">
    <cfRule type="cellIs" rank="0" priority="2203" equalAverage="0" operator="lessThan" aboveAverage="0" dxfId="8" text="" percent="0" bottom="0">
      <formula>0</formula>
    </cfRule>
  </conditionalFormatting>
  <conditionalFormatting sqref="E740">
    <cfRule type="cellIs" rank="0" priority="2204" equalAverage="0" operator="greaterThan" aboveAverage="0" dxfId="7" text="" percent="0" bottom="0">
      <formula>0</formula>
    </cfRule>
  </conditionalFormatting>
  <conditionalFormatting sqref="F740">
    <cfRule type="cellIs" rank="0" priority="2205" equalAverage="0" operator="greaterThan" aboveAverage="0" dxfId="7" text="" percent="0" bottom="0">
      <formula>0</formula>
    </cfRule>
  </conditionalFormatting>
  <conditionalFormatting sqref="I740">
    <cfRule type="cellIs" rank="0" priority="2206" equalAverage="0" operator="lessThan" aboveAverage="0" dxfId="8" text="" percent="0" bottom="0">
      <formula>0</formula>
    </cfRule>
  </conditionalFormatting>
  <conditionalFormatting sqref="E741">
    <cfRule type="cellIs" rank="0" priority="2207" equalAverage="0" operator="greaterThan" aboveAverage="0" dxfId="7" text="" percent="0" bottom="0">
      <formula>0</formula>
    </cfRule>
  </conditionalFormatting>
  <conditionalFormatting sqref="F741">
    <cfRule type="cellIs" rank="0" priority="2208" equalAverage="0" operator="greaterThan" aboveAverage="0" dxfId="7" text="" percent="0" bottom="0">
      <formula>0</formula>
    </cfRule>
  </conditionalFormatting>
  <conditionalFormatting sqref="I741">
    <cfRule type="cellIs" rank="0" priority="2209" equalAverage="0" operator="lessThan" aboveAverage="0" dxfId="8" text="" percent="0" bottom="0">
      <formula>0</formula>
    </cfRule>
  </conditionalFormatting>
  <conditionalFormatting sqref="E742">
    <cfRule type="cellIs" rank="0" priority="2210" equalAverage="0" operator="greaterThan" aboveAverage="0" dxfId="7" text="" percent="0" bottom="0">
      <formula>0</formula>
    </cfRule>
  </conditionalFormatting>
  <conditionalFormatting sqref="F742">
    <cfRule type="cellIs" rank="0" priority="2211" equalAverage="0" operator="greaterThan" aboveAverage="0" dxfId="7" text="" percent="0" bottom="0">
      <formula>0</formula>
    </cfRule>
  </conditionalFormatting>
  <conditionalFormatting sqref="I742">
    <cfRule type="cellIs" rank="0" priority="2212" equalAverage="0" operator="lessThan" aboveAverage="0" dxfId="8" text="" percent="0" bottom="0">
      <formula>0</formula>
    </cfRule>
  </conditionalFormatting>
  <conditionalFormatting sqref="E743">
    <cfRule type="cellIs" rank="0" priority="2213" equalAverage="0" operator="greaterThan" aboveAverage="0" dxfId="7" text="" percent="0" bottom="0">
      <formula>0</formula>
    </cfRule>
  </conditionalFormatting>
  <conditionalFormatting sqref="F743">
    <cfRule type="cellIs" rank="0" priority="2214" equalAverage="0" operator="greaterThan" aboveAverage="0" dxfId="7" text="" percent="0" bottom="0">
      <formula>0</formula>
    </cfRule>
  </conditionalFormatting>
  <conditionalFormatting sqref="I743">
    <cfRule type="cellIs" rank="0" priority="2215" equalAverage="0" operator="lessThan" aboveAverage="0" dxfId="8" text="" percent="0" bottom="0">
      <formula>0</formula>
    </cfRule>
  </conditionalFormatting>
  <conditionalFormatting sqref="E744">
    <cfRule type="cellIs" rank="0" priority="2216" equalAverage="0" operator="greaterThan" aboveAverage="0" dxfId="7" text="" percent="0" bottom="0">
      <formula>0</formula>
    </cfRule>
  </conditionalFormatting>
  <conditionalFormatting sqref="F744">
    <cfRule type="cellIs" rank="0" priority="2217" equalAverage="0" operator="greaterThan" aboveAverage="0" dxfId="7" text="" percent="0" bottom="0">
      <formula>0</formula>
    </cfRule>
  </conditionalFormatting>
  <conditionalFormatting sqref="I744">
    <cfRule type="cellIs" rank="0" priority="2218" equalAverage="0" operator="lessThan" aboveAverage="0" dxfId="8" text="" percent="0" bottom="0">
      <formula>0</formula>
    </cfRule>
  </conditionalFormatting>
  <conditionalFormatting sqref="E745">
    <cfRule type="cellIs" rank="0" priority="2219" equalAverage="0" operator="greaterThan" aboveAverage="0" dxfId="7" text="" percent="0" bottom="0">
      <formula>0</formula>
    </cfRule>
  </conditionalFormatting>
  <conditionalFormatting sqref="F745">
    <cfRule type="cellIs" rank="0" priority="2220" equalAverage="0" operator="greaterThan" aboveAverage="0" dxfId="7" text="" percent="0" bottom="0">
      <formula>0</formula>
    </cfRule>
  </conditionalFormatting>
  <conditionalFormatting sqref="I745">
    <cfRule type="cellIs" rank="0" priority="2221" equalAverage="0" operator="lessThan" aboveAverage="0" dxfId="8" text="" percent="0" bottom="0">
      <formula>0</formula>
    </cfRule>
  </conditionalFormatting>
  <conditionalFormatting sqref="E746">
    <cfRule type="cellIs" rank="0" priority="2222" equalAverage="0" operator="greaterThan" aboveAverage="0" dxfId="7" text="" percent="0" bottom="0">
      <formula>0</formula>
    </cfRule>
  </conditionalFormatting>
  <conditionalFormatting sqref="F746">
    <cfRule type="cellIs" rank="0" priority="2223" equalAverage="0" operator="greaterThan" aboveAverage="0" dxfId="7" text="" percent="0" bottom="0">
      <formula>0</formula>
    </cfRule>
  </conditionalFormatting>
  <conditionalFormatting sqref="I746">
    <cfRule type="cellIs" rank="0" priority="2224" equalAverage="0" operator="lessThan" aboveAverage="0" dxfId="8" text="" percent="0" bottom="0">
      <formula>0</formula>
    </cfRule>
  </conditionalFormatting>
  <conditionalFormatting sqref="E747">
    <cfRule type="cellIs" rank="0" priority="2225" equalAverage="0" operator="greaterThan" aboveAverage="0" dxfId="7" text="" percent="0" bottom="0">
      <formula>0</formula>
    </cfRule>
  </conditionalFormatting>
  <conditionalFormatting sqref="F747">
    <cfRule type="cellIs" rank="0" priority="2226" equalAverage="0" operator="greaterThan" aboveAverage="0" dxfId="7" text="" percent="0" bottom="0">
      <formula>0</formula>
    </cfRule>
  </conditionalFormatting>
  <conditionalFormatting sqref="I747">
    <cfRule type="cellIs" rank="0" priority="2227" equalAverage="0" operator="lessThan" aboveAverage="0" dxfId="8" text="" percent="0" bottom="0">
      <formula>0</formula>
    </cfRule>
  </conditionalFormatting>
  <conditionalFormatting sqref="E748">
    <cfRule type="cellIs" rank="0" priority="2228" equalAverage="0" operator="greaterThan" aboveAverage="0" dxfId="7" text="" percent="0" bottom="0">
      <formula>0</formula>
    </cfRule>
  </conditionalFormatting>
  <conditionalFormatting sqref="F748">
    <cfRule type="cellIs" rank="0" priority="2229" equalAverage="0" operator="greaterThan" aboveAverage="0" dxfId="7" text="" percent="0" bottom="0">
      <formula>0</formula>
    </cfRule>
  </conditionalFormatting>
  <conditionalFormatting sqref="I748">
    <cfRule type="cellIs" rank="0" priority="2230" equalAverage="0" operator="lessThan" aboveAverage="0" dxfId="8" text="" percent="0" bottom="0">
      <formula>0</formula>
    </cfRule>
  </conditionalFormatting>
  <conditionalFormatting sqref="E749">
    <cfRule type="cellIs" rank="0" priority="2231" equalAverage="0" operator="greaterThan" aboveAverage="0" dxfId="7" text="" percent="0" bottom="0">
      <formula>0</formula>
    </cfRule>
  </conditionalFormatting>
  <conditionalFormatting sqref="F749">
    <cfRule type="cellIs" rank="0" priority="2232" equalAverage="0" operator="greaterThan" aboveAverage="0" dxfId="7" text="" percent="0" bottom="0">
      <formula>0</formula>
    </cfRule>
  </conditionalFormatting>
  <conditionalFormatting sqref="I749">
    <cfRule type="cellIs" rank="0" priority="2233" equalAverage="0" operator="lessThan" aboveAverage="0" dxfId="8" text="" percent="0" bottom="0">
      <formula>0</formula>
    </cfRule>
  </conditionalFormatting>
  <conditionalFormatting sqref="E750">
    <cfRule type="cellIs" rank="0" priority="2234" equalAverage="0" operator="greaterThan" aboveAverage="0" dxfId="7" text="" percent="0" bottom="0">
      <formula>0</formula>
    </cfRule>
  </conditionalFormatting>
  <conditionalFormatting sqref="F750">
    <cfRule type="cellIs" rank="0" priority="2235" equalAverage="0" operator="greaterThan" aboveAverage="0" dxfId="7" text="" percent="0" bottom="0">
      <formula>0</formula>
    </cfRule>
  </conditionalFormatting>
  <conditionalFormatting sqref="I750">
    <cfRule type="cellIs" rank="0" priority="2236" equalAverage="0" operator="lessThan" aboveAverage="0" dxfId="8" text="" percent="0" bottom="0">
      <formula>0</formula>
    </cfRule>
  </conditionalFormatting>
  <conditionalFormatting sqref="E751">
    <cfRule type="cellIs" rank="0" priority="2237" equalAverage="0" operator="greaterThan" aboveAverage="0" dxfId="7" text="" percent="0" bottom="0">
      <formula>0</formula>
    </cfRule>
  </conditionalFormatting>
  <conditionalFormatting sqref="F751">
    <cfRule type="cellIs" rank="0" priority="2238" equalAverage="0" operator="greaterThan" aboveAverage="0" dxfId="7" text="" percent="0" bottom="0">
      <formula>0</formula>
    </cfRule>
  </conditionalFormatting>
  <conditionalFormatting sqref="I751">
    <cfRule type="cellIs" rank="0" priority="2239" equalAverage="0" operator="lessThan" aboveAverage="0" dxfId="8" text="" percent="0" bottom="0">
      <formula>0</formula>
    </cfRule>
  </conditionalFormatting>
  <conditionalFormatting sqref="E752">
    <cfRule type="cellIs" rank="0" priority="2240" equalAverage="0" operator="greaterThan" aboveAverage="0" dxfId="7" text="" percent="0" bottom="0">
      <formula>0</formula>
    </cfRule>
  </conditionalFormatting>
  <conditionalFormatting sqref="F752">
    <cfRule type="cellIs" rank="0" priority="2241" equalAverage="0" operator="greaterThan" aboveAverage="0" dxfId="7" text="" percent="0" bottom="0">
      <formula>0</formula>
    </cfRule>
  </conditionalFormatting>
  <conditionalFormatting sqref="I752">
    <cfRule type="cellIs" rank="0" priority="2242" equalAverage="0" operator="lessThan" aboveAverage="0" dxfId="8" text="" percent="0" bottom="0">
      <formula>0</formula>
    </cfRule>
  </conditionalFormatting>
  <conditionalFormatting sqref="E753">
    <cfRule type="cellIs" rank="0" priority="2243" equalAverage="0" operator="greaterThan" aboveAverage="0" dxfId="7" text="" percent="0" bottom="0">
      <formula>0</formula>
    </cfRule>
  </conditionalFormatting>
  <conditionalFormatting sqref="F753">
    <cfRule type="cellIs" rank="0" priority="2244" equalAverage="0" operator="greaterThan" aboveAverage="0" dxfId="7" text="" percent="0" bottom="0">
      <formula>0</formula>
    </cfRule>
  </conditionalFormatting>
  <conditionalFormatting sqref="I753">
    <cfRule type="cellIs" rank="0" priority="2245" equalAverage="0" operator="lessThan" aboveAverage="0" dxfId="8" text="" percent="0" bottom="0">
      <formula>0</formula>
    </cfRule>
  </conditionalFormatting>
  <conditionalFormatting sqref="E754">
    <cfRule type="cellIs" rank="0" priority="2246" equalAverage="0" operator="greaterThan" aboveAverage="0" dxfId="7" text="" percent="0" bottom="0">
      <formula>0</formula>
    </cfRule>
  </conditionalFormatting>
  <conditionalFormatting sqref="F754">
    <cfRule type="cellIs" rank="0" priority="2247" equalAverage="0" operator="greaterThan" aboveAverage="0" dxfId="7" text="" percent="0" bottom="0">
      <formula>0</formula>
    </cfRule>
  </conditionalFormatting>
  <conditionalFormatting sqref="I754">
    <cfRule type="cellIs" rank="0" priority="2248" equalAverage="0" operator="lessThan" aboveAverage="0" dxfId="8" text="" percent="0" bottom="0">
      <formula>0</formula>
    </cfRule>
  </conditionalFormatting>
  <conditionalFormatting sqref="E755">
    <cfRule type="cellIs" rank="0" priority="2249" equalAverage="0" operator="greaterThan" aboveAverage="0" dxfId="7" text="" percent="0" bottom="0">
      <formula>0</formula>
    </cfRule>
  </conditionalFormatting>
  <conditionalFormatting sqref="F755">
    <cfRule type="cellIs" rank="0" priority="2250" equalAverage="0" operator="greaterThan" aboveAverage="0" dxfId="7" text="" percent="0" bottom="0">
      <formula>0</formula>
    </cfRule>
  </conditionalFormatting>
  <conditionalFormatting sqref="I755">
    <cfRule type="cellIs" rank="0" priority="2251" equalAverage="0" operator="lessThan" aboveAverage="0" dxfId="8" text="" percent="0" bottom="0">
      <formula>0</formula>
    </cfRule>
  </conditionalFormatting>
  <conditionalFormatting sqref="E756">
    <cfRule type="cellIs" rank="0" priority="2252" equalAverage="0" operator="greaterThan" aboveAverage="0" dxfId="7" text="" percent="0" bottom="0">
      <formula>0</formula>
    </cfRule>
  </conditionalFormatting>
  <conditionalFormatting sqref="F756">
    <cfRule type="cellIs" rank="0" priority="2253" equalAverage="0" operator="greaterThan" aboveAverage="0" dxfId="7" text="" percent="0" bottom="0">
      <formula>0</formula>
    </cfRule>
  </conditionalFormatting>
  <conditionalFormatting sqref="I756">
    <cfRule type="cellIs" rank="0" priority="2254" equalAverage="0" operator="lessThan" aboveAverage="0" dxfId="8" text="" percent="0" bottom="0">
      <formula>0</formula>
    </cfRule>
  </conditionalFormatting>
  <conditionalFormatting sqref="E757">
    <cfRule type="cellIs" rank="0" priority="2255" equalAverage="0" operator="greaterThan" aboveAverage="0" dxfId="7" text="" percent="0" bottom="0">
      <formula>0</formula>
    </cfRule>
  </conditionalFormatting>
  <conditionalFormatting sqref="F757">
    <cfRule type="cellIs" rank="0" priority="2256" equalAverage="0" operator="greaterThan" aboveAverage="0" dxfId="7" text="" percent="0" bottom="0">
      <formula>0</formula>
    </cfRule>
  </conditionalFormatting>
  <conditionalFormatting sqref="I757">
    <cfRule type="cellIs" rank="0" priority="2257" equalAverage="0" operator="lessThan" aboveAverage="0" dxfId="8" text="" percent="0" bottom="0">
      <formula>0</formula>
    </cfRule>
  </conditionalFormatting>
  <conditionalFormatting sqref="E758">
    <cfRule type="cellIs" rank="0" priority="2258" equalAverage="0" operator="greaterThan" aboveAverage="0" dxfId="7" text="" percent="0" bottom="0">
      <formula>0</formula>
    </cfRule>
  </conditionalFormatting>
  <conditionalFormatting sqref="F758">
    <cfRule type="cellIs" rank="0" priority="2259" equalAverage="0" operator="greaterThan" aboveAverage="0" dxfId="7" text="" percent="0" bottom="0">
      <formula>0</formula>
    </cfRule>
  </conditionalFormatting>
  <conditionalFormatting sqref="I758">
    <cfRule type="cellIs" rank="0" priority="2260" equalAverage="0" operator="lessThan" aboveAverage="0" dxfId="8" text="" percent="0" bottom="0">
      <formula>0</formula>
    </cfRule>
  </conditionalFormatting>
  <conditionalFormatting sqref="E759">
    <cfRule type="cellIs" rank="0" priority="2261" equalAverage="0" operator="greaterThan" aboveAverage="0" dxfId="7" text="" percent="0" bottom="0">
      <formula>0</formula>
    </cfRule>
  </conditionalFormatting>
  <conditionalFormatting sqref="F759">
    <cfRule type="cellIs" rank="0" priority="2262" equalAverage="0" operator="greaterThan" aboveAverage="0" dxfId="7" text="" percent="0" bottom="0">
      <formula>0</formula>
    </cfRule>
  </conditionalFormatting>
  <conditionalFormatting sqref="I759">
    <cfRule type="cellIs" rank="0" priority="2263" equalAverage="0" operator="lessThan" aboveAverage="0" dxfId="8" text="" percent="0" bottom="0">
      <formula>0</formula>
    </cfRule>
  </conditionalFormatting>
  <conditionalFormatting sqref="E760">
    <cfRule type="cellIs" rank="0" priority="2264" equalAverage="0" operator="greaterThan" aboveAverage="0" dxfId="7" text="" percent="0" bottom="0">
      <formula>0</formula>
    </cfRule>
  </conditionalFormatting>
  <conditionalFormatting sqref="F760">
    <cfRule type="cellIs" rank="0" priority="2265" equalAverage="0" operator="greaterThan" aboveAverage="0" dxfId="7" text="" percent="0" bottom="0">
      <formula>0</formula>
    </cfRule>
  </conditionalFormatting>
  <conditionalFormatting sqref="I760">
    <cfRule type="cellIs" rank="0" priority="2266" equalAverage="0" operator="lessThan" aboveAverage="0" dxfId="8" text="" percent="0" bottom="0">
      <formula>0</formula>
    </cfRule>
  </conditionalFormatting>
  <conditionalFormatting sqref="E761">
    <cfRule type="cellIs" rank="0" priority="2267" equalAverage="0" operator="greaterThan" aboveAverage="0" dxfId="7" text="" percent="0" bottom="0">
      <formula>0</formula>
    </cfRule>
  </conditionalFormatting>
  <conditionalFormatting sqref="F761">
    <cfRule type="cellIs" rank="0" priority="2268" equalAverage="0" operator="greaterThan" aboveAverage="0" dxfId="7" text="" percent="0" bottom="0">
      <formula>0</formula>
    </cfRule>
  </conditionalFormatting>
  <conditionalFormatting sqref="I761">
    <cfRule type="cellIs" rank="0" priority="2269" equalAverage="0" operator="lessThan" aboveAverage="0" dxfId="8" text="" percent="0" bottom="0">
      <formula>0</formula>
    </cfRule>
  </conditionalFormatting>
  <conditionalFormatting sqref="E762">
    <cfRule type="cellIs" rank="0" priority="2270" equalAverage="0" operator="greaterThan" aboveAverage="0" dxfId="7" text="" percent="0" bottom="0">
      <formula>0</formula>
    </cfRule>
  </conditionalFormatting>
  <conditionalFormatting sqref="F762">
    <cfRule type="cellIs" rank="0" priority="2271" equalAverage="0" operator="greaterThan" aboveAverage="0" dxfId="7" text="" percent="0" bottom="0">
      <formula>0</formula>
    </cfRule>
  </conditionalFormatting>
  <conditionalFormatting sqref="I762">
    <cfRule type="cellIs" rank="0" priority="2272" equalAverage="0" operator="lessThan" aboveAverage="0" dxfId="8" text="" percent="0" bottom="0">
      <formula>0</formula>
    </cfRule>
  </conditionalFormatting>
  <conditionalFormatting sqref="E763">
    <cfRule type="cellIs" rank="0" priority="2273" equalAverage="0" operator="greaterThan" aboveAverage="0" dxfId="7" text="" percent="0" bottom="0">
      <formula>0</formula>
    </cfRule>
  </conditionalFormatting>
  <conditionalFormatting sqref="F763">
    <cfRule type="cellIs" rank="0" priority="2274" equalAverage="0" operator="greaterThan" aboveAverage="0" dxfId="7" text="" percent="0" bottom="0">
      <formula>0</formula>
    </cfRule>
  </conditionalFormatting>
  <conditionalFormatting sqref="I763">
    <cfRule type="cellIs" rank="0" priority="2275" equalAverage="0" operator="lessThan" aboveAverage="0" dxfId="8" text="" percent="0" bottom="0">
      <formula>0</formula>
    </cfRule>
  </conditionalFormatting>
  <conditionalFormatting sqref="E764">
    <cfRule type="cellIs" rank="0" priority="2276" equalAverage="0" operator="greaterThan" aboveAverage="0" dxfId="7" text="" percent="0" bottom="0">
      <formula>0</formula>
    </cfRule>
  </conditionalFormatting>
  <conditionalFormatting sqref="F764">
    <cfRule type="cellIs" rank="0" priority="2277" equalAverage="0" operator="greaterThan" aboveAverage="0" dxfId="7" text="" percent="0" bottom="0">
      <formula>0</formula>
    </cfRule>
  </conditionalFormatting>
  <conditionalFormatting sqref="I764">
    <cfRule type="cellIs" rank="0" priority="2278" equalAverage="0" operator="lessThan" aboveAverage="0" dxfId="8" text="" percent="0" bottom="0">
      <formula>0</formula>
    </cfRule>
  </conditionalFormatting>
  <conditionalFormatting sqref="E765">
    <cfRule type="cellIs" rank="0" priority="2279" equalAverage="0" operator="greaterThan" aboveAverage="0" dxfId="7" text="" percent="0" bottom="0">
      <formula>0</formula>
    </cfRule>
  </conditionalFormatting>
  <conditionalFormatting sqref="F765">
    <cfRule type="cellIs" rank="0" priority="2280" equalAverage="0" operator="greaterThan" aboveAverage="0" dxfId="7" text="" percent="0" bottom="0">
      <formula>0</formula>
    </cfRule>
  </conditionalFormatting>
  <conditionalFormatting sqref="I765">
    <cfRule type="cellIs" rank="0" priority="2281" equalAverage="0" operator="lessThan" aboveAverage="0" dxfId="8" text="" percent="0" bottom="0">
      <formula>0</formula>
    </cfRule>
  </conditionalFormatting>
  <conditionalFormatting sqref="E766">
    <cfRule type="cellIs" rank="0" priority="2282" equalAverage="0" operator="greaterThan" aboveAverage="0" dxfId="7" text="" percent="0" bottom="0">
      <formula>0</formula>
    </cfRule>
  </conditionalFormatting>
  <conditionalFormatting sqref="F766">
    <cfRule type="cellIs" rank="0" priority="2283" equalAverage="0" operator="greaterThan" aboveAverage="0" dxfId="7" text="" percent="0" bottom="0">
      <formula>0</formula>
    </cfRule>
  </conditionalFormatting>
  <conditionalFormatting sqref="I766">
    <cfRule type="cellIs" rank="0" priority="2284" equalAverage="0" operator="lessThan" aboveAverage="0" dxfId="8" text="" percent="0" bottom="0">
      <formula>0</formula>
    </cfRule>
  </conditionalFormatting>
  <conditionalFormatting sqref="E767">
    <cfRule type="cellIs" rank="0" priority="2285" equalAverage="0" operator="greaterThan" aboveAverage="0" dxfId="7" text="" percent="0" bottom="0">
      <formula>0</formula>
    </cfRule>
  </conditionalFormatting>
  <conditionalFormatting sqref="F767">
    <cfRule type="cellIs" rank="0" priority="2286" equalAverage="0" operator="greaterThan" aboveAverage="0" dxfId="7" text="" percent="0" bottom="0">
      <formula>0</formula>
    </cfRule>
  </conditionalFormatting>
  <conditionalFormatting sqref="I767">
    <cfRule type="cellIs" rank="0" priority="2287" equalAverage="0" operator="lessThan" aboveAverage="0" dxfId="8" text="" percent="0" bottom="0">
      <formula>0</formula>
    </cfRule>
  </conditionalFormatting>
  <conditionalFormatting sqref="E768">
    <cfRule type="cellIs" rank="0" priority="2288" equalAverage="0" operator="greaterThan" aboveAverage="0" dxfId="7" text="" percent="0" bottom="0">
      <formula>0</formula>
    </cfRule>
  </conditionalFormatting>
  <conditionalFormatting sqref="F768">
    <cfRule type="cellIs" rank="0" priority="2289" equalAverage="0" operator="greaterThan" aboveAverage="0" dxfId="7" text="" percent="0" bottom="0">
      <formula>0</formula>
    </cfRule>
  </conditionalFormatting>
  <conditionalFormatting sqref="I768">
    <cfRule type="cellIs" rank="0" priority="2290" equalAverage="0" operator="lessThan" aboveAverage="0" dxfId="8" text="" percent="0" bottom="0">
      <formula>0</formula>
    </cfRule>
  </conditionalFormatting>
  <conditionalFormatting sqref="E769">
    <cfRule type="cellIs" rank="0" priority="2291" equalAverage="0" operator="greaterThan" aboveAverage="0" dxfId="7" text="" percent="0" bottom="0">
      <formula>0</formula>
    </cfRule>
  </conditionalFormatting>
  <conditionalFormatting sqref="F769">
    <cfRule type="cellIs" rank="0" priority="2292" equalAverage="0" operator="greaterThan" aboveAverage="0" dxfId="7" text="" percent="0" bottom="0">
      <formula>0</formula>
    </cfRule>
  </conditionalFormatting>
  <conditionalFormatting sqref="I769">
    <cfRule type="cellIs" rank="0" priority="2293" equalAverage="0" operator="lessThan" aboveAverage="0" dxfId="8" text="" percent="0" bottom="0">
      <formula>0</formula>
    </cfRule>
  </conditionalFormatting>
  <conditionalFormatting sqref="E770">
    <cfRule type="cellIs" rank="0" priority="2294" equalAverage="0" operator="greaterThan" aboveAverage="0" dxfId="7" text="" percent="0" bottom="0">
      <formula>0</formula>
    </cfRule>
  </conditionalFormatting>
  <conditionalFormatting sqref="F770">
    <cfRule type="cellIs" rank="0" priority="2295" equalAverage="0" operator="greaterThan" aboveAverage="0" dxfId="7" text="" percent="0" bottom="0">
      <formula>0</formula>
    </cfRule>
  </conditionalFormatting>
  <conditionalFormatting sqref="I770">
    <cfRule type="cellIs" rank="0" priority="2296" equalAverage="0" operator="lessThan" aboveAverage="0" dxfId="8" text="" percent="0" bottom="0">
      <formula>0</formula>
    </cfRule>
  </conditionalFormatting>
  <conditionalFormatting sqref="E771">
    <cfRule type="cellIs" rank="0" priority="2297" equalAverage="0" operator="greaterThan" aboveAverage="0" dxfId="7" text="" percent="0" bottom="0">
      <formula>0</formula>
    </cfRule>
  </conditionalFormatting>
  <conditionalFormatting sqref="F771">
    <cfRule type="cellIs" rank="0" priority="2298" equalAverage="0" operator="greaterThan" aboveAverage="0" dxfId="7" text="" percent="0" bottom="0">
      <formula>0</formula>
    </cfRule>
  </conditionalFormatting>
  <conditionalFormatting sqref="I771">
    <cfRule type="cellIs" rank="0" priority="2299" equalAverage="0" operator="lessThan" aboveAverage="0" dxfId="8" text="" percent="0" bottom="0">
      <formula>0</formula>
    </cfRule>
  </conditionalFormatting>
  <conditionalFormatting sqref="E772">
    <cfRule type="cellIs" rank="0" priority="2300" equalAverage="0" operator="greaterThan" aboveAverage="0" dxfId="7" text="" percent="0" bottom="0">
      <formula>0</formula>
    </cfRule>
  </conditionalFormatting>
  <conditionalFormatting sqref="F772">
    <cfRule type="cellIs" rank="0" priority="2301" equalAverage="0" operator="greaterThan" aboveAverage="0" dxfId="7" text="" percent="0" bottom="0">
      <formula>0</formula>
    </cfRule>
  </conditionalFormatting>
  <conditionalFormatting sqref="I772">
    <cfRule type="cellIs" rank="0" priority="2302" equalAverage="0" operator="lessThan" aboveAverage="0" dxfId="8" text="" percent="0" bottom="0">
      <formula>0</formula>
    </cfRule>
  </conditionalFormatting>
  <conditionalFormatting sqref="E773">
    <cfRule type="cellIs" rank="0" priority="2303" equalAverage="0" operator="greaterThan" aboveAverage="0" dxfId="7" text="" percent="0" bottom="0">
      <formula>0</formula>
    </cfRule>
  </conditionalFormatting>
  <conditionalFormatting sqref="F773">
    <cfRule type="cellIs" rank="0" priority="2304" equalAverage="0" operator="greaterThan" aboveAverage="0" dxfId="7" text="" percent="0" bottom="0">
      <formula>0</formula>
    </cfRule>
  </conditionalFormatting>
  <conditionalFormatting sqref="I773">
    <cfRule type="cellIs" rank="0" priority="2305" equalAverage="0" operator="lessThan" aboveAverage="0" dxfId="8" text="" percent="0" bottom="0">
      <formula>0</formula>
    </cfRule>
  </conditionalFormatting>
  <conditionalFormatting sqref="E774">
    <cfRule type="cellIs" rank="0" priority="2306" equalAverage="0" operator="greaterThan" aboveAverage="0" dxfId="7" text="" percent="0" bottom="0">
      <formula>0</formula>
    </cfRule>
  </conditionalFormatting>
  <conditionalFormatting sqref="F774">
    <cfRule type="cellIs" rank="0" priority="2307" equalAverage="0" operator="greaterThan" aboveAverage="0" dxfId="7" text="" percent="0" bottom="0">
      <formula>0</formula>
    </cfRule>
  </conditionalFormatting>
  <conditionalFormatting sqref="I774">
    <cfRule type="cellIs" rank="0" priority="2308" equalAverage="0" operator="lessThan" aboveAverage="0" dxfId="8" text="" percent="0" bottom="0">
      <formula>0</formula>
    </cfRule>
  </conditionalFormatting>
  <conditionalFormatting sqref="E775">
    <cfRule type="cellIs" rank="0" priority="2309" equalAverage="0" operator="greaterThan" aboveAverage="0" dxfId="7" text="" percent="0" bottom="0">
      <formula>0</formula>
    </cfRule>
  </conditionalFormatting>
  <conditionalFormatting sqref="F775">
    <cfRule type="cellIs" rank="0" priority="2310" equalAverage="0" operator="greaterThan" aboveAverage="0" dxfId="7" text="" percent="0" bottom="0">
      <formula>0</formula>
    </cfRule>
  </conditionalFormatting>
  <conditionalFormatting sqref="I775">
    <cfRule type="cellIs" rank="0" priority="2311" equalAverage="0" operator="lessThan" aboveAverage="0" dxfId="8" text="" percent="0" bottom="0">
      <formula>0</formula>
    </cfRule>
  </conditionalFormatting>
  <conditionalFormatting sqref="E776">
    <cfRule type="cellIs" rank="0" priority="2312" equalAverage="0" operator="greaterThan" aboveAverage="0" dxfId="7" text="" percent="0" bottom="0">
      <formula>0</formula>
    </cfRule>
  </conditionalFormatting>
  <conditionalFormatting sqref="F776">
    <cfRule type="cellIs" rank="0" priority="2313" equalAverage="0" operator="greaterThan" aboveAverage="0" dxfId="7" text="" percent="0" bottom="0">
      <formula>0</formula>
    </cfRule>
  </conditionalFormatting>
  <conditionalFormatting sqref="I776">
    <cfRule type="cellIs" rank="0" priority="2314" equalAverage="0" operator="lessThan" aboveAverage="0" dxfId="8" text="" percent="0" bottom="0">
      <formula>0</formula>
    </cfRule>
  </conditionalFormatting>
  <conditionalFormatting sqref="E777">
    <cfRule type="cellIs" rank="0" priority="2315" equalAverage="0" operator="greaterThan" aboveAverage="0" dxfId="7" text="" percent="0" bottom="0">
      <formula>0</formula>
    </cfRule>
  </conditionalFormatting>
  <conditionalFormatting sqref="F777">
    <cfRule type="cellIs" rank="0" priority="2316" equalAverage="0" operator="greaterThan" aboveAverage="0" dxfId="7" text="" percent="0" bottom="0">
      <formula>0</formula>
    </cfRule>
  </conditionalFormatting>
  <conditionalFormatting sqref="I777">
    <cfRule type="cellIs" rank="0" priority="2317" equalAverage="0" operator="lessThan" aboveAverage="0" dxfId="8" text="" percent="0" bottom="0">
      <formula>0</formula>
    </cfRule>
  </conditionalFormatting>
  <conditionalFormatting sqref="E778">
    <cfRule type="cellIs" rank="0" priority="2318" equalAverage="0" operator="greaterThan" aboveAverage="0" dxfId="7" text="" percent="0" bottom="0">
      <formula>0</formula>
    </cfRule>
  </conditionalFormatting>
  <conditionalFormatting sqref="F778">
    <cfRule type="cellIs" rank="0" priority="2319" equalAverage="0" operator="greaterThan" aboveAverage="0" dxfId="7" text="" percent="0" bottom="0">
      <formula>0</formula>
    </cfRule>
  </conditionalFormatting>
  <conditionalFormatting sqref="I778">
    <cfRule type="cellIs" rank="0" priority="2320" equalAverage="0" operator="lessThan" aboveAverage="0" dxfId="8" text="" percent="0" bottom="0">
      <formula>0</formula>
    </cfRule>
  </conditionalFormatting>
  <conditionalFormatting sqref="E779">
    <cfRule type="cellIs" rank="0" priority="2321" equalAverage="0" operator="greaterThan" aboveAverage="0" dxfId="7" text="" percent="0" bottom="0">
      <formula>0</formula>
    </cfRule>
  </conditionalFormatting>
  <conditionalFormatting sqref="F779">
    <cfRule type="cellIs" rank="0" priority="2322" equalAverage="0" operator="greaterThan" aboveAverage="0" dxfId="7" text="" percent="0" bottom="0">
      <formula>0</formula>
    </cfRule>
  </conditionalFormatting>
  <conditionalFormatting sqref="I779">
    <cfRule type="cellIs" rank="0" priority="2323" equalAverage="0" operator="lessThan" aboveAverage="0" dxfId="8" text="" percent="0" bottom="0">
      <formula>0</formula>
    </cfRule>
  </conditionalFormatting>
  <conditionalFormatting sqref="E780">
    <cfRule type="cellIs" rank="0" priority="2324" equalAverage="0" operator="greaterThan" aboveAverage="0" dxfId="7" text="" percent="0" bottom="0">
      <formula>0</formula>
    </cfRule>
  </conditionalFormatting>
  <conditionalFormatting sqref="F780">
    <cfRule type="cellIs" rank="0" priority="2325" equalAverage="0" operator="greaterThan" aboveAverage="0" dxfId="7" text="" percent="0" bottom="0">
      <formula>0</formula>
    </cfRule>
  </conditionalFormatting>
  <conditionalFormatting sqref="I780">
    <cfRule type="cellIs" rank="0" priority="2326" equalAverage="0" operator="lessThan" aboveAverage="0" dxfId="8" text="" percent="0" bottom="0">
      <formula>0</formula>
    </cfRule>
  </conditionalFormatting>
  <conditionalFormatting sqref="E781">
    <cfRule type="cellIs" rank="0" priority="2327" equalAverage="0" operator="greaterThan" aboveAverage="0" dxfId="7" text="" percent="0" bottom="0">
      <formula>0</formula>
    </cfRule>
  </conditionalFormatting>
  <conditionalFormatting sqref="F781">
    <cfRule type="cellIs" rank="0" priority="2328" equalAverage="0" operator="greaterThan" aboveAverage="0" dxfId="7" text="" percent="0" bottom="0">
      <formula>0</formula>
    </cfRule>
  </conditionalFormatting>
  <conditionalFormatting sqref="I781">
    <cfRule type="cellIs" rank="0" priority="2329" equalAverage="0" operator="lessThan" aboveAverage="0" dxfId="8" text="" percent="0" bottom="0">
      <formula>0</formula>
    </cfRule>
  </conditionalFormatting>
  <conditionalFormatting sqref="E782">
    <cfRule type="cellIs" rank="0" priority="2330" equalAverage="0" operator="greaterThan" aboveAverage="0" dxfId="7" text="" percent="0" bottom="0">
      <formula>0</formula>
    </cfRule>
  </conditionalFormatting>
  <conditionalFormatting sqref="F782">
    <cfRule type="cellIs" rank="0" priority="2331" equalAverage="0" operator="greaterThan" aboveAverage="0" dxfId="7" text="" percent="0" bottom="0">
      <formula>0</formula>
    </cfRule>
  </conditionalFormatting>
  <conditionalFormatting sqref="I782">
    <cfRule type="cellIs" rank="0" priority="2332" equalAverage="0" operator="lessThan" aboveAverage="0" dxfId="8" text="" percent="0" bottom="0">
      <formula>0</formula>
    </cfRule>
  </conditionalFormatting>
  <conditionalFormatting sqref="E783">
    <cfRule type="cellIs" rank="0" priority="2333" equalAverage="0" operator="greaterThan" aboveAverage="0" dxfId="7" text="" percent="0" bottom="0">
      <formula>0</formula>
    </cfRule>
  </conditionalFormatting>
  <conditionalFormatting sqref="F783">
    <cfRule type="cellIs" rank="0" priority="2334" equalAverage="0" operator="greaterThan" aboveAverage="0" dxfId="7" text="" percent="0" bottom="0">
      <formula>0</formula>
    </cfRule>
  </conditionalFormatting>
  <conditionalFormatting sqref="I783">
    <cfRule type="cellIs" rank="0" priority="2335" equalAverage="0" operator="lessThan" aboveAverage="0" dxfId="8" text="" percent="0" bottom="0">
      <formula>0</formula>
    </cfRule>
  </conditionalFormatting>
  <conditionalFormatting sqref="E784">
    <cfRule type="cellIs" rank="0" priority="2336" equalAverage="0" operator="greaterThan" aboveAverage="0" dxfId="7" text="" percent="0" bottom="0">
      <formula>0</formula>
    </cfRule>
  </conditionalFormatting>
  <conditionalFormatting sqref="F784">
    <cfRule type="cellIs" rank="0" priority="2337" equalAverage="0" operator="greaterThan" aboveAverage="0" dxfId="7" text="" percent="0" bottom="0">
      <formula>0</formula>
    </cfRule>
  </conditionalFormatting>
  <conditionalFormatting sqref="I784">
    <cfRule type="cellIs" rank="0" priority="2338" equalAverage="0" operator="lessThan" aboveAverage="0" dxfId="8" text="" percent="0" bottom="0">
      <formula>0</formula>
    </cfRule>
  </conditionalFormatting>
  <conditionalFormatting sqref="E785">
    <cfRule type="cellIs" rank="0" priority="2339" equalAverage="0" operator="greaterThan" aboveAverage="0" dxfId="7" text="" percent="0" bottom="0">
      <formula>0</formula>
    </cfRule>
  </conditionalFormatting>
  <conditionalFormatting sqref="F785">
    <cfRule type="cellIs" rank="0" priority="2340" equalAverage="0" operator="greaterThan" aboveAverage="0" dxfId="7" text="" percent="0" bottom="0">
      <formula>0</formula>
    </cfRule>
  </conditionalFormatting>
  <conditionalFormatting sqref="I785">
    <cfRule type="cellIs" rank="0" priority="2341" equalAverage="0" operator="lessThan" aboveAverage="0" dxfId="8" text="" percent="0" bottom="0">
      <formula>0</formula>
    </cfRule>
  </conditionalFormatting>
  <conditionalFormatting sqref="E786">
    <cfRule type="cellIs" rank="0" priority="2342" equalAverage="0" operator="greaterThan" aboveAverage="0" dxfId="7" text="" percent="0" bottom="0">
      <formula>0</formula>
    </cfRule>
  </conditionalFormatting>
  <conditionalFormatting sqref="F786">
    <cfRule type="cellIs" rank="0" priority="2343" equalAverage="0" operator="greaterThan" aboveAverage="0" dxfId="7" text="" percent="0" bottom="0">
      <formula>0</formula>
    </cfRule>
  </conditionalFormatting>
  <conditionalFormatting sqref="I786">
    <cfRule type="cellIs" rank="0" priority="2344" equalAverage="0" operator="lessThan" aboveAverage="0" dxfId="8" text="" percent="0" bottom="0">
      <formula>0</formula>
    </cfRule>
  </conditionalFormatting>
  <conditionalFormatting sqref="E787">
    <cfRule type="cellIs" rank="0" priority="2345" equalAverage="0" operator="greaterThan" aboveAverage="0" dxfId="7" text="" percent="0" bottom="0">
      <formula>0</formula>
    </cfRule>
  </conditionalFormatting>
  <conditionalFormatting sqref="F787">
    <cfRule type="cellIs" rank="0" priority="2346" equalAverage="0" operator="greaterThan" aboveAverage="0" dxfId="7" text="" percent="0" bottom="0">
      <formula>0</formula>
    </cfRule>
  </conditionalFormatting>
  <conditionalFormatting sqref="I787">
    <cfRule type="cellIs" rank="0" priority="2347" equalAverage="0" operator="lessThan" aboveAverage="0" dxfId="8" text="" percent="0" bottom="0">
      <formula>0</formula>
    </cfRule>
  </conditionalFormatting>
  <conditionalFormatting sqref="E788">
    <cfRule type="cellIs" rank="0" priority="2348" equalAverage="0" operator="greaterThan" aboveAverage="0" dxfId="7" text="" percent="0" bottom="0">
      <formula>0</formula>
    </cfRule>
  </conditionalFormatting>
  <conditionalFormatting sqref="F788">
    <cfRule type="cellIs" rank="0" priority="2349" equalAverage="0" operator="greaterThan" aboveAverage="0" dxfId="7" text="" percent="0" bottom="0">
      <formula>0</formula>
    </cfRule>
  </conditionalFormatting>
  <conditionalFormatting sqref="I788">
    <cfRule type="cellIs" rank="0" priority="2350" equalAverage="0" operator="lessThan" aboveAverage="0" dxfId="8" text="" percent="0" bottom="0">
      <formula>0</formula>
    </cfRule>
  </conditionalFormatting>
  <conditionalFormatting sqref="E789">
    <cfRule type="cellIs" rank="0" priority="2351" equalAverage="0" operator="greaterThan" aboveAverage="0" dxfId="7" text="" percent="0" bottom="0">
      <formula>0</formula>
    </cfRule>
  </conditionalFormatting>
  <conditionalFormatting sqref="F789">
    <cfRule type="cellIs" rank="0" priority="2352" equalAverage="0" operator="greaterThan" aboveAverage="0" dxfId="7" text="" percent="0" bottom="0">
      <formula>0</formula>
    </cfRule>
  </conditionalFormatting>
  <conditionalFormatting sqref="I789">
    <cfRule type="cellIs" rank="0" priority="2353" equalAverage="0" operator="lessThan" aboveAverage="0" dxfId="8" text="" percent="0" bottom="0">
      <formula>0</formula>
    </cfRule>
  </conditionalFormatting>
  <conditionalFormatting sqref="E790">
    <cfRule type="cellIs" rank="0" priority="2354" equalAverage="0" operator="greaterThan" aboveAverage="0" dxfId="7" text="" percent="0" bottom="0">
      <formula>0</formula>
    </cfRule>
  </conditionalFormatting>
  <conditionalFormatting sqref="F790">
    <cfRule type="cellIs" rank="0" priority="2355" equalAverage="0" operator="greaterThan" aboveAverage="0" dxfId="7" text="" percent="0" bottom="0">
      <formula>0</formula>
    </cfRule>
  </conditionalFormatting>
  <conditionalFormatting sqref="I790">
    <cfRule type="cellIs" rank="0" priority="2356" equalAverage="0" operator="lessThan" aboveAverage="0" dxfId="8" text="" percent="0" bottom="0">
      <formula>0</formula>
    </cfRule>
  </conditionalFormatting>
  <conditionalFormatting sqref="E791">
    <cfRule type="cellIs" rank="0" priority="2357" equalAverage="0" operator="greaterThan" aboveAverage="0" dxfId="7" text="" percent="0" bottom="0">
      <formula>0</formula>
    </cfRule>
  </conditionalFormatting>
  <conditionalFormatting sqref="F791">
    <cfRule type="cellIs" rank="0" priority="2358" equalAverage="0" operator="greaterThan" aboveAverage="0" dxfId="7" text="" percent="0" bottom="0">
      <formula>0</formula>
    </cfRule>
  </conditionalFormatting>
  <conditionalFormatting sqref="I791">
    <cfRule type="cellIs" rank="0" priority="2359" equalAverage="0" operator="lessThan" aboveAverage="0" dxfId="8" text="" percent="0" bottom="0">
      <formula>0</formula>
    </cfRule>
  </conditionalFormatting>
  <conditionalFormatting sqref="E792">
    <cfRule type="cellIs" rank="0" priority="2360" equalAverage="0" operator="greaterThan" aboveAverage="0" dxfId="7" text="" percent="0" bottom="0">
      <formula>0</formula>
    </cfRule>
  </conditionalFormatting>
  <conditionalFormatting sqref="F792">
    <cfRule type="cellIs" rank="0" priority="2361" equalAverage="0" operator="greaterThan" aboveAverage="0" dxfId="7" text="" percent="0" bottom="0">
      <formula>0</formula>
    </cfRule>
  </conditionalFormatting>
  <conditionalFormatting sqref="I792">
    <cfRule type="cellIs" rank="0" priority="2362" equalAverage="0" operator="lessThan" aboveAverage="0" dxfId="8" text="" percent="0" bottom="0">
      <formula>0</formula>
    </cfRule>
  </conditionalFormatting>
  <conditionalFormatting sqref="E793">
    <cfRule type="cellIs" rank="0" priority="2363" equalAverage="0" operator="greaterThan" aboveAverage="0" dxfId="7" text="" percent="0" bottom="0">
      <formula>0</formula>
    </cfRule>
  </conditionalFormatting>
  <conditionalFormatting sqref="F793">
    <cfRule type="cellIs" rank="0" priority="2364" equalAverage="0" operator="greaterThan" aboveAverage="0" dxfId="7" text="" percent="0" bottom="0">
      <formula>0</formula>
    </cfRule>
  </conditionalFormatting>
  <conditionalFormatting sqref="I793">
    <cfRule type="cellIs" rank="0" priority="2365" equalAverage="0" operator="lessThan" aboveAverage="0" dxfId="8" text="" percent="0" bottom="0">
      <formula>0</formula>
    </cfRule>
  </conditionalFormatting>
  <conditionalFormatting sqref="E794">
    <cfRule type="cellIs" rank="0" priority="2366" equalAverage="0" operator="greaterThan" aboveAverage="0" dxfId="7" text="" percent="0" bottom="0">
      <formula>0</formula>
    </cfRule>
  </conditionalFormatting>
  <conditionalFormatting sqref="F794">
    <cfRule type="cellIs" rank="0" priority="2367" equalAverage="0" operator="greaterThan" aboveAverage="0" dxfId="7" text="" percent="0" bottom="0">
      <formula>0</formula>
    </cfRule>
  </conditionalFormatting>
  <conditionalFormatting sqref="I794">
    <cfRule type="cellIs" rank="0" priority="2368" equalAverage="0" operator="lessThan" aboveAverage="0" dxfId="8" text="" percent="0" bottom="0">
      <formula>0</formula>
    </cfRule>
  </conditionalFormatting>
  <conditionalFormatting sqref="E795">
    <cfRule type="cellIs" rank="0" priority="2369" equalAverage="0" operator="greaterThan" aboveAverage="0" dxfId="7" text="" percent="0" bottom="0">
      <formula>0</formula>
    </cfRule>
  </conditionalFormatting>
  <conditionalFormatting sqref="F795">
    <cfRule type="cellIs" rank="0" priority="2370" equalAverage="0" operator="greaterThan" aboveAverage="0" dxfId="7" text="" percent="0" bottom="0">
      <formula>0</formula>
    </cfRule>
  </conditionalFormatting>
  <conditionalFormatting sqref="I795">
    <cfRule type="cellIs" rank="0" priority="2371" equalAverage="0" operator="lessThan" aboveAverage="0" dxfId="8" text="" percent="0" bottom="0">
      <formula>0</formula>
    </cfRule>
  </conditionalFormatting>
  <conditionalFormatting sqref="E796">
    <cfRule type="cellIs" rank="0" priority="2372" equalAverage="0" operator="greaterThan" aboveAverage="0" dxfId="7" text="" percent="0" bottom="0">
      <formula>0</formula>
    </cfRule>
  </conditionalFormatting>
  <conditionalFormatting sqref="F796">
    <cfRule type="cellIs" rank="0" priority="2373" equalAverage="0" operator="greaterThan" aboveAverage="0" dxfId="7" text="" percent="0" bottom="0">
      <formula>0</formula>
    </cfRule>
  </conditionalFormatting>
  <conditionalFormatting sqref="I796">
    <cfRule type="cellIs" rank="0" priority="2374" equalAverage="0" operator="lessThan" aboveAverage="0" dxfId="8" text="" percent="0" bottom="0">
      <formula>0</formula>
    </cfRule>
  </conditionalFormatting>
  <conditionalFormatting sqref="E797">
    <cfRule type="cellIs" rank="0" priority="2375" equalAverage="0" operator="greaterThan" aboveAverage="0" dxfId="7" text="" percent="0" bottom="0">
      <formula>0</formula>
    </cfRule>
  </conditionalFormatting>
  <conditionalFormatting sqref="F797">
    <cfRule type="cellIs" rank="0" priority="2376" equalAverage="0" operator="greaterThan" aboveAverage="0" dxfId="7" text="" percent="0" bottom="0">
      <formula>0</formula>
    </cfRule>
  </conditionalFormatting>
  <conditionalFormatting sqref="I797">
    <cfRule type="cellIs" rank="0" priority="2377" equalAverage="0" operator="lessThan" aboveAverage="0" dxfId="8" text="" percent="0" bottom="0">
      <formula>0</formula>
    </cfRule>
  </conditionalFormatting>
  <conditionalFormatting sqref="E798">
    <cfRule type="cellIs" rank="0" priority="2378" equalAverage="0" operator="greaterThan" aboveAverage="0" dxfId="7" text="" percent="0" bottom="0">
      <formula>0</formula>
    </cfRule>
  </conditionalFormatting>
  <conditionalFormatting sqref="F798">
    <cfRule type="cellIs" rank="0" priority="2379" equalAverage="0" operator="greaterThan" aboveAverage="0" dxfId="7" text="" percent="0" bottom="0">
      <formula>0</formula>
    </cfRule>
  </conditionalFormatting>
  <conditionalFormatting sqref="I798">
    <cfRule type="cellIs" rank="0" priority="2380" equalAverage="0" operator="lessThan" aboveAverage="0" dxfId="8" text="" percent="0" bottom="0">
      <formula>0</formula>
    </cfRule>
  </conditionalFormatting>
  <conditionalFormatting sqref="E799">
    <cfRule type="cellIs" rank="0" priority="2381" equalAverage="0" operator="greaterThan" aboveAverage="0" dxfId="7" text="" percent="0" bottom="0">
      <formula>0</formula>
    </cfRule>
  </conditionalFormatting>
  <conditionalFormatting sqref="F799">
    <cfRule type="cellIs" rank="0" priority="2382" equalAverage="0" operator="greaterThan" aboveAverage="0" dxfId="7" text="" percent="0" bottom="0">
      <formula>0</formula>
    </cfRule>
  </conditionalFormatting>
  <conditionalFormatting sqref="I799">
    <cfRule type="cellIs" rank="0" priority="2383" equalAverage="0" operator="lessThan" aboveAverage="0" dxfId="8" text="" percent="0" bottom="0">
      <formula>0</formula>
    </cfRule>
  </conditionalFormatting>
  <conditionalFormatting sqref="E800">
    <cfRule type="cellIs" rank="0" priority="2384" equalAverage="0" operator="greaterThan" aboveAverage="0" dxfId="7" text="" percent="0" bottom="0">
      <formula>0</formula>
    </cfRule>
  </conditionalFormatting>
  <conditionalFormatting sqref="F800">
    <cfRule type="cellIs" rank="0" priority="2385" equalAverage="0" operator="greaterThan" aboveAverage="0" dxfId="7" text="" percent="0" bottom="0">
      <formula>0</formula>
    </cfRule>
  </conditionalFormatting>
  <conditionalFormatting sqref="I800">
    <cfRule type="cellIs" rank="0" priority="2386" equalAverage="0" operator="lessThan" aboveAverage="0" dxfId="8" text="" percent="0" bottom="0">
      <formula>0</formula>
    </cfRule>
  </conditionalFormatting>
  <conditionalFormatting sqref="E801">
    <cfRule type="cellIs" rank="0" priority="2387" equalAverage="0" operator="greaterThan" aboveAverage="0" dxfId="7" text="" percent="0" bottom="0">
      <formula>0</formula>
    </cfRule>
  </conditionalFormatting>
  <conditionalFormatting sqref="F801">
    <cfRule type="cellIs" rank="0" priority="2388" equalAverage="0" operator="greaterThan" aboveAverage="0" dxfId="7" text="" percent="0" bottom="0">
      <formula>0</formula>
    </cfRule>
  </conditionalFormatting>
  <conditionalFormatting sqref="I801">
    <cfRule type="cellIs" rank="0" priority="2389" equalAverage="0" operator="lessThan" aboveAverage="0" dxfId="8" text="" percent="0" bottom="0">
      <formula>0</formula>
    </cfRule>
  </conditionalFormatting>
  <conditionalFormatting sqref="E802">
    <cfRule type="cellIs" rank="0" priority="2390" equalAverage="0" operator="greaterThan" aboveAverage="0" dxfId="7" text="" percent="0" bottom="0">
      <formula>0</formula>
    </cfRule>
  </conditionalFormatting>
  <conditionalFormatting sqref="F802">
    <cfRule type="cellIs" rank="0" priority="2391" equalAverage="0" operator="greaterThan" aboveAverage="0" dxfId="7" text="" percent="0" bottom="0">
      <formula>0</formula>
    </cfRule>
  </conditionalFormatting>
  <conditionalFormatting sqref="I802">
    <cfRule type="cellIs" rank="0" priority="2392" equalAverage="0" operator="lessThan" aboveAverage="0" dxfId="8" text="" percent="0" bottom="0">
      <formula>0</formula>
    </cfRule>
  </conditionalFormatting>
  <conditionalFormatting sqref="E803">
    <cfRule type="cellIs" rank="0" priority="2393" equalAverage="0" operator="greaterThan" aboveAverage="0" dxfId="7" text="" percent="0" bottom="0">
      <formula>0</formula>
    </cfRule>
  </conditionalFormatting>
  <conditionalFormatting sqref="F803">
    <cfRule type="cellIs" rank="0" priority="2394" equalAverage="0" operator="greaterThan" aboveAverage="0" dxfId="7" text="" percent="0" bottom="0">
      <formula>0</formula>
    </cfRule>
  </conditionalFormatting>
  <conditionalFormatting sqref="I803">
    <cfRule type="cellIs" rank="0" priority="2395" equalAverage="0" operator="lessThan" aboveAverage="0" dxfId="8" text="" percent="0" bottom="0">
      <formula>0</formula>
    </cfRule>
  </conditionalFormatting>
  <conditionalFormatting sqref="E804">
    <cfRule type="cellIs" rank="0" priority="2396" equalAverage="0" operator="greaterThan" aboveAverage="0" dxfId="7" text="" percent="0" bottom="0">
      <formula>0</formula>
    </cfRule>
  </conditionalFormatting>
  <conditionalFormatting sqref="F804">
    <cfRule type="cellIs" rank="0" priority="2397" equalAverage="0" operator="greaterThan" aboveAverage="0" dxfId="7" text="" percent="0" bottom="0">
      <formula>0</formula>
    </cfRule>
  </conditionalFormatting>
  <conditionalFormatting sqref="I804">
    <cfRule type="cellIs" rank="0" priority="2398" equalAverage="0" operator="lessThan" aboveAverage="0" dxfId="8" text="" percent="0" bottom="0">
      <formula>0</formula>
    </cfRule>
  </conditionalFormatting>
  <conditionalFormatting sqref="E805">
    <cfRule type="cellIs" rank="0" priority="2399" equalAverage="0" operator="greaterThan" aboveAverage="0" dxfId="7" text="" percent="0" bottom="0">
      <formula>0</formula>
    </cfRule>
  </conditionalFormatting>
  <conditionalFormatting sqref="F805">
    <cfRule type="cellIs" rank="0" priority="2400" equalAverage="0" operator="greaterThan" aboveAverage="0" dxfId="7" text="" percent="0" bottom="0">
      <formula>0</formula>
    </cfRule>
  </conditionalFormatting>
  <conditionalFormatting sqref="I805">
    <cfRule type="cellIs" rank="0" priority="2401" equalAverage="0" operator="lessThan" aboveAverage="0" dxfId="8" text="" percent="0" bottom="0">
      <formula>0</formula>
    </cfRule>
  </conditionalFormatting>
  <conditionalFormatting sqref="E806">
    <cfRule type="cellIs" rank="0" priority="2402" equalAverage="0" operator="greaterThan" aboveAverage="0" dxfId="7" text="" percent="0" bottom="0">
      <formula>0</formula>
    </cfRule>
  </conditionalFormatting>
  <conditionalFormatting sqref="F806">
    <cfRule type="cellIs" rank="0" priority="2403" equalAverage="0" operator="greaterThan" aboveAverage="0" dxfId="7" text="" percent="0" bottom="0">
      <formula>0</formula>
    </cfRule>
  </conditionalFormatting>
  <conditionalFormatting sqref="I806">
    <cfRule type="cellIs" rank="0" priority="2404" equalAverage="0" operator="lessThan" aboveAverage="0" dxfId="8" text="" percent="0" bottom="0">
      <formula>0</formula>
    </cfRule>
  </conditionalFormatting>
  <conditionalFormatting sqref="E807">
    <cfRule type="cellIs" rank="0" priority="2405" equalAverage="0" operator="greaterThan" aboveAverage="0" dxfId="7" text="" percent="0" bottom="0">
      <formula>0</formula>
    </cfRule>
  </conditionalFormatting>
  <conditionalFormatting sqref="F807">
    <cfRule type="cellIs" rank="0" priority="2406" equalAverage="0" operator="greaterThan" aboveAverage="0" dxfId="7" text="" percent="0" bottom="0">
      <formula>0</formula>
    </cfRule>
  </conditionalFormatting>
  <conditionalFormatting sqref="I807">
    <cfRule type="cellIs" rank="0" priority="2407" equalAverage="0" operator="lessThan" aboveAverage="0" dxfId="8" text="" percent="0" bottom="0">
      <formula>0</formula>
    </cfRule>
  </conditionalFormatting>
  <conditionalFormatting sqref="E808">
    <cfRule type="cellIs" rank="0" priority="2408" equalAverage="0" operator="greaterThan" aboveAverage="0" dxfId="7" text="" percent="0" bottom="0">
      <formula>0</formula>
    </cfRule>
  </conditionalFormatting>
  <conditionalFormatting sqref="F808">
    <cfRule type="cellIs" rank="0" priority="2409" equalAverage="0" operator="greaterThan" aboveAverage="0" dxfId="7" text="" percent="0" bottom="0">
      <formula>0</formula>
    </cfRule>
  </conditionalFormatting>
  <conditionalFormatting sqref="I808">
    <cfRule type="cellIs" rank="0" priority="2410" equalAverage="0" operator="lessThan" aboveAverage="0" dxfId="8" text="" percent="0" bottom="0">
      <formula>0</formula>
    </cfRule>
  </conditionalFormatting>
  <conditionalFormatting sqref="E809">
    <cfRule type="cellIs" rank="0" priority="2411" equalAverage="0" operator="greaterThan" aboveAverage="0" dxfId="7" text="" percent="0" bottom="0">
      <formula>0</formula>
    </cfRule>
  </conditionalFormatting>
  <conditionalFormatting sqref="F809">
    <cfRule type="cellIs" rank="0" priority="2412" equalAverage="0" operator="greaterThan" aboveAverage="0" dxfId="7" text="" percent="0" bottom="0">
      <formula>0</formula>
    </cfRule>
  </conditionalFormatting>
  <conditionalFormatting sqref="I809">
    <cfRule type="cellIs" rank="0" priority="2413" equalAverage="0" operator="lessThan" aboveAverage="0" dxfId="8" text="" percent="0" bottom="0">
      <formula>0</formula>
    </cfRule>
  </conditionalFormatting>
  <conditionalFormatting sqref="E810">
    <cfRule type="cellIs" rank="0" priority="2414" equalAverage="0" operator="greaterThan" aboveAverage="0" dxfId="7" text="" percent="0" bottom="0">
      <formula>0</formula>
    </cfRule>
  </conditionalFormatting>
  <conditionalFormatting sqref="F810">
    <cfRule type="cellIs" rank="0" priority="2415" equalAverage="0" operator="greaterThan" aboveAverage="0" dxfId="7" text="" percent="0" bottom="0">
      <formula>0</formula>
    </cfRule>
  </conditionalFormatting>
  <conditionalFormatting sqref="I810">
    <cfRule type="cellIs" rank="0" priority="2416" equalAverage="0" operator="lessThan" aboveAverage="0" dxfId="8" text="" percent="0" bottom="0">
      <formula>0</formula>
    </cfRule>
  </conditionalFormatting>
  <conditionalFormatting sqref="E811">
    <cfRule type="cellIs" rank="0" priority="2417" equalAverage="0" operator="greaterThan" aboveAverage="0" dxfId="7" text="" percent="0" bottom="0">
      <formula>0</formula>
    </cfRule>
  </conditionalFormatting>
  <conditionalFormatting sqref="F811">
    <cfRule type="cellIs" rank="0" priority="2418" equalAverage="0" operator="greaterThan" aboveAverage="0" dxfId="7" text="" percent="0" bottom="0">
      <formula>0</formula>
    </cfRule>
  </conditionalFormatting>
  <conditionalFormatting sqref="I811">
    <cfRule type="cellIs" rank="0" priority="2419" equalAverage="0" operator="lessThan" aboveAverage="0" dxfId="8" text="" percent="0" bottom="0">
      <formula>0</formula>
    </cfRule>
  </conditionalFormatting>
  <conditionalFormatting sqref="E812">
    <cfRule type="cellIs" rank="0" priority="2420" equalAverage="0" operator="greaterThan" aboveAverage="0" dxfId="7" text="" percent="0" bottom="0">
      <formula>0</formula>
    </cfRule>
  </conditionalFormatting>
  <conditionalFormatting sqref="F812">
    <cfRule type="cellIs" rank="0" priority="2421" equalAverage="0" operator="greaterThan" aboveAverage="0" dxfId="7" text="" percent="0" bottom="0">
      <formula>0</formula>
    </cfRule>
  </conditionalFormatting>
  <conditionalFormatting sqref="I812">
    <cfRule type="cellIs" rank="0" priority="2422" equalAverage="0" operator="lessThan" aboveAverage="0" dxfId="8" text="" percent="0" bottom="0">
      <formula>0</formula>
    </cfRule>
  </conditionalFormatting>
  <conditionalFormatting sqref="E813">
    <cfRule type="cellIs" rank="0" priority="2423" equalAverage="0" operator="greaterThan" aboveAverage="0" dxfId="7" text="" percent="0" bottom="0">
      <formula>0</formula>
    </cfRule>
  </conditionalFormatting>
  <conditionalFormatting sqref="F813">
    <cfRule type="cellIs" rank="0" priority="2424" equalAverage="0" operator="greaterThan" aboveAverage="0" dxfId="7" text="" percent="0" bottom="0">
      <formula>0</formula>
    </cfRule>
  </conditionalFormatting>
  <conditionalFormatting sqref="I813">
    <cfRule type="cellIs" rank="0" priority="2425" equalAverage="0" operator="lessThan" aboveAverage="0" dxfId="8" text="" percent="0" bottom="0">
      <formula>0</formula>
    </cfRule>
  </conditionalFormatting>
  <conditionalFormatting sqref="E814">
    <cfRule type="cellIs" rank="0" priority="2426" equalAverage="0" operator="greaterThan" aboveAverage="0" dxfId="7" text="" percent="0" bottom="0">
      <formula>0</formula>
    </cfRule>
  </conditionalFormatting>
  <conditionalFormatting sqref="F814">
    <cfRule type="cellIs" rank="0" priority="2427" equalAverage="0" operator="greaterThan" aboveAverage="0" dxfId="7" text="" percent="0" bottom="0">
      <formula>0</formula>
    </cfRule>
  </conditionalFormatting>
  <conditionalFormatting sqref="I814">
    <cfRule type="cellIs" rank="0" priority="2428" equalAverage="0" operator="lessThan" aboveAverage="0" dxfId="8" text="" percent="0" bottom="0">
      <formula>0</formula>
    </cfRule>
  </conditionalFormatting>
  <conditionalFormatting sqref="E815">
    <cfRule type="cellIs" rank="0" priority="2429" equalAverage="0" operator="greaterThan" aboveAverage="0" dxfId="7" text="" percent="0" bottom="0">
      <formula>0</formula>
    </cfRule>
  </conditionalFormatting>
  <conditionalFormatting sqref="F815">
    <cfRule type="cellIs" rank="0" priority="2430" equalAverage="0" operator="greaterThan" aboveAverage="0" dxfId="7" text="" percent="0" bottom="0">
      <formula>0</formula>
    </cfRule>
  </conditionalFormatting>
  <conditionalFormatting sqref="I815">
    <cfRule type="cellIs" rank="0" priority="2431" equalAverage="0" operator="lessThan" aboveAverage="0" dxfId="8" text="" percent="0" bottom="0">
      <formula>0</formula>
    </cfRule>
  </conditionalFormatting>
  <conditionalFormatting sqref="E816">
    <cfRule type="cellIs" rank="0" priority="2432" equalAverage="0" operator="greaterThan" aboveAverage="0" dxfId="7" text="" percent="0" bottom="0">
      <formula>0</formula>
    </cfRule>
  </conditionalFormatting>
  <conditionalFormatting sqref="F816">
    <cfRule type="cellIs" rank="0" priority="2433" equalAverage="0" operator="greaterThan" aboveAverage="0" dxfId="7" text="" percent="0" bottom="0">
      <formula>0</formula>
    </cfRule>
  </conditionalFormatting>
  <conditionalFormatting sqref="I816">
    <cfRule type="cellIs" rank="0" priority="2434" equalAverage="0" operator="lessThan" aboveAverage="0" dxfId="8" text="" percent="0" bottom="0">
      <formula>0</formula>
    </cfRule>
  </conditionalFormatting>
  <conditionalFormatting sqref="E817">
    <cfRule type="cellIs" rank="0" priority="2435" equalAverage="0" operator="greaterThan" aboveAverage="0" dxfId="7" text="" percent="0" bottom="0">
      <formula>0</formula>
    </cfRule>
  </conditionalFormatting>
  <conditionalFormatting sqref="F817">
    <cfRule type="cellIs" rank="0" priority="2436" equalAverage="0" operator="greaterThan" aboveAverage="0" dxfId="7" text="" percent="0" bottom="0">
      <formula>0</formula>
    </cfRule>
  </conditionalFormatting>
  <conditionalFormatting sqref="I817">
    <cfRule type="cellIs" rank="0" priority="2437" equalAverage="0" operator="lessThan" aboveAverage="0" dxfId="8" text="" percent="0" bottom="0">
      <formula>0</formula>
    </cfRule>
  </conditionalFormatting>
  <conditionalFormatting sqref="E818">
    <cfRule type="cellIs" rank="0" priority="2438" equalAverage="0" operator="greaterThan" aboveAverage="0" dxfId="7" text="" percent="0" bottom="0">
      <formula>0</formula>
    </cfRule>
  </conditionalFormatting>
  <conditionalFormatting sqref="F818">
    <cfRule type="cellIs" rank="0" priority="2439" equalAverage="0" operator="greaterThan" aboveAverage="0" dxfId="7" text="" percent="0" bottom="0">
      <formula>0</formula>
    </cfRule>
  </conditionalFormatting>
  <conditionalFormatting sqref="I818">
    <cfRule type="cellIs" rank="0" priority="2440" equalAverage="0" operator="lessThan" aboveAverage="0" dxfId="8" text="" percent="0" bottom="0">
      <formula>0</formula>
    </cfRule>
  </conditionalFormatting>
  <conditionalFormatting sqref="E819">
    <cfRule type="cellIs" rank="0" priority="2441" equalAverage="0" operator="greaterThan" aboveAverage="0" dxfId="7" text="" percent="0" bottom="0">
      <formula>0</formula>
    </cfRule>
  </conditionalFormatting>
  <conditionalFormatting sqref="F819">
    <cfRule type="cellIs" rank="0" priority="2442" equalAverage="0" operator="greaterThan" aboveAverage="0" dxfId="7" text="" percent="0" bottom="0">
      <formula>0</formula>
    </cfRule>
  </conditionalFormatting>
  <conditionalFormatting sqref="I819">
    <cfRule type="cellIs" rank="0" priority="2443" equalAverage="0" operator="lessThan" aboveAverage="0" dxfId="8" text="" percent="0" bottom="0">
      <formula>0</formula>
    </cfRule>
  </conditionalFormatting>
  <conditionalFormatting sqref="E820">
    <cfRule type="cellIs" rank="0" priority="2444" equalAverage="0" operator="greaterThan" aboveAverage="0" dxfId="7" text="" percent="0" bottom="0">
      <formula>0</formula>
    </cfRule>
  </conditionalFormatting>
  <conditionalFormatting sqref="F820">
    <cfRule type="cellIs" rank="0" priority="2445" equalAverage="0" operator="greaterThan" aboveAverage="0" dxfId="7" text="" percent="0" bottom="0">
      <formula>0</formula>
    </cfRule>
  </conditionalFormatting>
  <conditionalFormatting sqref="I820">
    <cfRule type="cellIs" rank="0" priority="2446" equalAverage="0" operator="lessThan" aboveAverage="0" dxfId="8" text="" percent="0" bottom="0">
      <formula>0</formula>
    </cfRule>
  </conditionalFormatting>
  <conditionalFormatting sqref="E821">
    <cfRule type="cellIs" rank="0" priority="2447" equalAverage="0" operator="greaterThan" aboveAverage="0" dxfId="7" text="" percent="0" bottom="0">
      <formula>0</formula>
    </cfRule>
  </conditionalFormatting>
  <conditionalFormatting sqref="F821">
    <cfRule type="cellIs" rank="0" priority="2448" equalAverage="0" operator="greaterThan" aboveAverage="0" dxfId="7" text="" percent="0" bottom="0">
      <formula>0</formula>
    </cfRule>
  </conditionalFormatting>
  <conditionalFormatting sqref="I821">
    <cfRule type="cellIs" rank="0" priority="2449" equalAverage="0" operator="lessThan" aboveAverage="0" dxfId="8" text="" percent="0" bottom="0">
      <formula>0</formula>
    </cfRule>
  </conditionalFormatting>
  <conditionalFormatting sqref="E822">
    <cfRule type="cellIs" rank="0" priority="2450" equalAverage="0" operator="greaterThan" aboveAverage="0" dxfId="7" text="" percent="0" bottom="0">
      <formula>0</formula>
    </cfRule>
  </conditionalFormatting>
  <conditionalFormatting sqref="F822">
    <cfRule type="cellIs" rank="0" priority="2451" equalAverage="0" operator="greaterThan" aboveAverage="0" dxfId="7" text="" percent="0" bottom="0">
      <formula>0</formula>
    </cfRule>
  </conditionalFormatting>
  <conditionalFormatting sqref="I822">
    <cfRule type="cellIs" rank="0" priority="2452" equalAverage="0" operator="lessThan" aboveAverage="0" dxfId="8" text="" percent="0" bottom="0">
      <formula>0</formula>
    </cfRule>
  </conditionalFormatting>
  <conditionalFormatting sqref="E823">
    <cfRule type="cellIs" rank="0" priority="2453" equalAverage="0" operator="greaterThan" aboveAverage="0" dxfId="7" text="" percent="0" bottom="0">
      <formula>0</formula>
    </cfRule>
  </conditionalFormatting>
  <conditionalFormatting sqref="F823">
    <cfRule type="cellIs" rank="0" priority="2454" equalAverage="0" operator="greaterThan" aboveAverage="0" dxfId="7" text="" percent="0" bottom="0">
      <formula>0</formula>
    </cfRule>
  </conditionalFormatting>
  <conditionalFormatting sqref="I823">
    <cfRule type="cellIs" rank="0" priority="2455" equalAverage="0" operator="lessThan" aboveAverage="0" dxfId="8" text="" percent="0" bottom="0">
      <formula>0</formula>
    </cfRule>
  </conditionalFormatting>
  <conditionalFormatting sqref="E824">
    <cfRule type="cellIs" rank="0" priority="2456" equalAverage="0" operator="greaterThan" aboveAverage="0" dxfId="7" text="" percent="0" bottom="0">
      <formula>0</formula>
    </cfRule>
  </conditionalFormatting>
  <conditionalFormatting sqref="F824">
    <cfRule type="cellIs" rank="0" priority="2457" equalAverage="0" operator="greaterThan" aboveAverage="0" dxfId="7" text="" percent="0" bottom="0">
      <formula>0</formula>
    </cfRule>
  </conditionalFormatting>
  <conditionalFormatting sqref="I824">
    <cfRule type="cellIs" rank="0" priority="2458" equalAverage="0" operator="lessThan" aboveAverage="0" dxfId="8" text="" percent="0" bottom="0">
      <formula>0</formula>
    </cfRule>
  </conditionalFormatting>
  <conditionalFormatting sqref="E825">
    <cfRule type="cellIs" rank="0" priority="2459" equalAverage="0" operator="greaterThan" aboveAverage="0" dxfId="7" text="" percent="0" bottom="0">
      <formula>0</formula>
    </cfRule>
  </conditionalFormatting>
  <conditionalFormatting sqref="F825">
    <cfRule type="cellIs" rank="0" priority="2460" equalAverage="0" operator="greaterThan" aboveAverage="0" dxfId="7" text="" percent="0" bottom="0">
      <formula>0</formula>
    </cfRule>
  </conditionalFormatting>
  <conditionalFormatting sqref="I825">
    <cfRule type="cellIs" rank="0" priority="2461" equalAverage="0" operator="lessThan" aboveAverage="0" dxfId="8" text="" percent="0" bottom="0">
      <formula>0</formula>
    </cfRule>
  </conditionalFormatting>
  <conditionalFormatting sqref="E826">
    <cfRule type="cellIs" rank="0" priority="2462" equalAverage="0" operator="greaterThan" aboveAverage="0" dxfId="7" text="" percent="0" bottom="0">
      <formula>0</formula>
    </cfRule>
  </conditionalFormatting>
  <conditionalFormatting sqref="F826">
    <cfRule type="cellIs" rank="0" priority="2463" equalAverage="0" operator="greaterThan" aboveAverage="0" dxfId="7" text="" percent="0" bottom="0">
      <formula>0</formula>
    </cfRule>
  </conditionalFormatting>
  <conditionalFormatting sqref="I826">
    <cfRule type="cellIs" rank="0" priority="2464" equalAverage="0" operator="lessThan" aboveAverage="0" dxfId="8" text="" percent="0" bottom="0">
      <formula>0</formula>
    </cfRule>
  </conditionalFormatting>
  <conditionalFormatting sqref="E827">
    <cfRule type="cellIs" rank="0" priority="2465" equalAverage="0" operator="greaterThan" aboveAverage="0" dxfId="7" text="" percent="0" bottom="0">
      <formula>0</formula>
    </cfRule>
  </conditionalFormatting>
  <conditionalFormatting sqref="F827">
    <cfRule type="cellIs" rank="0" priority="2466" equalAverage="0" operator="greaterThan" aboveAverage="0" dxfId="7" text="" percent="0" bottom="0">
      <formula>0</formula>
    </cfRule>
  </conditionalFormatting>
  <conditionalFormatting sqref="I827">
    <cfRule type="cellIs" rank="0" priority="2467" equalAverage="0" operator="lessThan" aboveAverage="0" dxfId="8" text="" percent="0" bottom="0">
      <formula>0</formula>
    </cfRule>
  </conditionalFormatting>
  <conditionalFormatting sqref="E828">
    <cfRule type="cellIs" rank="0" priority="2468" equalAverage="0" operator="greaterThan" aboveAverage="0" dxfId="7" text="" percent="0" bottom="0">
      <formula>0</formula>
    </cfRule>
  </conditionalFormatting>
  <conditionalFormatting sqref="F828">
    <cfRule type="cellIs" rank="0" priority="2469" equalAverage="0" operator="greaterThan" aboveAverage="0" dxfId="7" text="" percent="0" bottom="0">
      <formula>0</formula>
    </cfRule>
  </conditionalFormatting>
  <conditionalFormatting sqref="I828">
    <cfRule type="cellIs" rank="0" priority="2470" equalAverage="0" operator="lessThan" aboveAverage="0" dxfId="8" text="" percent="0" bottom="0">
      <formula>0</formula>
    </cfRule>
  </conditionalFormatting>
  <conditionalFormatting sqref="E829">
    <cfRule type="cellIs" rank="0" priority="2471" equalAverage="0" operator="greaterThan" aboveAverage="0" dxfId="7" text="" percent="0" bottom="0">
      <formula>0</formula>
    </cfRule>
  </conditionalFormatting>
  <conditionalFormatting sqref="F829">
    <cfRule type="cellIs" rank="0" priority="2472" equalAverage="0" operator="greaterThan" aboveAverage="0" dxfId="7" text="" percent="0" bottom="0">
      <formula>0</formula>
    </cfRule>
  </conditionalFormatting>
  <conditionalFormatting sqref="I829">
    <cfRule type="cellIs" rank="0" priority="2473" equalAverage="0" operator="lessThan" aboveAverage="0" dxfId="8" text="" percent="0" bottom="0">
      <formula>0</formula>
    </cfRule>
  </conditionalFormatting>
  <conditionalFormatting sqref="E830">
    <cfRule type="cellIs" rank="0" priority="2474" equalAverage="0" operator="greaterThan" aboveAverage="0" dxfId="7" text="" percent="0" bottom="0">
      <formula>0</formula>
    </cfRule>
  </conditionalFormatting>
  <conditionalFormatting sqref="F830">
    <cfRule type="cellIs" rank="0" priority="2475" equalAverage="0" operator="greaterThan" aboveAverage="0" dxfId="7" text="" percent="0" bottom="0">
      <formula>0</formula>
    </cfRule>
  </conditionalFormatting>
  <conditionalFormatting sqref="I830">
    <cfRule type="cellIs" rank="0" priority="2476" equalAverage="0" operator="lessThan" aboveAverage="0" dxfId="8" text="" percent="0" bottom="0">
      <formula>0</formula>
    </cfRule>
  </conditionalFormatting>
  <conditionalFormatting sqref="E831">
    <cfRule type="cellIs" rank="0" priority="2477" equalAverage="0" operator="greaterThan" aboveAverage="0" dxfId="7" text="" percent="0" bottom="0">
      <formula>0</formula>
    </cfRule>
  </conditionalFormatting>
  <conditionalFormatting sqref="F831">
    <cfRule type="cellIs" rank="0" priority="2478" equalAverage="0" operator="greaterThan" aboveAverage="0" dxfId="7" text="" percent="0" bottom="0">
      <formula>0</formula>
    </cfRule>
  </conditionalFormatting>
  <conditionalFormatting sqref="I831">
    <cfRule type="cellIs" rank="0" priority="2479" equalAverage="0" operator="lessThan" aboveAverage="0" dxfId="8" text="" percent="0" bottom="0">
      <formula>0</formula>
    </cfRule>
  </conditionalFormatting>
  <conditionalFormatting sqref="E832">
    <cfRule type="cellIs" rank="0" priority="2480" equalAverage="0" operator="greaterThan" aboveAverage="0" dxfId="7" text="" percent="0" bottom="0">
      <formula>0</formula>
    </cfRule>
  </conditionalFormatting>
  <conditionalFormatting sqref="F832">
    <cfRule type="cellIs" rank="0" priority="2481" equalAverage="0" operator="greaterThan" aboveAverage="0" dxfId="7" text="" percent="0" bottom="0">
      <formula>0</formula>
    </cfRule>
  </conditionalFormatting>
  <conditionalFormatting sqref="I832">
    <cfRule type="cellIs" rank="0" priority="2482" equalAverage="0" operator="lessThan" aboveAverage="0" dxfId="8" text="" percent="0" bottom="0">
      <formula>0</formula>
    </cfRule>
  </conditionalFormatting>
  <conditionalFormatting sqref="E833">
    <cfRule type="cellIs" rank="0" priority="2483" equalAverage="0" operator="greaterThan" aboveAverage="0" dxfId="7" text="" percent="0" bottom="0">
      <formula>0</formula>
    </cfRule>
  </conditionalFormatting>
  <conditionalFormatting sqref="F833">
    <cfRule type="cellIs" rank="0" priority="2484" equalAverage="0" operator="greaterThan" aboveAverage="0" dxfId="7" text="" percent="0" bottom="0">
      <formula>0</formula>
    </cfRule>
  </conditionalFormatting>
  <conditionalFormatting sqref="I833">
    <cfRule type="cellIs" rank="0" priority="2485" equalAverage="0" operator="lessThan" aboveAverage="0" dxfId="8" text="" percent="0" bottom="0">
      <formula>0</formula>
    </cfRule>
  </conditionalFormatting>
  <conditionalFormatting sqref="E834">
    <cfRule type="cellIs" rank="0" priority="2486" equalAverage="0" operator="greaterThan" aboveAverage="0" dxfId="7" text="" percent="0" bottom="0">
      <formula>0</formula>
    </cfRule>
  </conditionalFormatting>
  <conditionalFormatting sqref="F834">
    <cfRule type="cellIs" rank="0" priority="2487" equalAverage="0" operator="greaterThan" aboveAverage="0" dxfId="7" text="" percent="0" bottom="0">
      <formula>0</formula>
    </cfRule>
  </conditionalFormatting>
  <conditionalFormatting sqref="I834">
    <cfRule type="cellIs" rank="0" priority="2488" equalAverage="0" operator="lessThan" aboveAverage="0" dxfId="8" text="" percent="0" bottom="0">
      <formula>0</formula>
    </cfRule>
  </conditionalFormatting>
  <conditionalFormatting sqref="E835">
    <cfRule type="cellIs" rank="0" priority="2489" equalAverage="0" operator="greaterThan" aboveAverage="0" dxfId="7" text="" percent="0" bottom="0">
      <formula>0</formula>
    </cfRule>
  </conditionalFormatting>
  <conditionalFormatting sqref="F835">
    <cfRule type="cellIs" rank="0" priority="2490" equalAverage="0" operator="greaterThan" aboveAverage="0" dxfId="7" text="" percent="0" bottom="0">
      <formula>0</formula>
    </cfRule>
  </conditionalFormatting>
  <conditionalFormatting sqref="I835">
    <cfRule type="cellIs" rank="0" priority="2491" equalAverage="0" operator="lessThan" aboveAverage="0" dxfId="8" text="" percent="0" bottom="0">
      <formula>0</formula>
    </cfRule>
  </conditionalFormatting>
  <conditionalFormatting sqref="E836">
    <cfRule type="cellIs" rank="0" priority="2492" equalAverage="0" operator="greaterThan" aboveAverage="0" dxfId="7" text="" percent="0" bottom="0">
      <formula>0</formula>
    </cfRule>
  </conditionalFormatting>
  <conditionalFormatting sqref="F836">
    <cfRule type="cellIs" rank="0" priority="2493" equalAverage="0" operator="greaterThan" aboveAverage="0" dxfId="7" text="" percent="0" bottom="0">
      <formula>0</formula>
    </cfRule>
  </conditionalFormatting>
  <conditionalFormatting sqref="I836">
    <cfRule type="cellIs" rank="0" priority="2494" equalAverage="0" operator="lessThan" aboveAverage="0" dxfId="8" text="" percent="0" bottom="0">
      <formula>0</formula>
    </cfRule>
  </conditionalFormatting>
  <conditionalFormatting sqref="E837">
    <cfRule type="cellIs" rank="0" priority="2495" equalAverage="0" operator="greaterThan" aboveAverage="0" dxfId="7" text="" percent="0" bottom="0">
      <formula>0</formula>
    </cfRule>
  </conditionalFormatting>
  <conditionalFormatting sqref="F837">
    <cfRule type="cellIs" rank="0" priority="2496" equalAverage="0" operator="greaterThan" aboveAverage="0" dxfId="7" text="" percent="0" bottom="0">
      <formula>0</formula>
    </cfRule>
  </conditionalFormatting>
  <conditionalFormatting sqref="I837">
    <cfRule type="cellIs" rank="0" priority="2497" equalAverage="0" operator="lessThan" aboveAverage="0" dxfId="8" text="" percent="0" bottom="0">
      <formula>0</formula>
    </cfRule>
  </conditionalFormatting>
  <conditionalFormatting sqref="E838">
    <cfRule type="cellIs" rank="0" priority="2498" equalAverage="0" operator="greaterThan" aboveAverage="0" dxfId="7" text="" percent="0" bottom="0">
      <formula>0</formula>
    </cfRule>
  </conditionalFormatting>
  <conditionalFormatting sqref="F838">
    <cfRule type="cellIs" rank="0" priority="2499" equalAverage="0" operator="greaterThan" aboveAverage="0" dxfId="7" text="" percent="0" bottom="0">
      <formula>0</formula>
    </cfRule>
  </conditionalFormatting>
  <conditionalFormatting sqref="I838">
    <cfRule type="cellIs" rank="0" priority="2500" equalAverage="0" operator="lessThan" aboveAverage="0" dxfId="8" text="" percent="0" bottom="0">
      <formula>0</formula>
    </cfRule>
  </conditionalFormatting>
  <conditionalFormatting sqref="E839">
    <cfRule type="cellIs" rank="0" priority="2501" equalAverage="0" operator="greaterThan" aboveAverage="0" dxfId="7" text="" percent="0" bottom="0">
      <formula>0</formula>
    </cfRule>
  </conditionalFormatting>
  <conditionalFormatting sqref="F839">
    <cfRule type="cellIs" rank="0" priority="2502" equalAverage="0" operator="greaterThan" aboveAverage="0" dxfId="7" text="" percent="0" bottom="0">
      <formula>0</formula>
    </cfRule>
  </conditionalFormatting>
  <conditionalFormatting sqref="I839">
    <cfRule type="cellIs" rank="0" priority="2503" equalAverage="0" operator="lessThan" aboveAverage="0" dxfId="8" text="" percent="0" bottom="0">
      <formula>0</formula>
    </cfRule>
  </conditionalFormatting>
  <conditionalFormatting sqref="E840">
    <cfRule type="cellIs" rank="0" priority="2504" equalAverage="0" operator="greaterThan" aboveAverage="0" dxfId="7" text="" percent="0" bottom="0">
      <formula>0</formula>
    </cfRule>
  </conditionalFormatting>
  <conditionalFormatting sqref="F840">
    <cfRule type="cellIs" rank="0" priority="2505" equalAverage="0" operator="greaterThan" aboveAverage="0" dxfId="7" text="" percent="0" bottom="0">
      <formula>0</formula>
    </cfRule>
  </conditionalFormatting>
  <conditionalFormatting sqref="I840">
    <cfRule type="cellIs" rank="0" priority="2506" equalAverage="0" operator="lessThan" aboveAverage="0" dxfId="8" text="" percent="0" bottom="0">
      <formula>0</formula>
    </cfRule>
  </conditionalFormatting>
  <conditionalFormatting sqref="E841">
    <cfRule type="cellIs" rank="0" priority="2507" equalAverage="0" operator="greaterThan" aboveAverage="0" dxfId="7" text="" percent="0" bottom="0">
      <formula>0</formula>
    </cfRule>
  </conditionalFormatting>
  <conditionalFormatting sqref="F841">
    <cfRule type="cellIs" rank="0" priority="2508" equalAverage="0" operator="greaterThan" aboveAverage="0" dxfId="7" text="" percent="0" bottom="0">
      <formula>0</formula>
    </cfRule>
  </conditionalFormatting>
  <conditionalFormatting sqref="I841">
    <cfRule type="cellIs" rank="0" priority="2509" equalAverage="0" operator="lessThan" aboveAverage="0" dxfId="8" text="" percent="0" bottom="0">
      <formula>0</formula>
    </cfRule>
  </conditionalFormatting>
  <conditionalFormatting sqref="E842">
    <cfRule type="cellIs" rank="0" priority="2510" equalAverage="0" operator="greaterThan" aboveAverage="0" dxfId="7" text="" percent="0" bottom="0">
      <formula>0</formula>
    </cfRule>
  </conditionalFormatting>
  <conditionalFormatting sqref="F842">
    <cfRule type="cellIs" rank="0" priority="2511" equalAverage="0" operator="greaterThan" aboveAverage="0" dxfId="7" text="" percent="0" bottom="0">
      <formula>0</formula>
    </cfRule>
  </conditionalFormatting>
  <conditionalFormatting sqref="I842">
    <cfRule type="cellIs" rank="0" priority="2512" equalAverage="0" operator="lessThan" aboveAverage="0" dxfId="8" text="" percent="0" bottom="0">
      <formula>0</formula>
    </cfRule>
  </conditionalFormatting>
  <conditionalFormatting sqref="E843">
    <cfRule type="cellIs" rank="0" priority="2513" equalAverage="0" operator="greaterThan" aboveAverage="0" dxfId="7" text="" percent="0" bottom="0">
      <formula>0</formula>
    </cfRule>
  </conditionalFormatting>
  <conditionalFormatting sqref="F843">
    <cfRule type="cellIs" rank="0" priority="2514" equalAverage="0" operator="greaterThan" aboveAverage="0" dxfId="7" text="" percent="0" bottom="0">
      <formula>0</formula>
    </cfRule>
  </conditionalFormatting>
  <conditionalFormatting sqref="I843">
    <cfRule type="cellIs" rank="0" priority="2515" equalAverage="0" operator="lessThan" aboveAverage="0" dxfId="8" text="" percent="0" bottom="0">
      <formula>0</formula>
    </cfRule>
  </conditionalFormatting>
  <conditionalFormatting sqref="E844">
    <cfRule type="cellIs" rank="0" priority="2516" equalAverage="0" operator="greaterThan" aboveAverage="0" dxfId="7" text="" percent="0" bottom="0">
      <formula>0</formula>
    </cfRule>
  </conditionalFormatting>
  <conditionalFormatting sqref="F844">
    <cfRule type="cellIs" rank="0" priority="2517" equalAverage="0" operator="greaterThan" aboveAverage="0" dxfId="7" text="" percent="0" bottom="0">
      <formula>0</formula>
    </cfRule>
  </conditionalFormatting>
  <conditionalFormatting sqref="I844">
    <cfRule type="cellIs" rank="0" priority="2518" equalAverage="0" operator="lessThan" aboveAverage="0" dxfId="8" text="" percent="0" bottom="0">
      <formula>0</formula>
    </cfRule>
  </conditionalFormatting>
  <conditionalFormatting sqref="E845">
    <cfRule type="cellIs" rank="0" priority="2519" equalAverage="0" operator="greaterThan" aboveAverage="0" dxfId="7" text="" percent="0" bottom="0">
      <formula>0</formula>
    </cfRule>
  </conditionalFormatting>
  <conditionalFormatting sqref="F845">
    <cfRule type="cellIs" rank="0" priority="2520" equalAverage="0" operator="greaterThan" aboveAverage="0" dxfId="7" text="" percent="0" bottom="0">
      <formula>0</formula>
    </cfRule>
  </conditionalFormatting>
  <conditionalFormatting sqref="I845">
    <cfRule type="cellIs" rank="0" priority="2521" equalAverage="0" operator="lessThan" aboveAverage="0" dxfId="8" text="" percent="0" bottom="0">
      <formula>0</formula>
    </cfRule>
  </conditionalFormatting>
  <conditionalFormatting sqref="E846">
    <cfRule type="cellIs" rank="0" priority="2522" equalAverage="0" operator="greaterThan" aboveAverage="0" dxfId="7" text="" percent="0" bottom="0">
      <formula>0</formula>
    </cfRule>
  </conditionalFormatting>
  <conditionalFormatting sqref="F846">
    <cfRule type="cellIs" rank="0" priority="2523" equalAverage="0" operator="greaterThan" aboveAverage="0" dxfId="7" text="" percent="0" bottom="0">
      <formula>0</formula>
    </cfRule>
  </conditionalFormatting>
  <conditionalFormatting sqref="I846">
    <cfRule type="cellIs" rank="0" priority="2524" equalAverage="0" operator="lessThan" aboveAverage="0" dxfId="8" text="" percent="0" bottom="0">
      <formula>0</formula>
    </cfRule>
  </conditionalFormatting>
  <conditionalFormatting sqref="E847">
    <cfRule type="cellIs" rank="0" priority="2525" equalAverage="0" operator="greaterThan" aboveAverage="0" dxfId="7" text="" percent="0" bottom="0">
      <formula>0</formula>
    </cfRule>
  </conditionalFormatting>
  <conditionalFormatting sqref="F847">
    <cfRule type="cellIs" rank="0" priority="2526" equalAverage="0" operator="greaterThan" aboveAverage="0" dxfId="7" text="" percent="0" bottom="0">
      <formula>0</formula>
    </cfRule>
  </conditionalFormatting>
  <conditionalFormatting sqref="I847">
    <cfRule type="cellIs" rank="0" priority="2527" equalAverage="0" operator="lessThan" aboveAverage="0" dxfId="8" text="" percent="0" bottom="0">
      <formula>0</formula>
    </cfRule>
  </conditionalFormatting>
  <conditionalFormatting sqref="E848">
    <cfRule type="cellIs" rank="0" priority="2528" equalAverage="0" operator="greaterThan" aboveAverage="0" dxfId="7" text="" percent="0" bottom="0">
      <formula>0</formula>
    </cfRule>
  </conditionalFormatting>
  <conditionalFormatting sqref="F848">
    <cfRule type="cellIs" rank="0" priority="2529" equalAverage="0" operator="greaterThan" aboveAverage="0" dxfId="7" text="" percent="0" bottom="0">
      <formula>0</formula>
    </cfRule>
  </conditionalFormatting>
  <conditionalFormatting sqref="I848">
    <cfRule type="cellIs" rank="0" priority="2530" equalAverage="0" operator="lessThan" aboveAverage="0" dxfId="8" text="" percent="0" bottom="0">
      <formula>0</formula>
    </cfRule>
  </conditionalFormatting>
  <conditionalFormatting sqref="E849">
    <cfRule type="cellIs" rank="0" priority="2531" equalAverage="0" operator="greaterThan" aboveAverage="0" dxfId="7" text="" percent="0" bottom="0">
      <formula>0</formula>
    </cfRule>
  </conditionalFormatting>
  <conditionalFormatting sqref="F849">
    <cfRule type="cellIs" rank="0" priority="2532" equalAverage="0" operator="greaterThan" aboveAverage="0" dxfId="7" text="" percent="0" bottom="0">
      <formula>0</formula>
    </cfRule>
  </conditionalFormatting>
  <conditionalFormatting sqref="I849">
    <cfRule type="cellIs" rank="0" priority="2533" equalAverage="0" operator="lessThan" aboveAverage="0" dxfId="8" text="" percent="0" bottom="0">
      <formula>0</formula>
    </cfRule>
  </conditionalFormatting>
  <conditionalFormatting sqref="E850">
    <cfRule type="cellIs" rank="0" priority="2534" equalAverage="0" operator="greaterThan" aboveAverage="0" dxfId="7" text="" percent="0" bottom="0">
      <formula>0</formula>
    </cfRule>
  </conditionalFormatting>
  <conditionalFormatting sqref="F850">
    <cfRule type="cellIs" rank="0" priority="2535" equalAverage="0" operator="greaterThan" aboveAverage="0" dxfId="7" text="" percent="0" bottom="0">
      <formula>0</formula>
    </cfRule>
  </conditionalFormatting>
  <conditionalFormatting sqref="I850">
    <cfRule type="cellIs" rank="0" priority="2536" equalAverage="0" operator="lessThan" aboveAverage="0" dxfId="8" text="" percent="0" bottom="0">
      <formula>0</formula>
    </cfRule>
  </conditionalFormatting>
  <conditionalFormatting sqref="E851">
    <cfRule type="cellIs" rank="0" priority="2537" equalAverage="0" operator="greaterThan" aboveAverage="0" dxfId="7" text="" percent="0" bottom="0">
      <formula>0</formula>
    </cfRule>
  </conditionalFormatting>
  <conditionalFormatting sqref="F851">
    <cfRule type="cellIs" rank="0" priority="2538" equalAverage="0" operator="greaterThan" aboveAverage="0" dxfId="7" text="" percent="0" bottom="0">
      <formula>0</formula>
    </cfRule>
  </conditionalFormatting>
  <conditionalFormatting sqref="I851">
    <cfRule type="cellIs" rank="0" priority="2539" equalAverage="0" operator="lessThan" aboveAverage="0" dxfId="8" text="" percent="0" bottom="0">
      <formula>0</formula>
    </cfRule>
  </conditionalFormatting>
  <conditionalFormatting sqref="E852">
    <cfRule type="cellIs" rank="0" priority="2540" equalAverage="0" operator="greaterThan" aboveAverage="0" dxfId="7" text="" percent="0" bottom="0">
      <formula>0</formula>
    </cfRule>
  </conditionalFormatting>
  <conditionalFormatting sqref="F852">
    <cfRule type="cellIs" rank="0" priority="2541" equalAverage="0" operator="greaterThan" aboveAverage="0" dxfId="7" text="" percent="0" bottom="0">
      <formula>0</formula>
    </cfRule>
  </conditionalFormatting>
  <conditionalFormatting sqref="I852">
    <cfRule type="cellIs" rank="0" priority="2542" equalAverage="0" operator="lessThan" aboveAverage="0" dxfId="8" text="" percent="0" bottom="0">
      <formula>0</formula>
    </cfRule>
  </conditionalFormatting>
  <conditionalFormatting sqref="E853">
    <cfRule type="cellIs" rank="0" priority="2543" equalAverage="0" operator="greaterThan" aboveAverage="0" dxfId="7" text="" percent="0" bottom="0">
      <formula>0</formula>
    </cfRule>
  </conditionalFormatting>
  <conditionalFormatting sqref="F853">
    <cfRule type="cellIs" rank="0" priority="2544" equalAverage="0" operator="greaterThan" aboveAverage="0" dxfId="7" text="" percent="0" bottom="0">
      <formula>0</formula>
    </cfRule>
  </conditionalFormatting>
  <conditionalFormatting sqref="I853">
    <cfRule type="cellIs" rank="0" priority="2545" equalAverage="0" operator="lessThan" aboveAverage="0" dxfId="8" text="" percent="0" bottom="0">
      <formula>0</formula>
    </cfRule>
  </conditionalFormatting>
  <conditionalFormatting sqref="E854">
    <cfRule type="cellIs" rank="0" priority="2546" equalAverage="0" operator="greaterThan" aboveAverage="0" dxfId="7" text="" percent="0" bottom="0">
      <formula>0</formula>
    </cfRule>
  </conditionalFormatting>
  <conditionalFormatting sqref="F854">
    <cfRule type="cellIs" rank="0" priority="2547" equalAverage="0" operator="greaterThan" aboveAverage="0" dxfId="7" text="" percent="0" bottom="0">
      <formula>0</formula>
    </cfRule>
  </conditionalFormatting>
  <conditionalFormatting sqref="I854">
    <cfRule type="cellIs" rank="0" priority="2548" equalAverage="0" operator="lessThan" aboveAverage="0" dxfId="8" text="" percent="0" bottom="0">
      <formula>0</formula>
    </cfRule>
  </conditionalFormatting>
  <conditionalFormatting sqref="E855">
    <cfRule type="cellIs" rank="0" priority="2549" equalAverage="0" operator="greaterThan" aboveAverage="0" dxfId="7" text="" percent="0" bottom="0">
      <formula>0</formula>
    </cfRule>
  </conditionalFormatting>
  <conditionalFormatting sqref="F855">
    <cfRule type="cellIs" rank="0" priority="2550" equalAverage="0" operator="greaterThan" aboveAverage="0" dxfId="7" text="" percent="0" bottom="0">
      <formula>0</formula>
    </cfRule>
  </conditionalFormatting>
  <conditionalFormatting sqref="I855">
    <cfRule type="cellIs" rank="0" priority="2551" equalAverage="0" operator="lessThan" aboveAverage="0" dxfId="8" text="" percent="0" bottom="0">
      <formula>0</formula>
    </cfRule>
  </conditionalFormatting>
  <conditionalFormatting sqref="E856">
    <cfRule type="cellIs" rank="0" priority="2552" equalAverage="0" operator="greaterThan" aboveAverage="0" dxfId="7" text="" percent="0" bottom="0">
      <formula>0</formula>
    </cfRule>
  </conditionalFormatting>
  <conditionalFormatting sqref="F856">
    <cfRule type="cellIs" rank="0" priority="2553" equalAverage="0" operator="greaterThan" aboveAverage="0" dxfId="7" text="" percent="0" bottom="0">
      <formula>0</formula>
    </cfRule>
  </conditionalFormatting>
  <conditionalFormatting sqref="I856">
    <cfRule type="cellIs" rank="0" priority="2554" equalAverage="0" operator="lessThan" aboveAverage="0" dxfId="8" text="" percent="0" bottom="0">
      <formula>0</formula>
    </cfRule>
  </conditionalFormatting>
  <conditionalFormatting sqref="E857">
    <cfRule type="cellIs" rank="0" priority="2555" equalAverage="0" operator="greaterThan" aboveAverage="0" dxfId="7" text="" percent="0" bottom="0">
      <formula>0</formula>
    </cfRule>
  </conditionalFormatting>
  <conditionalFormatting sqref="F857">
    <cfRule type="cellIs" rank="0" priority="2556" equalAverage="0" operator="greaterThan" aboveAverage="0" dxfId="7" text="" percent="0" bottom="0">
      <formula>0</formula>
    </cfRule>
  </conditionalFormatting>
  <conditionalFormatting sqref="I857">
    <cfRule type="cellIs" rank="0" priority="2557" equalAverage="0" operator="lessThan" aboveAverage="0" dxfId="8" text="" percent="0" bottom="0">
      <formula>0</formula>
    </cfRule>
  </conditionalFormatting>
  <conditionalFormatting sqref="E858">
    <cfRule type="cellIs" rank="0" priority="2558" equalAverage="0" operator="greaterThan" aboveAverage="0" dxfId="7" text="" percent="0" bottom="0">
      <formula>0</formula>
    </cfRule>
  </conditionalFormatting>
  <conditionalFormatting sqref="F858">
    <cfRule type="cellIs" rank="0" priority="2559" equalAverage="0" operator="greaterThan" aboveAverage="0" dxfId="7" text="" percent="0" bottom="0">
      <formula>0</formula>
    </cfRule>
  </conditionalFormatting>
  <conditionalFormatting sqref="I858">
    <cfRule type="cellIs" rank="0" priority="2560" equalAverage="0" operator="lessThan" aboveAverage="0" dxfId="8" text="" percent="0" bottom="0">
      <formula>0</formula>
    </cfRule>
  </conditionalFormatting>
  <conditionalFormatting sqref="E859">
    <cfRule type="cellIs" rank="0" priority="2561" equalAverage="0" operator="greaterThan" aboveAverage="0" dxfId="7" text="" percent="0" bottom="0">
      <formula>0</formula>
    </cfRule>
  </conditionalFormatting>
  <conditionalFormatting sqref="F859">
    <cfRule type="cellIs" rank="0" priority="2562" equalAverage="0" operator="greaterThan" aboveAverage="0" dxfId="7" text="" percent="0" bottom="0">
      <formula>0</formula>
    </cfRule>
  </conditionalFormatting>
  <conditionalFormatting sqref="I859">
    <cfRule type="cellIs" rank="0" priority="2563" equalAverage="0" operator="lessThan" aboveAverage="0" dxfId="8" text="" percent="0" bottom="0">
      <formula>0</formula>
    </cfRule>
  </conditionalFormatting>
  <conditionalFormatting sqref="E860">
    <cfRule type="cellIs" rank="0" priority="2564" equalAverage="0" operator="greaterThan" aboveAverage="0" dxfId="7" text="" percent="0" bottom="0">
      <formula>0</formula>
    </cfRule>
  </conditionalFormatting>
  <conditionalFormatting sqref="F860">
    <cfRule type="cellIs" rank="0" priority="2565" equalAverage="0" operator="greaterThan" aboveAverage="0" dxfId="7" text="" percent="0" bottom="0">
      <formula>0</formula>
    </cfRule>
  </conditionalFormatting>
  <conditionalFormatting sqref="I860">
    <cfRule type="cellIs" rank="0" priority="2566" equalAverage="0" operator="lessThan" aboveAverage="0" dxfId="8" text="" percent="0" bottom="0">
      <formula>0</formula>
    </cfRule>
  </conditionalFormatting>
  <conditionalFormatting sqref="E861">
    <cfRule type="cellIs" rank="0" priority="2567" equalAverage="0" operator="greaterThan" aboveAverage="0" dxfId="7" text="" percent="0" bottom="0">
      <formula>0</formula>
    </cfRule>
  </conditionalFormatting>
  <conditionalFormatting sqref="F861">
    <cfRule type="cellIs" rank="0" priority="2568" equalAverage="0" operator="greaterThan" aboveAverage="0" dxfId="7" text="" percent="0" bottom="0">
      <formula>0</formula>
    </cfRule>
  </conditionalFormatting>
  <conditionalFormatting sqref="I861">
    <cfRule type="cellIs" rank="0" priority="2569" equalAverage="0" operator="lessThan" aboveAverage="0" dxfId="8" text="" percent="0" bottom="0">
      <formula>0</formula>
    </cfRule>
  </conditionalFormatting>
  <conditionalFormatting sqref="E862">
    <cfRule type="cellIs" rank="0" priority="2570" equalAverage="0" operator="greaterThan" aboveAverage="0" dxfId="7" text="" percent="0" bottom="0">
      <formula>0</formula>
    </cfRule>
  </conditionalFormatting>
  <conditionalFormatting sqref="F862">
    <cfRule type="cellIs" rank="0" priority="2571" equalAverage="0" operator="greaterThan" aboveAverage="0" dxfId="7" text="" percent="0" bottom="0">
      <formula>0</formula>
    </cfRule>
  </conditionalFormatting>
  <conditionalFormatting sqref="I862">
    <cfRule type="cellIs" rank="0" priority="2572" equalAverage="0" operator="lessThan" aboveAverage="0" dxfId="8" text="" percent="0" bottom="0">
      <formula>0</formula>
    </cfRule>
  </conditionalFormatting>
  <conditionalFormatting sqref="E863">
    <cfRule type="cellIs" rank="0" priority="2573" equalAverage="0" operator="greaterThan" aboveAverage="0" dxfId="7" text="" percent="0" bottom="0">
      <formula>0</formula>
    </cfRule>
  </conditionalFormatting>
  <conditionalFormatting sqref="F863">
    <cfRule type="cellIs" rank="0" priority="2574" equalAverage="0" operator="greaterThan" aboveAverage="0" dxfId="7" text="" percent="0" bottom="0">
      <formula>0</formula>
    </cfRule>
  </conditionalFormatting>
  <conditionalFormatting sqref="I863">
    <cfRule type="cellIs" rank="0" priority="2575" equalAverage="0" operator="lessThan" aboveAverage="0" dxfId="8" text="" percent="0" bottom="0">
      <formula>0</formula>
    </cfRule>
  </conditionalFormatting>
  <conditionalFormatting sqref="E864">
    <cfRule type="cellIs" rank="0" priority="2576" equalAverage="0" operator="greaterThan" aboveAverage="0" dxfId="7" text="" percent="0" bottom="0">
      <formula>0</formula>
    </cfRule>
  </conditionalFormatting>
  <conditionalFormatting sqref="F864">
    <cfRule type="cellIs" rank="0" priority="2577" equalAverage="0" operator="greaterThan" aboveAverage="0" dxfId="7" text="" percent="0" bottom="0">
      <formula>0</formula>
    </cfRule>
  </conditionalFormatting>
  <conditionalFormatting sqref="I864">
    <cfRule type="cellIs" rank="0" priority="2578" equalAverage="0" operator="lessThan" aboveAverage="0" dxfId="8" text="" percent="0" bottom="0">
      <formula>0</formula>
    </cfRule>
  </conditionalFormatting>
  <conditionalFormatting sqref="E865">
    <cfRule type="cellIs" rank="0" priority="2579" equalAverage="0" operator="greaterThan" aboveAverage="0" dxfId="7" text="" percent="0" bottom="0">
      <formula>0</formula>
    </cfRule>
  </conditionalFormatting>
  <conditionalFormatting sqref="F865">
    <cfRule type="cellIs" rank="0" priority="2580" equalAverage="0" operator="greaterThan" aboveAverage="0" dxfId="7" text="" percent="0" bottom="0">
      <formula>0</formula>
    </cfRule>
  </conditionalFormatting>
  <conditionalFormatting sqref="I865">
    <cfRule type="cellIs" rank="0" priority="2581" equalAverage="0" operator="lessThan" aboveAverage="0" dxfId="8" text="" percent="0" bottom="0">
      <formula>0</formula>
    </cfRule>
  </conditionalFormatting>
  <conditionalFormatting sqref="E866">
    <cfRule type="cellIs" rank="0" priority="2582" equalAverage="0" operator="greaterThan" aboveAverage="0" dxfId="7" text="" percent="0" bottom="0">
      <formula>0</formula>
    </cfRule>
  </conditionalFormatting>
  <conditionalFormatting sqref="F866">
    <cfRule type="cellIs" rank="0" priority="2583" equalAverage="0" operator="greaterThan" aboveAverage="0" dxfId="7" text="" percent="0" bottom="0">
      <formula>0</formula>
    </cfRule>
  </conditionalFormatting>
  <conditionalFormatting sqref="I866">
    <cfRule type="cellIs" rank="0" priority="2584" equalAverage="0" operator="lessThan" aboveAverage="0" dxfId="8" text="" percent="0" bottom="0">
      <formula>0</formula>
    </cfRule>
  </conditionalFormatting>
  <conditionalFormatting sqref="E867">
    <cfRule type="cellIs" rank="0" priority="2585" equalAverage="0" operator="greaterThan" aboveAverage="0" dxfId="7" text="" percent="0" bottom="0">
      <formula>0</formula>
    </cfRule>
  </conditionalFormatting>
  <conditionalFormatting sqref="F867">
    <cfRule type="cellIs" rank="0" priority="2586" equalAverage="0" operator="greaterThan" aboveAverage="0" dxfId="7" text="" percent="0" bottom="0">
      <formula>0</formula>
    </cfRule>
  </conditionalFormatting>
  <conditionalFormatting sqref="I867">
    <cfRule type="cellIs" rank="0" priority="2587" equalAverage="0" operator="lessThan" aboveAverage="0" dxfId="8" text="" percent="0" bottom="0">
      <formula>0</formula>
    </cfRule>
  </conditionalFormatting>
  <conditionalFormatting sqref="E868">
    <cfRule type="cellIs" rank="0" priority="2588" equalAverage="0" operator="greaterThan" aboveAverage="0" dxfId="7" text="" percent="0" bottom="0">
      <formula>0</formula>
    </cfRule>
  </conditionalFormatting>
  <conditionalFormatting sqref="F868">
    <cfRule type="cellIs" rank="0" priority="2589" equalAverage="0" operator="greaterThan" aboveAverage="0" dxfId="7" text="" percent="0" bottom="0">
      <formula>0</formula>
    </cfRule>
  </conditionalFormatting>
  <conditionalFormatting sqref="I868">
    <cfRule type="cellIs" rank="0" priority="2590" equalAverage="0" operator="lessThan" aboveAverage="0" dxfId="8" text="" percent="0" bottom="0">
      <formula>0</formula>
    </cfRule>
  </conditionalFormatting>
  <conditionalFormatting sqref="E869">
    <cfRule type="cellIs" rank="0" priority="2591" equalAverage="0" operator="greaterThan" aboveAverage="0" dxfId="7" text="" percent="0" bottom="0">
      <formula>0</formula>
    </cfRule>
  </conditionalFormatting>
  <conditionalFormatting sqref="F869">
    <cfRule type="cellIs" rank="0" priority="2592" equalAverage="0" operator="greaterThan" aboveAverage="0" dxfId="7" text="" percent="0" bottom="0">
      <formula>0</formula>
    </cfRule>
  </conditionalFormatting>
  <conditionalFormatting sqref="I869">
    <cfRule type="cellIs" rank="0" priority="2593" equalAverage="0" operator="lessThan" aboveAverage="0" dxfId="8" text="" percent="0" bottom="0">
      <formula>0</formula>
    </cfRule>
  </conditionalFormatting>
  <conditionalFormatting sqref="E870">
    <cfRule type="cellIs" rank="0" priority="2594" equalAverage="0" operator="greaterThan" aboveAverage="0" dxfId="7" text="" percent="0" bottom="0">
      <formula>0</formula>
    </cfRule>
  </conditionalFormatting>
  <conditionalFormatting sqref="F870">
    <cfRule type="cellIs" rank="0" priority="2595" equalAverage="0" operator="greaterThan" aboveAverage="0" dxfId="7" text="" percent="0" bottom="0">
      <formula>0</formula>
    </cfRule>
  </conditionalFormatting>
  <conditionalFormatting sqref="I870">
    <cfRule type="cellIs" rank="0" priority="2596" equalAverage="0" operator="lessThan" aboveAverage="0" dxfId="8" text="" percent="0" bottom="0">
      <formula>0</formula>
    </cfRule>
  </conditionalFormatting>
  <conditionalFormatting sqref="E871">
    <cfRule type="cellIs" rank="0" priority="2597" equalAverage="0" operator="greaterThan" aboveAverage="0" dxfId="7" text="" percent="0" bottom="0">
      <formula>0</formula>
    </cfRule>
  </conditionalFormatting>
  <conditionalFormatting sqref="F871">
    <cfRule type="cellIs" rank="0" priority="2598" equalAverage="0" operator="greaterThan" aboveAverage="0" dxfId="7" text="" percent="0" bottom="0">
      <formula>0</formula>
    </cfRule>
  </conditionalFormatting>
  <conditionalFormatting sqref="I871">
    <cfRule type="cellIs" rank="0" priority="2599" equalAverage="0" operator="lessThan" aboveAverage="0" dxfId="8" text="" percent="0" bottom="0">
      <formula>0</formula>
    </cfRule>
  </conditionalFormatting>
  <conditionalFormatting sqref="E872">
    <cfRule type="cellIs" rank="0" priority="2600" equalAverage="0" operator="greaterThan" aboveAverage="0" dxfId="7" text="" percent="0" bottom="0">
      <formula>0</formula>
    </cfRule>
  </conditionalFormatting>
  <conditionalFormatting sqref="F872">
    <cfRule type="cellIs" rank="0" priority="2601" equalAverage="0" operator="greaterThan" aboveAverage="0" dxfId="7" text="" percent="0" bottom="0">
      <formula>0</formula>
    </cfRule>
  </conditionalFormatting>
  <conditionalFormatting sqref="I872">
    <cfRule type="cellIs" rank="0" priority="2602" equalAverage="0" operator="lessThan" aboveAverage="0" dxfId="8" text="" percent="0" bottom="0">
      <formula>0</formula>
    </cfRule>
  </conditionalFormatting>
  <conditionalFormatting sqref="E873">
    <cfRule type="cellIs" rank="0" priority="2603" equalAverage="0" operator="greaterThan" aboveAverage="0" dxfId="7" text="" percent="0" bottom="0">
      <formula>0</formula>
    </cfRule>
  </conditionalFormatting>
  <conditionalFormatting sqref="F873">
    <cfRule type="cellIs" rank="0" priority="2604" equalAverage="0" operator="greaterThan" aboveAverage="0" dxfId="7" text="" percent="0" bottom="0">
      <formula>0</formula>
    </cfRule>
  </conditionalFormatting>
  <conditionalFormatting sqref="I873">
    <cfRule type="cellIs" rank="0" priority="2605" equalAverage="0" operator="lessThan" aboveAverage="0" dxfId="8" text="" percent="0" bottom="0">
      <formula>0</formula>
    </cfRule>
  </conditionalFormatting>
  <conditionalFormatting sqref="E874">
    <cfRule type="cellIs" rank="0" priority="2606" equalAverage="0" operator="greaterThan" aboveAverage="0" dxfId="7" text="" percent="0" bottom="0">
      <formula>0</formula>
    </cfRule>
  </conditionalFormatting>
  <conditionalFormatting sqref="F874">
    <cfRule type="cellIs" rank="0" priority="2607" equalAverage="0" operator="greaterThan" aboveAverage="0" dxfId="7" text="" percent="0" bottom="0">
      <formula>0</formula>
    </cfRule>
  </conditionalFormatting>
  <conditionalFormatting sqref="I874">
    <cfRule type="cellIs" rank="0" priority="2608" equalAverage="0" operator="lessThan" aboveAverage="0" dxfId="8" text="" percent="0" bottom="0">
      <formula>0</formula>
    </cfRule>
  </conditionalFormatting>
  <conditionalFormatting sqref="E875">
    <cfRule type="cellIs" rank="0" priority="2609" equalAverage="0" operator="greaterThan" aboveAverage="0" dxfId="7" text="" percent="0" bottom="0">
      <formula>0</formula>
    </cfRule>
  </conditionalFormatting>
  <conditionalFormatting sqref="F875">
    <cfRule type="cellIs" rank="0" priority="2610" equalAverage="0" operator="greaterThan" aboveAverage="0" dxfId="7" text="" percent="0" bottom="0">
      <formula>0</formula>
    </cfRule>
  </conditionalFormatting>
  <conditionalFormatting sqref="I875">
    <cfRule type="cellIs" rank="0" priority="2611" equalAverage="0" operator="lessThan" aboveAverage="0" dxfId="8" text="" percent="0" bottom="0">
      <formula>0</formula>
    </cfRule>
  </conditionalFormatting>
  <conditionalFormatting sqref="E876">
    <cfRule type="cellIs" rank="0" priority="2612" equalAverage="0" operator="greaterThan" aboveAverage="0" dxfId="7" text="" percent="0" bottom="0">
      <formula>0</formula>
    </cfRule>
  </conditionalFormatting>
  <conditionalFormatting sqref="F876">
    <cfRule type="cellIs" rank="0" priority="2613" equalAverage="0" operator="greaterThan" aboveAverage="0" dxfId="7" text="" percent="0" bottom="0">
      <formula>0</formula>
    </cfRule>
  </conditionalFormatting>
  <conditionalFormatting sqref="I876">
    <cfRule type="cellIs" rank="0" priority="2614" equalAverage="0" operator="lessThan" aboveAverage="0" dxfId="8" text="" percent="0" bottom="0">
      <formula>0</formula>
    </cfRule>
  </conditionalFormatting>
  <conditionalFormatting sqref="E877">
    <cfRule type="cellIs" rank="0" priority="2615" equalAverage="0" operator="greaterThan" aboveAverage="0" dxfId="7" text="" percent="0" bottom="0">
      <formula>0</formula>
    </cfRule>
  </conditionalFormatting>
  <conditionalFormatting sqref="F877">
    <cfRule type="cellIs" rank="0" priority="2616" equalAverage="0" operator="greaterThan" aboveAverage="0" dxfId="7" text="" percent="0" bottom="0">
      <formula>0</formula>
    </cfRule>
  </conditionalFormatting>
  <conditionalFormatting sqref="I877">
    <cfRule type="cellIs" rank="0" priority="2617" equalAverage="0" operator="lessThan" aboveAverage="0" dxfId="8" text="" percent="0" bottom="0">
      <formula>0</formula>
    </cfRule>
  </conditionalFormatting>
  <conditionalFormatting sqref="E878">
    <cfRule type="cellIs" rank="0" priority="2618" equalAverage="0" operator="greaterThan" aboveAverage="0" dxfId="7" text="" percent="0" bottom="0">
      <formula>0</formula>
    </cfRule>
  </conditionalFormatting>
  <conditionalFormatting sqref="F878">
    <cfRule type="cellIs" rank="0" priority="2619" equalAverage="0" operator="greaterThan" aboveAverage="0" dxfId="7" text="" percent="0" bottom="0">
      <formula>0</formula>
    </cfRule>
  </conditionalFormatting>
  <conditionalFormatting sqref="I878">
    <cfRule type="cellIs" rank="0" priority="2620" equalAverage="0" operator="lessThan" aboveAverage="0" dxfId="8" text="" percent="0" bottom="0">
      <formula>0</formula>
    </cfRule>
  </conditionalFormatting>
  <conditionalFormatting sqref="E879">
    <cfRule type="cellIs" rank="0" priority="2621" equalAverage="0" operator="greaterThan" aboveAverage="0" dxfId="7" text="" percent="0" bottom="0">
      <formula>0</formula>
    </cfRule>
  </conditionalFormatting>
  <conditionalFormatting sqref="F879">
    <cfRule type="cellIs" rank="0" priority="2622" equalAverage="0" operator="greaterThan" aboveAverage="0" dxfId="7" text="" percent="0" bottom="0">
      <formula>0</formula>
    </cfRule>
  </conditionalFormatting>
  <conditionalFormatting sqref="I879">
    <cfRule type="cellIs" rank="0" priority="2623" equalAverage="0" operator="lessThan" aboveAverage="0" dxfId="8" text="" percent="0" bottom="0">
      <formula>0</formula>
    </cfRule>
  </conditionalFormatting>
  <conditionalFormatting sqref="E880">
    <cfRule type="cellIs" rank="0" priority="2624" equalAverage="0" operator="greaterThan" aboveAverage="0" dxfId="7" text="" percent="0" bottom="0">
      <formula>0</formula>
    </cfRule>
  </conditionalFormatting>
  <conditionalFormatting sqref="F880">
    <cfRule type="cellIs" rank="0" priority="2625" equalAverage="0" operator="greaterThan" aboveAverage="0" dxfId="7" text="" percent="0" bottom="0">
      <formula>0</formula>
    </cfRule>
  </conditionalFormatting>
  <conditionalFormatting sqref="I880">
    <cfRule type="cellIs" rank="0" priority="2626" equalAverage="0" operator="lessThan" aboveAverage="0" dxfId="8" text="" percent="0" bottom="0">
      <formula>0</formula>
    </cfRule>
  </conditionalFormatting>
  <conditionalFormatting sqref="E881">
    <cfRule type="cellIs" rank="0" priority="2627" equalAverage="0" operator="greaterThan" aboveAverage="0" dxfId="7" text="" percent="0" bottom="0">
      <formula>0</formula>
    </cfRule>
  </conditionalFormatting>
  <conditionalFormatting sqref="F881">
    <cfRule type="cellIs" rank="0" priority="2628" equalAverage="0" operator="greaterThan" aboveAverage="0" dxfId="7" text="" percent="0" bottom="0">
      <formula>0</formula>
    </cfRule>
  </conditionalFormatting>
  <conditionalFormatting sqref="I881">
    <cfRule type="cellIs" rank="0" priority="2629" equalAverage="0" operator="lessThan" aboveAverage="0" dxfId="8" text="" percent="0" bottom="0">
      <formula>0</formula>
    </cfRule>
  </conditionalFormatting>
  <conditionalFormatting sqref="E882">
    <cfRule type="cellIs" rank="0" priority="2630" equalAverage="0" operator="greaterThan" aboveAverage="0" dxfId="7" text="" percent="0" bottom="0">
      <formula>0</formula>
    </cfRule>
  </conditionalFormatting>
  <conditionalFormatting sqref="F882">
    <cfRule type="cellIs" rank="0" priority="2631" equalAverage="0" operator="greaterThan" aboveAverage="0" dxfId="7" text="" percent="0" bottom="0">
      <formula>0</formula>
    </cfRule>
  </conditionalFormatting>
  <conditionalFormatting sqref="I882">
    <cfRule type="cellIs" rank="0" priority="2632" equalAverage="0" operator="lessThan" aboveAverage="0" dxfId="8" text="" percent="0" bottom="0">
      <formula>0</formula>
    </cfRule>
  </conditionalFormatting>
  <conditionalFormatting sqref="E883">
    <cfRule type="cellIs" rank="0" priority="2633" equalAverage="0" operator="greaterThan" aboveAverage="0" dxfId="7" text="" percent="0" bottom="0">
      <formula>0</formula>
    </cfRule>
  </conditionalFormatting>
  <conditionalFormatting sqref="F883">
    <cfRule type="cellIs" rank="0" priority="2634" equalAverage="0" operator="greaterThan" aboveAverage="0" dxfId="7" text="" percent="0" bottom="0">
      <formula>0</formula>
    </cfRule>
  </conditionalFormatting>
  <conditionalFormatting sqref="I883">
    <cfRule type="cellIs" rank="0" priority="2635" equalAverage="0" operator="lessThan" aboveAverage="0" dxfId="8" text="" percent="0" bottom="0">
      <formula>0</formula>
    </cfRule>
  </conditionalFormatting>
  <conditionalFormatting sqref="E884">
    <cfRule type="cellIs" rank="0" priority="2636" equalAverage="0" operator="greaterThan" aboveAverage="0" dxfId="7" text="" percent="0" bottom="0">
      <formula>0</formula>
    </cfRule>
  </conditionalFormatting>
  <conditionalFormatting sqref="F884">
    <cfRule type="cellIs" rank="0" priority="2637" equalAverage="0" operator="greaterThan" aboveAverage="0" dxfId="7" text="" percent="0" bottom="0">
      <formula>0</formula>
    </cfRule>
  </conditionalFormatting>
  <conditionalFormatting sqref="I884">
    <cfRule type="cellIs" rank="0" priority="2638" equalAverage="0" operator="lessThan" aboveAverage="0" dxfId="8" text="" percent="0" bottom="0">
      <formula>0</formula>
    </cfRule>
  </conditionalFormatting>
  <conditionalFormatting sqref="E885">
    <cfRule type="cellIs" rank="0" priority="2639" equalAverage="0" operator="greaterThan" aboveAverage="0" dxfId="7" text="" percent="0" bottom="0">
      <formula>0</formula>
    </cfRule>
  </conditionalFormatting>
  <conditionalFormatting sqref="F885">
    <cfRule type="cellIs" rank="0" priority="2640" equalAverage="0" operator="greaterThan" aboveAverage="0" dxfId="7" text="" percent="0" bottom="0">
      <formula>0</formula>
    </cfRule>
  </conditionalFormatting>
  <conditionalFormatting sqref="I885">
    <cfRule type="cellIs" rank="0" priority="2641" equalAverage="0" operator="lessThan" aboveAverage="0" dxfId="8" text="" percent="0" bottom="0">
      <formula>0</formula>
    </cfRule>
  </conditionalFormatting>
  <conditionalFormatting sqref="E886">
    <cfRule type="cellIs" rank="0" priority="2642" equalAverage="0" operator="greaterThan" aboveAverage="0" dxfId="7" text="" percent="0" bottom="0">
      <formula>0</formula>
    </cfRule>
  </conditionalFormatting>
  <conditionalFormatting sqref="F886">
    <cfRule type="cellIs" rank="0" priority="2643" equalAverage="0" operator="greaterThan" aboveAverage="0" dxfId="7" text="" percent="0" bottom="0">
      <formula>0</formula>
    </cfRule>
  </conditionalFormatting>
  <conditionalFormatting sqref="I886">
    <cfRule type="cellIs" rank="0" priority="2644" equalAverage="0" operator="lessThan" aboveAverage="0" dxfId="8" text="" percent="0" bottom="0">
      <formula>0</formula>
    </cfRule>
  </conditionalFormatting>
  <conditionalFormatting sqref="E887">
    <cfRule type="cellIs" rank="0" priority="2645" equalAverage="0" operator="greaterThan" aboveAverage="0" dxfId="7" text="" percent="0" bottom="0">
      <formula>0</formula>
    </cfRule>
  </conditionalFormatting>
  <conditionalFormatting sqref="F887">
    <cfRule type="cellIs" rank="0" priority="2646" equalAverage="0" operator="greaterThan" aboveAverage="0" dxfId="7" text="" percent="0" bottom="0">
      <formula>0</formula>
    </cfRule>
  </conditionalFormatting>
  <conditionalFormatting sqref="I887">
    <cfRule type="cellIs" rank="0" priority="2647" equalAverage="0" operator="lessThan" aboveAverage="0" dxfId="8" text="" percent="0" bottom="0">
      <formula>0</formula>
    </cfRule>
  </conditionalFormatting>
  <conditionalFormatting sqref="E888">
    <cfRule type="cellIs" rank="0" priority="2648" equalAverage="0" operator="greaterThan" aboveAverage="0" dxfId="7" text="" percent="0" bottom="0">
      <formula>0</formula>
    </cfRule>
  </conditionalFormatting>
  <conditionalFormatting sqref="F888">
    <cfRule type="cellIs" rank="0" priority="2649" equalAverage="0" operator="greaterThan" aboveAverage="0" dxfId="7" text="" percent="0" bottom="0">
      <formula>0</formula>
    </cfRule>
  </conditionalFormatting>
  <conditionalFormatting sqref="I888">
    <cfRule type="cellIs" rank="0" priority="2650" equalAverage="0" operator="lessThan" aboveAverage="0" dxfId="8" text="" percent="0" bottom="0">
      <formula>0</formula>
    </cfRule>
  </conditionalFormatting>
  <conditionalFormatting sqref="E889">
    <cfRule type="cellIs" rank="0" priority="2651" equalAverage="0" operator="greaterThan" aboveAverage="0" dxfId="7" text="" percent="0" bottom="0">
      <formula>0</formula>
    </cfRule>
  </conditionalFormatting>
  <conditionalFormatting sqref="F889">
    <cfRule type="cellIs" rank="0" priority="2652" equalAverage="0" operator="greaterThan" aboveAverage="0" dxfId="7" text="" percent="0" bottom="0">
      <formula>0</formula>
    </cfRule>
  </conditionalFormatting>
  <conditionalFormatting sqref="I889">
    <cfRule type="cellIs" rank="0" priority="2653" equalAverage="0" operator="lessThan" aboveAverage="0" dxfId="8" text="" percent="0" bottom="0">
      <formula>0</formula>
    </cfRule>
  </conditionalFormatting>
  <conditionalFormatting sqref="E890">
    <cfRule type="cellIs" rank="0" priority="2654" equalAverage="0" operator="greaterThan" aboveAverage="0" dxfId="7" text="" percent="0" bottom="0">
      <formula>0</formula>
    </cfRule>
  </conditionalFormatting>
  <conditionalFormatting sqref="F890">
    <cfRule type="cellIs" rank="0" priority="2655" equalAverage="0" operator="greaterThan" aboveAverage="0" dxfId="7" text="" percent="0" bottom="0">
      <formula>0</formula>
    </cfRule>
  </conditionalFormatting>
  <conditionalFormatting sqref="I890">
    <cfRule type="cellIs" rank="0" priority="2656" equalAverage="0" operator="lessThan" aboveAverage="0" dxfId="8" text="" percent="0" bottom="0">
      <formula>0</formula>
    </cfRule>
  </conditionalFormatting>
  <conditionalFormatting sqref="E891">
    <cfRule type="cellIs" rank="0" priority="2657" equalAverage="0" operator="greaterThan" aboveAverage="0" dxfId="7" text="" percent="0" bottom="0">
      <formula>0</formula>
    </cfRule>
  </conditionalFormatting>
  <conditionalFormatting sqref="F891">
    <cfRule type="cellIs" rank="0" priority="2658" equalAverage="0" operator="greaterThan" aboveAverage="0" dxfId="7" text="" percent="0" bottom="0">
      <formula>0</formula>
    </cfRule>
  </conditionalFormatting>
  <conditionalFormatting sqref="I891">
    <cfRule type="cellIs" rank="0" priority="2659" equalAverage="0" operator="lessThan" aboveAverage="0" dxfId="8" text="" percent="0" bottom="0">
      <formula>0</formula>
    </cfRule>
  </conditionalFormatting>
  <conditionalFormatting sqref="E892">
    <cfRule type="cellIs" rank="0" priority="2660" equalAverage="0" operator="greaterThan" aboveAverage="0" dxfId="7" text="" percent="0" bottom="0">
      <formula>0</formula>
    </cfRule>
  </conditionalFormatting>
  <conditionalFormatting sqref="F892">
    <cfRule type="cellIs" rank="0" priority="2661" equalAverage="0" operator="greaterThan" aboveAverage="0" dxfId="7" text="" percent="0" bottom="0">
      <formula>0</formula>
    </cfRule>
  </conditionalFormatting>
  <conditionalFormatting sqref="I892">
    <cfRule type="cellIs" rank="0" priority="2662" equalAverage="0" operator="lessThan" aboveAverage="0" dxfId="8" text="" percent="0" bottom="0">
      <formula>0</formula>
    </cfRule>
  </conditionalFormatting>
  <conditionalFormatting sqref="E893">
    <cfRule type="cellIs" rank="0" priority="2663" equalAverage="0" operator="greaterThan" aboveAverage="0" dxfId="7" text="" percent="0" bottom="0">
      <formula>0</formula>
    </cfRule>
  </conditionalFormatting>
  <conditionalFormatting sqref="F893">
    <cfRule type="cellIs" rank="0" priority="2664" equalAverage="0" operator="greaterThan" aboveAverage="0" dxfId="7" text="" percent="0" bottom="0">
      <formula>0</formula>
    </cfRule>
  </conditionalFormatting>
  <conditionalFormatting sqref="I893">
    <cfRule type="cellIs" rank="0" priority="2665" equalAverage="0" operator="lessThan" aboveAverage="0" dxfId="8" text="" percent="0" bottom="0">
      <formula>0</formula>
    </cfRule>
  </conditionalFormatting>
  <conditionalFormatting sqref="E894">
    <cfRule type="cellIs" rank="0" priority="2666" equalAverage="0" operator="greaterThan" aboveAverage="0" dxfId="7" text="" percent="0" bottom="0">
      <formula>0</formula>
    </cfRule>
  </conditionalFormatting>
  <conditionalFormatting sqref="F894">
    <cfRule type="cellIs" rank="0" priority="2667" equalAverage="0" operator="greaterThan" aboveAverage="0" dxfId="7" text="" percent="0" bottom="0">
      <formula>0</formula>
    </cfRule>
  </conditionalFormatting>
  <conditionalFormatting sqref="I894">
    <cfRule type="cellIs" rank="0" priority="2668" equalAverage="0" operator="lessThan" aboveAverage="0" dxfId="8" text="" percent="0" bottom="0">
      <formula>0</formula>
    </cfRule>
  </conditionalFormatting>
  <conditionalFormatting sqref="E895">
    <cfRule type="cellIs" rank="0" priority="2669" equalAverage="0" operator="greaterThan" aboveAverage="0" dxfId="7" text="" percent="0" bottom="0">
      <formula>0</formula>
    </cfRule>
  </conditionalFormatting>
  <conditionalFormatting sqref="F895">
    <cfRule type="cellIs" rank="0" priority="2670" equalAverage="0" operator="greaterThan" aboveAverage="0" dxfId="7" text="" percent="0" bottom="0">
      <formula>0</formula>
    </cfRule>
  </conditionalFormatting>
  <conditionalFormatting sqref="I895">
    <cfRule type="cellIs" rank="0" priority="2671" equalAverage="0" operator="lessThan" aboveAverage="0" dxfId="8" text="" percent="0" bottom="0">
      <formula>0</formula>
    </cfRule>
  </conditionalFormatting>
  <conditionalFormatting sqref="E896">
    <cfRule type="cellIs" rank="0" priority="2672" equalAverage="0" operator="greaterThan" aboveAverage="0" dxfId="7" text="" percent="0" bottom="0">
      <formula>0</formula>
    </cfRule>
  </conditionalFormatting>
  <conditionalFormatting sqref="F896">
    <cfRule type="cellIs" rank="0" priority="2673" equalAverage="0" operator="greaterThan" aboveAverage="0" dxfId="7" text="" percent="0" bottom="0">
      <formula>0</formula>
    </cfRule>
  </conditionalFormatting>
  <conditionalFormatting sqref="I896">
    <cfRule type="cellIs" rank="0" priority="2674" equalAverage="0" operator="lessThan" aboveAverage="0" dxfId="8" text="" percent="0" bottom="0">
      <formula>0</formula>
    </cfRule>
  </conditionalFormatting>
  <conditionalFormatting sqref="E897">
    <cfRule type="cellIs" rank="0" priority="2675" equalAverage="0" operator="greaterThan" aboveAverage="0" dxfId="7" text="" percent="0" bottom="0">
      <formula>0</formula>
    </cfRule>
  </conditionalFormatting>
  <conditionalFormatting sqref="F897">
    <cfRule type="cellIs" rank="0" priority="2676" equalAverage="0" operator="greaterThan" aboveAverage="0" dxfId="7" text="" percent="0" bottom="0">
      <formula>0</formula>
    </cfRule>
  </conditionalFormatting>
  <conditionalFormatting sqref="I897">
    <cfRule type="cellIs" rank="0" priority="2677" equalAverage="0" operator="lessThan" aboveAverage="0" dxfId="8" text="" percent="0" bottom="0">
      <formula>0</formula>
    </cfRule>
  </conditionalFormatting>
  <conditionalFormatting sqref="E898">
    <cfRule type="cellIs" rank="0" priority="2678" equalAverage="0" operator="greaterThan" aboveAverage="0" dxfId="7" text="" percent="0" bottom="0">
      <formula>0</formula>
    </cfRule>
  </conditionalFormatting>
  <conditionalFormatting sqref="F898">
    <cfRule type="cellIs" rank="0" priority="2679" equalAverage="0" operator="greaterThan" aboveAverage="0" dxfId="7" text="" percent="0" bottom="0">
      <formula>0</formula>
    </cfRule>
  </conditionalFormatting>
  <conditionalFormatting sqref="I898">
    <cfRule type="cellIs" rank="0" priority="2680" equalAverage="0" operator="lessThan" aboveAverage="0" dxfId="8" text="" percent="0" bottom="0">
      <formula>0</formula>
    </cfRule>
  </conditionalFormatting>
  <conditionalFormatting sqref="E899">
    <cfRule type="cellIs" rank="0" priority="2681" equalAverage="0" operator="greaterThan" aboveAverage="0" dxfId="7" text="" percent="0" bottom="0">
      <formula>0</formula>
    </cfRule>
  </conditionalFormatting>
  <conditionalFormatting sqref="F899">
    <cfRule type="cellIs" rank="0" priority="2682" equalAverage="0" operator="greaterThan" aboveAverage="0" dxfId="7" text="" percent="0" bottom="0">
      <formula>0</formula>
    </cfRule>
  </conditionalFormatting>
  <conditionalFormatting sqref="I899">
    <cfRule type="cellIs" rank="0" priority="2683" equalAverage="0" operator="lessThan" aboveAverage="0" dxfId="8" text="" percent="0" bottom="0">
      <formula>0</formula>
    </cfRule>
  </conditionalFormatting>
  <conditionalFormatting sqref="E900">
    <cfRule type="cellIs" rank="0" priority="2684" equalAverage="0" operator="greaterThan" aboveAverage="0" dxfId="7" text="" percent="0" bottom="0">
      <formula>0</formula>
    </cfRule>
  </conditionalFormatting>
  <conditionalFormatting sqref="F900">
    <cfRule type="cellIs" rank="0" priority="2685" equalAverage="0" operator="greaterThan" aboveAverage="0" dxfId="7" text="" percent="0" bottom="0">
      <formula>0</formula>
    </cfRule>
  </conditionalFormatting>
  <conditionalFormatting sqref="I900">
    <cfRule type="cellIs" rank="0" priority="2686" equalAverage="0" operator="lessThan" aboveAverage="0" dxfId="8" text="" percent="0" bottom="0">
      <formula>0</formula>
    </cfRule>
  </conditionalFormatting>
  <conditionalFormatting sqref="E901">
    <cfRule type="cellIs" rank="0" priority="2687" equalAverage="0" operator="greaterThan" aboveAverage="0" dxfId="7" text="" percent="0" bottom="0">
      <formula>0</formula>
    </cfRule>
  </conditionalFormatting>
  <conditionalFormatting sqref="F901">
    <cfRule type="cellIs" rank="0" priority="2688" equalAverage="0" operator="greaterThan" aboveAverage="0" dxfId="7" text="" percent="0" bottom="0">
      <formula>0</formula>
    </cfRule>
  </conditionalFormatting>
  <conditionalFormatting sqref="I901">
    <cfRule type="cellIs" rank="0" priority="2689" equalAverage="0" operator="lessThan" aboveAverage="0" dxfId="8" text="" percent="0" bottom="0">
      <formula>0</formula>
    </cfRule>
  </conditionalFormatting>
  <conditionalFormatting sqref="E902">
    <cfRule type="cellIs" rank="0" priority="2690" equalAverage="0" operator="greaterThan" aboveAverage="0" dxfId="7" text="" percent="0" bottom="0">
      <formula>0</formula>
    </cfRule>
  </conditionalFormatting>
  <conditionalFormatting sqref="F902">
    <cfRule type="cellIs" rank="0" priority="2691" equalAverage="0" operator="greaterThan" aboveAverage="0" dxfId="7" text="" percent="0" bottom="0">
      <formula>0</formula>
    </cfRule>
  </conditionalFormatting>
  <conditionalFormatting sqref="I902">
    <cfRule type="cellIs" rank="0" priority="2692" equalAverage="0" operator="lessThan" aboveAverage="0" dxfId="8" text="" percent="0" bottom="0">
      <formula>0</formula>
    </cfRule>
  </conditionalFormatting>
  <conditionalFormatting sqref="E903">
    <cfRule type="cellIs" rank="0" priority="2693" equalAverage="0" operator="greaterThan" aboveAverage="0" dxfId="7" text="" percent="0" bottom="0">
      <formula>0</formula>
    </cfRule>
  </conditionalFormatting>
  <conditionalFormatting sqref="F903">
    <cfRule type="cellIs" rank="0" priority="2694" equalAverage="0" operator="greaterThan" aboveAverage="0" dxfId="7" text="" percent="0" bottom="0">
      <formula>0</formula>
    </cfRule>
  </conditionalFormatting>
  <conditionalFormatting sqref="I903">
    <cfRule type="cellIs" rank="0" priority="2695" equalAverage="0" operator="lessThan" aboveAverage="0" dxfId="8" text="" percent="0" bottom="0">
      <formula>0</formula>
    </cfRule>
  </conditionalFormatting>
  <conditionalFormatting sqref="E904">
    <cfRule type="cellIs" rank="0" priority="2696" equalAverage="0" operator="greaterThan" aboveAverage="0" dxfId="7" text="" percent="0" bottom="0">
      <formula>0</formula>
    </cfRule>
  </conditionalFormatting>
  <conditionalFormatting sqref="F904">
    <cfRule type="cellIs" rank="0" priority="2697" equalAverage="0" operator="greaterThan" aboveAverage="0" dxfId="7" text="" percent="0" bottom="0">
      <formula>0</formula>
    </cfRule>
  </conditionalFormatting>
  <conditionalFormatting sqref="I904">
    <cfRule type="cellIs" rank="0" priority="2698" equalAverage="0" operator="lessThan" aboveAverage="0" dxfId="8" text="" percent="0" bottom="0">
      <formula>0</formula>
    </cfRule>
  </conditionalFormatting>
  <conditionalFormatting sqref="E905">
    <cfRule type="cellIs" rank="0" priority="2699" equalAverage="0" operator="greaterThan" aboveAverage="0" dxfId="7" text="" percent="0" bottom="0">
      <formula>0</formula>
    </cfRule>
  </conditionalFormatting>
  <conditionalFormatting sqref="F905">
    <cfRule type="cellIs" rank="0" priority="2700" equalAverage="0" operator="greaterThan" aboveAverage="0" dxfId="7" text="" percent="0" bottom="0">
      <formula>0</formula>
    </cfRule>
  </conditionalFormatting>
  <conditionalFormatting sqref="I905">
    <cfRule type="cellIs" rank="0" priority="2701" equalAverage="0" operator="lessThan" aboveAverage="0" dxfId="8" text="" percent="0" bottom="0">
      <formula>0</formula>
    </cfRule>
  </conditionalFormatting>
  <conditionalFormatting sqref="E906">
    <cfRule type="cellIs" rank="0" priority="2702" equalAverage="0" operator="greaterThan" aboveAverage="0" dxfId="7" text="" percent="0" bottom="0">
      <formula>0</formula>
    </cfRule>
  </conditionalFormatting>
  <conditionalFormatting sqref="F906">
    <cfRule type="cellIs" rank="0" priority="2703" equalAverage="0" operator="greaterThan" aboveAverage="0" dxfId="7" text="" percent="0" bottom="0">
      <formula>0</formula>
    </cfRule>
  </conditionalFormatting>
  <conditionalFormatting sqref="I906">
    <cfRule type="cellIs" rank="0" priority="2704" equalAverage="0" operator="lessThan" aboveAverage="0" dxfId="8" text="" percent="0" bottom="0">
      <formula>0</formula>
    </cfRule>
  </conditionalFormatting>
  <conditionalFormatting sqref="E907">
    <cfRule type="cellIs" rank="0" priority="2705" equalAverage="0" operator="greaterThan" aboveAverage="0" dxfId="7" text="" percent="0" bottom="0">
      <formula>0</formula>
    </cfRule>
  </conditionalFormatting>
  <conditionalFormatting sqref="F907">
    <cfRule type="cellIs" rank="0" priority="2706" equalAverage="0" operator="greaterThan" aboveAverage="0" dxfId="7" text="" percent="0" bottom="0">
      <formula>0</formula>
    </cfRule>
  </conditionalFormatting>
  <conditionalFormatting sqref="I907">
    <cfRule type="cellIs" rank="0" priority="2707" equalAverage="0" operator="lessThan" aboveAverage="0" dxfId="8" text="" percent="0" bottom="0">
      <formula>0</formula>
    </cfRule>
  </conditionalFormatting>
  <conditionalFormatting sqref="E908">
    <cfRule type="cellIs" rank="0" priority="2708" equalAverage="0" operator="greaterThan" aboveAverage="0" dxfId="7" text="" percent="0" bottom="0">
      <formula>0</formula>
    </cfRule>
  </conditionalFormatting>
  <conditionalFormatting sqref="F908">
    <cfRule type="cellIs" rank="0" priority="2709" equalAverage="0" operator="greaterThan" aboveAverage="0" dxfId="7" text="" percent="0" bottom="0">
      <formula>0</formula>
    </cfRule>
  </conditionalFormatting>
  <conditionalFormatting sqref="I908">
    <cfRule type="cellIs" rank="0" priority="2710" equalAverage="0" operator="lessThan" aboveAverage="0" dxfId="8" text="" percent="0" bottom="0">
      <formula>0</formula>
    </cfRule>
  </conditionalFormatting>
  <conditionalFormatting sqref="E909">
    <cfRule type="cellIs" rank="0" priority="2711" equalAverage="0" operator="greaterThan" aboveAverage="0" dxfId="7" text="" percent="0" bottom="0">
      <formula>0</formula>
    </cfRule>
  </conditionalFormatting>
  <conditionalFormatting sqref="F909">
    <cfRule type="cellIs" rank="0" priority="2712" equalAverage="0" operator="greaterThan" aboveAverage="0" dxfId="7" text="" percent="0" bottom="0">
      <formula>0</formula>
    </cfRule>
  </conditionalFormatting>
  <conditionalFormatting sqref="I909">
    <cfRule type="cellIs" rank="0" priority="2713" equalAverage="0" operator="lessThan" aboveAverage="0" dxfId="8" text="" percent="0" bottom="0">
      <formula>0</formula>
    </cfRule>
  </conditionalFormatting>
  <conditionalFormatting sqref="E910">
    <cfRule type="cellIs" rank="0" priority="2714" equalAverage="0" operator="greaterThan" aboveAverage="0" dxfId="7" text="" percent="0" bottom="0">
      <formula>0</formula>
    </cfRule>
  </conditionalFormatting>
  <conditionalFormatting sqref="F910">
    <cfRule type="cellIs" rank="0" priority="2715" equalAverage="0" operator="greaterThan" aboveAverage="0" dxfId="7" text="" percent="0" bottom="0">
      <formula>0</formula>
    </cfRule>
  </conditionalFormatting>
  <conditionalFormatting sqref="I910">
    <cfRule type="cellIs" rank="0" priority="2716" equalAverage="0" operator="lessThan" aboveAverage="0" dxfId="8" text="" percent="0" bottom="0">
      <formula>0</formula>
    </cfRule>
  </conditionalFormatting>
  <conditionalFormatting sqref="E911">
    <cfRule type="cellIs" rank="0" priority="2717" equalAverage="0" operator="greaterThan" aboveAverage="0" dxfId="7" text="" percent="0" bottom="0">
      <formula>0</formula>
    </cfRule>
  </conditionalFormatting>
  <conditionalFormatting sqref="F911">
    <cfRule type="cellIs" rank="0" priority="2718" equalAverage="0" operator="greaterThan" aboveAverage="0" dxfId="7" text="" percent="0" bottom="0">
      <formula>0</formula>
    </cfRule>
  </conditionalFormatting>
  <conditionalFormatting sqref="I911">
    <cfRule type="cellIs" rank="0" priority="2719" equalAverage="0" operator="lessThan" aboveAverage="0" dxfId="8" text="" percent="0" bottom="0">
      <formula>0</formula>
    </cfRule>
  </conditionalFormatting>
  <conditionalFormatting sqref="E912">
    <cfRule type="cellIs" rank="0" priority="2720" equalAverage="0" operator="greaterThan" aboveAverage="0" dxfId="7" text="" percent="0" bottom="0">
      <formula>0</formula>
    </cfRule>
  </conditionalFormatting>
  <conditionalFormatting sqref="F912">
    <cfRule type="cellIs" rank="0" priority="2721" equalAverage="0" operator="greaterThan" aboveAverage="0" dxfId="7" text="" percent="0" bottom="0">
      <formula>0</formula>
    </cfRule>
  </conditionalFormatting>
  <conditionalFormatting sqref="I912">
    <cfRule type="cellIs" rank="0" priority="2722" equalAverage="0" operator="lessThan" aboveAverage="0" dxfId="8" text="" percent="0" bottom="0">
      <formula>0</formula>
    </cfRule>
  </conditionalFormatting>
  <conditionalFormatting sqref="E913">
    <cfRule type="cellIs" rank="0" priority="2723" equalAverage="0" operator="greaterThan" aboveAverage="0" dxfId="7" text="" percent="0" bottom="0">
      <formula>0</formula>
    </cfRule>
  </conditionalFormatting>
  <conditionalFormatting sqref="F913">
    <cfRule type="cellIs" rank="0" priority="2724" equalAverage="0" operator="greaterThan" aboveAverage="0" dxfId="7" text="" percent="0" bottom="0">
      <formula>0</formula>
    </cfRule>
  </conditionalFormatting>
  <conditionalFormatting sqref="I913">
    <cfRule type="cellIs" rank="0" priority="2725" equalAverage="0" operator="lessThan" aboveAverage="0" dxfId="8" text="" percent="0" bottom="0">
      <formula>0</formula>
    </cfRule>
  </conditionalFormatting>
  <conditionalFormatting sqref="E914">
    <cfRule type="cellIs" rank="0" priority="2726" equalAverage="0" operator="greaterThan" aboveAverage="0" dxfId="7" text="" percent="0" bottom="0">
      <formula>0</formula>
    </cfRule>
  </conditionalFormatting>
  <conditionalFormatting sqref="F914">
    <cfRule type="cellIs" rank="0" priority="2727" equalAverage="0" operator="greaterThan" aboveAverage="0" dxfId="7" text="" percent="0" bottom="0">
      <formula>0</formula>
    </cfRule>
  </conditionalFormatting>
  <conditionalFormatting sqref="I914">
    <cfRule type="cellIs" rank="0" priority="2728" equalAverage="0" operator="lessThan" aboveAverage="0" dxfId="8" text="" percent="0" bottom="0">
      <formula>0</formula>
    </cfRule>
  </conditionalFormatting>
  <conditionalFormatting sqref="E915">
    <cfRule type="cellIs" rank="0" priority="2729" equalAverage="0" operator="greaterThan" aboveAverage="0" dxfId="7" text="" percent="0" bottom="0">
      <formula>0</formula>
    </cfRule>
  </conditionalFormatting>
  <conditionalFormatting sqref="F915">
    <cfRule type="cellIs" rank="0" priority="2730" equalAverage="0" operator="greaterThan" aboveAverage="0" dxfId="7" text="" percent="0" bottom="0">
      <formula>0</formula>
    </cfRule>
  </conditionalFormatting>
  <conditionalFormatting sqref="I915">
    <cfRule type="cellIs" rank="0" priority="2731" equalAverage="0" operator="lessThan" aboveAverage="0" dxfId="8" text="" percent="0" bottom="0">
      <formula>0</formula>
    </cfRule>
  </conditionalFormatting>
  <conditionalFormatting sqref="E916">
    <cfRule type="cellIs" rank="0" priority="2732" equalAverage="0" operator="greaterThan" aboveAverage="0" dxfId="7" text="" percent="0" bottom="0">
      <formula>0</formula>
    </cfRule>
  </conditionalFormatting>
  <conditionalFormatting sqref="F916">
    <cfRule type="cellIs" rank="0" priority="2733" equalAverage="0" operator="greaterThan" aboveAverage="0" dxfId="7" text="" percent="0" bottom="0">
      <formula>0</formula>
    </cfRule>
  </conditionalFormatting>
  <conditionalFormatting sqref="I916">
    <cfRule type="cellIs" rank="0" priority="2734" equalAverage="0" operator="lessThan" aboveAverage="0" dxfId="8" text="" percent="0" bottom="0">
      <formula>0</formula>
    </cfRule>
  </conditionalFormatting>
  <conditionalFormatting sqref="E917">
    <cfRule type="cellIs" rank="0" priority="2735" equalAverage="0" operator="greaterThan" aboveAverage="0" dxfId="7" text="" percent="0" bottom="0">
      <formula>0</formula>
    </cfRule>
  </conditionalFormatting>
  <conditionalFormatting sqref="F917">
    <cfRule type="cellIs" rank="0" priority="2736" equalAverage="0" operator="greaterThan" aboveAverage="0" dxfId="7" text="" percent="0" bottom="0">
      <formula>0</formula>
    </cfRule>
  </conditionalFormatting>
  <conditionalFormatting sqref="I917">
    <cfRule type="cellIs" rank="0" priority="2737" equalAverage="0" operator="lessThan" aboveAverage="0" dxfId="8" text="" percent="0" bottom="0">
      <formula>0</formula>
    </cfRule>
  </conditionalFormatting>
  <conditionalFormatting sqref="E918">
    <cfRule type="cellIs" rank="0" priority="2738" equalAverage="0" operator="greaterThan" aboveAverage="0" dxfId="7" text="" percent="0" bottom="0">
      <formula>0</formula>
    </cfRule>
  </conditionalFormatting>
  <conditionalFormatting sqref="F918">
    <cfRule type="cellIs" rank="0" priority="2739" equalAverage="0" operator="greaterThan" aboveAverage="0" dxfId="7" text="" percent="0" bottom="0">
      <formula>0</formula>
    </cfRule>
  </conditionalFormatting>
  <conditionalFormatting sqref="I918">
    <cfRule type="cellIs" rank="0" priority="2740" equalAverage="0" operator="lessThan" aboveAverage="0" dxfId="8" text="" percent="0" bottom="0">
      <formula>0</formula>
    </cfRule>
  </conditionalFormatting>
  <conditionalFormatting sqref="E919">
    <cfRule type="cellIs" rank="0" priority="2741" equalAverage="0" operator="greaterThan" aboveAverage="0" dxfId="7" text="" percent="0" bottom="0">
      <formula>0</formula>
    </cfRule>
  </conditionalFormatting>
  <conditionalFormatting sqref="F919">
    <cfRule type="cellIs" rank="0" priority="2742" equalAverage="0" operator="greaterThan" aboveAverage="0" dxfId="7" text="" percent="0" bottom="0">
      <formula>0</formula>
    </cfRule>
  </conditionalFormatting>
  <conditionalFormatting sqref="I919">
    <cfRule type="cellIs" rank="0" priority="2743" equalAverage="0" operator="lessThan" aboveAverage="0" dxfId="8" text="" percent="0" bottom="0">
      <formula>0</formula>
    </cfRule>
  </conditionalFormatting>
  <conditionalFormatting sqref="E920">
    <cfRule type="cellIs" rank="0" priority="2744" equalAverage="0" operator="greaterThan" aboveAverage="0" dxfId="7" text="" percent="0" bottom="0">
      <formula>0</formula>
    </cfRule>
  </conditionalFormatting>
  <conditionalFormatting sqref="F920">
    <cfRule type="cellIs" rank="0" priority="2745" equalAverage="0" operator="greaterThan" aboveAverage="0" dxfId="7" text="" percent="0" bottom="0">
      <formula>0</formula>
    </cfRule>
  </conditionalFormatting>
  <conditionalFormatting sqref="I920">
    <cfRule type="cellIs" rank="0" priority="2746" equalAverage="0" operator="lessThan" aboveAverage="0" dxfId="8" text="" percent="0" bottom="0">
      <formula>0</formula>
    </cfRule>
  </conditionalFormatting>
  <conditionalFormatting sqref="E921">
    <cfRule type="cellIs" rank="0" priority="2747" equalAverage="0" operator="greaterThan" aboveAverage="0" dxfId="7" text="" percent="0" bottom="0">
      <formula>0</formula>
    </cfRule>
  </conditionalFormatting>
  <conditionalFormatting sqref="F921">
    <cfRule type="cellIs" rank="0" priority="2748" equalAverage="0" operator="greaterThan" aboveAverage="0" dxfId="7" text="" percent="0" bottom="0">
      <formula>0</formula>
    </cfRule>
  </conditionalFormatting>
  <conditionalFormatting sqref="I921">
    <cfRule type="cellIs" rank="0" priority="2749" equalAverage="0" operator="lessThan" aboveAverage="0" dxfId="8" text="" percent="0" bottom="0">
      <formula>0</formula>
    </cfRule>
  </conditionalFormatting>
  <conditionalFormatting sqref="E922">
    <cfRule type="cellIs" rank="0" priority="2750" equalAverage="0" operator="greaterThan" aboveAverage="0" dxfId="7" text="" percent="0" bottom="0">
      <formula>0</formula>
    </cfRule>
  </conditionalFormatting>
  <conditionalFormatting sqref="F922">
    <cfRule type="cellIs" rank="0" priority="2751" equalAverage="0" operator="greaterThan" aboveAverage="0" dxfId="7" text="" percent="0" bottom="0">
      <formula>0</formula>
    </cfRule>
  </conditionalFormatting>
  <conditionalFormatting sqref="I922">
    <cfRule type="cellIs" rank="0" priority="2752" equalAverage="0" operator="lessThan" aboveAverage="0" dxfId="8" text="" percent="0" bottom="0">
      <formula>0</formula>
    </cfRule>
  </conditionalFormatting>
  <conditionalFormatting sqref="E923">
    <cfRule type="cellIs" rank="0" priority="2753" equalAverage="0" operator="greaterThan" aboveAverage="0" dxfId="7" text="" percent="0" bottom="0">
      <formula>0</formula>
    </cfRule>
  </conditionalFormatting>
  <conditionalFormatting sqref="F923">
    <cfRule type="cellIs" rank="0" priority="2754" equalAverage="0" operator="greaterThan" aboveAverage="0" dxfId="7" text="" percent="0" bottom="0">
      <formula>0</formula>
    </cfRule>
  </conditionalFormatting>
  <conditionalFormatting sqref="I923">
    <cfRule type="cellIs" rank="0" priority="2755" equalAverage="0" operator="lessThan" aboveAverage="0" dxfId="8" text="" percent="0" bottom="0">
      <formula>0</formula>
    </cfRule>
  </conditionalFormatting>
  <conditionalFormatting sqref="E924">
    <cfRule type="cellIs" rank="0" priority="2756" equalAverage="0" operator="greaterThan" aboveAverage="0" dxfId="7" text="" percent="0" bottom="0">
      <formula>0</formula>
    </cfRule>
  </conditionalFormatting>
  <conditionalFormatting sqref="F924">
    <cfRule type="cellIs" rank="0" priority="2757" equalAverage="0" operator="greaterThan" aboveAverage="0" dxfId="7" text="" percent="0" bottom="0">
      <formula>0</formula>
    </cfRule>
  </conditionalFormatting>
  <conditionalFormatting sqref="I924">
    <cfRule type="cellIs" rank="0" priority="2758" equalAverage="0" operator="lessThan" aboveAverage="0" dxfId="8" text="" percent="0" bottom="0">
      <formula>0</formula>
    </cfRule>
  </conditionalFormatting>
  <conditionalFormatting sqref="E925">
    <cfRule type="cellIs" rank="0" priority="2759" equalAverage="0" operator="greaterThan" aboveAverage="0" dxfId="7" text="" percent="0" bottom="0">
      <formula>0</formula>
    </cfRule>
  </conditionalFormatting>
  <conditionalFormatting sqref="F925">
    <cfRule type="cellIs" rank="0" priority="2760" equalAverage="0" operator="greaterThan" aboveAverage="0" dxfId="7" text="" percent="0" bottom="0">
      <formula>0</formula>
    </cfRule>
  </conditionalFormatting>
  <conditionalFormatting sqref="I925">
    <cfRule type="cellIs" rank="0" priority="2761" equalAverage="0" operator="lessThan" aboveAverage="0" dxfId="8" text="" percent="0" bottom="0">
      <formula>0</formula>
    </cfRule>
  </conditionalFormatting>
  <conditionalFormatting sqref="E926">
    <cfRule type="cellIs" rank="0" priority="2762" equalAverage="0" operator="greaterThan" aboveAverage="0" dxfId="7" text="" percent="0" bottom="0">
      <formula>0</formula>
    </cfRule>
  </conditionalFormatting>
  <conditionalFormatting sqref="F926">
    <cfRule type="cellIs" rank="0" priority="2763" equalAverage="0" operator="greaterThan" aboveAverage="0" dxfId="7" text="" percent="0" bottom="0">
      <formula>0</formula>
    </cfRule>
  </conditionalFormatting>
  <conditionalFormatting sqref="I926">
    <cfRule type="cellIs" rank="0" priority="2764" equalAverage="0" operator="lessThan" aboveAverage="0" dxfId="8" text="" percent="0" bottom="0">
      <formula>0</formula>
    </cfRule>
  </conditionalFormatting>
  <conditionalFormatting sqref="E927">
    <cfRule type="cellIs" rank="0" priority="2765" equalAverage="0" operator="greaterThan" aboveAverage="0" dxfId="7" text="" percent="0" bottom="0">
      <formula>0</formula>
    </cfRule>
  </conditionalFormatting>
  <conditionalFormatting sqref="F927">
    <cfRule type="cellIs" rank="0" priority="2766" equalAverage="0" operator="greaterThan" aboveAverage="0" dxfId="7" text="" percent="0" bottom="0">
      <formula>0</formula>
    </cfRule>
  </conditionalFormatting>
  <conditionalFormatting sqref="I927">
    <cfRule type="cellIs" rank="0" priority="2767" equalAverage="0" operator="lessThan" aboveAverage="0" dxfId="8" text="" percent="0" bottom="0">
      <formula>0</formula>
    </cfRule>
  </conditionalFormatting>
  <conditionalFormatting sqref="E928">
    <cfRule type="cellIs" rank="0" priority="2768" equalAverage="0" operator="greaterThan" aboveAverage="0" dxfId="7" text="" percent="0" bottom="0">
      <formula>0</formula>
    </cfRule>
  </conditionalFormatting>
  <conditionalFormatting sqref="F928">
    <cfRule type="cellIs" rank="0" priority="2769" equalAverage="0" operator="greaterThan" aboveAverage="0" dxfId="7" text="" percent="0" bottom="0">
      <formula>0</formula>
    </cfRule>
  </conditionalFormatting>
  <conditionalFormatting sqref="I928">
    <cfRule type="cellIs" rank="0" priority="2770" equalAverage="0" operator="lessThan" aboveAverage="0" dxfId="8" text="" percent="0" bottom="0">
      <formula>0</formula>
    </cfRule>
  </conditionalFormatting>
  <conditionalFormatting sqref="E929">
    <cfRule type="cellIs" rank="0" priority="2771" equalAverage="0" operator="greaterThan" aboveAverage="0" dxfId="7" text="" percent="0" bottom="0">
      <formula>0</formula>
    </cfRule>
  </conditionalFormatting>
  <conditionalFormatting sqref="F929">
    <cfRule type="cellIs" rank="0" priority="2772" equalAverage="0" operator="greaterThan" aboveAverage="0" dxfId="7" text="" percent="0" bottom="0">
      <formula>0</formula>
    </cfRule>
  </conditionalFormatting>
  <conditionalFormatting sqref="I929">
    <cfRule type="cellIs" rank="0" priority="2773" equalAverage="0" operator="lessThan" aboveAverage="0" dxfId="8" text="" percent="0" bottom="0">
      <formula>0</formula>
    </cfRule>
  </conditionalFormatting>
  <conditionalFormatting sqref="E930">
    <cfRule type="cellIs" rank="0" priority="2774" equalAverage="0" operator="greaterThan" aboveAverage="0" dxfId="7" text="" percent="0" bottom="0">
      <formula>0</formula>
    </cfRule>
  </conditionalFormatting>
  <conditionalFormatting sqref="F930">
    <cfRule type="cellIs" rank="0" priority="2775" equalAverage="0" operator="greaterThan" aboveAverage="0" dxfId="7" text="" percent="0" bottom="0">
      <formula>0</formula>
    </cfRule>
  </conditionalFormatting>
  <conditionalFormatting sqref="I930">
    <cfRule type="cellIs" rank="0" priority="2776" equalAverage="0" operator="lessThan" aboveAverage="0" dxfId="8" text="" percent="0" bottom="0">
      <formula>0</formula>
    </cfRule>
  </conditionalFormatting>
  <conditionalFormatting sqref="E931">
    <cfRule type="cellIs" rank="0" priority="2777" equalAverage="0" operator="greaterThan" aboveAverage="0" dxfId="7" text="" percent="0" bottom="0">
      <formula>0</formula>
    </cfRule>
  </conditionalFormatting>
  <conditionalFormatting sqref="F931">
    <cfRule type="cellIs" rank="0" priority="2778" equalAverage="0" operator="greaterThan" aboveAverage="0" dxfId="7" text="" percent="0" bottom="0">
      <formula>0</formula>
    </cfRule>
  </conditionalFormatting>
  <conditionalFormatting sqref="I931">
    <cfRule type="cellIs" rank="0" priority="2779" equalAverage="0" operator="lessThan" aboveAverage="0" dxfId="8" text="" percent="0" bottom="0">
      <formula>0</formula>
    </cfRule>
  </conditionalFormatting>
  <conditionalFormatting sqref="E932">
    <cfRule type="cellIs" rank="0" priority="2780" equalAverage="0" operator="greaterThan" aboveAverage="0" dxfId="7" text="" percent="0" bottom="0">
      <formula>0</formula>
    </cfRule>
  </conditionalFormatting>
  <conditionalFormatting sqref="F932">
    <cfRule type="cellIs" rank="0" priority="2781" equalAverage="0" operator="greaterThan" aboveAverage="0" dxfId="7" text="" percent="0" bottom="0">
      <formula>0</formula>
    </cfRule>
  </conditionalFormatting>
  <conditionalFormatting sqref="I932">
    <cfRule type="cellIs" rank="0" priority="2782" equalAverage="0" operator="lessThan" aboveAverage="0" dxfId="8" text="" percent="0" bottom="0">
      <formula>0</formula>
    </cfRule>
  </conditionalFormatting>
  <conditionalFormatting sqref="E933">
    <cfRule type="cellIs" rank="0" priority="2783" equalAverage="0" operator="greaterThan" aboveAverage="0" dxfId="7" text="" percent="0" bottom="0">
      <formula>0</formula>
    </cfRule>
  </conditionalFormatting>
  <conditionalFormatting sqref="F933">
    <cfRule type="cellIs" rank="0" priority="2784" equalAverage="0" operator="greaterThan" aboveAverage="0" dxfId="7" text="" percent="0" bottom="0">
      <formula>0</formula>
    </cfRule>
  </conditionalFormatting>
  <conditionalFormatting sqref="I933">
    <cfRule type="cellIs" rank="0" priority="2785" equalAverage="0" operator="lessThan" aboveAverage="0" dxfId="8" text="" percent="0" bottom="0">
      <formula>0</formula>
    </cfRule>
  </conditionalFormatting>
  <conditionalFormatting sqref="E934">
    <cfRule type="cellIs" rank="0" priority="2786" equalAverage="0" operator="greaterThan" aboveAverage="0" dxfId="7" text="" percent="0" bottom="0">
      <formula>0</formula>
    </cfRule>
  </conditionalFormatting>
  <conditionalFormatting sqref="F934">
    <cfRule type="cellIs" rank="0" priority="2787" equalAverage="0" operator="greaterThan" aboveAverage="0" dxfId="7" text="" percent="0" bottom="0">
      <formula>0</formula>
    </cfRule>
  </conditionalFormatting>
  <conditionalFormatting sqref="I934">
    <cfRule type="cellIs" rank="0" priority="2788" equalAverage="0" operator="lessThan" aboveAverage="0" dxfId="8" text="" percent="0" bottom="0">
      <formula>0</formula>
    </cfRule>
  </conditionalFormatting>
  <conditionalFormatting sqref="E935">
    <cfRule type="cellIs" rank="0" priority="2789" equalAverage="0" operator="greaterThan" aboveAverage="0" dxfId="7" text="" percent="0" bottom="0">
      <formula>0</formula>
    </cfRule>
  </conditionalFormatting>
  <conditionalFormatting sqref="F935">
    <cfRule type="cellIs" rank="0" priority="2790" equalAverage="0" operator="greaterThan" aboveAverage="0" dxfId="7" text="" percent="0" bottom="0">
      <formula>0</formula>
    </cfRule>
  </conditionalFormatting>
  <conditionalFormatting sqref="I935">
    <cfRule type="cellIs" rank="0" priority="2791" equalAverage="0" operator="lessThan" aboveAverage="0" dxfId="8" text="" percent="0" bottom="0">
      <formula>0</formula>
    </cfRule>
  </conditionalFormatting>
  <conditionalFormatting sqref="E936">
    <cfRule type="cellIs" rank="0" priority="2792" equalAverage="0" operator="greaterThan" aboveAverage="0" dxfId="7" text="" percent="0" bottom="0">
      <formula>0</formula>
    </cfRule>
  </conditionalFormatting>
  <conditionalFormatting sqref="F936">
    <cfRule type="cellIs" rank="0" priority="2793" equalAverage="0" operator="greaterThan" aboveAverage="0" dxfId="7" text="" percent="0" bottom="0">
      <formula>0</formula>
    </cfRule>
  </conditionalFormatting>
  <conditionalFormatting sqref="I936">
    <cfRule type="cellIs" rank="0" priority="2794" equalAverage="0" operator="lessThan" aboveAverage="0" dxfId="8" text="" percent="0" bottom="0">
      <formula>0</formula>
    </cfRule>
  </conditionalFormatting>
  <conditionalFormatting sqref="E937">
    <cfRule type="cellIs" rank="0" priority="2795" equalAverage="0" operator="greaterThan" aboveAverage="0" dxfId="7" text="" percent="0" bottom="0">
      <formula>0</formula>
    </cfRule>
  </conditionalFormatting>
  <conditionalFormatting sqref="F937">
    <cfRule type="cellIs" rank="0" priority="2796" equalAverage="0" operator="greaterThan" aboveAverage="0" dxfId="7" text="" percent="0" bottom="0">
      <formula>0</formula>
    </cfRule>
  </conditionalFormatting>
  <conditionalFormatting sqref="I937">
    <cfRule type="cellIs" rank="0" priority="2797" equalAverage="0" operator="lessThan" aboveAverage="0" dxfId="8" text="" percent="0" bottom="0">
      <formula>0</formula>
    </cfRule>
  </conditionalFormatting>
  <conditionalFormatting sqref="E938">
    <cfRule type="cellIs" rank="0" priority="2798" equalAverage="0" operator="greaterThan" aboveAverage="0" dxfId="7" text="" percent="0" bottom="0">
      <formula>0</formula>
    </cfRule>
  </conditionalFormatting>
  <conditionalFormatting sqref="F938">
    <cfRule type="cellIs" rank="0" priority="2799" equalAverage="0" operator="greaterThan" aboveAverage="0" dxfId="7" text="" percent="0" bottom="0">
      <formula>0</formula>
    </cfRule>
  </conditionalFormatting>
  <conditionalFormatting sqref="I938">
    <cfRule type="cellIs" rank="0" priority="2800" equalAverage="0" operator="lessThan" aboveAverage="0" dxfId="8" text="" percent="0" bottom="0">
      <formula>0</formula>
    </cfRule>
  </conditionalFormatting>
  <conditionalFormatting sqref="E939">
    <cfRule type="cellIs" rank="0" priority="2801" equalAverage="0" operator="greaterThan" aboveAverage="0" dxfId="7" text="" percent="0" bottom="0">
      <formula>0</formula>
    </cfRule>
  </conditionalFormatting>
  <conditionalFormatting sqref="F939">
    <cfRule type="cellIs" rank="0" priority="2802" equalAverage="0" operator="greaterThan" aboveAverage="0" dxfId="7" text="" percent="0" bottom="0">
      <formula>0</formula>
    </cfRule>
  </conditionalFormatting>
  <conditionalFormatting sqref="I939">
    <cfRule type="cellIs" rank="0" priority="2803" equalAverage="0" operator="lessThan" aboveAverage="0" dxfId="8" text="" percent="0" bottom="0">
      <formula>0</formula>
    </cfRule>
  </conditionalFormatting>
  <conditionalFormatting sqref="E940">
    <cfRule type="cellIs" rank="0" priority="2804" equalAverage="0" operator="greaterThan" aboveAverage="0" dxfId="7" text="" percent="0" bottom="0">
      <formula>0</formula>
    </cfRule>
  </conditionalFormatting>
  <conditionalFormatting sqref="F940">
    <cfRule type="cellIs" rank="0" priority="2805" equalAverage="0" operator="greaterThan" aboveAverage="0" dxfId="7" text="" percent="0" bottom="0">
      <formula>0</formula>
    </cfRule>
  </conditionalFormatting>
  <conditionalFormatting sqref="I940">
    <cfRule type="cellIs" rank="0" priority="2806" equalAverage="0" operator="lessThan" aboveAverage="0" dxfId="8" text="" percent="0" bottom="0">
      <formula>0</formula>
    </cfRule>
  </conditionalFormatting>
  <conditionalFormatting sqref="E941">
    <cfRule type="cellIs" rank="0" priority="2807" equalAverage="0" operator="greaterThan" aboveAverage="0" dxfId="7" text="" percent="0" bottom="0">
      <formula>0</formula>
    </cfRule>
  </conditionalFormatting>
  <conditionalFormatting sqref="F941">
    <cfRule type="cellIs" rank="0" priority="2808" equalAverage="0" operator="greaterThan" aboveAverage="0" dxfId="7" text="" percent="0" bottom="0">
      <formula>0</formula>
    </cfRule>
  </conditionalFormatting>
  <conditionalFormatting sqref="I941">
    <cfRule type="cellIs" rank="0" priority="2809" equalAverage="0" operator="lessThan" aboveAverage="0" dxfId="8" text="" percent="0" bottom="0">
      <formula>0</formula>
    </cfRule>
  </conditionalFormatting>
  <conditionalFormatting sqref="E942">
    <cfRule type="cellIs" rank="0" priority="2810" equalAverage="0" operator="greaterThan" aboveAverage="0" dxfId="7" text="" percent="0" bottom="0">
      <formula>0</formula>
    </cfRule>
  </conditionalFormatting>
  <conditionalFormatting sqref="F942">
    <cfRule type="cellIs" rank="0" priority="2811" equalAverage="0" operator="greaterThan" aboveAverage="0" dxfId="7" text="" percent="0" bottom="0">
      <formula>0</formula>
    </cfRule>
  </conditionalFormatting>
  <conditionalFormatting sqref="I942">
    <cfRule type="cellIs" rank="0" priority="2812" equalAverage="0" operator="lessThan" aboveAverage="0" dxfId="8" text="" percent="0" bottom="0">
      <formula>0</formula>
    </cfRule>
  </conditionalFormatting>
  <conditionalFormatting sqref="E943">
    <cfRule type="cellIs" rank="0" priority="2813" equalAverage="0" operator="greaterThan" aboveAverage="0" dxfId="7" text="" percent="0" bottom="0">
      <formula>0</formula>
    </cfRule>
  </conditionalFormatting>
  <conditionalFormatting sqref="F943">
    <cfRule type="cellIs" rank="0" priority="2814" equalAverage="0" operator="greaterThan" aboveAverage="0" dxfId="7" text="" percent="0" bottom="0">
      <formula>0</formula>
    </cfRule>
  </conditionalFormatting>
  <conditionalFormatting sqref="I943">
    <cfRule type="cellIs" rank="0" priority="2815" equalAverage="0" operator="lessThan" aboveAverage="0" dxfId="8" text="" percent="0" bottom="0">
      <formula>0</formula>
    </cfRule>
  </conditionalFormatting>
  <conditionalFormatting sqref="E944">
    <cfRule type="cellIs" rank="0" priority="2816" equalAverage="0" operator="greaterThan" aboveAverage="0" dxfId="7" text="" percent="0" bottom="0">
      <formula>0</formula>
    </cfRule>
  </conditionalFormatting>
  <conditionalFormatting sqref="F944">
    <cfRule type="cellIs" rank="0" priority="2817" equalAverage="0" operator="greaterThan" aboveAverage="0" dxfId="7" text="" percent="0" bottom="0">
      <formula>0</formula>
    </cfRule>
  </conditionalFormatting>
  <conditionalFormatting sqref="I944">
    <cfRule type="cellIs" rank="0" priority="2818" equalAverage="0" operator="lessThan" aboveAverage="0" dxfId="8" text="" percent="0" bottom="0">
      <formula>0</formula>
    </cfRule>
  </conditionalFormatting>
  <conditionalFormatting sqref="E945">
    <cfRule type="cellIs" rank="0" priority="2819" equalAverage="0" operator="greaterThan" aboveAverage="0" dxfId="7" text="" percent="0" bottom="0">
      <formula>0</formula>
    </cfRule>
  </conditionalFormatting>
  <conditionalFormatting sqref="F945">
    <cfRule type="cellIs" rank="0" priority="2820" equalAverage="0" operator="greaterThan" aboveAverage="0" dxfId="7" text="" percent="0" bottom="0">
      <formula>0</formula>
    </cfRule>
  </conditionalFormatting>
  <conditionalFormatting sqref="I945">
    <cfRule type="cellIs" rank="0" priority="2821" equalAverage="0" operator="lessThan" aboveAverage="0" dxfId="8" text="" percent="0" bottom="0">
      <formula>0</formula>
    </cfRule>
  </conditionalFormatting>
  <conditionalFormatting sqref="E946">
    <cfRule type="cellIs" rank="0" priority="2822" equalAverage="0" operator="greaterThan" aboveAverage="0" dxfId="7" text="" percent="0" bottom="0">
      <formula>0</formula>
    </cfRule>
  </conditionalFormatting>
  <conditionalFormatting sqref="F946">
    <cfRule type="cellIs" rank="0" priority="2823" equalAverage="0" operator="greaterThan" aboveAverage="0" dxfId="7" text="" percent="0" bottom="0">
      <formula>0</formula>
    </cfRule>
  </conditionalFormatting>
  <conditionalFormatting sqref="I946">
    <cfRule type="cellIs" rank="0" priority="2824" equalAverage="0" operator="lessThan" aboveAverage="0" dxfId="8" text="" percent="0" bottom="0">
      <formula>0</formula>
    </cfRule>
  </conditionalFormatting>
  <conditionalFormatting sqref="E947">
    <cfRule type="cellIs" rank="0" priority="2825" equalAverage="0" operator="greaterThan" aboveAverage="0" dxfId="7" text="" percent="0" bottom="0">
      <formula>0</formula>
    </cfRule>
  </conditionalFormatting>
  <conditionalFormatting sqref="F947">
    <cfRule type="cellIs" rank="0" priority="2826" equalAverage="0" operator="greaterThan" aboveAverage="0" dxfId="7" text="" percent="0" bottom="0">
      <formula>0</formula>
    </cfRule>
  </conditionalFormatting>
  <conditionalFormatting sqref="I947">
    <cfRule type="cellIs" rank="0" priority="2827" equalAverage="0" operator="lessThan" aboveAverage="0" dxfId="8" text="" percent="0" bottom="0">
      <formula>0</formula>
    </cfRule>
  </conditionalFormatting>
  <conditionalFormatting sqref="E948">
    <cfRule type="cellIs" rank="0" priority="2828" equalAverage="0" operator="greaterThan" aboveAverage="0" dxfId="7" text="" percent="0" bottom="0">
      <formula>0</formula>
    </cfRule>
  </conditionalFormatting>
  <conditionalFormatting sqref="F948">
    <cfRule type="cellIs" rank="0" priority="2829" equalAverage="0" operator="greaterThan" aboveAverage="0" dxfId="7" text="" percent="0" bottom="0">
      <formula>0</formula>
    </cfRule>
  </conditionalFormatting>
  <conditionalFormatting sqref="I948">
    <cfRule type="cellIs" rank="0" priority="2830" equalAverage="0" operator="lessThan" aboveAverage="0" dxfId="8" text="" percent="0" bottom="0">
      <formula>0</formula>
    </cfRule>
  </conditionalFormatting>
  <conditionalFormatting sqref="E949">
    <cfRule type="cellIs" rank="0" priority="2831" equalAverage="0" operator="greaterThan" aboveAverage="0" dxfId="7" text="" percent="0" bottom="0">
      <formula>0</formula>
    </cfRule>
  </conditionalFormatting>
  <conditionalFormatting sqref="F949">
    <cfRule type="cellIs" rank="0" priority="2832" equalAverage="0" operator="greaterThan" aboveAverage="0" dxfId="7" text="" percent="0" bottom="0">
      <formula>0</formula>
    </cfRule>
  </conditionalFormatting>
  <conditionalFormatting sqref="I949">
    <cfRule type="cellIs" rank="0" priority="2833" equalAverage="0" operator="lessThan" aboveAverage="0" dxfId="8" text="" percent="0" bottom="0">
      <formula>0</formula>
    </cfRule>
  </conditionalFormatting>
  <conditionalFormatting sqref="E950">
    <cfRule type="cellIs" rank="0" priority="2834" equalAverage="0" operator="greaterThan" aboveAverage="0" dxfId="7" text="" percent="0" bottom="0">
      <formula>0</formula>
    </cfRule>
  </conditionalFormatting>
  <conditionalFormatting sqref="F950">
    <cfRule type="cellIs" rank="0" priority="2835" equalAverage="0" operator="greaterThan" aboveAverage="0" dxfId="7" text="" percent="0" bottom="0">
      <formula>0</formula>
    </cfRule>
  </conditionalFormatting>
  <conditionalFormatting sqref="I950">
    <cfRule type="cellIs" rank="0" priority="2836" equalAverage="0" operator="lessThan" aboveAverage="0" dxfId="8" text="" percent="0" bottom="0">
      <formula>0</formula>
    </cfRule>
  </conditionalFormatting>
  <conditionalFormatting sqref="E951">
    <cfRule type="cellIs" rank="0" priority="2837" equalAverage="0" operator="greaterThan" aboveAverage="0" dxfId="7" text="" percent="0" bottom="0">
      <formula>0</formula>
    </cfRule>
  </conditionalFormatting>
  <conditionalFormatting sqref="F951">
    <cfRule type="cellIs" rank="0" priority="2838" equalAverage="0" operator="greaterThan" aboveAverage="0" dxfId="7" text="" percent="0" bottom="0">
      <formula>0</formula>
    </cfRule>
  </conditionalFormatting>
  <conditionalFormatting sqref="I951">
    <cfRule type="cellIs" rank="0" priority="2839" equalAverage="0" operator="lessThan" aboveAverage="0" dxfId="8" text="" percent="0" bottom="0">
      <formula>0</formula>
    </cfRule>
  </conditionalFormatting>
  <conditionalFormatting sqref="E952">
    <cfRule type="cellIs" rank="0" priority="2840" equalAverage="0" operator="greaterThan" aboveAverage="0" dxfId="7" text="" percent="0" bottom="0">
      <formula>0</formula>
    </cfRule>
  </conditionalFormatting>
  <conditionalFormatting sqref="F952">
    <cfRule type="cellIs" rank="0" priority="2841" equalAverage="0" operator="greaterThan" aboveAverage="0" dxfId="7" text="" percent="0" bottom="0">
      <formula>0</formula>
    </cfRule>
  </conditionalFormatting>
  <conditionalFormatting sqref="I952">
    <cfRule type="cellIs" rank="0" priority="2842" equalAverage="0" operator="lessThan" aboveAverage="0" dxfId="8" text="" percent="0" bottom="0">
      <formula>0</formula>
    </cfRule>
  </conditionalFormatting>
  <conditionalFormatting sqref="E953">
    <cfRule type="cellIs" rank="0" priority="2843" equalAverage="0" operator="greaterThan" aboveAverage="0" dxfId="7" text="" percent="0" bottom="0">
      <formula>0</formula>
    </cfRule>
  </conditionalFormatting>
  <conditionalFormatting sqref="F953">
    <cfRule type="cellIs" rank="0" priority="2844" equalAverage="0" operator="greaterThan" aboveAverage="0" dxfId="7" text="" percent="0" bottom="0">
      <formula>0</formula>
    </cfRule>
  </conditionalFormatting>
  <conditionalFormatting sqref="I953">
    <cfRule type="cellIs" rank="0" priority="2845" equalAverage="0" operator="lessThan" aboveAverage="0" dxfId="8" text="" percent="0" bottom="0">
      <formula>0</formula>
    </cfRule>
  </conditionalFormatting>
  <conditionalFormatting sqref="E954">
    <cfRule type="cellIs" rank="0" priority="2846" equalAverage="0" operator="greaterThan" aboveAverage="0" dxfId="7" text="" percent="0" bottom="0">
      <formula>0</formula>
    </cfRule>
  </conditionalFormatting>
  <conditionalFormatting sqref="F954">
    <cfRule type="cellIs" rank="0" priority="2847" equalAverage="0" operator="greaterThan" aboveAverage="0" dxfId="7" text="" percent="0" bottom="0">
      <formula>0</formula>
    </cfRule>
  </conditionalFormatting>
  <conditionalFormatting sqref="I954">
    <cfRule type="cellIs" rank="0" priority="2848" equalAverage="0" operator="lessThan" aboveAverage="0" dxfId="8" text="" percent="0" bottom="0">
      <formula>0</formula>
    </cfRule>
  </conditionalFormatting>
  <conditionalFormatting sqref="E955">
    <cfRule type="cellIs" rank="0" priority="2849" equalAverage="0" operator="greaterThan" aboveAverage="0" dxfId="7" text="" percent="0" bottom="0">
      <formula>0</formula>
    </cfRule>
  </conditionalFormatting>
  <conditionalFormatting sqref="F955">
    <cfRule type="cellIs" rank="0" priority="2850" equalAverage="0" operator="greaterThan" aboveAverage="0" dxfId="7" text="" percent="0" bottom="0">
      <formula>0</formula>
    </cfRule>
  </conditionalFormatting>
  <conditionalFormatting sqref="I955">
    <cfRule type="cellIs" rank="0" priority="2851" equalAverage="0" operator="lessThan" aboveAverage="0" dxfId="8" text="" percent="0" bottom="0">
      <formula>0</formula>
    </cfRule>
  </conditionalFormatting>
  <conditionalFormatting sqref="E956">
    <cfRule type="cellIs" rank="0" priority="2852" equalAverage="0" operator="greaterThan" aboveAverage="0" dxfId="7" text="" percent="0" bottom="0">
      <formula>0</formula>
    </cfRule>
  </conditionalFormatting>
  <conditionalFormatting sqref="F956">
    <cfRule type="cellIs" rank="0" priority="2853" equalAverage="0" operator="greaterThan" aboveAverage="0" dxfId="7" text="" percent="0" bottom="0">
      <formula>0</formula>
    </cfRule>
  </conditionalFormatting>
  <conditionalFormatting sqref="I956">
    <cfRule type="cellIs" rank="0" priority="2854" equalAverage="0" operator="lessThan" aboveAverage="0" dxfId="8" text="" percent="0" bottom="0">
      <formula>0</formula>
    </cfRule>
  </conditionalFormatting>
  <conditionalFormatting sqref="E957">
    <cfRule type="cellIs" rank="0" priority="2855" equalAverage="0" operator="greaterThan" aboveAverage="0" dxfId="7" text="" percent="0" bottom="0">
      <formula>0</formula>
    </cfRule>
  </conditionalFormatting>
  <conditionalFormatting sqref="F957">
    <cfRule type="cellIs" rank="0" priority="2856" equalAverage="0" operator="greaterThan" aboveAverage="0" dxfId="7" text="" percent="0" bottom="0">
      <formula>0</formula>
    </cfRule>
  </conditionalFormatting>
  <conditionalFormatting sqref="I957">
    <cfRule type="cellIs" rank="0" priority="2857" equalAverage="0" operator="lessThan" aboveAverage="0" dxfId="8" text="" percent="0" bottom="0">
      <formula>0</formula>
    </cfRule>
  </conditionalFormatting>
  <conditionalFormatting sqref="E958">
    <cfRule type="cellIs" rank="0" priority="2858" equalAverage="0" operator="greaterThan" aboveAverage="0" dxfId="7" text="" percent="0" bottom="0">
      <formula>0</formula>
    </cfRule>
  </conditionalFormatting>
  <conditionalFormatting sqref="F958">
    <cfRule type="cellIs" rank="0" priority="2859" equalAverage="0" operator="greaterThan" aboveAverage="0" dxfId="7" text="" percent="0" bottom="0">
      <formula>0</formula>
    </cfRule>
  </conditionalFormatting>
  <conditionalFormatting sqref="I958">
    <cfRule type="cellIs" rank="0" priority="2860" equalAverage="0" operator="lessThan" aboveAverage="0" dxfId="8" text="" percent="0" bottom="0">
      <formula>0</formula>
    </cfRule>
  </conditionalFormatting>
  <conditionalFormatting sqref="E959">
    <cfRule type="cellIs" rank="0" priority="2861" equalAverage="0" operator="greaterThan" aboveAverage="0" dxfId="7" text="" percent="0" bottom="0">
      <formula>0</formula>
    </cfRule>
  </conditionalFormatting>
  <conditionalFormatting sqref="F959">
    <cfRule type="cellIs" rank="0" priority="2862" equalAverage="0" operator="greaterThan" aboveAverage="0" dxfId="7" text="" percent="0" bottom="0">
      <formula>0</formula>
    </cfRule>
  </conditionalFormatting>
  <conditionalFormatting sqref="I959">
    <cfRule type="cellIs" rank="0" priority="2863" equalAverage="0" operator="lessThan" aboveAverage="0" dxfId="8" text="" percent="0" bottom="0">
      <formula>0</formula>
    </cfRule>
  </conditionalFormatting>
  <conditionalFormatting sqref="E960">
    <cfRule type="cellIs" rank="0" priority="2864" equalAverage="0" operator="greaterThan" aboveAverage="0" dxfId="7" text="" percent="0" bottom="0">
      <formula>0</formula>
    </cfRule>
  </conditionalFormatting>
  <conditionalFormatting sqref="F960">
    <cfRule type="cellIs" rank="0" priority="2865" equalAverage="0" operator="greaterThan" aboveAverage="0" dxfId="7" text="" percent="0" bottom="0">
      <formula>0</formula>
    </cfRule>
  </conditionalFormatting>
  <conditionalFormatting sqref="I960">
    <cfRule type="cellIs" rank="0" priority="2866" equalAverage="0" operator="lessThan" aboveAverage="0" dxfId="8" text="" percent="0" bottom="0">
      <formula>0</formula>
    </cfRule>
  </conditionalFormatting>
  <conditionalFormatting sqref="E961">
    <cfRule type="cellIs" rank="0" priority="2867" equalAverage="0" operator="greaterThan" aboveAverage="0" dxfId="7" text="" percent="0" bottom="0">
      <formula>0</formula>
    </cfRule>
  </conditionalFormatting>
  <conditionalFormatting sqref="F961">
    <cfRule type="cellIs" rank="0" priority="2868" equalAverage="0" operator="greaterThan" aboveAverage="0" dxfId="7" text="" percent="0" bottom="0">
      <formula>0</formula>
    </cfRule>
  </conditionalFormatting>
  <conditionalFormatting sqref="I961">
    <cfRule type="cellIs" rank="0" priority="2869" equalAverage="0" operator="lessThan" aboveAverage="0" dxfId="8" text="" percent="0" bottom="0">
      <formula>0</formula>
    </cfRule>
  </conditionalFormatting>
  <conditionalFormatting sqref="E962">
    <cfRule type="cellIs" rank="0" priority="2870" equalAverage="0" operator="greaterThan" aboveAverage="0" dxfId="7" text="" percent="0" bottom="0">
      <formula>0</formula>
    </cfRule>
  </conditionalFormatting>
  <conditionalFormatting sqref="F962">
    <cfRule type="cellIs" rank="0" priority="2871" equalAverage="0" operator="greaterThan" aboveAverage="0" dxfId="7" text="" percent="0" bottom="0">
      <formula>0</formula>
    </cfRule>
  </conditionalFormatting>
  <conditionalFormatting sqref="I962">
    <cfRule type="cellIs" rank="0" priority="2872" equalAverage="0" operator="lessThan" aboveAverage="0" dxfId="8" text="" percent="0" bottom="0">
      <formula>0</formula>
    </cfRule>
  </conditionalFormatting>
  <conditionalFormatting sqref="E963">
    <cfRule type="cellIs" rank="0" priority="2873" equalAverage="0" operator="greaterThan" aboveAverage="0" dxfId="7" text="" percent="0" bottom="0">
      <formula>0</formula>
    </cfRule>
  </conditionalFormatting>
  <conditionalFormatting sqref="F963">
    <cfRule type="cellIs" rank="0" priority="2874" equalAverage="0" operator="greaterThan" aboveAverage="0" dxfId="7" text="" percent="0" bottom="0">
      <formula>0</formula>
    </cfRule>
  </conditionalFormatting>
  <conditionalFormatting sqref="I963">
    <cfRule type="cellIs" rank="0" priority="2875" equalAverage="0" operator="lessThan" aboveAverage="0" dxfId="8" text="" percent="0" bottom="0">
      <formula>0</formula>
    </cfRule>
  </conditionalFormatting>
  <conditionalFormatting sqref="E964">
    <cfRule type="cellIs" rank="0" priority="2876" equalAverage="0" operator="greaterThan" aboveAverage="0" dxfId="7" text="" percent="0" bottom="0">
      <formula>0</formula>
    </cfRule>
  </conditionalFormatting>
  <conditionalFormatting sqref="F964">
    <cfRule type="cellIs" rank="0" priority="2877" equalAverage="0" operator="greaterThan" aboveAverage="0" dxfId="7" text="" percent="0" bottom="0">
      <formula>0</formula>
    </cfRule>
  </conditionalFormatting>
  <conditionalFormatting sqref="I964">
    <cfRule type="cellIs" rank="0" priority="2878" equalAverage="0" operator="lessThan" aboveAverage="0" dxfId="8" text="" percent="0" bottom="0">
      <formula>0</formula>
    </cfRule>
  </conditionalFormatting>
  <conditionalFormatting sqref="E965">
    <cfRule type="cellIs" rank="0" priority="2879" equalAverage="0" operator="greaterThan" aboveAverage="0" dxfId="7" text="" percent="0" bottom="0">
      <formula>0</formula>
    </cfRule>
  </conditionalFormatting>
  <conditionalFormatting sqref="F965">
    <cfRule type="cellIs" rank="0" priority="2880" equalAverage="0" operator="greaterThan" aboveAverage="0" dxfId="7" text="" percent="0" bottom="0">
      <formula>0</formula>
    </cfRule>
  </conditionalFormatting>
  <conditionalFormatting sqref="I965">
    <cfRule type="cellIs" rank="0" priority="2881" equalAverage="0" operator="lessThan" aboveAverage="0" dxfId="8" text="" percent="0" bottom="0">
      <formula>0</formula>
    </cfRule>
  </conditionalFormatting>
  <conditionalFormatting sqref="E966">
    <cfRule type="cellIs" rank="0" priority="2882" equalAverage="0" operator="greaterThan" aboveAverage="0" dxfId="7" text="" percent="0" bottom="0">
      <formula>0</formula>
    </cfRule>
  </conditionalFormatting>
  <conditionalFormatting sqref="F966">
    <cfRule type="cellIs" rank="0" priority="2883" equalAverage="0" operator="greaterThan" aboveAverage="0" dxfId="7" text="" percent="0" bottom="0">
      <formula>0</formula>
    </cfRule>
  </conditionalFormatting>
  <conditionalFormatting sqref="I966">
    <cfRule type="cellIs" rank="0" priority="2884" equalAverage="0" operator="lessThan" aboveAverage="0" dxfId="8" text="" percent="0" bottom="0">
      <formula>0</formula>
    </cfRule>
  </conditionalFormatting>
  <conditionalFormatting sqref="E967">
    <cfRule type="cellIs" rank="0" priority="2885" equalAverage="0" operator="greaterThan" aboveAverage="0" dxfId="7" text="" percent="0" bottom="0">
      <formula>0</formula>
    </cfRule>
  </conditionalFormatting>
  <conditionalFormatting sqref="F967">
    <cfRule type="cellIs" rank="0" priority="2886" equalAverage="0" operator="greaterThan" aboveAverage="0" dxfId="7" text="" percent="0" bottom="0">
      <formula>0</formula>
    </cfRule>
  </conditionalFormatting>
  <conditionalFormatting sqref="I967">
    <cfRule type="cellIs" rank="0" priority="2887" equalAverage="0" operator="lessThan" aboveAverage="0" dxfId="8" text="" percent="0" bottom="0">
      <formula>0</formula>
    </cfRule>
  </conditionalFormatting>
  <conditionalFormatting sqref="E968">
    <cfRule type="cellIs" rank="0" priority="2888" equalAverage="0" operator="greaterThan" aboveAverage="0" dxfId="7" text="" percent="0" bottom="0">
      <formula>0</formula>
    </cfRule>
  </conditionalFormatting>
  <conditionalFormatting sqref="F968">
    <cfRule type="cellIs" rank="0" priority="2889" equalAverage="0" operator="greaterThan" aboveAverage="0" dxfId="7" text="" percent="0" bottom="0">
      <formula>0</formula>
    </cfRule>
  </conditionalFormatting>
  <conditionalFormatting sqref="I968">
    <cfRule type="cellIs" rank="0" priority="2890" equalAverage="0" operator="lessThan" aboveAverage="0" dxfId="8" text="" percent="0" bottom="0">
      <formula>0</formula>
    </cfRule>
  </conditionalFormatting>
  <conditionalFormatting sqref="E969">
    <cfRule type="cellIs" rank="0" priority="2891" equalAverage="0" operator="greaterThan" aboveAverage="0" dxfId="7" text="" percent="0" bottom="0">
      <formula>0</formula>
    </cfRule>
  </conditionalFormatting>
  <conditionalFormatting sqref="F969">
    <cfRule type="cellIs" rank="0" priority="2892" equalAverage="0" operator="greaterThan" aboveAverage="0" dxfId="7" text="" percent="0" bottom="0">
      <formula>0</formula>
    </cfRule>
  </conditionalFormatting>
  <conditionalFormatting sqref="I969">
    <cfRule type="cellIs" rank="0" priority="2893" equalAverage="0" operator="lessThan" aboveAverage="0" dxfId="8" text="" percent="0" bottom="0">
      <formula>0</formula>
    </cfRule>
  </conditionalFormatting>
  <conditionalFormatting sqref="E970">
    <cfRule type="cellIs" rank="0" priority="2894" equalAverage="0" operator="greaterThan" aboveAverage="0" dxfId="7" text="" percent="0" bottom="0">
      <formula>0</formula>
    </cfRule>
  </conditionalFormatting>
  <conditionalFormatting sqref="F970">
    <cfRule type="cellIs" rank="0" priority="2895" equalAverage="0" operator="greaterThan" aboveAverage="0" dxfId="7" text="" percent="0" bottom="0">
      <formula>0</formula>
    </cfRule>
  </conditionalFormatting>
  <conditionalFormatting sqref="I970">
    <cfRule type="cellIs" rank="0" priority="2896" equalAverage="0" operator="lessThan" aboveAverage="0" dxfId="8" text="" percent="0" bottom="0">
      <formula>0</formula>
    </cfRule>
  </conditionalFormatting>
  <conditionalFormatting sqref="E971">
    <cfRule type="cellIs" rank="0" priority="2897" equalAverage="0" operator="greaterThan" aboveAverage="0" dxfId="7" text="" percent="0" bottom="0">
      <formula>0</formula>
    </cfRule>
  </conditionalFormatting>
  <conditionalFormatting sqref="F971">
    <cfRule type="cellIs" rank="0" priority="2898" equalAverage="0" operator="greaterThan" aboveAverage="0" dxfId="7" text="" percent="0" bottom="0">
      <formula>0</formula>
    </cfRule>
  </conditionalFormatting>
  <conditionalFormatting sqref="I971">
    <cfRule type="cellIs" rank="0" priority="2899" equalAverage="0" operator="lessThan" aboveAverage="0" dxfId="8" text="" percent="0" bottom="0">
      <formula>0</formula>
    </cfRule>
  </conditionalFormatting>
  <conditionalFormatting sqref="E972">
    <cfRule type="cellIs" rank="0" priority="2900" equalAverage="0" operator="greaterThan" aboveAverage="0" dxfId="7" text="" percent="0" bottom="0">
      <formula>0</formula>
    </cfRule>
  </conditionalFormatting>
  <conditionalFormatting sqref="F972">
    <cfRule type="cellIs" rank="0" priority="2901" equalAverage="0" operator="greaterThan" aboveAverage="0" dxfId="7" text="" percent="0" bottom="0">
      <formula>0</formula>
    </cfRule>
  </conditionalFormatting>
  <conditionalFormatting sqref="I972">
    <cfRule type="cellIs" rank="0" priority="2902" equalAverage="0" operator="lessThan" aboveAverage="0" dxfId="8" text="" percent="0" bottom="0">
      <formula>0</formula>
    </cfRule>
  </conditionalFormatting>
  <conditionalFormatting sqref="E973">
    <cfRule type="cellIs" rank="0" priority="2903" equalAverage="0" operator="greaterThan" aboveAverage="0" dxfId="7" text="" percent="0" bottom="0">
      <formula>0</formula>
    </cfRule>
  </conditionalFormatting>
  <conditionalFormatting sqref="F973">
    <cfRule type="cellIs" rank="0" priority="2904" equalAverage="0" operator="greaterThan" aboveAverage="0" dxfId="7" text="" percent="0" bottom="0">
      <formula>0</formula>
    </cfRule>
  </conditionalFormatting>
  <conditionalFormatting sqref="I973">
    <cfRule type="cellIs" rank="0" priority="2905" equalAverage="0" operator="lessThan" aboveAverage="0" dxfId="8" text="" percent="0" bottom="0">
      <formula>0</formula>
    </cfRule>
  </conditionalFormatting>
  <conditionalFormatting sqref="E974">
    <cfRule type="cellIs" rank="0" priority="2906" equalAverage="0" operator="greaterThan" aboveAverage="0" dxfId="7" text="" percent="0" bottom="0">
      <formula>0</formula>
    </cfRule>
  </conditionalFormatting>
  <conditionalFormatting sqref="F974">
    <cfRule type="cellIs" rank="0" priority="2907" equalAverage="0" operator="greaterThan" aboveAverage="0" dxfId="7" text="" percent="0" bottom="0">
      <formula>0</formula>
    </cfRule>
  </conditionalFormatting>
  <conditionalFormatting sqref="I974">
    <cfRule type="cellIs" rank="0" priority="2908" equalAverage="0" operator="lessThan" aboveAverage="0" dxfId="8" text="" percent="0" bottom="0">
      <formula>0</formula>
    </cfRule>
  </conditionalFormatting>
  <conditionalFormatting sqref="E975">
    <cfRule type="cellIs" rank="0" priority="2909" equalAverage="0" operator="greaterThan" aboveAverage="0" dxfId="7" text="" percent="0" bottom="0">
      <formula>0</formula>
    </cfRule>
  </conditionalFormatting>
  <conditionalFormatting sqref="F975">
    <cfRule type="cellIs" rank="0" priority="2910" equalAverage="0" operator="greaterThan" aboveAverage="0" dxfId="7" text="" percent="0" bottom="0">
      <formula>0</formula>
    </cfRule>
  </conditionalFormatting>
  <conditionalFormatting sqref="I975">
    <cfRule type="cellIs" rank="0" priority="2911" equalAverage="0" operator="lessThan" aboveAverage="0" dxfId="8" text="" percent="0" bottom="0">
      <formula>0</formula>
    </cfRule>
  </conditionalFormatting>
  <conditionalFormatting sqref="E976">
    <cfRule type="cellIs" rank="0" priority="2912" equalAverage="0" operator="greaterThan" aboveAverage="0" dxfId="7" text="" percent="0" bottom="0">
      <formula>0</formula>
    </cfRule>
  </conditionalFormatting>
  <conditionalFormatting sqref="F976">
    <cfRule type="cellIs" rank="0" priority="2913" equalAverage="0" operator="greaterThan" aboveAverage="0" dxfId="7" text="" percent="0" bottom="0">
      <formula>0</formula>
    </cfRule>
  </conditionalFormatting>
  <conditionalFormatting sqref="I976">
    <cfRule type="cellIs" rank="0" priority="2914" equalAverage="0" operator="lessThan" aboveAverage="0" dxfId="8" text="" percent="0" bottom="0">
      <formula>0</formula>
    </cfRule>
  </conditionalFormatting>
  <conditionalFormatting sqref="E977">
    <cfRule type="cellIs" rank="0" priority="2915" equalAverage="0" operator="greaterThan" aboveAverage="0" dxfId="7" text="" percent="0" bottom="0">
      <formula>0</formula>
    </cfRule>
  </conditionalFormatting>
  <conditionalFormatting sqref="F977">
    <cfRule type="cellIs" rank="0" priority="2916" equalAverage="0" operator="greaterThan" aboveAverage="0" dxfId="7" text="" percent="0" bottom="0">
      <formula>0</formula>
    </cfRule>
  </conditionalFormatting>
  <conditionalFormatting sqref="I977">
    <cfRule type="cellIs" rank="0" priority="2917" equalAverage="0" operator="lessThan" aboveAverage="0" dxfId="8" text="" percent="0" bottom="0">
      <formula>0</formula>
    </cfRule>
  </conditionalFormatting>
  <conditionalFormatting sqref="E978">
    <cfRule type="cellIs" rank="0" priority="2918" equalAverage="0" operator="greaterThan" aboveAverage="0" dxfId="7" text="" percent="0" bottom="0">
      <formula>0</formula>
    </cfRule>
  </conditionalFormatting>
  <conditionalFormatting sqref="F978">
    <cfRule type="cellIs" rank="0" priority="2919" equalAverage="0" operator="greaterThan" aboveAverage="0" dxfId="7" text="" percent="0" bottom="0">
      <formula>0</formula>
    </cfRule>
  </conditionalFormatting>
  <conditionalFormatting sqref="I978">
    <cfRule type="cellIs" rank="0" priority="2920" equalAverage="0" operator="lessThan" aboveAverage="0" dxfId="8" text="" percent="0" bottom="0">
      <formula>0</formula>
    </cfRule>
  </conditionalFormatting>
  <conditionalFormatting sqref="E979">
    <cfRule type="cellIs" rank="0" priority="2921" equalAverage="0" operator="greaterThan" aboveAverage="0" dxfId="7" text="" percent="0" bottom="0">
      <formula>0</formula>
    </cfRule>
  </conditionalFormatting>
  <conditionalFormatting sqref="F979">
    <cfRule type="cellIs" rank="0" priority="2922" equalAverage="0" operator="greaterThan" aboveAverage="0" dxfId="7" text="" percent="0" bottom="0">
      <formula>0</formula>
    </cfRule>
  </conditionalFormatting>
  <conditionalFormatting sqref="I979">
    <cfRule type="cellIs" rank="0" priority="2923" equalAverage="0" operator="lessThan" aboveAverage="0" dxfId="8" text="" percent="0" bottom="0">
      <formula>0</formula>
    </cfRule>
  </conditionalFormatting>
  <conditionalFormatting sqref="E980">
    <cfRule type="cellIs" rank="0" priority="2924" equalAverage="0" operator="greaterThan" aboveAverage="0" dxfId="7" text="" percent="0" bottom="0">
      <formula>0</formula>
    </cfRule>
  </conditionalFormatting>
  <conditionalFormatting sqref="F980">
    <cfRule type="cellIs" rank="0" priority="2925" equalAverage="0" operator="greaterThan" aboveAverage="0" dxfId="7" text="" percent="0" bottom="0">
      <formula>0</formula>
    </cfRule>
  </conditionalFormatting>
  <conditionalFormatting sqref="I980">
    <cfRule type="cellIs" rank="0" priority="2926" equalAverage="0" operator="lessThan" aboveAverage="0" dxfId="8" text="" percent="0" bottom="0">
      <formula>0</formula>
    </cfRule>
  </conditionalFormatting>
  <conditionalFormatting sqref="E981">
    <cfRule type="cellIs" rank="0" priority="2927" equalAverage="0" operator="greaterThan" aboveAverage="0" dxfId="7" text="" percent="0" bottom="0">
      <formula>0</formula>
    </cfRule>
  </conditionalFormatting>
  <conditionalFormatting sqref="F981">
    <cfRule type="cellIs" rank="0" priority="2928" equalAverage="0" operator="greaterThan" aboveAverage="0" dxfId="7" text="" percent="0" bottom="0">
      <formula>0</formula>
    </cfRule>
  </conditionalFormatting>
  <conditionalFormatting sqref="I981">
    <cfRule type="cellIs" rank="0" priority="2929" equalAverage="0" operator="lessThan" aboveAverage="0" dxfId="8" text="" percent="0" bottom="0">
      <formula>0</formula>
    </cfRule>
  </conditionalFormatting>
  <conditionalFormatting sqref="E982">
    <cfRule type="cellIs" rank="0" priority="2930" equalAverage="0" operator="greaterThan" aboveAverage="0" dxfId="7" text="" percent="0" bottom="0">
      <formula>0</formula>
    </cfRule>
  </conditionalFormatting>
  <conditionalFormatting sqref="F982">
    <cfRule type="cellIs" rank="0" priority="2931" equalAverage="0" operator="greaterThan" aboveAverage="0" dxfId="7" text="" percent="0" bottom="0">
      <formula>0</formula>
    </cfRule>
  </conditionalFormatting>
  <conditionalFormatting sqref="I982">
    <cfRule type="cellIs" rank="0" priority="2932" equalAverage="0" operator="lessThan" aboveAverage="0" dxfId="8" text="" percent="0" bottom="0">
      <formula>0</formula>
    </cfRule>
  </conditionalFormatting>
  <conditionalFormatting sqref="E983">
    <cfRule type="cellIs" rank="0" priority="2933" equalAverage="0" operator="greaterThan" aboveAverage="0" dxfId="7" text="" percent="0" bottom="0">
      <formula>0</formula>
    </cfRule>
  </conditionalFormatting>
  <conditionalFormatting sqref="F983">
    <cfRule type="cellIs" rank="0" priority="2934" equalAverage="0" operator="greaterThan" aboveAverage="0" dxfId="7" text="" percent="0" bottom="0">
      <formula>0</formula>
    </cfRule>
  </conditionalFormatting>
  <conditionalFormatting sqref="I983">
    <cfRule type="cellIs" rank="0" priority="2935" equalAverage="0" operator="lessThan" aboveAverage="0" dxfId="8" text="" percent="0" bottom="0">
      <formula>0</formula>
    </cfRule>
  </conditionalFormatting>
  <conditionalFormatting sqref="E984">
    <cfRule type="cellIs" rank="0" priority="2936" equalAverage="0" operator="greaterThan" aboveAverage="0" dxfId="7" text="" percent="0" bottom="0">
      <formula>0</formula>
    </cfRule>
  </conditionalFormatting>
  <conditionalFormatting sqref="F984">
    <cfRule type="cellIs" rank="0" priority="2937" equalAverage="0" operator="greaterThan" aboveAverage="0" dxfId="7" text="" percent="0" bottom="0">
      <formula>0</formula>
    </cfRule>
  </conditionalFormatting>
  <conditionalFormatting sqref="I984">
    <cfRule type="cellIs" rank="0" priority="2938" equalAverage="0" operator="lessThan" aboveAverage="0" dxfId="8" text="" percent="0" bottom="0">
      <formula>0</formula>
    </cfRule>
  </conditionalFormatting>
  <conditionalFormatting sqref="E985">
    <cfRule type="cellIs" rank="0" priority="2939" equalAverage="0" operator="greaterThan" aboveAverage="0" dxfId="7" text="" percent="0" bottom="0">
      <formula>0</formula>
    </cfRule>
  </conditionalFormatting>
  <conditionalFormatting sqref="F985">
    <cfRule type="cellIs" rank="0" priority="2940" equalAverage="0" operator="greaterThan" aboveAverage="0" dxfId="7" text="" percent="0" bottom="0">
      <formula>0</formula>
    </cfRule>
  </conditionalFormatting>
  <conditionalFormatting sqref="I985">
    <cfRule type="cellIs" rank="0" priority="2941" equalAverage="0" operator="lessThan" aboveAverage="0" dxfId="8" text="" percent="0" bottom="0">
      <formula>0</formula>
    </cfRule>
  </conditionalFormatting>
  <conditionalFormatting sqref="E986">
    <cfRule type="cellIs" rank="0" priority="2942" equalAverage="0" operator="greaterThan" aboveAverage="0" dxfId="7" text="" percent="0" bottom="0">
      <formula>0</formula>
    </cfRule>
  </conditionalFormatting>
  <conditionalFormatting sqref="F986">
    <cfRule type="cellIs" rank="0" priority="2943" equalAverage="0" operator="greaterThan" aboveAverage="0" dxfId="7" text="" percent="0" bottom="0">
      <formula>0</formula>
    </cfRule>
  </conditionalFormatting>
  <conditionalFormatting sqref="I986">
    <cfRule type="cellIs" rank="0" priority="2944" equalAverage="0" operator="lessThan" aboveAverage="0" dxfId="8" text="" percent="0" bottom="0">
      <formula>0</formula>
    </cfRule>
  </conditionalFormatting>
  <conditionalFormatting sqref="E987">
    <cfRule type="cellIs" rank="0" priority="2945" equalAverage="0" operator="greaterThan" aboveAverage="0" dxfId="7" text="" percent="0" bottom="0">
      <formula>0</formula>
    </cfRule>
  </conditionalFormatting>
  <conditionalFormatting sqref="F987">
    <cfRule type="cellIs" rank="0" priority="2946" equalAverage="0" operator="greaterThan" aboveAverage="0" dxfId="7" text="" percent="0" bottom="0">
      <formula>0</formula>
    </cfRule>
  </conditionalFormatting>
  <conditionalFormatting sqref="I987">
    <cfRule type="cellIs" rank="0" priority="2947" equalAverage="0" operator="lessThan" aboveAverage="0" dxfId="8" text="" percent="0" bottom="0">
      <formula>0</formula>
    </cfRule>
  </conditionalFormatting>
  <conditionalFormatting sqref="E988">
    <cfRule type="cellIs" rank="0" priority="2948" equalAverage="0" operator="greaterThan" aboveAverage="0" dxfId="7" text="" percent="0" bottom="0">
      <formula>0</formula>
    </cfRule>
  </conditionalFormatting>
  <conditionalFormatting sqref="F988">
    <cfRule type="cellIs" rank="0" priority="2949" equalAverage="0" operator="greaterThan" aboveAverage="0" dxfId="7" text="" percent="0" bottom="0">
      <formula>0</formula>
    </cfRule>
  </conditionalFormatting>
  <conditionalFormatting sqref="I988">
    <cfRule type="cellIs" rank="0" priority="2950" equalAverage="0" operator="lessThan" aboveAverage="0" dxfId="8" text="" percent="0" bottom="0">
      <formula>0</formula>
    </cfRule>
  </conditionalFormatting>
  <conditionalFormatting sqref="E989">
    <cfRule type="cellIs" rank="0" priority="2951" equalAverage="0" operator="greaterThan" aboveAverage="0" dxfId="7" text="" percent="0" bottom="0">
      <formula>0</formula>
    </cfRule>
  </conditionalFormatting>
  <conditionalFormatting sqref="F989">
    <cfRule type="cellIs" rank="0" priority="2952" equalAverage="0" operator="greaterThan" aboveAverage="0" dxfId="7" text="" percent="0" bottom="0">
      <formula>0</formula>
    </cfRule>
  </conditionalFormatting>
  <conditionalFormatting sqref="I989">
    <cfRule type="cellIs" rank="0" priority="2953" equalAverage="0" operator="lessThan" aboveAverage="0" dxfId="8" text="" percent="0" bottom="0">
      <formula>0</formula>
    </cfRule>
  </conditionalFormatting>
  <conditionalFormatting sqref="E990">
    <cfRule type="cellIs" rank="0" priority="2954" equalAverage="0" operator="greaterThan" aboveAverage="0" dxfId="7" text="" percent="0" bottom="0">
      <formula>0</formula>
    </cfRule>
  </conditionalFormatting>
  <conditionalFormatting sqref="F990">
    <cfRule type="cellIs" rank="0" priority="2955" equalAverage="0" operator="greaterThan" aboveAverage="0" dxfId="7" text="" percent="0" bottom="0">
      <formula>0</formula>
    </cfRule>
  </conditionalFormatting>
  <conditionalFormatting sqref="I990">
    <cfRule type="cellIs" rank="0" priority="2956" equalAverage="0" operator="lessThan" aboveAverage="0" dxfId="8" text="" percent="0" bottom="0">
      <formula>0</formula>
    </cfRule>
  </conditionalFormatting>
  <conditionalFormatting sqref="E991">
    <cfRule type="cellIs" rank="0" priority="2957" equalAverage="0" operator="greaterThan" aboveAverage="0" dxfId="7" text="" percent="0" bottom="0">
      <formula>0</formula>
    </cfRule>
  </conditionalFormatting>
  <conditionalFormatting sqref="F991">
    <cfRule type="cellIs" rank="0" priority="2958" equalAverage="0" operator="greaterThan" aboveAverage="0" dxfId="7" text="" percent="0" bottom="0">
      <formula>0</formula>
    </cfRule>
  </conditionalFormatting>
  <conditionalFormatting sqref="I991">
    <cfRule type="cellIs" rank="0" priority="2959" equalAverage="0" operator="lessThan" aboveAverage="0" dxfId="8" text="" percent="0" bottom="0">
      <formula>0</formula>
    </cfRule>
  </conditionalFormatting>
  <conditionalFormatting sqref="E992">
    <cfRule type="cellIs" rank="0" priority="2960" equalAverage="0" operator="greaterThan" aboveAverage="0" dxfId="7" text="" percent="0" bottom="0">
      <formula>0</formula>
    </cfRule>
  </conditionalFormatting>
  <conditionalFormatting sqref="F992">
    <cfRule type="cellIs" rank="0" priority="2961" equalAverage="0" operator="greaterThan" aboveAverage="0" dxfId="7" text="" percent="0" bottom="0">
      <formula>0</formula>
    </cfRule>
  </conditionalFormatting>
  <conditionalFormatting sqref="I992">
    <cfRule type="cellIs" rank="0" priority="2962" equalAverage="0" operator="lessThan" aboveAverage="0" dxfId="8" text="" percent="0" bottom="0">
      <formula>0</formula>
    </cfRule>
  </conditionalFormatting>
  <conditionalFormatting sqref="E993">
    <cfRule type="cellIs" rank="0" priority="2963" equalAverage="0" operator="greaterThan" aboveAverage="0" dxfId="7" text="" percent="0" bottom="0">
      <formula>0</formula>
    </cfRule>
  </conditionalFormatting>
  <conditionalFormatting sqref="F993">
    <cfRule type="cellIs" rank="0" priority="2964" equalAverage="0" operator="greaterThan" aboveAverage="0" dxfId="7" text="" percent="0" bottom="0">
      <formula>0</formula>
    </cfRule>
  </conditionalFormatting>
  <conditionalFormatting sqref="I993">
    <cfRule type="cellIs" rank="0" priority="2965" equalAverage="0" operator="lessThan" aboveAverage="0" dxfId="8" text="" percent="0" bottom="0">
      <formula>0</formula>
    </cfRule>
  </conditionalFormatting>
  <conditionalFormatting sqref="E994">
    <cfRule type="cellIs" rank="0" priority="2966" equalAverage="0" operator="greaterThan" aboveAverage="0" dxfId="7" text="" percent="0" bottom="0">
      <formula>0</formula>
    </cfRule>
  </conditionalFormatting>
  <conditionalFormatting sqref="F994">
    <cfRule type="cellIs" rank="0" priority="2967" equalAverage="0" operator="greaterThan" aboveAverage="0" dxfId="7" text="" percent="0" bottom="0">
      <formula>0</formula>
    </cfRule>
  </conditionalFormatting>
  <conditionalFormatting sqref="I994">
    <cfRule type="cellIs" rank="0" priority="2968" equalAverage="0" operator="lessThan" aboveAverage="0" dxfId="8" text="" percent="0" bottom="0">
      <formula>0</formula>
    </cfRule>
  </conditionalFormatting>
  <conditionalFormatting sqref="E995">
    <cfRule type="cellIs" rank="0" priority="2969" equalAverage="0" operator="greaterThan" aboveAverage="0" dxfId="7" text="" percent="0" bottom="0">
      <formula>0</formula>
    </cfRule>
  </conditionalFormatting>
  <conditionalFormatting sqref="F995">
    <cfRule type="cellIs" rank="0" priority="2970" equalAverage="0" operator="greaterThan" aboveAverage="0" dxfId="7" text="" percent="0" bottom="0">
      <formula>0</formula>
    </cfRule>
  </conditionalFormatting>
  <conditionalFormatting sqref="I995">
    <cfRule type="cellIs" rank="0" priority="2971" equalAverage="0" operator="lessThan" aboveAverage="0" dxfId="8" text="" percent="0" bottom="0">
      <formula>0</formula>
    </cfRule>
  </conditionalFormatting>
  <conditionalFormatting sqref="E996">
    <cfRule type="cellIs" rank="0" priority="2972" equalAverage="0" operator="greaterThan" aboveAverage="0" dxfId="7" text="" percent="0" bottom="0">
      <formula>0</formula>
    </cfRule>
  </conditionalFormatting>
  <conditionalFormatting sqref="F996">
    <cfRule type="cellIs" rank="0" priority="2973" equalAverage="0" operator="greaterThan" aboveAverage="0" dxfId="7" text="" percent="0" bottom="0">
      <formula>0</formula>
    </cfRule>
  </conditionalFormatting>
  <conditionalFormatting sqref="I996">
    <cfRule type="cellIs" rank="0" priority="2974" equalAverage="0" operator="lessThan" aboveAverage="0" dxfId="8" text="" percent="0" bottom="0">
      <formula>0</formula>
    </cfRule>
  </conditionalFormatting>
  <conditionalFormatting sqref="E997">
    <cfRule type="cellIs" rank="0" priority="2975" equalAverage="0" operator="greaterThan" aboveAverage="0" dxfId="7" text="" percent="0" bottom="0">
      <formula>0</formula>
    </cfRule>
  </conditionalFormatting>
  <conditionalFormatting sqref="F997">
    <cfRule type="cellIs" rank="0" priority="2976" equalAverage="0" operator="greaterThan" aboveAverage="0" dxfId="7" text="" percent="0" bottom="0">
      <formula>0</formula>
    </cfRule>
  </conditionalFormatting>
  <conditionalFormatting sqref="I997">
    <cfRule type="cellIs" rank="0" priority="2977" equalAverage="0" operator="lessThan" aboveAverage="0" dxfId="8" text="" percent="0" bottom="0">
      <formula>0</formula>
    </cfRule>
  </conditionalFormatting>
  <conditionalFormatting sqref="E998">
    <cfRule type="cellIs" rank="0" priority="2978" equalAverage="0" operator="greaterThan" aboveAverage="0" dxfId="7" text="" percent="0" bottom="0">
      <formula>0</formula>
    </cfRule>
  </conditionalFormatting>
  <conditionalFormatting sqref="F998">
    <cfRule type="cellIs" rank="0" priority="2979" equalAverage="0" operator="greaterThan" aboveAverage="0" dxfId="7" text="" percent="0" bottom="0">
      <formula>0</formula>
    </cfRule>
  </conditionalFormatting>
  <conditionalFormatting sqref="I998">
    <cfRule type="cellIs" rank="0" priority="2980" equalAverage="0" operator="lessThan" aboveAverage="0" dxfId="8" text="" percent="0" bottom="0">
      <formula>0</formula>
    </cfRule>
  </conditionalFormatting>
  <conditionalFormatting sqref="E999">
    <cfRule type="cellIs" rank="0" priority="2981" equalAverage="0" operator="greaterThan" aboveAverage="0" dxfId="7" text="" percent="0" bottom="0">
      <formula>0</formula>
    </cfRule>
  </conditionalFormatting>
  <conditionalFormatting sqref="F999">
    <cfRule type="cellIs" rank="0" priority="2982" equalAverage="0" operator="greaterThan" aboveAverage="0" dxfId="7" text="" percent="0" bottom="0">
      <formula>0</formula>
    </cfRule>
  </conditionalFormatting>
  <conditionalFormatting sqref="I999">
    <cfRule type="cellIs" rank="0" priority="2983" equalAverage="0" operator="lessThan" aboveAverage="0" dxfId="8" text="" percent="0" bottom="0">
      <formula>0</formula>
    </cfRule>
  </conditionalFormatting>
  <conditionalFormatting sqref="E1000">
    <cfRule type="cellIs" rank="0" priority="2984" equalAverage="0" operator="greaterThan" aboveAverage="0" dxfId="7" text="" percent="0" bottom="0">
      <formula>0</formula>
    </cfRule>
  </conditionalFormatting>
  <conditionalFormatting sqref="F1000">
    <cfRule type="cellIs" rank="0" priority="2985" equalAverage="0" operator="greaterThan" aboveAverage="0" dxfId="7" text="" percent="0" bottom="0">
      <formula>0</formula>
    </cfRule>
  </conditionalFormatting>
  <conditionalFormatting sqref="I1000">
    <cfRule type="cellIs" rank="0" priority="2986" equalAverage="0" operator="lessThan" aboveAverage="0" dxfId="8" text="" percent="0" bottom="0">
      <formula>0</formula>
    </cfRule>
  </conditionalFormatting>
  <conditionalFormatting sqref="E1001">
    <cfRule type="cellIs" rank="0" priority="2987" equalAverage="0" operator="greaterThan" aboveAverage="0" dxfId="7" text="" percent="0" bottom="0">
      <formula>0</formula>
    </cfRule>
  </conditionalFormatting>
  <conditionalFormatting sqref="F1001">
    <cfRule type="cellIs" rank="0" priority="2988" equalAverage="0" operator="greaterThan" aboveAverage="0" dxfId="7" text="" percent="0" bottom="0">
      <formula>0</formula>
    </cfRule>
  </conditionalFormatting>
  <conditionalFormatting sqref="I1001">
    <cfRule type="cellIs" rank="0" priority="2989" equalAverage="0" operator="lessThan" aboveAverage="0" dxfId="8" text="" percent="0" bottom="0">
      <formula>0</formula>
    </cfRule>
  </conditionalFormatting>
  <conditionalFormatting sqref="E1002">
    <cfRule type="cellIs" rank="0" priority="2990" equalAverage="0" operator="greaterThan" aboveAverage="0" dxfId="7" text="" percent="0" bottom="0">
      <formula>0</formula>
    </cfRule>
  </conditionalFormatting>
  <conditionalFormatting sqref="F1002">
    <cfRule type="cellIs" rank="0" priority="2991" equalAverage="0" operator="greaterThan" aboveAverage="0" dxfId="7" text="" percent="0" bottom="0">
      <formula>0</formula>
    </cfRule>
  </conditionalFormatting>
  <conditionalFormatting sqref="I1002">
    <cfRule type="cellIs" rank="0" priority="2992" equalAverage="0" operator="lessThan" aboveAverage="0" dxfId="8" text="" percent="0" bottom="0">
      <formula>0</formula>
    </cfRule>
  </conditionalFormatting>
  <conditionalFormatting sqref="E1003">
    <cfRule type="cellIs" rank="0" priority="2993" equalAverage="0" operator="greaterThan" aboveAverage="0" dxfId="7" text="" percent="0" bottom="0">
      <formula>0</formula>
    </cfRule>
  </conditionalFormatting>
  <conditionalFormatting sqref="F1003">
    <cfRule type="cellIs" rank="0" priority="2994" equalAverage="0" operator="greaterThan" aboveAverage="0" dxfId="7" text="" percent="0" bottom="0">
      <formula>0</formula>
    </cfRule>
  </conditionalFormatting>
  <conditionalFormatting sqref="I1003">
    <cfRule type="cellIs" rank="0" priority="2995" equalAverage="0" operator="lessThan" aboveAverage="0" dxfId="8" text="" percent="0" bottom="0">
      <formula>0</formula>
    </cfRule>
  </conditionalFormatting>
  <dataValidations count="2">
    <dataValidation sqref="B6:B1004" showDropDown="0" showInputMessage="1" showErrorMessage="1" allowBlank="1" errorTitle="Geçersiz tarih" error="01.01.2020'den sonraki bir tarih girin." promptTitle="Hakediş Tarihi" prompt="Hakedişin tahakkuk edildiği tarih." type="date" errorStyle="stop" operator="greaterThan">
      <formula1>2020-1-1</formula1>
      <formula2>0</formula2>
    </dataValidation>
    <dataValidation sqref="C6:C1004" showDropDown="0" showInputMessage="1" showErrorMessage="1" allowBlank="1" errorTitle="Geçersiz tutar" error="Hakediş 1 ₺'den büyük olmalı." promptTitle="Brüt Hakediş (₺)" prompt="KDV hariç brüt hakediş tutarı." type="whole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99" min="1" max="1"/>
    <col width="14" customWidth="1" style="99" min="2" max="2"/>
    <col width="18" customWidth="1" style="99" min="3" max="3"/>
    <col width="14" customWidth="1" style="99" min="4" max="4"/>
    <col width="20" customWidth="1" style="99" min="5" max="5"/>
  </cols>
  <sheetData>
    <row r="1" ht="25.5" customHeight="1" s="73">
      <c r="A1" s="111" t="inlineStr">
        <is>
          <t>ODEMELER — TAŞERON/ALT YÜKLENİCİ HAKEDİŞ &amp; KESİNTİ MUTABAKATI</t>
        </is>
      </c>
    </row>
    <row r="3" ht="15" customHeight="1" s="73">
      <c r="A3" s="112" t="inlineStr">
        <is>
          <t>Ödemeler ve Gecikme Hesabı</t>
        </is>
      </c>
    </row>
    <row r="5" ht="30" customHeight="1" s="73">
      <c r="A5" s="119" t="inlineStr">
        <is>
          <t>Dönem</t>
        </is>
      </c>
      <c r="B5" s="119" t="inlineStr">
        <is>
          <t>Ödeme Tarihi</t>
        </is>
      </c>
      <c r="C5" s="119" t="inlineStr">
        <is>
          <t>Ödenen Tutar (₺)</t>
        </is>
      </c>
      <c r="D5" s="119" t="inlineStr">
        <is>
          <t>Geç Ödeme Gün</t>
        </is>
      </c>
      <c r="E5" s="119" t="inlineStr">
        <is>
          <t>Gecikme Maliyeti (₺)</t>
        </is>
      </c>
    </row>
    <row r="6" ht="15" customHeight="1" s="73">
      <c r="A6" s="120" t="inlineStr">
        <is>
          <t>1. Hakediş</t>
        </is>
      </c>
      <c r="B6" s="121" t="n">
        <v>46152</v>
      </c>
      <c r="C6" s="122" t="n">
        <v>700000</v>
      </c>
      <c r="D6" s="128">
        <f>IF(OR($A6="",$B6=""),"",MAX(0,raporTarihi-$B6-VadeGun))</f>
        <v/>
      </c>
      <c r="E6" s="123">
        <f>IF(OR($A6="",$B6="",$C6="",$D6=""),"",$C6*GecikmeFaizOrani*$D6/365)</f>
        <v/>
      </c>
    </row>
    <row r="7" ht="15" customHeight="1" s="73">
      <c r="A7" s="120" t="inlineStr">
        <is>
          <t>2. Hakediş</t>
        </is>
      </c>
      <c r="B7" s="121" t="n">
        <v>46167</v>
      </c>
      <c r="C7" s="122" t="n">
        <v>900000</v>
      </c>
      <c r="D7" s="128">
        <f>IF(OR($A7="",$B7=""),"",MAX(0,raporTarihi-$B7-VadeGun))</f>
        <v/>
      </c>
      <c r="E7" s="123">
        <f>IF(OR($A7="",$B7="",$C7="",$D7=""),"",$C7*GecikmeFaizOrani*$D7/365)</f>
        <v/>
      </c>
    </row>
    <row r="8" ht="15" customHeight="1" s="73">
      <c r="A8" s="120" t="inlineStr">
        <is>
          <t>3. Hakediş</t>
        </is>
      </c>
      <c r="B8" s="121" t="n">
        <v>46208</v>
      </c>
      <c r="C8" s="122" t="n">
        <v>1050000</v>
      </c>
      <c r="D8" s="128">
        <f>IF(OR($A8="",$B8=""),"",MAX(0,raporTarihi-$B8-VadeGun))</f>
        <v/>
      </c>
      <c r="E8" s="123">
        <f>IF(OR($A8="",$B8="",$C8="",$D8=""),"",$C8*GecikmeFaizOrani*$D8/365)</f>
        <v/>
      </c>
    </row>
    <row r="9" ht="15" customHeight="1" s="73">
      <c r="A9" s="120" t="inlineStr">
        <is>
          <t>4. Hakediş</t>
        </is>
      </c>
      <c r="B9" s="121" t="n">
        <v>46228</v>
      </c>
      <c r="C9" s="122" t="n">
        <v>950000</v>
      </c>
      <c r="D9" s="128">
        <f>IF(OR($A9="",$B9=""),"",MAX(0,raporTarihi-$B9-VadeGun))</f>
        <v/>
      </c>
      <c r="E9" s="123">
        <f>IF(OR($A9="",$B9="",$C9="",$D9=""),"",$C9*GecikmeFaizOrani*$D9/365)</f>
        <v/>
      </c>
    </row>
    <row r="10" ht="15" customHeight="1" s="73">
      <c r="A10" s="120" t="inlineStr">
        <is>
          <t>5. Hakediş</t>
        </is>
      </c>
      <c r="B10" s="121" t="n">
        <v>46270</v>
      </c>
      <c r="C10" s="122" t="n">
        <v>1250000</v>
      </c>
      <c r="D10" s="128">
        <f>IF(OR($A10="",$B10=""),"",MAX(0,raporTarihi-$B10-VadeGun))</f>
        <v/>
      </c>
      <c r="E10" s="123">
        <f>IF(OR($A10="",$B10="",$C10="",$D10=""),"",$C10*GecikmeFaizOrani*$D10/365)</f>
        <v/>
      </c>
    </row>
    <row r="11" ht="15" customHeight="1" s="73">
      <c r="A11" s="120" t="inlineStr">
        <is>
          <t>6. Hakediş</t>
        </is>
      </c>
      <c r="B11" s="121" t="n">
        <v>46290</v>
      </c>
      <c r="C11" s="122" t="n">
        <v>1150000</v>
      </c>
      <c r="D11" s="128">
        <f>IF(OR($A11="",$B11=""),"",MAX(0,raporTarihi-$B11-VadeGun))</f>
        <v/>
      </c>
      <c r="E11" s="123">
        <f>IF(OR($A11="",$B11="",$C11="",$D11=""),"",$C11*GecikmeFaizOrani*$D11/365)</f>
        <v/>
      </c>
    </row>
    <row r="12" ht="15" customHeight="1" s="73">
      <c r="A12" s="120" t="inlineStr">
        <is>
          <t>7. Hakediş</t>
        </is>
      </c>
      <c r="B12" s="121" t="n">
        <v>46331</v>
      </c>
      <c r="C12" s="122" t="n">
        <v>850000</v>
      </c>
      <c r="D12" s="128">
        <f>IF(OR($A12="",$B12=""),"",MAX(0,raporTarihi-$B12-VadeGun))</f>
        <v/>
      </c>
      <c r="E12" s="123">
        <f>IF(OR($A12="",$B12="",$C12="",$D12=""),"",$C12*GecikmeFaizOrani*$D12/365)</f>
        <v/>
      </c>
    </row>
    <row r="13" ht="15" customHeight="1" s="73">
      <c r="A13" s="120" t="inlineStr">
        <is>
          <t>8. Hakediş</t>
        </is>
      </c>
      <c r="B13" s="121" t="n">
        <v>46351</v>
      </c>
      <c r="C13" s="122" t="n">
        <v>700000</v>
      </c>
      <c r="D13" s="128">
        <f>IF(OR($A13="",$B13=""),"",MAX(0,raporTarihi-$B13-VadeGun))</f>
        <v/>
      </c>
      <c r="E13" s="123">
        <f>IF(OR($A13="",$B13="",$C13="",$D13=""),"",$C13*GecikmeFaizOrani*$D13/365)</f>
        <v/>
      </c>
    </row>
    <row r="14" ht="15" customHeight="1" s="73">
      <c r="A14" s="120" t="inlineStr">
        <is>
          <t>9. Hakediş</t>
        </is>
      </c>
      <c r="B14" s="121" t="n">
        <v>46397</v>
      </c>
      <c r="C14" s="122" t="n">
        <v>800000</v>
      </c>
      <c r="D14" s="128">
        <f>IF(OR($A14="",$B14=""),"",MAX(0,raporTarihi-$B14-VadeGun))</f>
        <v/>
      </c>
      <c r="E14" s="123">
        <f>IF(OR($A14="",$B14="",$C14="",$D14=""),"",$C14*GecikmeFaizOrani*$D14/365)</f>
        <v/>
      </c>
    </row>
    <row r="15" ht="15" customHeight="1" s="73">
      <c r="A15" s="120" t="inlineStr">
        <is>
          <t>10. Hakediş</t>
        </is>
      </c>
      <c r="B15" s="121" t="n">
        <v>46412</v>
      </c>
      <c r="C15" s="122" t="n">
        <v>780000</v>
      </c>
      <c r="D15" s="128">
        <f>IF(OR($A15="",$B15=""),"",MAX(0,raporTarihi-$B15-VadeGun))</f>
        <v/>
      </c>
      <c r="E15" s="123">
        <f>IF(OR($A15="",$B15="",$C15="",$D15=""),"",$C15*GecikmeFaizOrani*$D15/365)</f>
        <v/>
      </c>
    </row>
    <row r="16" ht="15" customHeight="1" s="73">
      <c r="A16" s="120" t="inlineStr">
        <is>
          <t>11. Hakediş</t>
        </is>
      </c>
      <c r="B16" s="121" t="n">
        <v>46451</v>
      </c>
      <c r="C16" s="122" t="n">
        <v>660000</v>
      </c>
      <c r="D16" s="128">
        <f>IF(OR($A16="",$B16=""),"",MAX(0,raporTarihi-$B16-VadeGun))</f>
        <v/>
      </c>
      <c r="E16" s="123">
        <f>IF(OR($A16="",$B16="",$C16="",$D16=""),"",$C16*GecikmeFaizOrani*$D16/365)</f>
        <v/>
      </c>
    </row>
    <row r="17" ht="15" customHeight="1" s="73">
      <c r="A17" s="120" t="inlineStr">
        <is>
          <t>12. Hakediş</t>
        </is>
      </c>
      <c r="B17" s="121" t="n">
        <v>46471</v>
      </c>
      <c r="C17" s="122" t="n">
        <v>620000</v>
      </c>
      <c r="D17" s="128">
        <f>IF(OR($A17="",$B17=""),"",MAX(0,raporTarihi-$B17-VadeGun))</f>
        <v/>
      </c>
      <c r="E17" s="123">
        <f>IF(OR($A17="",$B17="",$C17="",$D17=""),"",$C17*GecikmeFaizOrani*$D17/365)</f>
        <v/>
      </c>
    </row>
    <row r="18" ht="15" customHeight="1" s="73">
      <c r="A18" s="120" t="inlineStr">
        <is>
          <t>13. Hakediş</t>
        </is>
      </c>
      <c r="B18" s="121" t="n">
        <v>46512</v>
      </c>
      <c r="C18" s="122" t="n">
        <v>580000</v>
      </c>
      <c r="D18" s="128">
        <f>IF(OR($A18="",$B18=""),"",MAX(0,raporTarihi-$B18-VadeGun))</f>
        <v/>
      </c>
      <c r="E18" s="123">
        <f>IF(OR($A18="",$B18="",$C18="",$D18=""),"",$C18*GecikmeFaizOrani*$D18/365)</f>
        <v/>
      </c>
    </row>
    <row r="19" ht="15" customHeight="1" s="73">
      <c r="A19" s="120" t="inlineStr">
        <is>
          <t>14. Hakediş</t>
        </is>
      </c>
      <c r="B19" s="121" t="n">
        <v>46532</v>
      </c>
      <c r="C19" s="122" t="n">
        <v>540000</v>
      </c>
      <c r="D19" s="128">
        <f>IF(OR($A19="",$B19=""),"",MAX(0,raporTarihi-$B19-VadeGun))</f>
        <v/>
      </c>
      <c r="E19" s="123">
        <f>IF(OR($A19="",$B19="",$C19="",$D19=""),"",$C19*GecikmeFaizOrani*$D19/365)</f>
        <v/>
      </c>
    </row>
    <row r="20" ht="15" customHeight="1" s="73">
      <c r="A20" s="124" t="n"/>
      <c r="B20" s="125" t="n"/>
      <c r="C20" s="126" t="n"/>
      <c r="D20" s="129" t="n"/>
      <c r="E20" s="127" t="n"/>
    </row>
    <row r="21" ht="15" customHeight="1" s="73">
      <c r="A21" s="124" t="n"/>
      <c r="B21" s="125" t="n"/>
      <c r="C21" s="126" t="n"/>
      <c r="D21" s="129" t="n"/>
      <c r="E21" s="127" t="n"/>
    </row>
    <row r="22" ht="15" customHeight="1" s="73">
      <c r="A22" s="124" t="n"/>
      <c r="B22" s="125" t="n"/>
      <c r="C22" s="126" t="n"/>
      <c r="D22" s="129" t="n"/>
      <c r="E22" s="127" t="n"/>
    </row>
    <row r="23" ht="15" customHeight="1" s="73">
      <c r="A23" s="124" t="n"/>
      <c r="B23" s="125" t="n"/>
      <c r="C23" s="126" t="n"/>
      <c r="D23" s="129" t="n"/>
      <c r="E23" s="127" t="n"/>
    </row>
    <row r="24" ht="15" customHeight="1" s="73">
      <c r="A24" s="124" t="n"/>
      <c r="B24" s="125" t="n"/>
      <c r="C24" s="126" t="n"/>
      <c r="D24" s="129" t="n"/>
      <c r="E24" s="127" t="n"/>
    </row>
    <row r="25" ht="15" customHeight="1" s="73">
      <c r="A25" s="124" t="n"/>
      <c r="B25" s="125" t="n"/>
      <c r="C25" s="126" t="n"/>
      <c r="D25" s="129" t="n"/>
      <c r="E25" s="127" t="n"/>
    </row>
    <row r="26" ht="15" customHeight="1" s="73">
      <c r="A26" s="124" t="n"/>
      <c r="B26" s="125" t="n"/>
      <c r="C26" s="126" t="n"/>
      <c r="D26" s="129" t="n"/>
      <c r="E26" s="127" t="n"/>
    </row>
    <row r="27" ht="15" customHeight="1" s="73">
      <c r="A27" s="124" t="n"/>
      <c r="B27" s="125" t="n"/>
      <c r="C27" s="126" t="n"/>
      <c r="D27" s="129" t="n"/>
      <c r="E27" s="127" t="n"/>
    </row>
    <row r="28" ht="15" customHeight="1" s="73">
      <c r="A28" s="124" t="n"/>
      <c r="B28" s="125" t="n"/>
      <c r="C28" s="126" t="n"/>
      <c r="D28" s="129" t="n"/>
      <c r="E28" s="127" t="n"/>
    </row>
    <row r="29" ht="15" customHeight="1" s="73">
      <c r="A29" s="124" t="n"/>
      <c r="B29" s="125" t="n"/>
      <c r="C29" s="126" t="n"/>
      <c r="D29" s="129" t="n"/>
      <c r="E29" s="127" t="n"/>
    </row>
    <row r="30" ht="15" customHeight="1" s="73">
      <c r="A30" s="124" t="n"/>
      <c r="B30" s="125" t="n"/>
      <c r="C30" s="126" t="n"/>
      <c r="D30" s="129" t="n"/>
      <c r="E30" s="127" t="n"/>
    </row>
    <row r="31" ht="15" customHeight="1" s="73">
      <c r="A31" s="124" t="n"/>
      <c r="B31" s="125" t="n"/>
      <c r="C31" s="126" t="n"/>
      <c r="D31" s="129" t="n"/>
      <c r="E31" s="127" t="n"/>
    </row>
    <row r="32" ht="15" customHeight="1" s="73">
      <c r="A32" s="124" t="n"/>
      <c r="B32" s="125" t="n"/>
      <c r="C32" s="126" t="n"/>
      <c r="D32" s="129" t="n"/>
      <c r="E32" s="127" t="n"/>
    </row>
    <row r="33" ht="15" customHeight="1" s="73">
      <c r="A33" s="124" t="n"/>
      <c r="B33" s="125" t="n"/>
      <c r="C33" s="126" t="n"/>
      <c r="D33" s="129" t="n"/>
      <c r="E33" s="127" t="n"/>
    </row>
    <row r="34" ht="15" customHeight="1" s="73">
      <c r="A34" s="124" t="n"/>
      <c r="B34" s="125" t="n"/>
      <c r="C34" s="126" t="n"/>
      <c r="D34" s="129" t="n"/>
      <c r="E34" s="127" t="n"/>
    </row>
    <row r="35" ht="15" customHeight="1" s="73">
      <c r="A35" s="124" t="n"/>
      <c r="B35" s="125" t="n"/>
      <c r="C35" s="126" t="n"/>
      <c r="D35" s="129" t="n"/>
      <c r="E35" s="127" t="n"/>
    </row>
    <row r="36" ht="15" customHeight="1" s="73">
      <c r="A36" s="124" t="n"/>
      <c r="B36" s="125" t="n"/>
      <c r="C36" s="126" t="n"/>
      <c r="D36" s="129" t="n"/>
      <c r="E36" s="127" t="n"/>
    </row>
    <row r="37" ht="15" customHeight="1" s="73">
      <c r="A37" s="124" t="n"/>
      <c r="B37" s="125" t="n"/>
      <c r="C37" s="126" t="n"/>
      <c r="D37" s="129" t="n"/>
      <c r="E37" s="127" t="n"/>
    </row>
    <row r="38" ht="15" customHeight="1" s="73">
      <c r="A38" s="124" t="n"/>
      <c r="B38" s="125" t="n"/>
      <c r="C38" s="126" t="n"/>
      <c r="D38" s="129" t="n"/>
      <c r="E38" s="127" t="n"/>
    </row>
    <row r="39" ht="15" customHeight="1" s="73">
      <c r="A39" s="124" t="n"/>
      <c r="B39" s="125" t="n"/>
      <c r="C39" s="126" t="n"/>
      <c r="D39" s="129" t="n"/>
      <c r="E39" s="127" t="n"/>
    </row>
    <row r="40" ht="15" customHeight="1" s="73">
      <c r="A40" s="124" t="n"/>
      <c r="B40" s="125" t="n"/>
      <c r="C40" s="126" t="n"/>
      <c r="D40" s="129" t="n"/>
      <c r="E40" s="127" t="n"/>
    </row>
    <row r="41" ht="15" customHeight="1" s="73">
      <c r="A41" s="124" t="n"/>
      <c r="B41" s="125" t="n"/>
      <c r="C41" s="126" t="n"/>
      <c r="D41" s="129" t="n"/>
      <c r="E41" s="127" t="n"/>
    </row>
    <row r="42" ht="15" customHeight="1" s="73">
      <c r="A42" s="124" t="n"/>
      <c r="B42" s="125" t="n"/>
      <c r="C42" s="126" t="n"/>
      <c r="D42" s="129" t="n"/>
      <c r="E42" s="127" t="n"/>
    </row>
    <row r="43" ht="15" customHeight="1" s="73">
      <c r="A43" s="124" t="n"/>
      <c r="B43" s="125" t="n"/>
      <c r="C43" s="126" t="n"/>
      <c r="D43" s="129" t="n"/>
      <c r="E43" s="127" t="n"/>
    </row>
    <row r="44" ht="15" customHeight="1" s="73">
      <c r="A44" s="124" t="n"/>
      <c r="B44" s="125" t="n"/>
      <c r="C44" s="126" t="n"/>
      <c r="D44" s="129" t="n"/>
      <c r="E44" s="127" t="n"/>
    </row>
    <row r="45" ht="15" customHeight="1" s="73">
      <c r="A45" s="124" t="n"/>
      <c r="B45" s="125" t="n"/>
      <c r="C45" s="126" t="n"/>
      <c r="D45" s="129" t="n"/>
      <c r="E45" s="127" t="n"/>
    </row>
    <row r="46" ht="15" customHeight="1" s="73">
      <c r="A46" s="124" t="n"/>
      <c r="B46" s="125" t="n"/>
      <c r="C46" s="126" t="n"/>
      <c r="D46" s="129" t="n"/>
      <c r="E46" s="127" t="n"/>
    </row>
    <row r="47" ht="15" customHeight="1" s="73">
      <c r="A47" s="124" t="n"/>
      <c r="B47" s="125" t="n"/>
      <c r="C47" s="126" t="n"/>
      <c r="D47" s="129" t="n"/>
      <c r="E47" s="127" t="n"/>
    </row>
    <row r="48" ht="15" customHeight="1" s="73">
      <c r="A48" s="124" t="n"/>
      <c r="B48" s="125" t="n"/>
      <c r="C48" s="126" t="n"/>
      <c r="D48" s="129" t="n"/>
      <c r="E48" s="127" t="n"/>
    </row>
    <row r="49" ht="15" customHeight="1" s="73">
      <c r="A49" s="124" t="n"/>
      <c r="B49" s="125" t="n"/>
      <c r="C49" s="126" t="n"/>
      <c r="D49" s="129" t="n"/>
      <c r="E49" s="127" t="n"/>
    </row>
    <row r="50" ht="15" customHeight="1" s="73">
      <c r="A50" s="124" t="n"/>
      <c r="B50" s="125" t="n"/>
      <c r="C50" s="126" t="n"/>
      <c r="D50" s="129" t="n"/>
      <c r="E50" s="127" t="n"/>
    </row>
    <row r="51" ht="15" customHeight="1" s="73">
      <c r="A51" s="124" t="n"/>
      <c r="B51" s="125" t="n"/>
      <c r="C51" s="126" t="n"/>
      <c r="D51" s="129" t="n"/>
      <c r="E51" s="127" t="n"/>
    </row>
    <row r="52" ht="15" customHeight="1" s="73">
      <c r="A52" s="124" t="n"/>
      <c r="B52" s="125" t="n"/>
      <c r="C52" s="126" t="n"/>
      <c r="D52" s="129" t="n"/>
      <c r="E52" s="127" t="n"/>
    </row>
    <row r="53" ht="15" customHeight="1" s="73">
      <c r="A53" s="124" t="n"/>
      <c r="B53" s="125" t="n"/>
      <c r="C53" s="126" t="n"/>
      <c r="D53" s="129" t="n"/>
      <c r="E53" s="127" t="n"/>
    </row>
    <row r="54" ht="15" customHeight="1" s="73">
      <c r="A54" s="124" t="n"/>
      <c r="B54" s="125" t="n"/>
      <c r="C54" s="126" t="n"/>
      <c r="D54" s="129" t="n"/>
      <c r="E54" s="127" t="n"/>
    </row>
    <row r="55" ht="15" customHeight="1" s="73">
      <c r="A55" s="124" t="n"/>
      <c r="B55" s="125" t="n"/>
      <c r="C55" s="126" t="n"/>
      <c r="D55" s="129" t="n"/>
      <c r="E55" s="127" t="n"/>
    </row>
    <row r="56" ht="15" customHeight="1" s="73">
      <c r="A56" s="124" t="n"/>
      <c r="B56" s="125" t="n"/>
      <c r="C56" s="126" t="n"/>
      <c r="D56" s="129" t="n"/>
      <c r="E56" s="127" t="n"/>
    </row>
    <row r="57" ht="15" customHeight="1" s="73">
      <c r="A57" s="124" t="n"/>
      <c r="B57" s="125" t="n"/>
      <c r="C57" s="126" t="n"/>
      <c r="D57" s="129" t="n"/>
      <c r="E57" s="127" t="n"/>
    </row>
    <row r="58" ht="15" customHeight="1" s="73">
      <c r="A58" s="124" t="n"/>
      <c r="B58" s="125" t="n"/>
      <c r="C58" s="126" t="n"/>
      <c r="D58" s="129" t="n"/>
      <c r="E58" s="127" t="n"/>
    </row>
    <row r="59" ht="15" customHeight="1" s="73">
      <c r="A59" s="124" t="n"/>
      <c r="B59" s="125" t="n"/>
      <c r="C59" s="126" t="n"/>
      <c r="D59" s="129" t="n"/>
      <c r="E59" s="127" t="n"/>
    </row>
    <row r="60" ht="15" customHeight="1" s="73">
      <c r="A60" s="124" t="n"/>
      <c r="B60" s="125" t="n"/>
      <c r="C60" s="126" t="n"/>
      <c r="D60" s="129" t="n"/>
      <c r="E60" s="127" t="n"/>
    </row>
    <row r="61" ht="15" customHeight="1" s="73">
      <c r="A61" s="124" t="n"/>
      <c r="B61" s="125" t="n"/>
      <c r="C61" s="126" t="n"/>
      <c r="D61" s="129" t="n"/>
      <c r="E61" s="127" t="n"/>
    </row>
    <row r="62" ht="15" customHeight="1" s="73">
      <c r="A62" s="124" t="n"/>
      <c r="B62" s="125" t="n"/>
      <c r="C62" s="126" t="n"/>
      <c r="D62" s="129" t="n"/>
      <c r="E62" s="127" t="n"/>
    </row>
    <row r="63" ht="15" customHeight="1" s="73">
      <c r="A63" s="124" t="n"/>
      <c r="B63" s="125" t="n"/>
      <c r="C63" s="126" t="n"/>
      <c r="D63" s="129" t="n"/>
      <c r="E63" s="127" t="n"/>
    </row>
    <row r="64" ht="15" customHeight="1" s="73">
      <c r="A64" s="124" t="n"/>
      <c r="B64" s="125" t="n"/>
      <c r="C64" s="126" t="n"/>
      <c r="D64" s="129" t="n"/>
      <c r="E64" s="127" t="n"/>
    </row>
    <row r="65" ht="15" customHeight="1" s="73">
      <c r="A65" s="124" t="n"/>
      <c r="B65" s="125" t="n"/>
      <c r="C65" s="126" t="n"/>
      <c r="D65" s="129" t="n"/>
      <c r="E65" s="127" t="n"/>
    </row>
    <row r="66" ht="15" customHeight="1" s="73">
      <c r="A66" s="124" t="n"/>
      <c r="B66" s="125" t="n"/>
      <c r="C66" s="126" t="n"/>
      <c r="D66" s="129" t="n"/>
      <c r="E66" s="127" t="n"/>
    </row>
    <row r="67" ht="15" customHeight="1" s="73">
      <c r="A67" s="124" t="n"/>
      <c r="B67" s="125" t="n"/>
      <c r="C67" s="126" t="n"/>
      <c r="D67" s="129" t="n"/>
      <c r="E67" s="127" t="n"/>
    </row>
    <row r="68" ht="15" customHeight="1" s="73">
      <c r="A68" s="124" t="n"/>
      <c r="B68" s="125" t="n"/>
      <c r="C68" s="126" t="n"/>
      <c r="D68" s="129" t="n"/>
      <c r="E68" s="127" t="n"/>
    </row>
    <row r="69" ht="15" customHeight="1" s="73">
      <c r="A69" s="124" t="n"/>
      <c r="B69" s="125" t="n"/>
      <c r="C69" s="126" t="n"/>
      <c r="D69" s="129" t="n"/>
      <c r="E69" s="127" t="n"/>
    </row>
    <row r="70" ht="15" customHeight="1" s="73">
      <c r="A70" s="124" t="n"/>
      <c r="B70" s="125" t="n"/>
      <c r="C70" s="126" t="n"/>
      <c r="D70" s="129" t="n"/>
      <c r="E70" s="127" t="n"/>
    </row>
    <row r="71" ht="15" customHeight="1" s="73">
      <c r="A71" s="124" t="n"/>
      <c r="B71" s="125" t="n"/>
      <c r="C71" s="126" t="n"/>
      <c r="D71" s="129" t="n"/>
      <c r="E71" s="127" t="n"/>
    </row>
    <row r="72" ht="15" customHeight="1" s="73">
      <c r="A72" s="124" t="n"/>
      <c r="B72" s="125" t="n"/>
      <c r="C72" s="126" t="n"/>
      <c r="D72" s="129" t="n"/>
      <c r="E72" s="127" t="n"/>
    </row>
    <row r="73" ht="15" customHeight="1" s="73">
      <c r="A73" s="124" t="n"/>
      <c r="B73" s="125" t="n"/>
      <c r="C73" s="126" t="n"/>
      <c r="D73" s="129" t="n"/>
      <c r="E73" s="127" t="n"/>
    </row>
    <row r="74" ht="15" customHeight="1" s="73">
      <c r="A74" s="124" t="n"/>
      <c r="B74" s="125" t="n"/>
      <c r="C74" s="126" t="n"/>
      <c r="D74" s="129" t="n"/>
      <c r="E74" s="127" t="n"/>
    </row>
    <row r="75" ht="15" customHeight="1" s="73">
      <c r="A75" s="124" t="n"/>
      <c r="B75" s="125" t="n"/>
      <c r="C75" s="126" t="n"/>
      <c r="D75" s="129" t="n"/>
      <c r="E75" s="127" t="n"/>
    </row>
    <row r="76" ht="15" customHeight="1" s="73">
      <c r="A76" s="124" t="n"/>
      <c r="B76" s="125" t="n"/>
      <c r="C76" s="126" t="n"/>
      <c r="D76" s="129" t="n"/>
      <c r="E76" s="127" t="n"/>
    </row>
    <row r="77" ht="15" customHeight="1" s="73">
      <c r="A77" s="124" t="n"/>
      <c r="B77" s="125" t="n"/>
      <c r="C77" s="126" t="n"/>
      <c r="D77" s="129" t="n"/>
      <c r="E77" s="127" t="n"/>
    </row>
    <row r="78" ht="15" customHeight="1" s="73">
      <c r="A78" s="124" t="n"/>
      <c r="B78" s="125" t="n"/>
      <c r="C78" s="126" t="n"/>
      <c r="D78" s="129" t="n"/>
      <c r="E78" s="127" t="n"/>
    </row>
    <row r="79" ht="15" customHeight="1" s="73">
      <c r="A79" s="124" t="n"/>
      <c r="B79" s="125" t="n"/>
      <c r="C79" s="126" t="n"/>
      <c r="D79" s="129" t="n"/>
      <c r="E79" s="127" t="n"/>
    </row>
    <row r="80" ht="15" customHeight="1" s="73">
      <c r="A80" s="124" t="n"/>
      <c r="B80" s="125" t="n"/>
      <c r="C80" s="126" t="n"/>
      <c r="D80" s="129" t="n"/>
      <c r="E80" s="127" t="n"/>
    </row>
    <row r="81" ht="15" customHeight="1" s="73">
      <c r="A81" s="124" t="n"/>
      <c r="B81" s="125" t="n"/>
      <c r="C81" s="126" t="n"/>
      <c r="D81" s="129" t="n"/>
      <c r="E81" s="127" t="n"/>
    </row>
    <row r="82" ht="15" customHeight="1" s="73">
      <c r="A82" s="124" t="n"/>
      <c r="B82" s="125" t="n"/>
      <c r="C82" s="126" t="n"/>
      <c r="D82" s="129" t="n"/>
      <c r="E82" s="127" t="n"/>
    </row>
    <row r="83" ht="15" customHeight="1" s="73">
      <c r="A83" s="124" t="n"/>
      <c r="B83" s="125" t="n"/>
      <c r="C83" s="126" t="n"/>
      <c r="D83" s="129" t="n"/>
      <c r="E83" s="127" t="n"/>
    </row>
    <row r="84" ht="15" customHeight="1" s="73">
      <c r="A84" s="124" t="n"/>
      <c r="B84" s="125" t="n"/>
      <c r="C84" s="126" t="n"/>
      <c r="D84" s="129" t="n"/>
      <c r="E84" s="127" t="n"/>
    </row>
    <row r="85" ht="15" customHeight="1" s="73">
      <c r="A85" s="124" t="n"/>
      <c r="B85" s="125" t="n"/>
      <c r="C85" s="126" t="n"/>
      <c r="D85" s="129" t="n"/>
      <c r="E85" s="127" t="n"/>
    </row>
    <row r="86" ht="15" customHeight="1" s="73">
      <c r="A86" s="124" t="n"/>
      <c r="B86" s="125" t="n"/>
      <c r="C86" s="126" t="n"/>
      <c r="D86" s="129" t="n"/>
      <c r="E86" s="127" t="n"/>
    </row>
    <row r="87" ht="15" customHeight="1" s="73">
      <c r="A87" s="124" t="n"/>
      <c r="B87" s="125" t="n"/>
      <c r="C87" s="126" t="n"/>
      <c r="D87" s="129" t="n"/>
      <c r="E87" s="127" t="n"/>
    </row>
    <row r="88" ht="15" customHeight="1" s="73">
      <c r="A88" s="124" t="n"/>
      <c r="B88" s="125" t="n"/>
      <c r="C88" s="126" t="n"/>
      <c r="D88" s="129" t="n"/>
      <c r="E88" s="127" t="n"/>
    </row>
    <row r="89" ht="15" customHeight="1" s="73">
      <c r="A89" s="124" t="n"/>
      <c r="B89" s="125" t="n"/>
      <c r="C89" s="126" t="n"/>
      <c r="D89" s="129" t="n"/>
      <c r="E89" s="127" t="n"/>
    </row>
    <row r="90" ht="15" customHeight="1" s="73">
      <c r="A90" s="124" t="n"/>
      <c r="B90" s="125" t="n"/>
      <c r="C90" s="126" t="n"/>
      <c r="D90" s="129" t="n"/>
      <c r="E90" s="127" t="n"/>
    </row>
    <row r="91" ht="15" customHeight="1" s="73">
      <c r="A91" s="124" t="n"/>
      <c r="B91" s="125" t="n"/>
      <c r="C91" s="126" t="n"/>
      <c r="D91" s="129" t="n"/>
      <c r="E91" s="127" t="n"/>
    </row>
    <row r="92" ht="15" customHeight="1" s="73">
      <c r="A92" s="124" t="n"/>
      <c r="B92" s="125" t="n"/>
      <c r="C92" s="126" t="n"/>
      <c r="D92" s="129" t="n"/>
      <c r="E92" s="127" t="n"/>
    </row>
    <row r="93" ht="15" customHeight="1" s="73">
      <c r="A93" s="124" t="n"/>
      <c r="B93" s="125" t="n"/>
      <c r="C93" s="126" t="n"/>
      <c r="D93" s="129" t="n"/>
      <c r="E93" s="127" t="n"/>
    </row>
    <row r="94" ht="15" customHeight="1" s="73">
      <c r="A94" s="124" t="n"/>
      <c r="B94" s="125" t="n"/>
      <c r="C94" s="126" t="n"/>
      <c r="D94" s="129" t="n"/>
      <c r="E94" s="127" t="n"/>
    </row>
    <row r="95" ht="15" customHeight="1" s="73">
      <c r="A95" s="124" t="n"/>
      <c r="B95" s="125" t="n"/>
      <c r="C95" s="126" t="n"/>
      <c r="D95" s="129" t="n"/>
      <c r="E95" s="127" t="n"/>
    </row>
    <row r="96" ht="15" customHeight="1" s="73">
      <c r="A96" s="124" t="n"/>
      <c r="B96" s="125" t="n"/>
      <c r="C96" s="126" t="n"/>
      <c r="D96" s="129" t="n"/>
      <c r="E96" s="127" t="n"/>
    </row>
    <row r="97" ht="15" customHeight="1" s="73">
      <c r="A97" s="124" t="n"/>
      <c r="B97" s="125" t="n"/>
      <c r="C97" s="126" t="n"/>
      <c r="D97" s="129" t="n"/>
      <c r="E97" s="127" t="n"/>
    </row>
    <row r="98" ht="15" customHeight="1" s="73">
      <c r="A98" s="124" t="n"/>
      <c r="B98" s="125" t="n"/>
      <c r="C98" s="126" t="n"/>
      <c r="D98" s="129" t="n"/>
      <c r="E98" s="127" t="n"/>
    </row>
    <row r="99" ht="15" customHeight="1" s="73">
      <c r="A99" s="124" t="n"/>
      <c r="B99" s="125" t="n"/>
      <c r="C99" s="126" t="n"/>
      <c r="D99" s="129" t="n"/>
      <c r="E99" s="127" t="n"/>
    </row>
    <row r="100" ht="15" customHeight="1" s="73">
      <c r="A100" s="124" t="n"/>
      <c r="B100" s="125" t="n"/>
      <c r="C100" s="126" t="n"/>
      <c r="D100" s="129" t="n"/>
      <c r="E100" s="127" t="n"/>
    </row>
    <row r="101" ht="15" customHeight="1" s="73">
      <c r="A101" s="124" t="n"/>
      <c r="B101" s="125" t="n"/>
      <c r="C101" s="126" t="n"/>
      <c r="D101" s="129" t="n"/>
      <c r="E101" s="127" t="n"/>
    </row>
    <row r="102" ht="15" customHeight="1" s="73">
      <c r="A102" s="124" t="n"/>
      <c r="B102" s="125" t="n"/>
      <c r="C102" s="126" t="n"/>
      <c r="D102" s="129" t="n"/>
      <c r="E102" s="127" t="n"/>
    </row>
    <row r="103" ht="15" customHeight="1" s="73">
      <c r="A103" s="124" t="n"/>
      <c r="B103" s="125" t="n"/>
      <c r="C103" s="126" t="n"/>
      <c r="D103" s="129" t="n"/>
      <c r="E103" s="127" t="n"/>
    </row>
    <row r="104" ht="15" customHeight="1" s="73">
      <c r="A104" s="124" t="n"/>
      <c r="B104" s="125" t="n"/>
      <c r="C104" s="126" t="n"/>
      <c r="D104" s="129" t="n"/>
      <c r="E104" s="127" t="n"/>
    </row>
    <row r="105" ht="15" customHeight="1" s="73">
      <c r="A105" s="124" t="n"/>
      <c r="B105" s="125" t="n"/>
      <c r="C105" s="126" t="n"/>
      <c r="D105" s="129" t="n"/>
      <c r="E105" s="127" t="n"/>
    </row>
    <row r="106" ht="15" customHeight="1" s="73">
      <c r="A106" s="124" t="n"/>
      <c r="B106" s="125" t="n"/>
      <c r="C106" s="126" t="n"/>
      <c r="D106" s="129" t="n"/>
      <c r="E106" s="127" t="n"/>
    </row>
    <row r="107" ht="15" customHeight="1" s="73">
      <c r="A107" s="124" t="n"/>
      <c r="B107" s="125" t="n"/>
      <c r="C107" s="126" t="n"/>
      <c r="D107" s="129" t="n"/>
      <c r="E107" s="127" t="n"/>
    </row>
    <row r="108" ht="15" customHeight="1" s="73">
      <c r="A108" s="124" t="n"/>
      <c r="B108" s="125" t="n"/>
      <c r="C108" s="126" t="n"/>
      <c r="D108" s="129" t="n"/>
      <c r="E108" s="127" t="n"/>
    </row>
    <row r="109" ht="15" customHeight="1" s="73">
      <c r="A109" s="124" t="n"/>
      <c r="B109" s="125" t="n"/>
      <c r="C109" s="126" t="n"/>
      <c r="D109" s="129" t="n"/>
      <c r="E109" s="127" t="n"/>
    </row>
    <row r="110" ht="15" customHeight="1" s="73">
      <c r="A110" s="124" t="n"/>
      <c r="B110" s="125" t="n"/>
      <c r="C110" s="126" t="n"/>
      <c r="D110" s="129" t="n"/>
      <c r="E110" s="127" t="n"/>
    </row>
    <row r="111" ht="15" customHeight="1" s="73">
      <c r="A111" s="124" t="n"/>
      <c r="B111" s="125" t="n"/>
      <c r="C111" s="126" t="n"/>
      <c r="D111" s="129" t="n"/>
      <c r="E111" s="127" t="n"/>
    </row>
    <row r="112" ht="15" customHeight="1" s="73">
      <c r="A112" s="124" t="n"/>
      <c r="B112" s="125" t="n"/>
      <c r="C112" s="126" t="n"/>
      <c r="D112" s="129" t="n"/>
      <c r="E112" s="127" t="n"/>
    </row>
    <row r="113" ht="15" customHeight="1" s="73">
      <c r="A113" s="124" t="n"/>
      <c r="B113" s="125" t="n"/>
      <c r="C113" s="126" t="n"/>
      <c r="D113" s="129" t="n"/>
      <c r="E113" s="127" t="n"/>
    </row>
    <row r="114" ht="15" customHeight="1" s="73">
      <c r="A114" s="124" t="n"/>
      <c r="B114" s="125" t="n"/>
      <c r="C114" s="126" t="n"/>
      <c r="D114" s="129" t="n"/>
      <c r="E114" s="127" t="n"/>
    </row>
    <row r="115" ht="15" customHeight="1" s="73">
      <c r="A115" s="124" t="n"/>
      <c r="B115" s="125" t="n"/>
      <c r="C115" s="126" t="n"/>
      <c r="D115" s="129" t="n"/>
      <c r="E115" s="127" t="n"/>
    </row>
    <row r="116" ht="15" customHeight="1" s="73">
      <c r="A116" s="124" t="n"/>
      <c r="B116" s="125" t="n"/>
      <c r="C116" s="126" t="n"/>
      <c r="D116" s="129" t="n"/>
      <c r="E116" s="127" t="n"/>
    </row>
    <row r="117" ht="15" customHeight="1" s="73">
      <c r="A117" s="124" t="n"/>
      <c r="B117" s="125" t="n"/>
      <c r="C117" s="126" t="n"/>
      <c r="D117" s="129" t="n"/>
      <c r="E117" s="127" t="n"/>
    </row>
    <row r="118" ht="15" customHeight="1" s="73">
      <c r="A118" s="124" t="n"/>
      <c r="B118" s="125" t="n"/>
      <c r="C118" s="126" t="n"/>
      <c r="D118" s="129" t="n"/>
      <c r="E118" s="127" t="n"/>
    </row>
    <row r="119" ht="15" customHeight="1" s="73">
      <c r="A119" s="124" t="n"/>
      <c r="B119" s="125" t="n"/>
      <c r="C119" s="126" t="n"/>
      <c r="D119" s="129" t="n"/>
      <c r="E119" s="127" t="n"/>
    </row>
    <row r="120" ht="15" customHeight="1" s="73">
      <c r="A120" s="124" t="n"/>
      <c r="B120" s="125" t="n"/>
      <c r="C120" s="126" t="n"/>
      <c r="D120" s="129" t="n"/>
      <c r="E120" s="127" t="n"/>
    </row>
    <row r="121" ht="15" customHeight="1" s="73">
      <c r="A121" s="124" t="n"/>
      <c r="B121" s="125" t="n"/>
      <c r="C121" s="126" t="n"/>
      <c r="D121" s="129" t="n"/>
      <c r="E121" s="127" t="n"/>
    </row>
    <row r="122" ht="15" customHeight="1" s="73">
      <c r="A122" s="124" t="n"/>
      <c r="B122" s="125" t="n"/>
      <c r="C122" s="126" t="n"/>
      <c r="D122" s="129" t="n"/>
      <c r="E122" s="127" t="n"/>
    </row>
    <row r="123" ht="15" customHeight="1" s="73">
      <c r="A123" s="124" t="n"/>
      <c r="B123" s="125" t="n"/>
      <c r="C123" s="126" t="n"/>
      <c r="D123" s="129" t="n"/>
      <c r="E123" s="127" t="n"/>
    </row>
    <row r="124" ht="15" customHeight="1" s="73">
      <c r="A124" s="124" t="n"/>
      <c r="B124" s="125" t="n"/>
      <c r="C124" s="126" t="n"/>
      <c r="D124" s="129" t="n"/>
      <c r="E124" s="127" t="n"/>
    </row>
    <row r="125" ht="15" customHeight="1" s="73">
      <c r="A125" s="124" t="n"/>
      <c r="B125" s="125" t="n"/>
      <c r="C125" s="126" t="n"/>
      <c r="D125" s="129" t="n"/>
      <c r="E125" s="127" t="n"/>
    </row>
    <row r="126" ht="15" customHeight="1" s="73">
      <c r="A126" s="124" t="n"/>
      <c r="B126" s="125" t="n"/>
      <c r="C126" s="126" t="n"/>
      <c r="D126" s="129" t="n"/>
      <c r="E126" s="127" t="n"/>
    </row>
    <row r="127" ht="15" customHeight="1" s="73">
      <c r="A127" s="124" t="n"/>
      <c r="B127" s="125" t="n"/>
      <c r="C127" s="126" t="n"/>
      <c r="D127" s="129" t="n"/>
      <c r="E127" s="127" t="n"/>
    </row>
    <row r="128" ht="15" customHeight="1" s="73">
      <c r="A128" s="124" t="n"/>
      <c r="B128" s="125" t="n"/>
      <c r="C128" s="126" t="n"/>
      <c r="D128" s="129" t="n"/>
      <c r="E128" s="127" t="n"/>
    </row>
    <row r="129" ht="15" customHeight="1" s="73">
      <c r="A129" s="124" t="n"/>
      <c r="B129" s="125" t="n"/>
      <c r="C129" s="126" t="n"/>
      <c r="D129" s="129" t="n"/>
      <c r="E129" s="127" t="n"/>
    </row>
    <row r="130" ht="15" customHeight="1" s="73">
      <c r="A130" s="124" t="n"/>
      <c r="B130" s="125" t="n"/>
      <c r="C130" s="126" t="n"/>
      <c r="D130" s="129" t="n"/>
      <c r="E130" s="127" t="n"/>
    </row>
    <row r="131" ht="15" customHeight="1" s="73">
      <c r="A131" s="124" t="n"/>
      <c r="B131" s="125" t="n"/>
      <c r="C131" s="126" t="n"/>
      <c r="D131" s="129" t="n"/>
      <c r="E131" s="127" t="n"/>
    </row>
    <row r="132" ht="15" customHeight="1" s="73">
      <c r="A132" s="124" t="n"/>
      <c r="B132" s="125" t="n"/>
      <c r="C132" s="126" t="n"/>
      <c r="D132" s="129" t="n"/>
      <c r="E132" s="127" t="n"/>
    </row>
    <row r="133" ht="15" customHeight="1" s="73">
      <c r="A133" s="124" t="n"/>
      <c r="B133" s="125" t="n"/>
      <c r="C133" s="126" t="n"/>
      <c r="D133" s="129" t="n"/>
      <c r="E133" s="127" t="n"/>
    </row>
    <row r="134" ht="15" customHeight="1" s="73">
      <c r="A134" s="124" t="n"/>
      <c r="B134" s="125" t="n"/>
      <c r="C134" s="126" t="n"/>
      <c r="D134" s="129" t="n"/>
      <c r="E134" s="127" t="n"/>
    </row>
    <row r="135" ht="15" customHeight="1" s="73">
      <c r="A135" s="124" t="n"/>
      <c r="B135" s="125" t="n"/>
      <c r="C135" s="126" t="n"/>
      <c r="D135" s="129" t="n"/>
      <c r="E135" s="127" t="n"/>
    </row>
    <row r="136" ht="15" customHeight="1" s="73">
      <c r="A136" s="124" t="n"/>
      <c r="B136" s="125" t="n"/>
      <c r="C136" s="126" t="n"/>
      <c r="D136" s="129" t="n"/>
      <c r="E136" s="127" t="n"/>
    </row>
    <row r="137" ht="15" customHeight="1" s="73">
      <c r="A137" s="124" t="n"/>
      <c r="B137" s="125" t="n"/>
      <c r="C137" s="126" t="n"/>
      <c r="D137" s="129" t="n"/>
      <c r="E137" s="127" t="n"/>
    </row>
    <row r="138" ht="15" customHeight="1" s="73">
      <c r="A138" s="124" t="n"/>
      <c r="B138" s="125" t="n"/>
      <c r="C138" s="126" t="n"/>
      <c r="D138" s="129" t="n"/>
      <c r="E138" s="127" t="n"/>
    </row>
    <row r="139" ht="15" customHeight="1" s="73">
      <c r="A139" s="124" t="n"/>
      <c r="B139" s="125" t="n"/>
      <c r="C139" s="126" t="n"/>
      <c r="D139" s="129" t="n"/>
      <c r="E139" s="127" t="n"/>
    </row>
    <row r="140" ht="15" customHeight="1" s="73">
      <c r="A140" s="124" t="n"/>
      <c r="B140" s="125" t="n"/>
      <c r="C140" s="126" t="n"/>
      <c r="D140" s="129" t="n"/>
      <c r="E140" s="127" t="n"/>
    </row>
    <row r="141" ht="15" customHeight="1" s="73">
      <c r="A141" s="124" t="n"/>
      <c r="B141" s="125" t="n"/>
      <c r="C141" s="126" t="n"/>
      <c r="D141" s="129" t="n"/>
      <c r="E141" s="127" t="n"/>
    </row>
    <row r="142" ht="15" customHeight="1" s="73">
      <c r="A142" s="124" t="n"/>
      <c r="B142" s="125" t="n"/>
      <c r="C142" s="126" t="n"/>
      <c r="D142" s="129" t="n"/>
      <c r="E142" s="127" t="n"/>
    </row>
    <row r="143" ht="15" customHeight="1" s="73">
      <c r="A143" s="124" t="n"/>
      <c r="B143" s="125" t="n"/>
      <c r="C143" s="126" t="n"/>
      <c r="D143" s="129" t="n"/>
      <c r="E143" s="127" t="n"/>
    </row>
    <row r="144" ht="15" customHeight="1" s="73">
      <c r="A144" s="124" t="n"/>
      <c r="B144" s="125" t="n"/>
      <c r="C144" s="126" t="n"/>
      <c r="D144" s="129" t="n"/>
      <c r="E144" s="127" t="n"/>
    </row>
    <row r="145" ht="15" customHeight="1" s="73">
      <c r="A145" s="124" t="n"/>
      <c r="B145" s="125" t="n"/>
      <c r="C145" s="126" t="n"/>
      <c r="D145" s="129" t="n"/>
      <c r="E145" s="127" t="n"/>
    </row>
    <row r="146" ht="15" customHeight="1" s="73">
      <c r="A146" s="124" t="n"/>
      <c r="B146" s="125" t="n"/>
      <c r="C146" s="126" t="n"/>
      <c r="D146" s="129" t="n"/>
      <c r="E146" s="127" t="n"/>
    </row>
    <row r="147" ht="15" customHeight="1" s="73">
      <c r="A147" s="124" t="n"/>
      <c r="B147" s="125" t="n"/>
      <c r="C147" s="126" t="n"/>
      <c r="D147" s="129" t="n"/>
      <c r="E147" s="127" t="n"/>
    </row>
    <row r="148" ht="15" customHeight="1" s="73">
      <c r="A148" s="124" t="n"/>
      <c r="B148" s="125" t="n"/>
      <c r="C148" s="126" t="n"/>
      <c r="D148" s="129" t="n"/>
      <c r="E148" s="127" t="n"/>
    </row>
    <row r="149" ht="15" customHeight="1" s="73">
      <c r="A149" s="124" t="n"/>
      <c r="B149" s="125" t="n"/>
      <c r="C149" s="126" t="n"/>
      <c r="D149" s="129" t="n"/>
      <c r="E149" s="127" t="n"/>
    </row>
    <row r="150" ht="15" customHeight="1" s="73">
      <c r="A150" s="124" t="n"/>
      <c r="B150" s="125" t="n"/>
      <c r="C150" s="126" t="n"/>
      <c r="D150" s="129" t="n"/>
      <c r="E150" s="127" t="n"/>
    </row>
    <row r="151" ht="15" customHeight="1" s="73">
      <c r="A151" s="124" t="n"/>
      <c r="B151" s="125" t="n"/>
      <c r="C151" s="126" t="n"/>
      <c r="D151" s="129" t="n"/>
      <c r="E151" s="127" t="n"/>
    </row>
    <row r="152" ht="15" customHeight="1" s="73">
      <c r="A152" s="124" t="n"/>
      <c r="B152" s="125" t="n"/>
      <c r="C152" s="126" t="n"/>
      <c r="D152" s="129" t="n"/>
      <c r="E152" s="127" t="n"/>
    </row>
    <row r="153" ht="15" customHeight="1" s="73">
      <c r="A153" s="124" t="n"/>
      <c r="B153" s="125" t="n"/>
      <c r="C153" s="126" t="n"/>
      <c r="D153" s="129" t="n"/>
      <c r="E153" s="127" t="n"/>
    </row>
    <row r="154" ht="15" customHeight="1" s="73">
      <c r="A154" s="124" t="n"/>
      <c r="B154" s="125" t="n"/>
      <c r="C154" s="126" t="n"/>
      <c r="D154" s="129" t="n"/>
      <c r="E154" s="127" t="n"/>
    </row>
    <row r="155" ht="15" customHeight="1" s="73">
      <c r="A155" s="124" t="n"/>
      <c r="B155" s="125" t="n"/>
      <c r="C155" s="126" t="n"/>
      <c r="D155" s="129" t="n"/>
      <c r="E155" s="127" t="n"/>
    </row>
    <row r="156" ht="15" customHeight="1" s="73">
      <c r="A156" s="124" t="n"/>
      <c r="B156" s="125" t="n"/>
      <c r="C156" s="126" t="n"/>
      <c r="D156" s="129" t="n"/>
      <c r="E156" s="127" t="n"/>
    </row>
    <row r="157" ht="15" customHeight="1" s="73">
      <c r="A157" s="124" t="n"/>
      <c r="B157" s="125" t="n"/>
      <c r="C157" s="126" t="n"/>
      <c r="D157" s="129" t="n"/>
      <c r="E157" s="127" t="n"/>
    </row>
    <row r="158" ht="15" customHeight="1" s="73">
      <c r="A158" s="124" t="n"/>
      <c r="B158" s="125" t="n"/>
      <c r="C158" s="126" t="n"/>
      <c r="D158" s="129" t="n"/>
      <c r="E158" s="127" t="n"/>
    </row>
    <row r="159" ht="15" customHeight="1" s="73">
      <c r="A159" s="124" t="n"/>
      <c r="B159" s="125" t="n"/>
      <c r="C159" s="126" t="n"/>
      <c r="D159" s="129" t="n"/>
      <c r="E159" s="127" t="n"/>
    </row>
    <row r="160" ht="15" customHeight="1" s="73">
      <c r="A160" s="124" t="n"/>
      <c r="B160" s="125" t="n"/>
      <c r="C160" s="126" t="n"/>
      <c r="D160" s="129" t="n"/>
      <c r="E160" s="127" t="n"/>
    </row>
    <row r="161" ht="15" customHeight="1" s="73">
      <c r="A161" s="124" t="n"/>
      <c r="B161" s="125" t="n"/>
      <c r="C161" s="126" t="n"/>
      <c r="D161" s="129" t="n"/>
      <c r="E161" s="127" t="n"/>
    </row>
    <row r="162" ht="15" customHeight="1" s="73">
      <c r="A162" s="124" t="n"/>
      <c r="B162" s="125" t="n"/>
      <c r="C162" s="126" t="n"/>
      <c r="D162" s="129" t="n"/>
      <c r="E162" s="127" t="n"/>
    </row>
    <row r="163" ht="15" customHeight="1" s="73">
      <c r="A163" s="124" t="n"/>
      <c r="B163" s="125" t="n"/>
      <c r="C163" s="126" t="n"/>
      <c r="D163" s="129" t="n"/>
      <c r="E163" s="127" t="n"/>
    </row>
    <row r="164" ht="15" customHeight="1" s="73">
      <c r="A164" s="124" t="n"/>
      <c r="B164" s="125" t="n"/>
      <c r="C164" s="126" t="n"/>
      <c r="D164" s="129" t="n"/>
      <c r="E164" s="127" t="n"/>
    </row>
    <row r="165" ht="15" customHeight="1" s="73">
      <c r="A165" s="124" t="n"/>
      <c r="B165" s="125" t="n"/>
      <c r="C165" s="126" t="n"/>
      <c r="D165" s="129" t="n"/>
      <c r="E165" s="127" t="n"/>
    </row>
    <row r="166" ht="15" customHeight="1" s="73">
      <c r="A166" s="124" t="n"/>
      <c r="B166" s="125" t="n"/>
      <c r="C166" s="126" t="n"/>
      <c r="D166" s="129" t="n"/>
      <c r="E166" s="127" t="n"/>
    </row>
    <row r="167" ht="15" customHeight="1" s="73">
      <c r="A167" s="124" t="n"/>
      <c r="B167" s="125" t="n"/>
      <c r="C167" s="126" t="n"/>
      <c r="D167" s="129" t="n"/>
      <c r="E167" s="127" t="n"/>
    </row>
    <row r="168" ht="15" customHeight="1" s="73">
      <c r="A168" s="124" t="n"/>
      <c r="B168" s="125" t="n"/>
      <c r="C168" s="126" t="n"/>
      <c r="D168" s="129" t="n"/>
      <c r="E168" s="127" t="n"/>
    </row>
    <row r="169" ht="15" customHeight="1" s="73">
      <c r="A169" s="124" t="n"/>
      <c r="B169" s="125" t="n"/>
      <c r="C169" s="126" t="n"/>
      <c r="D169" s="129" t="n"/>
      <c r="E169" s="127" t="n"/>
    </row>
    <row r="170" ht="15" customHeight="1" s="73">
      <c r="A170" s="124" t="n"/>
      <c r="B170" s="125" t="n"/>
      <c r="C170" s="126" t="n"/>
      <c r="D170" s="129" t="n"/>
      <c r="E170" s="127" t="n"/>
    </row>
    <row r="171" ht="15" customHeight="1" s="73">
      <c r="A171" s="124" t="n"/>
      <c r="B171" s="125" t="n"/>
      <c r="C171" s="126" t="n"/>
      <c r="D171" s="129" t="n"/>
      <c r="E171" s="127" t="n"/>
    </row>
    <row r="172" ht="15" customHeight="1" s="73">
      <c r="A172" s="124" t="n"/>
      <c r="B172" s="125" t="n"/>
      <c r="C172" s="126" t="n"/>
      <c r="D172" s="129" t="n"/>
      <c r="E172" s="127" t="n"/>
    </row>
    <row r="173" ht="15" customHeight="1" s="73">
      <c r="A173" s="124" t="n"/>
      <c r="B173" s="125" t="n"/>
      <c r="C173" s="126" t="n"/>
      <c r="D173" s="129" t="n"/>
      <c r="E173" s="127" t="n"/>
    </row>
    <row r="174" ht="15" customHeight="1" s="73">
      <c r="A174" s="124" t="n"/>
      <c r="B174" s="125" t="n"/>
      <c r="C174" s="126" t="n"/>
      <c r="D174" s="129" t="n"/>
      <c r="E174" s="127" t="n"/>
    </row>
    <row r="175" ht="15" customHeight="1" s="73">
      <c r="A175" s="124" t="n"/>
      <c r="B175" s="125" t="n"/>
      <c r="C175" s="126" t="n"/>
      <c r="D175" s="129" t="n"/>
      <c r="E175" s="127" t="n"/>
    </row>
    <row r="176" ht="15" customHeight="1" s="73">
      <c r="A176" s="124" t="n"/>
      <c r="B176" s="125" t="n"/>
      <c r="C176" s="126" t="n"/>
      <c r="D176" s="129" t="n"/>
      <c r="E176" s="127" t="n"/>
    </row>
    <row r="177" ht="15" customHeight="1" s="73">
      <c r="A177" s="124" t="n"/>
      <c r="B177" s="125" t="n"/>
      <c r="C177" s="126" t="n"/>
      <c r="D177" s="129" t="n"/>
      <c r="E177" s="127" t="n"/>
    </row>
    <row r="178" ht="15" customHeight="1" s="73">
      <c r="A178" s="124" t="n"/>
      <c r="B178" s="125" t="n"/>
      <c r="C178" s="126" t="n"/>
      <c r="D178" s="129" t="n"/>
      <c r="E178" s="127" t="n"/>
    </row>
    <row r="179" ht="15" customHeight="1" s="73">
      <c r="A179" s="124" t="n"/>
      <c r="B179" s="125" t="n"/>
      <c r="C179" s="126" t="n"/>
      <c r="D179" s="129" t="n"/>
      <c r="E179" s="127" t="n"/>
    </row>
    <row r="180" ht="15" customHeight="1" s="73">
      <c r="A180" s="124" t="n"/>
      <c r="B180" s="125" t="n"/>
      <c r="C180" s="126" t="n"/>
      <c r="D180" s="129" t="n"/>
      <c r="E180" s="127" t="n"/>
    </row>
    <row r="181" ht="15" customHeight="1" s="73">
      <c r="A181" s="124" t="n"/>
      <c r="B181" s="125" t="n"/>
      <c r="C181" s="126" t="n"/>
      <c r="D181" s="129" t="n"/>
      <c r="E181" s="127" t="n"/>
    </row>
    <row r="182" ht="15" customHeight="1" s="73">
      <c r="A182" s="124" t="n"/>
      <c r="B182" s="125" t="n"/>
      <c r="C182" s="126" t="n"/>
      <c r="D182" s="129" t="n"/>
      <c r="E182" s="127" t="n"/>
    </row>
    <row r="183" ht="15" customHeight="1" s="73">
      <c r="A183" s="124" t="n"/>
      <c r="B183" s="125" t="n"/>
      <c r="C183" s="126" t="n"/>
      <c r="D183" s="129" t="n"/>
      <c r="E183" s="127" t="n"/>
    </row>
    <row r="184" ht="15" customHeight="1" s="73">
      <c r="A184" s="124" t="n"/>
      <c r="B184" s="125" t="n"/>
      <c r="C184" s="126" t="n"/>
      <c r="D184" s="129" t="n"/>
      <c r="E184" s="127" t="n"/>
    </row>
    <row r="185" ht="15" customHeight="1" s="73">
      <c r="A185" s="124" t="n"/>
      <c r="B185" s="125" t="n"/>
      <c r="C185" s="126" t="n"/>
      <c r="D185" s="129" t="n"/>
      <c r="E185" s="127" t="n"/>
    </row>
    <row r="186" ht="15" customHeight="1" s="73">
      <c r="A186" s="124" t="n"/>
      <c r="B186" s="125" t="n"/>
      <c r="C186" s="126" t="n"/>
      <c r="D186" s="129" t="n"/>
      <c r="E186" s="127" t="n"/>
    </row>
    <row r="187" ht="15" customHeight="1" s="73">
      <c r="A187" s="124" t="n"/>
      <c r="B187" s="125" t="n"/>
      <c r="C187" s="126" t="n"/>
      <c r="D187" s="129" t="n"/>
      <c r="E187" s="127" t="n"/>
    </row>
    <row r="188" ht="15" customHeight="1" s="73">
      <c r="A188" s="124" t="n"/>
      <c r="B188" s="125" t="n"/>
      <c r="C188" s="126" t="n"/>
      <c r="D188" s="129" t="n"/>
      <c r="E188" s="127" t="n"/>
    </row>
    <row r="189" ht="15" customHeight="1" s="73">
      <c r="A189" s="124" t="n"/>
      <c r="B189" s="125" t="n"/>
      <c r="C189" s="126" t="n"/>
      <c r="D189" s="129" t="n"/>
      <c r="E189" s="127" t="n"/>
    </row>
    <row r="190" ht="15" customHeight="1" s="73">
      <c r="A190" s="124" t="n"/>
      <c r="B190" s="125" t="n"/>
      <c r="C190" s="126" t="n"/>
      <c r="D190" s="129" t="n"/>
      <c r="E190" s="127" t="n"/>
    </row>
    <row r="191" ht="15" customHeight="1" s="73">
      <c r="A191" s="124" t="n"/>
      <c r="B191" s="125" t="n"/>
      <c r="C191" s="126" t="n"/>
      <c r="D191" s="129" t="n"/>
      <c r="E191" s="127" t="n"/>
    </row>
    <row r="192" ht="15" customHeight="1" s="73">
      <c r="A192" s="124" t="n"/>
      <c r="B192" s="125" t="n"/>
      <c r="C192" s="126" t="n"/>
      <c r="D192" s="129" t="n"/>
      <c r="E192" s="127" t="n"/>
    </row>
    <row r="193" ht="15" customHeight="1" s="73">
      <c r="A193" s="124" t="n"/>
      <c r="B193" s="125" t="n"/>
      <c r="C193" s="126" t="n"/>
      <c r="D193" s="129" t="n"/>
      <c r="E193" s="127" t="n"/>
    </row>
    <row r="194" ht="15" customHeight="1" s="73">
      <c r="A194" s="124" t="n"/>
      <c r="B194" s="125" t="n"/>
      <c r="C194" s="126" t="n"/>
      <c r="D194" s="129" t="n"/>
      <c r="E194" s="127" t="n"/>
    </row>
    <row r="195" ht="15" customHeight="1" s="73">
      <c r="A195" s="124" t="n"/>
      <c r="B195" s="125" t="n"/>
      <c r="C195" s="126" t="n"/>
      <c r="D195" s="129" t="n"/>
      <c r="E195" s="127" t="n"/>
    </row>
    <row r="196" ht="15" customHeight="1" s="73">
      <c r="A196" s="124" t="n"/>
      <c r="B196" s="125" t="n"/>
      <c r="C196" s="126" t="n"/>
      <c r="D196" s="129" t="n"/>
      <c r="E196" s="127" t="n"/>
    </row>
    <row r="197" ht="15" customHeight="1" s="73">
      <c r="A197" s="124" t="n"/>
      <c r="B197" s="125" t="n"/>
      <c r="C197" s="126" t="n"/>
      <c r="D197" s="129" t="n"/>
      <c r="E197" s="127" t="n"/>
    </row>
    <row r="198" ht="15" customHeight="1" s="73">
      <c r="A198" s="124" t="n"/>
      <c r="B198" s="125" t="n"/>
      <c r="C198" s="126" t="n"/>
      <c r="D198" s="129" t="n"/>
      <c r="E198" s="127" t="n"/>
    </row>
    <row r="199" ht="15" customHeight="1" s="73">
      <c r="A199" s="124" t="n"/>
      <c r="B199" s="125" t="n"/>
      <c r="C199" s="126" t="n"/>
      <c r="D199" s="129" t="n"/>
      <c r="E199" s="127" t="n"/>
    </row>
    <row r="200" ht="15" customHeight="1" s="73">
      <c r="A200" s="124" t="n"/>
      <c r="B200" s="125" t="n"/>
      <c r="C200" s="126" t="n"/>
      <c r="D200" s="129" t="n"/>
      <c r="E200" s="127" t="n"/>
    </row>
    <row r="201" ht="15" customHeight="1" s="73">
      <c r="A201" s="124" t="n"/>
      <c r="B201" s="125" t="n"/>
      <c r="C201" s="126" t="n"/>
      <c r="D201" s="129" t="n"/>
      <c r="E201" s="127" t="n"/>
    </row>
    <row r="202" ht="15" customHeight="1" s="73">
      <c r="A202" s="124" t="n"/>
      <c r="B202" s="125" t="n"/>
      <c r="C202" s="126" t="n"/>
      <c r="D202" s="129" t="n"/>
      <c r="E202" s="127" t="n"/>
    </row>
    <row r="203" ht="15" customHeight="1" s="73">
      <c r="A203" s="124" t="n"/>
      <c r="B203" s="125" t="n"/>
      <c r="C203" s="126" t="n"/>
      <c r="D203" s="129" t="n"/>
      <c r="E203" s="127" t="n"/>
    </row>
    <row r="204" ht="15" customHeight="1" s="73">
      <c r="A204" s="124" t="n"/>
      <c r="B204" s="125" t="n"/>
      <c r="C204" s="126" t="n"/>
      <c r="D204" s="129" t="n"/>
      <c r="E204" s="127" t="n"/>
    </row>
    <row r="205" ht="15" customHeight="1" s="73">
      <c r="A205" s="124" t="n"/>
      <c r="B205" s="125" t="n"/>
      <c r="C205" s="126" t="n"/>
      <c r="D205" s="129" t="n"/>
      <c r="E205" s="127" t="n"/>
    </row>
    <row r="206" ht="15" customHeight="1" s="73">
      <c r="A206" s="124" t="n"/>
      <c r="B206" s="125" t="n"/>
      <c r="C206" s="126" t="n"/>
      <c r="D206" s="129" t="n"/>
      <c r="E206" s="127" t="n"/>
    </row>
    <row r="207" ht="15" customHeight="1" s="73">
      <c r="A207" s="124" t="n"/>
      <c r="B207" s="125" t="n"/>
      <c r="C207" s="126" t="n"/>
      <c r="D207" s="129" t="n"/>
      <c r="E207" s="127" t="n"/>
    </row>
    <row r="208" ht="15" customHeight="1" s="73">
      <c r="A208" s="124" t="n"/>
      <c r="B208" s="125" t="n"/>
      <c r="C208" s="126" t="n"/>
      <c r="D208" s="129" t="n"/>
      <c r="E208" s="127" t="n"/>
    </row>
    <row r="209" ht="15" customHeight="1" s="73">
      <c r="A209" s="124" t="n"/>
      <c r="B209" s="125" t="n"/>
      <c r="C209" s="126" t="n"/>
      <c r="D209" s="129" t="n"/>
      <c r="E209" s="127" t="n"/>
    </row>
    <row r="210" ht="15" customHeight="1" s="73">
      <c r="A210" s="124" t="n"/>
      <c r="B210" s="125" t="n"/>
      <c r="C210" s="126" t="n"/>
      <c r="D210" s="129" t="n"/>
      <c r="E210" s="127" t="n"/>
    </row>
    <row r="211" ht="15" customHeight="1" s="73">
      <c r="A211" s="124" t="n"/>
      <c r="B211" s="125" t="n"/>
      <c r="C211" s="126" t="n"/>
      <c r="D211" s="129" t="n"/>
      <c r="E211" s="127" t="n"/>
    </row>
    <row r="212" ht="15" customHeight="1" s="73">
      <c r="A212" s="124" t="n"/>
      <c r="B212" s="125" t="n"/>
      <c r="C212" s="126" t="n"/>
      <c r="D212" s="129" t="n"/>
      <c r="E212" s="127" t="n"/>
    </row>
    <row r="213" ht="15" customHeight="1" s="73">
      <c r="A213" s="124" t="n"/>
      <c r="B213" s="125" t="n"/>
      <c r="C213" s="126" t="n"/>
      <c r="D213" s="129" t="n"/>
      <c r="E213" s="127" t="n"/>
    </row>
    <row r="214" ht="15" customHeight="1" s="73">
      <c r="A214" s="124" t="n"/>
      <c r="B214" s="125" t="n"/>
      <c r="C214" s="126" t="n"/>
      <c r="D214" s="129" t="n"/>
      <c r="E214" s="127" t="n"/>
    </row>
    <row r="215" ht="15" customHeight="1" s="73">
      <c r="A215" s="124" t="n"/>
      <c r="B215" s="125" t="n"/>
      <c r="C215" s="126" t="n"/>
      <c r="D215" s="129" t="n"/>
      <c r="E215" s="127" t="n"/>
    </row>
    <row r="216" ht="15" customHeight="1" s="73">
      <c r="A216" s="124" t="n"/>
      <c r="B216" s="125" t="n"/>
      <c r="C216" s="126" t="n"/>
      <c r="D216" s="129" t="n"/>
      <c r="E216" s="127" t="n"/>
    </row>
    <row r="217" ht="15" customHeight="1" s="73">
      <c r="A217" s="124" t="n"/>
      <c r="B217" s="125" t="n"/>
      <c r="C217" s="126" t="n"/>
      <c r="D217" s="129" t="n"/>
      <c r="E217" s="127" t="n"/>
    </row>
    <row r="218" ht="15" customHeight="1" s="73">
      <c r="A218" s="124" t="n"/>
      <c r="B218" s="125" t="n"/>
      <c r="C218" s="126" t="n"/>
      <c r="D218" s="129" t="n"/>
      <c r="E218" s="127" t="n"/>
    </row>
    <row r="219" ht="15" customHeight="1" s="73">
      <c r="A219" s="124" t="n"/>
      <c r="B219" s="125" t="n"/>
      <c r="C219" s="126" t="n"/>
      <c r="D219" s="129" t="n"/>
      <c r="E219" s="127" t="n"/>
    </row>
    <row r="220" ht="15" customHeight="1" s="73">
      <c r="A220" s="124" t="n"/>
      <c r="B220" s="125" t="n"/>
      <c r="C220" s="126" t="n"/>
      <c r="D220" s="129" t="n"/>
      <c r="E220" s="127" t="n"/>
    </row>
    <row r="221" ht="15" customHeight="1" s="73">
      <c r="A221" s="124" t="n"/>
      <c r="B221" s="125" t="n"/>
      <c r="C221" s="126" t="n"/>
      <c r="D221" s="129" t="n"/>
      <c r="E221" s="127" t="n"/>
    </row>
    <row r="222" ht="15" customHeight="1" s="73">
      <c r="A222" s="124" t="n"/>
      <c r="B222" s="125" t="n"/>
      <c r="C222" s="126" t="n"/>
      <c r="D222" s="129" t="n"/>
      <c r="E222" s="127" t="n"/>
    </row>
    <row r="223" ht="15" customHeight="1" s="73">
      <c r="A223" s="124" t="n"/>
      <c r="B223" s="125" t="n"/>
      <c r="C223" s="126" t="n"/>
      <c r="D223" s="129" t="n"/>
      <c r="E223" s="127" t="n"/>
    </row>
    <row r="224" ht="15" customHeight="1" s="73">
      <c r="A224" s="124" t="n"/>
      <c r="B224" s="125" t="n"/>
      <c r="C224" s="126" t="n"/>
      <c r="D224" s="129" t="n"/>
      <c r="E224" s="127" t="n"/>
    </row>
    <row r="225" ht="15" customHeight="1" s="73">
      <c r="A225" s="124" t="n"/>
      <c r="B225" s="125" t="n"/>
      <c r="C225" s="126" t="n"/>
      <c r="D225" s="129" t="n"/>
      <c r="E225" s="127" t="n"/>
    </row>
    <row r="226" ht="15" customHeight="1" s="73">
      <c r="A226" s="124" t="n"/>
      <c r="B226" s="125" t="n"/>
      <c r="C226" s="126" t="n"/>
      <c r="D226" s="129" t="n"/>
      <c r="E226" s="127" t="n"/>
    </row>
    <row r="227" ht="15" customHeight="1" s="73">
      <c r="A227" s="124" t="n"/>
      <c r="B227" s="125" t="n"/>
      <c r="C227" s="126" t="n"/>
      <c r="D227" s="129" t="n"/>
      <c r="E227" s="127" t="n"/>
    </row>
    <row r="228" ht="15" customHeight="1" s="73">
      <c r="A228" s="124" t="n"/>
      <c r="B228" s="125" t="n"/>
      <c r="C228" s="126" t="n"/>
      <c r="D228" s="129" t="n"/>
      <c r="E228" s="127" t="n"/>
    </row>
    <row r="229" ht="15" customHeight="1" s="73">
      <c r="A229" s="124" t="n"/>
      <c r="B229" s="125" t="n"/>
      <c r="C229" s="126" t="n"/>
      <c r="D229" s="129" t="n"/>
      <c r="E229" s="127" t="n"/>
    </row>
    <row r="230" ht="15" customHeight="1" s="73">
      <c r="A230" s="124" t="n"/>
      <c r="B230" s="125" t="n"/>
      <c r="C230" s="126" t="n"/>
      <c r="D230" s="129" t="n"/>
      <c r="E230" s="127" t="n"/>
    </row>
    <row r="231" ht="15" customHeight="1" s="73">
      <c r="A231" s="124" t="n"/>
      <c r="B231" s="125" t="n"/>
      <c r="C231" s="126" t="n"/>
      <c r="D231" s="129" t="n"/>
      <c r="E231" s="127" t="n"/>
    </row>
    <row r="232" ht="15" customHeight="1" s="73">
      <c r="A232" s="124" t="n"/>
      <c r="B232" s="125" t="n"/>
      <c r="C232" s="126" t="n"/>
      <c r="D232" s="129" t="n"/>
      <c r="E232" s="127" t="n"/>
    </row>
    <row r="233" ht="15" customHeight="1" s="73">
      <c r="A233" s="124" t="n"/>
      <c r="B233" s="125" t="n"/>
      <c r="C233" s="126" t="n"/>
      <c r="D233" s="129" t="n"/>
      <c r="E233" s="127" t="n"/>
    </row>
    <row r="234" ht="15" customHeight="1" s="73">
      <c r="A234" s="124" t="n"/>
      <c r="B234" s="125" t="n"/>
      <c r="C234" s="126" t="n"/>
      <c r="D234" s="129" t="n"/>
      <c r="E234" s="127" t="n"/>
    </row>
    <row r="235" ht="15" customHeight="1" s="73">
      <c r="A235" s="124" t="n"/>
      <c r="B235" s="125" t="n"/>
      <c r="C235" s="126" t="n"/>
      <c r="D235" s="129" t="n"/>
      <c r="E235" s="127" t="n"/>
    </row>
    <row r="236" ht="15" customHeight="1" s="73">
      <c r="A236" s="124" t="n"/>
      <c r="B236" s="125" t="n"/>
      <c r="C236" s="126" t="n"/>
      <c r="D236" s="129" t="n"/>
      <c r="E236" s="127" t="n"/>
    </row>
    <row r="237" ht="15" customHeight="1" s="73">
      <c r="A237" s="124" t="n"/>
      <c r="B237" s="125" t="n"/>
      <c r="C237" s="126" t="n"/>
      <c r="D237" s="129" t="n"/>
      <c r="E237" s="127" t="n"/>
    </row>
    <row r="238" ht="15" customHeight="1" s="73">
      <c r="A238" s="124" t="n"/>
      <c r="B238" s="125" t="n"/>
      <c r="C238" s="126" t="n"/>
      <c r="D238" s="129" t="n"/>
      <c r="E238" s="127" t="n"/>
    </row>
    <row r="239" ht="15" customHeight="1" s="73">
      <c r="A239" s="124" t="n"/>
      <c r="B239" s="125" t="n"/>
      <c r="C239" s="126" t="n"/>
      <c r="D239" s="129" t="n"/>
      <c r="E239" s="127" t="n"/>
    </row>
    <row r="240" ht="15" customHeight="1" s="73">
      <c r="A240" s="124" t="n"/>
      <c r="B240" s="125" t="n"/>
      <c r="C240" s="126" t="n"/>
      <c r="D240" s="129" t="n"/>
      <c r="E240" s="127" t="n"/>
    </row>
    <row r="241" ht="15" customHeight="1" s="73">
      <c r="A241" s="124" t="n"/>
      <c r="B241" s="125" t="n"/>
      <c r="C241" s="126" t="n"/>
      <c r="D241" s="129" t="n"/>
      <c r="E241" s="127" t="n"/>
    </row>
    <row r="242" ht="15" customHeight="1" s="73">
      <c r="A242" s="124" t="n"/>
      <c r="B242" s="125" t="n"/>
      <c r="C242" s="126" t="n"/>
      <c r="D242" s="129" t="n"/>
      <c r="E242" s="127" t="n"/>
    </row>
    <row r="243" ht="15" customHeight="1" s="73">
      <c r="A243" s="124" t="n"/>
      <c r="B243" s="125" t="n"/>
      <c r="C243" s="126" t="n"/>
      <c r="D243" s="129" t="n"/>
      <c r="E243" s="127" t="n"/>
    </row>
    <row r="244" ht="15" customHeight="1" s="73">
      <c r="A244" s="124" t="n"/>
      <c r="B244" s="125" t="n"/>
      <c r="C244" s="126" t="n"/>
      <c r="D244" s="129" t="n"/>
      <c r="E244" s="127" t="n"/>
    </row>
    <row r="245" ht="15" customHeight="1" s="73">
      <c r="A245" s="124" t="n"/>
      <c r="B245" s="125" t="n"/>
      <c r="C245" s="126" t="n"/>
      <c r="D245" s="129" t="n"/>
      <c r="E245" s="127" t="n"/>
    </row>
    <row r="246" ht="15" customHeight="1" s="73">
      <c r="A246" s="124" t="n"/>
      <c r="B246" s="125" t="n"/>
      <c r="C246" s="126" t="n"/>
      <c r="D246" s="129" t="n"/>
      <c r="E246" s="127" t="n"/>
    </row>
    <row r="247" ht="15" customHeight="1" s="73">
      <c r="A247" s="124" t="n"/>
      <c r="B247" s="125" t="n"/>
      <c r="C247" s="126" t="n"/>
      <c r="D247" s="129" t="n"/>
      <c r="E247" s="127" t="n"/>
    </row>
    <row r="248" ht="15" customHeight="1" s="73">
      <c r="A248" s="124" t="n"/>
      <c r="B248" s="125" t="n"/>
      <c r="C248" s="126" t="n"/>
      <c r="D248" s="129" t="n"/>
      <c r="E248" s="127" t="n"/>
    </row>
    <row r="249" ht="15" customHeight="1" s="73">
      <c r="A249" s="124" t="n"/>
      <c r="B249" s="125" t="n"/>
      <c r="C249" s="126" t="n"/>
      <c r="D249" s="129" t="n"/>
      <c r="E249" s="127" t="n"/>
    </row>
    <row r="250" ht="15" customHeight="1" s="73">
      <c r="A250" s="124" t="n"/>
      <c r="B250" s="125" t="n"/>
      <c r="C250" s="126" t="n"/>
      <c r="D250" s="129" t="n"/>
      <c r="E250" s="127" t="n"/>
    </row>
    <row r="251" ht="15" customHeight="1" s="73">
      <c r="A251" s="124" t="n"/>
      <c r="B251" s="125" t="n"/>
      <c r="C251" s="126" t="n"/>
      <c r="D251" s="129" t="n"/>
      <c r="E251" s="127" t="n"/>
    </row>
    <row r="252" ht="15" customHeight="1" s="73">
      <c r="A252" s="124" t="n"/>
      <c r="B252" s="125" t="n"/>
      <c r="C252" s="126" t="n"/>
      <c r="D252" s="129" t="n"/>
      <c r="E252" s="127" t="n"/>
    </row>
    <row r="253" ht="15" customHeight="1" s="73">
      <c r="A253" s="124" t="n"/>
      <c r="B253" s="125" t="n"/>
      <c r="C253" s="126" t="n"/>
      <c r="D253" s="129" t="n"/>
      <c r="E253" s="127" t="n"/>
    </row>
    <row r="254" ht="15" customHeight="1" s="73">
      <c r="A254" s="124" t="n"/>
      <c r="B254" s="125" t="n"/>
      <c r="C254" s="126" t="n"/>
      <c r="D254" s="129" t="n"/>
      <c r="E254" s="127" t="n"/>
    </row>
    <row r="255" ht="15" customHeight="1" s="73">
      <c r="A255" s="124" t="n"/>
      <c r="B255" s="125" t="n"/>
      <c r="C255" s="126" t="n"/>
      <c r="D255" s="129" t="n"/>
      <c r="E255" s="127" t="n"/>
    </row>
    <row r="256" ht="15" customHeight="1" s="73">
      <c r="A256" s="124" t="n"/>
      <c r="B256" s="125" t="n"/>
      <c r="C256" s="126" t="n"/>
      <c r="D256" s="129" t="n"/>
      <c r="E256" s="127" t="n"/>
    </row>
    <row r="257" ht="15" customHeight="1" s="73">
      <c r="A257" s="124" t="n"/>
      <c r="B257" s="125" t="n"/>
      <c r="C257" s="126" t="n"/>
      <c r="D257" s="129" t="n"/>
      <c r="E257" s="127" t="n"/>
    </row>
    <row r="258" ht="15" customHeight="1" s="73">
      <c r="A258" s="124" t="n"/>
      <c r="B258" s="125" t="n"/>
      <c r="C258" s="126" t="n"/>
      <c r="D258" s="129" t="n"/>
      <c r="E258" s="127" t="n"/>
    </row>
    <row r="259" ht="15" customHeight="1" s="73">
      <c r="A259" s="124" t="n"/>
      <c r="B259" s="125" t="n"/>
      <c r="C259" s="126" t="n"/>
      <c r="D259" s="129" t="n"/>
      <c r="E259" s="127" t="n"/>
    </row>
    <row r="260" ht="15" customHeight="1" s="73">
      <c r="A260" s="124" t="n"/>
      <c r="B260" s="125" t="n"/>
      <c r="C260" s="126" t="n"/>
      <c r="D260" s="129" t="n"/>
      <c r="E260" s="127" t="n"/>
    </row>
    <row r="261" ht="15" customHeight="1" s="73">
      <c r="A261" s="124" t="n"/>
      <c r="B261" s="125" t="n"/>
      <c r="C261" s="126" t="n"/>
      <c r="D261" s="129" t="n"/>
      <c r="E261" s="127" t="n"/>
    </row>
    <row r="262" ht="15" customHeight="1" s="73">
      <c r="A262" s="124" t="n"/>
      <c r="B262" s="125" t="n"/>
      <c r="C262" s="126" t="n"/>
      <c r="D262" s="129" t="n"/>
      <c r="E262" s="127" t="n"/>
    </row>
    <row r="263" ht="15" customHeight="1" s="73">
      <c r="A263" s="124" t="n"/>
      <c r="B263" s="125" t="n"/>
      <c r="C263" s="126" t="n"/>
      <c r="D263" s="129" t="n"/>
      <c r="E263" s="127" t="n"/>
    </row>
    <row r="264" ht="15" customHeight="1" s="73">
      <c r="A264" s="124" t="n"/>
      <c r="B264" s="125" t="n"/>
      <c r="C264" s="126" t="n"/>
      <c r="D264" s="129" t="n"/>
      <c r="E264" s="127" t="n"/>
    </row>
    <row r="265" ht="15" customHeight="1" s="73">
      <c r="A265" s="124" t="n"/>
      <c r="B265" s="125" t="n"/>
      <c r="C265" s="126" t="n"/>
      <c r="D265" s="129" t="n"/>
      <c r="E265" s="127" t="n"/>
    </row>
    <row r="266" ht="15" customHeight="1" s="73">
      <c r="A266" s="124" t="n"/>
      <c r="B266" s="125" t="n"/>
      <c r="C266" s="126" t="n"/>
      <c r="D266" s="129" t="n"/>
      <c r="E266" s="127" t="n"/>
    </row>
    <row r="267" ht="15" customHeight="1" s="73">
      <c r="A267" s="124" t="n"/>
      <c r="B267" s="125" t="n"/>
      <c r="C267" s="126" t="n"/>
      <c r="D267" s="129" t="n"/>
      <c r="E267" s="127" t="n"/>
    </row>
    <row r="268" ht="15" customHeight="1" s="73">
      <c r="A268" s="124" t="n"/>
      <c r="B268" s="125" t="n"/>
      <c r="C268" s="126" t="n"/>
      <c r="D268" s="129" t="n"/>
      <c r="E268" s="127" t="n"/>
    </row>
    <row r="269" ht="15" customHeight="1" s="73">
      <c r="A269" s="124" t="n"/>
      <c r="B269" s="125" t="n"/>
      <c r="C269" s="126" t="n"/>
      <c r="D269" s="129" t="n"/>
      <c r="E269" s="127" t="n"/>
    </row>
    <row r="270" ht="15" customHeight="1" s="73">
      <c r="A270" s="124" t="n"/>
      <c r="B270" s="125" t="n"/>
      <c r="C270" s="126" t="n"/>
      <c r="D270" s="129" t="n"/>
      <c r="E270" s="127" t="n"/>
    </row>
    <row r="271" ht="15" customHeight="1" s="73">
      <c r="A271" s="124" t="n"/>
      <c r="B271" s="125" t="n"/>
      <c r="C271" s="126" t="n"/>
      <c r="D271" s="129" t="n"/>
      <c r="E271" s="127" t="n"/>
    </row>
    <row r="272" ht="15" customHeight="1" s="73">
      <c r="A272" s="124" t="n"/>
      <c r="B272" s="125" t="n"/>
      <c r="C272" s="126" t="n"/>
      <c r="D272" s="129" t="n"/>
      <c r="E272" s="127" t="n"/>
    </row>
    <row r="273" ht="15" customHeight="1" s="73">
      <c r="A273" s="124" t="n"/>
      <c r="B273" s="125" t="n"/>
      <c r="C273" s="126" t="n"/>
      <c r="D273" s="129" t="n"/>
      <c r="E273" s="127" t="n"/>
    </row>
    <row r="274" ht="15" customHeight="1" s="73">
      <c r="A274" s="124" t="n"/>
      <c r="B274" s="125" t="n"/>
      <c r="C274" s="126" t="n"/>
      <c r="D274" s="129" t="n"/>
      <c r="E274" s="127" t="n"/>
    </row>
    <row r="275" ht="15" customHeight="1" s="73">
      <c r="A275" s="124" t="n"/>
      <c r="B275" s="125" t="n"/>
      <c r="C275" s="126" t="n"/>
      <c r="D275" s="129" t="n"/>
      <c r="E275" s="127" t="n"/>
    </row>
    <row r="276" ht="15" customHeight="1" s="73">
      <c r="A276" s="124" t="n"/>
      <c r="B276" s="125" t="n"/>
      <c r="C276" s="126" t="n"/>
      <c r="D276" s="129" t="n"/>
      <c r="E276" s="127" t="n"/>
    </row>
    <row r="277" ht="15" customHeight="1" s="73">
      <c r="A277" s="124" t="n"/>
      <c r="B277" s="125" t="n"/>
      <c r="C277" s="126" t="n"/>
      <c r="D277" s="129" t="n"/>
      <c r="E277" s="127" t="n"/>
    </row>
    <row r="278" ht="15" customHeight="1" s="73">
      <c r="A278" s="124" t="n"/>
      <c r="B278" s="125" t="n"/>
      <c r="C278" s="126" t="n"/>
      <c r="D278" s="129" t="n"/>
      <c r="E278" s="127" t="n"/>
    </row>
    <row r="279" ht="15" customHeight="1" s="73">
      <c r="A279" s="124" t="n"/>
      <c r="B279" s="125" t="n"/>
      <c r="C279" s="126" t="n"/>
      <c r="D279" s="129" t="n"/>
      <c r="E279" s="127" t="n"/>
    </row>
    <row r="280" ht="15" customHeight="1" s="73">
      <c r="A280" s="124" t="n"/>
      <c r="B280" s="125" t="n"/>
      <c r="C280" s="126" t="n"/>
      <c r="D280" s="129" t="n"/>
      <c r="E280" s="127" t="n"/>
    </row>
    <row r="281" ht="15" customHeight="1" s="73">
      <c r="A281" s="124" t="n"/>
      <c r="B281" s="125" t="n"/>
      <c r="C281" s="126" t="n"/>
      <c r="D281" s="129" t="n"/>
      <c r="E281" s="127" t="n"/>
    </row>
    <row r="282" ht="15" customHeight="1" s="73">
      <c r="A282" s="124" t="n"/>
      <c r="B282" s="125" t="n"/>
      <c r="C282" s="126" t="n"/>
      <c r="D282" s="129" t="n"/>
      <c r="E282" s="127" t="n"/>
    </row>
    <row r="283" ht="15" customHeight="1" s="73">
      <c r="A283" s="124" t="n"/>
      <c r="B283" s="125" t="n"/>
      <c r="C283" s="126" t="n"/>
      <c r="D283" s="129" t="n"/>
      <c r="E283" s="127" t="n"/>
    </row>
    <row r="284" ht="15" customHeight="1" s="73">
      <c r="A284" s="124" t="n"/>
      <c r="B284" s="125" t="n"/>
      <c r="C284" s="126" t="n"/>
      <c r="D284" s="129" t="n"/>
      <c r="E284" s="127" t="n"/>
    </row>
    <row r="285" ht="15" customHeight="1" s="73">
      <c r="A285" s="124" t="n"/>
      <c r="B285" s="125" t="n"/>
      <c r="C285" s="126" t="n"/>
      <c r="D285" s="129" t="n"/>
      <c r="E285" s="127" t="n"/>
    </row>
    <row r="286" ht="15" customHeight="1" s="73">
      <c r="A286" s="124" t="n"/>
      <c r="B286" s="125" t="n"/>
      <c r="C286" s="126" t="n"/>
      <c r="D286" s="129" t="n"/>
      <c r="E286" s="127" t="n"/>
    </row>
    <row r="287" ht="15" customHeight="1" s="73">
      <c r="A287" s="124" t="n"/>
      <c r="B287" s="125" t="n"/>
      <c r="C287" s="126" t="n"/>
      <c r="D287" s="129" t="n"/>
      <c r="E287" s="127" t="n"/>
    </row>
    <row r="288" ht="15" customHeight="1" s="73">
      <c r="A288" s="124" t="n"/>
      <c r="B288" s="125" t="n"/>
      <c r="C288" s="126" t="n"/>
      <c r="D288" s="129" t="n"/>
      <c r="E288" s="127" t="n"/>
    </row>
    <row r="289" ht="15" customHeight="1" s="73">
      <c r="A289" s="124" t="n"/>
      <c r="B289" s="125" t="n"/>
      <c r="C289" s="126" t="n"/>
      <c r="D289" s="129" t="n"/>
      <c r="E289" s="127" t="n"/>
    </row>
    <row r="290" ht="15" customHeight="1" s="73">
      <c r="A290" s="124" t="n"/>
      <c r="B290" s="125" t="n"/>
      <c r="C290" s="126" t="n"/>
      <c r="D290" s="129" t="n"/>
      <c r="E290" s="127" t="n"/>
    </row>
    <row r="291" ht="15" customHeight="1" s="73">
      <c r="A291" s="124" t="n"/>
      <c r="B291" s="125" t="n"/>
      <c r="C291" s="126" t="n"/>
      <c r="D291" s="129" t="n"/>
      <c r="E291" s="127" t="n"/>
    </row>
    <row r="292" ht="15" customHeight="1" s="73">
      <c r="A292" s="124" t="n"/>
      <c r="B292" s="125" t="n"/>
      <c r="C292" s="126" t="n"/>
      <c r="D292" s="129" t="n"/>
      <c r="E292" s="127" t="n"/>
    </row>
    <row r="293" ht="15" customHeight="1" s="73">
      <c r="A293" s="124" t="n"/>
      <c r="B293" s="125" t="n"/>
      <c r="C293" s="126" t="n"/>
      <c r="D293" s="129" t="n"/>
      <c r="E293" s="127" t="n"/>
    </row>
    <row r="294" ht="15" customHeight="1" s="73">
      <c r="A294" s="124" t="n"/>
      <c r="B294" s="125" t="n"/>
      <c r="C294" s="126" t="n"/>
      <c r="D294" s="129" t="n"/>
      <c r="E294" s="127" t="n"/>
    </row>
    <row r="295" ht="15" customHeight="1" s="73">
      <c r="A295" s="124" t="n"/>
      <c r="B295" s="125" t="n"/>
      <c r="C295" s="126" t="n"/>
      <c r="D295" s="129" t="n"/>
      <c r="E295" s="127" t="n"/>
    </row>
    <row r="296" ht="15" customHeight="1" s="73">
      <c r="A296" s="124" t="n"/>
      <c r="B296" s="125" t="n"/>
      <c r="C296" s="126" t="n"/>
      <c r="D296" s="129" t="n"/>
      <c r="E296" s="127" t="n"/>
    </row>
    <row r="297" ht="15" customHeight="1" s="73">
      <c r="A297" s="124" t="n"/>
      <c r="B297" s="125" t="n"/>
      <c r="C297" s="126" t="n"/>
      <c r="D297" s="129" t="n"/>
      <c r="E297" s="127" t="n"/>
    </row>
    <row r="298" ht="15" customHeight="1" s="73">
      <c r="A298" s="124" t="n"/>
      <c r="B298" s="125" t="n"/>
      <c r="C298" s="126" t="n"/>
      <c r="D298" s="129" t="n"/>
      <c r="E298" s="127" t="n"/>
    </row>
    <row r="299" ht="15" customHeight="1" s="73">
      <c r="A299" s="124" t="n"/>
      <c r="B299" s="125" t="n"/>
      <c r="C299" s="126" t="n"/>
      <c r="D299" s="129" t="n"/>
      <c r="E299" s="127" t="n"/>
    </row>
    <row r="300" ht="15" customHeight="1" s="73">
      <c r="A300" s="124" t="n"/>
      <c r="B300" s="125" t="n"/>
      <c r="C300" s="126" t="n"/>
      <c r="D300" s="129" t="n"/>
      <c r="E300" s="127" t="n"/>
    </row>
    <row r="301" ht="15" customHeight="1" s="73">
      <c r="A301" s="124" t="n"/>
      <c r="B301" s="125" t="n"/>
      <c r="C301" s="126" t="n"/>
      <c r="D301" s="129" t="n"/>
      <c r="E301" s="127" t="n"/>
    </row>
    <row r="302" ht="15" customHeight="1" s="73">
      <c r="A302" s="124" t="n"/>
      <c r="B302" s="125" t="n"/>
      <c r="C302" s="126" t="n"/>
      <c r="D302" s="129" t="n"/>
      <c r="E302" s="127" t="n"/>
    </row>
    <row r="303" ht="15" customHeight="1" s="73">
      <c r="A303" s="124" t="n"/>
      <c r="B303" s="125" t="n"/>
      <c r="C303" s="126" t="n"/>
      <c r="D303" s="129" t="n"/>
      <c r="E303" s="127" t="n"/>
    </row>
    <row r="304" ht="15" customHeight="1" s="73">
      <c r="A304" s="124" t="n"/>
      <c r="B304" s="125" t="n"/>
      <c r="C304" s="126" t="n"/>
      <c r="D304" s="129" t="n"/>
      <c r="E304" s="127" t="n"/>
    </row>
    <row r="305" ht="15" customHeight="1" s="73">
      <c r="A305" s="124" t="n"/>
      <c r="B305" s="125" t="n"/>
      <c r="C305" s="126" t="n"/>
      <c r="D305" s="129" t="n"/>
      <c r="E305" s="127" t="n"/>
    </row>
    <row r="306" ht="15" customHeight="1" s="73">
      <c r="A306" s="124" t="n"/>
      <c r="B306" s="125" t="n"/>
      <c r="C306" s="126" t="n"/>
      <c r="D306" s="129" t="n"/>
      <c r="E306" s="127" t="n"/>
    </row>
    <row r="307" ht="15" customHeight="1" s="73">
      <c r="A307" s="124" t="n"/>
      <c r="B307" s="125" t="n"/>
      <c r="C307" s="126" t="n"/>
      <c r="D307" s="129" t="n"/>
      <c r="E307" s="127" t="n"/>
    </row>
    <row r="308" ht="15" customHeight="1" s="73">
      <c r="A308" s="124" t="n"/>
      <c r="B308" s="125" t="n"/>
      <c r="C308" s="126" t="n"/>
      <c r="D308" s="129" t="n"/>
      <c r="E308" s="127" t="n"/>
    </row>
    <row r="309" ht="15" customHeight="1" s="73">
      <c r="A309" s="124" t="n"/>
      <c r="B309" s="125" t="n"/>
      <c r="C309" s="126" t="n"/>
      <c r="D309" s="129" t="n"/>
      <c r="E309" s="127" t="n"/>
    </row>
    <row r="310" ht="15" customHeight="1" s="73">
      <c r="A310" s="124" t="n"/>
      <c r="B310" s="125" t="n"/>
      <c r="C310" s="126" t="n"/>
      <c r="D310" s="129" t="n"/>
      <c r="E310" s="127" t="n"/>
    </row>
    <row r="311" ht="15" customHeight="1" s="73">
      <c r="A311" s="124" t="n"/>
      <c r="B311" s="125" t="n"/>
      <c r="C311" s="126" t="n"/>
      <c r="D311" s="129" t="n"/>
      <c r="E311" s="127" t="n"/>
    </row>
    <row r="312" ht="15" customHeight="1" s="73">
      <c r="A312" s="124" t="n"/>
      <c r="B312" s="125" t="n"/>
      <c r="C312" s="126" t="n"/>
      <c r="D312" s="129" t="n"/>
      <c r="E312" s="127" t="n"/>
    </row>
    <row r="313" ht="15" customHeight="1" s="73">
      <c r="A313" s="124" t="n"/>
      <c r="B313" s="125" t="n"/>
      <c r="C313" s="126" t="n"/>
      <c r="D313" s="129" t="n"/>
      <c r="E313" s="127" t="n"/>
    </row>
    <row r="314" ht="15" customHeight="1" s="73">
      <c r="A314" s="124" t="n"/>
      <c r="B314" s="125" t="n"/>
      <c r="C314" s="126" t="n"/>
      <c r="D314" s="129" t="n"/>
      <c r="E314" s="127" t="n"/>
    </row>
    <row r="315" ht="15" customHeight="1" s="73">
      <c r="A315" s="124" t="n"/>
      <c r="B315" s="125" t="n"/>
      <c r="C315" s="126" t="n"/>
      <c r="D315" s="129" t="n"/>
      <c r="E315" s="127" t="n"/>
    </row>
    <row r="316" ht="15" customHeight="1" s="73">
      <c r="A316" s="124" t="n"/>
      <c r="B316" s="125" t="n"/>
      <c r="C316" s="126" t="n"/>
      <c r="D316" s="129" t="n"/>
      <c r="E316" s="127" t="n"/>
    </row>
    <row r="317" ht="15" customHeight="1" s="73">
      <c r="A317" s="124" t="n"/>
      <c r="B317" s="125" t="n"/>
      <c r="C317" s="126" t="n"/>
      <c r="D317" s="129" t="n"/>
      <c r="E317" s="127" t="n"/>
    </row>
    <row r="318" ht="15" customHeight="1" s="73">
      <c r="A318" s="124" t="n"/>
      <c r="B318" s="125" t="n"/>
      <c r="C318" s="126" t="n"/>
      <c r="D318" s="129" t="n"/>
      <c r="E318" s="127" t="n"/>
    </row>
    <row r="319" ht="15" customHeight="1" s="73">
      <c r="A319" s="124" t="n"/>
      <c r="B319" s="125" t="n"/>
      <c r="C319" s="126" t="n"/>
      <c r="D319" s="129" t="n"/>
      <c r="E319" s="127" t="n"/>
    </row>
    <row r="320" ht="15" customHeight="1" s="73">
      <c r="A320" s="124" t="n"/>
      <c r="B320" s="125" t="n"/>
      <c r="C320" s="126" t="n"/>
      <c r="D320" s="129" t="n"/>
      <c r="E320" s="127" t="n"/>
    </row>
    <row r="321" ht="15" customHeight="1" s="73">
      <c r="A321" s="124" t="n"/>
      <c r="B321" s="125" t="n"/>
      <c r="C321" s="126" t="n"/>
      <c r="D321" s="129" t="n"/>
      <c r="E321" s="127" t="n"/>
    </row>
    <row r="322" ht="15" customHeight="1" s="73">
      <c r="A322" s="124" t="n"/>
      <c r="B322" s="125" t="n"/>
      <c r="C322" s="126" t="n"/>
      <c r="D322" s="129" t="n"/>
      <c r="E322" s="127" t="n"/>
    </row>
    <row r="323" ht="15" customHeight="1" s="73">
      <c r="A323" s="124" t="n"/>
      <c r="B323" s="125" t="n"/>
      <c r="C323" s="126" t="n"/>
      <c r="D323" s="129" t="n"/>
      <c r="E323" s="127" t="n"/>
    </row>
    <row r="324" ht="15" customHeight="1" s="73">
      <c r="A324" s="124" t="n"/>
      <c r="B324" s="125" t="n"/>
      <c r="C324" s="126" t="n"/>
      <c r="D324" s="129" t="n"/>
      <c r="E324" s="127" t="n"/>
    </row>
    <row r="325" ht="15" customHeight="1" s="73">
      <c r="A325" s="124" t="n"/>
      <c r="B325" s="125" t="n"/>
      <c r="C325" s="126" t="n"/>
      <c r="D325" s="129" t="n"/>
      <c r="E325" s="127" t="n"/>
    </row>
    <row r="326" ht="15" customHeight="1" s="73">
      <c r="A326" s="124" t="n"/>
      <c r="B326" s="125" t="n"/>
      <c r="C326" s="126" t="n"/>
      <c r="D326" s="129" t="n"/>
      <c r="E326" s="127" t="n"/>
    </row>
    <row r="327" ht="15" customHeight="1" s="73">
      <c r="A327" s="124" t="n"/>
      <c r="B327" s="125" t="n"/>
      <c r="C327" s="126" t="n"/>
      <c r="D327" s="129" t="n"/>
      <c r="E327" s="127" t="n"/>
    </row>
    <row r="328" ht="15" customHeight="1" s="73">
      <c r="A328" s="124" t="n"/>
      <c r="B328" s="125" t="n"/>
      <c r="C328" s="126" t="n"/>
      <c r="D328" s="129" t="n"/>
      <c r="E328" s="127" t="n"/>
    </row>
    <row r="329" ht="15" customHeight="1" s="73">
      <c r="A329" s="124" t="n"/>
      <c r="B329" s="125" t="n"/>
      <c r="C329" s="126" t="n"/>
      <c r="D329" s="129" t="n"/>
      <c r="E329" s="127" t="n"/>
    </row>
    <row r="330" ht="15" customHeight="1" s="73">
      <c r="A330" s="124" t="n"/>
      <c r="B330" s="125" t="n"/>
      <c r="C330" s="126" t="n"/>
      <c r="D330" s="129" t="n"/>
      <c r="E330" s="127" t="n"/>
    </row>
    <row r="331" ht="15" customHeight="1" s="73">
      <c r="A331" s="124" t="n"/>
      <c r="B331" s="125" t="n"/>
      <c r="C331" s="126" t="n"/>
      <c r="D331" s="129" t="n"/>
      <c r="E331" s="127" t="n"/>
    </row>
    <row r="332" ht="15" customHeight="1" s="73">
      <c r="A332" s="124" t="n"/>
      <c r="B332" s="125" t="n"/>
      <c r="C332" s="126" t="n"/>
      <c r="D332" s="129" t="n"/>
      <c r="E332" s="127" t="n"/>
    </row>
    <row r="333" ht="15" customHeight="1" s="73">
      <c r="A333" s="124" t="n"/>
      <c r="B333" s="125" t="n"/>
      <c r="C333" s="126" t="n"/>
      <c r="D333" s="129" t="n"/>
      <c r="E333" s="127" t="n"/>
    </row>
    <row r="334" ht="15" customHeight="1" s="73">
      <c r="A334" s="124" t="n"/>
      <c r="B334" s="125" t="n"/>
      <c r="C334" s="126" t="n"/>
      <c r="D334" s="129" t="n"/>
      <c r="E334" s="127" t="n"/>
    </row>
    <row r="335" ht="15" customHeight="1" s="73">
      <c r="A335" s="124" t="n"/>
      <c r="B335" s="125" t="n"/>
      <c r="C335" s="126" t="n"/>
      <c r="D335" s="129" t="n"/>
      <c r="E335" s="127" t="n"/>
    </row>
    <row r="336" ht="15" customHeight="1" s="73">
      <c r="A336" s="124" t="n"/>
      <c r="B336" s="125" t="n"/>
      <c r="C336" s="126" t="n"/>
      <c r="D336" s="129" t="n"/>
      <c r="E336" s="127" t="n"/>
    </row>
    <row r="337" ht="15" customHeight="1" s="73">
      <c r="A337" s="124" t="n"/>
      <c r="B337" s="125" t="n"/>
      <c r="C337" s="126" t="n"/>
      <c r="D337" s="129" t="n"/>
      <c r="E337" s="127" t="n"/>
    </row>
    <row r="338" ht="15" customHeight="1" s="73">
      <c r="A338" s="124" t="n"/>
      <c r="B338" s="125" t="n"/>
      <c r="C338" s="126" t="n"/>
      <c r="D338" s="129" t="n"/>
      <c r="E338" s="127" t="n"/>
    </row>
    <row r="339" ht="15" customHeight="1" s="73">
      <c r="A339" s="124" t="n"/>
      <c r="B339" s="125" t="n"/>
      <c r="C339" s="126" t="n"/>
      <c r="D339" s="129" t="n"/>
      <c r="E339" s="127" t="n"/>
    </row>
    <row r="340" ht="15" customHeight="1" s="73">
      <c r="A340" s="124" t="n"/>
      <c r="B340" s="125" t="n"/>
      <c r="C340" s="126" t="n"/>
      <c r="D340" s="129" t="n"/>
      <c r="E340" s="127" t="n"/>
    </row>
    <row r="341" ht="15" customHeight="1" s="73">
      <c r="A341" s="124" t="n"/>
      <c r="B341" s="125" t="n"/>
      <c r="C341" s="126" t="n"/>
      <c r="D341" s="129" t="n"/>
      <c r="E341" s="127" t="n"/>
    </row>
    <row r="342" ht="15" customHeight="1" s="73">
      <c r="A342" s="124" t="n"/>
      <c r="B342" s="125" t="n"/>
      <c r="C342" s="126" t="n"/>
      <c r="D342" s="129" t="n"/>
      <c r="E342" s="127" t="n"/>
    </row>
    <row r="343" ht="15" customHeight="1" s="73">
      <c r="A343" s="124" t="n"/>
      <c r="B343" s="125" t="n"/>
      <c r="C343" s="126" t="n"/>
      <c r="D343" s="129" t="n"/>
      <c r="E343" s="127" t="n"/>
    </row>
    <row r="344" ht="15" customHeight="1" s="73">
      <c r="A344" s="124" t="n"/>
      <c r="B344" s="125" t="n"/>
      <c r="C344" s="126" t="n"/>
      <c r="D344" s="129" t="n"/>
      <c r="E344" s="127" t="n"/>
    </row>
    <row r="345" ht="15" customHeight="1" s="73">
      <c r="A345" s="124" t="n"/>
      <c r="B345" s="125" t="n"/>
      <c r="C345" s="126" t="n"/>
      <c r="D345" s="129" t="n"/>
      <c r="E345" s="127" t="n"/>
    </row>
    <row r="346" ht="15" customHeight="1" s="73">
      <c r="A346" s="124" t="n"/>
      <c r="B346" s="125" t="n"/>
      <c r="C346" s="126" t="n"/>
      <c r="D346" s="129" t="n"/>
      <c r="E346" s="127" t="n"/>
    </row>
    <row r="347" ht="15" customHeight="1" s="73">
      <c r="A347" s="124" t="n"/>
      <c r="B347" s="125" t="n"/>
      <c r="C347" s="126" t="n"/>
      <c r="D347" s="129" t="n"/>
      <c r="E347" s="127" t="n"/>
    </row>
    <row r="348" ht="15" customHeight="1" s="73">
      <c r="A348" s="124" t="n"/>
      <c r="B348" s="125" t="n"/>
      <c r="C348" s="126" t="n"/>
      <c r="D348" s="129" t="n"/>
      <c r="E348" s="127" t="n"/>
    </row>
    <row r="349" ht="15" customHeight="1" s="73">
      <c r="A349" s="124" t="n"/>
      <c r="B349" s="125" t="n"/>
      <c r="C349" s="126" t="n"/>
      <c r="D349" s="129" t="n"/>
      <c r="E349" s="127" t="n"/>
    </row>
    <row r="350" ht="15" customHeight="1" s="73">
      <c r="A350" s="124" t="n"/>
      <c r="B350" s="125" t="n"/>
      <c r="C350" s="126" t="n"/>
      <c r="D350" s="129" t="n"/>
      <c r="E350" s="127" t="n"/>
    </row>
    <row r="351" ht="15" customHeight="1" s="73">
      <c r="A351" s="124" t="n"/>
      <c r="B351" s="125" t="n"/>
      <c r="C351" s="126" t="n"/>
      <c r="D351" s="129" t="n"/>
      <c r="E351" s="127" t="n"/>
    </row>
    <row r="352" ht="15" customHeight="1" s="73">
      <c r="A352" s="124" t="n"/>
      <c r="B352" s="125" t="n"/>
      <c r="C352" s="126" t="n"/>
      <c r="D352" s="129" t="n"/>
      <c r="E352" s="127" t="n"/>
    </row>
    <row r="353" ht="15" customHeight="1" s="73">
      <c r="A353" s="124" t="n"/>
      <c r="B353" s="125" t="n"/>
      <c r="C353" s="126" t="n"/>
      <c r="D353" s="129" t="n"/>
      <c r="E353" s="127" t="n"/>
    </row>
    <row r="354" ht="15" customHeight="1" s="73">
      <c r="A354" s="124" t="n"/>
      <c r="B354" s="125" t="n"/>
      <c r="C354" s="126" t="n"/>
      <c r="D354" s="129" t="n"/>
      <c r="E354" s="127" t="n"/>
    </row>
    <row r="355" ht="15" customHeight="1" s="73">
      <c r="A355" s="124" t="n"/>
      <c r="B355" s="125" t="n"/>
      <c r="C355" s="126" t="n"/>
      <c r="D355" s="129" t="n"/>
      <c r="E355" s="127" t="n"/>
    </row>
    <row r="356" ht="15" customHeight="1" s="73">
      <c r="A356" s="124" t="n"/>
      <c r="B356" s="125" t="n"/>
      <c r="C356" s="126" t="n"/>
      <c r="D356" s="129" t="n"/>
      <c r="E356" s="127" t="n"/>
    </row>
    <row r="357" ht="15" customHeight="1" s="73">
      <c r="A357" s="124" t="n"/>
      <c r="B357" s="125" t="n"/>
      <c r="C357" s="126" t="n"/>
      <c r="D357" s="129" t="n"/>
      <c r="E357" s="127" t="n"/>
    </row>
    <row r="358" ht="15" customHeight="1" s="73">
      <c r="A358" s="124" t="n"/>
      <c r="B358" s="125" t="n"/>
      <c r="C358" s="126" t="n"/>
      <c r="D358" s="129" t="n"/>
      <c r="E358" s="127" t="n"/>
    </row>
    <row r="359" ht="15" customHeight="1" s="73">
      <c r="A359" s="124" t="n"/>
      <c r="B359" s="125" t="n"/>
      <c r="C359" s="126" t="n"/>
      <c r="D359" s="129" t="n"/>
      <c r="E359" s="127" t="n"/>
    </row>
    <row r="360" ht="15" customHeight="1" s="73">
      <c r="A360" s="124" t="n"/>
      <c r="B360" s="125" t="n"/>
      <c r="C360" s="126" t="n"/>
      <c r="D360" s="129" t="n"/>
      <c r="E360" s="127" t="n"/>
    </row>
    <row r="361" ht="15" customHeight="1" s="73">
      <c r="A361" s="124" t="n"/>
      <c r="B361" s="125" t="n"/>
      <c r="C361" s="126" t="n"/>
      <c r="D361" s="129" t="n"/>
      <c r="E361" s="127" t="n"/>
    </row>
    <row r="362" ht="15" customHeight="1" s="73">
      <c r="A362" s="124" t="n"/>
      <c r="B362" s="125" t="n"/>
      <c r="C362" s="126" t="n"/>
      <c r="D362" s="129" t="n"/>
      <c r="E362" s="127" t="n"/>
    </row>
    <row r="363" ht="15" customHeight="1" s="73">
      <c r="A363" s="124" t="n"/>
      <c r="B363" s="125" t="n"/>
      <c r="C363" s="126" t="n"/>
      <c r="D363" s="129" t="n"/>
      <c r="E363" s="127" t="n"/>
    </row>
    <row r="364" ht="15" customHeight="1" s="73">
      <c r="A364" s="124" t="n"/>
      <c r="B364" s="125" t="n"/>
      <c r="C364" s="126" t="n"/>
      <c r="D364" s="129" t="n"/>
      <c r="E364" s="127" t="n"/>
    </row>
    <row r="365" ht="15" customHeight="1" s="73">
      <c r="A365" s="124" t="n"/>
      <c r="B365" s="125" t="n"/>
      <c r="C365" s="126" t="n"/>
      <c r="D365" s="129" t="n"/>
      <c r="E365" s="127" t="n"/>
    </row>
    <row r="366" ht="15" customHeight="1" s="73">
      <c r="A366" s="124" t="n"/>
      <c r="B366" s="125" t="n"/>
      <c r="C366" s="126" t="n"/>
      <c r="D366" s="129" t="n"/>
      <c r="E366" s="127" t="n"/>
    </row>
    <row r="367" ht="15" customHeight="1" s="73">
      <c r="A367" s="124" t="n"/>
      <c r="B367" s="125" t="n"/>
      <c r="C367" s="126" t="n"/>
      <c r="D367" s="129" t="n"/>
      <c r="E367" s="127" t="n"/>
    </row>
    <row r="368" ht="15" customHeight="1" s="73">
      <c r="A368" s="124" t="n"/>
      <c r="B368" s="125" t="n"/>
      <c r="C368" s="126" t="n"/>
      <c r="D368" s="129" t="n"/>
      <c r="E368" s="127" t="n"/>
    </row>
    <row r="369" ht="15" customHeight="1" s="73">
      <c r="A369" s="124" t="n"/>
      <c r="B369" s="125" t="n"/>
      <c r="C369" s="126" t="n"/>
      <c r="D369" s="129" t="n"/>
      <c r="E369" s="127" t="n"/>
    </row>
    <row r="370" ht="15" customHeight="1" s="73">
      <c r="A370" s="124" t="n"/>
      <c r="B370" s="125" t="n"/>
      <c r="C370" s="126" t="n"/>
      <c r="D370" s="129" t="n"/>
      <c r="E370" s="127" t="n"/>
    </row>
    <row r="371" ht="15" customHeight="1" s="73">
      <c r="A371" s="124" t="n"/>
      <c r="B371" s="125" t="n"/>
      <c r="C371" s="126" t="n"/>
      <c r="D371" s="129" t="n"/>
      <c r="E371" s="127" t="n"/>
    </row>
    <row r="372" ht="15" customHeight="1" s="73">
      <c r="A372" s="124" t="n"/>
      <c r="B372" s="125" t="n"/>
      <c r="C372" s="126" t="n"/>
      <c r="D372" s="129" t="n"/>
      <c r="E372" s="127" t="n"/>
    </row>
    <row r="373" ht="15" customHeight="1" s="73">
      <c r="A373" s="124" t="n"/>
      <c r="B373" s="125" t="n"/>
      <c r="C373" s="126" t="n"/>
      <c r="D373" s="129" t="n"/>
      <c r="E373" s="127" t="n"/>
    </row>
    <row r="374" ht="15" customHeight="1" s="73">
      <c r="A374" s="124" t="n"/>
      <c r="B374" s="125" t="n"/>
      <c r="C374" s="126" t="n"/>
      <c r="D374" s="129" t="n"/>
      <c r="E374" s="127" t="n"/>
    </row>
    <row r="375" ht="15" customHeight="1" s="73">
      <c r="A375" s="124" t="n"/>
      <c r="B375" s="125" t="n"/>
      <c r="C375" s="126" t="n"/>
      <c r="D375" s="129" t="n"/>
      <c r="E375" s="127" t="n"/>
    </row>
    <row r="376" ht="15" customHeight="1" s="73">
      <c r="A376" s="124" t="n"/>
      <c r="B376" s="125" t="n"/>
      <c r="C376" s="126" t="n"/>
      <c r="D376" s="129" t="n"/>
      <c r="E376" s="127" t="n"/>
    </row>
    <row r="377" ht="15" customHeight="1" s="73">
      <c r="A377" s="124" t="n"/>
      <c r="B377" s="125" t="n"/>
      <c r="C377" s="126" t="n"/>
      <c r="D377" s="129" t="n"/>
      <c r="E377" s="127" t="n"/>
    </row>
    <row r="378" ht="15" customHeight="1" s="73">
      <c r="A378" s="124" t="n"/>
      <c r="B378" s="125" t="n"/>
      <c r="C378" s="126" t="n"/>
      <c r="D378" s="129" t="n"/>
      <c r="E378" s="127" t="n"/>
    </row>
    <row r="379" ht="15" customHeight="1" s="73">
      <c r="A379" s="124" t="n"/>
      <c r="B379" s="125" t="n"/>
      <c r="C379" s="126" t="n"/>
      <c r="D379" s="129" t="n"/>
      <c r="E379" s="127" t="n"/>
    </row>
    <row r="380" ht="15" customHeight="1" s="73">
      <c r="A380" s="124" t="n"/>
      <c r="B380" s="125" t="n"/>
      <c r="C380" s="126" t="n"/>
      <c r="D380" s="129" t="n"/>
      <c r="E380" s="127" t="n"/>
    </row>
    <row r="381" ht="15" customHeight="1" s="73">
      <c r="A381" s="124" t="n"/>
      <c r="B381" s="125" t="n"/>
      <c r="C381" s="126" t="n"/>
      <c r="D381" s="129" t="n"/>
      <c r="E381" s="127" t="n"/>
    </row>
    <row r="382" ht="15" customHeight="1" s="73">
      <c r="A382" s="124" t="n"/>
      <c r="B382" s="125" t="n"/>
      <c r="C382" s="126" t="n"/>
      <c r="D382" s="129" t="n"/>
      <c r="E382" s="127" t="n"/>
    </row>
    <row r="383" ht="15" customHeight="1" s="73">
      <c r="A383" s="124" t="n"/>
      <c r="B383" s="125" t="n"/>
      <c r="C383" s="126" t="n"/>
      <c r="D383" s="129" t="n"/>
      <c r="E383" s="127" t="n"/>
    </row>
    <row r="384" ht="15" customHeight="1" s="73">
      <c r="A384" s="124" t="n"/>
      <c r="B384" s="125" t="n"/>
      <c r="C384" s="126" t="n"/>
      <c r="D384" s="129" t="n"/>
      <c r="E384" s="127" t="n"/>
    </row>
    <row r="385" ht="15" customHeight="1" s="73">
      <c r="A385" s="124" t="n"/>
      <c r="B385" s="125" t="n"/>
      <c r="C385" s="126" t="n"/>
      <c r="D385" s="129" t="n"/>
      <c r="E385" s="127" t="n"/>
    </row>
    <row r="386" ht="15" customHeight="1" s="73">
      <c r="A386" s="124" t="n"/>
      <c r="B386" s="125" t="n"/>
      <c r="C386" s="126" t="n"/>
      <c r="D386" s="129" t="n"/>
      <c r="E386" s="127" t="n"/>
    </row>
    <row r="387" ht="15" customHeight="1" s="73">
      <c r="A387" s="124" t="n"/>
      <c r="B387" s="125" t="n"/>
      <c r="C387" s="126" t="n"/>
      <c r="D387" s="129" t="n"/>
      <c r="E387" s="127" t="n"/>
    </row>
    <row r="388" ht="15" customHeight="1" s="73">
      <c r="A388" s="124" t="n"/>
      <c r="B388" s="125" t="n"/>
      <c r="C388" s="126" t="n"/>
      <c r="D388" s="129" t="n"/>
      <c r="E388" s="127" t="n"/>
    </row>
    <row r="389" ht="15" customHeight="1" s="73">
      <c r="A389" s="124" t="n"/>
      <c r="B389" s="125" t="n"/>
      <c r="C389" s="126" t="n"/>
      <c r="D389" s="129" t="n"/>
      <c r="E389" s="127" t="n"/>
    </row>
    <row r="390" ht="15" customHeight="1" s="73">
      <c r="A390" s="124" t="n"/>
      <c r="B390" s="125" t="n"/>
      <c r="C390" s="126" t="n"/>
      <c r="D390" s="129" t="n"/>
      <c r="E390" s="127" t="n"/>
    </row>
    <row r="391" ht="15" customHeight="1" s="73">
      <c r="A391" s="124" t="n"/>
      <c r="B391" s="125" t="n"/>
      <c r="C391" s="126" t="n"/>
      <c r="D391" s="129" t="n"/>
      <c r="E391" s="127" t="n"/>
    </row>
    <row r="392" ht="15" customHeight="1" s="73">
      <c r="A392" s="124" t="n"/>
      <c r="B392" s="125" t="n"/>
      <c r="C392" s="126" t="n"/>
      <c r="D392" s="129" t="n"/>
      <c r="E392" s="127" t="n"/>
    </row>
    <row r="393" ht="15" customHeight="1" s="73">
      <c r="A393" s="124" t="n"/>
      <c r="B393" s="125" t="n"/>
      <c r="C393" s="126" t="n"/>
      <c r="D393" s="129" t="n"/>
      <c r="E393" s="127" t="n"/>
    </row>
    <row r="394" ht="15" customHeight="1" s="73">
      <c r="A394" s="124" t="n"/>
      <c r="B394" s="125" t="n"/>
      <c r="C394" s="126" t="n"/>
      <c r="D394" s="129" t="n"/>
      <c r="E394" s="127" t="n"/>
    </row>
    <row r="395" ht="15" customHeight="1" s="73">
      <c r="A395" s="124" t="n"/>
      <c r="B395" s="125" t="n"/>
      <c r="C395" s="126" t="n"/>
      <c r="D395" s="129" t="n"/>
      <c r="E395" s="127" t="n"/>
    </row>
    <row r="396" ht="15" customHeight="1" s="73">
      <c r="A396" s="124" t="n"/>
      <c r="B396" s="125" t="n"/>
      <c r="C396" s="126" t="n"/>
      <c r="D396" s="129" t="n"/>
      <c r="E396" s="127" t="n"/>
    </row>
    <row r="397" ht="15" customHeight="1" s="73">
      <c r="A397" s="124" t="n"/>
      <c r="B397" s="125" t="n"/>
      <c r="C397" s="126" t="n"/>
      <c r="D397" s="129" t="n"/>
      <c r="E397" s="127" t="n"/>
    </row>
    <row r="398" ht="15" customHeight="1" s="73">
      <c r="A398" s="124" t="n"/>
      <c r="B398" s="125" t="n"/>
      <c r="C398" s="126" t="n"/>
      <c r="D398" s="129" t="n"/>
      <c r="E398" s="127" t="n"/>
    </row>
    <row r="399" ht="15" customHeight="1" s="73">
      <c r="A399" s="124" t="n"/>
      <c r="B399" s="125" t="n"/>
      <c r="C399" s="126" t="n"/>
      <c r="D399" s="129" t="n"/>
      <c r="E399" s="127" t="n"/>
    </row>
    <row r="400" ht="15" customHeight="1" s="73">
      <c r="A400" s="124" t="n"/>
      <c r="B400" s="125" t="n"/>
      <c r="C400" s="126" t="n"/>
      <c r="D400" s="129" t="n"/>
      <c r="E400" s="127" t="n"/>
    </row>
    <row r="401" ht="15" customHeight="1" s="73">
      <c r="A401" s="124" t="n"/>
      <c r="B401" s="125" t="n"/>
      <c r="C401" s="126" t="n"/>
      <c r="D401" s="129" t="n"/>
      <c r="E401" s="127" t="n"/>
    </row>
    <row r="402" ht="15" customHeight="1" s="73">
      <c r="A402" s="124" t="n"/>
      <c r="B402" s="125" t="n"/>
      <c r="C402" s="126" t="n"/>
      <c r="D402" s="129" t="n"/>
      <c r="E402" s="127" t="n"/>
    </row>
    <row r="403" ht="15" customHeight="1" s="73">
      <c r="A403" s="124" t="n"/>
      <c r="B403" s="125" t="n"/>
      <c r="C403" s="126" t="n"/>
      <c r="D403" s="129" t="n"/>
      <c r="E403" s="127" t="n"/>
    </row>
    <row r="404" ht="15" customHeight="1" s="73">
      <c r="A404" s="124" t="n"/>
      <c r="B404" s="125" t="n"/>
      <c r="C404" s="126" t="n"/>
      <c r="D404" s="129" t="n"/>
      <c r="E404" s="127" t="n"/>
    </row>
    <row r="405" ht="15" customHeight="1" s="73">
      <c r="A405" s="124" t="n"/>
      <c r="B405" s="125" t="n"/>
      <c r="C405" s="126" t="n"/>
      <c r="D405" s="129" t="n"/>
      <c r="E405" s="127" t="n"/>
    </row>
    <row r="406" ht="15" customHeight="1" s="73">
      <c r="A406" s="124" t="n"/>
      <c r="B406" s="125" t="n"/>
      <c r="C406" s="126" t="n"/>
      <c r="D406" s="129" t="n"/>
      <c r="E406" s="127" t="n"/>
    </row>
    <row r="407" ht="15" customHeight="1" s="73">
      <c r="A407" s="124" t="n"/>
      <c r="B407" s="125" t="n"/>
      <c r="C407" s="126" t="n"/>
      <c r="D407" s="129" t="n"/>
      <c r="E407" s="127" t="n"/>
    </row>
    <row r="408" ht="15" customHeight="1" s="73">
      <c r="A408" s="124" t="n"/>
      <c r="B408" s="125" t="n"/>
      <c r="C408" s="126" t="n"/>
      <c r="D408" s="129" t="n"/>
      <c r="E408" s="127" t="n"/>
    </row>
    <row r="409" ht="15" customHeight="1" s="73">
      <c r="A409" s="124" t="n"/>
      <c r="B409" s="125" t="n"/>
      <c r="C409" s="126" t="n"/>
      <c r="D409" s="129" t="n"/>
      <c r="E409" s="127" t="n"/>
    </row>
    <row r="410" ht="15" customHeight="1" s="73">
      <c r="A410" s="124" t="n"/>
      <c r="B410" s="125" t="n"/>
      <c r="C410" s="126" t="n"/>
      <c r="D410" s="129" t="n"/>
      <c r="E410" s="127" t="n"/>
    </row>
    <row r="411" ht="15" customHeight="1" s="73">
      <c r="A411" s="124" t="n"/>
      <c r="B411" s="125" t="n"/>
      <c r="C411" s="126" t="n"/>
      <c r="D411" s="129" t="n"/>
      <c r="E411" s="127" t="n"/>
    </row>
    <row r="412" ht="15" customHeight="1" s="73">
      <c r="A412" s="124" t="n"/>
      <c r="B412" s="125" t="n"/>
      <c r="C412" s="126" t="n"/>
      <c r="D412" s="129" t="n"/>
      <c r="E412" s="127" t="n"/>
    </row>
    <row r="413" ht="15" customHeight="1" s="73">
      <c r="A413" s="124" t="n"/>
      <c r="B413" s="125" t="n"/>
      <c r="C413" s="126" t="n"/>
      <c r="D413" s="129" t="n"/>
      <c r="E413" s="127" t="n"/>
    </row>
    <row r="414" ht="15" customHeight="1" s="73">
      <c r="A414" s="124" t="n"/>
      <c r="B414" s="125" t="n"/>
      <c r="C414" s="126" t="n"/>
      <c r="D414" s="129" t="n"/>
      <c r="E414" s="127" t="n"/>
    </row>
    <row r="415" ht="15" customHeight="1" s="73">
      <c r="A415" s="124" t="n"/>
      <c r="B415" s="125" t="n"/>
      <c r="C415" s="126" t="n"/>
      <c r="D415" s="129" t="n"/>
      <c r="E415" s="127" t="n"/>
    </row>
    <row r="416" ht="15" customHeight="1" s="73">
      <c r="A416" s="124" t="n"/>
      <c r="B416" s="125" t="n"/>
      <c r="C416" s="126" t="n"/>
      <c r="D416" s="129" t="n"/>
      <c r="E416" s="127" t="n"/>
    </row>
    <row r="417" ht="15" customHeight="1" s="73">
      <c r="A417" s="124" t="n"/>
      <c r="B417" s="125" t="n"/>
      <c r="C417" s="126" t="n"/>
      <c r="D417" s="129" t="n"/>
      <c r="E417" s="127" t="n"/>
    </row>
    <row r="418" ht="15" customHeight="1" s="73">
      <c r="A418" s="124" t="n"/>
      <c r="B418" s="125" t="n"/>
      <c r="C418" s="126" t="n"/>
      <c r="D418" s="129" t="n"/>
      <c r="E418" s="127" t="n"/>
    </row>
    <row r="419" ht="15" customHeight="1" s="73">
      <c r="A419" s="124" t="n"/>
      <c r="B419" s="125" t="n"/>
      <c r="C419" s="126" t="n"/>
      <c r="D419" s="129" t="n"/>
      <c r="E419" s="127" t="n"/>
    </row>
    <row r="420" ht="15" customHeight="1" s="73">
      <c r="A420" s="124" t="n"/>
      <c r="B420" s="125" t="n"/>
      <c r="C420" s="126" t="n"/>
      <c r="D420" s="129" t="n"/>
      <c r="E420" s="127" t="n"/>
    </row>
    <row r="421" ht="15" customHeight="1" s="73">
      <c r="A421" s="124" t="n"/>
      <c r="B421" s="125" t="n"/>
      <c r="C421" s="126" t="n"/>
      <c r="D421" s="129" t="n"/>
      <c r="E421" s="127" t="n"/>
    </row>
    <row r="422" ht="15" customHeight="1" s="73">
      <c r="A422" s="124" t="n"/>
      <c r="B422" s="125" t="n"/>
      <c r="C422" s="126" t="n"/>
      <c r="D422" s="129" t="n"/>
      <c r="E422" s="127" t="n"/>
    </row>
    <row r="423" ht="15" customHeight="1" s="73">
      <c r="A423" s="124" t="n"/>
      <c r="B423" s="125" t="n"/>
      <c r="C423" s="126" t="n"/>
      <c r="D423" s="129" t="n"/>
      <c r="E423" s="127" t="n"/>
    </row>
    <row r="424" ht="15" customHeight="1" s="73">
      <c r="A424" s="124" t="n"/>
      <c r="B424" s="125" t="n"/>
      <c r="C424" s="126" t="n"/>
      <c r="D424" s="129" t="n"/>
      <c r="E424" s="127" t="n"/>
    </row>
    <row r="425" ht="15" customHeight="1" s="73">
      <c r="A425" s="124" t="n"/>
      <c r="B425" s="125" t="n"/>
      <c r="C425" s="126" t="n"/>
      <c r="D425" s="129" t="n"/>
      <c r="E425" s="127" t="n"/>
    </row>
    <row r="426" ht="15" customHeight="1" s="73">
      <c r="A426" s="124" t="n"/>
      <c r="B426" s="125" t="n"/>
      <c r="C426" s="126" t="n"/>
      <c r="D426" s="129" t="n"/>
      <c r="E426" s="127" t="n"/>
    </row>
    <row r="427" ht="15" customHeight="1" s="73">
      <c r="A427" s="124" t="n"/>
      <c r="B427" s="125" t="n"/>
      <c r="C427" s="126" t="n"/>
      <c r="D427" s="129" t="n"/>
      <c r="E427" s="127" t="n"/>
    </row>
    <row r="428" ht="15" customHeight="1" s="73">
      <c r="A428" s="124" t="n"/>
      <c r="B428" s="125" t="n"/>
      <c r="C428" s="126" t="n"/>
      <c r="D428" s="129" t="n"/>
      <c r="E428" s="127" t="n"/>
    </row>
    <row r="429" ht="15" customHeight="1" s="73">
      <c r="A429" s="124" t="n"/>
      <c r="B429" s="125" t="n"/>
      <c r="C429" s="126" t="n"/>
      <c r="D429" s="129" t="n"/>
      <c r="E429" s="127" t="n"/>
    </row>
    <row r="430" ht="15" customHeight="1" s="73">
      <c r="A430" s="124" t="n"/>
      <c r="B430" s="125" t="n"/>
      <c r="C430" s="126" t="n"/>
      <c r="D430" s="129" t="n"/>
      <c r="E430" s="127" t="n"/>
    </row>
    <row r="431" ht="15" customHeight="1" s="73">
      <c r="A431" s="124" t="n"/>
      <c r="B431" s="125" t="n"/>
      <c r="C431" s="126" t="n"/>
      <c r="D431" s="129" t="n"/>
      <c r="E431" s="127" t="n"/>
    </row>
    <row r="432" ht="15" customHeight="1" s="73">
      <c r="A432" s="124" t="n"/>
      <c r="B432" s="125" t="n"/>
      <c r="C432" s="126" t="n"/>
      <c r="D432" s="129" t="n"/>
      <c r="E432" s="127" t="n"/>
    </row>
    <row r="433" ht="15" customHeight="1" s="73">
      <c r="A433" s="124" t="n"/>
      <c r="B433" s="125" t="n"/>
      <c r="C433" s="126" t="n"/>
      <c r="D433" s="129" t="n"/>
      <c r="E433" s="127" t="n"/>
    </row>
    <row r="434" ht="15" customHeight="1" s="73">
      <c r="A434" s="124" t="n"/>
      <c r="B434" s="125" t="n"/>
      <c r="C434" s="126" t="n"/>
      <c r="D434" s="129" t="n"/>
      <c r="E434" s="127" t="n"/>
    </row>
    <row r="435" ht="15" customHeight="1" s="73">
      <c r="A435" s="124" t="n"/>
      <c r="B435" s="125" t="n"/>
      <c r="C435" s="126" t="n"/>
      <c r="D435" s="129" t="n"/>
      <c r="E435" s="127" t="n"/>
    </row>
    <row r="436" ht="15" customHeight="1" s="73">
      <c r="A436" s="124" t="n"/>
      <c r="B436" s="125" t="n"/>
      <c r="C436" s="126" t="n"/>
      <c r="D436" s="129" t="n"/>
      <c r="E436" s="127" t="n"/>
    </row>
    <row r="437" ht="15" customHeight="1" s="73">
      <c r="A437" s="124" t="n"/>
      <c r="B437" s="125" t="n"/>
      <c r="C437" s="126" t="n"/>
      <c r="D437" s="129" t="n"/>
      <c r="E437" s="127" t="n"/>
    </row>
    <row r="438" ht="15" customHeight="1" s="73">
      <c r="A438" s="124" t="n"/>
      <c r="B438" s="125" t="n"/>
      <c r="C438" s="126" t="n"/>
      <c r="D438" s="129" t="n"/>
      <c r="E438" s="127" t="n"/>
    </row>
    <row r="439" ht="15" customHeight="1" s="73">
      <c r="A439" s="124" t="n"/>
      <c r="B439" s="125" t="n"/>
      <c r="C439" s="126" t="n"/>
      <c r="D439" s="129" t="n"/>
      <c r="E439" s="127" t="n"/>
    </row>
    <row r="440" ht="15" customHeight="1" s="73">
      <c r="A440" s="124" t="n"/>
      <c r="B440" s="125" t="n"/>
      <c r="C440" s="126" t="n"/>
      <c r="D440" s="129" t="n"/>
      <c r="E440" s="127" t="n"/>
    </row>
    <row r="441" ht="15" customHeight="1" s="73">
      <c r="A441" s="124" t="n"/>
      <c r="B441" s="125" t="n"/>
      <c r="C441" s="126" t="n"/>
      <c r="D441" s="129" t="n"/>
      <c r="E441" s="127" t="n"/>
    </row>
    <row r="442" ht="15" customHeight="1" s="73">
      <c r="A442" s="124" t="n"/>
      <c r="B442" s="125" t="n"/>
      <c r="C442" s="126" t="n"/>
      <c r="D442" s="129" t="n"/>
      <c r="E442" s="127" t="n"/>
    </row>
    <row r="443" ht="15" customHeight="1" s="73">
      <c r="A443" s="124" t="n"/>
      <c r="B443" s="125" t="n"/>
      <c r="C443" s="126" t="n"/>
      <c r="D443" s="129" t="n"/>
      <c r="E443" s="127" t="n"/>
    </row>
    <row r="444" ht="15" customHeight="1" s="73">
      <c r="A444" s="124" t="n"/>
      <c r="B444" s="125" t="n"/>
      <c r="C444" s="126" t="n"/>
      <c r="D444" s="129" t="n"/>
      <c r="E444" s="127" t="n"/>
    </row>
    <row r="445" ht="15" customHeight="1" s="73">
      <c r="A445" s="124" t="n"/>
      <c r="B445" s="125" t="n"/>
      <c r="C445" s="126" t="n"/>
      <c r="D445" s="129" t="n"/>
      <c r="E445" s="127" t="n"/>
    </row>
    <row r="446" ht="15" customHeight="1" s="73">
      <c r="A446" s="124" t="n"/>
      <c r="B446" s="125" t="n"/>
      <c r="C446" s="126" t="n"/>
      <c r="D446" s="129" t="n"/>
      <c r="E446" s="127" t="n"/>
    </row>
    <row r="447" ht="15" customHeight="1" s="73">
      <c r="A447" s="124" t="n"/>
      <c r="B447" s="125" t="n"/>
      <c r="C447" s="126" t="n"/>
      <c r="D447" s="129" t="n"/>
      <c r="E447" s="127" t="n"/>
    </row>
    <row r="448" ht="15" customHeight="1" s="73">
      <c r="A448" s="124" t="n"/>
      <c r="B448" s="125" t="n"/>
      <c r="C448" s="126" t="n"/>
      <c r="D448" s="129" t="n"/>
      <c r="E448" s="127" t="n"/>
    </row>
    <row r="449" ht="15" customHeight="1" s="73">
      <c r="A449" s="124" t="n"/>
      <c r="B449" s="125" t="n"/>
      <c r="C449" s="126" t="n"/>
      <c r="D449" s="129" t="n"/>
      <c r="E449" s="127" t="n"/>
    </row>
    <row r="450" ht="15" customHeight="1" s="73">
      <c r="A450" s="124" t="n"/>
      <c r="B450" s="125" t="n"/>
      <c r="C450" s="126" t="n"/>
      <c r="D450" s="129" t="n"/>
      <c r="E450" s="127" t="n"/>
    </row>
    <row r="451" ht="15" customHeight="1" s="73">
      <c r="A451" s="124" t="n"/>
      <c r="B451" s="125" t="n"/>
      <c r="C451" s="126" t="n"/>
      <c r="D451" s="129" t="n"/>
      <c r="E451" s="127" t="n"/>
    </row>
    <row r="452" ht="15" customHeight="1" s="73">
      <c r="A452" s="124" t="n"/>
      <c r="B452" s="125" t="n"/>
      <c r="C452" s="126" t="n"/>
      <c r="D452" s="129" t="n"/>
      <c r="E452" s="127" t="n"/>
    </row>
    <row r="453" ht="15" customHeight="1" s="73">
      <c r="A453" s="124" t="n"/>
      <c r="B453" s="125" t="n"/>
      <c r="C453" s="126" t="n"/>
      <c r="D453" s="129" t="n"/>
      <c r="E453" s="127" t="n"/>
    </row>
    <row r="454" ht="15" customHeight="1" s="73">
      <c r="A454" s="124" t="n"/>
      <c r="B454" s="125" t="n"/>
      <c r="C454" s="126" t="n"/>
      <c r="D454" s="129" t="n"/>
      <c r="E454" s="127" t="n"/>
    </row>
    <row r="455" ht="15" customHeight="1" s="73">
      <c r="A455" s="124" t="n"/>
      <c r="B455" s="125" t="n"/>
      <c r="C455" s="126" t="n"/>
      <c r="D455" s="129" t="n"/>
      <c r="E455" s="127" t="n"/>
    </row>
    <row r="456" ht="15" customHeight="1" s="73">
      <c r="A456" s="124" t="n"/>
      <c r="B456" s="125" t="n"/>
      <c r="C456" s="126" t="n"/>
      <c r="D456" s="129" t="n"/>
      <c r="E456" s="127" t="n"/>
    </row>
    <row r="457" ht="15" customHeight="1" s="73">
      <c r="A457" s="124" t="n"/>
      <c r="B457" s="125" t="n"/>
      <c r="C457" s="126" t="n"/>
      <c r="D457" s="129" t="n"/>
      <c r="E457" s="127" t="n"/>
    </row>
    <row r="458" ht="15" customHeight="1" s="73">
      <c r="A458" s="124" t="n"/>
      <c r="B458" s="125" t="n"/>
      <c r="C458" s="126" t="n"/>
      <c r="D458" s="129" t="n"/>
      <c r="E458" s="127" t="n"/>
    </row>
    <row r="459" ht="15" customHeight="1" s="73">
      <c r="A459" s="124" t="n"/>
      <c r="B459" s="125" t="n"/>
      <c r="C459" s="126" t="n"/>
      <c r="D459" s="129" t="n"/>
      <c r="E459" s="127" t="n"/>
    </row>
    <row r="460" ht="15" customHeight="1" s="73">
      <c r="A460" s="124" t="n"/>
      <c r="B460" s="125" t="n"/>
      <c r="C460" s="126" t="n"/>
      <c r="D460" s="129" t="n"/>
      <c r="E460" s="127" t="n"/>
    </row>
    <row r="461" ht="15" customHeight="1" s="73">
      <c r="A461" s="124" t="n"/>
      <c r="B461" s="125" t="n"/>
      <c r="C461" s="126" t="n"/>
      <c r="D461" s="129" t="n"/>
      <c r="E461" s="127" t="n"/>
    </row>
    <row r="462" ht="15" customHeight="1" s="73">
      <c r="A462" s="124" t="n"/>
      <c r="B462" s="125" t="n"/>
      <c r="C462" s="126" t="n"/>
      <c r="D462" s="129" t="n"/>
      <c r="E462" s="127" t="n"/>
    </row>
    <row r="463" ht="15" customHeight="1" s="73">
      <c r="A463" s="124" t="n"/>
      <c r="B463" s="125" t="n"/>
      <c r="C463" s="126" t="n"/>
      <c r="D463" s="129" t="n"/>
      <c r="E463" s="127" t="n"/>
    </row>
    <row r="464" ht="15" customHeight="1" s="73">
      <c r="A464" s="124" t="n"/>
      <c r="B464" s="125" t="n"/>
      <c r="C464" s="126" t="n"/>
      <c r="D464" s="129" t="n"/>
      <c r="E464" s="127" t="n"/>
    </row>
    <row r="465" ht="15" customHeight="1" s="73">
      <c r="A465" s="124" t="n"/>
      <c r="B465" s="125" t="n"/>
      <c r="C465" s="126" t="n"/>
      <c r="D465" s="129" t="n"/>
      <c r="E465" s="127" t="n"/>
    </row>
    <row r="466" ht="15" customHeight="1" s="73">
      <c r="A466" s="124" t="n"/>
      <c r="B466" s="125" t="n"/>
      <c r="C466" s="126" t="n"/>
      <c r="D466" s="129" t="n"/>
      <c r="E466" s="127" t="n"/>
    </row>
    <row r="467" ht="15" customHeight="1" s="73">
      <c r="A467" s="124" t="n"/>
      <c r="B467" s="125" t="n"/>
      <c r="C467" s="126" t="n"/>
      <c r="D467" s="129" t="n"/>
      <c r="E467" s="127" t="n"/>
    </row>
    <row r="468" ht="15" customHeight="1" s="73">
      <c r="A468" s="124" t="n"/>
      <c r="B468" s="125" t="n"/>
      <c r="C468" s="126" t="n"/>
      <c r="D468" s="129" t="n"/>
      <c r="E468" s="127" t="n"/>
    </row>
    <row r="469" ht="15" customHeight="1" s="73">
      <c r="A469" s="124" t="n"/>
      <c r="B469" s="125" t="n"/>
      <c r="C469" s="126" t="n"/>
      <c r="D469" s="129" t="n"/>
      <c r="E469" s="127" t="n"/>
    </row>
    <row r="470" ht="15" customHeight="1" s="73">
      <c r="A470" s="124" t="n"/>
      <c r="B470" s="125" t="n"/>
      <c r="C470" s="126" t="n"/>
      <c r="D470" s="129" t="n"/>
      <c r="E470" s="127" t="n"/>
    </row>
    <row r="471" ht="15" customHeight="1" s="73">
      <c r="A471" s="124" t="n"/>
      <c r="B471" s="125" t="n"/>
      <c r="C471" s="126" t="n"/>
      <c r="D471" s="129" t="n"/>
      <c r="E471" s="127" t="n"/>
    </row>
    <row r="472" ht="15" customHeight="1" s="73">
      <c r="A472" s="124" t="n"/>
      <c r="B472" s="125" t="n"/>
      <c r="C472" s="126" t="n"/>
      <c r="D472" s="129" t="n"/>
      <c r="E472" s="127" t="n"/>
    </row>
    <row r="473" ht="15" customHeight="1" s="73">
      <c r="A473" s="124" t="n"/>
      <c r="B473" s="125" t="n"/>
      <c r="C473" s="126" t="n"/>
      <c r="D473" s="129" t="n"/>
      <c r="E473" s="127" t="n"/>
    </row>
    <row r="474" ht="15" customHeight="1" s="73">
      <c r="A474" s="124" t="n"/>
      <c r="B474" s="125" t="n"/>
      <c r="C474" s="126" t="n"/>
      <c r="D474" s="129" t="n"/>
      <c r="E474" s="127" t="n"/>
    </row>
    <row r="475" ht="15" customHeight="1" s="73">
      <c r="A475" s="124" t="n"/>
      <c r="B475" s="125" t="n"/>
      <c r="C475" s="126" t="n"/>
      <c r="D475" s="129" t="n"/>
      <c r="E475" s="127" t="n"/>
    </row>
    <row r="476" ht="15" customHeight="1" s="73">
      <c r="A476" s="124" t="n"/>
      <c r="B476" s="125" t="n"/>
      <c r="C476" s="126" t="n"/>
      <c r="D476" s="129" t="n"/>
      <c r="E476" s="127" t="n"/>
    </row>
    <row r="477" ht="15" customHeight="1" s="73">
      <c r="A477" s="124" t="n"/>
      <c r="B477" s="125" t="n"/>
      <c r="C477" s="126" t="n"/>
      <c r="D477" s="129" t="n"/>
      <c r="E477" s="127" t="n"/>
    </row>
    <row r="478" ht="15" customHeight="1" s="73">
      <c r="A478" s="124" t="n"/>
      <c r="B478" s="125" t="n"/>
      <c r="C478" s="126" t="n"/>
      <c r="D478" s="129" t="n"/>
      <c r="E478" s="127" t="n"/>
    </row>
    <row r="479" ht="15" customHeight="1" s="73">
      <c r="A479" s="124" t="n"/>
      <c r="B479" s="125" t="n"/>
      <c r="C479" s="126" t="n"/>
      <c r="D479" s="129" t="n"/>
      <c r="E479" s="127" t="n"/>
    </row>
    <row r="480" ht="15" customHeight="1" s="73">
      <c r="A480" s="124" t="n"/>
      <c r="B480" s="125" t="n"/>
      <c r="C480" s="126" t="n"/>
      <c r="D480" s="129" t="n"/>
      <c r="E480" s="127" t="n"/>
    </row>
    <row r="481" ht="15" customHeight="1" s="73">
      <c r="A481" s="124" t="n"/>
      <c r="B481" s="125" t="n"/>
      <c r="C481" s="126" t="n"/>
      <c r="D481" s="129" t="n"/>
      <c r="E481" s="127" t="n"/>
    </row>
    <row r="482" ht="15" customHeight="1" s="73">
      <c r="A482" s="124" t="n"/>
      <c r="B482" s="125" t="n"/>
      <c r="C482" s="126" t="n"/>
      <c r="D482" s="129" t="n"/>
      <c r="E482" s="127" t="n"/>
    </row>
    <row r="483" ht="15" customHeight="1" s="73">
      <c r="A483" s="124" t="n"/>
      <c r="B483" s="125" t="n"/>
      <c r="C483" s="126" t="n"/>
      <c r="D483" s="129" t="n"/>
      <c r="E483" s="127" t="n"/>
    </row>
    <row r="484" ht="15" customHeight="1" s="73">
      <c r="A484" s="124" t="n"/>
      <c r="B484" s="125" t="n"/>
      <c r="C484" s="126" t="n"/>
      <c r="D484" s="129" t="n"/>
      <c r="E484" s="127" t="n"/>
    </row>
    <row r="485" ht="15" customHeight="1" s="73">
      <c r="A485" s="124" t="n"/>
      <c r="B485" s="125" t="n"/>
      <c r="C485" s="126" t="n"/>
      <c r="D485" s="129" t="n"/>
      <c r="E485" s="127" t="n"/>
    </row>
    <row r="486" ht="15" customHeight="1" s="73">
      <c r="A486" s="124" t="n"/>
      <c r="B486" s="125" t="n"/>
      <c r="C486" s="126" t="n"/>
      <c r="D486" s="129" t="n"/>
      <c r="E486" s="127" t="n"/>
    </row>
    <row r="487" ht="15" customHeight="1" s="73">
      <c r="A487" s="124" t="n"/>
      <c r="B487" s="125" t="n"/>
      <c r="C487" s="126" t="n"/>
      <c r="D487" s="129" t="n"/>
      <c r="E487" s="127" t="n"/>
    </row>
    <row r="488" ht="15" customHeight="1" s="73">
      <c r="A488" s="124" t="n"/>
      <c r="B488" s="125" t="n"/>
      <c r="C488" s="126" t="n"/>
      <c r="D488" s="129" t="n"/>
      <c r="E488" s="127" t="n"/>
    </row>
    <row r="489" ht="15" customHeight="1" s="73">
      <c r="A489" s="124" t="n"/>
      <c r="B489" s="125" t="n"/>
      <c r="C489" s="126" t="n"/>
      <c r="D489" s="129" t="n"/>
      <c r="E489" s="127" t="n"/>
    </row>
    <row r="490" ht="15" customHeight="1" s="73">
      <c r="A490" s="124" t="n"/>
      <c r="B490" s="125" t="n"/>
      <c r="C490" s="126" t="n"/>
      <c r="D490" s="129" t="n"/>
      <c r="E490" s="127" t="n"/>
    </row>
    <row r="491" ht="15" customHeight="1" s="73">
      <c r="A491" s="124" t="n"/>
      <c r="B491" s="125" t="n"/>
      <c r="C491" s="126" t="n"/>
      <c r="D491" s="129" t="n"/>
      <c r="E491" s="127" t="n"/>
    </row>
    <row r="492" ht="15" customHeight="1" s="73">
      <c r="A492" s="124" t="n"/>
      <c r="B492" s="125" t="n"/>
      <c r="C492" s="126" t="n"/>
      <c r="D492" s="129" t="n"/>
      <c r="E492" s="127" t="n"/>
    </row>
    <row r="493" ht="15" customHeight="1" s="73">
      <c r="A493" s="124" t="n"/>
      <c r="B493" s="125" t="n"/>
      <c r="C493" s="126" t="n"/>
      <c r="D493" s="129" t="n"/>
      <c r="E493" s="127" t="n"/>
    </row>
    <row r="494" ht="15" customHeight="1" s="73">
      <c r="A494" s="124" t="n"/>
      <c r="B494" s="125" t="n"/>
      <c r="C494" s="126" t="n"/>
      <c r="D494" s="129" t="n"/>
      <c r="E494" s="127" t="n"/>
    </row>
    <row r="495" ht="15" customHeight="1" s="73">
      <c r="A495" s="124" t="n"/>
      <c r="B495" s="125" t="n"/>
      <c r="C495" s="126" t="n"/>
      <c r="D495" s="129" t="n"/>
      <c r="E495" s="127" t="n"/>
    </row>
    <row r="496" ht="15" customHeight="1" s="73">
      <c r="A496" s="124" t="n"/>
      <c r="B496" s="125" t="n"/>
      <c r="C496" s="126" t="n"/>
      <c r="D496" s="129" t="n"/>
      <c r="E496" s="127" t="n"/>
    </row>
    <row r="497" ht="15" customHeight="1" s="73">
      <c r="A497" s="124" t="n"/>
      <c r="B497" s="125" t="n"/>
      <c r="C497" s="126" t="n"/>
      <c r="D497" s="129" t="n"/>
      <c r="E497" s="127" t="n"/>
    </row>
    <row r="498" ht="15" customHeight="1" s="73">
      <c r="A498" s="124" t="n"/>
      <c r="B498" s="125" t="n"/>
      <c r="C498" s="126" t="n"/>
      <c r="D498" s="129" t="n"/>
      <c r="E498" s="127" t="n"/>
    </row>
    <row r="499" ht="15" customHeight="1" s="73">
      <c r="A499" s="124" t="n"/>
      <c r="B499" s="125" t="n"/>
      <c r="C499" s="126" t="n"/>
      <c r="D499" s="129" t="n"/>
      <c r="E499" s="127" t="n"/>
    </row>
    <row r="500" ht="15" customHeight="1" s="73">
      <c r="A500" s="124" t="n"/>
      <c r="B500" s="125" t="n"/>
      <c r="C500" s="126" t="n"/>
      <c r="D500" s="129" t="n"/>
      <c r="E500" s="127" t="n"/>
    </row>
    <row r="501" ht="15" customHeight="1" s="73">
      <c r="A501" s="124" t="n"/>
      <c r="B501" s="125" t="n"/>
      <c r="C501" s="126" t="n"/>
      <c r="D501" s="129" t="n"/>
      <c r="E501" s="127" t="n"/>
    </row>
    <row r="502" ht="15" customHeight="1" s="73">
      <c r="A502" s="124" t="n"/>
      <c r="B502" s="125" t="n"/>
      <c r="C502" s="126" t="n"/>
      <c r="D502" s="129" t="n"/>
      <c r="E502" s="127" t="n"/>
    </row>
    <row r="503" ht="15" customHeight="1" s="73">
      <c r="A503" s="124" t="n"/>
      <c r="B503" s="125" t="n"/>
      <c r="C503" s="126" t="n"/>
      <c r="D503" s="129" t="n"/>
      <c r="E503" s="127" t="n"/>
    </row>
    <row r="504" ht="15" customHeight="1" s="73">
      <c r="A504" s="124" t="n"/>
      <c r="B504" s="125" t="n"/>
      <c r="C504" s="126" t="n"/>
      <c r="D504" s="129" t="n"/>
      <c r="E504" s="127" t="n"/>
    </row>
    <row r="505" ht="15" customHeight="1" s="73">
      <c r="A505" s="124" t="n"/>
      <c r="B505" s="125" t="n"/>
      <c r="C505" s="126" t="n"/>
      <c r="D505" s="129" t="n"/>
      <c r="E505" s="127" t="n"/>
    </row>
    <row r="506" ht="15" customHeight="1" s="73">
      <c r="A506" s="124" t="n"/>
      <c r="B506" s="125" t="n"/>
      <c r="C506" s="126" t="n"/>
      <c r="D506" s="129" t="n"/>
      <c r="E506" s="127" t="n"/>
    </row>
    <row r="507" ht="15" customHeight="1" s="73">
      <c r="A507" s="124" t="n"/>
      <c r="B507" s="125" t="n"/>
      <c r="C507" s="126" t="n"/>
      <c r="D507" s="129" t="n"/>
      <c r="E507" s="127" t="n"/>
    </row>
    <row r="508" ht="15" customHeight="1" s="73">
      <c r="A508" s="124" t="n"/>
      <c r="B508" s="125" t="n"/>
      <c r="C508" s="126" t="n"/>
      <c r="D508" s="129" t="n"/>
      <c r="E508" s="127" t="n"/>
    </row>
    <row r="509" ht="15" customHeight="1" s="73">
      <c r="A509" s="124" t="n"/>
      <c r="B509" s="125" t="n"/>
      <c r="C509" s="126" t="n"/>
      <c r="D509" s="129" t="n"/>
      <c r="E509" s="127" t="n"/>
    </row>
    <row r="510" ht="15" customHeight="1" s="73">
      <c r="A510" s="124" t="n"/>
      <c r="B510" s="125" t="n"/>
      <c r="C510" s="126" t="n"/>
      <c r="D510" s="129" t="n"/>
      <c r="E510" s="127" t="n"/>
    </row>
    <row r="511" ht="15" customHeight="1" s="73">
      <c r="A511" s="124" t="n"/>
      <c r="B511" s="125" t="n"/>
      <c r="C511" s="126" t="n"/>
      <c r="D511" s="129" t="n"/>
      <c r="E511" s="127" t="n"/>
    </row>
    <row r="512" ht="15" customHeight="1" s="73">
      <c r="A512" s="124" t="n"/>
      <c r="B512" s="125" t="n"/>
      <c r="C512" s="126" t="n"/>
      <c r="D512" s="129" t="n"/>
      <c r="E512" s="127" t="n"/>
    </row>
    <row r="513" ht="15" customHeight="1" s="73">
      <c r="A513" s="124" t="n"/>
      <c r="B513" s="125" t="n"/>
      <c r="C513" s="126" t="n"/>
      <c r="D513" s="129" t="n"/>
      <c r="E513" s="127" t="n"/>
    </row>
    <row r="514" ht="15" customHeight="1" s="73">
      <c r="A514" s="124" t="n"/>
      <c r="B514" s="125" t="n"/>
      <c r="C514" s="126" t="n"/>
      <c r="D514" s="129" t="n"/>
      <c r="E514" s="127" t="n"/>
    </row>
    <row r="515" ht="15" customHeight="1" s="73">
      <c r="A515" s="124" t="n"/>
      <c r="B515" s="125" t="n"/>
      <c r="C515" s="126" t="n"/>
      <c r="D515" s="129" t="n"/>
      <c r="E515" s="127" t="n"/>
    </row>
    <row r="516" ht="15" customHeight="1" s="73">
      <c r="A516" s="124" t="n"/>
      <c r="B516" s="125" t="n"/>
      <c r="C516" s="126" t="n"/>
      <c r="D516" s="129" t="n"/>
      <c r="E516" s="127" t="n"/>
    </row>
    <row r="517" ht="15" customHeight="1" s="73">
      <c r="A517" s="124" t="n"/>
      <c r="B517" s="125" t="n"/>
      <c r="C517" s="126" t="n"/>
      <c r="D517" s="129" t="n"/>
      <c r="E517" s="127" t="n"/>
    </row>
    <row r="518" ht="15" customHeight="1" s="73">
      <c r="A518" s="124" t="n"/>
      <c r="B518" s="125" t="n"/>
      <c r="C518" s="126" t="n"/>
      <c r="D518" s="129" t="n"/>
      <c r="E518" s="127" t="n"/>
    </row>
    <row r="519" ht="15" customHeight="1" s="73">
      <c r="A519" s="124" t="n"/>
      <c r="B519" s="125" t="n"/>
      <c r="C519" s="126" t="n"/>
      <c r="D519" s="129" t="n"/>
      <c r="E519" s="127" t="n"/>
    </row>
    <row r="520" ht="15" customHeight="1" s="73">
      <c r="A520" s="124" t="n"/>
      <c r="B520" s="125" t="n"/>
      <c r="C520" s="126" t="n"/>
      <c r="D520" s="129" t="n"/>
      <c r="E520" s="127" t="n"/>
    </row>
    <row r="521" ht="15" customHeight="1" s="73">
      <c r="A521" s="124" t="n"/>
      <c r="B521" s="125" t="n"/>
      <c r="C521" s="126" t="n"/>
      <c r="D521" s="129" t="n"/>
      <c r="E521" s="127" t="n"/>
    </row>
    <row r="522" ht="15" customHeight="1" s="73">
      <c r="A522" s="124" t="n"/>
      <c r="B522" s="125" t="n"/>
      <c r="C522" s="126" t="n"/>
      <c r="D522" s="129" t="n"/>
      <c r="E522" s="127" t="n"/>
    </row>
    <row r="523" ht="15" customHeight="1" s="73">
      <c r="A523" s="124" t="n"/>
      <c r="B523" s="125" t="n"/>
      <c r="C523" s="126" t="n"/>
      <c r="D523" s="129" t="n"/>
      <c r="E523" s="127" t="n"/>
    </row>
    <row r="524" ht="15" customHeight="1" s="73">
      <c r="A524" s="124" t="n"/>
      <c r="B524" s="125" t="n"/>
      <c r="C524" s="126" t="n"/>
      <c r="D524" s="129" t="n"/>
      <c r="E524" s="127" t="n"/>
    </row>
    <row r="525" ht="15" customHeight="1" s="73">
      <c r="A525" s="124" t="n"/>
      <c r="B525" s="125" t="n"/>
      <c r="C525" s="126" t="n"/>
      <c r="D525" s="129" t="n"/>
      <c r="E525" s="127" t="n"/>
    </row>
    <row r="526" ht="15" customHeight="1" s="73">
      <c r="A526" s="124" t="n"/>
      <c r="B526" s="125" t="n"/>
      <c r="C526" s="126" t="n"/>
      <c r="D526" s="129" t="n"/>
      <c r="E526" s="127" t="n"/>
    </row>
    <row r="527" ht="15" customHeight="1" s="73">
      <c r="A527" s="124" t="n"/>
      <c r="B527" s="125" t="n"/>
      <c r="C527" s="126" t="n"/>
      <c r="D527" s="129" t="n"/>
      <c r="E527" s="127" t="n"/>
    </row>
    <row r="528" ht="15" customHeight="1" s="73">
      <c r="A528" s="124" t="n"/>
      <c r="B528" s="125" t="n"/>
      <c r="C528" s="126" t="n"/>
      <c r="D528" s="129" t="n"/>
      <c r="E528" s="127" t="n"/>
    </row>
    <row r="529" ht="15" customHeight="1" s="73">
      <c r="A529" s="124" t="n"/>
      <c r="B529" s="125" t="n"/>
      <c r="C529" s="126" t="n"/>
      <c r="D529" s="129" t="n"/>
      <c r="E529" s="127" t="n"/>
    </row>
    <row r="530" ht="15" customHeight="1" s="73">
      <c r="A530" s="124" t="n"/>
      <c r="B530" s="125" t="n"/>
      <c r="C530" s="126" t="n"/>
      <c r="D530" s="129" t="n"/>
      <c r="E530" s="127" t="n"/>
    </row>
    <row r="531" ht="15" customHeight="1" s="73">
      <c r="A531" s="124" t="n"/>
      <c r="B531" s="125" t="n"/>
      <c r="C531" s="126" t="n"/>
      <c r="D531" s="129" t="n"/>
      <c r="E531" s="127" t="n"/>
    </row>
    <row r="532" ht="15" customHeight="1" s="73">
      <c r="A532" s="124" t="n"/>
      <c r="B532" s="125" t="n"/>
      <c r="C532" s="126" t="n"/>
      <c r="D532" s="129" t="n"/>
      <c r="E532" s="127" t="n"/>
    </row>
    <row r="533" ht="15" customHeight="1" s="73">
      <c r="A533" s="124" t="n"/>
      <c r="B533" s="125" t="n"/>
      <c r="C533" s="126" t="n"/>
      <c r="D533" s="129" t="n"/>
      <c r="E533" s="127" t="n"/>
    </row>
    <row r="534" ht="15" customHeight="1" s="73">
      <c r="A534" s="124" t="n"/>
      <c r="B534" s="125" t="n"/>
      <c r="C534" s="126" t="n"/>
      <c r="D534" s="129" t="n"/>
      <c r="E534" s="127" t="n"/>
    </row>
    <row r="535" ht="15" customHeight="1" s="73">
      <c r="A535" s="124" t="n"/>
      <c r="B535" s="125" t="n"/>
      <c r="C535" s="126" t="n"/>
      <c r="D535" s="129" t="n"/>
      <c r="E535" s="127" t="n"/>
    </row>
    <row r="536" ht="15" customHeight="1" s="73">
      <c r="A536" s="124" t="n"/>
      <c r="B536" s="125" t="n"/>
      <c r="C536" s="126" t="n"/>
      <c r="D536" s="129" t="n"/>
      <c r="E536" s="127" t="n"/>
    </row>
    <row r="537" ht="15" customHeight="1" s="73">
      <c r="A537" s="124" t="n"/>
      <c r="B537" s="125" t="n"/>
      <c r="C537" s="126" t="n"/>
      <c r="D537" s="129" t="n"/>
      <c r="E537" s="127" t="n"/>
    </row>
    <row r="538" ht="15" customHeight="1" s="73">
      <c r="A538" s="124" t="n"/>
      <c r="B538" s="125" t="n"/>
      <c r="C538" s="126" t="n"/>
      <c r="D538" s="129" t="n"/>
      <c r="E538" s="127" t="n"/>
    </row>
    <row r="539" ht="15" customHeight="1" s="73">
      <c r="A539" s="124" t="n"/>
      <c r="B539" s="125" t="n"/>
      <c r="C539" s="126" t="n"/>
      <c r="D539" s="129" t="n"/>
      <c r="E539" s="127" t="n"/>
    </row>
    <row r="540" ht="15" customHeight="1" s="73">
      <c r="A540" s="124" t="n"/>
      <c r="B540" s="125" t="n"/>
      <c r="C540" s="126" t="n"/>
      <c r="D540" s="129" t="n"/>
      <c r="E540" s="127" t="n"/>
    </row>
    <row r="541" ht="15" customHeight="1" s="73">
      <c r="A541" s="124" t="n"/>
      <c r="B541" s="125" t="n"/>
      <c r="C541" s="126" t="n"/>
      <c r="D541" s="129" t="n"/>
      <c r="E541" s="127" t="n"/>
    </row>
    <row r="542" ht="15" customHeight="1" s="73">
      <c r="A542" s="124" t="n"/>
      <c r="B542" s="125" t="n"/>
      <c r="C542" s="126" t="n"/>
      <c r="D542" s="129" t="n"/>
      <c r="E542" s="127" t="n"/>
    </row>
    <row r="543" ht="15" customHeight="1" s="73">
      <c r="A543" s="124" t="n"/>
      <c r="B543" s="125" t="n"/>
      <c r="C543" s="126" t="n"/>
      <c r="D543" s="129" t="n"/>
      <c r="E543" s="127" t="n"/>
    </row>
    <row r="544" ht="15" customHeight="1" s="73">
      <c r="A544" s="124" t="n"/>
      <c r="B544" s="125" t="n"/>
      <c r="C544" s="126" t="n"/>
      <c r="D544" s="129" t="n"/>
      <c r="E544" s="127" t="n"/>
    </row>
    <row r="545" ht="15" customHeight="1" s="73">
      <c r="A545" s="124" t="n"/>
      <c r="B545" s="125" t="n"/>
      <c r="C545" s="126" t="n"/>
      <c r="D545" s="129" t="n"/>
      <c r="E545" s="127" t="n"/>
    </row>
    <row r="546" ht="15" customHeight="1" s="73">
      <c r="A546" s="124" t="n"/>
      <c r="B546" s="125" t="n"/>
      <c r="C546" s="126" t="n"/>
      <c r="D546" s="129" t="n"/>
      <c r="E546" s="127" t="n"/>
    </row>
    <row r="547" ht="15" customHeight="1" s="73">
      <c r="A547" s="124" t="n"/>
      <c r="B547" s="125" t="n"/>
      <c r="C547" s="126" t="n"/>
      <c r="D547" s="129" t="n"/>
      <c r="E547" s="127" t="n"/>
    </row>
    <row r="548" ht="15" customHeight="1" s="73">
      <c r="A548" s="124" t="n"/>
      <c r="B548" s="125" t="n"/>
      <c r="C548" s="126" t="n"/>
      <c r="D548" s="129" t="n"/>
      <c r="E548" s="127" t="n"/>
    </row>
    <row r="549" ht="15" customHeight="1" s="73">
      <c r="A549" s="124" t="n"/>
      <c r="B549" s="125" t="n"/>
      <c r="C549" s="126" t="n"/>
      <c r="D549" s="129" t="n"/>
      <c r="E549" s="127" t="n"/>
    </row>
    <row r="550" ht="15" customHeight="1" s="73">
      <c r="A550" s="124" t="n"/>
      <c r="B550" s="125" t="n"/>
      <c r="C550" s="126" t="n"/>
      <c r="D550" s="129" t="n"/>
      <c r="E550" s="127" t="n"/>
    </row>
    <row r="551" ht="15" customHeight="1" s="73">
      <c r="A551" s="124" t="n"/>
      <c r="B551" s="125" t="n"/>
      <c r="C551" s="126" t="n"/>
      <c r="D551" s="129" t="n"/>
      <c r="E551" s="127" t="n"/>
    </row>
    <row r="552" ht="15" customHeight="1" s="73">
      <c r="A552" s="124" t="n"/>
      <c r="B552" s="125" t="n"/>
      <c r="C552" s="126" t="n"/>
      <c r="D552" s="129" t="n"/>
      <c r="E552" s="127" t="n"/>
    </row>
    <row r="553" ht="15" customHeight="1" s="73">
      <c r="A553" s="124" t="n"/>
      <c r="B553" s="125" t="n"/>
      <c r="C553" s="126" t="n"/>
      <c r="D553" s="129" t="n"/>
      <c r="E553" s="127" t="n"/>
    </row>
    <row r="554" ht="15" customHeight="1" s="73">
      <c r="A554" s="124" t="n"/>
      <c r="B554" s="125" t="n"/>
      <c r="C554" s="126" t="n"/>
      <c r="D554" s="129" t="n"/>
      <c r="E554" s="127" t="n"/>
    </row>
    <row r="555" ht="15" customHeight="1" s="73">
      <c r="A555" s="124" t="n"/>
      <c r="B555" s="125" t="n"/>
      <c r="C555" s="126" t="n"/>
      <c r="D555" s="129" t="n"/>
      <c r="E555" s="127" t="n"/>
    </row>
    <row r="556" ht="15" customHeight="1" s="73">
      <c r="A556" s="124" t="n"/>
      <c r="B556" s="125" t="n"/>
      <c r="C556" s="126" t="n"/>
      <c r="D556" s="129" t="n"/>
      <c r="E556" s="127" t="n"/>
    </row>
    <row r="557" ht="15" customHeight="1" s="73">
      <c r="A557" s="124" t="n"/>
      <c r="B557" s="125" t="n"/>
      <c r="C557" s="126" t="n"/>
      <c r="D557" s="129" t="n"/>
      <c r="E557" s="127" t="n"/>
    </row>
    <row r="558" ht="15" customHeight="1" s="73">
      <c r="A558" s="124" t="n"/>
      <c r="B558" s="125" t="n"/>
      <c r="C558" s="126" t="n"/>
      <c r="D558" s="129" t="n"/>
      <c r="E558" s="127" t="n"/>
    </row>
    <row r="559" ht="15" customHeight="1" s="73">
      <c r="A559" s="124" t="n"/>
      <c r="B559" s="125" t="n"/>
      <c r="C559" s="126" t="n"/>
      <c r="D559" s="129" t="n"/>
      <c r="E559" s="127" t="n"/>
    </row>
    <row r="560" ht="15" customHeight="1" s="73">
      <c r="A560" s="124" t="n"/>
      <c r="B560" s="125" t="n"/>
      <c r="C560" s="126" t="n"/>
      <c r="D560" s="129" t="n"/>
      <c r="E560" s="127" t="n"/>
    </row>
    <row r="561" ht="15" customHeight="1" s="73">
      <c r="A561" s="124" t="n"/>
      <c r="B561" s="125" t="n"/>
      <c r="C561" s="126" t="n"/>
      <c r="D561" s="129" t="n"/>
      <c r="E561" s="127" t="n"/>
    </row>
    <row r="562" ht="15" customHeight="1" s="73">
      <c r="A562" s="124" t="n"/>
      <c r="B562" s="125" t="n"/>
      <c r="C562" s="126" t="n"/>
      <c r="D562" s="129" t="n"/>
      <c r="E562" s="127" t="n"/>
    </row>
    <row r="563" ht="15" customHeight="1" s="73">
      <c r="A563" s="124" t="n"/>
      <c r="B563" s="125" t="n"/>
      <c r="C563" s="126" t="n"/>
      <c r="D563" s="129" t="n"/>
      <c r="E563" s="127" t="n"/>
    </row>
    <row r="564" ht="15" customHeight="1" s="73">
      <c r="A564" s="124" t="n"/>
      <c r="B564" s="125" t="n"/>
      <c r="C564" s="126" t="n"/>
      <c r="D564" s="129" t="n"/>
      <c r="E564" s="127" t="n"/>
    </row>
    <row r="565" ht="15" customHeight="1" s="73">
      <c r="A565" s="124" t="n"/>
      <c r="B565" s="125" t="n"/>
      <c r="C565" s="126" t="n"/>
      <c r="D565" s="129" t="n"/>
      <c r="E565" s="127" t="n"/>
    </row>
    <row r="566" ht="15" customHeight="1" s="73">
      <c r="A566" s="124" t="n"/>
      <c r="B566" s="125" t="n"/>
      <c r="C566" s="126" t="n"/>
      <c r="D566" s="129" t="n"/>
      <c r="E566" s="127" t="n"/>
    </row>
    <row r="567" ht="15" customHeight="1" s="73">
      <c r="A567" s="124" t="n"/>
      <c r="B567" s="125" t="n"/>
      <c r="C567" s="126" t="n"/>
      <c r="D567" s="129" t="n"/>
      <c r="E567" s="127" t="n"/>
    </row>
    <row r="568" ht="15" customHeight="1" s="73">
      <c r="A568" s="124" t="n"/>
      <c r="B568" s="125" t="n"/>
      <c r="C568" s="126" t="n"/>
      <c r="D568" s="129" t="n"/>
      <c r="E568" s="127" t="n"/>
    </row>
    <row r="569" ht="15" customHeight="1" s="73">
      <c r="A569" s="124" t="n"/>
      <c r="B569" s="125" t="n"/>
      <c r="C569" s="126" t="n"/>
      <c r="D569" s="129" t="n"/>
      <c r="E569" s="127" t="n"/>
    </row>
    <row r="570" ht="15" customHeight="1" s="73">
      <c r="A570" s="124" t="n"/>
      <c r="B570" s="125" t="n"/>
      <c r="C570" s="126" t="n"/>
      <c r="D570" s="129" t="n"/>
      <c r="E570" s="127" t="n"/>
    </row>
    <row r="571" ht="15" customHeight="1" s="73">
      <c r="A571" s="124" t="n"/>
      <c r="B571" s="125" t="n"/>
      <c r="C571" s="126" t="n"/>
      <c r="D571" s="129" t="n"/>
      <c r="E571" s="127" t="n"/>
    </row>
    <row r="572" ht="15" customHeight="1" s="73">
      <c r="A572" s="124" t="n"/>
      <c r="B572" s="125" t="n"/>
      <c r="C572" s="126" t="n"/>
      <c r="D572" s="129" t="n"/>
      <c r="E572" s="127" t="n"/>
    </row>
    <row r="573" ht="15" customHeight="1" s="73">
      <c r="A573" s="124" t="n"/>
      <c r="B573" s="125" t="n"/>
      <c r="C573" s="126" t="n"/>
      <c r="D573" s="129" t="n"/>
      <c r="E573" s="127" t="n"/>
    </row>
    <row r="574" ht="15" customHeight="1" s="73">
      <c r="A574" s="124" t="n"/>
      <c r="B574" s="125" t="n"/>
      <c r="C574" s="126" t="n"/>
      <c r="D574" s="129" t="n"/>
      <c r="E574" s="127" t="n"/>
    </row>
    <row r="575" ht="15" customHeight="1" s="73">
      <c r="A575" s="124" t="n"/>
      <c r="B575" s="125" t="n"/>
      <c r="C575" s="126" t="n"/>
      <c r="D575" s="129" t="n"/>
      <c r="E575" s="127" t="n"/>
    </row>
    <row r="576" ht="15" customHeight="1" s="73">
      <c r="A576" s="124" t="n"/>
      <c r="B576" s="125" t="n"/>
      <c r="C576" s="126" t="n"/>
      <c r="D576" s="129" t="n"/>
      <c r="E576" s="127" t="n"/>
    </row>
    <row r="577" ht="15" customHeight="1" s="73">
      <c r="A577" s="124" t="n"/>
      <c r="B577" s="125" t="n"/>
      <c r="C577" s="126" t="n"/>
      <c r="D577" s="129" t="n"/>
      <c r="E577" s="127" t="n"/>
    </row>
    <row r="578" ht="15" customHeight="1" s="73">
      <c r="A578" s="124" t="n"/>
      <c r="B578" s="125" t="n"/>
      <c r="C578" s="126" t="n"/>
      <c r="D578" s="129" t="n"/>
      <c r="E578" s="127" t="n"/>
    </row>
    <row r="579" ht="15" customHeight="1" s="73">
      <c r="A579" s="124" t="n"/>
      <c r="B579" s="125" t="n"/>
      <c r="C579" s="126" t="n"/>
      <c r="D579" s="129" t="n"/>
      <c r="E579" s="127" t="n"/>
    </row>
    <row r="580" ht="15" customHeight="1" s="73">
      <c r="A580" s="124" t="n"/>
      <c r="B580" s="125" t="n"/>
      <c r="C580" s="126" t="n"/>
      <c r="D580" s="129" t="n"/>
      <c r="E580" s="127" t="n"/>
    </row>
    <row r="581" ht="15" customHeight="1" s="73">
      <c r="A581" s="124" t="n"/>
      <c r="B581" s="125" t="n"/>
      <c r="C581" s="126" t="n"/>
      <c r="D581" s="129" t="n"/>
      <c r="E581" s="127" t="n"/>
    </row>
    <row r="582" ht="15" customHeight="1" s="73">
      <c r="A582" s="124" t="n"/>
      <c r="B582" s="125" t="n"/>
      <c r="C582" s="126" t="n"/>
      <c r="D582" s="129" t="n"/>
      <c r="E582" s="127" t="n"/>
    </row>
    <row r="583" ht="15" customHeight="1" s="73">
      <c r="A583" s="124" t="n"/>
      <c r="B583" s="125" t="n"/>
      <c r="C583" s="126" t="n"/>
      <c r="D583" s="129" t="n"/>
      <c r="E583" s="127" t="n"/>
    </row>
    <row r="584" ht="15" customHeight="1" s="73">
      <c r="A584" s="124" t="n"/>
      <c r="B584" s="125" t="n"/>
      <c r="C584" s="126" t="n"/>
      <c r="D584" s="129" t="n"/>
      <c r="E584" s="127" t="n"/>
    </row>
    <row r="585" ht="15" customHeight="1" s="73">
      <c r="A585" s="124" t="n"/>
      <c r="B585" s="125" t="n"/>
      <c r="C585" s="126" t="n"/>
      <c r="D585" s="129" t="n"/>
      <c r="E585" s="127" t="n"/>
    </row>
    <row r="586" ht="15" customHeight="1" s="73">
      <c r="A586" s="124" t="n"/>
      <c r="B586" s="125" t="n"/>
      <c r="C586" s="126" t="n"/>
      <c r="D586" s="129" t="n"/>
      <c r="E586" s="127" t="n"/>
    </row>
    <row r="587" ht="15" customHeight="1" s="73">
      <c r="A587" s="124" t="n"/>
      <c r="B587" s="125" t="n"/>
      <c r="C587" s="126" t="n"/>
      <c r="D587" s="129" t="n"/>
      <c r="E587" s="127" t="n"/>
    </row>
    <row r="588" ht="15" customHeight="1" s="73">
      <c r="A588" s="124" t="n"/>
      <c r="B588" s="125" t="n"/>
      <c r="C588" s="126" t="n"/>
      <c r="D588" s="129" t="n"/>
      <c r="E588" s="127" t="n"/>
    </row>
    <row r="589" ht="15" customHeight="1" s="73">
      <c r="A589" s="124" t="n"/>
      <c r="B589" s="125" t="n"/>
      <c r="C589" s="126" t="n"/>
      <c r="D589" s="129" t="n"/>
      <c r="E589" s="127" t="n"/>
    </row>
    <row r="590" ht="15" customHeight="1" s="73">
      <c r="A590" s="124" t="n"/>
      <c r="B590" s="125" t="n"/>
      <c r="C590" s="126" t="n"/>
      <c r="D590" s="129" t="n"/>
      <c r="E590" s="127" t="n"/>
    </row>
    <row r="591" ht="15" customHeight="1" s="73">
      <c r="A591" s="124" t="n"/>
      <c r="B591" s="125" t="n"/>
      <c r="C591" s="126" t="n"/>
      <c r="D591" s="129" t="n"/>
      <c r="E591" s="127" t="n"/>
    </row>
    <row r="592" ht="15" customHeight="1" s="73">
      <c r="A592" s="124" t="n"/>
      <c r="B592" s="125" t="n"/>
      <c r="C592" s="126" t="n"/>
      <c r="D592" s="129" t="n"/>
      <c r="E592" s="127" t="n"/>
    </row>
    <row r="593" ht="15" customHeight="1" s="73">
      <c r="A593" s="124" t="n"/>
      <c r="B593" s="125" t="n"/>
      <c r="C593" s="126" t="n"/>
      <c r="D593" s="129" t="n"/>
      <c r="E593" s="127" t="n"/>
    </row>
    <row r="594" ht="15" customHeight="1" s="73">
      <c r="A594" s="124" t="n"/>
      <c r="B594" s="125" t="n"/>
      <c r="C594" s="126" t="n"/>
      <c r="D594" s="129" t="n"/>
      <c r="E594" s="127" t="n"/>
    </row>
    <row r="595" ht="15" customHeight="1" s="73">
      <c r="A595" s="124" t="n"/>
      <c r="B595" s="125" t="n"/>
      <c r="C595" s="126" t="n"/>
      <c r="D595" s="129" t="n"/>
      <c r="E595" s="127" t="n"/>
    </row>
    <row r="596" ht="15" customHeight="1" s="73">
      <c r="A596" s="124" t="n"/>
      <c r="B596" s="125" t="n"/>
      <c r="C596" s="126" t="n"/>
      <c r="D596" s="129" t="n"/>
      <c r="E596" s="127" t="n"/>
    </row>
    <row r="597" ht="15" customHeight="1" s="73">
      <c r="A597" s="124" t="n"/>
      <c r="B597" s="125" t="n"/>
      <c r="C597" s="126" t="n"/>
      <c r="D597" s="129" t="n"/>
      <c r="E597" s="127" t="n"/>
    </row>
    <row r="598" ht="15" customHeight="1" s="73">
      <c r="A598" s="124" t="n"/>
      <c r="B598" s="125" t="n"/>
      <c r="C598" s="126" t="n"/>
      <c r="D598" s="129" t="n"/>
      <c r="E598" s="127" t="n"/>
    </row>
    <row r="599" ht="15" customHeight="1" s="73">
      <c r="A599" s="124" t="n"/>
      <c r="B599" s="125" t="n"/>
      <c r="C599" s="126" t="n"/>
      <c r="D599" s="129" t="n"/>
      <c r="E599" s="127" t="n"/>
    </row>
    <row r="600" ht="15" customHeight="1" s="73">
      <c r="A600" s="124" t="n"/>
      <c r="B600" s="125" t="n"/>
      <c r="C600" s="126" t="n"/>
      <c r="D600" s="129" t="n"/>
      <c r="E600" s="127" t="n"/>
    </row>
    <row r="601" ht="15" customHeight="1" s="73">
      <c r="A601" s="124" t="n"/>
      <c r="B601" s="125" t="n"/>
      <c r="C601" s="126" t="n"/>
      <c r="D601" s="129" t="n"/>
      <c r="E601" s="127" t="n"/>
    </row>
    <row r="602" ht="15" customHeight="1" s="73">
      <c r="A602" s="124" t="n"/>
      <c r="B602" s="125" t="n"/>
      <c r="C602" s="126" t="n"/>
      <c r="D602" s="129" t="n"/>
      <c r="E602" s="127" t="n"/>
    </row>
    <row r="603" ht="15" customHeight="1" s="73">
      <c r="A603" s="124" t="n"/>
      <c r="B603" s="125" t="n"/>
      <c r="C603" s="126" t="n"/>
      <c r="D603" s="129" t="n"/>
      <c r="E603" s="127" t="n"/>
    </row>
    <row r="604" ht="15" customHeight="1" s="73">
      <c r="A604" s="124" t="n"/>
      <c r="B604" s="125" t="n"/>
      <c r="C604" s="126" t="n"/>
      <c r="D604" s="129" t="n"/>
      <c r="E604" s="127" t="n"/>
    </row>
    <row r="605" ht="15" customHeight="1" s="73">
      <c r="A605" s="124" t="n"/>
      <c r="B605" s="125" t="n"/>
      <c r="C605" s="126" t="n"/>
      <c r="D605" s="129" t="n"/>
      <c r="E605" s="127" t="n"/>
    </row>
    <row r="606" ht="15" customHeight="1" s="73">
      <c r="A606" s="124" t="n"/>
      <c r="B606" s="125" t="n"/>
      <c r="C606" s="126" t="n"/>
      <c r="D606" s="129" t="n"/>
      <c r="E606" s="127" t="n"/>
    </row>
    <row r="607" ht="15" customHeight="1" s="73">
      <c r="A607" s="124" t="n"/>
      <c r="B607" s="125" t="n"/>
      <c r="C607" s="126" t="n"/>
      <c r="D607" s="129" t="n"/>
      <c r="E607" s="127" t="n"/>
    </row>
    <row r="608" ht="15" customHeight="1" s="73">
      <c r="A608" s="124" t="n"/>
      <c r="B608" s="125" t="n"/>
      <c r="C608" s="126" t="n"/>
      <c r="D608" s="129" t="n"/>
      <c r="E608" s="127" t="n"/>
    </row>
    <row r="609" ht="15" customHeight="1" s="73">
      <c r="A609" s="124" t="n"/>
      <c r="B609" s="125" t="n"/>
      <c r="C609" s="126" t="n"/>
      <c r="D609" s="129" t="n"/>
      <c r="E609" s="127" t="n"/>
    </row>
    <row r="610" ht="15" customHeight="1" s="73">
      <c r="A610" s="124" t="n"/>
      <c r="B610" s="125" t="n"/>
      <c r="C610" s="126" t="n"/>
      <c r="D610" s="129" t="n"/>
      <c r="E610" s="127" t="n"/>
    </row>
    <row r="611" ht="15" customHeight="1" s="73">
      <c r="A611" s="124" t="n"/>
      <c r="B611" s="125" t="n"/>
      <c r="C611" s="126" t="n"/>
      <c r="D611" s="129" t="n"/>
      <c r="E611" s="127" t="n"/>
    </row>
    <row r="612" ht="15" customHeight="1" s="73">
      <c r="A612" s="124" t="n"/>
      <c r="B612" s="125" t="n"/>
      <c r="C612" s="126" t="n"/>
      <c r="D612" s="129" t="n"/>
      <c r="E612" s="127" t="n"/>
    </row>
    <row r="613" ht="15" customHeight="1" s="73">
      <c r="A613" s="124" t="n"/>
      <c r="B613" s="125" t="n"/>
      <c r="C613" s="126" t="n"/>
      <c r="D613" s="129" t="n"/>
      <c r="E613" s="127" t="n"/>
    </row>
    <row r="614" ht="15" customHeight="1" s="73">
      <c r="A614" s="124" t="n"/>
      <c r="B614" s="125" t="n"/>
      <c r="C614" s="126" t="n"/>
      <c r="D614" s="129" t="n"/>
      <c r="E614" s="127" t="n"/>
    </row>
    <row r="615" ht="15" customHeight="1" s="73">
      <c r="A615" s="124" t="n"/>
      <c r="B615" s="125" t="n"/>
      <c r="C615" s="126" t="n"/>
      <c r="D615" s="129" t="n"/>
      <c r="E615" s="127" t="n"/>
    </row>
    <row r="616" ht="15" customHeight="1" s="73">
      <c r="A616" s="124" t="n"/>
      <c r="B616" s="125" t="n"/>
      <c r="C616" s="126" t="n"/>
      <c r="D616" s="129" t="n"/>
      <c r="E616" s="127" t="n"/>
    </row>
    <row r="617" ht="15" customHeight="1" s="73">
      <c r="A617" s="124" t="n"/>
      <c r="B617" s="125" t="n"/>
      <c r="C617" s="126" t="n"/>
      <c r="D617" s="129" t="n"/>
      <c r="E617" s="127" t="n"/>
    </row>
    <row r="618" ht="15" customHeight="1" s="73">
      <c r="A618" s="124" t="n"/>
      <c r="B618" s="125" t="n"/>
      <c r="C618" s="126" t="n"/>
      <c r="D618" s="129" t="n"/>
      <c r="E618" s="127" t="n"/>
    </row>
    <row r="619" ht="15" customHeight="1" s="73">
      <c r="A619" s="124" t="n"/>
      <c r="B619" s="125" t="n"/>
      <c r="C619" s="126" t="n"/>
      <c r="D619" s="129" t="n"/>
      <c r="E619" s="127" t="n"/>
    </row>
    <row r="620" ht="15" customHeight="1" s="73">
      <c r="A620" s="124" t="n"/>
      <c r="B620" s="125" t="n"/>
      <c r="C620" s="126" t="n"/>
      <c r="D620" s="129" t="n"/>
      <c r="E620" s="127" t="n"/>
    </row>
    <row r="621" ht="15" customHeight="1" s="73">
      <c r="A621" s="124" t="n"/>
      <c r="B621" s="125" t="n"/>
      <c r="C621" s="126" t="n"/>
      <c r="D621" s="129" t="n"/>
      <c r="E621" s="127" t="n"/>
    </row>
    <row r="622" ht="15" customHeight="1" s="73">
      <c r="A622" s="124" t="n"/>
      <c r="B622" s="125" t="n"/>
      <c r="C622" s="126" t="n"/>
      <c r="D622" s="129" t="n"/>
      <c r="E622" s="127" t="n"/>
    </row>
    <row r="623" ht="15" customHeight="1" s="73">
      <c r="A623" s="124" t="n"/>
      <c r="B623" s="125" t="n"/>
      <c r="C623" s="126" t="n"/>
      <c r="D623" s="129" t="n"/>
      <c r="E623" s="127" t="n"/>
    </row>
    <row r="624" ht="15" customHeight="1" s="73">
      <c r="A624" s="124" t="n"/>
      <c r="B624" s="125" t="n"/>
      <c r="C624" s="126" t="n"/>
      <c r="D624" s="129" t="n"/>
      <c r="E624" s="127" t="n"/>
    </row>
    <row r="625" ht="15" customHeight="1" s="73">
      <c r="A625" s="124" t="n"/>
      <c r="B625" s="125" t="n"/>
      <c r="C625" s="126" t="n"/>
      <c r="D625" s="129" t="n"/>
      <c r="E625" s="127" t="n"/>
    </row>
    <row r="626" ht="15" customHeight="1" s="73">
      <c r="A626" s="124" t="n"/>
      <c r="B626" s="125" t="n"/>
      <c r="C626" s="126" t="n"/>
      <c r="D626" s="129" t="n"/>
      <c r="E626" s="127" t="n"/>
    </row>
    <row r="627" ht="15" customHeight="1" s="73">
      <c r="A627" s="124" t="n"/>
      <c r="B627" s="125" t="n"/>
      <c r="C627" s="126" t="n"/>
      <c r="D627" s="129" t="n"/>
      <c r="E627" s="127" t="n"/>
    </row>
    <row r="628" ht="15" customHeight="1" s="73">
      <c r="A628" s="124" t="n"/>
      <c r="B628" s="125" t="n"/>
      <c r="C628" s="126" t="n"/>
      <c r="D628" s="129" t="n"/>
      <c r="E628" s="127" t="n"/>
    </row>
    <row r="629" ht="15" customHeight="1" s="73">
      <c r="A629" s="124" t="n"/>
      <c r="B629" s="125" t="n"/>
      <c r="C629" s="126" t="n"/>
      <c r="D629" s="129" t="n"/>
      <c r="E629" s="127" t="n"/>
    </row>
    <row r="630" ht="15" customHeight="1" s="73">
      <c r="A630" s="124" t="n"/>
      <c r="B630" s="125" t="n"/>
      <c r="C630" s="126" t="n"/>
      <c r="D630" s="129" t="n"/>
      <c r="E630" s="127" t="n"/>
    </row>
    <row r="631" ht="15" customHeight="1" s="73">
      <c r="A631" s="124" t="n"/>
      <c r="B631" s="125" t="n"/>
      <c r="C631" s="126" t="n"/>
      <c r="D631" s="129" t="n"/>
      <c r="E631" s="127" t="n"/>
    </row>
    <row r="632" ht="15" customHeight="1" s="73">
      <c r="A632" s="124" t="n"/>
      <c r="B632" s="125" t="n"/>
      <c r="C632" s="126" t="n"/>
      <c r="D632" s="129" t="n"/>
      <c r="E632" s="127" t="n"/>
    </row>
    <row r="633" ht="15" customHeight="1" s="73">
      <c r="A633" s="124" t="n"/>
      <c r="B633" s="125" t="n"/>
      <c r="C633" s="126" t="n"/>
      <c r="D633" s="129" t="n"/>
      <c r="E633" s="127" t="n"/>
    </row>
    <row r="634" ht="15" customHeight="1" s="73">
      <c r="A634" s="124" t="n"/>
      <c r="B634" s="125" t="n"/>
      <c r="C634" s="126" t="n"/>
      <c r="D634" s="129" t="n"/>
      <c r="E634" s="127" t="n"/>
    </row>
    <row r="635" ht="15" customHeight="1" s="73">
      <c r="A635" s="124" t="n"/>
      <c r="B635" s="125" t="n"/>
      <c r="C635" s="126" t="n"/>
      <c r="D635" s="129" t="n"/>
      <c r="E635" s="127" t="n"/>
    </row>
    <row r="636" ht="15" customHeight="1" s="73">
      <c r="A636" s="124" t="n"/>
      <c r="B636" s="125" t="n"/>
      <c r="C636" s="126" t="n"/>
      <c r="D636" s="129" t="n"/>
      <c r="E636" s="127" t="n"/>
    </row>
    <row r="637" ht="15" customHeight="1" s="73">
      <c r="A637" s="124" t="n"/>
      <c r="B637" s="125" t="n"/>
      <c r="C637" s="126" t="n"/>
      <c r="D637" s="129" t="n"/>
      <c r="E637" s="127" t="n"/>
    </row>
    <row r="638" ht="15" customHeight="1" s="73">
      <c r="A638" s="124" t="n"/>
      <c r="B638" s="125" t="n"/>
      <c r="C638" s="126" t="n"/>
      <c r="D638" s="129" t="n"/>
      <c r="E638" s="127" t="n"/>
    </row>
    <row r="639" ht="15" customHeight="1" s="73">
      <c r="A639" s="124" t="n"/>
      <c r="B639" s="125" t="n"/>
      <c r="C639" s="126" t="n"/>
      <c r="D639" s="129" t="n"/>
      <c r="E639" s="127" t="n"/>
    </row>
    <row r="640" ht="15" customHeight="1" s="73">
      <c r="A640" s="124" t="n"/>
      <c r="B640" s="125" t="n"/>
      <c r="C640" s="126" t="n"/>
      <c r="D640" s="129" t="n"/>
      <c r="E640" s="127" t="n"/>
    </row>
    <row r="641" ht="15" customHeight="1" s="73">
      <c r="A641" s="124" t="n"/>
      <c r="B641" s="125" t="n"/>
      <c r="C641" s="126" t="n"/>
      <c r="D641" s="129" t="n"/>
      <c r="E641" s="127" t="n"/>
    </row>
    <row r="642" ht="15" customHeight="1" s="73">
      <c r="A642" s="124" t="n"/>
      <c r="B642" s="125" t="n"/>
      <c r="C642" s="126" t="n"/>
      <c r="D642" s="129" t="n"/>
      <c r="E642" s="127" t="n"/>
    </row>
    <row r="643" ht="15" customHeight="1" s="73">
      <c r="A643" s="124" t="n"/>
      <c r="B643" s="125" t="n"/>
      <c r="C643" s="126" t="n"/>
      <c r="D643" s="129" t="n"/>
      <c r="E643" s="127" t="n"/>
    </row>
    <row r="644" ht="15" customHeight="1" s="73">
      <c r="A644" s="124" t="n"/>
      <c r="B644" s="125" t="n"/>
      <c r="C644" s="126" t="n"/>
      <c r="D644" s="129" t="n"/>
      <c r="E644" s="127" t="n"/>
    </row>
    <row r="645" ht="15" customHeight="1" s="73">
      <c r="A645" s="124" t="n"/>
      <c r="B645" s="125" t="n"/>
      <c r="C645" s="126" t="n"/>
      <c r="D645" s="129" t="n"/>
      <c r="E645" s="127" t="n"/>
    </row>
    <row r="646" ht="15" customHeight="1" s="73">
      <c r="A646" s="124" t="n"/>
      <c r="B646" s="125" t="n"/>
      <c r="C646" s="126" t="n"/>
      <c r="D646" s="129" t="n"/>
      <c r="E646" s="127" t="n"/>
    </row>
    <row r="647" ht="15" customHeight="1" s="73">
      <c r="A647" s="124" t="n"/>
      <c r="B647" s="125" t="n"/>
      <c r="C647" s="126" t="n"/>
      <c r="D647" s="129" t="n"/>
      <c r="E647" s="127" t="n"/>
    </row>
    <row r="648" ht="15" customHeight="1" s="73">
      <c r="A648" s="124" t="n"/>
      <c r="B648" s="125" t="n"/>
      <c r="C648" s="126" t="n"/>
      <c r="D648" s="129" t="n"/>
      <c r="E648" s="127" t="n"/>
    </row>
    <row r="649" ht="15" customHeight="1" s="73">
      <c r="A649" s="124" t="n"/>
      <c r="B649" s="125" t="n"/>
      <c r="C649" s="126" t="n"/>
      <c r="D649" s="129" t="n"/>
      <c r="E649" s="127" t="n"/>
    </row>
    <row r="650" ht="15" customHeight="1" s="73">
      <c r="A650" s="124" t="n"/>
      <c r="B650" s="125" t="n"/>
      <c r="C650" s="126" t="n"/>
      <c r="D650" s="129" t="n"/>
      <c r="E650" s="127" t="n"/>
    </row>
    <row r="651" ht="15" customHeight="1" s="73">
      <c r="A651" s="124" t="n"/>
      <c r="B651" s="125" t="n"/>
      <c r="C651" s="126" t="n"/>
      <c r="D651" s="129" t="n"/>
      <c r="E651" s="127" t="n"/>
    </row>
    <row r="652" ht="15" customHeight="1" s="73">
      <c r="A652" s="124" t="n"/>
      <c r="B652" s="125" t="n"/>
      <c r="C652" s="126" t="n"/>
      <c r="D652" s="129" t="n"/>
      <c r="E652" s="127" t="n"/>
    </row>
    <row r="653" ht="15" customHeight="1" s="73">
      <c r="A653" s="124" t="n"/>
      <c r="B653" s="125" t="n"/>
      <c r="C653" s="126" t="n"/>
      <c r="D653" s="129" t="n"/>
      <c r="E653" s="127" t="n"/>
    </row>
    <row r="654" ht="15" customHeight="1" s="73">
      <c r="A654" s="124" t="n"/>
      <c r="B654" s="125" t="n"/>
      <c r="C654" s="126" t="n"/>
      <c r="D654" s="129" t="n"/>
      <c r="E654" s="127" t="n"/>
    </row>
    <row r="655" ht="15" customHeight="1" s="73">
      <c r="A655" s="124" t="n"/>
      <c r="B655" s="125" t="n"/>
      <c r="C655" s="126" t="n"/>
      <c r="D655" s="129" t="n"/>
      <c r="E655" s="127" t="n"/>
    </row>
    <row r="656" ht="15" customHeight="1" s="73">
      <c r="A656" s="124" t="n"/>
      <c r="B656" s="125" t="n"/>
      <c r="C656" s="126" t="n"/>
      <c r="D656" s="129" t="n"/>
      <c r="E656" s="127" t="n"/>
    </row>
    <row r="657" ht="15" customHeight="1" s="73">
      <c r="A657" s="124" t="n"/>
      <c r="B657" s="125" t="n"/>
      <c r="C657" s="126" t="n"/>
      <c r="D657" s="129" t="n"/>
      <c r="E657" s="127" t="n"/>
    </row>
    <row r="658" ht="15" customHeight="1" s="73">
      <c r="A658" s="124" t="n"/>
      <c r="B658" s="125" t="n"/>
      <c r="C658" s="126" t="n"/>
      <c r="D658" s="129" t="n"/>
      <c r="E658" s="127" t="n"/>
    </row>
    <row r="659" ht="15" customHeight="1" s="73">
      <c r="A659" s="124" t="n"/>
      <c r="B659" s="125" t="n"/>
      <c r="C659" s="126" t="n"/>
      <c r="D659" s="129" t="n"/>
      <c r="E659" s="127" t="n"/>
    </row>
    <row r="660" ht="15" customHeight="1" s="73">
      <c r="A660" s="124" t="n"/>
      <c r="B660" s="125" t="n"/>
      <c r="C660" s="126" t="n"/>
      <c r="D660" s="129" t="n"/>
      <c r="E660" s="127" t="n"/>
    </row>
    <row r="661" ht="15" customHeight="1" s="73">
      <c r="A661" s="124" t="n"/>
      <c r="B661" s="125" t="n"/>
      <c r="C661" s="126" t="n"/>
      <c r="D661" s="129" t="n"/>
      <c r="E661" s="127" t="n"/>
    </row>
    <row r="662" ht="15" customHeight="1" s="73">
      <c r="A662" s="124" t="n"/>
      <c r="B662" s="125" t="n"/>
      <c r="C662" s="126" t="n"/>
      <c r="D662" s="129" t="n"/>
      <c r="E662" s="127" t="n"/>
    </row>
    <row r="663" ht="15" customHeight="1" s="73">
      <c r="A663" s="124" t="n"/>
      <c r="B663" s="125" t="n"/>
      <c r="C663" s="126" t="n"/>
      <c r="D663" s="129" t="n"/>
      <c r="E663" s="127" t="n"/>
    </row>
    <row r="664" ht="15" customHeight="1" s="73">
      <c r="A664" s="124" t="n"/>
      <c r="B664" s="125" t="n"/>
      <c r="C664" s="126" t="n"/>
      <c r="D664" s="129" t="n"/>
      <c r="E664" s="127" t="n"/>
    </row>
    <row r="665" ht="15" customHeight="1" s="73">
      <c r="A665" s="124" t="n"/>
      <c r="B665" s="125" t="n"/>
      <c r="C665" s="126" t="n"/>
      <c r="D665" s="129" t="n"/>
      <c r="E665" s="127" t="n"/>
    </row>
    <row r="666" ht="15" customHeight="1" s="73">
      <c r="A666" s="124" t="n"/>
      <c r="B666" s="125" t="n"/>
      <c r="C666" s="126" t="n"/>
      <c r="D666" s="129" t="n"/>
      <c r="E666" s="127" t="n"/>
    </row>
    <row r="667" ht="15" customHeight="1" s="73">
      <c r="A667" s="124" t="n"/>
      <c r="B667" s="125" t="n"/>
      <c r="C667" s="126" t="n"/>
      <c r="D667" s="129" t="n"/>
      <c r="E667" s="127" t="n"/>
    </row>
    <row r="668" ht="15" customHeight="1" s="73">
      <c r="A668" s="124" t="n"/>
      <c r="B668" s="125" t="n"/>
      <c r="C668" s="126" t="n"/>
      <c r="D668" s="129" t="n"/>
      <c r="E668" s="127" t="n"/>
    </row>
    <row r="669" ht="15" customHeight="1" s="73">
      <c r="A669" s="124" t="n"/>
      <c r="B669" s="125" t="n"/>
      <c r="C669" s="126" t="n"/>
      <c r="D669" s="129" t="n"/>
      <c r="E669" s="127" t="n"/>
    </row>
    <row r="670" ht="15" customHeight="1" s="73">
      <c r="A670" s="124" t="n"/>
      <c r="B670" s="125" t="n"/>
      <c r="C670" s="126" t="n"/>
      <c r="D670" s="129" t="n"/>
      <c r="E670" s="127" t="n"/>
    </row>
    <row r="671" ht="15" customHeight="1" s="73">
      <c r="A671" s="124" t="n"/>
      <c r="B671" s="125" t="n"/>
      <c r="C671" s="126" t="n"/>
      <c r="D671" s="129" t="n"/>
      <c r="E671" s="127" t="n"/>
    </row>
    <row r="672" ht="15" customHeight="1" s="73">
      <c r="A672" s="124" t="n"/>
      <c r="B672" s="125" t="n"/>
      <c r="C672" s="126" t="n"/>
      <c r="D672" s="129" t="n"/>
      <c r="E672" s="127" t="n"/>
    </row>
    <row r="673" ht="15" customHeight="1" s="73">
      <c r="A673" s="124" t="n"/>
      <c r="B673" s="125" t="n"/>
      <c r="C673" s="126" t="n"/>
      <c r="D673" s="129" t="n"/>
      <c r="E673" s="127" t="n"/>
    </row>
    <row r="674" ht="15" customHeight="1" s="73">
      <c r="A674" s="124" t="n"/>
      <c r="B674" s="125" t="n"/>
      <c r="C674" s="126" t="n"/>
      <c r="D674" s="129" t="n"/>
      <c r="E674" s="127" t="n"/>
    </row>
    <row r="675" ht="15" customHeight="1" s="73">
      <c r="A675" s="124" t="n"/>
      <c r="B675" s="125" t="n"/>
      <c r="C675" s="126" t="n"/>
      <c r="D675" s="129" t="n"/>
      <c r="E675" s="127" t="n"/>
    </row>
    <row r="676" ht="15" customHeight="1" s="73">
      <c r="A676" s="124" t="n"/>
      <c r="B676" s="125" t="n"/>
      <c r="C676" s="126" t="n"/>
      <c r="D676" s="129" t="n"/>
      <c r="E676" s="127" t="n"/>
    </row>
    <row r="677" ht="15" customHeight="1" s="73">
      <c r="A677" s="124" t="n"/>
      <c r="B677" s="125" t="n"/>
      <c r="C677" s="126" t="n"/>
      <c r="D677" s="129" t="n"/>
      <c r="E677" s="127" t="n"/>
    </row>
    <row r="678" ht="15" customHeight="1" s="73">
      <c r="A678" s="124" t="n"/>
      <c r="B678" s="125" t="n"/>
      <c r="C678" s="126" t="n"/>
      <c r="D678" s="129" t="n"/>
      <c r="E678" s="127" t="n"/>
    </row>
    <row r="679" ht="15" customHeight="1" s="73">
      <c r="A679" s="124" t="n"/>
      <c r="B679" s="125" t="n"/>
      <c r="C679" s="126" t="n"/>
      <c r="D679" s="129" t="n"/>
      <c r="E679" s="127" t="n"/>
    </row>
    <row r="680" ht="15" customHeight="1" s="73">
      <c r="A680" s="124" t="n"/>
      <c r="B680" s="125" t="n"/>
      <c r="C680" s="126" t="n"/>
      <c r="D680" s="129" t="n"/>
      <c r="E680" s="127" t="n"/>
    </row>
    <row r="681" ht="15" customHeight="1" s="73">
      <c r="A681" s="124" t="n"/>
      <c r="B681" s="125" t="n"/>
      <c r="C681" s="126" t="n"/>
      <c r="D681" s="129" t="n"/>
      <c r="E681" s="127" t="n"/>
    </row>
    <row r="682" ht="15" customHeight="1" s="73">
      <c r="A682" s="124" t="n"/>
      <c r="B682" s="125" t="n"/>
      <c r="C682" s="126" t="n"/>
      <c r="D682" s="129" t="n"/>
      <c r="E682" s="127" t="n"/>
    </row>
    <row r="683" ht="15" customHeight="1" s="73">
      <c r="A683" s="124" t="n"/>
      <c r="B683" s="125" t="n"/>
      <c r="C683" s="126" t="n"/>
      <c r="D683" s="129" t="n"/>
      <c r="E683" s="127" t="n"/>
    </row>
    <row r="684" ht="15" customHeight="1" s="73">
      <c r="A684" s="124" t="n"/>
      <c r="B684" s="125" t="n"/>
      <c r="C684" s="126" t="n"/>
      <c r="D684" s="129" t="n"/>
      <c r="E684" s="127" t="n"/>
    </row>
    <row r="685" ht="15" customHeight="1" s="73">
      <c r="A685" s="124" t="n"/>
      <c r="B685" s="125" t="n"/>
      <c r="C685" s="126" t="n"/>
      <c r="D685" s="129" t="n"/>
      <c r="E685" s="127" t="n"/>
    </row>
    <row r="686" ht="15" customHeight="1" s="73">
      <c r="A686" s="124" t="n"/>
      <c r="B686" s="125" t="n"/>
      <c r="C686" s="126" t="n"/>
      <c r="D686" s="129" t="n"/>
      <c r="E686" s="127" t="n"/>
    </row>
    <row r="687" ht="15" customHeight="1" s="73">
      <c r="A687" s="124" t="n"/>
      <c r="B687" s="125" t="n"/>
      <c r="C687" s="126" t="n"/>
      <c r="D687" s="129" t="n"/>
      <c r="E687" s="127" t="n"/>
    </row>
    <row r="688" ht="15" customHeight="1" s="73">
      <c r="A688" s="124" t="n"/>
      <c r="B688" s="125" t="n"/>
      <c r="C688" s="126" t="n"/>
      <c r="D688" s="129" t="n"/>
      <c r="E688" s="127" t="n"/>
    </row>
    <row r="689" ht="15" customHeight="1" s="73">
      <c r="A689" s="124" t="n"/>
      <c r="B689" s="125" t="n"/>
      <c r="C689" s="126" t="n"/>
      <c r="D689" s="129" t="n"/>
      <c r="E689" s="127" t="n"/>
    </row>
    <row r="690" ht="15" customHeight="1" s="73">
      <c r="A690" s="124" t="n"/>
      <c r="B690" s="125" t="n"/>
      <c r="C690" s="126" t="n"/>
      <c r="D690" s="129" t="n"/>
      <c r="E690" s="127" t="n"/>
    </row>
    <row r="691" ht="15" customHeight="1" s="73">
      <c r="A691" s="124" t="n"/>
      <c r="B691" s="125" t="n"/>
      <c r="C691" s="126" t="n"/>
      <c r="D691" s="129" t="n"/>
      <c r="E691" s="127" t="n"/>
    </row>
    <row r="692" ht="15" customHeight="1" s="73">
      <c r="A692" s="124" t="n"/>
      <c r="B692" s="125" t="n"/>
      <c r="C692" s="126" t="n"/>
      <c r="D692" s="129" t="n"/>
      <c r="E692" s="127" t="n"/>
    </row>
    <row r="693" ht="15" customHeight="1" s="73">
      <c r="A693" s="124" t="n"/>
      <c r="B693" s="125" t="n"/>
      <c r="C693" s="126" t="n"/>
      <c r="D693" s="129" t="n"/>
      <c r="E693" s="127" t="n"/>
    </row>
    <row r="694" ht="15" customHeight="1" s="73">
      <c r="A694" s="124" t="n"/>
      <c r="B694" s="125" t="n"/>
      <c r="C694" s="126" t="n"/>
      <c r="D694" s="129" t="n"/>
      <c r="E694" s="127" t="n"/>
    </row>
    <row r="695" ht="15" customHeight="1" s="73">
      <c r="A695" s="124" t="n"/>
      <c r="B695" s="125" t="n"/>
      <c r="C695" s="126" t="n"/>
      <c r="D695" s="129" t="n"/>
      <c r="E695" s="127" t="n"/>
    </row>
    <row r="696" ht="15" customHeight="1" s="73">
      <c r="A696" s="124" t="n"/>
      <c r="B696" s="125" t="n"/>
      <c r="C696" s="126" t="n"/>
      <c r="D696" s="129" t="n"/>
      <c r="E696" s="127" t="n"/>
    </row>
    <row r="697" ht="15" customHeight="1" s="73">
      <c r="A697" s="124" t="n"/>
      <c r="B697" s="125" t="n"/>
      <c r="C697" s="126" t="n"/>
      <c r="D697" s="129" t="n"/>
      <c r="E697" s="127" t="n"/>
    </row>
    <row r="698" ht="15" customHeight="1" s="73">
      <c r="A698" s="124" t="n"/>
      <c r="B698" s="125" t="n"/>
      <c r="C698" s="126" t="n"/>
      <c r="D698" s="129" t="n"/>
      <c r="E698" s="127" t="n"/>
    </row>
    <row r="699" ht="15" customHeight="1" s="73">
      <c r="A699" s="124" t="n"/>
      <c r="B699" s="125" t="n"/>
      <c r="C699" s="126" t="n"/>
      <c r="D699" s="129" t="n"/>
      <c r="E699" s="127" t="n"/>
    </row>
    <row r="700" ht="15" customHeight="1" s="73">
      <c r="A700" s="124" t="n"/>
      <c r="B700" s="125" t="n"/>
      <c r="C700" s="126" t="n"/>
      <c r="D700" s="129" t="n"/>
      <c r="E700" s="127" t="n"/>
    </row>
    <row r="701" ht="15" customHeight="1" s="73">
      <c r="A701" s="124" t="n"/>
      <c r="B701" s="125" t="n"/>
      <c r="C701" s="126" t="n"/>
      <c r="D701" s="129" t="n"/>
      <c r="E701" s="127" t="n"/>
    </row>
    <row r="702" ht="15" customHeight="1" s="73">
      <c r="A702" s="124" t="n"/>
      <c r="B702" s="125" t="n"/>
      <c r="C702" s="126" t="n"/>
      <c r="D702" s="129" t="n"/>
      <c r="E702" s="127" t="n"/>
    </row>
    <row r="703" ht="15" customHeight="1" s="73">
      <c r="A703" s="124" t="n"/>
      <c r="B703" s="125" t="n"/>
      <c r="C703" s="126" t="n"/>
      <c r="D703" s="129" t="n"/>
      <c r="E703" s="127" t="n"/>
    </row>
    <row r="704" ht="15" customHeight="1" s="73">
      <c r="A704" s="124" t="n"/>
      <c r="B704" s="125" t="n"/>
      <c r="C704" s="126" t="n"/>
      <c r="D704" s="129" t="n"/>
      <c r="E704" s="127" t="n"/>
    </row>
    <row r="705" ht="15" customHeight="1" s="73">
      <c r="A705" s="124" t="n"/>
      <c r="B705" s="125" t="n"/>
      <c r="C705" s="126" t="n"/>
      <c r="D705" s="129" t="n"/>
      <c r="E705" s="127" t="n"/>
    </row>
    <row r="706" ht="15" customHeight="1" s="73">
      <c r="A706" s="124" t="n"/>
      <c r="B706" s="125" t="n"/>
      <c r="C706" s="126" t="n"/>
      <c r="D706" s="129" t="n"/>
      <c r="E706" s="127" t="n"/>
    </row>
    <row r="707" ht="15" customHeight="1" s="73">
      <c r="A707" s="124" t="n"/>
      <c r="B707" s="125" t="n"/>
      <c r="C707" s="126" t="n"/>
      <c r="D707" s="129" t="n"/>
      <c r="E707" s="127" t="n"/>
    </row>
    <row r="708" ht="15" customHeight="1" s="73">
      <c r="A708" s="124" t="n"/>
      <c r="B708" s="125" t="n"/>
      <c r="C708" s="126" t="n"/>
      <c r="D708" s="129" t="n"/>
      <c r="E708" s="127" t="n"/>
    </row>
    <row r="709" ht="15" customHeight="1" s="73">
      <c r="A709" s="124" t="n"/>
      <c r="B709" s="125" t="n"/>
      <c r="C709" s="126" t="n"/>
      <c r="D709" s="129" t="n"/>
      <c r="E709" s="127" t="n"/>
    </row>
    <row r="710" ht="15" customHeight="1" s="73">
      <c r="A710" s="124" t="n"/>
      <c r="B710" s="125" t="n"/>
      <c r="C710" s="126" t="n"/>
      <c r="D710" s="129" t="n"/>
      <c r="E710" s="127" t="n"/>
    </row>
    <row r="711" ht="15" customHeight="1" s="73">
      <c r="A711" s="124" t="n"/>
      <c r="B711" s="125" t="n"/>
      <c r="C711" s="126" t="n"/>
      <c r="D711" s="129" t="n"/>
      <c r="E711" s="127" t="n"/>
    </row>
    <row r="712" ht="15" customHeight="1" s="73">
      <c r="A712" s="124" t="n"/>
      <c r="B712" s="125" t="n"/>
      <c r="C712" s="126" t="n"/>
      <c r="D712" s="129" t="n"/>
      <c r="E712" s="127" t="n"/>
    </row>
    <row r="713" ht="15" customHeight="1" s="73">
      <c r="A713" s="124" t="n"/>
      <c r="B713" s="125" t="n"/>
      <c r="C713" s="126" t="n"/>
      <c r="D713" s="129" t="n"/>
      <c r="E713" s="127" t="n"/>
    </row>
    <row r="714" ht="15" customHeight="1" s="73">
      <c r="A714" s="124" t="n"/>
      <c r="B714" s="125" t="n"/>
      <c r="C714" s="126" t="n"/>
      <c r="D714" s="129" t="n"/>
      <c r="E714" s="127" t="n"/>
    </row>
    <row r="715" ht="15" customHeight="1" s="73">
      <c r="A715" s="124" t="n"/>
      <c r="B715" s="125" t="n"/>
      <c r="C715" s="126" t="n"/>
      <c r="D715" s="129" t="n"/>
      <c r="E715" s="127" t="n"/>
    </row>
    <row r="716" ht="15" customHeight="1" s="73">
      <c r="A716" s="124" t="n"/>
      <c r="B716" s="125" t="n"/>
      <c r="C716" s="126" t="n"/>
      <c r="D716" s="129" t="n"/>
      <c r="E716" s="127" t="n"/>
    </row>
    <row r="717" ht="15" customHeight="1" s="73">
      <c r="A717" s="124" t="n"/>
      <c r="B717" s="125" t="n"/>
      <c r="C717" s="126" t="n"/>
      <c r="D717" s="129" t="n"/>
      <c r="E717" s="127" t="n"/>
    </row>
    <row r="718" ht="15" customHeight="1" s="73">
      <c r="A718" s="124" t="n"/>
      <c r="B718" s="125" t="n"/>
      <c r="C718" s="126" t="n"/>
      <c r="D718" s="129" t="n"/>
      <c r="E718" s="127" t="n"/>
    </row>
    <row r="719" ht="15" customHeight="1" s="73">
      <c r="A719" s="124" t="n"/>
      <c r="B719" s="125" t="n"/>
      <c r="C719" s="126" t="n"/>
      <c r="D719" s="129" t="n"/>
      <c r="E719" s="127" t="n"/>
    </row>
    <row r="720" ht="15" customHeight="1" s="73">
      <c r="A720" s="124" t="n"/>
      <c r="B720" s="125" t="n"/>
      <c r="C720" s="126" t="n"/>
      <c r="D720" s="129" t="n"/>
      <c r="E720" s="127" t="n"/>
    </row>
    <row r="721" ht="15" customHeight="1" s="73">
      <c r="A721" s="124" t="n"/>
      <c r="B721" s="125" t="n"/>
      <c r="C721" s="126" t="n"/>
      <c r="D721" s="129" t="n"/>
      <c r="E721" s="127" t="n"/>
    </row>
    <row r="722" ht="15" customHeight="1" s="73">
      <c r="A722" s="124" t="n"/>
      <c r="B722" s="125" t="n"/>
      <c r="C722" s="126" t="n"/>
      <c r="D722" s="129" t="n"/>
      <c r="E722" s="127" t="n"/>
    </row>
    <row r="723" ht="15" customHeight="1" s="73">
      <c r="A723" s="124" t="n"/>
      <c r="B723" s="125" t="n"/>
      <c r="C723" s="126" t="n"/>
      <c r="D723" s="129" t="n"/>
      <c r="E723" s="127" t="n"/>
    </row>
    <row r="724" ht="15" customHeight="1" s="73">
      <c r="A724" s="124" t="n"/>
      <c r="B724" s="125" t="n"/>
      <c r="C724" s="126" t="n"/>
      <c r="D724" s="129" t="n"/>
      <c r="E724" s="127" t="n"/>
    </row>
    <row r="725" ht="15" customHeight="1" s="73">
      <c r="A725" s="124" t="n"/>
      <c r="B725" s="125" t="n"/>
      <c r="C725" s="126" t="n"/>
      <c r="D725" s="129" t="n"/>
      <c r="E725" s="127" t="n"/>
    </row>
    <row r="726" ht="15" customHeight="1" s="73">
      <c r="A726" s="124" t="n"/>
      <c r="B726" s="125" t="n"/>
      <c r="C726" s="126" t="n"/>
      <c r="D726" s="129" t="n"/>
      <c r="E726" s="127" t="n"/>
    </row>
    <row r="727" ht="15" customHeight="1" s="73">
      <c r="A727" s="124" t="n"/>
      <c r="B727" s="125" t="n"/>
      <c r="C727" s="126" t="n"/>
      <c r="D727" s="129" t="n"/>
      <c r="E727" s="127" t="n"/>
    </row>
    <row r="728" ht="15" customHeight="1" s="73">
      <c r="A728" s="124" t="n"/>
      <c r="B728" s="125" t="n"/>
      <c r="C728" s="126" t="n"/>
      <c r="D728" s="129" t="n"/>
      <c r="E728" s="127" t="n"/>
    </row>
    <row r="729" ht="15" customHeight="1" s="73">
      <c r="A729" s="124" t="n"/>
      <c r="B729" s="125" t="n"/>
      <c r="C729" s="126" t="n"/>
      <c r="D729" s="129" t="n"/>
      <c r="E729" s="127" t="n"/>
    </row>
    <row r="730" ht="15" customHeight="1" s="73">
      <c r="A730" s="124" t="n"/>
      <c r="B730" s="125" t="n"/>
      <c r="C730" s="126" t="n"/>
      <c r="D730" s="129" t="n"/>
      <c r="E730" s="127" t="n"/>
    </row>
    <row r="731" ht="15" customHeight="1" s="73">
      <c r="A731" s="124" t="n"/>
      <c r="B731" s="125" t="n"/>
      <c r="C731" s="126" t="n"/>
      <c r="D731" s="129" t="n"/>
      <c r="E731" s="127" t="n"/>
    </row>
    <row r="732" ht="15" customHeight="1" s="73">
      <c r="A732" s="124" t="n"/>
      <c r="B732" s="125" t="n"/>
      <c r="C732" s="126" t="n"/>
      <c r="D732" s="129" t="n"/>
      <c r="E732" s="127" t="n"/>
    </row>
    <row r="733" ht="15" customHeight="1" s="73">
      <c r="A733" s="124" t="n"/>
      <c r="B733" s="125" t="n"/>
      <c r="C733" s="126" t="n"/>
      <c r="D733" s="129" t="n"/>
      <c r="E733" s="127" t="n"/>
    </row>
    <row r="734" ht="15" customHeight="1" s="73">
      <c r="A734" s="124" t="n"/>
      <c r="B734" s="125" t="n"/>
      <c r="C734" s="126" t="n"/>
      <c r="D734" s="129" t="n"/>
      <c r="E734" s="127" t="n"/>
    </row>
    <row r="735" ht="15" customHeight="1" s="73">
      <c r="A735" s="124" t="n"/>
      <c r="B735" s="125" t="n"/>
      <c r="C735" s="126" t="n"/>
      <c r="D735" s="129" t="n"/>
      <c r="E735" s="127" t="n"/>
    </row>
    <row r="736" ht="15" customHeight="1" s="73">
      <c r="A736" s="124" t="n"/>
      <c r="B736" s="125" t="n"/>
      <c r="C736" s="126" t="n"/>
      <c r="D736" s="129" t="n"/>
      <c r="E736" s="127" t="n"/>
    </row>
    <row r="737" ht="15" customHeight="1" s="73">
      <c r="A737" s="124" t="n"/>
      <c r="B737" s="125" t="n"/>
      <c r="C737" s="126" t="n"/>
      <c r="D737" s="129" t="n"/>
      <c r="E737" s="127" t="n"/>
    </row>
    <row r="738" ht="15" customHeight="1" s="73">
      <c r="A738" s="124" t="n"/>
      <c r="B738" s="125" t="n"/>
      <c r="C738" s="126" t="n"/>
      <c r="D738" s="129" t="n"/>
      <c r="E738" s="127" t="n"/>
    </row>
    <row r="739" ht="15" customHeight="1" s="73">
      <c r="A739" s="124" t="n"/>
      <c r="B739" s="125" t="n"/>
      <c r="C739" s="126" t="n"/>
      <c r="D739" s="129" t="n"/>
      <c r="E739" s="127" t="n"/>
    </row>
    <row r="740" ht="15" customHeight="1" s="73">
      <c r="A740" s="124" t="n"/>
      <c r="B740" s="125" t="n"/>
      <c r="C740" s="126" t="n"/>
      <c r="D740" s="129" t="n"/>
      <c r="E740" s="127" t="n"/>
    </row>
    <row r="741" ht="15" customHeight="1" s="73">
      <c r="A741" s="124" t="n"/>
      <c r="B741" s="125" t="n"/>
      <c r="C741" s="126" t="n"/>
      <c r="D741" s="129" t="n"/>
      <c r="E741" s="127" t="n"/>
    </row>
    <row r="742" ht="15" customHeight="1" s="73">
      <c r="A742" s="124" t="n"/>
      <c r="B742" s="125" t="n"/>
      <c r="C742" s="126" t="n"/>
      <c r="D742" s="129" t="n"/>
      <c r="E742" s="127" t="n"/>
    </row>
    <row r="743" ht="15" customHeight="1" s="73">
      <c r="A743" s="124" t="n"/>
      <c r="B743" s="125" t="n"/>
      <c r="C743" s="126" t="n"/>
      <c r="D743" s="129" t="n"/>
      <c r="E743" s="127" t="n"/>
    </row>
    <row r="744" ht="15" customHeight="1" s="73">
      <c r="A744" s="124" t="n"/>
      <c r="B744" s="125" t="n"/>
      <c r="C744" s="126" t="n"/>
      <c r="D744" s="129" t="n"/>
      <c r="E744" s="127" t="n"/>
    </row>
    <row r="745" ht="15" customHeight="1" s="73">
      <c r="A745" s="124" t="n"/>
      <c r="B745" s="125" t="n"/>
      <c r="C745" s="126" t="n"/>
      <c r="D745" s="129" t="n"/>
      <c r="E745" s="127" t="n"/>
    </row>
    <row r="746" ht="15" customHeight="1" s="73">
      <c r="A746" s="124" t="n"/>
      <c r="B746" s="125" t="n"/>
      <c r="C746" s="126" t="n"/>
      <c r="D746" s="129" t="n"/>
      <c r="E746" s="127" t="n"/>
    </row>
    <row r="747" ht="15" customHeight="1" s="73">
      <c r="A747" s="124" t="n"/>
      <c r="B747" s="125" t="n"/>
      <c r="C747" s="126" t="n"/>
      <c r="D747" s="129" t="n"/>
      <c r="E747" s="127" t="n"/>
    </row>
    <row r="748" ht="15" customHeight="1" s="73">
      <c r="A748" s="124" t="n"/>
      <c r="B748" s="125" t="n"/>
      <c r="C748" s="126" t="n"/>
      <c r="D748" s="129" t="n"/>
      <c r="E748" s="127" t="n"/>
    </row>
    <row r="749" ht="15" customHeight="1" s="73">
      <c r="A749" s="124" t="n"/>
      <c r="B749" s="125" t="n"/>
      <c r="C749" s="126" t="n"/>
      <c r="D749" s="129" t="n"/>
      <c r="E749" s="127" t="n"/>
    </row>
    <row r="750" ht="15" customHeight="1" s="73">
      <c r="A750" s="124" t="n"/>
      <c r="B750" s="125" t="n"/>
      <c r="C750" s="126" t="n"/>
      <c r="D750" s="129" t="n"/>
      <c r="E750" s="127" t="n"/>
    </row>
    <row r="751" ht="15" customHeight="1" s="73">
      <c r="A751" s="124" t="n"/>
      <c r="B751" s="125" t="n"/>
      <c r="C751" s="126" t="n"/>
      <c r="D751" s="129" t="n"/>
      <c r="E751" s="127" t="n"/>
    </row>
    <row r="752" ht="15" customHeight="1" s="73">
      <c r="A752" s="124" t="n"/>
      <c r="B752" s="125" t="n"/>
      <c r="C752" s="126" t="n"/>
      <c r="D752" s="129" t="n"/>
      <c r="E752" s="127" t="n"/>
    </row>
    <row r="753" ht="15" customHeight="1" s="73">
      <c r="A753" s="124" t="n"/>
      <c r="B753" s="125" t="n"/>
      <c r="C753" s="126" t="n"/>
      <c r="D753" s="129" t="n"/>
      <c r="E753" s="127" t="n"/>
    </row>
    <row r="754" ht="15" customHeight="1" s="73">
      <c r="A754" s="124" t="n"/>
      <c r="B754" s="125" t="n"/>
      <c r="C754" s="126" t="n"/>
      <c r="D754" s="129" t="n"/>
      <c r="E754" s="127" t="n"/>
    </row>
    <row r="755" ht="15" customHeight="1" s="73">
      <c r="A755" s="124" t="n"/>
      <c r="B755" s="125" t="n"/>
      <c r="C755" s="126" t="n"/>
      <c r="D755" s="129" t="n"/>
      <c r="E755" s="127" t="n"/>
    </row>
    <row r="756" ht="15" customHeight="1" s="73">
      <c r="A756" s="124" t="n"/>
      <c r="B756" s="125" t="n"/>
      <c r="C756" s="126" t="n"/>
      <c r="D756" s="129" t="n"/>
      <c r="E756" s="127" t="n"/>
    </row>
    <row r="757" ht="15" customHeight="1" s="73">
      <c r="A757" s="124" t="n"/>
      <c r="B757" s="125" t="n"/>
      <c r="C757" s="126" t="n"/>
      <c r="D757" s="129" t="n"/>
      <c r="E757" s="127" t="n"/>
    </row>
    <row r="758" ht="15" customHeight="1" s="73">
      <c r="A758" s="124" t="n"/>
      <c r="B758" s="125" t="n"/>
      <c r="C758" s="126" t="n"/>
      <c r="D758" s="129" t="n"/>
      <c r="E758" s="127" t="n"/>
    </row>
    <row r="759" ht="15" customHeight="1" s="73">
      <c r="A759" s="124" t="n"/>
      <c r="B759" s="125" t="n"/>
      <c r="C759" s="126" t="n"/>
      <c r="D759" s="129" t="n"/>
      <c r="E759" s="127" t="n"/>
    </row>
    <row r="760" ht="15" customHeight="1" s="73">
      <c r="A760" s="124" t="n"/>
      <c r="B760" s="125" t="n"/>
      <c r="C760" s="126" t="n"/>
      <c r="D760" s="129" t="n"/>
      <c r="E760" s="127" t="n"/>
    </row>
    <row r="761" ht="15" customHeight="1" s="73">
      <c r="A761" s="124" t="n"/>
      <c r="B761" s="125" t="n"/>
      <c r="C761" s="126" t="n"/>
      <c r="D761" s="129" t="n"/>
      <c r="E761" s="127" t="n"/>
    </row>
    <row r="762" ht="15" customHeight="1" s="73">
      <c r="A762" s="124" t="n"/>
      <c r="B762" s="125" t="n"/>
      <c r="C762" s="126" t="n"/>
      <c r="D762" s="129" t="n"/>
      <c r="E762" s="127" t="n"/>
    </row>
    <row r="763" ht="15" customHeight="1" s="73">
      <c r="A763" s="124" t="n"/>
      <c r="B763" s="125" t="n"/>
      <c r="C763" s="126" t="n"/>
      <c r="D763" s="129" t="n"/>
      <c r="E763" s="127" t="n"/>
    </row>
    <row r="764" ht="15" customHeight="1" s="73">
      <c r="A764" s="124" t="n"/>
      <c r="B764" s="125" t="n"/>
      <c r="C764" s="126" t="n"/>
      <c r="D764" s="129" t="n"/>
      <c r="E764" s="127" t="n"/>
    </row>
    <row r="765" ht="15" customHeight="1" s="73">
      <c r="A765" s="124" t="n"/>
      <c r="B765" s="125" t="n"/>
      <c r="C765" s="126" t="n"/>
      <c r="D765" s="129" t="n"/>
      <c r="E765" s="127" t="n"/>
    </row>
    <row r="766" ht="15" customHeight="1" s="73">
      <c r="A766" s="124" t="n"/>
      <c r="B766" s="125" t="n"/>
      <c r="C766" s="126" t="n"/>
      <c r="D766" s="129" t="n"/>
      <c r="E766" s="127" t="n"/>
    </row>
    <row r="767" ht="15" customHeight="1" s="73">
      <c r="A767" s="124" t="n"/>
      <c r="B767" s="125" t="n"/>
      <c r="C767" s="126" t="n"/>
      <c r="D767" s="129" t="n"/>
      <c r="E767" s="127" t="n"/>
    </row>
    <row r="768" ht="15" customHeight="1" s="73">
      <c r="A768" s="124" t="n"/>
      <c r="B768" s="125" t="n"/>
      <c r="C768" s="126" t="n"/>
      <c r="D768" s="129" t="n"/>
      <c r="E768" s="127" t="n"/>
    </row>
    <row r="769" ht="15" customHeight="1" s="73">
      <c r="A769" s="124" t="n"/>
      <c r="B769" s="125" t="n"/>
      <c r="C769" s="126" t="n"/>
      <c r="D769" s="129" t="n"/>
      <c r="E769" s="127" t="n"/>
    </row>
    <row r="770" ht="15" customHeight="1" s="73">
      <c r="A770" s="124" t="n"/>
      <c r="B770" s="125" t="n"/>
      <c r="C770" s="126" t="n"/>
      <c r="D770" s="129" t="n"/>
      <c r="E770" s="127" t="n"/>
    </row>
    <row r="771" ht="15" customHeight="1" s="73">
      <c r="A771" s="124" t="n"/>
      <c r="B771" s="125" t="n"/>
      <c r="C771" s="126" t="n"/>
      <c r="D771" s="129" t="n"/>
      <c r="E771" s="127" t="n"/>
    </row>
    <row r="772" ht="15" customHeight="1" s="73">
      <c r="A772" s="124" t="n"/>
      <c r="B772" s="125" t="n"/>
      <c r="C772" s="126" t="n"/>
      <c r="D772" s="129" t="n"/>
      <c r="E772" s="127" t="n"/>
    </row>
    <row r="773" ht="15" customHeight="1" s="73">
      <c r="A773" s="124" t="n"/>
      <c r="B773" s="125" t="n"/>
      <c r="C773" s="126" t="n"/>
      <c r="D773" s="129" t="n"/>
      <c r="E773" s="127" t="n"/>
    </row>
    <row r="774" ht="15" customHeight="1" s="73">
      <c r="A774" s="124" t="n"/>
      <c r="B774" s="125" t="n"/>
      <c r="C774" s="126" t="n"/>
      <c r="D774" s="129" t="n"/>
      <c r="E774" s="127" t="n"/>
    </row>
    <row r="775" ht="15" customHeight="1" s="73">
      <c r="A775" s="124" t="n"/>
      <c r="B775" s="125" t="n"/>
      <c r="C775" s="126" t="n"/>
      <c r="D775" s="129" t="n"/>
      <c r="E775" s="127" t="n"/>
    </row>
    <row r="776" ht="15" customHeight="1" s="73">
      <c r="A776" s="124" t="n"/>
      <c r="B776" s="125" t="n"/>
      <c r="C776" s="126" t="n"/>
      <c r="D776" s="129" t="n"/>
      <c r="E776" s="127" t="n"/>
    </row>
    <row r="777" ht="15" customHeight="1" s="73">
      <c r="A777" s="124" t="n"/>
      <c r="B777" s="125" t="n"/>
      <c r="C777" s="126" t="n"/>
      <c r="D777" s="129" t="n"/>
      <c r="E777" s="127" t="n"/>
    </row>
    <row r="778" ht="15" customHeight="1" s="73">
      <c r="A778" s="124" t="n"/>
      <c r="B778" s="125" t="n"/>
      <c r="C778" s="126" t="n"/>
      <c r="D778" s="129" t="n"/>
      <c r="E778" s="127" t="n"/>
    </row>
    <row r="779" ht="15" customHeight="1" s="73">
      <c r="A779" s="124" t="n"/>
      <c r="B779" s="125" t="n"/>
      <c r="C779" s="126" t="n"/>
      <c r="D779" s="129" t="n"/>
      <c r="E779" s="127" t="n"/>
    </row>
    <row r="780" ht="15" customHeight="1" s="73">
      <c r="A780" s="124" t="n"/>
      <c r="B780" s="125" t="n"/>
      <c r="C780" s="126" t="n"/>
      <c r="D780" s="129" t="n"/>
      <c r="E780" s="127" t="n"/>
    </row>
    <row r="781" ht="15" customHeight="1" s="73">
      <c r="A781" s="124" t="n"/>
      <c r="B781" s="125" t="n"/>
      <c r="C781" s="126" t="n"/>
      <c r="D781" s="129" t="n"/>
      <c r="E781" s="127" t="n"/>
    </row>
    <row r="782" ht="15" customHeight="1" s="73">
      <c r="A782" s="124" t="n"/>
      <c r="B782" s="125" t="n"/>
      <c r="C782" s="126" t="n"/>
      <c r="D782" s="129" t="n"/>
      <c r="E782" s="127" t="n"/>
    </row>
    <row r="783" ht="15" customHeight="1" s="73">
      <c r="A783" s="124" t="n"/>
      <c r="B783" s="125" t="n"/>
      <c r="C783" s="126" t="n"/>
      <c r="D783" s="129" t="n"/>
      <c r="E783" s="127" t="n"/>
    </row>
    <row r="784" ht="15" customHeight="1" s="73">
      <c r="A784" s="124" t="n"/>
      <c r="B784" s="125" t="n"/>
      <c r="C784" s="126" t="n"/>
      <c r="D784" s="129" t="n"/>
      <c r="E784" s="127" t="n"/>
    </row>
    <row r="785" ht="15" customHeight="1" s="73">
      <c r="A785" s="124" t="n"/>
      <c r="B785" s="125" t="n"/>
      <c r="C785" s="126" t="n"/>
      <c r="D785" s="129" t="n"/>
      <c r="E785" s="127" t="n"/>
    </row>
    <row r="786" ht="15" customHeight="1" s="73">
      <c r="A786" s="124" t="n"/>
      <c r="B786" s="125" t="n"/>
      <c r="C786" s="126" t="n"/>
      <c r="D786" s="129" t="n"/>
      <c r="E786" s="127" t="n"/>
    </row>
    <row r="787" ht="15" customHeight="1" s="73">
      <c r="A787" s="124" t="n"/>
      <c r="B787" s="125" t="n"/>
      <c r="C787" s="126" t="n"/>
      <c r="D787" s="129" t="n"/>
      <c r="E787" s="127" t="n"/>
    </row>
    <row r="788" ht="15" customHeight="1" s="73">
      <c r="A788" s="124" t="n"/>
      <c r="B788" s="125" t="n"/>
      <c r="C788" s="126" t="n"/>
      <c r="D788" s="129" t="n"/>
      <c r="E788" s="127" t="n"/>
    </row>
    <row r="789" ht="15" customHeight="1" s="73">
      <c r="A789" s="124" t="n"/>
      <c r="B789" s="125" t="n"/>
      <c r="C789" s="126" t="n"/>
      <c r="D789" s="129" t="n"/>
      <c r="E789" s="127" t="n"/>
    </row>
    <row r="790" ht="15" customHeight="1" s="73">
      <c r="A790" s="124" t="n"/>
      <c r="B790" s="125" t="n"/>
      <c r="C790" s="126" t="n"/>
      <c r="D790" s="129" t="n"/>
      <c r="E790" s="127" t="n"/>
    </row>
    <row r="791" ht="15" customHeight="1" s="73">
      <c r="A791" s="124" t="n"/>
      <c r="B791" s="125" t="n"/>
      <c r="C791" s="126" t="n"/>
      <c r="D791" s="129" t="n"/>
      <c r="E791" s="127" t="n"/>
    </row>
    <row r="792" ht="15" customHeight="1" s="73">
      <c r="A792" s="124" t="n"/>
      <c r="B792" s="125" t="n"/>
      <c r="C792" s="126" t="n"/>
      <c r="D792" s="129" t="n"/>
      <c r="E792" s="127" t="n"/>
    </row>
    <row r="793" ht="15" customHeight="1" s="73">
      <c r="A793" s="124" t="n"/>
      <c r="B793" s="125" t="n"/>
      <c r="C793" s="126" t="n"/>
      <c r="D793" s="129" t="n"/>
      <c r="E793" s="127" t="n"/>
    </row>
    <row r="794" ht="15" customHeight="1" s="73">
      <c r="A794" s="124" t="n"/>
      <c r="B794" s="125" t="n"/>
      <c r="C794" s="126" t="n"/>
      <c r="D794" s="129" t="n"/>
      <c r="E794" s="127" t="n"/>
    </row>
    <row r="795" ht="15" customHeight="1" s="73">
      <c r="A795" s="124" t="n"/>
      <c r="B795" s="125" t="n"/>
      <c r="C795" s="126" t="n"/>
      <c r="D795" s="129" t="n"/>
      <c r="E795" s="127" t="n"/>
    </row>
    <row r="796" ht="15" customHeight="1" s="73">
      <c r="A796" s="124" t="n"/>
      <c r="B796" s="125" t="n"/>
      <c r="C796" s="126" t="n"/>
      <c r="D796" s="129" t="n"/>
      <c r="E796" s="127" t="n"/>
    </row>
    <row r="797" ht="15" customHeight="1" s="73">
      <c r="A797" s="124" t="n"/>
      <c r="B797" s="125" t="n"/>
      <c r="C797" s="126" t="n"/>
      <c r="D797" s="129" t="n"/>
      <c r="E797" s="127" t="n"/>
    </row>
    <row r="798" ht="15" customHeight="1" s="73">
      <c r="A798" s="124" t="n"/>
      <c r="B798" s="125" t="n"/>
      <c r="C798" s="126" t="n"/>
      <c r="D798" s="129" t="n"/>
      <c r="E798" s="127" t="n"/>
    </row>
    <row r="799" ht="15" customHeight="1" s="73">
      <c r="A799" s="124" t="n"/>
      <c r="B799" s="125" t="n"/>
      <c r="C799" s="126" t="n"/>
      <c r="D799" s="129" t="n"/>
      <c r="E799" s="127" t="n"/>
    </row>
    <row r="800" ht="15" customHeight="1" s="73">
      <c r="A800" s="124" t="n"/>
      <c r="B800" s="125" t="n"/>
      <c r="C800" s="126" t="n"/>
      <c r="D800" s="129" t="n"/>
      <c r="E800" s="127" t="n"/>
    </row>
    <row r="801" ht="15" customHeight="1" s="73">
      <c r="A801" s="124" t="n"/>
      <c r="B801" s="125" t="n"/>
      <c r="C801" s="126" t="n"/>
      <c r="D801" s="129" t="n"/>
      <c r="E801" s="127" t="n"/>
    </row>
    <row r="802" ht="15" customHeight="1" s="73">
      <c r="A802" s="124" t="n"/>
      <c r="B802" s="125" t="n"/>
      <c r="C802" s="126" t="n"/>
      <c r="D802" s="129" t="n"/>
      <c r="E802" s="127" t="n"/>
    </row>
    <row r="803" ht="15" customHeight="1" s="73">
      <c r="A803" s="124" t="n"/>
      <c r="B803" s="125" t="n"/>
      <c r="C803" s="126" t="n"/>
      <c r="D803" s="129" t="n"/>
      <c r="E803" s="127" t="n"/>
    </row>
    <row r="804" ht="15" customHeight="1" s="73">
      <c r="A804" s="124" t="n"/>
      <c r="B804" s="125" t="n"/>
      <c r="C804" s="126" t="n"/>
      <c r="D804" s="129" t="n"/>
      <c r="E804" s="127" t="n"/>
    </row>
    <row r="805" ht="15" customHeight="1" s="73">
      <c r="A805" s="124" t="n"/>
      <c r="B805" s="125" t="n"/>
      <c r="C805" s="126" t="n"/>
      <c r="D805" s="129" t="n"/>
      <c r="E805" s="127" t="n"/>
    </row>
    <row r="806" ht="15" customHeight="1" s="73">
      <c r="A806" s="124" t="n"/>
      <c r="B806" s="125" t="n"/>
      <c r="C806" s="126" t="n"/>
      <c r="D806" s="129" t="n"/>
      <c r="E806" s="127" t="n"/>
    </row>
    <row r="807" ht="15" customHeight="1" s="73">
      <c r="A807" s="124" t="n"/>
      <c r="B807" s="125" t="n"/>
      <c r="C807" s="126" t="n"/>
      <c r="D807" s="129" t="n"/>
      <c r="E807" s="127" t="n"/>
    </row>
    <row r="808" ht="15" customHeight="1" s="73">
      <c r="A808" s="124" t="n"/>
      <c r="B808" s="125" t="n"/>
      <c r="C808" s="126" t="n"/>
      <c r="D808" s="129" t="n"/>
      <c r="E808" s="127" t="n"/>
    </row>
    <row r="809" ht="15" customHeight="1" s="73">
      <c r="A809" s="124" t="n"/>
      <c r="B809" s="125" t="n"/>
      <c r="C809" s="126" t="n"/>
      <c r="D809" s="129" t="n"/>
      <c r="E809" s="127" t="n"/>
    </row>
    <row r="810" ht="15" customHeight="1" s="73">
      <c r="A810" s="124" t="n"/>
      <c r="B810" s="125" t="n"/>
      <c r="C810" s="126" t="n"/>
      <c r="D810" s="129" t="n"/>
      <c r="E810" s="127" t="n"/>
    </row>
    <row r="811" ht="15" customHeight="1" s="73">
      <c r="A811" s="124" t="n"/>
      <c r="B811" s="125" t="n"/>
      <c r="C811" s="126" t="n"/>
      <c r="D811" s="129" t="n"/>
      <c r="E811" s="127" t="n"/>
    </row>
    <row r="812" ht="15" customHeight="1" s="73">
      <c r="A812" s="124" t="n"/>
      <c r="B812" s="125" t="n"/>
      <c r="C812" s="126" t="n"/>
      <c r="D812" s="129" t="n"/>
      <c r="E812" s="127" t="n"/>
    </row>
    <row r="813" ht="15" customHeight="1" s="73">
      <c r="A813" s="124" t="n"/>
      <c r="B813" s="125" t="n"/>
      <c r="C813" s="126" t="n"/>
      <c r="D813" s="129" t="n"/>
      <c r="E813" s="127" t="n"/>
    </row>
    <row r="814" ht="15" customHeight="1" s="73">
      <c r="A814" s="124" t="n"/>
      <c r="B814" s="125" t="n"/>
      <c r="C814" s="126" t="n"/>
      <c r="D814" s="129" t="n"/>
      <c r="E814" s="127" t="n"/>
    </row>
    <row r="815" ht="15" customHeight="1" s="73">
      <c r="A815" s="124" t="n"/>
      <c r="B815" s="125" t="n"/>
      <c r="C815" s="126" t="n"/>
      <c r="D815" s="129" t="n"/>
      <c r="E815" s="127" t="n"/>
    </row>
    <row r="816" ht="15" customHeight="1" s="73">
      <c r="A816" s="124" t="n"/>
      <c r="B816" s="125" t="n"/>
      <c r="C816" s="126" t="n"/>
      <c r="D816" s="129" t="n"/>
      <c r="E816" s="127" t="n"/>
    </row>
    <row r="817" ht="15" customHeight="1" s="73">
      <c r="A817" s="124" t="n"/>
      <c r="B817" s="125" t="n"/>
      <c r="C817" s="126" t="n"/>
      <c r="D817" s="129" t="n"/>
      <c r="E817" s="127" t="n"/>
    </row>
    <row r="818" ht="15" customHeight="1" s="73">
      <c r="A818" s="124" t="n"/>
      <c r="B818" s="125" t="n"/>
      <c r="C818" s="126" t="n"/>
      <c r="D818" s="129" t="n"/>
      <c r="E818" s="127" t="n"/>
    </row>
    <row r="819" ht="15" customHeight="1" s="73">
      <c r="A819" s="124" t="n"/>
      <c r="B819" s="125" t="n"/>
      <c r="C819" s="126" t="n"/>
      <c r="D819" s="129" t="n"/>
      <c r="E819" s="127" t="n"/>
    </row>
    <row r="820" ht="15" customHeight="1" s="73">
      <c r="A820" s="124" t="n"/>
      <c r="B820" s="125" t="n"/>
      <c r="C820" s="126" t="n"/>
      <c r="D820" s="129" t="n"/>
      <c r="E820" s="127" t="n"/>
    </row>
    <row r="821" ht="15" customHeight="1" s="73">
      <c r="A821" s="124" t="n"/>
      <c r="B821" s="125" t="n"/>
      <c r="C821" s="126" t="n"/>
      <c r="D821" s="129" t="n"/>
      <c r="E821" s="127" t="n"/>
    </row>
    <row r="822" ht="15" customHeight="1" s="73">
      <c r="A822" s="124" t="n"/>
      <c r="B822" s="125" t="n"/>
      <c r="C822" s="126" t="n"/>
      <c r="D822" s="129" t="n"/>
      <c r="E822" s="127" t="n"/>
    </row>
    <row r="823" ht="15" customHeight="1" s="73">
      <c r="A823" s="124" t="n"/>
      <c r="B823" s="125" t="n"/>
      <c r="C823" s="126" t="n"/>
      <c r="D823" s="129" t="n"/>
      <c r="E823" s="127" t="n"/>
    </row>
    <row r="824" ht="15" customHeight="1" s="73">
      <c r="A824" s="124" t="n"/>
      <c r="B824" s="125" t="n"/>
      <c r="C824" s="126" t="n"/>
      <c r="D824" s="129" t="n"/>
      <c r="E824" s="127" t="n"/>
    </row>
    <row r="825" ht="15" customHeight="1" s="73">
      <c r="A825" s="124" t="n"/>
      <c r="B825" s="125" t="n"/>
      <c r="C825" s="126" t="n"/>
      <c r="D825" s="129" t="n"/>
      <c r="E825" s="127" t="n"/>
    </row>
    <row r="826" ht="15" customHeight="1" s="73">
      <c r="A826" s="124" t="n"/>
      <c r="B826" s="125" t="n"/>
      <c r="C826" s="126" t="n"/>
      <c r="D826" s="129" t="n"/>
      <c r="E826" s="127" t="n"/>
    </row>
    <row r="827" ht="15" customHeight="1" s="73">
      <c r="A827" s="124" t="n"/>
      <c r="B827" s="125" t="n"/>
      <c r="C827" s="126" t="n"/>
      <c r="D827" s="129" t="n"/>
      <c r="E827" s="127" t="n"/>
    </row>
    <row r="828" ht="15" customHeight="1" s="73">
      <c r="A828" s="124" t="n"/>
      <c r="B828" s="125" t="n"/>
      <c r="C828" s="126" t="n"/>
      <c r="D828" s="129" t="n"/>
      <c r="E828" s="127" t="n"/>
    </row>
    <row r="829" ht="15" customHeight="1" s="73">
      <c r="A829" s="124" t="n"/>
      <c r="B829" s="125" t="n"/>
      <c r="C829" s="126" t="n"/>
      <c r="D829" s="129" t="n"/>
      <c r="E829" s="127" t="n"/>
    </row>
    <row r="830" ht="15" customHeight="1" s="73">
      <c r="A830" s="124" t="n"/>
      <c r="B830" s="125" t="n"/>
      <c r="C830" s="126" t="n"/>
      <c r="D830" s="129" t="n"/>
      <c r="E830" s="127" t="n"/>
    </row>
    <row r="831" ht="15" customHeight="1" s="73">
      <c r="A831" s="124" t="n"/>
      <c r="B831" s="125" t="n"/>
      <c r="C831" s="126" t="n"/>
      <c r="D831" s="129" t="n"/>
      <c r="E831" s="127" t="n"/>
    </row>
    <row r="832" ht="15" customHeight="1" s="73">
      <c r="A832" s="124" t="n"/>
      <c r="B832" s="125" t="n"/>
      <c r="C832" s="126" t="n"/>
      <c r="D832" s="129" t="n"/>
      <c r="E832" s="127" t="n"/>
    </row>
    <row r="833" ht="15" customHeight="1" s="73">
      <c r="A833" s="124" t="n"/>
      <c r="B833" s="125" t="n"/>
      <c r="C833" s="126" t="n"/>
      <c r="D833" s="129" t="n"/>
      <c r="E833" s="127" t="n"/>
    </row>
    <row r="834" ht="15" customHeight="1" s="73">
      <c r="A834" s="124" t="n"/>
      <c r="B834" s="125" t="n"/>
      <c r="C834" s="126" t="n"/>
      <c r="D834" s="129" t="n"/>
      <c r="E834" s="127" t="n"/>
    </row>
    <row r="835" ht="15" customHeight="1" s="73">
      <c r="A835" s="124" t="n"/>
      <c r="B835" s="125" t="n"/>
      <c r="C835" s="126" t="n"/>
      <c r="D835" s="129" t="n"/>
      <c r="E835" s="127" t="n"/>
    </row>
    <row r="836" ht="15" customHeight="1" s="73">
      <c r="A836" s="124" t="n"/>
      <c r="B836" s="125" t="n"/>
      <c r="C836" s="126" t="n"/>
      <c r="D836" s="129" t="n"/>
      <c r="E836" s="127" t="n"/>
    </row>
    <row r="837" ht="15" customHeight="1" s="73">
      <c r="A837" s="124" t="n"/>
      <c r="B837" s="125" t="n"/>
      <c r="C837" s="126" t="n"/>
      <c r="D837" s="129" t="n"/>
      <c r="E837" s="127" t="n"/>
    </row>
    <row r="838" ht="15" customHeight="1" s="73">
      <c r="A838" s="124" t="n"/>
      <c r="B838" s="125" t="n"/>
      <c r="C838" s="126" t="n"/>
      <c r="D838" s="129" t="n"/>
      <c r="E838" s="127" t="n"/>
    </row>
    <row r="839" ht="15" customHeight="1" s="73">
      <c r="A839" s="124" t="n"/>
      <c r="B839" s="125" t="n"/>
      <c r="C839" s="126" t="n"/>
      <c r="D839" s="129" t="n"/>
      <c r="E839" s="127" t="n"/>
    </row>
    <row r="840" ht="15" customHeight="1" s="73">
      <c r="A840" s="124" t="n"/>
      <c r="B840" s="125" t="n"/>
      <c r="C840" s="126" t="n"/>
      <c r="D840" s="129" t="n"/>
      <c r="E840" s="127" t="n"/>
    </row>
    <row r="841" ht="15" customHeight="1" s="73">
      <c r="A841" s="124" t="n"/>
      <c r="B841" s="125" t="n"/>
      <c r="C841" s="126" t="n"/>
      <c r="D841" s="129" t="n"/>
      <c r="E841" s="127" t="n"/>
    </row>
    <row r="842" ht="15" customHeight="1" s="73">
      <c r="A842" s="124" t="n"/>
      <c r="B842" s="125" t="n"/>
      <c r="C842" s="126" t="n"/>
      <c r="D842" s="129" t="n"/>
      <c r="E842" s="127" t="n"/>
    </row>
    <row r="843" ht="15" customHeight="1" s="73">
      <c r="A843" s="124" t="n"/>
      <c r="B843" s="125" t="n"/>
      <c r="C843" s="126" t="n"/>
      <c r="D843" s="129" t="n"/>
      <c r="E843" s="127" t="n"/>
    </row>
    <row r="844" ht="15" customHeight="1" s="73">
      <c r="A844" s="124" t="n"/>
      <c r="B844" s="125" t="n"/>
      <c r="C844" s="126" t="n"/>
      <c r="D844" s="129" t="n"/>
      <c r="E844" s="127" t="n"/>
    </row>
    <row r="845" ht="15" customHeight="1" s="73">
      <c r="A845" s="124" t="n"/>
      <c r="B845" s="125" t="n"/>
      <c r="C845" s="126" t="n"/>
      <c r="D845" s="129" t="n"/>
      <c r="E845" s="127" t="n"/>
    </row>
    <row r="846" ht="15" customHeight="1" s="73">
      <c r="A846" s="124" t="n"/>
      <c r="B846" s="125" t="n"/>
      <c r="C846" s="126" t="n"/>
      <c r="D846" s="129" t="n"/>
      <c r="E846" s="127" t="n"/>
    </row>
    <row r="847" ht="15" customHeight="1" s="73">
      <c r="A847" s="124" t="n"/>
      <c r="B847" s="125" t="n"/>
      <c r="C847" s="126" t="n"/>
      <c r="D847" s="129" t="n"/>
      <c r="E847" s="127" t="n"/>
    </row>
    <row r="848" ht="15" customHeight="1" s="73">
      <c r="A848" s="124" t="n"/>
      <c r="B848" s="125" t="n"/>
      <c r="C848" s="126" t="n"/>
      <c r="D848" s="129" t="n"/>
      <c r="E848" s="127" t="n"/>
    </row>
    <row r="849" ht="15" customHeight="1" s="73">
      <c r="A849" s="124" t="n"/>
      <c r="B849" s="125" t="n"/>
      <c r="C849" s="126" t="n"/>
      <c r="D849" s="129" t="n"/>
      <c r="E849" s="127" t="n"/>
    </row>
    <row r="850" ht="15" customHeight="1" s="73">
      <c r="A850" s="124" t="n"/>
      <c r="B850" s="125" t="n"/>
      <c r="C850" s="126" t="n"/>
      <c r="D850" s="129" t="n"/>
      <c r="E850" s="127" t="n"/>
    </row>
    <row r="851" ht="15" customHeight="1" s="73">
      <c r="A851" s="124" t="n"/>
      <c r="B851" s="125" t="n"/>
      <c r="C851" s="126" t="n"/>
      <c r="D851" s="129" t="n"/>
      <c r="E851" s="127" t="n"/>
    </row>
    <row r="852" ht="15" customHeight="1" s="73">
      <c r="A852" s="124" t="n"/>
      <c r="B852" s="125" t="n"/>
      <c r="C852" s="126" t="n"/>
      <c r="D852" s="129" t="n"/>
      <c r="E852" s="127" t="n"/>
    </row>
    <row r="853" ht="15" customHeight="1" s="73">
      <c r="A853" s="124" t="n"/>
      <c r="B853" s="125" t="n"/>
      <c r="C853" s="126" t="n"/>
      <c r="D853" s="129" t="n"/>
      <c r="E853" s="127" t="n"/>
    </row>
    <row r="854" ht="15" customHeight="1" s="73">
      <c r="A854" s="124" t="n"/>
      <c r="B854" s="125" t="n"/>
      <c r="C854" s="126" t="n"/>
      <c r="D854" s="129" t="n"/>
      <c r="E854" s="127" t="n"/>
    </row>
    <row r="855" ht="15" customHeight="1" s="73">
      <c r="A855" s="124" t="n"/>
      <c r="B855" s="125" t="n"/>
      <c r="C855" s="126" t="n"/>
      <c r="D855" s="129" t="n"/>
      <c r="E855" s="127" t="n"/>
    </row>
    <row r="856" ht="15" customHeight="1" s="73">
      <c r="A856" s="124" t="n"/>
      <c r="B856" s="125" t="n"/>
      <c r="C856" s="126" t="n"/>
      <c r="D856" s="129" t="n"/>
      <c r="E856" s="127" t="n"/>
    </row>
    <row r="857" ht="15" customHeight="1" s="73">
      <c r="A857" s="124" t="n"/>
      <c r="B857" s="125" t="n"/>
      <c r="C857" s="126" t="n"/>
      <c r="D857" s="129" t="n"/>
      <c r="E857" s="127" t="n"/>
    </row>
    <row r="858" ht="15" customHeight="1" s="73">
      <c r="A858" s="124" t="n"/>
      <c r="B858" s="125" t="n"/>
      <c r="C858" s="126" t="n"/>
      <c r="D858" s="129" t="n"/>
      <c r="E858" s="127" t="n"/>
    </row>
    <row r="859" ht="15" customHeight="1" s="73">
      <c r="A859" s="124" t="n"/>
      <c r="B859" s="125" t="n"/>
      <c r="C859" s="126" t="n"/>
      <c r="D859" s="129" t="n"/>
      <c r="E859" s="127" t="n"/>
    </row>
    <row r="860" ht="15" customHeight="1" s="73">
      <c r="A860" s="124" t="n"/>
      <c r="B860" s="125" t="n"/>
      <c r="C860" s="126" t="n"/>
      <c r="D860" s="129" t="n"/>
      <c r="E860" s="127" t="n"/>
    </row>
    <row r="861" ht="15" customHeight="1" s="73">
      <c r="A861" s="124" t="n"/>
      <c r="B861" s="125" t="n"/>
      <c r="C861" s="126" t="n"/>
      <c r="D861" s="129" t="n"/>
      <c r="E861" s="127" t="n"/>
    </row>
    <row r="862" ht="15" customHeight="1" s="73">
      <c r="A862" s="124" t="n"/>
      <c r="B862" s="125" t="n"/>
      <c r="C862" s="126" t="n"/>
      <c r="D862" s="129" t="n"/>
      <c r="E862" s="127" t="n"/>
    </row>
    <row r="863" ht="15" customHeight="1" s="73">
      <c r="A863" s="124" t="n"/>
      <c r="B863" s="125" t="n"/>
      <c r="C863" s="126" t="n"/>
      <c r="D863" s="129" t="n"/>
      <c r="E863" s="127" t="n"/>
    </row>
    <row r="864" ht="15" customHeight="1" s="73">
      <c r="A864" s="124" t="n"/>
      <c r="B864" s="125" t="n"/>
      <c r="C864" s="126" t="n"/>
      <c r="D864" s="129" t="n"/>
      <c r="E864" s="127" t="n"/>
    </row>
    <row r="865" ht="15" customHeight="1" s="73">
      <c r="A865" s="124" t="n"/>
      <c r="B865" s="125" t="n"/>
      <c r="C865" s="126" t="n"/>
      <c r="D865" s="129" t="n"/>
      <c r="E865" s="127" t="n"/>
    </row>
    <row r="866" ht="15" customHeight="1" s="73">
      <c r="A866" s="124" t="n"/>
      <c r="B866" s="125" t="n"/>
      <c r="C866" s="126" t="n"/>
      <c r="D866" s="129" t="n"/>
      <c r="E866" s="127" t="n"/>
    </row>
    <row r="867" ht="15" customHeight="1" s="73">
      <c r="A867" s="124" t="n"/>
      <c r="B867" s="125" t="n"/>
      <c r="C867" s="126" t="n"/>
      <c r="D867" s="129" t="n"/>
      <c r="E867" s="127" t="n"/>
    </row>
    <row r="868" ht="15" customHeight="1" s="73">
      <c r="A868" s="124" t="n"/>
      <c r="B868" s="125" t="n"/>
      <c r="C868" s="126" t="n"/>
      <c r="D868" s="129" t="n"/>
      <c r="E868" s="127" t="n"/>
    </row>
    <row r="869" ht="15" customHeight="1" s="73">
      <c r="A869" s="124" t="n"/>
      <c r="B869" s="125" t="n"/>
      <c r="C869" s="126" t="n"/>
      <c r="D869" s="129" t="n"/>
      <c r="E869" s="127" t="n"/>
    </row>
    <row r="870" ht="15" customHeight="1" s="73">
      <c r="A870" s="124" t="n"/>
      <c r="B870" s="125" t="n"/>
      <c r="C870" s="126" t="n"/>
      <c r="D870" s="129" t="n"/>
      <c r="E870" s="127" t="n"/>
    </row>
    <row r="871" ht="15" customHeight="1" s="73">
      <c r="A871" s="124" t="n"/>
      <c r="B871" s="125" t="n"/>
      <c r="C871" s="126" t="n"/>
      <c r="D871" s="129" t="n"/>
      <c r="E871" s="127" t="n"/>
    </row>
    <row r="872" ht="15" customHeight="1" s="73">
      <c r="A872" s="124" t="n"/>
      <c r="B872" s="125" t="n"/>
      <c r="C872" s="126" t="n"/>
      <c r="D872" s="129" t="n"/>
      <c r="E872" s="127" t="n"/>
    </row>
    <row r="873" ht="15" customHeight="1" s="73">
      <c r="A873" s="124" t="n"/>
      <c r="B873" s="125" t="n"/>
      <c r="C873" s="126" t="n"/>
      <c r="D873" s="129" t="n"/>
      <c r="E873" s="127" t="n"/>
    </row>
    <row r="874" ht="15" customHeight="1" s="73">
      <c r="A874" s="124" t="n"/>
      <c r="B874" s="125" t="n"/>
      <c r="C874" s="126" t="n"/>
      <c r="D874" s="129" t="n"/>
      <c r="E874" s="127" t="n"/>
    </row>
    <row r="875" ht="15" customHeight="1" s="73">
      <c r="A875" s="124" t="n"/>
      <c r="B875" s="125" t="n"/>
      <c r="C875" s="126" t="n"/>
      <c r="D875" s="129" t="n"/>
      <c r="E875" s="127" t="n"/>
    </row>
    <row r="876" ht="15" customHeight="1" s="73">
      <c r="A876" s="124" t="n"/>
      <c r="B876" s="125" t="n"/>
      <c r="C876" s="126" t="n"/>
      <c r="D876" s="129" t="n"/>
      <c r="E876" s="127" t="n"/>
    </row>
    <row r="877" ht="15" customHeight="1" s="73">
      <c r="A877" s="124" t="n"/>
      <c r="B877" s="125" t="n"/>
      <c r="C877" s="126" t="n"/>
      <c r="D877" s="129" t="n"/>
      <c r="E877" s="127" t="n"/>
    </row>
    <row r="878" ht="15" customHeight="1" s="73">
      <c r="A878" s="124" t="n"/>
      <c r="B878" s="125" t="n"/>
      <c r="C878" s="126" t="n"/>
      <c r="D878" s="129" t="n"/>
      <c r="E878" s="127" t="n"/>
    </row>
    <row r="879" ht="15" customHeight="1" s="73">
      <c r="A879" s="124" t="n"/>
      <c r="B879" s="125" t="n"/>
      <c r="C879" s="126" t="n"/>
      <c r="D879" s="129" t="n"/>
      <c r="E879" s="127" t="n"/>
    </row>
    <row r="880" ht="15" customHeight="1" s="73">
      <c r="A880" s="124" t="n"/>
      <c r="B880" s="125" t="n"/>
      <c r="C880" s="126" t="n"/>
      <c r="D880" s="129" t="n"/>
      <c r="E880" s="127" t="n"/>
    </row>
    <row r="881" ht="15" customHeight="1" s="73">
      <c r="A881" s="124" t="n"/>
      <c r="B881" s="125" t="n"/>
      <c r="C881" s="126" t="n"/>
      <c r="D881" s="129" t="n"/>
      <c r="E881" s="127" t="n"/>
    </row>
    <row r="882" ht="15" customHeight="1" s="73">
      <c r="A882" s="124" t="n"/>
      <c r="B882" s="125" t="n"/>
      <c r="C882" s="126" t="n"/>
      <c r="D882" s="129" t="n"/>
      <c r="E882" s="127" t="n"/>
    </row>
    <row r="883" ht="15" customHeight="1" s="73">
      <c r="A883" s="124" t="n"/>
      <c r="B883" s="125" t="n"/>
      <c r="C883" s="126" t="n"/>
      <c r="D883" s="129" t="n"/>
      <c r="E883" s="127" t="n"/>
    </row>
    <row r="884" ht="15" customHeight="1" s="73">
      <c r="A884" s="124" t="n"/>
      <c r="B884" s="125" t="n"/>
      <c r="C884" s="126" t="n"/>
      <c r="D884" s="129" t="n"/>
      <c r="E884" s="127" t="n"/>
    </row>
    <row r="885" ht="15" customHeight="1" s="73">
      <c r="A885" s="124" t="n"/>
      <c r="B885" s="125" t="n"/>
      <c r="C885" s="126" t="n"/>
      <c r="D885" s="129" t="n"/>
      <c r="E885" s="127" t="n"/>
    </row>
    <row r="886" ht="15" customHeight="1" s="73">
      <c r="A886" s="124" t="n"/>
      <c r="B886" s="125" t="n"/>
      <c r="C886" s="126" t="n"/>
      <c r="D886" s="129" t="n"/>
      <c r="E886" s="127" t="n"/>
    </row>
    <row r="887" ht="15" customHeight="1" s="73">
      <c r="A887" s="124" t="n"/>
      <c r="B887" s="125" t="n"/>
      <c r="C887" s="126" t="n"/>
      <c r="D887" s="129" t="n"/>
      <c r="E887" s="127" t="n"/>
    </row>
    <row r="888" ht="15" customHeight="1" s="73">
      <c r="A888" s="124" t="n"/>
      <c r="B888" s="125" t="n"/>
      <c r="C888" s="126" t="n"/>
      <c r="D888" s="129" t="n"/>
      <c r="E888" s="127" t="n"/>
    </row>
    <row r="889" ht="15" customHeight="1" s="73">
      <c r="A889" s="124" t="n"/>
      <c r="B889" s="125" t="n"/>
      <c r="C889" s="126" t="n"/>
      <c r="D889" s="129" t="n"/>
      <c r="E889" s="127" t="n"/>
    </row>
    <row r="890" ht="15" customHeight="1" s="73">
      <c r="A890" s="124" t="n"/>
      <c r="B890" s="125" t="n"/>
      <c r="C890" s="126" t="n"/>
      <c r="D890" s="129" t="n"/>
      <c r="E890" s="127" t="n"/>
    </row>
    <row r="891" ht="15" customHeight="1" s="73">
      <c r="A891" s="124" t="n"/>
      <c r="B891" s="125" t="n"/>
      <c r="C891" s="126" t="n"/>
      <c r="D891" s="129" t="n"/>
      <c r="E891" s="127" t="n"/>
    </row>
    <row r="892" ht="15" customHeight="1" s="73">
      <c r="A892" s="124" t="n"/>
      <c r="B892" s="125" t="n"/>
      <c r="C892" s="126" t="n"/>
      <c r="D892" s="129" t="n"/>
      <c r="E892" s="127" t="n"/>
    </row>
    <row r="893" ht="15" customHeight="1" s="73">
      <c r="A893" s="124" t="n"/>
      <c r="B893" s="125" t="n"/>
      <c r="C893" s="126" t="n"/>
      <c r="D893" s="129" t="n"/>
      <c r="E893" s="127" t="n"/>
    </row>
    <row r="894" ht="15" customHeight="1" s="73">
      <c r="A894" s="124" t="n"/>
      <c r="B894" s="125" t="n"/>
      <c r="C894" s="126" t="n"/>
      <c r="D894" s="129" t="n"/>
      <c r="E894" s="127" t="n"/>
    </row>
    <row r="895" ht="15" customHeight="1" s="73">
      <c r="A895" s="124" t="n"/>
      <c r="B895" s="125" t="n"/>
      <c r="C895" s="126" t="n"/>
      <c r="D895" s="129" t="n"/>
      <c r="E895" s="127" t="n"/>
    </row>
    <row r="896" ht="15" customHeight="1" s="73">
      <c r="A896" s="124" t="n"/>
      <c r="B896" s="125" t="n"/>
      <c r="C896" s="126" t="n"/>
      <c r="D896" s="129" t="n"/>
      <c r="E896" s="127" t="n"/>
    </row>
    <row r="897" ht="15" customHeight="1" s="73">
      <c r="A897" s="124" t="n"/>
      <c r="B897" s="125" t="n"/>
      <c r="C897" s="126" t="n"/>
      <c r="D897" s="129" t="n"/>
      <c r="E897" s="127" t="n"/>
    </row>
    <row r="898" ht="15" customHeight="1" s="73">
      <c r="A898" s="124" t="n"/>
      <c r="B898" s="125" t="n"/>
      <c r="C898" s="126" t="n"/>
      <c r="D898" s="129" t="n"/>
      <c r="E898" s="127" t="n"/>
    </row>
    <row r="899" ht="15" customHeight="1" s="73">
      <c r="A899" s="124" t="n"/>
      <c r="B899" s="125" t="n"/>
      <c r="C899" s="126" t="n"/>
      <c r="D899" s="129" t="n"/>
      <c r="E899" s="127" t="n"/>
    </row>
    <row r="900" ht="15" customHeight="1" s="73">
      <c r="A900" s="124" t="n"/>
      <c r="B900" s="125" t="n"/>
      <c r="C900" s="126" t="n"/>
      <c r="D900" s="129" t="n"/>
      <c r="E900" s="127" t="n"/>
    </row>
    <row r="901" ht="15" customHeight="1" s="73">
      <c r="A901" s="124" t="n"/>
      <c r="B901" s="125" t="n"/>
      <c r="C901" s="126" t="n"/>
      <c r="D901" s="129" t="n"/>
      <c r="E901" s="127" t="n"/>
    </row>
    <row r="902" ht="15" customHeight="1" s="73">
      <c r="A902" s="124" t="n"/>
      <c r="B902" s="125" t="n"/>
      <c r="C902" s="126" t="n"/>
      <c r="D902" s="129" t="n"/>
      <c r="E902" s="127" t="n"/>
    </row>
    <row r="903" ht="15" customHeight="1" s="73">
      <c r="A903" s="124" t="n"/>
      <c r="B903" s="125" t="n"/>
      <c r="C903" s="126" t="n"/>
      <c r="D903" s="129" t="n"/>
      <c r="E903" s="127" t="n"/>
    </row>
    <row r="904" ht="15" customHeight="1" s="73">
      <c r="A904" s="124" t="n"/>
      <c r="B904" s="125" t="n"/>
      <c r="C904" s="126" t="n"/>
      <c r="D904" s="129" t="n"/>
      <c r="E904" s="127" t="n"/>
    </row>
    <row r="905" ht="15" customHeight="1" s="73">
      <c r="A905" s="124" t="n"/>
      <c r="B905" s="125" t="n"/>
      <c r="C905" s="126" t="n"/>
      <c r="D905" s="129" t="n"/>
      <c r="E905" s="127" t="n"/>
    </row>
    <row r="906" ht="15" customHeight="1" s="73">
      <c r="A906" s="124" t="n"/>
      <c r="B906" s="125" t="n"/>
      <c r="C906" s="126" t="n"/>
      <c r="D906" s="129" t="n"/>
      <c r="E906" s="127" t="n"/>
    </row>
    <row r="907" ht="15" customHeight="1" s="73">
      <c r="A907" s="124" t="n"/>
      <c r="B907" s="125" t="n"/>
      <c r="C907" s="126" t="n"/>
      <c r="D907" s="129" t="n"/>
      <c r="E907" s="127" t="n"/>
    </row>
    <row r="908" ht="15" customHeight="1" s="73">
      <c r="A908" s="124" t="n"/>
      <c r="B908" s="125" t="n"/>
      <c r="C908" s="126" t="n"/>
      <c r="D908" s="129" t="n"/>
      <c r="E908" s="127" t="n"/>
    </row>
    <row r="909" ht="15" customHeight="1" s="73">
      <c r="A909" s="124" t="n"/>
      <c r="B909" s="125" t="n"/>
      <c r="C909" s="126" t="n"/>
      <c r="D909" s="129" t="n"/>
      <c r="E909" s="127" t="n"/>
    </row>
    <row r="910" ht="15" customHeight="1" s="73">
      <c r="A910" s="124" t="n"/>
      <c r="B910" s="125" t="n"/>
      <c r="C910" s="126" t="n"/>
      <c r="D910" s="129" t="n"/>
      <c r="E910" s="127" t="n"/>
    </row>
    <row r="911" ht="15" customHeight="1" s="73">
      <c r="A911" s="124" t="n"/>
      <c r="B911" s="125" t="n"/>
      <c r="C911" s="126" t="n"/>
      <c r="D911" s="129" t="n"/>
      <c r="E911" s="127" t="n"/>
    </row>
    <row r="912" ht="15" customHeight="1" s="73">
      <c r="A912" s="124" t="n"/>
      <c r="B912" s="125" t="n"/>
      <c r="C912" s="126" t="n"/>
      <c r="D912" s="129" t="n"/>
      <c r="E912" s="127" t="n"/>
    </row>
    <row r="913" ht="15" customHeight="1" s="73">
      <c r="A913" s="124" t="n"/>
      <c r="B913" s="125" t="n"/>
      <c r="C913" s="126" t="n"/>
      <c r="D913" s="129" t="n"/>
      <c r="E913" s="127" t="n"/>
    </row>
    <row r="914" ht="15" customHeight="1" s="73">
      <c r="A914" s="124" t="n"/>
      <c r="B914" s="125" t="n"/>
      <c r="C914" s="126" t="n"/>
      <c r="D914" s="129" t="n"/>
      <c r="E914" s="127" t="n"/>
    </row>
    <row r="915" ht="15" customHeight="1" s="73">
      <c r="A915" s="124" t="n"/>
      <c r="B915" s="125" t="n"/>
      <c r="C915" s="126" t="n"/>
      <c r="D915" s="129" t="n"/>
      <c r="E915" s="127" t="n"/>
    </row>
    <row r="916" ht="15" customHeight="1" s="73">
      <c r="A916" s="124" t="n"/>
      <c r="B916" s="125" t="n"/>
      <c r="C916" s="126" t="n"/>
      <c r="D916" s="129" t="n"/>
      <c r="E916" s="127" t="n"/>
    </row>
    <row r="917" ht="15" customHeight="1" s="73">
      <c r="A917" s="124" t="n"/>
      <c r="B917" s="125" t="n"/>
      <c r="C917" s="126" t="n"/>
      <c r="D917" s="129" t="n"/>
      <c r="E917" s="127" t="n"/>
    </row>
    <row r="918" ht="15" customHeight="1" s="73">
      <c r="A918" s="124" t="n"/>
      <c r="B918" s="125" t="n"/>
      <c r="C918" s="126" t="n"/>
      <c r="D918" s="129" t="n"/>
      <c r="E918" s="127" t="n"/>
    </row>
    <row r="919" ht="15" customHeight="1" s="73">
      <c r="A919" s="124" t="n"/>
      <c r="B919" s="125" t="n"/>
      <c r="C919" s="126" t="n"/>
      <c r="D919" s="129" t="n"/>
      <c r="E919" s="127" t="n"/>
    </row>
    <row r="920" ht="15" customHeight="1" s="73">
      <c r="A920" s="124" t="n"/>
      <c r="B920" s="125" t="n"/>
      <c r="C920" s="126" t="n"/>
      <c r="D920" s="129" t="n"/>
      <c r="E920" s="127" t="n"/>
    </row>
    <row r="921" ht="15" customHeight="1" s="73">
      <c r="A921" s="124" t="n"/>
      <c r="B921" s="125" t="n"/>
      <c r="C921" s="126" t="n"/>
      <c r="D921" s="129" t="n"/>
      <c r="E921" s="127" t="n"/>
    </row>
    <row r="922" ht="15" customHeight="1" s="73">
      <c r="A922" s="124" t="n"/>
      <c r="B922" s="125" t="n"/>
      <c r="C922" s="126" t="n"/>
      <c r="D922" s="129" t="n"/>
      <c r="E922" s="127" t="n"/>
    </row>
    <row r="923" ht="15" customHeight="1" s="73">
      <c r="A923" s="124" t="n"/>
      <c r="B923" s="125" t="n"/>
      <c r="C923" s="126" t="n"/>
      <c r="D923" s="129" t="n"/>
      <c r="E923" s="127" t="n"/>
    </row>
    <row r="924" ht="15" customHeight="1" s="73">
      <c r="A924" s="124" t="n"/>
      <c r="B924" s="125" t="n"/>
      <c r="C924" s="126" t="n"/>
      <c r="D924" s="129" t="n"/>
      <c r="E924" s="127" t="n"/>
    </row>
    <row r="925" ht="15" customHeight="1" s="73">
      <c r="A925" s="124" t="n"/>
      <c r="B925" s="125" t="n"/>
      <c r="C925" s="126" t="n"/>
      <c r="D925" s="129" t="n"/>
      <c r="E925" s="127" t="n"/>
    </row>
    <row r="926" ht="15" customHeight="1" s="73">
      <c r="A926" s="124" t="n"/>
      <c r="B926" s="125" t="n"/>
      <c r="C926" s="126" t="n"/>
      <c r="D926" s="129" t="n"/>
      <c r="E926" s="127" t="n"/>
    </row>
    <row r="927" ht="15" customHeight="1" s="73">
      <c r="A927" s="124" t="n"/>
      <c r="B927" s="125" t="n"/>
      <c r="C927" s="126" t="n"/>
      <c r="D927" s="129" t="n"/>
      <c r="E927" s="127" t="n"/>
    </row>
    <row r="928" ht="15" customHeight="1" s="73">
      <c r="A928" s="124" t="n"/>
      <c r="B928" s="125" t="n"/>
      <c r="C928" s="126" t="n"/>
      <c r="D928" s="129" t="n"/>
      <c r="E928" s="127" t="n"/>
    </row>
    <row r="929" ht="15" customHeight="1" s="73">
      <c r="A929" s="124" t="n"/>
      <c r="B929" s="125" t="n"/>
      <c r="C929" s="126" t="n"/>
      <c r="D929" s="129" t="n"/>
      <c r="E929" s="127" t="n"/>
    </row>
    <row r="930" ht="15" customHeight="1" s="73">
      <c r="A930" s="124" t="n"/>
      <c r="B930" s="125" t="n"/>
      <c r="C930" s="126" t="n"/>
      <c r="D930" s="129" t="n"/>
      <c r="E930" s="127" t="n"/>
    </row>
    <row r="931" ht="15" customHeight="1" s="73">
      <c r="A931" s="124" t="n"/>
      <c r="B931" s="125" t="n"/>
      <c r="C931" s="126" t="n"/>
      <c r="D931" s="129" t="n"/>
      <c r="E931" s="127" t="n"/>
    </row>
    <row r="932" ht="15" customHeight="1" s="73">
      <c r="A932" s="124" t="n"/>
      <c r="B932" s="125" t="n"/>
      <c r="C932" s="126" t="n"/>
      <c r="D932" s="129" t="n"/>
      <c r="E932" s="127" t="n"/>
    </row>
    <row r="933" ht="15" customHeight="1" s="73">
      <c r="A933" s="124" t="n"/>
      <c r="B933" s="125" t="n"/>
      <c r="C933" s="126" t="n"/>
      <c r="D933" s="129" t="n"/>
      <c r="E933" s="127" t="n"/>
    </row>
    <row r="934" ht="15" customHeight="1" s="73">
      <c r="A934" s="124" t="n"/>
      <c r="B934" s="125" t="n"/>
      <c r="C934" s="126" t="n"/>
      <c r="D934" s="129" t="n"/>
      <c r="E934" s="127" t="n"/>
    </row>
    <row r="935" ht="15" customHeight="1" s="73">
      <c r="A935" s="124" t="n"/>
      <c r="B935" s="125" t="n"/>
      <c r="C935" s="126" t="n"/>
      <c r="D935" s="129" t="n"/>
      <c r="E935" s="127" t="n"/>
    </row>
    <row r="936" ht="15" customHeight="1" s="73">
      <c r="A936" s="124" t="n"/>
      <c r="B936" s="125" t="n"/>
      <c r="C936" s="126" t="n"/>
      <c r="D936" s="129" t="n"/>
      <c r="E936" s="127" t="n"/>
    </row>
    <row r="937" ht="15" customHeight="1" s="73">
      <c r="A937" s="124" t="n"/>
      <c r="B937" s="125" t="n"/>
      <c r="C937" s="126" t="n"/>
      <c r="D937" s="129" t="n"/>
      <c r="E937" s="127" t="n"/>
    </row>
    <row r="938" ht="15" customHeight="1" s="73">
      <c r="A938" s="124" t="n"/>
      <c r="B938" s="125" t="n"/>
      <c r="C938" s="126" t="n"/>
      <c r="D938" s="129" t="n"/>
      <c r="E938" s="127" t="n"/>
    </row>
    <row r="939" ht="15" customHeight="1" s="73">
      <c r="A939" s="124" t="n"/>
      <c r="B939" s="125" t="n"/>
      <c r="C939" s="126" t="n"/>
      <c r="D939" s="129" t="n"/>
      <c r="E939" s="127" t="n"/>
    </row>
    <row r="940" ht="15" customHeight="1" s="73">
      <c r="A940" s="124" t="n"/>
      <c r="B940" s="125" t="n"/>
      <c r="C940" s="126" t="n"/>
      <c r="D940" s="129" t="n"/>
      <c r="E940" s="127" t="n"/>
    </row>
    <row r="941" ht="15" customHeight="1" s="73">
      <c r="A941" s="124" t="n"/>
      <c r="B941" s="125" t="n"/>
      <c r="C941" s="126" t="n"/>
      <c r="D941" s="129" t="n"/>
      <c r="E941" s="127" t="n"/>
    </row>
    <row r="942" ht="15" customHeight="1" s="73">
      <c r="A942" s="124" t="n"/>
      <c r="B942" s="125" t="n"/>
      <c r="C942" s="126" t="n"/>
      <c r="D942" s="129" t="n"/>
      <c r="E942" s="127" t="n"/>
    </row>
    <row r="943" ht="15" customHeight="1" s="73">
      <c r="A943" s="124" t="n"/>
      <c r="B943" s="125" t="n"/>
      <c r="C943" s="126" t="n"/>
      <c r="D943" s="129" t="n"/>
      <c r="E943" s="127" t="n"/>
    </row>
    <row r="944" ht="15" customHeight="1" s="73">
      <c r="A944" s="124" t="n"/>
      <c r="B944" s="125" t="n"/>
      <c r="C944" s="126" t="n"/>
      <c r="D944" s="129" t="n"/>
      <c r="E944" s="127" t="n"/>
    </row>
    <row r="945" ht="15" customHeight="1" s="73">
      <c r="A945" s="124" t="n"/>
      <c r="B945" s="125" t="n"/>
      <c r="C945" s="126" t="n"/>
      <c r="D945" s="129" t="n"/>
      <c r="E945" s="127" t="n"/>
    </row>
    <row r="946" ht="15" customHeight="1" s="73">
      <c r="A946" s="124" t="n"/>
      <c r="B946" s="125" t="n"/>
      <c r="C946" s="126" t="n"/>
      <c r="D946" s="129" t="n"/>
      <c r="E946" s="127" t="n"/>
    </row>
    <row r="947" ht="15" customHeight="1" s="73">
      <c r="A947" s="124" t="n"/>
      <c r="B947" s="125" t="n"/>
      <c r="C947" s="126" t="n"/>
      <c r="D947" s="129" t="n"/>
      <c r="E947" s="127" t="n"/>
    </row>
    <row r="948" ht="15" customHeight="1" s="73">
      <c r="A948" s="124" t="n"/>
      <c r="B948" s="125" t="n"/>
      <c r="C948" s="126" t="n"/>
      <c r="D948" s="129" t="n"/>
      <c r="E948" s="127" t="n"/>
    </row>
    <row r="949" ht="15" customHeight="1" s="73">
      <c r="A949" s="124" t="n"/>
      <c r="B949" s="125" t="n"/>
      <c r="C949" s="126" t="n"/>
      <c r="D949" s="129" t="n"/>
      <c r="E949" s="127" t="n"/>
    </row>
    <row r="950" ht="15" customHeight="1" s="73">
      <c r="A950" s="124" t="n"/>
      <c r="B950" s="125" t="n"/>
      <c r="C950" s="126" t="n"/>
      <c r="D950" s="129" t="n"/>
      <c r="E950" s="127" t="n"/>
    </row>
    <row r="951" ht="15" customHeight="1" s="73">
      <c r="A951" s="124" t="n"/>
      <c r="B951" s="125" t="n"/>
      <c r="C951" s="126" t="n"/>
      <c r="D951" s="129" t="n"/>
      <c r="E951" s="127" t="n"/>
    </row>
    <row r="952" ht="15" customHeight="1" s="73">
      <c r="A952" s="124" t="n"/>
      <c r="B952" s="125" t="n"/>
      <c r="C952" s="126" t="n"/>
      <c r="D952" s="129" t="n"/>
      <c r="E952" s="127" t="n"/>
    </row>
    <row r="953" ht="15" customHeight="1" s="73">
      <c r="A953" s="124" t="n"/>
      <c r="B953" s="125" t="n"/>
      <c r="C953" s="126" t="n"/>
      <c r="D953" s="129" t="n"/>
      <c r="E953" s="127" t="n"/>
    </row>
    <row r="954" ht="15" customHeight="1" s="73">
      <c r="A954" s="124" t="n"/>
      <c r="B954" s="125" t="n"/>
      <c r="C954" s="126" t="n"/>
      <c r="D954" s="129" t="n"/>
      <c r="E954" s="127" t="n"/>
    </row>
    <row r="955" ht="15" customHeight="1" s="73">
      <c r="A955" s="124" t="n"/>
      <c r="B955" s="125" t="n"/>
      <c r="C955" s="126" t="n"/>
      <c r="D955" s="129" t="n"/>
      <c r="E955" s="127" t="n"/>
    </row>
    <row r="956" ht="15" customHeight="1" s="73">
      <c r="A956" s="124" t="n"/>
      <c r="B956" s="125" t="n"/>
      <c r="C956" s="126" t="n"/>
      <c r="D956" s="129" t="n"/>
      <c r="E956" s="127" t="n"/>
    </row>
    <row r="957" ht="15" customHeight="1" s="73">
      <c r="A957" s="124" t="n"/>
      <c r="B957" s="125" t="n"/>
      <c r="C957" s="126" t="n"/>
      <c r="D957" s="129" t="n"/>
      <c r="E957" s="127" t="n"/>
    </row>
    <row r="958" ht="15" customHeight="1" s="73">
      <c r="A958" s="124" t="n"/>
      <c r="B958" s="125" t="n"/>
      <c r="C958" s="126" t="n"/>
      <c r="D958" s="129" t="n"/>
      <c r="E958" s="127" t="n"/>
    </row>
    <row r="959" ht="15" customHeight="1" s="73">
      <c r="A959" s="124" t="n"/>
      <c r="B959" s="125" t="n"/>
      <c r="C959" s="126" t="n"/>
      <c r="D959" s="129" t="n"/>
      <c r="E959" s="127" t="n"/>
    </row>
    <row r="960" ht="15" customHeight="1" s="73">
      <c r="A960" s="124" t="n"/>
      <c r="B960" s="125" t="n"/>
      <c r="C960" s="126" t="n"/>
      <c r="D960" s="129" t="n"/>
      <c r="E960" s="127" t="n"/>
    </row>
    <row r="961" ht="15" customHeight="1" s="73">
      <c r="A961" s="124" t="n"/>
      <c r="B961" s="125" t="n"/>
      <c r="C961" s="126" t="n"/>
      <c r="D961" s="129" t="n"/>
      <c r="E961" s="127" t="n"/>
    </row>
    <row r="962" ht="15" customHeight="1" s="73">
      <c r="A962" s="124" t="n"/>
      <c r="B962" s="125" t="n"/>
      <c r="C962" s="126" t="n"/>
      <c r="D962" s="129" t="n"/>
      <c r="E962" s="127" t="n"/>
    </row>
    <row r="963" ht="15" customHeight="1" s="73">
      <c r="A963" s="124" t="n"/>
      <c r="B963" s="125" t="n"/>
      <c r="C963" s="126" t="n"/>
      <c r="D963" s="129" t="n"/>
      <c r="E963" s="127" t="n"/>
    </row>
    <row r="964" ht="15" customHeight="1" s="73">
      <c r="A964" s="124" t="n"/>
      <c r="B964" s="125" t="n"/>
      <c r="C964" s="126" t="n"/>
      <c r="D964" s="129" t="n"/>
      <c r="E964" s="127" t="n"/>
    </row>
    <row r="965" ht="15" customHeight="1" s="73">
      <c r="A965" s="124" t="n"/>
      <c r="B965" s="125" t="n"/>
      <c r="C965" s="126" t="n"/>
      <c r="D965" s="129" t="n"/>
      <c r="E965" s="127" t="n"/>
    </row>
    <row r="966" ht="15" customHeight="1" s="73">
      <c r="A966" s="124" t="n"/>
      <c r="B966" s="125" t="n"/>
      <c r="C966" s="126" t="n"/>
      <c r="D966" s="129" t="n"/>
      <c r="E966" s="127" t="n"/>
    </row>
    <row r="967" ht="15" customHeight="1" s="73">
      <c r="A967" s="124" t="n"/>
      <c r="B967" s="125" t="n"/>
      <c r="C967" s="126" t="n"/>
      <c r="D967" s="129" t="n"/>
      <c r="E967" s="127" t="n"/>
    </row>
    <row r="968" ht="15" customHeight="1" s="73">
      <c r="A968" s="124" t="n"/>
      <c r="B968" s="125" t="n"/>
      <c r="C968" s="126" t="n"/>
      <c r="D968" s="129" t="n"/>
      <c r="E968" s="127" t="n"/>
    </row>
    <row r="969" ht="15" customHeight="1" s="73">
      <c r="A969" s="124" t="n"/>
      <c r="B969" s="125" t="n"/>
      <c r="C969" s="126" t="n"/>
      <c r="D969" s="129" t="n"/>
      <c r="E969" s="127" t="n"/>
    </row>
    <row r="970" ht="15" customHeight="1" s="73">
      <c r="A970" s="124" t="n"/>
      <c r="B970" s="125" t="n"/>
      <c r="C970" s="126" t="n"/>
      <c r="D970" s="129" t="n"/>
      <c r="E970" s="127" t="n"/>
    </row>
    <row r="971" ht="15" customHeight="1" s="73">
      <c r="A971" s="124" t="n"/>
      <c r="B971" s="125" t="n"/>
      <c r="C971" s="126" t="n"/>
      <c r="D971" s="129" t="n"/>
      <c r="E971" s="127" t="n"/>
    </row>
    <row r="972" ht="15" customHeight="1" s="73">
      <c r="A972" s="124" t="n"/>
      <c r="B972" s="125" t="n"/>
      <c r="C972" s="126" t="n"/>
      <c r="D972" s="129" t="n"/>
      <c r="E972" s="127" t="n"/>
    </row>
    <row r="973" ht="15" customHeight="1" s="73">
      <c r="A973" s="124" t="n"/>
      <c r="B973" s="125" t="n"/>
      <c r="C973" s="126" t="n"/>
      <c r="D973" s="129" t="n"/>
      <c r="E973" s="127" t="n"/>
    </row>
    <row r="974" ht="15" customHeight="1" s="73">
      <c r="A974" s="124" t="n"/>
      <c r="B974" s="125" t="n"/>
      <c r="C974" s="126" t="n"/>
      <c r="D974" s="129" t="n"/>
      <c r="E974" s="127" t="n"/>
    </row>
    <row r="975" ht="15" customHeight="1" s="73">
      <c r="A975" s="124" t="n"/>
      <c r="B975" s="125" t="n"/>
      <c r="C975" s="126" t="n"/>
      <c r="D975" s="129" t="n"/>
      <c r="E975" s="127" t="n"/>
    </row>
    <row r="976" ht="15" customHeight="1" s="73">
      <c r="A976" s="124" t="n"/>
      <c r="B976" s="125" t="n"/>
      <c r="C976" s="126" t="n"/>
      <c r="D976" s="129" t="n"/>
      <c r="E976" s="127" t="n"/>
    </row>
    <row r="977" ht="15" customHeight="1" s="73">
      <c r="A977" s="124" t="n"/>
      <c r="B977" s="125" t="n"/>
      <c r="C977" s="126" t="n"/>
      <c r="D977" s="129" t="n"/>
      <c r="E977" s="127" t="n"/>
    </row>
    <row r="978" ht="15" customHeight="1" s="73">
      <c r="A978" s="124" t="n"/>
      <c r="B978" s="125" t="n"/>
      <c r="C978" s="126" t="n"/>
      <c r="D978" s="129" t="n"/>
      <c r="E978" s="127" t="n"/>
    </row>
    <row r="979" ht="15" customHeight="1" s="73">
      <c r="A979" s="124" t="n"/>
      <c r="B979" s="125" t="n"/>
      <c r="C979" s="126" t="n"/>
      <c r="D979" s="129" t="n"/>
      <c r="E979" s="127" t="n"/>
    </row>
    <row r="980" ht="15" customHeight="1" s="73">
      <c r="A980" s="124" t="n"/>
      <c r="B980" s="125" t="n"/>
      <c r="C980" s="126" t="n"/>
      <c r="D980" s="129" t="n"/>
      <c r="E980" s="127" t="n"/>
    </row>
    <row r="981" ht="15" customHeight="1" s="73">
      <c r="A981" s="124" t="n"/>
      <c r="B981" s="125" t="n"/>
      <c r="C981" s="126" t="n"/>
      <c r="D981" s="129" t="n"/>
      <c r="E981" s="127" t="n"/>
    </row>
    <row r="982" ht="15" customHeight="1" s="73">
      <c r="A982" s="124" t="n"/>
      <c r="B982" s="125" t="n"/>
      <c r="C982" s="126" t="n"/>
      <c r="D982" s="129" t="n"/>
      <c r="E982" s="127" t="n"/>
    </row>
    <row r="983" ht="15" customHeight="1" s="73">
      <c r="A983" s="124" t="n"/>
      <c r="B983" s="125" t="n"/>
      <c r="C983" s="126" t="n"/>
      <c r="D983" s="129" t="n"/>
      <c r="E983" s="127" t="n"/>
    </row>
    <row r="984" ht="15" customHeight="1" s="73">
      <c r="A984" s="124" t="n"/>
      <c r="B984" s="125" t="n"/>
      <c r="C984" s="126" t="n"/>
      <c r="D984" s="129" t="n"/>
      <c r="E984" s="127" t="n"/>
    </row>
    <row r="985" ht="15" customHeight="1" s="73">
      <c r="A985" s="124" t="n"/>
      <c r="B985" s="125" t="n"/>
      <c r="C985" s="126" t="n"/>
      <c r="D985" s="129" t="n"/>
      <c r="E985" s="127" t="n"/>
    </row>
    <row r="986" ht="15" customHeight="1" s="73">
      <c r="A986" s="124" t="n"/>
      <c r="B986" s="125" t="n"/>
      <c r="C986" s="126" t="n"/>
      <c r="D986" s="129" t="n"/>
      <c r="E986" s="127" t="n"/>
    </row>
    <row r="987" ht="15" customHeight="1" s="73">
      <c r="A987" s="124" t="n"/>
      <c r="B987" s="125" t="n"/>
      <c r="C987" s="126" t="n"/>
      <c r="D987" s="129" t="n"/>
      <c r="E987" s="127" t="n"/>
    </row>
    <row r="988" ht="15" customHeight="1" s="73">
      <c r="A988" s="124" t="n"/>
      <c r="B988" s="125" t="n"/>
      <c r="C988" s="126" t="n"/>
      <c r="D988" s="129" t="n"/>
      <c r="E988" s="127" t="n"/>
    </row>
    <row r="989" ht="15" customHeight="1" s="73">
      <c r="A989" s="124" t="n"/>
      <c r="B989" s="125" t="n"/>
      <c r="C989" s="126" t="n"/>
      <c r="D989" s="129" t="n"/>
      <c r="E989" s="127" t="n"/>
    </row>
    <row r="990" ht="15" customHeight="1" s="73">
      <c r="A990" s="124" t="n"/>
      <c r="B990" s="125" t="n"/>
      <c r="C990" s="126" t="n"/>
      <c r="D990" s="129" t="n"/>
      <c r="E990" s="127" t="n"/>
    </row>
    <row r="991" ht="15" customHeight="1" s="73">
      <c r="A991" s="124" t="n"/>
      <c r="B991" s="125" t="n"/>
      <c r="C991" s="126" t="n"/>
      <c r="D991" s="129" t="n"/>
      <c r="E991" s="127" t="n"/>
    </row>
    <row r="992" ht="15" customHeight="1" s="73">
      <c r="A992" s="124" t="n"/>
      <c r="B992" s="125" t="n"/>
      <c r="C992" s="126" t="n"/>
      <c r="D992" s="129" t="n"/>
      <c r="E992" s="127" t="n"/>
    </row>
    <row r="993" ht="15" customHeight="1" s="73">
      <c r="A993" s="124" t="n"/>
      <c r="B993" s="125" t="n"/>
      <c r="C993" s="126" t="n"/>
      <c r="D993" s="129" t="n"/>
      <c r="E993" s="127" t="n"/>
    </row>
    <row r="994" ht="15" customHeight="1" s="73">
      <c r="A994" s="124" t="n"/>
      <c r="B994" s="125" t="n"/>
      <c r="C994" s="126" t="n"/>
      <c r="D994" s="129" t="n"/>
      <c r="E994" s="127" t="n"/>
    </row>
    <row r="995" ht="15" customHeight="1" s="73">
      <c r="A995" s="124" t="n"/>
      <c r="B995" s="125" t="n"/>
      <c r="C995" s="126" t="n"/>
      <c r="D995" s="129" t="n"/>
      <c r="E995" s="127" t="n"/>
    </row>
    <row r="996" ht="15" customHeight="1" s="73">
      <c r="A996" s="124" t="n"/>
      <c r="B996" s="125" t="n"/>
      <c r="C996" s="126" t="n"/>
      <c r="D996" s="129" t="n"/>
      <c r="E996" s="127" t="n"/>
    </row>
    <row r="997" ht="15" customHeight="1" s="73">
      <c r="A997" s="124" t="n"/>
      <c r="B997" s="125" t="n"/>
      <c r="C997" s="126" t="n"/>
      <c r="D997" s="129" t="n"/>
      <c r="E997" s="127" t="n"/>
    </row>
    <row r="998" ht="15" customHeight="1" s="73">
      <c r="A998" s="124" t="n"/>
      <c r="B998" s="125" t="n"/>
      <c r="C998" s="126" t="n"/>
      <c r="D998" s="129" t="n"/>
      <c r="E998" s="127" t="n"/>
    </row>
    <row r="999" ht="15" customHeight="1" s="73">
      <c r="A999" s="124" t="n"/>
      <c r="B999" s="125" t="n"/>
      <c r="C999" s="126" t="n"/>
      <c r="D999" s="129" t="n"/>
      <c r="E999" s="127" t="n"/>
    </row>
    <row r="1000" ht="15" customHeight="1" s="73">
      <c r="A1000" s="124" t="n"/>
      <c r="B1000" s="125" t="n"/>
      <c r="C1000" s="126" t="n"/>
      <c r="D1000" s="129" t="n"/>
      <c r="E1000" s="127" t="n"/>
    </row>
    <row r="1001" ht="15" customHeight="1" s="73">
      <c r="A1001" s="124" t="n"/>
      <c r="B1001" s="125" t="n"/>
      <c r="C1001" s="126" t="n"/>
      <c r="D1001" s="129" t="n"/>
      <c r="E1001" s="127" t="n"/>
    </row>
    <row r="1002" ht="15" customHeight="1" s="73">
      <c r="A1002" s="124" t="n"/>
      <c r="B1002" s="125" t="n"/>
      <c r="C1002" s="126" t="n"/>
      <c r="D1002" s="129" t="n"/>
      <c r="E1002" s="127" t="n"/>
    </row>
    <row r="1003" ht="15" customHeight="1" s="73">
      <c r="A1003" s="124" t="n"/>
      <c r="B1003" s="125" t="n"/>
      <c r="C1003" s="126" t="n"/>
      <c r="D1003" s="129" t="n"/>
      <c r="E1003" s="127" t="n"/>
    </row>
    <row r="1004" ht="15" customHeight="1" s="73">
      <c r="A1004" s="124" t="n"/>
      <c r="B1004" s="124" t="n"/>
      <c r="C1004" s="124" t="n"/>
    </row>
    <row r="1006" ht="19.5" customHeight="1" s="73">
      <c r="A1006" s="110" t="inlineStr">
        <is>
          <t>Geç ödeme günü, ödeme tarihinin vadeyi aşan kısmıdır; gecikme maliyeti oran ve gün üzerinden otomatiktir.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F3"/>
    <mergeCell ref="A1006:AN1006"/>
    <mergeCell ref="A1:AD1"/>
  </mergeCells>
  <conditionalFormatting sqref="D6">
    <cfRule type="cellIs" rank="0" priority="2" equalAverage="0" operator="greaterThan" aboveAverage="0" dxfId="10" text="" percent="0" bottom="0">
      <formula>GecOdemeEsik</formula>
    </cfRule>
  </conditionalFormatting>
  <conditionalFormatting sqref="E6">
    <cfRule type="cellIs" rank="0" priority="3" equalAverage="0" operator="greaterThan" aboveAverage="0" dxfId="8" text="" percent="0" bottom="0">
      <formula>0</formula>
    </cfRule>
  </conditionalFormatting>
  <conditionalFormatting sqref="D7">
    <cfRule type="cellIs" rank="0" priority="4" equalAverage="0" operator="greaterThan" aboveAverage="0" dxfId="10" text="" percent="0" bottom="0">
      <formula>GecOdemeEsik</formula>
    </cfRule>
  </conditionalFormatting>
  <conditionalFormatting sqref="E7">
    <cfRule type="cellIs" rank="0" priority="5" equalAverage="0" operator="greaterThan" aboveAverage="0" dxfId="8" text="" percent="0" bottom="0">
      <formula>0</formula>
    </cfRule>
  </conditionalFormatting>
  <conditionalFormatting sqref="D8">
    <cfRule type="cellIs" rank="0" priority="6" equalAverage="0" operator="greaterThan" aboveAverage="0" dxfId="10" text="" percent="0" bottom="0">
      <formula>GecOdemeEsik</formula>
    </cfRule>
  </conditionalFormatting>
  <conditionalFormatting sqref="E8">
    <cfRule type="cellIs" rank="0" priority="7" equalAverage="0" operator="greaterThan" aboveAverage="0" dxfId="8" text="" percent="0" bottom="0">
      <formula>0</formula>
    </cfRule>
  </conditionalFormatting>
  <conditionalFormatting sqref="D9">
    <cfRule type="cellIs" rank="0" priority="8" equalAverage="0" operator="greaterThan" aboveAverage="0" dxfId="10" text="" percent="0" bottom="0">
      <formula>GecOdemeEsik</formula>
    </cfRule>
  </conditionalFormatting>
  <conditionalFormatting sqref="E9">
    <cfRule type="cellIs" rank="0" priority="9" equalAverage="0" operator="greaterThan" aboveAverage="0" dxfId="8" text="" percent="0" bottom="0">
      <formula>0</formula>
    </cfRule>
  </conditionalFormatting>
  <conditionalFormatting sqref="D10">
    <cfRule type="cellIs" rank="0" priority="10" equalAverage="0" operator="greaterThan" aboveAverage="0" dxfId="10" text="" percent="0" bottom="0">
      <formula>GecOdemeEsik</formula>
    </cfRule>
  </conditionalFormatting>
  <conditionalFormatting sqref="E10">
    <cfRule type="cellIs" rank="0" priority="11" equalAverage="0" operator="greaterThan" aboveAverage="0" dxfId="8" text="" percent="0" bottom="0">
      <formula>0</formula>
    </cfRule>
  </conditionalFormatting>
  <conditionalFormatting sqref="D11">
    <cfRule type="cellIs" rank="0" priority="12" equalAverage="0" operator="greaterThan" aboveAverage="0" dxfId="10" text="" percent="0" bottom="0">
      <formula>GecOdemeEsik</formula>
    </cfRule>
  </conditionalFormatting>
  <conditionalFormatting sqref="E11">
    <cfRule type="cellIs" rank="0" priority="13" equalAverage="0" operator="greaterThan" aboveAverage="0" dxfId="8" text="" percent="0" bottom="0">
      <formula>0</formula>
    </cfRule>
  </conditionalFormatting>
  <conditionalFormatting sqref="D12">
    <cfRule type="cellIs" rank="0" priority="14" equalAverage="0" operator="greaterThan" aboveAverage="0" dxfId="10" text="" percent="0" bottom="0">
      <formula>GecOdemeEsik</formula>
    </cfRule>
  </conditionalFormatting>
  <conditionalFormatting sqref="E12">
    <cfRule type="cellIs" rank="0" priority="15" equalAverage="0" operator="greaterThan" aboveAverage="0" dxfId="8" text="" percent="0" bottom="0">
      <formula>0</formula>
    </cfRule>
  </conditionalFormatting>
  <conditionalFormatting sqref="D13">
    <cfRule type="cellIs" rank="0" priority="16" equalAverage="0" operator="greaterThan" aboveAverage="0" dxfId="10" text="" percent="0" bottom="0">
      <formula>GecOdemeEsik</formula>
    </cfRule>
  </conditionalFormatting>
  <conditionalFormatting sqref="E13">
    <cfRule type="cellIs" rank="0" priority="17" equalAverage="0" operator="greaterThan" aboveAverage="0" dxfId="8" text="" percent="0" bottom="0">
      <formula>0</formula>
    </cfRule>
  </conditionalFormatting>
  <conditionalFormatting sqref="D14">
    <cfRule type="cellIs" rank="0" priority="18" equalAverage="0" operator="greaterThan" aboveAverage="0" dxfId="10" text="" percent="0" bottom="0">
      <formula>GecOdemeEsik</formula>
    </cfRule>
  </conditionalFormatting>
  <conditionalFormatting sqref="E14">
    <cfRule type="cellIs" rank="0" priority="19" equalAverage="0" operator="greaterThan" aboveAverage="0" dxfId="8" text="" percent="0" bottom="0">
      <formula>0</formula>
    </cfRule>
  </conditionalFormatting>
  <conditionalFormatting sqref="D15">
    <cfRule type="cellIs" rank="0" priority="20" equalAverage="0" operator="greaterThan" aboveAverage="0" dxfId="10" text="" percent="0" bottom="0">
      <formula>GecOdemeEsik</formula>
    </cfRule>
  </conditionalFormatting>
  <conditionalFormatting sqref="E15">
    <cfRule type="cellIs" rank="0" priority="21" equalAverage="0" operator="greaterThan" aboveAverage="0" dxfId="8" text="" percent="0" bottom="0">
      <formula>0</formula>
    </cfRule>
  </conditionalFormatting>
  <conditionalFormatting sqref="D16">
    <cfRule type="cellIs" rank="0" priority="22" equalAverage="0" operator="greaterThan" aboveAverage="0" dxfId="10" text="" percent="0" bottom="0">
      <formula>GecOdemeEsik</formula>
    </cfRule>
  </conditionalFormatting>
  <conditionalFormatting sqref="E16">
    <cfRule type="cellIs" rank="0" priority="23" equalAverage="0" operator="greaterThan" aboveAverage="0" dxfId="8" text="" percent="0" bottom="0">
      <formula>0</formula>
    </cfRule>
  </conditionalFormatting>
  <conditionalFormatting sqref="D17">
    <cfRule type="cellIs" rank="0" priority="24" equalAverage="0" operator="greaterThan" aboveAverage="0" dxfId="10" text="" percent="0" bottom="0">
      <formula>GecOdemeEsik</formula>
    </cfRule>
  </conditionalFormatting>
  <conditionalFormatting sqref="E17">
    <cfRule type="cellIs" rank="0" priority="25" equalAverage="0" operator="greaterThan" aboveAverage="0" dxfId="8" text="" percent="0" bottom="0">
      <formula>0</formula>
    </cfRule>
  </conditionalFormatting>
  <conditionalFormatting sqref="D18">
    <cfRule type="cellIs" rank="0" priority="26" equalAverage="0" operator="greaterThan" aboveAverage="0" dxfId="10" text="" percent="0" bottom="0">
      <formula>GecOdemeEsik</formula>
    </cfRule>
  </conditionalFormatting>
  <conditionalFormatting sqref="E18">
    <cfRule type="cellIs" rank="0" priority="27" equalAverage="0" operator="greaterThan" aboveAverage="0" dxfId="8" text="" percent="0" bottom="0">
      <formula>0</formula>
    </cfRule>
  </conditionalFormatting>
  <conditionalFormatting sqref="D19">
    <cfRule type="cellIs" rank="0" priority="28" equalAverage="0" operator="greaterThan" aboveAverage="0" dxfId="10" text="" percent="0" bottom="0">
      <formula>GecOdemeEsik</formula>
    </cfRule>
  </conditionalFormatting>
  <conditionalFormatting sqref="E19">
    <cfRule type="cellIs" rank="0" priority="29" equalAverage="0" operator="greaterThan" aboveAverage="0" dxfId="8" text="" percent="0" bottom="0">
      <formula>0</formula>
    </cfRule>
  </conditionalFormatting>
  <conditionalFormatting sqref="D20">
    <cfRule type="cellIs" rank="0" priority="30" equalAverage="0" operator="greaterThan" aboveAverage="0" dxfId="10" text="" percent="0" bottom="0">
      <formula>GecOdemeEsik</formula>
    </cfRule>
  </conditionalFormatting>
  <conditionalFormatting sqref="E20">
    <cfRule type="cellIs" rank="0" priority="31" equalAverage="0" operator="greaterThan" aboveAverage="0" dxfId="8" text="" percent="0" bottom="0">
      <formula>0</formula>
    </cfRule>
  </conditionalFormatting>
  <conditionalFormatting sqref="D21">
    <cfRule type="cellIs" rank="0" priority="32" equalAverage="0" operator="greaterThan" aboveAverage="0" dxfId="10" text="" percent="0" bottom="0">
      <formula>GecOdemeEsik</formula>
    </cfRule>
  </conditionalFormatting>
  <conditionalFormatting sqref="E21">
    <cfRule type="cellIs" rank="0" priority="33" equalAverage="0" operator="greaterThan" aboveAverage="0" dxfId="8" text="" percent="0" bottom="0">
      <formula>0</formula>
    </cfRule>
  </conditionalFormatting>
  <conditionalFormatting sqref="D22">
    <cfRule type="cellIs" rank="0" priority="34" equalAverage="0" operator="greaterThan" aboveAverage="0" dxfId="10" text="" percent="0" bottom="0">
      <formula>GecOdemeEsik</formula>
    </cfRule>
  </conditionalFormatting>
  <conditionalFormatting sqref="E22">
    <cfRule type="cellIs" rank="0" priority="35" equalAverage="0" operator="greaterThan" aboveAverage="0" dxfId="8" text="" percent="0" bottom="0">
      <formula>0</formula>
    </cfRule>
  </conditionalFormatting>
  <conditionalFormatting sqref="D23">
    <cfRule type="cellIs" rank="0" priority="36" equalAverage="0" operator="greaterThan" aboveAverage="0" dxfId="10" text="" percent="0" bottom="0">
      <formula>GecOdemeEsik</formula>
    </cfRule>
  </conditionalFormatting>
  <conditionalFormatting sqref="E23">
    <cfRule type="cellIs" rank="0" priority="37" equalAverage="0" operator="greaterThan" aboveAverage="0" dxfId="8" text="" percent="0" bottom="0">
      <formula>0</formula>
    </cfRule>
  </conditionalFormatting>
  <conditionalFormatting sqref="D24">
    <cfRule type="cellIs" rank="0" priority="38" equalAverage="0" operator="greaterThan" aboveAverage="0" dxfId="10" text="" percent="0" bottom="0">
      <formula>GecOdemeEsik</formula>
    </cfRule>
  </conditionalFormatting>
  <conditionalFormatting sqref="E24">
    <cfRule type="cellIs" rank="0" priority="39" equalAverage="0" operator="greaterThan" aboveAverage="0" dxfId="8" text="" percent="0" bottom="0">
      <formula>0</formula>
    </cfRule>
  </conditionalFormatting>
  <conditionalFormatting sqref="D25">
    <cfRule type="cellIs" rank="0" priority="40" equalAverage="0" operator="greaterThan" aboveAverage="0" dxfId="10" text="" percent="0" bottom="0">
      <formula>GecOdemeEsik</formula>
    </cfRule>
  </conditionalFormatting>
  <conditionalFormatting sqref="E25">
    <cfRule type="cellIs" rank="0" priority="41" equalAverage="0" operator="greaterThan" aboveAverage="0" dxfId="8" text="" percent="0" bottom="0">
      <formula>0</formula>
    </cfRule>
  </conditionalFormatting>
  <conditionalFormatting sqref="D26">
    <cfRule type="cellIs" rank="0" priority="42" equalAverage="0" operator="greaterThan" aboveAverage="0" dxfId="10" text="" percent="0" bottom="0">
      <formula>GecOdemeEsik</formula>
    </cfRule>
  </conditionalFormatting>
  <conditionalFormatting sqref="E26">
    <cfRule type="cellIs" rank="0" priority="43" equalAverage="0" operator="greaterThan" aboveAverage="0" dxfId="8" text="" percent="0" bottom="0">
      <formula>0</formula>
    </cfRule>
  </conditionalFormatting>
  <conditionalFormatting sqref="D27">
    <cfRule type="cellIs" rank="0" priority="44" equalAverage="0" operator="greaterThan" aboveAverage="0" dxfId="10" text="" percent="0" bottom="0">
      <formula>GecOdemeEsik</formula>
    </cfRule>
  </conditionalFormatting>
  <conditionalFormatting sqref="E27">
    <cfRule type="cellIs" rank="0" priority="45" equalAverage="0" operator="greaterThan" aboveAverage="0" dxfId="8" text="" percent="0" bottom="0">
      <formula>0</formula>
    </cfRule>
  </conditionalFormatting>
  <conditionalFormatting sqref="D28">
    <cfRule type="cellIs" rank="0" priority="46" equalAverage="0" operator="greaterThan" aboveAverage="0" dxfId="10" text="" percent="0" bottom="0">
      <formula>GecOdemeEsik</formula>
    </cfRule>
  </conditionalFormatting>
  <conditionalFormatting sqref="E28">
    <cfRule type="cellIs" rank="0" priority="47" equalAverage="0" operator="greaterThan" aboveAverage="0" dxfId="8" text="" percent="0" bottom="0">
      <formula>0</formula>
    </cfRule>
  </conditionalFormatting>
  <conditionalFormatting sqref="D29">
    <cfRule type="cellIs" rank="0" priority="48" equalAverage="0" operator="greaterThan" aboveAverage="0" dxfId="10" text="" percent="0" bottom="0">
      <formula>GecOdemeEsik</formula>
    </cfRule>
  </conditionalFormatting>
  <conditionalFormatting sqref="E29">
    <cfRule type="cellIs" rank="0" priority="49" equalAverage="0" operator="greaterThan" aboveAverage="0" dxfId="8" text="" percent="0" bottom="0">
      <formula>0</formula>
    </cfRule>
  </conditionalFormatting>
  <conditionalFormatting sqref="D30">
    <cfRule type="cellIs" rank="0" priority="50" equalAverage="0" operator="greaterThan" aboveAverage="0" dxfId="10" text="" percent="0" bottom="0">
      <formula>GecOdemeEsik</formula>
    </cfRule>
  </conditionalFormatting>
  <conditionalFormatting sqref="E30">
    <cfRule type="cellIs" rank="0" priority="51" equalAverage="0" operator="greaterThan" aboveAverage="0" dxfId="8" text="" percent="0" bottom="0">
      <formula>0</formula>
    </cfRule>
  </conditionalFormatting>
  <conditionalFormatting sqref="D31">
    <cfRule type="cellIs" rank="0" priority="52" equalAverage="0" operator="greaterThan" aboveAverage="0" dxfId="10" text="" percent="0" bottom="0">
      <formula>GecOdemeEsik</formula>
    </cfRule>
  </conditionalFormatting>
  <conditionalFormatting sqref="E31">
    <cfRule type="cellIs" rank="0" priority="53" equalAverage="0" operator="greaterThan" aboveAverage="0" dxfId="8" text="" percent="0" bottom="0">
      <formula>0</formula>
    </cfRule>
  </conditionalFormatting>
  <conditionalFormatting sqref="D32">
    <cfRule type="cellIs" rank="0" priority="54" equalAverage="0" operator="greaterThan" aboveAverage="0" dxfId="10" text="" percent="0" bottom="0">
      <formula>GecOdemeEsik</formula>
    </cfRule>
  </conditionalFormatting>
  <conditionalFormatting sqref="E32">
    <cfRule type="cellIs" rank="0" priority="55" equalAverage="0" operator="greaterThan" aboveAverage="0" dxfId="8" text="" percent="0" bottom="0">
      <formula>0</formula>
    </cfRule>
  </conditionalFormatting>
  <conditionalFormatting sqref="D33">
    <cfRule type="cellIs" rank="0" priority="56" equalAverage="0" operator="greaterThan" aboveAverage="0" dxfId="10" text="" percent="0" bottom="0">
      <formula>GecOdemeEsik</formula>
    </cfRule>
  </conditionalFormatting>
  <conditionalFormatting sqref="E33">
    <cfRule type="cellIs" rank="0" priority="57" equalAverage="0" operator="greaterThan" aboveAverage="0" dxfId="8" text="" percent="0" bottom="0">
      <formula>0</formula>
    </cfRule>
  </conditionalFormatting>
  <conditionalFormatting sqref="D34">
    <cfRule type="cellIs" rank="0" priority="58" equalAverage="0" operator="greaterThan" aboveAverage="0" dxfId="10" text="" percent="0" bottom="0">
      <formula>GecOdemeEsik</formula>
    </cfRule>
  </conditionalFormatting>
  <conditionalFormatting sqref="E34">
    <cfRule type="cellIs" rank="0" priority="59" equalAverage="0" operator="greaterThan" aboveAverage="0" dxfId="8" text="" percent="0" bottom="0">
      <formula>0</formula>
    </cfRule>
  </conditionalFormatting>
  <conditionalFormatting sqref="D35">
    <cfRule type="cellIs" rank="0" priority="60" equalAverage="0" operator="greaterThan" aboveAverage="0" dxfId="10" text="" percent="0" bottom="0">
      <formula>GecOdemeEsik</formula>
    </cfRule>
  </conditionalFormatting>
  <conditionalFormatting sqref="E35">
    <cfRule type="cellIs" rank="0" priority="61" equalAverage="0" operator="greaterThan" aboveAverage="0" dxfId="8" text="" percent="0" bottom="0">
      <formula>0</formula>
    </cfRule>
  </conditionalFormatting>
  <conditionalFormatting sqref="D36">
    <cfRule type="cellIs" rank="0" priority="62" equalAverage="0" operator="greaterThan" aboveAverage="0" dxfId="10" text="" percent="0" bottom="0">
      <formula>GecOdemeEsik</formula>
    </cfRule>
  </conditionalFormatting>
  <conditionalFormatting sqref="E36">
    <cfRule type="cellIs" rank="0" priority="63" equalAverage="0" operator="greaterThan" aboveAverage="0" dxfId="8" text="" percent="0" bottom="0">
      <formula>0</formula>
    </cfRule>
  </conditionalFormatting>
  <conditionalFormatting sqref="D37">
    <cfRule type="cellIs" rank="0" priority="64" equalAverage="0" operator="greaterThan" aboveAverage="0" dxfId="10" text="" percent="0" bottom="0">
      <formula>GecOdemeEsik</formula>
    </cfRule>
  </conditionalFormatting>
  <conditionalFormatting sqref="E37">
    <cfRule type="cellIs" rank="0" priority="65" equalAverage="0" operator="greaterThan" aboveAverage="0" dxfId="8" text="" percent="0" bottom="0">
      <formula>0</formula>
    </cfRule>
  </conditionalFormatting>
  <conditionalFormatting sqref="D38">
    <cfRule type="cellIs" rank="0" priority="66" equalAverage="0" operator="greaterThan" aboveAverage="0" dxfId="10" text="" percent="0" bottom="0">
      <formula>GecOdemeEsik</formula>
    </cfRule>
  </conditionalFormatting>
  <conditionalFormatting sqref="E38">
    <cfRule type="cellIs" rank="0" priority="67" equalAverage="0" operator="greaterThan" aboveAverage="0" dxfId="8" text="" percent="0" bottom="0">
      <formula>0</formula>
    </cfRule>
  </conditionalFormatting>
  <conditionalFormatting sqref="D39">
    <cfRule type="cellIs" rank="0" priority="68" equalAverage="0" operator="greaterThan" aboveAverage="0" dxfId="10" text="" percent="0" bottom="0">
      <formula>GecOdemeEsik</formula>
    </cfRule>
  </conditionalFormatting>
  <conditionalFormatting sqref="E39">
    <cfRule type="cellIs" rank="0" priority="69" equalAverage="0" operator="greaterThan" aboveAverage="0" dxfId="8" text="" percent="0" bottom="0">
      <formula>0</formula>
    </cfRule>
  </conditionalFormatting>
  <conditionalFormatting sqref="D40">
    <cfRule type="cellIs" rank="0" priority="70" equalAverage="0" operator="greaterThan" aboveAverage="0" dxfId="10" text="" percent="0" bottom="0">
      <formula>GecOdemeEsik</formula>
    </cfRule>
  </conditionalFormatting>
  <conditionalFormatting sqref="E40">
    <cfRule type="cellIs" rank="0" priority="71" equalAverage="0" operator="greaterThan" aboveAverage="0" dxfId="8" text="" percent="0" bottom="0">
      <formula>0</formula>
    </cfRule>
  </conditionalFormatting>
  <conditionalFormatting sqref="D41">
    <cfRule type="cellIs" rank="0" priority="72" equalAverage="0" operator="greaterThan" aboveAverage="0" dxfId="10" text="" percent="0" bottom="0">
      <formula>GecOdemeEsik</formula>
    </cfRule>
  </conditionalFormatting>
  <conditionalFormatting sqref="E41">
    <cfRule type="cellIs" rank="0" priority="73" equalAverage="0" operator="greaterThan" aboveAverage="0" dxfId="8" text="" percent="0" bottom="0">
      <formula>0</formula>
    </cfRule>
  </conditionalFormatting>
  <conditionalFormatting sqref="D42">
    <cfRule type="cellIs" rank="0" priority="74" equalAverage="0" operator="greaterThan" aboveAverage="0" dxfId="10" text="" percent="0" bottom="0">
      <formula>GecOdemeEsik</formula>
    </cfRule>
  </conditionalFormatting>
  <conditionalFormatting sqref="E42">
    <cfRule type="cellIs" rank="0" priority="75" equalAverage="0" operator="greaterThan" aboveAverage="0" dxfId="8" text="" percent="0" bottom="0">
      <formula>0</formula>
    </cfRule>
  </conditionalFormatting>
  <conditionalFormatting sqref="D43">
    <cfRule type="cellIs" rank="0" priority="76" equalAverage="0" operator="greaterThan" aboveAverage="0" dxfId="10" text="" percent="0" bottom="0">
      <formula>GecOdemeEsik</formula>
    </cfRule>
  </conditionalFormatting>
  <conditionalFormatting sqref="E43">
    <cfRule type="cellIs" rank="0" priority="77" equalAverage="0" operator="greaterThan" aboveAverage="0" dxfId="8" text="" percent="0" bottom="0">
      <formula>0</formula>
    </cfRule>
  </conditionalFormatting>
  <conditionalFormatting sqref="D44">
    <cfRule type="cellIs" rank="0" priority="78" equalAverage="0" operator="greaterThan" aboveAverage="0" dxfId="10" text="" percent="0" bottom="0">
      <formula>GecOdemeEsik</formula>
    </cfRule>
  </conditionalFormatting>
  <conditionalFormatting sqref="E44">
    <cfRule type="cellIs" rank="0" priority="79" equalAverage="0" operator="greaterThan" aboveAverage="0" dxfId="8" text="" percent="0" bottom="0">
      <formula>0</formula>
    </cfRule>
  </conditionalFormatting>
  <conditionalFormatting sqref="D45">
    <cfRule type="cellIs" rank="0" priority="80" equalAverage="0" operator="greaterThan" aboveAverage="0" dxfId="10" text="" percent="0" bottom="0">
      <formula>GecOdemeEsik</formula>
    </cfRule>
  </conditionalFormatting>
  <conditionalFormatting sqref="E45">
    <cfRule type="cellIs" rank="0" priority="81" equalAverage="0" operator="greaterThan" aboveAverage="0" dxfId="8" text="" percent="0" bottom="0">
      <formula>0</formula>
    </cfRule>
  </conditionalFormatting>
  <conditionalFormatting sqref="D46">
    <cfRule type="cellIs" rank="0" priority="82" equalAverage="0" operator="greaterThan" aboveAverage="0" dxfId="10" text="" percent="0" bottom="0">
      <formula>GecOdemeEsik</formula>
    </cfRule>
  </conditionalFormatting>
  <conditionalFormatting sqref="E46">
    <cfRule type="cellIs" rank="0" priority="83" equalAverage="0" operator="greaterThan" aboveAverage="0" dxfId="8" text="" percent="0" bottom="0">
      <formula>0</formula>
    </cfRule>
  </conditionalFormatting>
  <conditionalFormatting sqref="D47">
    <cfRule type="cellIs" rank="0" priority="84" equalAverage="0" operator="greaterThan" aboveAverage="0" dxfId="10" text="" percent="0" bottom="0">
      <formula>GecOdemeEsik</formula>
    </cfRule>
  </conditionalFormatting>
  <conditionalFormatting sqref="E47">
    <cfRule type="cellIs" rank="0" priority="85" equalAverage="0" operator="greaterThan" aboveAverage="0" dxfId="8" text="" percent="0" bottom="0">
      <formula>0</formula>
    </cfRule>
  </conditionalFormatting>
  <conditionalFormatting sqref="D48">
    <cfRule type="cellIs" rank="0" priority="86" equalAverage="0" operator="greaterThan" aboveAverage="0" dxfId="10" text="" percent="0" bottom="0">
      <formula>GecOdemeEsik</formula>
    </cfRule>
  </conditionalFormatting>
  <conditionalFormatting sqref="E48">
    <cfRule type="cellIs" rank="0" priority="87" equalAverage="0" operator="greaterThan" aboveAverage="0" dxfId="8" text="" percent="0" bottom="0">
      <formula>0</formula>
    </cfRule>
  </conditionalFormatting>
  <conditionalFormatting sqref="D49">
    <cfRule type="cellIs" rank="0" priority="88" equalAverage="0" operator="greaterThan" aboveAverage="0" dxfId="10" text="" percent="0" bottom="0">
      <formula>GecOdemeEsik</formula>
    </cfRule>
  </conditionalFormatting>
  <conditionalFormatting sqref="E49">
    <cfRule type="cellIs" rank="0" priority="89" equalAverage="0" operator="greaterThan" aboveAverage="0" dxfId="8" text="" percent="0" bottom="0">
      <formula>0</formula>
    </cfRule>
  </conditionalFormatting>
  <conditionalFormatting sqref="D50">
    <cfRule type="cellIs" rank="0" priority="90" equalAverage="0" operator="greaterThan" aboveAverage="0" dxfId="10" text="" percent="0" bottom="0">
      <formula>GecOdemeEsik</formula>
    </cfRule>
  </conditionalFormatting>
  <conditionalFormatting sqref="E50">
    <cfRule type="cellIs" rank="0" priority="91" equalAverage="0" operator="greaterThan" aboveAverage="0" dxfId="8" text="" percent="0" bottom="0">
      <formula>0</formula>
    </cfRule>
  </conditionalFormatting>
  <conditionalFormatting sqref="D51">
    <cfRule type="cellIs" rank="0" priority="92" equalAverage="0" operator="greaterThan" aboveAverage="0" dxfId="10" text="" percent="0" bottom="0">
      <formula>GecOdemeEsik</formula>
    </cfRule>
  </conditionalFormatting>
  <conditionalFormatting sqref="E51">
    <cfRule type="cellIs" rank="0" priority="93" equalAverage="0" operator="greaterThan" aboveAverage="0" dxfId="8" text="" percent="0" bottom="0">
      <formula>0</formula>
    </cfRule>
  </conditionalFormatting>
  <conditionalFormatting sqref="D52">
    <cfRule type="cellIs" rank="0" priority="94" equalAverage="0" operator="greaterThan" aboveAverage="0" dxfId="10" text="" percent="0" bottom="0">
      <formula>GecOdemeEsik</formula>
    </cfRule>
  </conditionalFormatting>
  <conditionalFormatting sqref="E52">
    <cfRule type="cellIs" rank="0" priority="95" equalAverage="0" operator="greaterThan" aboveAverage="0" dxfId="8" text="" percent="0" bottom="0">
      <formula>0</formula>
    </cfRule>
  </conditionalFormatting>
  <conditionalFormatting sqref="D53">
    <cfRule type="cellIs" rank="0" priority="96" equalAverage="0" operator="greaterThan" aboveAverage="0" dxfId="10" text="" percent="0" bottom="0">
      <formula>GecOdemeEsik</formula>
    </cfRule>
  </conditionalFormatting>
  <conditionalFormatting sqref="E53">
    <cfRule type="cellIs" rank="0" priority="97" equalAverage="0" operator="greaterThan" aboveAverage="0" dxfId="8" text="" percent="0" bottom="0">
      <formula>0</formula>
    </cfRule>
  </conditionalFormatting>
  <conditionalFormatting sqref="D54">
    <cfRule type="cellIs" rank="0" priority="98" equalAverage="0" operator="greaterThan" aboveAverage="0" dxfId="10" text="" percent="0" bottom="0">
      <formula>GecOdemeEsik</formula>
    </cfRule>
  </conditionalFormatting>
  <conditionalFormatting sqref="E54">
    <cfRule type="cellIs" rank="0" priority="99" equalAverage="0" operator="greaterThan" aboveAverage="0" dxfId="8" text="" percent="0" bottom="0">
      <formula>0</formula>
    </cfRule>
  </conditionalFormatting>
  <conditionalFormatting sqref="D55">
    <cfRule type="cellIs" rank="0" priority="100" equalAverage="0" operator="greaterThan" aboveAverage="0" dxfId="10" text="" percent="0" bottom="0">
      <formula>GecOdemeEsik</formula>
    </cfRule>
  </conditionalFormatting>
  <conditionalFormatting sqref="E55">
    <cfRule type="cellIs" rank="0" priority="101" equalAverage="0" operator="greaterThan" aboveAverage="0" dxfId="8" text="" percent="0" bottom="0">
      <formula>0</formula>
    </cfRule>
  </conditionalFormatting>
  <conditionalFormatting sqref="D56">
    <cfRule type="cellIs" rank="0" priority="102" equalAverage="0" operator="greaterThan" aboveAverage="0" dxfId="10" text="" percent="0" bottom="0">
      <formula>GecOdemeEsik</formula>
    </cfRule>
  </conditionalFormatting>
  <conditionalFormatting sqref="E56">
    <cfRule type="cellIs" rank="0" priority="103" equalAverage="0" operator="greaterThan" aboveAverage="0" dxfId="8" text="" percent="0" bottom="0">
      <formula>0</formula>
    </cfRule>
  </conditionalFormatting>
  <conditionalFormatting sqref="D57">
    <cfRule type="cellIs" rank="0" priority="104" equalAverage="0" operator="greaterThan" aboveAverage="0" dxfId="10" text="" percent="0" bottom="0">
      <formula>GecOdemeEsik</formula>
    </cfRule>
  </conditionalFormatting>
  <conditionalFormatting sqref="E57">
    <cfRule type="cellIs" rank="0" priority="105" equalAverage="0" operator="greaterThan" aboveAverage="0" dxfId="8" text="" percent="0" bottom="0">
      <formula>0</formula>
    </cfRule>
  </conditionalFormatting>
  <conditionalFormatting sqref="D58">
    <cfRule type="cellIs" rank="0" priority="106" equalAverage="0" operator="greaterThan" aboveAverage="0" dxfId="10" text="" percent="0" bottom="0">
      <formula>GecOdemeEsik</formula>
    </cfRule>
  </conditionalFormatting>
  <conditionalFormatting sqref="E58">
    <cfRule type="cellIs" rank="0" priority="107" equalAverage="0" operator="greaterThan" aboveAverage="0" dxfId="8" text="" percent="0" bottom="0">
      <formula>0</formula>
    </cfRule>
  </conditionalFormatting>
  <conditionalFormatting sqref="D59">
    <cfRule type="cellIs" rank="0" priority="108" equalAverage="0" operator="greaterThan" aboveAverage="0" dxfId="10" text="" percent="0" bottom="0">
      <formula>GecOdemeEsik</formula>
    </cfRule>
  </conditionalFormatting>
  <conditionalFormatting sqref="E59">
    <cfRule type="cellIs" rank="0" priority="109" equalAverage="0" operator="greaterThan" aboveAverage="0" dxfId="8" text="" percent="0" bottom="0">
      <formula>0</formula>
    </cfRule>
  </conditionalFormatting>
  <conditionalFormatting sqref="D60">
    <cfRule type="cellIs" rank="0" priority="110" equalAverage="0" operator="greaterThan" aboveAverage="0" dxfId="10" text="" percent="0" bottom="0">
      <formula>GecOdemeEsik</formula>
    </cfRule>
  </conditionalFormatting>
  <conditionalFormatting sqref="E60">
    <cfRule type="cellIs" rank="0" priority="111" equalAverage="0" operator="greaterThan" aboveAverage="0" dxfId="8" text="" percent="0" bottom="0">
      <formula>0</formula>
    </cfRule>
  </conditionalFormatting>
  <conditionalFormatting sqref="D61">
    <cfRule type="cellIs" rank="0" priority="112" equalAverage="0" operator="greaterThan" aboveAverage="0" dxfId="10" text="" percent="0" bottom="0">
      <formula>GecOdemeEsik</formula>
    </cfRule>
  </conditionalFormatting>
  <conditionalFormatting sqref="E61">
    <cfRule type="cellIs" rank="0" priority="113" equalAverage="0" operator="greaterThan" aboveAverage="0" dxfId="8" text="" percent="0" bottom="0">
      <formula>0</formula>
    </cfRule>
  </conditionalFormatting>
  <conditionalFormatting sqref="D62">
    <cfRule type="cellIs" rank="0" priority="114" equalAverage="0" operator="greaterThan" aboveAverage="0" dxfId="10" text="" percent="0" bottom="0">
      <formula>GecOdemeEsik</formula>
    </cfRule>
  </conditionalFormatting>
  <conditionalFormatting sqref="E62">
    <cfRule type="cellIs" rank="0" priority="115" equalAverage="0" operator="greaterThan" aboveAverage="0" dxfId="8" text="" percent="0" bottom="0">
      <formula>0</formula>
    </cfRule>
  </conditionalFormatting>
  <conditionalFormatting sqref="D63">
    <cfRule type="cellIs" rank="0" priority="116" equalAverage="0" operator="greaterThan" aboveAverage="0" dxfId="10" text="" percent="0" bottom="0">
      <formula>GecOdemeEsik</formula>
    </cfRule>
  </conditionalFormatting>
  <conditionalFormatting sqref="E63">
    <cfRule type="cellIs" rank="0" priority="117" equalAverage="0" operator="greaterThan" aboveAverage="0" dxfId="8" text="" percent="0" bottom="0">
      <formula>0</formula>
    </cfRule>
  </conditionalFormatting>
  <conditionalFormatting sqref="D64">
    <cfRule type="cellIs" rank="0" priority="118" equalAverage="0" operator="greaterThan" aboveAverage="0" dxfId="10" text="" percent="0" bottom="0">
      <formula>GecOdemeEsik</formula>
    </cfRule>
  </conditionalFormatting>
  <conditionalFormatting sqref="E64">
    <cfRule type="cellIs" rank="0" priority="119" equalAverage="0" operator="greaterThan" aboveAverage="0" dxfId="8" text="" percent="0" bottom="0">
      <formula>0</formula>
    </cfRule>
  </conditionalFormatting>
  <conditionalFormatting sqref="D65">
    <cfRule type="cellIs" rank="0" priority="120" equalAverage="0" operator="greaterThan" aboveAverage="0" dxfId="10" text="" percent="0" bottom="0">
      <formula>GecOdemeEsik</formula>
    </cfRule>
  </conditionalFormatting>
  <conditionalFormatting sqref="E65">
    <cfRule type="cellIs" rank="0" priority="121" equalAverage="0" operator="greaterThan" aboveAverage="0" dxfId="8" text="" percent="0" bottom="0">
      <formula>0</formula>
    </cfRule>
  </conditionalFormatting>
  <conditionalFormatting sqref="D66">
    <cfRule type="cellIs" rank="0" priority="122" equalAverage="0" operator="greaterThan" aboveAverage="0" dxfId="10" text="" percent="0" bottom="0">
      <formula>GecOdemeEsik</formula>
    </cfRule>
  </conditionalFormatting>
  <conditionalFormatting sqref="E66">
    <cfRule type="cellIs" rank="0" priority="123" equalAverage="0" operator="greaterThan" aboveAverage="0" dxfId="8" text="" percent="0" bottom="0">
      <formula>0</formula>
    </cfRule>
  </conditionalFormatting>
  <conditionalFormatting sqref="D67">
    <cfRule type="cellIs" rank="0" priority="124" equalAverage="0" operator="greaterThan" aboveAverage="0" dxfId="10" text="" percent="0" bottom="0">
      <formula>GecOdemeEsik</formula>
    </cfRule>
  </conditionalFormatting>
  <conditionalFormatting sqref="E67">
    <cfRule type="cellIs" rank="0" priority="125" equalAverage="0" operator="greaterThan" aboveAverage="0" dxfId="8" text="" percent="0" bottom="0">
      <formula>0</formula>
    </cfRule>
  </conditionalFormatting>
  <conditionalFormatting sqref="D68">
    <cfRule type="cellIs" rank="0" priority="126" equalAverage="0" operator="greaterThan" aboveAverage="0" dxfId="10" text="" percent="0" bottom="0">
      <formula>GecOdemeEsik</formula>
    </cfRule>
  </conditionalFormatting>
  <conditionalFormatting sqref="E68">
    <cfRule type="cellIs" rank="0" priority="127" equalAverage="0" operator="greaterThan" aboveAverage="0" dxfId="8" text="" percent="0" bottom="0">
      <formula>0</formula>
    </cfRule>
  </conditionalFormatting>
  <conditionalFormatting sqref="D69">
    <cfRule type="cellIs" rank="0" priority="128" equalAverage="0" operator="greaterThan" aboveAverage="0" dxfId="10" text="" percent="0" bottom="0">
      <formula>GecOdemeEsik</formula>
    </cfRule>
  </conditionalFormatting>
  <conditionalFormatting sqref="E69">
    <cfRule type="cellIs" rank="0" priority="129" equalAverage="0" operator="greaterThan" aboveAverage="0" dxfId="8" text="" percent="0" bottom="0">
      <formula>0</formula>
    </cfRule>
  </conditionalFormatting>
  <conditionalFormatting sqref="D70">
    <cfRule type="cellIs" rank="0" priority="130" equalAverage="0" operator="greaterThan" aboveAverage="0" dxfId="10" text="" percent="0" bottom="0">
      <formula>GecOdemeEsik</formula>
    </cfRule>
  </conditionalFormatting>
  <conditionalFormatting sqref="E70">
    <cfRule type="cellIs" rank="0" priority="131" equalAverage="0" operator="greaterThan" aboveAverage="0" dxfId="8" text="" percent="0" bottom="0">
      <formula>0</formula>
    </cfRule>
  </conditionalFormatting>
  <conditionalFormatting sqref="D71">
    <cfRule type="cellIs" rank="0" priority="132" equalAverage="0" operator="greaterThan" aboveAverage="0" dxfId="10" text="" percent="0" bottom="0">
      <formula>GecOdemeEsik</formula>
    </cfRule>
  </conditionalFormatting>
  <conditionalFormatting sqref="E71">
    <cfRule type="cellIs" rank="0" priority="133" equalAverage="0" operator="greaterThan" aboveAverage="0" dxfId="8" text="" percent="0" bottom="0">
      <formula>0</formula>
    </cfRule>
  </conditionalFormatting>
  <conditionalFormatting sqref="D72">
    <cfRule type="cellIs" rank="0" priority="134" equalAverage="0" operator="greaterThan" aboveAverage="0" dxfId="10" text="" percent="0" bottom="0">
      <formula>GecOdemeEsik</formula>
    </cfRule>
  </conditionalFormatting>
  <conditionalFormatting sqref="E72">
    <cfRule type="cellIs" rank="0" priority="135" equalAverage="0" operator="greaterThan" aboveAverage="0" dxfId="8" text="" percent="0" bottom="0">
      <formula>0</formula>
    </cfRule>
  </conditionalFormatting>
  <conditionalFormatting sqref="D73">
    <cfRule type="cellIs" rank="0" priority="136" equalAverage="0" operator="greaterThan" aboveAverage="0" dxfId="10" text="" percent="0" bottom="0">
      <formula>GecOdemeEsik</formula>
    </cfRule>
  </conditionalFormatting>
  <conditionalFormatting sqref="E73">
    <cfRule type="cellIs" rank="0" priority="137" equalAverage="0" operator="greaterThan" aboveAverage="0" dxfId="8" text="" percent="0" bottom="0">
      <formula>0</formula>
    </cfRule>
  </conditionalFormatting>
  <conditionalFormatting sqref="D74">
    <cfRule type="cellIs" rank="0" priority="138" equalAverage="0" operator="greaterThan" aboveAverage="0" dxfId="10" text="" percent="0" bottom="0">
      <formula>GecOdemeEsik</formula>
    </cfRule>
  </conditionalFormatting>
  <conditionalFormatting sqref="E74">
    <cfRule type="cellIs" rank="0" priority="139" equalAverage="0" operator="greaterThan" aboveAverage="0" dxfId="8" text="" percent="0" bottom="0">
      <formula>0</formula>
    </cfRule>
  </conditionalFormatting>
  <conditionalFormatting sqref="D75">
    <cfRule type="cellIs" rank="0" priority="140" equalAverage="0" operator="greaterThan" aboveAverage="0" dxfId="10" text="" percent="0" bottom="0">
      <formula>GecOdemeEsik</formula>
    </cfRule>
  </conditionalFormatting>
  <conditionalFormatting sqref="E75">
    <cfRule type="cellIs" rank="0" priority="141" equalAverage="0" operator="greaterThan" aboveAverage="0" dxfId="8" text="" percent="0" bottom="0">
      <formula>0</formula>
    </cfRule>
  </conditionalFormatting>
  <conditionalFormatting sqref="D76">
    <cfRule type="cellIs" rank="0" priority="142" equalAverage="0" operator="greaterThan" aboveAverage="0" dxfId="10" text="" percent="0" bottom="0">
      <formula>GecOdemeEsik</formula>
    </cfRule>
  </conditionalFormatting>
  <conditionalFormatting sqref="E76">
    <cfRule type="cellIs" rank="0" priority="143" equalAverage="0" operator="greaterThan" aboveAverage="0" dxfId="8" text="" percent="0" bottom="0">
      <formula>0</formula>
    </cfRule>
  </conditionalFormatting>
  <conditionalFormatting sqref="D77">
    <cfRule type="cellIs" rank="0" priority="144" equalAverage="0" operator="greaterThan" aboveAverage="0" dxfId="10" text="" percent="0" bottom="0">
      <formula>GecOdemeEsik</formula>
    </cfRule>
  </conditionalFormatting>
  <conditionalFormatting sqref="E77">
    <cfRule type="cellIs" rank="0" priority="145" equalAverage="0" operator="greaterThan" aboveAverage="0" dxfId="8" text="" percent="0" bottom="0">
      <formula>0</formula>
    </cfRule>
  </conditionalFormatting>
  <conditionalFormatting sqref="D78">
    <cfRule type="cellIs" rank="0" priority="146" equalAverage="0" operator="greaterThan" aboveAverage="0" dxfId="10" text="" percent="0" bottom="0">
      <formula>GecOdemeEsik</formula>
    </cfRule>
  </conditionalFormatting>
  <conditionalFormatting sqref="E78">
    <cfRule type="cellIs" rank="0" priority="147" equalAverage="0" operator="greaterThan" aboveAverage="0" dxfId="8" text="" percent="0" bottom="0">
      <formula>0</formula>
    </cfRule>
  </conditionalFormatting>
  <conditionalFormatting sqref="D79">
    <cfRule type="cellIs" rank="0" priority="148" equalAverage="0" operator="greaterThan" aboveAverage="0" dxfId="10" text="" percent="0" bottom="0">
      <formula>GecOdemeEsik</formula>
    </cfRule>
  </conditionalFormatting>
  <conditionalFormatting sqref="E79">
    <cfRule type="cellIs" rank="0" priority="149" equalAverage="0" operator="greaterThan" aboveAverage="0" dxfId="8" text="" percent="0" bottom="0">
      <formula>0</formula>
    </cfRule>
  </conditionalFormatting>
  <conditionalFormatting sqref="D80">
    <cfRule type="cellIs" rank="0" priority="150" equalAverage="0" operator="greaterThan" aboveAverage="0" dxfId="10" text="" percent="0" bottom="0">
      <formula>GecOdemeEsik</formula>
    </cfRule>
  </conditionalFormatting>
  <conditionalFormatting sqref="E80">
    <cfRule type="cellIs" rank="0" priority="151" equalAverage="0" operator="greaterThan" aboveAverage="0" dxfId="8" text="" percent="0" bottom="0">
      <formula>0</formula>
    </cfRule>
  </conditionalFormatting>
  <conditionalFormatting sqref="D81">
    <cfRule type="cellIs" rank="0" priority="152" equalAverage="0" operator="greaterThan" aboveAverage="0" dxfId="10" text="" percent="0" bottom="0">
      <formula>GecOdemeEsik</formula>
    </cfRule>
  </conditionalFormatting>
  <conditionalFormatting sqref="E81">
    <cfRule type="cellIs" rank="0" priority="153" equalAverage="0" operator="greaterThan" aboveAverage="0" dxfId="8" text="" percent="0" bottom="0">
      <formula>0</formula>
    </cfRule>
  </conditionalFormatting>
  <conditionalFormatting sqref="D82">
    <cfRule type="cellIs" rank="0" priority="154" equalAverage="0" operator="greaterThan" aboveAverage="0" dxfId="10" text="" percent="0" bottom="0">
      <formula>GecOdemeEsik</formula>
    </cfRule>
  </conditionalFormatting>
  <conditionalFormatting sqref="E82">
    <cfRule type="cellIs" rank="0" priority="155" equalAverage="0" operator="greaterThan" aboveAverage="0" dxfId="8" text="" percent="0" bottom="0">
      <formula>0</formula>
    </cfRule>
  </conditionalFormatting>
  <conditionalFormatting sqref="D83">
    <cfRule type="cellIs" rank="0" priority="156" equalAverage="0" operator="greaterThan" aboveAverage="0" dxfId="10" text="" percent="0" bottom="0">
      <formula>GecOdemeEsik</formula>
    </cfRule>
  </conditionalFormatting>
  <conditionalFormatting sqref="E83">
    <cfRule type="cellIs" rank="0" priority="157" equalAverage="0" operator="greaterThan" aboveAverage="0" dxfId="8" text="" percent="0" bottom="0">
      <formula>0</formula>
    </cfRule>
  </conditionalFormatting>
  <conditionalFormatting sqref="D84">
    <cfRule type="cellIs" rank="0" priority="158" equalAverage="0" operator="greaterThan" aboveAverage="0" dxfId="10" text="" percent="0" bottom="0">
      <formula>GecOdemeEsik</formula>
    </cfRule>
  </conditionalFormatting>
  <conditionalFormatting sqref="E84">
    <cfRule type="cellIs" rank="0" priority="159" equalAverage="0" operator="greaterThan" aboveAverage="0" dxfId="8" text="" percent="0" bottom="0">
      <formula>0</formula>
    </cfRule>
  </conditionalFormatting>
  <conditionalFormatting sqref="D85">
    <cfRule type="cellIs" rank="0" priority="160" equalAverage="0" operator="greaterThan" aboveAverage="0" dxfId="10" text="" percent="0" bottom="0">
      <formula>GecOdemeEsik</formula>
    </cfRule>
  </conditionalFormatting>
  <conditionalFormatting sqref="E85">
    <cfRule type="cellIs" rank="0" priority="161" equalAverage="0" operator="greaterThan" aboveAverage="0" dxfId="8" text="" percent="0" bottom="0">
      <formula>0</formula>
    </cfRule>
  </conditionalFormatting>
  <conditionalFormatting sqref="D86">
    <cfRule type="cellIs" rank="0" priority="162" equalAverage="0" operator="greaterThan" aboveAverage="0" dxfId="10" text="" percent="0" bottom="0">
      <formula>GecOdemeEsik</formula>
    </cfRule>
  </conditionalFormatting>
  <conditionalFormatting sqref="E86">
    <cfRule type="cellIs" rank="0" priority="163" equalAverage="0" operator="greaterThan" aboveAverage="0" dxfId="8" text="" percent="0" bottom="0">
      <formula>0</formula>
    </cfRule>
  </conditionalFormatting>
  <conditionalFormatting sqref="D87">
    <cfRule type="cellIs" rank="0" priority="164" equalAverage="0" operator="greaterThan" aboveAverage="0" dxfId="10" text="" percent="0" bottom="0">
      <formula>GecOdemeEsik</formula>
    </cfRule>
  </conditionalFormatting>
  <conditionalFormatting sqref="E87">
    <cfRule type="cellIs" rank="0" priority="165" equalAverage="0" operator="greaterThan" aboveAverage="0" dxfId="8" text="" percent="0" bottom="0">
      <formula>0</formula>
    </cfRule>
  </conditionalFormatting>
  <conditionalFormatting sqref="D88">
    <cfRule type="cellIs" rank="0" priority="166" equalAverage="0" operator="greaterThan" aboveAverage="0" dxfId="10" text="" percent="0" bottom="0">
      <formula>GecOdemeEsik</formula>
    </cfRule>
  </conditionalFormatting>
  <conditionalFormatting sqref="E88">
    <cfRule type="cellIs" rank="0" priority="167" equalAverage="0" operator="greaterThan" aboveAverage="0" dxfId="8" text="" percent="0" bottom="0">
      <formula>0</formula>
    </cfRule>
  </conditionalFormatting>
  <conditionalFormatting sqref="D89">
    <cfRule type="cellIs" rank="0" priority="168" equalAverage="0" operator="greaterThan" aboveAverage="0" dxfId="10" text="" percent="0" bottom="0">
      <formula>GecOdemeEsik</formula>
    </cfRule>
  </conditionalFormatting>
  <conditionalFormatting sqref="E89">
    <cfRule type="cellIs" rank="0" priority="169" equalAverage="0" operator="greaterThan" aboveAverage="0" dxfId="8" text="" percent="0" bottom="0">
      <formula>0</formula>
    </cfRule>
  </conditionalFormatting>
  <conditionalFormatting sqref="D90">
    <cfRule type="cellIs" rank="0" priority="170" equalAverage="0" operator="greaterThan" aboveAverage="0" dxfId="10" text="" percent="0" bottom="0">
      <formula>GecOdemeEsik</formula>
    </cfRule>
  </conditionalFormatting>
  <conditionalFormatting sqref="E90">
    <cfRule type="cellIs" rank="0" priority="171" equalAverage="0" operator="greaterThan" aboveAverage="0" dxfId="8" text="" percent="0" bottom="0">
      <formula>0</formula>
    </cfRule>
  </conditionalFormatting>
  <conditionalFormatting sqref="D91">
    <cfRule type="cellIs" rank="0" priority="172" equalAverage="0" operator="greaterThan" aboveAverage="0" dxfId="10" text="" percent="0" bottom="0">
      <formula>GecOdemeEsik</formula>
    </cfRule>
  </conditionalFormatting>
  <conditionalFormatting sqref="E91">
    <cfRule type="cellIs" rank="0" priority="173" equalAverage="0" operator="greaterThan" aboveAverage="0" dxfId="8" text="" percent="0" bottom="0">
      <formula>0</formula>
    </cfRule>
  </conditionalFormatting>
  <conditionalFormatting sqref="D92">
    <cfRule type="cellIs" rank="0" priority="174" equalAverage="0" operator="greaterThan" aboveAverage="0" dxfId="10" text="" percent="0" bottom="0">
      <formula>GecOdemeEsik</formula>
    </cfRule>
  </conditionalFormatting>
  <conditionalFormatting sqref="E92">
    <cfRule type="cellIs" rank="0" priority="175" equalAverage="0" operator="greaterThan" aboveAverage="0" dxfId="8" text="" percent="0" bottom="0">
      <formula>0</formula>
    </cfRule>
  </conditionalFormatting>
  <conditionalFormatting sqref="D93">
    <cfRule type="cellIs" rank="0" priority="176" equalAverage="0" operator="greaterThan" aboveAverage="0" dxfId="10" text="" percent="0" bottom="0">
      <formula>GecOdemeEsik</formula>
    </cfRule>
  </conditionalFormatting>
  <conditionalFormatting sqref="E93">
    <cfRule type="cellIs" rank="0" priority="177" equalAverage="0" operator="greaterThan" aboveAverage="0" dxfId="8" text="" percent="0" bottom="0">
      <formula>0</formula>
    </cfRule>
  </conditionalFormatting>
  <conditionalFormatting sqref="D94">
    <cfRule type="cellIs" rank="0" priority="178" equalAverage="0" operator="greaterThan" aboveAverage="0" dxfId="10" text="" percent="0" bottom="0">
      <formula>GecOdemeEsik</formula>
    </cfRule>
  </conditionalFormatting>
  <conditionalFormatting sqref="E94">
    <cfRule type="cellIs" rank="0" priority="179" equalAverage="0" operator="greaterThan" aboveAverage="0" dxfId="8" text="" percent="0" bottom="0">
      <formula>0</formula>
    </cfRule>
  </conditionalFormatting>
  <conditionalFormatting sqref="D95">
    <cfRule type="cellIs" rank="0" priority="180" equalAverage="0" operator="greaterThan" aboveAverage="0" dxfId="10" text="" percent="0" bottom="0">
      <formula>GecOdemeEsik</formula>
    </cfRule>
  </conditionalFormatting>
  <conditionalFormatting sqref="E95">
    <cfRule type="cellIs" rank="0" priority="181" equalAverage="0" operator="greaterThan" aboveAverage="0" dxfId="8" text="" percent="0" bottom="0">
      <formula>0</formula>
    </cfRule>
  </conditionalFormatting>
  <conditionalFormatting sqref="D96">
    <cfRule type="cellIs" rank="0" priority="182" equalAverage="0" operator="greaterThan" aboveAverage="0" dxfId="10" text="" percent="0" bottom="0">
      <formula>GecOdemeEsik</formula>
    </cfRule>
  </conditionalFormatting>
  <conditionalFormatting sqref="E96">
    <cfRule type="cellIs" rank="0" priority="183" equalAverage="0" operator="greaterThan" aboveAverage="0" dxfId="8" text="" percent="0" bottom="0">
      <formula>0</formula>
    </cfRule>
  </conditionalFormatting>
  <conditionalFormatting sqref="D97">
    <cfRule type="cellIs" rank="0" priority="184" equalAverage="0" operator="greaterThan" aboveAverage="0" dxfId="10" text="" percent="0" bottom="0">
      <formula>GecOdemeEsik</formula>
    </cfRule>
  </conditionalFormatting>
  <conditionalFormatting sqref="E97">
    <cfRule type="cellIs" rank="0" priority="185" equalAverage="0" operator="greaterThan" aboveAverage="0" dxfId="8" text="" percent="0" bottom="0">
      <formula>0</formula>
    </cfRule>
  </conditionalFormatting>
  <conditionalFormatting sqref="D98">
    <cfRule type="cellIs" rank="0" priority="186" equalAverage="0" operator="greaterThan" aboveAverage="0" dxfId="10" text="" percent="0" bottom="0">
      <formula>GecOdemeEsik</formula>
    </cfRule>
  </conditionalFormatting>
  <conditionalFormatting sqref="E98">
    <cfRule type="cellIs" rank="0" priority="187" equalAverage="0" operator="greaterThan" aboveAverage="0" dxfId="8" text="" percent="0" bottom="0">
      <formula>0</formula>
    </cfRule>
  </conditionalFormatting>
  <conditionalFormatting sqref="D99">
    <cfRule type="cellIs" rank="0" priority="188" equalAverage="0" operator="greaterThan" aboveAverage="0" dxfId="10" text="" percent="0" bottom="0">
      <formula>GecOdemeEsik</formula>
    </cfRule>
  </conditionalFormatting>
  <conditionalFormatting sqref="E99">
    <cfRule type="cellIs" rank="0" priority="189" equalAverage="0" operator="greaterThan" aboveAverage="0" dxfId="8" text="" percent="0" bottom="0">
      <formula>0</formula>
    </cfRule>
  </conditionalFormatting>
  <conditionalFormatting sqref="D100">
    <cfRule type="cellIs" rank="0" priority="190" equalAverage="0" operator="greaterThan" aboveAverage="0" dxfId="10" text="" percent="0" bottom="0">
      <formula>GecOdemeEsik</formula>
    </cfRule>
  </conditionalFormatting>
  <conditionalFormatting sqref="E100">
    <cfRule type="cellIs" rank="0" priority="191" equalAverage="0" operator="greaterThan" aboveAverage="0" dxfId="8" text="" percent="0" bottom="0">
      <formula>0</formula>
    </cfRule>
  </conditionalFormatting>
  <conditionalFormatting sqref="D101">
    <cfRule type="cellIs" rank="0" priority="192" equalAverage="0" operator="greaterThan" aboveAverage="0" dxfId="10" text="" percent="0" bottom="0">
      <formula>GecOdemeEsik</formula>
    </cfRule>
  </conditionalFormatting>
  <conditionalFormatting sqref="E101">
    <cfRule type="cellIs" rank="0" priority="193" equalAverage="0" operator="greaterThan" aboveAverage="0" dxfId="8" text="" percent="0" bottom="0">
      <formula>0</formula>
    </cfRule>
  </conditionalFormatting>
  <conditionalFormatting sqref="D102">
    <cfRule type="cellIs" rank="0" priority="194" equalAverage="0" operator="greaterThan" aboveAverage="0" dxfId="10" text="" percent="0" bottom="0">
      <formula>GecOdemeEsik</formula>
    </cfRule>
  </conditionalFormatting>
  <conditionalFormatting sqref="E102">
    <cfRule type="cellIs" rank="0" priority="195" equalAverage="0" operator="greaterThan" aboveAverage="0" dxfId="8" text="" percent="0" bottom="0">
      <formula>0</formula>
    </cfRule>
  </conditionalFormatting>
  <conditionalFormatting sqref="D103">
    <cfRule type="cellIs" rank="0" priority="196" equalAverage="0" operator="greaterThan" aboveAverage="0" dxfId="10" text="" percent="0" bottom="0">
      <formula>GecOdemeEsik</formula>
    </cfRule>
  </conditionalFormatting>
  <conditionalFormatting sqref="E103">
    <cfRule type="cellIs" rank="0" priority="197" equalAverage="0" operator="greaterThan" aboveAverage="0" dxfId="8" text="" percent="0" bottom="0">
      <formula>0</formula>
    </cfRule>
  </conditionalFormatting>
  <conditionalFormatting sqref="D104">
    <cfRule type="cellIs" rank="0" priority="198" equalAverage="0" operator="greaterThan" aboveAverage="0" dxfId="10" text="" percent="0" bottom="0">
      <formula>GecOdemeEsik</formula>
    </cfRule>
  </conditionalFormatting>
  <conditionalFormatting sqref="E104">
    <cfRule type="cellIs" rank="0" priority="199" equalAverage="0" operator="greaterThan" aboveAverage="0" dxfId="8" text="" percent="0" bottom="0">
      <formula>0</formula>
    </cfRule>
  </conditionalFormatting>
  <conditionalFormatting sqref="D105">
    <cfRule type="cellIs" rank="0" priority="200" equalAverage="0" operator="greaterThan" aboveAverage="0" dxfId="10" text="" percent="0" bottom="0">
      <formula>GecOdemeEsik</formula>
    </cfRule>
  </conditionalFormatting>
  <conditionalFormatting sqref="E105">
    <cfRule type="cellIs" rank="0" priority="201" equalAverage="0" operator="greaterThan" aboveAverage="0" dxfId="8" text="" percent="0" bottom="0">
      <formula>0</formula>
    </cfRule>
  </conditionalFormatting>
  <conditionalFormatting sqref="D106">
    <cfRule type="cellIs" rank="0" priority="202" equalAverage="0" operator="greaterThan" aboveAverage="0" dxfId="10" text="" percent="0" bottom="0">
      <formula>GecOdemeEsik</formula>
    </cfRule>
  </conditionalFormatting>
  <conditionalFormatting sqref="E106">
    <cfRule type="cellIs" rank="0" priority="203" equalAverage="0" operator="greaterThan" aboveAverage="0" dxfId="8" text="" percent="0" bottom="0">
      <formula>0</formula>
    </cfRule>
  </conditionalFormatting>
  <conditionalFormatting sqref="D107">
    <cfRule type="cellIs" rank="0" priority="204" equalAverage="0" operator="greaterThan" aboveAverage="0" dxfId="10" text="" percent="0" bottom="0">
      <formula>GecOdemeEsik</formula>
    </cfRule>
  </conditionalFormatting>
  <conditionalFormatting sqref="E107">
    <cfRule type="cellIs" rank="0" priority="205" equalAverage="0" operator="greaterThan" aboveAverage="0" dxfId="8" text="" percent="0" bottom="0">
      <formula>0</formula>
    </cfRule>
  </conditionalFormatting>
  <conditionalFormatting sqref="D108">
    <cfRule type="cellIs" rank="0" priority="206" equalAverage="0" operator="greaterThan" aboveAverage="0" dxfId="10" text="" percent="0" bottom="0">
      <formula>GecOdemeEsik</formula>
    </cfRule>
  </conditionalFormatting>
  <conditionalFormatting sqref="E108">
    <cfRule type="cellIs" rank="0" priority="207" equalAverage="0" operator="greaterThan" aboveAverage="0" dxfId="8" text="" percent="0" bottom="0">
      <formula>0</formula>
    </cfRule>
  </conditionalFormatting>
  <conditionalFormatting sqref="D109">
    <cfRule type="cellIs" rank="0" priority="208" equalAverage="0" operator="greaterThan" aboveAverage="0" dxfId="10" text="" percent="0" bottom="0">
      <formula>GecOdemeEsik</formula>
    </cfRule>
  </conditionalFormatting>
  <conditionalFormatting sqref="E109">
    <cfRule type="cellIs" rank="0" priority="209" equalAverage="0" operator="greaterThan" aboveAverage="0" dxfId="8" text="" percent="0" bottom="0">
      <formula>0</formula>
    </cfRule>
  </conditionalFormatting>
  <conditionalFormatting sqref="D110">
    <cfRule type="cellIs" rank="0" priority="210" equalAverage="0" operator="greaterThan" aboveAverage="0" dxfId="10" text="" percent="0" bottom="0">
      <formula>GecOdemeEsik</formula>
    </cfRule>
  </conditionalFormatting>
  <conditionalFormatting sqref="E110">
    <cfRule type="cellIs" rank="0" priority="211" equalAverage="0" operator="greaterThan" aboveAverage="0" dxfId="8" text="" percent="0" bottom="0">
      <formula>0</formula>
    </cfRule>
  </conditionalFormatting>
  <conditionalFormatting sqref="D111">
    <cfRule type="cellIs" rank="0" priority="212" equalAverage="0" operator="greaterThan" aboveAverage="0" dxfId="10" text="" percent="0" bottom="0">
      <formula>GecOdemeEsik</formula>
    </cfRule>
  </conditionalFormatting>
  <conditionalFormatting sqref="E111">
    <cfRule type="cellIs" rank="0" priority="213" equalAverage="0" operator="greaterThan" aboveAverage="0" dxfId="8" text="" percent="0" bottom="0">
      <formula>0</formula>
    </cfRule>
  </conditionalFormatting>
  <conditionalFormatting sqref="D112">
    <cfRule type="cellIs" rank="0" priority="214" equalAverage="0" operator="greaterThan" aboveAverage="0" dxfId="10" text="" percent="0" bottom="0">
      <formula>GecOdemeEsik</formula>
    </cfRule>
  </conditionalFormatting>
  <conditionalFormatting sqref="E112">
    <cfRule type="cellIs" rank="0" priority="215" equalAverage="0" operator="greaterThan" aboveAverage="0" dxfId="8" text="" percent="0" bottom="0">
      <formula>0</formula>
    </cfRule>
  </conditionalFormatting>
  <conditionalFormatting sqref="D113">
    <cfRule type="cellIs" rank="0" priority="216" equalAverage="0" operator="greaterThan" aboveAverage="0" dxfId="10" text="" percent="0" bottom="0">
      <formula>GecOdemeEsik</formula>
    </cfRule>
  </conditionalFormatting>
  <conditionalFormatting sqref="E113">
    <cfRule type="cellIs" rank="0" priority="217" equalAverage="0" operator="greaterThan" aboveAverage="0" dxfId="8" text="" percent="0" bottom="0">
      <formula>0</formula>
    </cfRule>
  </conditionalFormatting>
  <conditionalFormatting sqref="D114">
    <cfRule type="cellIs" rank="0" priority="218" equalAverage="0" operator="greaterThan" aboveAverage="0" dxfId="10" text="" percent="0" bottom="0">
      <formula>GecOdemeEsik</formula>
    </cfRule>
  </conditionalFormatting>
  <conditionalFormatting sqref="E114">
    <cfRule type="cellIs" rank="0" priority="219" equalAverage="0" operator="greaterThan" aboveAverage="0" dxfId="8" text="" percent="0" bottom="0">
      <formula>0</formula>
    </cfRule>
  </conditionalFormatting>
  <conditionalFormatting sqref="D115">
    <cfRule type="cellIs" rank="0" priority="220" equalAverage="0" operator="greaterThan" aboveAverage="0" dxfId="10" text="" percent="0" bottom="0">
      <formula>GecOdemeEsik</formula>
    </cfRule>
  </conditionalFormatting>
  <conditionalFormatting sqref="E115">
    <cfRule type="cellIs" rank="0" priority="221" equalAverage="0" operator="greaterThan" aboveAverage="0" dxfId="8" text="" percent="0" bottom="0">
      <formula>0</formula>
    </cfRule>
  </conditionalFormatting>
  <conditionalFormatting sqref="D116">
    <cfRule type="cellIs" rank="0" priority="222" equalAverage="0" operator="greaterThan" aboveAverage="0" dxfId="10" text="" percent="0" bottom="0">
      <formula>GecOdemeEsik</formula>
    </cfRule>
  </conditionalFormatting>
  <conditionalFormatting sqref="E116">
    <cfRule type="cellIs" rank="0" priority="223" equalAverage="0" operator="greaterThan" aboveAverage="0" dxfId="8" text="" percent="0" bottom="0">
      <formula>0</formula>
    </cfRule>
  </conditionalFormatting>
  <conditionalFormatting sqref="D117">
    <cfRule type="cellIs" rank="0" priority="224" equalAverage="0" operator="greaterThan" aboveAverage="0" dxfId="10" text="" percent="0" bottom="0">
      <formula>GecOdemeEsik</formula>
    </cfRule>
  </conditionalFormatting>
  <conditionalFormatting sqref="E117">
    <cfRule type="cellIs" rank="0" priority="225" equalAverage="0" operator="greaterThan" aboveAverage="0" dxfId="8" text="" percent="0" bottom="0">
      <formula>0</formula>
    </cfRule>
  </conditionalFormatting>
  <conditionalFormatting sqref="D118">
    <cfRule type="cellIs" rank="0" priority="226" equalAverage="0" operator="greaterThan" aboveAverage="0" dxfId="10" text="" percent="0" bottom="0">
      <formula>GecOdemeEsik</formula>
    </cfRule>
  </conditionalFormatting>
  <conditionalFormatting sqref="E118">
    <cfRule type="cellIs" rank="0" priority="227" equalAverage="0" operator="greaterThan" aboveAverage="0" dxfId="8" text="" percent="0" bottom="0">
      <formula>0</formula>
    </cfRule>
  </conditionalFormatting>
  <conditionalFormatting sqref="D119">
    <cfRule type="cellIs" rank="0" priority="228" equalAverage="0" operator="greaterThan" aboveAverage="0" dxfId="10" text="" percent="0" bottom="0">
      <formula>GecOdemeEsik</formula>
    </cfRule>
  </conditionalFormatting>
  <conditionalFormatting sqref="E119">
    <cfRule type="cellIs" rank="0" priority="229" equalAverage="0" operator="greaterThan" aboveAverage="0" dxfId="8" text="" percent="0" bottom="0">
      <formula>0</formula>
    </cfRule>
  </conditionalFormatting>
  <conditionalFormatting sqref="D120">
    <cfRule type="cellIs" rank="0" priority="230" equalAverage="0" operator="greaterThan" aboveAverage="0" dxfId="10" text="" percent="0" bottom="0">
      <formula>GecOdemeEsik</formula>
    </cfRule>
  </conditionalFormatting>
  <conditionalFormatting sqref="E120">
    <cfRule type="cellIs" rank="0" priority="231" equalAverage="0" operator="greaterThan" aboveAverage="0" dxfId="8" text="" percent="0" bottom="0">
      <formula>0</formula>
    </cfRule>
  </conditionalFormatting>
  <conditionalFormatting sqref="D121">
    <cfRule type="cellIs" rank="0" priority="232" equalAverage="0" operator="greaterThan" aboveAverage="0" dxfId="10" text="" percent="0" bottom="0">
      <formula>GecOdemeEsik</formula>
    </cfRule>
  </conditionalFormatting>
  <conditionalFormatting sqref="E121">
    <cfRule type="cellIs" rank="0" priority="233" equalAverage="0" operator="greaterThan" aboveAverage="0" dxfId="8" text="" percent="0" bottom="0">
      <formula>0</formula>
    </cfRule>
  </conditionalFormatting>
  <conditionalFormatting sqref="D122">
    <cfRule type="cellIs" rank="0" priority="234" equalAverage="0" operator="greaterThan" aboveAverage="0" dxfId="10" text="" percent="0" bottom="0">
      <formula>GecOdemeEsik</formula>
    </cfRule>
  </conditionalFormatting>
  <conditionalFormatting sqref="E122">
    <cfRule type="cellIs" rank="0" priority="235" equalAverage="0" operator="greaterThan" aboveAverage="0" dxfId="8" text="" percent="0" bottom="0">
      <formula>0</formula>
    </cfRule>
  </conditionalFormatting>
  <conditionalFormatting sqref="D123">
    <cfRule type="cellIs" rank="0" priority="236" equalAverage="0" operator="greaterThan" aboveAverage="0" dxfId="10" text="" percent="0" bottom="0">
      <formula>GecOdemeEsik</formula>
    </cfRule>
  </conditionalFormatting>
  <conditionalFormatting sqref="E123">
    <cfRule type="cellIs" rank="0" priority="237" equalAverage="0" operator="greaterThan" aboveAverage="0" dxfId="8" text="" percent="0" bottom="0">
      <formula>0</formula>
    </cfRule>
  </conditionalFormatting>
  <conditionalFormatting sqref="D124">
    <cfRule type="cellIs" rank="0" priority="238" equalAverage="0" operator="greaterThan" aboveAverage="0" dxfId="10" text="" percent="0" bottom="0">
      <formula>GecOdemeEsik</formula>
    </cfRule>
  </conditionalFormatting>
  <conditionalFormatting sqref="E124">
    <cfRule type="cellIs" rank="0" priority="239" equalAverage="0" operator="greaterThan" aboveAverage="0" dxfId="8" text="" percent="0" bottom="0">
      <formula>0</formula>
    </cfRule>
  </conditionalFormatting>
  <conditionalFormatting sqref="D125">
    <cfRule type="cellIs" rank="0" priority="240" equalAverage="0" operator="greaterThan" aboveAverage="0" dxfId="10" text="" percent="0" bottom="0">
      <formula>GecOdemeEsik</formula>
    </cfRule>
  </conditionalFormatting>
  <conditionalFormatting sqref="E125">
    <cfRule type="cellIs" rank="0" priority="241" equalAverage="0" operator="greaterThan" aboveAverage="0" dxfId="8" text="" percent="0" bottom="0">
      <formula>0</formula>
    </cfRule>
  </conditionalFormatting>
  <conditionalFormatting sqref="D126">
    <cfRule type="cellIs" rank="0" priority="242" equalAverage="0" operator="greaterThan" aboveAverage="0" dxfId="10" text="" percent="0" bottom="0">
      <formula>GecOdemeEsik</formula>
    </cfRule>
  </conditionalFormatting>
  <conditionalFormatting sqref="E126">
    <cfRule type="cellIs" rank="0" priority="243" equalAverage="0" operator="greaterThan" aboveAverage="0" dxfId="8" text="" percent="0" bottom="0">
      <formula>0</formula>
    </cfRule>
  </conditionalFormatting>
  <conditionalFormatting sqref="D127">
    <cfRule type="cellIs" rank="0" priority="244" equalAverage="0" operator="greaterThan" aboveAverage="0" dxfId="10" text="" percent="0" bottom="0">
      <formula>GecOdemeEsik</formula>
    </cfRule>
  </conditionalFormatting>
  <conditionalFormatting sqref="E127">
    <cfRule type="cellIs" rank="0" priority="245" equalAverage="0" operator="greaterThan" aboveAverage="0" dxfId="8" text="" percent="0" bottom="0">
      <formula>0</formula>
    </cfRule>
  </conditionalFormatting>
  <conditionalFormatting sqref="D128">
    <cfRule type="cellIs" rank="0" priority="246" equalAverage="0" operator="greaterThan" aboveAverage="0" dxfId="10" text="" percent="0" bottom="0">
      <formula>GecOdemeEsik</formula>
    </cfRule>
  </conditionalFormatting>
  <conditionalFormatting sqref="E128">
    <cfRule type="cellIs" rank="0" priority="247" equalAverage="0" operator="greaterThan" aboveAverage="0" dxfId="8" text="" percent="0" bottom="0">
      <formula>0</formula>
    </cfRule>
  </conditionalFormatting>
  <conditionalFormatting sqref="D129">
    <cfRule type="cellIs" rank="0" priority="248" equalAverage="0" operator="greaterThan" aboveAverage="0" dxfId="10" text="" percent="0" bottom="0">
      <formula>GecOdemeEsik</formula>
    </cfRule>
  </conditionalFormatting>
  <conditionalFormatting sqref="E129">
    <cfRule type="cellIs" rank="0" priority="249" equalAverage="0" operator="greaterThan" aboveAverage="0" dxfId="8" text="" percent="0" bottom="0">
      <formula>0</formula>
    </cfRule>
  </conditionalFormatting>
  <conditionalFormatting sqref="D130">
    <cfRule type="cellIs" rank="0" priority="250" equalAverage="0" operator="greaterThan" aboveAverage="0" dxfId="10" text="" percent="0" bottom="0">
      <formula>GecOdemeEsik</formula>
    </cfRule>
  </conditionalFormatting>
  <conditionalFormatting sqref="E130">
    <cfRule type="cellIs" rank="0" priority="251" equalAverage="0" operator="greaterThan" aboveAverage="0" dxfId="8" text="" percent="0" bottom="0">
      <formula>0</formula>
    </cfRule>
  </conditionalFormatting>
  <conditionalFormatting sqref="D131">
    <cfRule type="cellIs" rank="0" priority="252" equalAverage="0" operator="greaterThan" aboveAverage="0" dxfId="10" text="" percent="0" bottom="0">
      <formula>GecOdemeEsik</formula>
    </cfRule>
  </conditionalFormatting>
  <conditionalFormatting sqref="E131">
    <cfRule type="cellIs" rank="0" priority="253" equalAverage="0" operator="greaterThan" aboveAverage="0" dxfId="8" text="" percent="0" bottom="0">
      <formula>0</formula>
    </cfRule>
  </conditionalFormatting>
  <conditionalFormatting sqref="D132">
    <cfRule type="cellIs" rank="0" priority="254" equalAverage="0" operator="greaterThan" aboveAverage="0" dxfId="10" text="" percent="0" bottom="0">
      <formula>GecOdemeEsik</formula>
    </cfRule>
  </conditionalFormatting>
  <conditionalFormatting sqref="E132">
    <cfRule type="cellIs" rank="0" priority="255" equalAverage="0" operator="greaterThan" aboveAverage="0" dxfId="8" text="" percent="0" bottom="0">
      <formula>0</formula>
    </cfRule>
  </conditionalFormatting>
  <conditionalFormatting sqref="D133">
    <cfRule type="cellIs" rank="0" priority="256" equalAverage="0" operator="greaterThan" aboveAverage="0" dxfId="10" text="" percent="0" bottom="0">
      <formula>GecOdemeEsik</formula>
    </cfRule>
  </conditionalFormatting>
  <conditionalFormatting sqref="E133">
    <cfRule type="cellIs" rank="0" priority="257" equalAverage="0" operator="greaterThan" aboveAverage="0" dxfId="8" text="" percent="0" bottom="0">
      <formula>0</formula>
    </cfRule>
  </conditionalFormatting>
  <conditionalFormatting sqref="D134">
    <cfRule type="cellIs" rank="0" priority="258" equalAverage="0" operator="greaterThan" aboveAverage="0" dxfId="10" text="" percent="0" bottom="0">
      <formula>GecOdemeEsik</formula>
    </cfRule>
  </conditionalFormatting>
  <conditionalFormatting sqref="E134">
    <cfRule type="cellIs" rank="0" priority="259" equalAverage="0" operator="greaterThan" aboveAverage="0" dxfId="8" text="" percent="0" bottom="0">
      <formula>0</formula>
    </cfRule>
  </conditionalFormatting>
  <conditionalFormatting sqref="D135">
    <cfRule type="cellIs" rank="0" priority="260" equalAverage="0" operator="greaterThan" aboveAverage="0" dxfId="10" text="" percent="0" bottom="0">
      <formula>GecOdemeEsik</formula>
    </cfRule>
  </conditionalFormatting>
  <conditionalFormatting sqref="E135">
    <cfRule type="cellIs" rank="0" priority="261" equalAverage="0" operator="greaterThan" aboveAverage="0" dxfId="8" text="" percent="0" bottom="0">
      <formula>0</formula>
    </cfRule>
  </conditionalFormatting>
  <conditionalFormatting sqref="D136">
    <cfRule type="cellIs" rank="0" priority="262" equalAverage="0" operator="greaterThan" aboveAverage="0" dxfId="10" text="" percent="0" bottom="0">
      <formula>GecOdemeEsik</formula>
    </cfRule>
  </conditionalFormatting>
  <conditionalFormatting sqref="E136">
    <cfRule type="cellIs" rank="0" priority="263" equalAverage="0" operator="greaterThan" aboveAverage="0" dxfId="8" text="" percent="0" bottom="0">
      <formula>0</formula>
    </cfRule>
  </conditionalFormatting>
  <conditionalFormatting sqref="D137">
    <cfRule type="cellIs" rank="0" priority="264" equalAverage="0" operator="greaterThan" aboveAverage="0" dxfId="10" text="" percent="0" bottom="0">
      <formula>GecOdemeEsik</formula>
    </cfRule>
  </conditionalFormatting>
  <conditionalFormatting sqref="E137">
    <cfRule type="cellIs" rank="0" priority="265" equalAverage="0" operator="greaterThan" aboveAverage="0" dxfId="8" text="" percent="0" bottom="0">
      <formula>0</formula>
    </cfRule>
  </conditionalFormatting>
  <conditionalFormatting sqref="D138">
    <cfRule type="cellIs" rank="0" priority="266" equalAverage="0" operator="greaterThan" aboveAverage="0" dxfId="10" text="" percent="0" bottom="0">
      <formula>GecOdemeEsik</formula>
    </cfRule>
  </conditionalFormatting>
  <conditionalFormatting sqref="E138">
    <cfRule type="cellIs" rank="0" priority="267" equalAverage="0" operator="greaterThan" aboveAverage="0" dxfId="8" text="" percent="0" bottom="0">
      <formula>0</formula>
    </cfRule>
  </conditionalFormatting>
  <conditionalFormatting sqref="D139">
    <cfRule type="cellIs" rank="0" priority="268" equalAverage="0" operator="greaterThan" aboveAverage="0" dxfId="10" text="" percent="0" bottom="0">
      <formula>GecOdemeEsik</formula>
    </cfRule>
  </conditionalFormatting>
  <conditionalFormatting sqref="E139">
    <cfRule type="cellIs" rank="0" priority="269" equalAverage="0" operator="greaterThan" aboveAverage="0" dxfId="8" text="" percent="0" bottom="0">
      <formula>0</formula>
    </cfRule>
  </conditionalFormatting>
  <conditionalFormatting sqref="D140">
    <cfRule type="cellIs" rank="0" priority="270" equalAverage="0" operator="greaterThan" aboveAverage="0" dxfId="10" text="" percent="0" bottom="0">
      <formula>GecOdemeEsik</formula>
    </cfRule>
  </conditionalFormatting>
  <conditionalFormatting sqref="E140">
    <cfRule type="cellIs" rank="0" priority="271" equalAverage="0" operator="greaterThan" aboveAverage="0" dxfId="8" text="" percent="0" bottom="0">
      <formula>0</formula>
    </cfRule>
  </conditionalFormatting>
  <conditionalFormatting sqref="D141">
    <cfRule type="cellIs" rank="0" priority="272" equalAverage="0" operator="greaterThan" aboveAverage="0" dxfId="10" text="" percent="0" bottom="0">
      <formula>GecOdemeEsik</formula>
    </cfRule>
  </conditionalFormatting>
  <conditionalFormatting sqref="E141">
    <cfRule type="cellIs" rank="0" priority="273" equalAverage="0" operator="greaterThan" aboveAverage="0" dxfId="8" text="" percent="0" bottom="0">
      <formula>0</formula>
    </cfRule>
  </conditionalFormatting>
  <conditionalFormatting sqref="D142">
    <cfRule type="cellIs" rank="0" priority="274" equalAverage="0" operator="greaterThan" aboveAverage="0" dxfId="10" text="" percent="0" bottom="0">
      <formula>GecOdemeEsik</formula>
    </cfRule>
  </conditionalFormatting>
  <conditionalFormatting sqref="E142">
    <cfRule type="cellIs" rank="0" priority="275" equalAverage="0" operator="greaterThan" aboveAverage="0" dxfId="8" text="" percent="0" bottom="0">
      <formula>0</formula>
    </cfRule>
  </conditionalFormatting>
  <conditionalFormatting sqref="D143">
    <cfRule type="cellIs" rank="0" priority="276" equalAverage="0" operator="greaterThan" aboveAverage="0" dxfId="10" text="" percent="0" bottom="0">
      <formula>GecOdemeEsik</formula>
    </cfRule>
  </conditionalFormatting>
  <conditionalFormatting sqref="E143">
    <cfRule type="cellIs" rank="0" priority="277" equalAverage="0" operator="greaterThan" aboveAverage="0" dxfId="8" text="" percent="0" bottom="0">
      <formula>0</formula>
    </cfRule>
  </conditionalFormatting>
  <conditionalFormatting sqref="D144">
    <cfRule type="cellIs" rank="0" priority="278" equalAverage="0" operator="greaterThan" aboveAverage="0" dxfId="10" text="" percent="0" bottom="0">
      <formula>GecOdemeEsik</formula>
    </cfRule>
  </conditionalFormatting>
  <conditionalFormatting sqref="E144">
    <cfRule type="cellIs" rank="0" priority="279" equalAverage="0" operator="greaterThan" aboveAverage="0" dxfId="8" text="" percent="0" bottom="0">
      <formula>0</formula>
    </cfRule>
  </conditionalFormatting>
  <conditionalFormatting sqref="D145">
    <cfRule type="cellIs" rank="0" priority="280" equalAverage="0" operator="greaterThan" aboveAverage="0" dxfId="10" text="" percent="0" bottom="0">
      <formula>GecOdemeEsik</formula>
    </cfRule>
  </conditionalFormatting>
  <conditionalFormatting sqref="E145">
    <cfRule type="cellIs" rank="0" priority="281" equalAverage="0" operator="greaterThan" aboveAverage="0" dxfId="8" text="" percent="0" bottom="0">
      <formula>0</formula>
    </cfRule>
  </conditionalFormatting>
  <conditionalFormatting sqref="D146">
    <cfRule type="cellIs" rank="0" priority="282" equalAverage="0" operator="greaterThan" aboveAverage="0" dxfId="10" text="" percent="0" bottom="0">
      <formula>GecOdemeEsik</formula>
    </cfRule>
  </conditionalFormatting>
  <conditionalFormatting sqref="E146">
    <cfRule type="cellIs" rank="0" priority="283" equalAverage="0" operator="greaterThan" aboveAverage="0" dxfId="8" text="" percent="0" bottom="0">
      <formula>0</formula>
    </cfRule>
  </conditionalFormatting>
  <conditionalFormatting sqref="D147">
    <cfRule type="cellIs" rank="0" priority="284" equalAverage="0" operator="greaterThan" aboveAverage="0" dxfId="10" text="" percent="0" bottom="0">
      <formula>GecOdemeEsik</formula>
    </cfRule>
  </conditionalFormatting>
  <conditionalFormatting sqref="E147">
    <cfRule type="cellIs" rank="0" priority="285" equalAverage="0" operator="greaterThan" aboveAverage="0" dxfId="8" text="" percent="0" bottom="0">
      <formula>0</formula>
    </cfRule>
  </conditionalFormatting>
  <conditionalFormatting sqref="D148">
    <cfRule type="cellIs" rank="0" priority="286" equalAverage="0" operator="greaterThan" aboveAverage="0" dxfId="10" text="" percent="0" bottom="0">
      <formula>GecOdemeEsik</formula>
    </cfRule>
  </conditionalFormatting>
  <conditionalFormatting sqref="E148">
    <cfRule type="cellIs" rank="0" priority="287" equalAverage="0" operator="greaterThan" aboveAverage="0" dxfId="8" text="" percent="0" bottom="0">
      <formula>0</formula>
    </cfRule>
  </conditionalFormatting>
  <conditionalFormatting sqref="D149">
    <cfRule type="cellIs" rank="0" priority="288" equalAverage="0" operator="greaterThan" aboveAverage="0" dxfId="10" text="" percent="0" bottom="0">
      <formula>GecOdemeEsik</formula>
    </cfRule>
  </conditionalFormatting>
  <conditionalFormatting sqref="E149">
    <cfRule type="cellIs" rank="0" priority="289" equalAverage="0" operator="greaterThan" aboveAverage="0" dxfId="8" text="" percent="0" bottom="0">
      <formula>0</formula>
    </cfRule>
  </conditionalFormatting>
  <conditionalFormatting sqref="D150">
    <cfRule type="cellIs" rank="0" priority="290" equalAverage="0" operator="greaterThan" aboveAverage="0" dxfId="10" text="" percent="0" bottom="0">
      <formula>GecOdemeEsik</formula>
    </cfRule>
  </conditionalFormatting>
  <conditionalFormatting sqref="E150">
    <cfRule type="cellIs" rank="0" priority="291" equalAverage="0" operator="greaterThan" aboveAverage="0" dxfId="8" text="" percent="0" bottom="0">
      <formula>0</formula>
    </cfRule>
  </conditionalFormatting>
  <conditionalFormatting sqref="D151">
    <cfRule type="cellIs" rank="0" priority="292" equalAverage="0" operator="greaterThan" aboveAverage="0" dxfId="10" text="" percent="0" bottom="0">
      <formula>GecOdemeEsik</formula>
    </cfRule>
  </conditionalFormatting>
  <conditionalFormatting sqref="E151">
    <cfRule type="cellIs" rank="0" priority="293" equalAverage="0" operator="greaterThan" aboveAverage="0" dxfId="8" text="" percent="0" bottom="0">
      <formula>0</formula>
    </cfRule>
  </conditionalFormatting>
  <conditionalFormatting sqref="D152">
    <cfRule type="cellIs" rank="0" priority="294" equalAverage="0" operator="greaterThan" aboveAverage="0" dxfId="10" text="" percent="0" bottom="0">
      <formula>GecOdemeEsik</formula>
    </cfRule>
  </conditionalFormatting>
  <conditionalFormatting sqref="E152">
    <cfRule type="cellIs" rank="0" priority="295" equalAverage="0" operator="greaterThan" aboveAverage="0" dxfId="8" text="" percent="0" bottom="0">
      <formula>0</formula>
    </cfRule>
  </conditionalFormatting>
  <conditionalFormatting sqref="D153">
    <cfRule type="cellIs" rank="0" priority="296" equalAverage="0" operator="greaterThan" aboveAverage="0" dxfId="10" text="" percent="0" bottom="0">
      <formula>GecOdemeEsik</formula>
    </cfRule>
  </conditionalFormatting>
  <conditionalFormatting sqref="E153">
    <cfRule type="cellIs" rank="0" priority="297" equalAverage="0" operator="greaterThan" aboveAverage="0" dxfId="8" text="" percent="0" bottom="0">
      <formula>0</formula>
    </cfRule>
  </conditionalFormatting>
  <conditionalFormatting sqref="D154">
    <cfRule type="cellIs" rank="0" priority="298" equalAverage="0" operator="greaterThan" aboveAverage="0" dxfId="10" text="" percent="0" bottom="0">
      <formula>GecOdemeEsik</formula>
    </cfRule>
  </conditionalFormatting>
  <conditionalFormatting sqref="E154">
    <cfRule type="cellIs" rank="0" priority="299" equalAverage="0" operator="greaterThan" aboveAverage="0" dxfId="8" text="" percent="0" bottom="0">
      <formula>0</formula>
    </cfRule>
  </conditionalFormatting>
  <conditionalFormatting sqref="D155">
    <cfRule type="cellIs" rank="0" priority="300" equalAverage="0" operator="greaterThan" aboveAverage="0" dxfId="10" text="" percent="0" bottom="0">
      <formula>GecOdemeEsik</formula>
    </cfRule>
  </conditionalFormatting>
  <conditionalFormatting sqref="E155">
    <cfRule type="cellIs" rank="0" priority="301" equalAverage="0" operator="greaterThan" aboveAverage="0" dxfId="8" text="" percent="0" bottom="0">
      <formula>0</formula>
    </cfRule>
  </conditionalFormatting>
  <conditionalFormatting sqref="D156">
    <cfRule type="cellIs" rank="0" priority="302" equalAverage="0" operator="greaterThan" aboveAverage="0" dxfId="10" text="" percent="0" bottom="0">
      <formula>GecOdemeEsik</formula>
    </cfRule>
  </conditionalFormatting>
  <conditionalFormatting sqref="E156">
    <cfRule type="cellIs" rank="0" priority="303" equalAverage="0" operator="greaterThan" aboveAverage="0" dxfId="8" text="" percent="0" bottom="0">
      <formula>0</formula>
    </cfRule>
  </conditionalFormatting>
  <conditionalFormatting sqref="D157">
    <cfRule type="cellIs" rank="0" priority="304" equalAverage="0" operator="greaterThan" aboveAverage="0" dxfId="10" text="" percent="0" bottom="0">
      <formula>GecOdemeEsik</formula>
    </cfRule>
  </conditionalFormatting>
  <conditionalFormatting sqref="E157">
    <cfRule type="cellIs" rank="0" priority="305" equalAverage="0" operator="greaterThan" aboveAverage="0" dxfId="8" text="" percent="0" bottom="0">
      <formula>0</formula>
    </cfRule>
  </conditionalFormatting>
  <conditionalFormatting sqref="D158">
    <cfRule type="cellIs" rank="0" priority="306" equalAverage="0" operator="greaterThan" aboveAverage="0" dxfId="10" text="" percent="0" bottom="0">
      <formula>GecOdemeEsik</formula>
    </cfRule>
  </conditionalFormatting>
  <conditionalFormatting sqref="E158">
    <cfRule type="cellIs" rank="0" priority="307" equalAverage="0" operator="greaterThan" aboveAverage="0" dxfId="8" text="" percent="0" bottom="0">
      <formula>0</formula>
    </cfRule>
  </conditionalFormatting>
  <conditionalFormatting sqref="D159">
    <cfRule type="cellIs" rank="0" priority="308" equalAverage="0" operator="greaterThan" aboveAverage="0" dxfId="10" text="" percent="0" bottom="0">
      <formula>GecOdemeEsik</formula>
    </cfRule>
  </conditionalFormatting>
  <conditionalFormatting sqref="E159">
    <cfRule type="cellIs" rank="0" priority="309" equalAverage="0" operator="greaterThan" aboveAverage="0" dxfId="8" text="" percent="0" bottom="0">
      <formula>0</formula>
    </cfRule>
  </conditionalFormatting>
  <conditionalFormatting sqref="D160">
    <cfRule type="cellIs" rank="0" priority="310" equalAverage="0" operator="greaterThan" aboveAverage="0" dxfId="10" text="" percent="0" bottom="0">
      <formula>GecOdemeEsik</formula>
    </cfRule>
  </conditionalFormatting>
  <conditionalFormatting sqref="E160">
    <cfRule type="cellIs" rank="0" priority="311" equalAverage="0" operator="greaterThan" aboveAverage="0" dxfId="8" text="" percent="0" bottom="0">
      <formula>0</formula>
    </cfRule>
  </conditionalFormatting>
  <conditionalFormatting sqref="D161">
    <cfRule type="cellIs" rank="0" priority="312" equalAverage="0" operator="greaterThan" aboveAverage="0" dxfId="10" text="" percent="0" bottom="0">
      <formula>GecOdemeEsik</formula>
    </cfRule>
  </conditionalFormatting>
  <conditionalFormatting sqref="E161">
    <cfRule type="cellIs" rank="0" priority="313" equalAverage="0" operator="greaterThan" aboveAverage="0" dxfId="8" text="" percent="0" bottom="0">
      <formula>0</formula>
    </cfRule>
  </conditionalFormatting>
  <conditionalFormatting sqref="D162">
    <cfRule type="cellIs" rank="0" priority="314" equalAverage="0" operator="greaterThan" aboveAverage="0" dxfId="10" text="" percent="0" bottom="0">
      <formula>GecOdemeEsik</formula>
    </cfRule>
  </conditionalFormatting>
  <conditionalFormatting sqref="E162">
    <cfRule type="cellIs" rank="0" priority="315" equalAverage="0" operator="greaterThan" aboveAverage="0" dxfId="8" text="" percent="0" bottom="0">
      <formula>0</formula>
    </cfRule>
  </conditionalFormatting>
  <conditionalFormatting sqref="D163">
    <cfRule type="cellIs" rank="0" priority="316" equalAverage="0" operator="greaterThan" aboveAverage="0" dxfId="10" text="" percent="0" bottom="0">
      <formula>GecOdemeEsik</formula>
    </cfRule>
  </conditionalFormatting>
  <conditionalFormatting sqref="E163">
    <cfRule type="cellIs" rank="0" priority="317" equalAverage="0" operator="greaterThan" aboveAverage="0" dxfId="8" text="" percent="0" bottom="0">
      <formula>0</formula>
    </cfRule>
  </conditionalFormatting>
  <conditionalFormatting sqref="D164">
    <cfRule type="cellIs" rank="0" priority="318" equalAverage="0" operator="greaterThan" aboveAverage="0" dxfId="10" text="" percent="0" bottom="0">
      <formula>GecOdemeEsik</formula>
    </cfRule>
  </conditionalFormatting>
  <conditionalFormatting sqref="E164">
    <cfRule type="cellIs" rank="0" priority="319" equalAverage="0" operator="greaterThan" aboveAverage="0" dxfId="8" text="" percent="0" bottom="0">
      <formula>0</formula>
    </cfRule>
  </conditionalFormatting>
  <conditionalFormatting sqref="D165">
    <cfRule type="cellIs" rank="0" priority="320" equalAverage="0" operator="greaterThan" aboveAverage="0" dxfId="10" text="" percent="0" bottom="0">
      <formula>GecOdemeEsik</formula>
    </cfRule>
  </conditionalFormatting>
  <conditionalFormatting sqref="E165">
    <cfRule type="cellIs" rank="0" priority="321" equalAverage="0" operator="greaterThan" aboveAverage="0" dxfId="8" text="" percent="0" bottom="0">
      <formula>0</formula>
    </cfRule>
  </conditionalFormatting>
  <conditionalFormatting sqref="D166">
    <cfRule type="cellIs" rank="0" priority="322" equalAverage="0" operator="greaterThan" aboveAverage="0" dxfId="10" text="" percent="0" bottom="0">
      <formula>GecOdemeEsik</formula>
    </cfRule>
  </conditionalFormatting>
  <conditionalFormatting sqref="E166">
    <cfRule type="cellIs" rank="0" priority="323" equalAverage="0" operator="greaterThan" aboveAverage="0" dxfId="8" text="" percent="0" bottom="0">
      <formula>0</formula>
    </cfRule>
  </conditionalFormatting>
  <conditionalFormatting sqref="D167">
    <cfRule type="cellIs" rank="0" priority="324" equalAverage="0" operator="greaterThan" aboveAverage="0" dxfId="10" text="" percent="0" bottom="0">
      <formula>GecOdemeEsik</formula>
    </cfRule>
  </conditionalFormatting>
  <conditionalFormatting sqref="E167">
    <cfRule type="cellIs" rank="0" priority="325" equalAverage="0" operator="greaterThan" aboveAverage="0" dxfId="8" text="" percent="0" bottom="0">
      <formula>0</formula>
    </cfRule>
  </conditionalFormatting>
  <conditionalFormatting sqref="D168">
    <cfRule type="cellIs" rank="0" priority="326" equalAverage="0" operator="greaterThan" aboveAverage="0" dxfId="10" text="" percent="0" bottom="0">
      <formula>GecOdemeEsik</formula>
    </cfRule>
  </conditionalFormatting>
  <conditionalFormatting sqref="E168">
    <cfRule type="cellIs" rank="0" priority="327" equalAverage="0" operator="greaterThan" aboveAverage="0" dxfId="8" text="" percent="0" bottom="0">
      <formula>0</formula>
    </cfRule>
  </conditionalFormatting>
  <conditionalFormatting sqref="D169">
    <cfRule type="cellIs" rank="0" priority="328" equalAverage="0" operator="greaterThan" aboveAverage="0" dxfId="10" text="" percent="0" bottom="0">
      <formula>GecOdemeEsik</formula>
    </cfRule>
  </conditionalFormatting>
  <conditionalFormatting sqref="E169">
    <cfRule type="cellIs" rank="0" priority="329" equalAverage="0" operator="greaterThan" aboveAverage="0" dxfId="8" text="" percent="0" bottom="0">
      <formula>0</formula>
    </cfRule>
  </conditionalFormatting>
  <conditionalFormatting sqref="D170">
    <cfRule type="cellIs" rank="0" priority="330" equalAverage="0" operator="greaterThan" aboveAverage="0" dxfId="10" text="" percent="0" bottom="0">
      <formula>GecOdemeEsik</formula>
    </cfRule>
  </conditionalFormatting>
  <conditionalFormatting sqref="E170">
    <cfRule type="cellIs" rank="0" priority="331" equalAverage="0" operator="greaterThan" aboveAverage="0" dxfId="8" text="" percent="0" bottom="0">
      <formula>0</formula>
    </cfRule>
  </conditionalFormatting>
  <conditionalFormatting sqref="D171">
    <cfRule type="cellIs" rank="0" priority="332" equalAverage="0" operator="greaterThan" aboveAverage="0" dxfId="10" text="" percent="0" bottom="0">
      <formula>GecOdemeEsik</formula>
    </cfRule>
  </conditionalFormatting>
  <conditionalFormatting sqref="E171">
    <cfRule type="cellIs" rank="0" priority="333" equalAverage="0" operator="greaterThan" aboveAverage="0" dxfId="8" text="" percent="0" bottom="0">
      <formula>0</formula>
    </cfRule>
  </conditionalFormatting>
  <conditionalFormatting sqref="D172">
    <cfRule type="cellIs" rank="0" priority="334" equalAverage="0" operator="greaterThan" aboveAverage="0" dxfId="10" text="" percent="0" bottom="0">
      <formula>GecOdemeEsik</formula>
    </cfRule>
  </conditionalFormatting>
  <conditionalFormatting sqref="E172">
    <cfRule type="cellIs" rank="0" priority="335" equalAverage="0" operator="greaterThan" aboveAverage="0" dxfId="8" text="" percent="0" bottom="0">
      <formula>0</formula>
    </cfRule>
  </conditionalFormatting>
  <conditionalFormatting sqref="D173">
    <cfRule type="cellIs" rank="0" priority="336" equalAverage="0" operator="greaterThan" aboveAverage="0" dxfId="10" text="" percent="0" bottom="0">
      <formula>GecOdemeEsik</formula>
    </cfRule>
  </conditionalFormatting>
  <conditionalFormatting sqref="E173">
    <cfRule type="cellIs" rank="0" priority="337" equalAverage="0" operator="greaterThan" aboveAverage="0" dxfId="8" text="" percent="0" bottom="0">
      <formula>0</formula>
    </cfRule>
  </conditionalFormatting>
  <conditionalFormatting sqref="D174">
    <cfRule type="cellIs" rank="0" priority="338" equalAverage="0" operator="greaterThan" aboveAverage="0" dxfId="10" text="" percent="0" bottom="0">
      <formula>GecOdemeEsik</formula>
    </cfRule>
  </conditionalFormatting>
  <conditionalFormatting sqref="E174">
    <cfRule type="cellIs" rank="0" priority="339" equalAverage="0" operator="greaterThan" aboveAverage="0" dxfId="8" text="" percent="0" bottom="0">
      <formula>0</formula>
    </cfRule>
  </conditionalFormatting>
  <conditionalFormatting sqref="D175">
    <cfRule type="cellIs" rank="0" priority="340" equalAverage="0" operator="greaterThan" aboveAverage="0" dxfId="10" text="" percent="0" bottom="0">
      <formula>GecOdemeEsik</formula>
    </cfRule>
  </conditionalFormatting>
  <conditionalFormatting sqref="E175">
    <cfRule type="cellIs" rank="0" priority="341" equalAverage="0" operator="greaterThan" aboveAverage="0" dxfId="8" text="" percent="0" bottom="0">
      <formula>0</formula>
    </cfRule>
  </conditionalFormatting>
  <conditionalFormatting sqref="D176">
    <cfRule type="cellIs" rank="0" priority="342" equalAverage="0" operator="greaterThan" aboveAverage="0" dxfId="10" text="" percent="0" bottom="0">
      <formula>GecOdemeEsik</formula>
    </cfRule>
  </conditionalFormatting>
  <conditionalFormatting sqref="E176">
    <cfRule type="cellIs" rank="0" priority="343" equalAverage="0" operator="greaterThan" aboveAverage="0" dxfId="8" text="" percent="0" bottom="0">
      <formula>0</formula>
    </cfRule>
  </conditionalFormatting>
  <conditionalFormatting sqref="D177">
    <cfRule type="cellIs" rank="0" priority="344" equalAverage="0" operator="greaterThan" aboveAverage="0" dxfId="10" text="" percent="0" bottom="0">
      <formula>GecOdemeEsik</formula>
    </cfRule>
  </conditionalFormatting>
  <conditionalFormatting sqref="E177">
    <cfRule type="cellIs" rank="0" priority="345" equalAverage="0" operator="greaterThan" aboveAverage="0" dxfId="8" text="" percent="0" bottom="0">
      <formula>0</formula>
    </cfRule>
  </conditionalFormatting>
  <conditionalFormatting sqref="D178">
    <cfRule type="cellIs" rank="0" priority="346" equalAverage="0" operator="greaterThan" aboveAverage="0" dxfId="10" text="" percent="0" bottom="0">
      <formula>GecOdemeEsik</formula>
    </cfRule>
  </conditionalFormatting>
  <conditionalFormatting sqref="E178">
    <cfRule type="cellIs" rank="0" priority="347" equalAverage="0" operator="greaterThan" aboveAverage="0" dxfId="8" text="" percent="0" bottom="0">
      <formula>0</formula>
    </cfRule>
  </conditionalFormatting>
  <conditionalFormatting sqref="D179">
    <cfRule type="cellIs" rank="0" priority="348" equalAverage="0" operator="greaterThan" aboveAverage="0" dxfId="10" text="" percent="0" bottom="0">
      <formula>GecOdemeEsik</formula>
    </cfRule>
  </conditionalFormatting>
  <conditionalFormatting sqref="E179">
    <cfRule type="cellIs" rank="0" priority="349" equalAverage="0" operator="greaterThan" aboveAverage="0" dxfId="8" text="" percent="0" bottom="0">
      <formula>0</formula>
    </cfRule>
  </conditionalFormatting>
  <conditionalFormatting sqref="D180">
    <cfRule type="cellIs" rank="0" priority="350" equalAverage="0" operator="greaterThan" aboveAverage="0" dxfId="10" text="" percent="0" bottom="0">
      <formula>GecOdemeEsik</formula>
    </cfRule>
  </conditionalFormatting>
  <conditionalFormatting sqref="E180">
    <cfRule type="cellIs" rank="0" priority="351" equalAverage="0" operator="greaterThan" aboveAverage="0" dxfId="8" text="" percent="0" bottom="0">
      <formula>0</formula>
    </cfRule>
  </conditionalFormatting>
  <conditionalFormatting sqref="D181">
    <cfRule type="cellIs" rank="0" priority="352" equalAverage="0" operator="greaterThan" aboveAverage="0" dxfId="10" text="" percent="0" bottom="0">
      <formula>GecOdemeEsik</formula>
    </cfRule>
  </conditionalFormatting>
  <conditionalFormatting sqref="E181">
    <cfRule type="cellIs" rank="0" priority="353" equalAverage="0" operator="greaterThan" aboveAverage="0" dxfId="8" text="" percent="0" bottom="0">
      <formula>0</formula>
    </cfRule>
  </conditionalFormatting>
  <conditionalFormatting sqref="D182">
    <cfRule type="cellIs" rank="0" priority="354" equalAverage="0" operator="greaterThan" aboveAverage="0" dxfId="10" text="" percent="0" bottom="0">
      <formula>GecOdemeEsik</formula>
    </cfRule>
  </conditionalFormatting>
  <conditionalFormatting sqref="E182">
    <cfRule type="cellIs" rank="0" priority="355" equalAverage="0" operator="greaterThan" aboveAverage="0" dxfId="8" text="" percent="0" bottom="0">
      <formula>0</formula>
    </cfRule>
  </conditionalFormatting>
  <conditionalFormatting sqref="D183">
    <cfRule type="cellIs" rank="0" priority="356" equalAverage="0" operator="greaterThan" aboveAverage="0" dxfId="10" text="" percent="0" bottom="0">
      <formula>GecOdemeEsik</formula>
    </cfRule>
  </conditionalFormatting>
  <conditionalFormatting sqref="E183">
    <cfRule type="cellIs" rank="0" priority="357" equalAverage="0" operator="greaterThan" aboveAverage="0" dxfId="8" text="" percent="0" bottom="0">
      <formula>0</formula>
    </cfRule>
  </conditionalFormatting>
  <conditionalFormatting sqref="D184">
    <cfRule type="cellIs" rank="0" priority="358" equalAverage="0" operator="greaterThan" aboveAverage="0" dxfId="10" text="" percent="0" bottom="0">
      <formula>GecOdemeEsik</formula>
    </cfRule>
  </conditionalFormatting>
  <conditionalFormatting sqref="E184">
    <cfRule type="cellIs" rank="0" priority="359" equalAverage="0" operator="greaterThan" aboveAverage="0" dxfId="8" text="" percent="0" bottom="0">
      <formula>0</formula>
    </cfRule>
  </conditionalFormatting>
  <conditionalFormatting sqref="D185">
    <cfRule type="cellIs" rank="0" priority="360" equalAverage="0" operator="greaterThan" aboveAverage="0" dxfId="10" text="" percent="0" bottom="0">
      <formula>GecOdemeEsik</formula>
    </cfRule>
  </conditionalFormatting>
  <conditionalFormatting sqref="E185">
    <cfRule type="cellIs" rank="0" priority="361" equalAverage="0" operator="greaterThan" aboveAverage="0" dxfId="8" text="" percent="0" bottom="0">
      <formula>0</formula>
    </cfRule>
  </conditionalFormatting>
  <conditionalFormatting sqref="D186">
    <cfRule type="cellIs" rank="0" priority="362" equalAverage="0" operator="greaterThan" aboveAverage="0" dxfId="10" text="" percent="0" bottom="0">
      <formula>GecOdemeEsik</formula>
    </cfRule>
  </conditionalFormatting>
  <conditionalFormatting sqref="E186">
    <cfRule type="cellIs" rank="0" priority="363" equalAverage="0" operator="greaterThan" aboveAverage="0" dxfId="8" text="" percent="0" bottom="0">
      <formula>0</formula>
    </cfRule>
  </conditionalFormatting>
  <conditionalFormatting sqref="D187">
    <cfRule type="cellIs" rank="0" priority="364" equalAverage="0" operator="greaterThan" aboveAverage="0" dxfId="10" text="" percent="0" bottom="0">
      <formula>GecOdemeEsik</formula>
    </cfRule>
  </conditionalFormatting>
  <conditionalFormatting sqref="E187">
    <cfRule type="cellIs" rank="0" priority="365" equalAverage="0" operator="greaterThan" aboveAverage="0" dxfId="8" text="" percent="0" bottom="0">
      <formula>0</formula>
    </cfRule>
  </conditionalFormatting>
  <conditionalFormatting sqref="D188">
    <cfRule type="cellIs" rank="0" priority="366" equalAverage="0" operator="greaterThan" aboveAverage="0" dxfId="10" text="" percent="0" bottom="0">
      <formula>GecOdemeEsik</formula>
    </cfRule>
  </conditionalFormatting>
  <conditionalFormatting sqref="E188">
    <cfRule type="cellIs" rank="0" priority="367" equalAverage="0" operator="greaterThan" aboveAverage="0" dxfId="8" text="" percent="0" bottom="0">
      <formula>0</formula>
    </cfRule>
  </conditionalFormatting>
  <conditionalFormatting sqref="D189">
    <cfRule type="cellIs" rank="0" priority="368" equalAverage="0" operator="greaterThan" aboveAverage="0" dxfId="10" text="" percent="0" bottom="0">
      <formula>GecOdemeEsik</formula>
    </cfRule>
  </conditionalFormatting>
  <conditionalFormatting sqref="E189">
    <cfRule type="cellIs" rank="0" priority="369" equalAverage="0" operator="greaterThan" aboveAverage="0" dxfId="8" text="" percent="0" bottom="0">
      <formula>0</formula>
    </cfRule>
  </conditionalFormatting>
  <conditionalFormatting sqref="D190">
    <cfRule type="cellIs" rank="0" priority="370" equalAverage="0" operator="greaterThan" aboveAverage="0" dxfId="10" text="" percent="0" bottom="0">
      <formula>GecOdemeEsik</formula>
    </cfRule>
  </conditionalFormatting>
  <conditionalFormatting sqref="E190">
    <cfRule type="cellIs" rank="0" priority="371" equalAverage="0" operator="greaterThan" aboveAverage="0" dxfId="8" text="" percent="0" bottom="0">
      <formula>0</formula>
    </cfRule>
  </conditionalFormatting>
  <conditionalFormatting sqref="D191">
    <cfRule type="cellIs" rank="0" priority="372" equalAverage="0" operator="greaterThan" aboveAverage="0" dxfId="10" text="" percent="0" bottom="0">
      <formula>GecOdemeEsik</formula>
    </cfRule>
  </conditionalFormatting>
  <conditionalFormatting sqref="E191">
    <cfRule type="cellIs" rank="0" priority="373" equalAverage="0" operator="greaterThan" aboveAverage="0" dxfId="8" text="" percent="0" bottom="0">
      <formula>0</formula>
    </cfRule>
  </conditionalFormatting>
  <conditionalFormatting sqref="D192">
    <cfRule type="cellIs" rank="0" priority="374" equalAverage="0" operator="greaterThan" aboveAverage="0" dxfId="10" text="" percent="0" bottom="0">
      <formula>GecOdemeEsik</formula>
    </cfRule>
  </conditionalFormatting>
  <conditionalFormatting sqref="E192">
    <cfRule type="cellIs" rank="0" priority="375" equalAverage="0" operator="greaterThan" aboveAverage="0" dxfId="8" text="" percent="0" bottom="0">
      <formula>0</formula>
    </cfRule>
  </conditionalFormatting>
  <conditionalFormatting sqref="D193">
    <cfRule type="cellIs" rank="0" priority="376" equalAverage="0" operator="greaterThan" aboveAverage="0" dxfId="10" text="" percent="0" bottom="0">
      <formula>GecOdemeEsik</formula>
    </cfRule>
  </conditionalFormatting>
  <conditionalFormatting sqref="E193">
    <cfRule type="cellIs" rank="0" priority="377" equalAverage="0" operator="greaterThan" aboveAverage="0" dxfId="8" text="" percent="0" bottom="0">
      <formula>0</formula>
    </cfRule>
  </conditionalFormatting>
  <conditionalFormatting sqref="D194">
    <cfRule type="cellIs" rank="0" priority="378" equalAverage="0" operator="greaterThan" aboveAverage="0" dxfId="10" text="" percent="0" bottom="0">
      <formula>GecOdemeEsik</formula>
    </cfRule>
  </conditionalFormatting>
  <conditionalFormatting sqref="E194">
    <cfRule type="cellIs" rank="0" priority="379" equalAverage="0" operator="greaterThan" aboveAverage="0" dxfId="8" text="" percent="0" bottom="0">
      <formula>0</formula>
    </cfRule>
  </conditionalFormatting>
  <conditionalFormatting sqref="D195">
    <cfRule type="cellIs" rank="0" priority="380" equalAverage="0" operator="greaterThan" aboveAverage="0" dxfId="10" text="" percent="0" bottom="0">
      <formula>GecOdemeEsik</formula>
    </cfRule>
  </conditionalFormatting>
  <conditionalFormatting sqref="E195">
    <cfRule type="cellIs" rank="0" priority="381" equalAverage="0" operator="greaterThan" aboveAverage="0" dxfId="8" text="" percent="0" bottom="0">
      <formula>0</formula>
    </cfRule>
  </conditionalFormatting>
  <conditionalFormatting sqref="D196">
    <cfRule type="cellIs" rank="0" priority="382" equalAverage="0" operator="greaterThan" aboveAverage="0" dxfId="10" text="" percent="0" bottom="0">
      <formula>GecOdemeEsik</formula>
    </cfRule>
  </conditionalFormatting>
  <conditionalFormatting sqref="E196">
    <cfRule type="cellIs" rank="0" priority="383" equalAverage="0" operator="greaterThan" aboveAverage="0" dxfId="8" text="" percent="0" bottom="0">
      <formula>0</formula>
    </cfRule>
  </conditionalFormatting>
  <conditionalFormatting sqref="D197">
    <cfRule type="cellIs" rank="0" priority="384" equalAverage="0" operator="greaterThan" aboveAverage="0" dxfId="10" text="" percent="0" bottom="0">
      <formula>GecOdemeEsik</formula>
    </cfRule>
  </conditionalFormatting>
  <conditionalFormatting sqref="E197">
    <cfRule type="cellIs" rank="0" priority="385" equalAverage="0" operator="greaterThan" aboveAverage="0" dxfId="8" text="" percent="0" bottom="0">
      <formula>0</formula>
    </cfRule>
  </conditionalFormatting>
  <conditionalFormatting sqref="D198">
    <cfRule type="cellIs" rank="0" priority="386" equalAverage="0" operator="greaterThan" aboveAverage="0" dxfId="10" text="" percent="0" bottom="0">
      <formula>GecOdemeEsik</formula>
    </cfRule>
  </conditionalFormatting>
  <conditionalFormatting sqref="E198">
    <cfRule type="cellIs" rank="0" priority="387" equalAverage="0" operator="greaterThan" aboveAverage="0" dxfId="8" text="" percent="0" bottom="0">
      <formula>0</formula>
    </cfRule>
  </conditionalFormatting>
  <conditionalFormatting sqref="D199">
    <cfRule type="cellIs" rank="0" priority="388" equalAverage="0" operator="greaterThan" aboveAverage="0" dxfId="10" text="" percent="0" bottom="0">
      <formula>GecOdemeEsik</formula>
    </cfRule>
  </conditionalFormatting>
  <conditionalFormatting sqref="E199">
    <cfRule type="cellIs" rank="0" priority="389" equalAverage="0" operator="greaterThan" aboveAverage="0" dxfId="8" text="" percent="0" bottom="0">
      <formula>0</formula>
    </cfRule>
  </conditionalFormatting>
  <conditionalFormatting sqref="D200">
    <cfRule type="cellIs" rank="0" priority="390" equalAverage="0" operator="greaterThan" aboveAverage="0" dxfId="10" text="" percent="0" bottom="0">
      <formula>GecOdemeEsik</formula>
    </cfRule>
  </conditionalFormatting>
  <conditionalFormatting sqref="E200">
    <cfRule type="cellIs" rank="0" priority="391" equalAverage="0" operator="greaterThan" aboveAverage="0" dxfId="8" text="" percent="0" bottom="0">
      <formula>0</formula>
    </cfRule>
  </conditionalFormatting>
  <conditionalFormatting sqref="D201">
    <cfRule type="cellIs" rank="0" priority="392" equalAverage="0" operator="greaterThan" aboveAverage="0" dxfId="10" text="" percent="0" bottom="0">
      <formula>GecOdemeEsik</formula>
    </cfRule>
  </conditionalFormatting>
  <conditionalFormatting sqref="E201">
    <cfRule type="cellIs" rank="0" priority="393" equalAverage="0" operator="greaterThan" aboveAverage="0" dxfId="8" text="" percent="0" bottom="0">
      <formula>0</formula>
    </cfRule>
  </conditionalFormatting>
  <conditionalFormatting sqref="D202">
    <cfRule type="cellIs" rank="0" priority="394" equalAverage="0" operator="greaterThan" aboveAverage="0" dxfId="10" text="" percent="0" bottom="0">
      <formula>GecOdemeEsik</formula>
    </cfRule>
  </conditionalFormatting>
  <conditionalFormatting sqref="E202">
    <cfRule type="cellIs" rank="0" priority="395" equalAverage="0" operator="greaterThan" aboveAverage="0" dxfId="8" text="" percent="0" bottom="0">
      <formula>0</formula>
    </cfRule>
  </conditionalFormatting>
  <conditionalFormatting sqref="D203">
    <cfRule type="cellIs" rank="0" priority="396" equalAverage="0" operator="greaterThan" aboveAverage="0" dxfId="10" text="" percent="0" bottom="0">
      <formula>GecOdemeEsik</formula>
    </cfRule>
  </conditionalFormatting>
  <conditionalFormatting sqref="E203">
    <cfRule type="cellIs" rank="0" priority="397" equalAverage="0" operator="greaterThan" aboveAverage="0" dxfId="8" text="" percent="0" bottom="0">
      <formula>0</formula>
    </cfRule>
  </conditionalFormatting>
  <conditionalFormatting sqref="D204">
    <cfRule type="cellIs" rank="0" priority="398" equalAverage="0" operator="greaterThan" aboveAverage="0" dxfId="10" text="" percent="0" bottom="0">
      <formula>GecOdemeEsik</formula>
    </cfRule>
  </conditionalFormatting>
  <conditionalFormatting sqref="E204">
    <cfRule type="cellIs" rank="0" priority="399" equalAverage="0" operator="greaterThan" aboveAverage="0" dxfId="8" text="" percent="0" bottom="0">
      <formula>0</formula>
    </cfRule>
  </conditionalFormatting>
  <conditionalFormatting sqref="D205">
    <cfRule type="cellIs" rank="0" priority="400" equalAverage="0" operator="greaterThan" aboveAverage="0" dxfId="10" text="" percent="0" bottom="0">
      <formula>GecOdemeEsik</formula>
    </cfRule>
  </conditionalFormatting>
  <conditionalFormatting sqref="E205">
    <cfRule type="cellIs" rank="0" priority="401" equalAverage="0" operator="greaterThan" aboveAverage="0" dxfId="8" text="" percent="0" bottom="0">
      <formula>0</formula>
    </cfRule>
  </conditionalFormatting>
  <conditionalFormatting sqref="D206">
    <cfRule type="cellIs" rank="0" priority="402" equalAverage="0" operator="greaterThan" aboveAverage="0" dxfId="10" text="" percent="0" bottom="0">
      <formula>GecOdemeEsik</formula>
    </cfRule>
  </conditionalFormatting>
  <conditionalFormatting sqref="E206">
    <cfRule type="cellIs" rank="0" priority="403" equalAverage="0" operator="greaterThan" aboveAverage="0" dxfId="8" text="" percent="0" bottom="0">
      <formula>0</formula>
    </cfRule>
  </conditionalFormatting>
  <conditionalFormatting sqref="D207">
    <cfRule type="cellIs" rank="0" priority="404" equalAverage="0" operator="greaterThan" aboveAverage="0" dxfId="10" text="" percent="0" bottom="0">
      <formula>GecOdemeEsik</formula>
    </cfRule>
  </conditionalFormatting>
  <conditionalFormatting sqref="E207">
    <cfRule type="cellIs" rank="0" priority="405" equalAverage="0" operator="greaterThan" aboveAverage="0" dxfId="8" text="" percent="0" bottom="0">
      <formula>0</formula>
    </cfRule>
  </conditionalFormatting>
  <conditionalFormatting sqref="D208">
    <cfRule type="cellIs" rank="0" priority="406" equalAverage="0" operator="greaterThan" aboveAverage="0" dxfId="10" text="" percent="0" bottom="0">
      <formula>GecOdemeEsik</formula>
    </cfRule>
  </conditionalFormatting>
  <conditionalFormatting sqref="E208">
    <cfRule type="cellIs" rank="0" priority="407" equalAverage="0" operator="greaterThan" aboveAverage="0" dxfId="8" text="" percent="0" bottom="0">
      <formula>0</formula>
    </cfRule>
  </conditionalFormatting>
  <conditionalFormatting sqref="D209">
    <cfRule type="cellIs" rank="0" priority="408" equalAverage="0" operator="greaterThan" aboveAverage="0" dxfId="10" text="" percent="0" bottom="0">
      <formula>GecOdemeEsik</formula>
    </cfRule>
  </conditionalFormatting>
  <conditionalFormatting sqref="E209">
    <cfRule type="cellIs" rank="0" priority="409" equalAverage="0" operator="greaterThan" aboveAverage="0" dxfId="8" text="" percent="0" bottom="0">
      <formula>0</formula>
    </cfRule>
  </conditionalFormatting>
  <conditionalFormatting sqref="D210">
    <cfRule type="cellIs" rank="0" priority="410" equalAverage="0" operator="greaterThan" aboveAverage="0" dxfId="10" text="" percent="0" bottom="0">
      <formula>GecOdemeEsik</formula>
    </cfRule>
  </conditionalFormatting>
  <conditionalFormatting sqref="E210">
    <cfRule type="cellIs" rank="0" priority="411" equalAverage="0" operator="greaterThan" aboveAverage="0" dxfId="8" text="" percent="0" bottom="0">
      <formula>0</formula>
    </cfRule>
  </conditionalFormatting>
  <conditionalFormatting sqref="D211">
    <cfRule type="cellIs" rank="0" priority="412" equalAverage="0" operator="greaterThan" aboveAverage="0" dxfId="10" text="" percent="0" bottom="0">
      <formula>GecOdemeEsik</formula>
    </cfRule>
  </conditionalFormatting>
  <conditionalFormatting sqref="E211">
    <cfRule type="cellIs" rank="0" priority="413" equalAverage="0" operator="greaterThan" aboveAverage="0" dxfId="8" text="" percent="0" bottom="0">
      <formula>0</formula>
    </cfRule>
  </conditionalFormatting>
  <conditionalFormatting sqref="D212">
    <cfRule type="cellIs" rank="0" priority="414" equalAverage="0" operator="greaterThan" aboveAverage="0" dxfId="10" text="" percent="0" bottom="0">
      <formula>GecOdemeEsik</formula>
    </cfRule>
  </conditionalFormatting>
  <conditionalFormatting sqref="E212">
    <cfRule type="cellIs" rank="0" priority="415" equalAverage="0" operator="greaterThan" aboveAverage="0" dxfId="8" text="" percent="0" bottom="0">
      <formula>0</formula>
    </cfRule>
  </conditionalFormatting>
  <conditionalFormatting sqref="D213">
    <cfRule type="cellIs" rank="0" priority="416" equalAverage="0" operator="greaterThan" aboveAverage="0" dxfId="10" text="" percent="0" bottom="0">
      <formula>GecOdemeEsik</formula>
    </cfRule>
  </conditionalFormatting>
  <conditionalFormatting sqref="E213">
    <cfRule type="cellIs" rank="0" priority="417" equalAverage="0" operator="greaterThan" aboveAverage="0" dxfId="8" text="" percent="0" bottom="0">
      <formula>0</formula>
    </cfRule>
  </conditionalFormatting>
  <conditionalFormatting sqref="D214">
    <cfRule type="cellIs" rank="0" priority="418" equalAverage="0" operator="greaterThan" aboveAverage="0" dxfId="10" text="" percent="0" bottom="0">
      <formula>GecOdemeEsik</formula>
    </cfRule>
  </conditionalFormatting>
  <conditionalFormatting sqref="E214">
    <cfRule type="cellIs" rank="0" priority="419" equalAverage="0" operator="greaterThan" aboveAverage="0" dxfId="8" text="" percent="0" bottom="0">
      <formula>0</formula>
    </cfRule>
  </conditionalFormatting>
  <conditionalFormatting sqref="D215">
    <cfRule type="cellIs" rank="0" priority="420" equalAverage="0" operator="greaterThan" aboveAverage="0" dxfId="10" text="" percent="0" bottom="0">
      <formula>GecOdemeEsik</formula>
    </cfRule>
  </conditionalFormatting>
  <conditionalFormatting sqref="E215">
    <cfRule type="cellIs" rank="0" priority="421" equalAverage="0" operator="greaterThan" aboveAverage="0" dxfId="8" text="" percent="0" bottom="0">
      <formula>0</formula>
    </cfRule>
  </conditionalFormatting>
  <conditionalFormatting sqref="D216">
    <cfRule type="cellIs" rank="0" priority="422" equalAverage="0" operator="greaterThan" aboveAverage="0" dxfId="10" text="" percent="0" bottom="0">
      <formula>GecOdemeEsik</formula>
    </cfRule>
  </conditionalFormatting>
  <conditionalFormatting sqref="E216">
    <cfRule type="cellIs" rank="0" priority="423" equalAverage="0" operator="greaterThan" aboveAverage="0" dxfId="8" text="" percent="0" bottom="0">
      <formula>0</formula>
    </cfRule>
  </conditionalFormatting>
  <conditionalFormatting sqref="D217">
    <cfRule type="cellIs" rank="0" priority="424" equalAverage="0" operator="greaterThan" aboveAverage="0" dxfId="10" text="" percent="0" bottom="0">
      <formula>GecOdemeEsik</formula>
    </cfRule>
  </conditionalFormatting>
  <conditionalFormatting sqref="E217">
    <cfRule type="cellIs" rank="0" priority="425" equalAverage="0" operator="greaterThan" aboveAverage="0" dxfId="8" text="" percent="0" bottom="0">
      <formula>0</formula>
    </cfRule>
  </conditionalFormatting>
  <conditionalFormatting sqref="D218">
    <cfRule type="cellIs" rank="0" priority="426" equalAverage="0" operator="greaterThan" aboveAverage="0" dxfId="10" text="" percent="0" bottom="0">
      <formula>GecOdemeEsik</formula>
    </cfRule>
  </conditionalFormatting>
  <conditionalFormatting sqref="E218">
    <cfRule type="cellIs" rank="0" priority="427" equalAverage="0" operator="greaterThan" aboveAverage="0" dxfId="8" text="" percent="0" bottom="0">
      <formula>0</formula>
    </cfRule>
  </conditionalFormatting>
  <conditionalFormatting sqref="D219">
    <cfRule type="cellIs" rank="0" priority="428" equalAverage="0" operator="greaterThan" aboveAverage="0" dxfId="10" text="" percent="0" bottom="0">
      <formula>GecOdemeEsik</formula>
    </cfRule>
  </conditionalFormatting>
  <conditionalFormatting sqref="E219">
    <cfRule type="cellIs" rank="0" priority="429" equalAverage="0" operator="greaterThan" aboveAverage="0" dxfId="8" text="" percent="0" bottom="0">
      <formula>0</formula>
    </cfRule>
  </conditionalFormatting>
  <conditionalFormatting sqref="D220">
    <cfRule type="cellIs" rank="0" priority="430" equalAverage="0" operator="greaterThan" aboveAverage="0" dxfId="10" text="" percent="0" bottom="0">
      <formula>GecOdemeEsik</formula>
    </cfRule>
  </conditionalFormatting>
  <conditionalFormatting sqref="E220">
    <cfRule type="cellIs" rank="0" priority="431" equalAverage="0" operator="greaterThan" aboveAverage="0" dxfId="8" text="" percent="0" bottom="0">
      <formula>0</formula>
    </cfRule>
  </conditionalFormatting>
  <conditionalFormatting sqref="D221">
    <cfRule type="cellIs" rank="0" priority="432" equalAverage="0" operator="greaterThan" aboveAverage="0" dxfId="10" text="" percent="0" bottom="0">
      <formula>GecOdemeEsik</formula>
    </cfRule>
  </conditionalFormatting>
  <conditionalFormatting sqref="E221">
    <cfRule type="cellIs" rank="0" priority="433" equalAverage="0" operator="greaterThan" aboveAverage="0" dxfId="8" text="" percent="0" bottom="0">
      <formula>0</formula>
    </cfRule>
  </conditionalFormatting>
  <conditionalFormatting sqref="D222">
    <cfRule type="cellIs" rank="0" priority="434" equalAverage="0" operator="greaterThan" aboveAverage="0" dxfId="10" text="" percent="0" bottom="0">
      <formula>GecOdemeEsik</formula>
    </cfRule>
  </conditionalFormatting>
  <conditionalFormatting sqref="E222">
    <cfRule type="cellIs" rank="0" priority="435" equalAverage="0" operator="greaterThan" aboveAverage="0" dxfId="8" text="" percent="0" bottom="0">
      <formula>0</formula>
    </cfRule>
  </conditionalFormatting>
  <conditionalFormatting sqref="D223">
    <cfRule type="cellIs" rank="0" priority="436" equalAverage="0" operator="greaterThan" aboveAverage="0" dxfId="10" text="" percent="0" bottom="0">
      <formula>GecOdemeEsik</formula>
    </cfRule>
  </conditionalFormatting>
  <conditionalFormatting sqref="E223">
    <cfRule type="cellIs" rank="0" priority="437" equalAverage="0" operator="greaterThan" aboveAverage="0" dxfId="8" text="" percent="0" bottom="0">
      <formula>0</formula>
    </cfRule>
  </conditionalFormatting>
  <conditionalFormatting sqref="D224">
    <cfRule type="cellIs" rank="0" priority="438" equalAverage="0" operator="greaterThan" aboveAverage="0" dxfId="10" text="" percent="0" bottom="0">
      <formula>GecOdemeEsik</formula>
    </cfRule>
  </conditionalFormatting>
  <conditionalFormatting sqref="E224">
    <cfRule type="cellIs" rank="0" priority="439" equalAverage="0" operator="greaterThan" aboveAverage="0" dxfId="8" text="" percent="0" bottom="0">
      <formula>0</formula>
    </cfRule>
  </conditionalFormatting>
  <conditionalFormatting sqref="D225">
    <cfRule type="cellIs" rank="0" priority="440" equalAverage="0" operator="greaterThan" aboveAverage="0" dxfId="10" text="" percent="0" bottom="0">
      <formula>GecOdemeEsik</formula>
    </cfRule>
  </conditionalFormatting>
  <conditionalFormatting sqref="E225">
    <cfRule type="cellIs" rank="0" priority="441" equalAverage="0" operator="greaterThan" aboveAverage="0" dxfId="8" text="" percent="0" bottom="0">
      <formula>0</formula>
    </cfRule>
  </conditionalFormatting>
  <conditionalFormatting sqref="D226">
    <cfRule type="cellIs" rank="0" priority="442" equalAverage="0" operator="greaterThan" aboveAverage="0" dxfId="10" text="" percent="0" bottom="0">
      <formula>GecOdemeEsik</formula>
    </cfRule>
  </conditionalFormatting>
  <conditionalFormatting sqref="E226">
    <cfRule type="cellIs" rank="0" priority="443" equalAverage="0" operator="greaterThan" aboveAverage="0" dxfId="8" text="" percent="0" bottom="0">
      <formula>0</formula>
    </cfRule>
  </conditionalFormatting>
  <conditionalFormatting sqref="D227">
    <cfRule type="cellIs" rank="0" priority="444" equalAverage="0" operator="greaterThan" aboveAverage="0" dxfId="10" text="" percent="0" bottom="0">
      <formula>GecOdemeEsik</formula>
    </cfRule>
  </conditionalFormatting>
  <conditionalFormatting sqref="E227">
    <cfRule type="cellIs" rank="0" priority="445" equalAverage="0" operator="greaterThan" aboveAverage="0" dxfId="8" text="" percent="0" bottom="0">
      <formula>0</formula>
    </cfRule>
  </conditionalFormatting>
  <conditionalFormatting sqref="D228">
    <cfRule type="cellIs" rank="0" priority="446" equalAverage="0" operator="greaterThan" aboveAverage="0" dxfId="10" text="" percent="0" bottom="0">
      <formula>GecOdemeEsik</formula>
    </cfRule>
  </conditionalFormatting>
  <conditionalFormatting sqref="E228">
    <cfRule type="cellIs" rank="0" priority="447" equalAverage="0" operator="greaterThan" aboveAverage="0" dxfId="8" text="" percent="0" bottom="0">
      <formula>0</formula>
    </cfRule>
  </conditionalFormatting>
  <conditionalFormatting sqref="D229">
    <cfRule type="cellIs" rank="0" priority="448" equalAverage="0" operator="greaterThan" aboveAverage="0" dxfId="10" text="" percent="0" bottom="0">
      <formula>GecOdemeEsik</formula>
    </cfRule>
  </conditionalFormatting>
  <conditionalFormatting sqref="E229">
    <cfRule type="cellIs" rank="0" priority="449" equalAverage="0" operator="greaterThan" aboveAverage="0" dxfId="8" text="" percent="0" bottom="0">
      <formula>0</formula>
    </cfRule>
  </conditionalFormatting>
  <conditionalFormatting sqref="D230">
    <cfRule type="cellIs" rank="0" priority="450" equalAverage="0" operator="greaterThan" aboveAverage="0" dxfId="10" text="" percent="0" bottom="0">
      <formula>GecOdemeEsik</formula>
    </cfRule>
  </conditionalFormatting>
  <conditionalFormatting sqref="E230">
    <cfRule type="cellIs" rank="0" priority="451" equalAverage="0" operator="greaterThan" aboveAverage="0" dxfId="8" text="" percent="0" bottom="0">
      <formula>0</formula>
    </cfRule>
  </conditionalFormatting>
  <conditionalFormatting sqref="D231">
    <cfRule type="cellIs" rank="0" priority="452" equalAverage="0" operator="greaterThan" aboveAverage="0" dxfId="10" text="" percent="0" bottom="0">
      <formula>GecOdemeEsik</formula>
    </cfRule>
  </conditionalFormatting>
  <conditionalFormatting sqref="E231">
    <cfRule type="cellIs" rank="0" priority="453" equalAverage="0" operator="greaterThan" aboveAverage="0" dxfId="8" text="" percent="0" bottom="0">
      <formula>0</formula>
    </cfRule>
  </conditionalFormatting>
  <conditionalFormatting sqref="D232">
    <cfRule type="cellIs" rank="0" priority="454" equalAverage="0" operator="greaterThan" aboveAverage="0" dxfId="10" text="" percent="0" bottom="0">
      <formula>GecOdemeEsik</formula>
    </cfRule>
  </conditionalFormatting>
  <conditionalFormatting sqref="E232">
    <cfRule type="cellIs" rank="0" priority="455" equalAverage="0" operator="greaterThan" aboveAverage="0" dxfId="8" text="" percent="0" bottom="0">
      <formula>0</formula>
    </cfRule>
  </conditionalFormatting>
  <conditionalFormatting sqref="D233">
    <cfRule type="cellIs" rank="0" priority="456" equalAverage="0" operator="greaterThan" aboveAverage="0" dxfId="10" text="" percent="0" bottom="0">
      <formula>GecOdemeEsik</formula>
    </cfRule>
  </conditionalFormatting>
  <conditionalFormatting sqref="E233">
    <cfRule type="cellIs" rank="0" priority="457" equalAverage="0" operator="greaterThan" aboveAverage="0" dxfId="8" text="" percent="0" bottom="0">
      <formula>0</formula>
    </cfRule>
  </conditionalFormatting>
  <conditionalFormatting sqref="D234">
    <cfRule type="cellIs" rank="0" priority="458" equalAverage="0" operator="greaterThan" aboveAverage="0" dxfId="10" text="" percent="0" bottom="0">
      <formula>GecOdemeEsik</formula>
    </cfRule>
  </conditionalFormatting>
  <conditionalFormatting sqref="E234">
    <cfRule type="cellIs" rank="0" priority="459" equalAverage="0" operator="greaterThan" aboveAverage="0" dxfId="8" text="" percent="0" bottom="0">
      <formula>0</formula>
    </cfRule>
  </conditionalFormatting>
  <conditionalFormatting sqref="D235">
    <cfRule type="cellIs" rank="0" priority="460" equalAverage="0" operator="greaterThan" aboveAverage="0" dxfId="10" text="" percent="0" bottom="0">
      <formula>GecOdemeEsik</formula>
    </cfRule>
  </conditionalFormatting>
  <conditionalFormatting sqref="E235">
    <cfRule type="cellIs" rank="0" priority="461" equalAverage="0" operator="greaterThan" aboveAverage="0" dxfId="8" text="" percent="0" bottom="0">
      <formula>0</formula>
    </cfRule>
  </conditionalFormatting>
  <conditionalFormatting sqref="D236">
    <cfRule type="cellIs" rank="0" priority="462" equalAverage="0" operator="greaterThan" aboveAverage="0" dxfId="10" text="" percent="0" bottom="0">
      <formula>GecOdemeEsik</formula>
    </cfRule>
  </conditionalFormatting>
  <conditionalFormatting sqref="E236">
    <cfRule type="cellIs" rank="0" priority="463" equalAverage="0" operator="greaterThan" aboveAverage="0" dxfId="8" text="" percent="0" bottom="0">
      <formula>0</formula>
    </cfRule>
  </conditionalFormatting>
  <conditionalFormatting sqref="D237">
    <cfRule type="cellIs" rank="0" priority="464" equalAverage="0" operator="greaterThan" aboveAverage="0" dxfId="10" text="" percent="0" bottom="0">
      <formula>GecOdemeEsik</formula>
    </cfRule>
  </conditionalFormatting>
  <conditionalFormatting sqref="E237">
    <cfRule type="cellIs" rank="0" priority="465" equalAverage="0" operator="greaterThan" aboveAverage="0" dxfId="8" text="" percent="0" bottom="0">
      <formula>0</formula>
    </cfRule>
  </conditionalFormatting>
  <conditionalFormatting sqref="D238">
    <cfRule type="cellIs" rank="0" priority="466" equalAverage="0" operator="greaterThan" aboveAverage="0" dxfId="10" text="" percent="0" bottom="0">
      <formula>GecOdemeEsik</formula>
    </cfRule>
  </conditionalFormatting>
  <conditionalFormatting sqref="E238">
    <cfRule type="cellIs" rank="0" priority="467" equalAverage="0" operator="greaterThan" aboveAverage="0" dxfId="8" text="" percent="0" bottom="0">
      <formula>0</formula>
    </cfRule>
  </conditionalFormatting>
  <conditionalFormatting sqref="D239">
    <cfRule type="cellIs" rank="0" priority="468" equalAverage="0" operator="greaterThan" aboveAverage="0" dxfId="10" text="" percent="0" bottom="0">
      <formula>GecOdemeEsik</formula>
    </cfRule>
  </conditionalFormatting>
  <conditionalFormatting sqref="E239">
    <cfRule type="cellIs" rank="0" priority="469" equalAverage="0" operator="greaterThan" aboveAverage="0" dxfId="8" text="" percent="0" bottom="0">
      <formula>0</formula>
    </cfRule>
  </conditionalFormatting>
  <conditionalFormatting sqref="D240">
    <cfRule type="cellIs" rank="0" priority="470" equalAverage="0" operator="greaterThan" aboveAverage="0" dxfId="10" text="" percent="0" bottom="0">
      <formula>GecOdemeEsik</formula>
    </cfRule>
  </conditionalFormatting>
  <conditionalFormatting sqref="E240">
    <cfRule type="cellIs" rank="0" priority="471" equalAverage="0" operator="greaterThan" aboveAverage="0" dxfId="8" text="" percent="0" bottom="0">
      <formula>0</formula>
    </cfRule>
  </conditionalFormatting>
  <conditionalFormatting sqref="D241">
    <cfRule type="cellIs" rank="0" priority="472" equalAverage="0" operator="greaterThan" aboveAverage="0" dxfId="10" text="" percent="0" bottom="0">
      <formula>GecOdemeEsik</formula>
    </cfRule>
  </conditionalFormatting>
  <conditionalFormatting sqref="E241">
    <cfRule type="cellIs" rank="0" priority="473" equalAverage="0" operator="greaterThan" aboveAverage="0" dxfId="8" text="" percent="0" bottom="0">
      <formula>0</formula>
    </cfRule>
  </conditionalFormatting>
  <conditionalFormatting sqref="D242">
    <cfRule type="cellIs" rank="0" priority="474" equalAverage="0" operator="greaterThan" aboveAverage="0" dxfId="10" text="" percent="0" bottom="0">
      <formula>GecOdemeEsik</formula>
    </cfRule>
  </conditionalFormatting>
  <conditionalFormatting sqref="E242">
    <cfRule type="cellIs" rank="0" priority="475" equalAverage="0" operator="greaterThan" aboveAverage="0" dxfId="8" text="" percent="0" bottom="0">
      <formula>0</formula>
    </cfRule>
  </conditionalFormatting>
  <conditionalFormatting sqref="D243">
    <cfRule type="cellIs" rank="0" priority="476" equalAverage="0" operator="greaterThan" aboveAverage="0" dxfId="10" text="" percent="0" bottom="0">
      <formula>GecOdemeEsik</formula>
    </cfRule>
  </conditionalFormatting>
  <conditionalFormatting sqref="E243">
    <cfRule type="cellIs" rank="0" priority="477" equalAverage="0" operator="greaterThan" aboveAverage="0" dxfId="8" text="" percent="0" bottom="0">
      <formula>0</formula>
    </cfRule>
  </conditionalFormatting>
  <conditionalFormatting sqref="D244">
    <cfRule type="cellIs" rank="0" priority="478" equalAverage="0" operator="greaterThan" aboveAverage="0" dxfId="10" text="" percent="0" bottom="0">
      <formula>GecOdemeEsik</formula>
    </cfRule>
  </conditionalFormatting>
  <conditionalFormatting sqref="E244">
    <cfRule type="cellIs" rank="0" priority="479" equalAverage="0" operator="greaterThan" aboveAverage="0" dxfId="8" text="" percent="0" bottom="0">
      <formula>0</formula>
    </cfRule>
  </conditionalFormatting>
  <conditionalFormatting sqref="D245">
    <cfRule type="cellIs" rank="0" priority="480" equalAverage="0" operator="greaterThan" aboveAverage="0" dxfId="10" text="" percent="0" bottom="0">
      <formula>GecOdemeEsik</formula>
    </cfRule>
  </conditionalFormatting>
  <conditionalFormatting sqref="E245">
    <cfRule type="cellIs" rank="0" priority="481" equalAverage="0" operator="greaterThan" aboveAverage="0" dxfId="8" text="" percent="0" bottom="0">
      <formula>0</formula>
    </cfRule>
  </conditionalFormatting>
  <conditionalFormatting sqref="D246">
    <cfRule type="cellIs" rank="0" priority="482" equalAverage="0" operator="greaterThan" aboveAverage="0" dxfId="10" text="" percent="0" bottom="0">
      <formula>GecOdemeEsik</formula>
    </cfRule>
  </conditionalFormatting>
  <conditionalFormatting sqref="E246">
    <cfRule type="cellIs" rank="0" priority="483" equalAverage="0" operator="greaterThan" aboveAverage="0" dxfId="8" text="" percent="0" bottom="0">
      <formula>0</formula>
    </cfRule>
  </conditionalFormatting>
  <conditionalFormatting sqref="D247">
    <cfRule type="cellIs" rank="0" priority="484" equalAverage="0" operator="greaterThan" aboveAverage="0" dxfId="10" text="" percent="0" bottom="0">
      <formula>GecOdemeEsik</formula>
    </cfRule>
  </conditionalFormatting>
  <conditionalFormatting sqref="E247">
    <cfRule type="cellIs" rank="0" priority="485" equalAverage="0" operator="greaterThan" aboveAverage="0" dxfId="8" text="" percent="0" bottom="0">
      <formula>0</formula>
    </cfRule>
  </conditionalFormatting>
  <conditionalFormatting sqref="D248">
    <cfRule type="cellIs" rank="0" priority="486" equalAverage="0" operator="greaterThan" aboveAverage="0" dxfId="10" text="" percent="0" bottom="0">
      <formula>GecOdemeEsik</formula>
    </cfRule>
  </conditionalFormatting>
  <conditionalFormatting sqref="E248">
    <cfRule type="cellIs" rank="0" priority="487" equalAverage="0" operator="greaterThan" aboveAverage="0" dxfId="8" text="" percent="0" bottom="0">
      <formula>0</formula>
    </cfRule>
  </conditionalFormatting>
  <conditionalFormatting sqref="D249">
    <cfRule type="cellIs" rank="0" priority="488" equalAverage="0" operator="greaterThan" aboveAverage="0" dxfId="10" text="" percent="0" bottom="0">
      <formula>GecOdemeEsik</formula>
    </cfRule>
  </conditionalFormatting>
  <conditionalFormatting sqref="E249">
    <cfRule type="cellIs" rank="0" priority="489" equalAverage="0" operator="greaterThan" aboveAverage="0" dxfId="8" text="" percent="0" bottom="0">
      <formula>0</formula>
    </cfRule>
  </conditionalFormatting>
  <conditionalFormatting sqref="D250">
    <cfRule type="cellIs" rank="0" priority="490" equalAverage="0" operator="greaterThan" aboveAverage="0" dxfId="10" text="" percent="0" bottom="0">
      <formula>GecOdemeEsik</formula>
    </cfRule>
  </conditionalFormatting>
  <conditionalFormatting sqref="E250">
    <cfRule type="cellIs" rank="0" priority="491" equalAverage="0" operator="greaterThan" aboveAverage="0" dxfId="8" text="" percent="0" bottom="0">
      <formula>0</formula>
    </cfRule>
  </conditionalFormatting>
  <conditionalFormatting sqref="D251">
    <cfRule type="cellIs" rank="0" priority="492" equalAverage="0" operator="greaterThan" aboveAverage="0" dxfId="10" text="" percent="0" bottom="0">
      <formula>GecOdemeEsik</formula>
    </cfRule>
  </conditionalFormatting>
  <conditionalFormatting sqref="E251">
    <cfRule type="cellIs" rank="0" priority="493" equalAverage="0" operator="greaterThan" aboveAverage="0" dxfId="8" text="" percent="0" bottom="0">
      <formula>0</formula>
    </cfRule>
  </conditionalFormatting>
  <conditionalFormatting sqref="D252">
    <cfRule type="cellIs" rank="0" priority="494" equalAverage="0" operator="greaterThan" aboveAverage="0" dxfId="10" text="" percent="0" bottom="0">
      <formula>GecOdemeEsik</formula>
    </cfRule>
  </conditionalFormatting>
  <conditionalFormatting sqref="E252">
    <cfRule type="cellIs" rank="0" priority="495" equalAverage="0" operator="greaterThan" aboveAverage="0" dxfId="8" text="" percent="0" bottom="0">
      <formula>0</formula>
    </cfRule>
  </conditionalFormatting>
  <conditionalFormatting sqref="D253">
    <cfRule type="cellIs" rank="0" priority="496" equalAverage="0" operator="greaterThan" aboveAverage="0" dxfId="10" text="" percent="0" bottom="0">
      <formula>GecOdemeEsik</formula>
    </cfRule>
  </conditionalFormatting>
  <conditionalFormatting sqref="E253">
    <cfRule type="cellIs" rank="0" priority="497" equalAverage="0" operator="greaterThan" aboveAverage="0" dxfId="8" text="" percent="0" bottom="0">
      <formula>0</formula>
    </cfRule>
  </conditionalFormatting>
  <conditionalFormatting sqref="D254">
    <cfRule type="cellIs" rank="0" priority="498" equalAverage="0" operator="greaterThan" aboveAverage="0" dxfId="10" text="" percent="0" bottom="0">
      <formula>GecOdemeEsik</formula>
    </cfRule>
  </conditionalFormatting>
  <conditionalFormatting sqref="E254">
    <cfRule type="cellIs" rank="0" priority="499" equalAverage="0" operator="greaterThan" aboveAverage="0" dxfId="8" text="" percent="0" bottom="0">
      <formula>0</formula>
    </cfRule>
  </conditionalFormatting>
  <conditionalFormatting sqref="D255">
    <cfRule type="cellIs" rank="0" priority="500" equalAverage="0" operator="greaterThan" aboveAverage="0" dxfId="10" text="" percent="0" bottom="0">
      <formula>GecOdemeEsik</formula>
    </cfRule>
  </conditionalFormatting>
  <conditionalFormatting sqref="E255">
    <cfRule type="cellIs" rank="0" priority="501" equalAverage="0" operator="greaterThan" aboveAverage="0" dxfId="8" text="" percent="0" bottom="0">
      <formula>0</formula>
    </cfRule>
  </conditionalFormatting>
  <conditionalFormatting sqref="D256">
    <cfRule type="cellIs" rank="0" priority="502" equalAverage="0" operator="greaterThan" aboveAverage="0" dxfId="10" text="" percent="0" bottom="0">
      <formula>GecOdemeEsik</formula>
    </cfRule>
  </conditionalFormatting>
  <conditionalFormatting sqref="E256">
    <cfRule type="cellIs" rank="0" priority="503" equalAverage="0" operator="greaterThan" aboveAverage="0" dxfId="8" text="" percent="0" bottom="0">
      <formula>0</formula>
    </cfRule>
  </conditionalFormatting>
  <conditionalFormatting sqref="D257">
    <cfRule type="cellIs" rank="0" priority="504" equalAverage="0" operator="greaterThan" aboveAverage="0" dxfId="10" text="" percent="0" bottom="0">
      <formula>GecOdemeEsik</formula>
    </cfRule>
  </conditionalFormatting>
  <conditionalFormatting sqref="E257">
    <cfRule type="cellIs" rank="0" priority="505" equalAverage="0" operator="greaterThan" aboveAverage="0" dxfId="8" text="" percent="0" bottom="0">
      <formula>0</formula>
    </cfRule>
  </conditionalFormatting>
  <conditionalFormatting sqref="D258">
    <cfRule type="cellIs" rank="0" priority="506" equalAverage="0" operator="greaterThan" aboveAverage="0" dxfId="10" text="" percent="0" bottom="0">
      <formula>GecOdemeEsik</formula>
    </cfRule>
  </conditionalFormatting>
  <conditionalFormatting sqref="E258">
    <cfRule type="cellIs" rank="0" priority="507" equalAverage="0" operator="greaterThan" aboveAverage="0" dxfId="8" text="" percent="0" bottom="0">
      <formula>0</formula>
    </cfRule>
  </conditionalFormatting>
  <conditionalFormatting sqref="D259">
    <cfRule type="cellIs" rank="0" priority="508" equalAverage="0" operator="greaterThan" aboveAverage="0" dxfId="10" text="" percent="0" bottom="0">
      <formula>GecOdemeEsik</formula>
    </cfRule>
  </conditionalFormatting>
  <conditionalFormatting sqref="E259">
    <cfRule type="cellIs" rank="0" priority="509" equalAverage="0" operator="greaterThan" aboveAverage="0" dxfId="8" text="" percent="0" bottom="0">
      <formula>0</formula>
    </cfRule>
  </conditionalFormatting>
  <conditionalFormatting sqref="D260">
    <cfRule type="cellIs" rank="0" priority="510" equalAverage="0" operator="greaterThan" aboveAverage="0" dxfId="10" text="" percent="0" bottom="0">
      <formula>GecOdemeEsik</formula>
    </cfRule>
  </conditionalFormatting>
  <conditionalFormatting sqref="E260">
    <cfRule type="cellIs" rank="0" priority="511" equalAverage="0" operator="greaterThan" aboveAverage="0" dxfId="8" text="" percent="0" bottom="0">
      <formula>0</formula>
    </cfRule>
  </conditionalFormatting>
  <conditionalFormatting sqref="D261">
    <cfRule type="cellIs" rank="0" priority="512" equalAverage="0" operator="greaterThan" aboveAverage="0" dxfId="10" text="" percent="0" bottom="0">
      <formula>GecOdemeEsik</formula>
    </cfRule>
  </conditionalFormatting>
  <conditionalFormatting sqref="E261">
    <cfRule type="cellIs" rank="0" priority="513" equalAverage="0" operator="greaterThan" aboveAverage="0" dxfId="8" text="" percent="0" bottom="0">
      <formula>0</formula>
    </cfRule>
  </conditionalFormatting>
  <conditionalFormatting sqref="D262">
    <cfRule type="cellIs" rank="0" priority="514" equalAverage="0" operator="greaterThan" aboveAverage="0" dxfId="10" text="" percent="0" bottom="0">
      <formula>GecOdemeEsik</formula>
    </cfRule>
  </conditionalFormatting>
  <conditionalFormatting sqref="E262">
    <cfRule type="cellIs" rank="0" priority="515" equalAverage="0" operator="greaterThan" aboveAverage="0" dxfId="8" text="" percent="0" bottom="0">
      <formula>0</formula>
    </cfRule>
  </conditionalFormatting>
  <conditionalFormatting sqref="D263">
    <cfRule type="cellIs" rank="0" priority="516" equalAverage="0" operator="greaterThan" aboveAverage="0" dxfId="10" text="" percent="0" bottom="0">
      <formula>GecOdemeEsik</formula>
    </cfRule>
  </conditionalFormatting>
  <conditionalFormatting sqref="E263">
    <cfRule type="cellIs" rank="0" priority="517" equalAverage="0" operator="greaterThan" aboveAverage="0" dxfId="8" text="" percent="0" bottom="0">
      <formula>0</formula>
    </cfRule>
  </conditionalFormatting>
  <conditionalFormatting sqref="D264">
    <cfRule type="cellIs" rank="0" priority="518" equalAverage="0" operator="greaterThan" aboveAverage="0" dxfId="10" text="" percent="0" bottom="0">
      <formula>GecOdemeEsik</formula>
    </cfRule>
  </conditionalFormatting>
  <conditionalFormatting sqref="E264">
    <cfRule type="cellIs" rank="0" priority="519" equalAverage="0" operator="greaterThan" aboveAverage="0" dxfId="8" text="" percent="0" bottom="0">
      <formula>0</formula>
    </cfRule>
  </conditionalFormatting>
  <conditionalFormatting sqref="D265">
    <cfRule type="cellIs" rank="0" priority="520" equalAverage="0" operator="greaterThan" aboveAverage="0" dxfId="10" text="" percent="0" bottom="0">
      <formula>GecOdemeEsik</formula>
    </cfRule>
  </conditionalFormatting>
  <conditionalFormatting sqref="E265">
    <cfRule type="cellIs" rank="0" priority="521" equalAverage="0" operator="greaterThan" aboveAverage="0" dxfId="8" text="" percent="0" bottom="0">
      <formula>0</formula>
    </cfRule>
  </conditionalFormatting>
  <conditionalFormatting sqref="D266">
    <cfRule type="cellIs" rank="0" priority="522" equalAverage="0" operator="greaterThan" aboveAverage="0" dxfId="10" text="" percent="0" bottom="0">
      <formula>GecOdemeEsik</formula>
    </cfRule>
  </conditionalFormatting>
  <conditionalFormatting sqref="E266">
    <cfRule type="cellIs" rank="0" priority="523" equalAverage="0" operator="greaterThan" aboveAverage="0" dxfId="8" text="" percent="0" bottom="0">
      <formula>0</formula>
    </cfRule>
  </conditionalFormatting>
  <conditionalFormatting sqref="D267">
    <cfRule type="cellIs" rank="0" priority="524" equalAverage="0" operator="greaterThan" aboveAverage="0" dxfId="10" text="" percent="0" bottom="0">
      <formula>GecOdemeEsik</formula>
    </cfRule>
  </conditionalFormatting>
  <conditionalFormatting sqref="E267">
    <cfRule type="cellIs" rank="0" priority="525" equalAverage="0" operator="greaterThan" aboveAverage="0" dxfId="8" text="" percent="0" bottom="0">
      <formula>0</formula>
    </cfRule>
  </conditionalFormatting>
  <conditionalFormatting sqref="D268">
    <cfRule type="cellIs" rank="0" priority="526" equalAverage="0" operator="greaterThan" aboveAverage="0" dxfId="10" text="" percent="0" bottom="0">
      <formula>GecOdemeEsik</formula>
    </cfRule>
  </conditionalFormatting>
  <conditionalFormatting sqref="E268">
    <cfRule type="cellIs" rank="0" priority="527" equalAverage="0" operator="greaterThan" aboveAverage="0" dxfId="8" text="" percent="0" bottom="0">
      <formula>0</formula>
    </cfRule>
  </conditionalFormatting>
  <conditionalFormatting sqref="D269">
    <cfRule type="cellIs" rank="0" priority="528" equalAverage="0" operator="greaterThan" aboveAverage="0" dxfId="10" text="" percent="0" bottom="0">
      <formula>GecOdemeEsik</formula>
    </cfRule>
  </conditionalFormatting>
  <conditionalFormatting sqref="E269">
    <cfRule type="cellIs" rank="0" priority="529" equalAverage="0" operator="greaterThan" aboveAverage="0" dxfId="8" text="" percent="0" bottom="0">
      <formula>0</formula>
    </cfRule>
  </conditionalFormatting>
  <conditionalFormatting sqref="D270">
    <cfRule type="cellIs" rank="0" priority="530" equalAverage="0" operator="greaterThan" aboveAverage="0" dxfId="10" text="" percent="0" bottom="0">
      <formula>GecOdemeEsik</formula>
    </cfRule>
  </conditionalFormatting>
  <conditionalFormatting sqref="E270">
    <cfRule type="cellIs" rank="0" priority="531" equalAverage="0" operator="greaterThan" aboveAverage="0" dxfId="8" text="" percent="0" bottom="0">
      <formula>0</formula>
    </cfRule>
  </conditionalFormatting>
  <conditionalFormatting sqref="D271">
    <cfRule type="cellIs" rank="0" priority="532" equalAverage="0" operator="greaterThan" aboveAverage="0" dxfId="10" text="" percent="0" bottom="0">
      <formula>GecOdemeEsik</formula>
    </cfRule>
  </conditionalFormatting>
  <conditionalFormatting sqref="E271">
    <cfRule type="cellIs" rank="0" priority="533" equalAverage="0" operator="greaterThan" aboveAverage="0" dxfId="8" text="" percent="0" bottom="0">
      <formula>0</formula>
    </cfRule>
  </conditionalFormatting>
  <conditionalFormatting sqref="D272">
    <cfRule type="cellIs" rank="0" priority="534" equalAverage="0" operator="greaterThan" aboveAverage="0" dxfId="10" text="" percent="0" bottom="0">
      <formula>GecOdemeEsik</formula>
    </cfRule>
  </conditionalFormatting>
  <conditionalFormatting sqref="E272">
    <cfRule type="cellIs" rank="0" priority="535" equalAverage="0" operator="greaterThan" aboveAverage="0" dxfId="8" text="" percent="0" bottom="0">
      <formula>0</formula>
    </cfRule>
  </conditionalFormatting>
  <conditionalFormatting sqref="D273">
    <cfRule type="cellIs" rank="0" priority="536" equalAverage="0" operator="greaterThan" aboveAverage="0" dxfId="10" text="" percent="0" bottom="0">
      <formula>GecOdemeEsik</formula>
    </cfRule>
  </conditionalFormatting>
  <conditionalFormatting sqref="E273">
    <cfRule type="cellIs" rank="0" priority="537" equalAverage="0" operator="greaterThan" aboveAverage="0" dxfId="8" text="" percent="0" bottom="0">
      <formula>0</formula>
    </cfRule>
  </conditionalFormatting>
  <conditionalFormatting sqref="D274">
    <cfRule type="cellIs" rank="0" priority="538" equalAverage="0" operator="greaterThan" aboveAverage="0" dxfId="10" text="" percent="0" bottom="0">
      <formula>GecOdemeEsik</formula>
    </cfRule>
  </conditionalFormatting>
  <conditionalFormatting sqref="E274">
    <cfRule type="cellIs" rank="0" priority="539" equalAverage="0" operator="greaterThan" aboveAverage="0" dxfId="8" text="" percent="0" bottom="0">
      <formula>0</formula>
    </cfRule>
  </conditionalFormatting>
  <conditionalFormatting sqref="D275">
    <cfRule type="cellIs" rank="0" priority="540" equalAverage="0" operator="greaterThan" aboveAverage="0" dxfId="10" text="" percent="0" bottom="0">
      <formula>GecOdemeEsik</formula>
    </cfRule>
  </conditionalFormatting>
  <conditionalFormatting sqref="E275">
    <cfRule type="cellIs" rank="0" priority="541" equalAverage="0" operator="greaterThan" aboveAverage="0" dxfId="8" text="" percent="0" bottom="0">
      <formula>0</formula>
    </cfRule>
  </conditionalFormatting>
  <conditionalFormatting sqref="D276">
    <cfRule type="cellIs" rank="0" priority="542" equalAverage="0" operator="greaterThan" aboveAverage="0" dxfId="10" text="" percent="0" bottom="0">
      <formula>GecOdemeEsik</formula>
    </cfRule>
  </conditionalFormatting>
  <conditionalFormatting sqref="E276">
    <cfRule type="cellIs" rank="0" priority="543" equalAverage="0" operator="greaterThan" aboveAverage="0" dxfId="8" text="" percent="0" bottom="0">
      <formula>0</formula>
    </cfRule>
  </conditionalFormatting>
  <conditionalFormatting sqref="D277">
    <cfRule type="cellIs" rank="0" priority="544" equalAverage="0" operator="greaterThan" aboveAverage="0" dxfId="10" text="" percent="0" bottom="0">
      <formula>GecOdemeEsik</formula>
    </cfRule>
  </conditionalFormatting>
  <conditionalFormatting sqref="E277">
    <cfRule type="cellIs" rank="0" priority="545" equalAverage="0" operator="greaterThan" aboveAverage="0" dxfId="8" text="" percent="0" bottom="0">
      <formula>0</formula>
    </cfRule>
  </conditionalFormatting>
  <conditionalFormatting sqref="D278">
    <cfRule type="cellIs" rank="0" priority="546" equalAverage="0" operator="greaterThan" aboveAverage="0" dxfId="10" text="" percent="0" bottom="0">
      <formula>GecOdemeEsik</formula>
    </cfRule>
  </conditionalFormatting>
  <conditionalFormatting sqref="E278">
    <cfRule type="cellIs" rank="0" priority="547" equalAverage="0" operator="greaterThan" aboveAverage="0" dxfId="8" text="" percent="0" bottom="0">
      <formula>0</formula>
    </cfRule>
  </conditionalFormatting>
  <conditionalFormatting sqref="D279">
    <cfRule type="cellIs" rank="0" priority="548" equalAverage="0" operator="greaterThan" aboveAverage="0" dxfId="10" text="" percent="0" bottom="0">
      <formula>GecOdemeEsik</formula>
    </cfRule>
  </conditionalFormatting>
  <conditionalFormatting sqref="E279">
    <cfRule type="cellIs" rank="0" priority="549" equalAverage="0" operator="greaterThan" aboveAverage="0" dxfId="8" text="" percent="0" bottom="0">
      <formula>0</formula>
    </cfRule>
  </conditionalFormatting>
  <conditionalFormatting sqref="D280">
    <cfRule type="cellIs" rank="0" priority="550" equalAverage="0" operator="greaterThan" aboveAverage="0" dxfId="10" text="" percent="0" bottom="0">
      <formula>GecOdemeEsik</formula>
    </cfRule>
  </conditionalFormatting>
  <conditionalFormatting sqref="E280">
    <cfRule type="cellIs" rank="0" priority="551" equalAverage="0" operator="greaterThan" aboveAverage="0" dxfId="8" text="" percent="0" bottom="0">
      <formula>0</formula>
    </cfRule>
  </conditionalFormatting>
  <conditionalFormatting sqref="D281">
    <cfRule type="cellIs" rank="0" priority="552" equalAverage="0" operator="greaterThan" aboveAverage="0" dxfId="10" text="" percent="0" bottom="0">
      <formula>GecOdemeEsik</formula>
    </cfRule>
  </conditionalFormatting>
  <conditionalFormatting sqref="E281">
    <cfRule type="cellIs" rank="0" priority="553" equalAverage="0" operator="greaterThan" aboveAverage="0" dxfId="8" text="" percent="0" bottom="0">
      <formula>0</formula>
    </cfRule>
  </conditionalFormatting>
  <conditionalFormatting sqref="D282">
    <cfRule type="cellIs" rank="0" priority="554" equalAverage="0" operator="greaterThan" aboveAverage="0" dxfId="10" text="" percent="0" bottom="0">
      <formula>GecOdemeEsik</formula>
    </cfRule>
  </conditionalFormatting>
  <conditionalFormatting sqref="E282">
    <cfRule type="cellIs" rank="0" priority="555" equalAverage="0" operator="greaterThan" aboveAverage="0" dxfId="8" text="" percent="0" bottom="0">
      <formula>0</formula>
    </cfRule>
  </conditionalFormatting>
  <conditionalFormatting sqref="D283">
    <cfRule type="cellIs" rank="0" priority="556" equalAverage="0" operator="greaterThan" aboveAverage="0" dxfId="10" text="" percent="0" bottom="0">
      <formula>GecOdemeEsik</formula>
    </cfRule>
  </conditionalFormatting>
  <conditionalFormatting sqref="E283">
    <cfRule type="cellIs" rank="0" priority="557" equalAverage="0" operator="greaterThan" aboveAverage="0" dxfId="8" text="" percent="0" bottom="0">
      <formula>0</formula>
    </cfRule>
  </conditionalFormatting>
  <conditionalFormatting sqref="D284">
    <cfRule type="cellIs" rank="0" priority="558" equalAverage="0" operator="greaterThan" aboveAverage="0" dxfId="10" text="" percent="0" bottom="0">
      <formula>GecOdemeEsik</formula>
    </cfRule>
  </conditionalFormatting>
  <conditionalFormatting sqref="E284">
    <cfRule type="cellIs" rank="0" priority="559" equalAverage="0" operator="greaterThan" aboveAverage="0" dxfId="8" text="" percent="0" bottom="0">
      <formula>0</formula>
    </cfRule>
  </conditionalFormatting>
  <conditionalFormatting sqref="D285">
    <cfRule type="cellIs" rank="0" priority="560" equalAverage="0" operator="greaterThan" aboveAverage="0" dxfId="10" text="" percent="0" bottom="0">
      <formula>GecOdemeEsik</formula>
    </cfRule>
  </conditionalFormatting>
  <conditionalFormatting sqref="E285">
    <cfRule type="cellIs" rank="0" priority="561" equalAverage="0" operator="greaterThan" aboveAverage="0" dxfId="8" text="" percent="0" bottom="0">
      <formula>0</formula>
    </cfRule>
  </conditionalFormatting>
  <conditionalFormatting sqref="D286">
    <cfRule type="cellIs" rank="0" priority="562" equalAverage="0" operator="greaterThan" aboveAverage="0" dxfId="10" text="" percent="0" bottom="0">
      <formula>GecOdemeEsik</formula>
    </cfRule>
  </conditionalFormatting>
  <conditionalFormatting sqref="E286">
    <cfRule type="cellIs" rank="0" priority="563" equalAverage="0" operator="greaterThan" aboveAverage="0" dxfId="8" text="" percent="0" bottom="0">
      <formula>0</formula>
    </cfRule>
  </conditionalFormatting>
  <conditionalFormatting sqref="D287">
    <cfRule type="cellIs" rank="0" priority="564" equalAverage="0" operator="greaterThan" aboveAverage="0" dxfId="10" text="" percent="0" bottom="0">
      <formula>GecOdemeEsik</formula>
    </cfRule>
  </conditionalFormatting>
  <conditionalFormatting sqref="E287">
    <cfRule type="cellIs" rank="0" priority="565" equalAverage="0" operator="greaterThan" aboveAverage="0" dxfId="8" text="" percent="0" bottom="0">
      <formula>0</formula>
    </cfRule>
  </conditionalFormatting>
  <conditionalFormatting sqref="D288">
    <cfRule type="cellIs" rank="0" priority="566" equalAverage="0" operator="greaterThan" aboveAverage="0" dxfId="10" text="" percent="0" bottom="0">
      <formula>GecOdemeEsik</formula>
    </cfRule>
  </conditionalFormatting>
  <conditionalFormatting sqref="E288">
    <cfRule type="cellIs" rank="0" priority="567" equalAverage="0" operator="greaterThan" aboveAverage="0" dxfId="8" text="" percent="0" bottom="0">
      <formula>0</formula>
    </cfRule>
  </conditionalFormatting>
  <conditionalFormatting sqref="D289">
    <cfRule type="cellIs" rank="0" priority="568" equalAverage="0" operator="greaterThan" aboveAverage="0" dxfId="10" text="" percent="0" bottom="0">
      <formula>GecOdemeEsik</formula>
    </cfRule>
  </conditionalFormatting>
  <conditionalFormatting sqref="E289">
    <cfRule type="cellIs" rank="0" priority="569" equalAverage="0" operator="greaterThan" aboveAverage="0" dxfId="8" text="" percent="0" bottom="0">
      <formula>0</formula>
    </cfRule>
  </conditionalFormatting>
  <conditionalFormatting sqref="D290">
    <cfRule type="cellIs" rank="0" priority="570" equalAverage="0" operator="greaterThan" aboveAverage="0" dxfId="10" text="" percent="0" bottom="0">
      <formula>GecOdemeEsik</formula>
    </cfRule>
  </conditionalFormatting>
  <conditionalFormatting sqref="E290">
    <cfRule type="cellIs" rank="0" priority="571" equalAverage="0" operator="greaterThan" aboveAverage="0" dxfId="8" text="" percent="0" bottom="0">
      <formula>0</formula>
    </cfRule>
  </conditionalFormatting>
  <conditionalFormatting sqref="D291">
    <cfRule type="cellIs" rank="0" priority="572" equalAverage="0" operator="greaterThan" aboveAverage="0" dxfId="10" text="" percent="0" bottom="0">
      <formula>GecOdemeEsik</formula>
    </cfRule>
  </conditionalFormatting>
  <conditionalFormatting sqref="E291">
    <cfRule type="cellIs" rank="0" priority="573" equalAverage="0" operator="greaterThan" aboveAverage="0" dxfId="8" text="" percent="0" bottom="0">
      <formula>0</formula>
    </cfRule>
  </conditionalFormatting>
  <conditionalFormatting sqref="D292">
    <cfRule type="cellIs" rank="0" priority="574" equalAverage="0" operator="greaterThan" aboveAverage="0" dxfId="10" text="" percent="0" bottom="0">
      <formula>GecOdemeEsik</formula>
    </cfRule>
  </conditionalFormatting>
  <conditionalFormatting sqref="E292">
    <cfRule type="cellIs" rank="0" priority="575" equalAverage="0" operator="greaterThan" aboveAverage="0" dxfId="8" text="" percent="0" bottom="0">
      <formula>0</formula>
    </cfRule>
  </conditionalFormatting>
  <conditionalFormatting sqref="D293">
    <cfRule type="cellIs" rank="0" priority="576" equalAverage="0" operator="greaterThan" aboveAverage="0" dxfId="10" text="" percent="0" bottom="0">
      <formula>GecOdemeEsik</formula>
    </cfRule>
  </conditionalFormatting>
  <conditionalFormatting sqref="E293">
    <cfRule type="cellIs" rank="0" priority="577" equalAverage="0" operator="greaterThan" aboveAverage="0" dxfId="8" text="" percent="0" bottom="0">
      <formula>0</formula>
    </cfRule>
  </conditionalFormatting>
  <conditionalFormatting sqref="D294">
    <cfRule type="cellIs" rank="0" priority="578" equalAverage="0" operator="greaterThan" aboveAverage="0" dxfId="10" text="" percent="0" bottom="0">
      <formula>GecOdemeEsik</formula>
    </cfRule>
  </conditionalFormatting>
  <conditionalFormatting sqref="E294">
    <cfRule type="cellIs" rank="0" priority="579" equalAverage="0" operator="greaterThan" aboveAverage="0" dxfId="8" text="" percent="0" bottom="0">
      <formula>0</formula>
    </cfRule>
  </conditionalFormatting>
  <conditionalFormatting sqref="D295">
    <cfRule type="cellIs" rank="0" priority="580" equalAverage="0" operator="greaterThan" aboveAverage="0" dxfId="10" text="" percent="0" bottom="0">
      <formula>GecOdemeEsik</formula>
    </cfRule>
  </conditionalFormatting>
  <conditionalFormatting sqref="E295">
    <cfRule type="cellIs" rank="0" priority="581" equalAverage="0" operator="greaterThan" aboveAverage="0" dxfId="8" text="" percent="0" bottom="0">
      <formula>0</formula>
    </cfRule>
  </conditionalFormatting>
  <conditionalFormatting sqref="D296">
    <cfRule type="cellIs" rank="0" priority="582" equalAverage="0" operator="greaterThan" aboveAverage="0" dxfId="10" text="" percent="0" bottom="0">
      <formula>GecOdemeEsik</formula>
    </cfRule>
  </conditionalFormatting>
  <conditionalFormatting sqref="E296">
    <cfRule type="cellIs" rank="0" priority="583" equalAverage="0" operator="greaterThan" aboveAverage="0" dxfId="8" text="" percent="0" bottom="0">
      <formula>0</formula>
    </cfRule>
  </conditionalFormatting>
  <conditionalFormatting sqref="D297">
    <cfRule type="cellIs" rank="0" priority="584" equalAverage="0" operator="greaterThan" aboveAverage="0" dxfId="10" text="" percent="0" bottom="0">
      <formula>GecOdemeEsik</formula>
    </cfRule>
  </conditionalFormatting>
  <conditionalFormatting sqref="E297">
    <cfRule type="cellIs" rank="0" priority="585" equalAverage="0" operator="greaterThan" aboveAverage="0" dxfId="8" text="" percent="0" bottom="0">
      <formula>0</formula>
    </cfRule>
  </conditionalFormatting>
  <conditionalFormatting sqref="D298">
    <cfRule type="cellIs" rank="0" priority="586" equalAverage="0" operator="greaterThan" aboveAverage="0" dxfId="10" text="" percent="0" bottom="0">
      <formula>GecOdemeEsik</formula>
    </cfRule>
  </conditionalFormatting>
  <conditionalFormatting sqref="E298">
    <cfRule type="cellIs" rank="0" priority="587" equalAverage="0" operator="greaterThan" aboveAverage="0" dxfId="8" text="" percent="0" bottom="0">
      <formula>0</formula>
    </cfRule>
  </conditionalFormatting>
  <conditionalFormatting sqref="D299">
    <cfRule type="cellIs" rank="0" priority="588" equalAverage="0" operator="greaterThan" aboveAverage="0" dxfId="10" text="" percent="0" bottom="0">
      <formula>GecOdemeEsik</formula>
    </cfRule>
  </conditionalFormatting>
  <conditionalFormatting sqref="E299">
    <cfRule type="cellIs" rank="0" priority="589" equalAverage="0" operator="greaterThan" aboveAverage="0" dxfId="8" text="" percent="0" bottom="0">
      <formula>0</formula>
    </cfRule>
  </conditionalFormatting>
  <conditionalFormatting sqref="D300">
    <cfRule type="cellIs" rank="0" priority="590" equalAverage="0" operator="greaterThan" aboveAverage="0" dxfId="10" text="" percent="0" bottom="0">
      <formula>GecOdemeEsik</formula>
    </cfRule>
  </conditionalFormatting>
  <conditionalFormatting sqref="E300">
    <cfRule type="cellIs" rank="0" priority="591" equalAverage="0" operator="greaterThan" aboveAverage="0" dxfId="8" text="" percent="0" bottom="0">
      <formula>0</formula>
    </cfRule>
  </conditionalFormatting>
  <conditionalFormatting sqref="D301">
    <cfRule type="cellIs" rank="0" priority="592" equalAverage="0" operator="greaterThan" aboveAverage="0" dxfId="10" text="" percent="0" bottom="0">
      <formula>GecOdemeEsik</formula>
    </cfRule>
  </conditionalFormatting>
  <conditionalFormatting sqref="E301">
    <cfRule type="cellIs" rank="0" priority="593" equalAverage="0" operator="greaterThan" aboveAverage="0" dxfId="8" text="" percent="0" bottom="0">
      <formula>0</formula>
    </cfRule>
  </conditionalFormatting>
  <conditionalFormatting sqref="D302">
    <cfRule type="cellIs" rank="0" priority="594" equalAverage="0" operator="greaterThan" aboveAverage="0" dxfId="10" text="" percent="0" bottom="0">
      <formula>GecOdemeEsik</formula>
    </cfRule>
  </conditionalFormatting>
  <conditionalFormatting sqref="E302">
    <cfRule type="cellIs" rank="0" priority="595" equalAverage="0" operator="greaterThan" aboveAverage="0" dxfId="8" text="" percent="0" bottom="0">
      <formula>0</formula>
    </cfRule>
  </conditionalFormatting>
  <conditionalFormatting sqref="D303">
    <cfRule type="cellIs" rank="0" priority="596" equalAverage="0" operator="greaterThan" aboveAverage="0" dxfId="10" text="" percent="0" bottom="0">
      <formula>GecOdemeEsik</formula>
    </cfRule>
  </conditionalFormatting>
  <conditionalFormatting sqref="E303">
    <cfRule type="cellIs" rank="0" priority="597" equalAverage="0" operator="greaterThan" aboveAverage="0" dxfId="8" text="" percent="0" bottom="0">
      <formula>0</formula>
    </cfRule>
  </conditionalFormatting>
  <conditionalFormatting sqref="D304">
    <cfRule type="cellIs" rank="0" priority="598" equalAverage="0" operator="greaterThan" aboveAverage="0" dxfId="10" text="" percent="0" bottom="0">
      <formula>GecOdemeEsik</formula>
    </cfRule>
  </conditionalFormatting>
  <conditionalFormatting sqref="E304">
    <cfRule type="cellIs" rank="0" priority="599" equalAverage="0" operator="greaterThan" aboveAverage="0" dxfId="8" text="" percent="0" bottom="0">
      <formula>0</formula>
    </cfRule>
  </conditionalFormatting>
  <conditionalFormatting sqref="D305">
    <cfRule type="cellIs" rank="0" priority="600" equalAverage="0" operator="greaterThan" aboveAverage="0" dxfId="10" text="" percent="0" bottom="0">
      <formula>GecOdemeEsik</formula>
    </cfRule>
  </conditionalFormatting>
  <conditionalFormatting sqref="E305">
    <cfRule type="cellIs" rank="0" priority="601" equalAverage="0" operator="greaterThan" aboveAverage="0" dxfId="8" text="" percent="0" bottom="0">
      <formula>0</formula>
    </cfRule>
  </conditionalFormatting>
  <conditionalFormatting sqref="D306">
    <cfRule type="cellIs" rank="0" priority="602" equalAverage="0" operator="greaterThan" aboveAverage="0" dxfId="10" text="" percent="0" bottom="0">
      <formula>GecOdemeEsik</formula>
    </cfRule>
  </conditionalFormatting>
  <conditionalFormatting sqref="E306">
    <cfRule type="cellIs" rank="0" priority="603" equalAverage="0" operator="greaterThan" aboveAverage="0" dxfId="8" text="" percent="0" bottom="0">
      <formula>0</formula>
    </cfRule>
  </conditionalFormatting>
  <conditionalFormatting sqref="D307">
    <cfRule type="cellIs" rank="0" priority="604" equalAverage="0" operator="greaterThan" aboveAverage="0" dxfId="10" text="" percent="0" bottom="0">
      <formula>GecOdemeEsik</formula>
    </cfRule>
  </conditionalFormatting>
  <conditionalFormatting sqref="E307">
    <cfRule type="cellIs" rank="0" priority="605" equalAverage="0" operator="greaterThan" aboveAverage="0" dxfId="8" text="" percent="0" bottom="0">
      <formula>0</formula>
    </cfRule>
  </conditionalFormatting>
  <conditionalFormatting sqref="D308">
    <cfRule type="cellIs" rank="0" priority="606" equalAverage="0" operator="greaterThan" aboveAverage="0" dxfId="10" text="" percent="0" bottom="0">
      <formula>GecOdemeEsik</formula>
    </cfRule>
  </conditionalFormatting>
  <conditionalFormatting sqref="E308">
    <cfRule type="cellIs" rank="0" priority="607" equalAverage="0" operator="greaterThan" aboveAverage="0" dxfId="8" text="" percent="0" bottom="0">
      <formula>0</formula>
    </cfRule>
  </conditionalFormatting>
  <conditionalFormatting sqref="D309">
    <cfRule type="cellIs" rank="0" priority="608" equalAverage="0" operator="greaterThan" aboveAverage="0" dxfId="10" text="" percent="0" bottom="0">
      <formula>GecOdemeEsik</formula>
    </cfRule>
  </conditionalFormatting>
  <conditionalFormatting sqref="E309">
    <cfRule type="cellIs" rank="0" priority="609" equalAverage="0" operator="greaterThan" aboveAverage="0" dxfId="8" text="" percent="0" bottom="0">
      <formula>0</formula>
    </cfRule>
  </conditionalFormatting>
  <conditionalFormatting sqref="D310">
    <cfRule type="cellIs" rank="0" priority="610" equalAverage="0" operator="greaterThan" aboveAverage="0" dxfId="10" text="" percent="0" bottom="0">
      <formula>GecOdemeEsik</formula>
    </cfRule>
  </conditionalFormatting>
  <conditionalFormatting sqref="E310">
    <cfRule type="cellIs" rank="0" priority="611" equalAverage="0" operator="greaterThan" aboveAverage="0" dxfId="8" text="" percent="0" bottom="0">
      <formula>0</formula>
    </cfRule>
  </conditionalFormatting>
  <conditionalFormatting sqref="D311">
    <cfRule type="cellIs" rank="0" priority="612" equalAverage="0" operator="greaterThan" aboveAverage="0" dxfId="10" text="" percent="0" bottom="0">
      <formula>GecOdemeEsik</formula>
    </cfRule>
  </conditionalFormatting>
  <conditionalFormatting sqref="E311">
    <cfRule type="cellIs" rank="0" priority="613" equalAverage="0" operator="greaterThan" aboveAverage="0" dxfId="8" text="" percent="0" bottom="0">
      <formula>0</formula>
    </cfRule>
  </conditionalFormatting>
  <conditionalFormatting sqref="D312">
    <cfRule type="cellIs" rank="0" priority="614" equalAverage="0" operator="greaterThan" aboveAverage="0" dxfId="10" text="" percent="0" bottom="0">
      <formula>GecOdemeEsik</formula>
    </cfRule>
  </conditionalFormatting>
  <conditionalFormatting sqref="E312">
    <cfRule type="cellIs" rank="0" priority="615" equalAverage="0" operator="greaterThan" aboveAverage="0" dxfId="8" text="" percent="0" bottom="0">
      <formula>0</formula>
    </cfRule>
  </conditionalFormatting>
  <conditionalFormatting sqref="D313">
    <cfRule type="cellIs" rank="0" priority="616" equalAverage="0" operator="greaterThan" aboveAverage="0" dxfId="10" text="" percent="0" bottom="0">
      <formula>GecOdemeEsik</formula>
    </cfRule>
  </conditionalFormatting>
  <conditionalFormatting sqref="E313">
    <cfRule type="cellIs" rank="0" priority="617" equalAverage="0" operator="greaterThan" aboveAverage="0" dxfId="8" text="" percent="0" bottom="0">
      <formula>0</formula>
    </cfRule>
  </conditionalFormatting>
  <conditionalFormatting sqref="D314">
    <cfRule type="cellIs" rank="0" priority="618" equalAverage="0" operator="greaterThan" aboveAverage="0" dxfId="10" text="" percent="0" bottom="0">
      <formula>GecOdemeEsik</formula>
    </cfRule>
  </conditionalFormatting>
  <conditionalFormatting sqref="E314">
    <cfRule type="cellIs" rank="0" priority="619" equalAverage="0" operator="greaterThan" aboveAverage="0" dxfId="8" text="" percent="0" bottom="0">
      <formula>0</formula>
    </cfRule>
  </conditionalFormatting>
  <conditionalFormatting sqref="D315">
    <cfRule type="cellIs" rank="0" priority="620" equalAverage="0" operator="greaterThan" aboveAverage="0" dxfId="10" text="" percent="0" bottom="0">
      <formula>GecOdemeEsik</formula>
    </cfRule>
  </conditionalFormatting>
  <conditionalFormatting sqref="E315">
    <cfRule type="cellIs" rank="0" priority="621" equalAverage="0" operator="greaterThan" aboveAverage="0" dxfId="8" text="" percent="0" bottom="0">
      <formula>0</formula>
    </cfRule>
  </conditionalFormatting>
  <conditionalFormatting sqref="D316">
    <cfRule type="cellIs" rank="0" priority="622" equalAverage="0" operator="greaterThan" aboveAverage="0" dxfId="10" text="" percent="0" bottom="0">
      <formula>GecOdemeEsik</formula>
    </cfRule>
  </conditionalFormatting>
  <conditionalFormatting sqref="E316">
    <cfRule type="cellIs" rank="0" priority="623" equalAverage="0" operator="greaterThan" aboveAverage="0" dxfId="8" text="" percent="0" bottom="0">
      <formula>0</formula>
    </cfRule>
  </conditionalFormatting>
  <conditionalFormatting sqref="D317">
    <cfRule type="cellIs" rank="0" priority="624" equalAverage="0" operator="greaterThan" aboveAverage="0" dxfId="10" text="" percent="0" bottom="0">
      <formula>GecOdemeEsik</formula>
    </cfRule>
  </conditionalFormatting>
  <conditionalFormatting sqref="E317">
    <cfRule type="cellIs" rank="0" priority="625" equalAverage="0" operator="greaterThan" aboveAverage="0" dxfId="8" text="" percent="0" bottom="0">
      <formula>0</formula>
    </cfRule>
  </conditionalFormatting>
  <conditionalFormatting sqref="D318">
    <cfRule type="cellIs" rank="0" priority="626" equalAverage="0" operator="greaterThan" aboveAverage="0" dxfId="10" text="" percent="0" bottom="0">
      <formula>GecOdemeEsik</formula>
    </cfRule>
  </conditionalFormatting>
  <conditionalFormatting sqref="E318">
    <cfRule type="cellIs" rank="0" priority="627" equalAverage="0" operator="greaterThan" aboveAverage="0" dxfId="8" text="" percent="0" bottom="0">
      <formula>0</formula>
    </cfRule>
  </conditionalFormatting>
  <conditionalFormatting sqref="D319">
    <cfRule type="cellIs" rank="0" priority="628" equalAverage="0" operator="greaterThan" aboveAverage="0" dxfId="10" text="" percent="0" bottom="0">
      <formula>GecOdemeEsik</formula>
    </cfRule>
  </conditionalFormatting>
  <conditionalFormatting sqref="E319">
    <cfRule type="cellIs" rank="0" priority="629" equalAverage="0" operator="greaterThan" aboveAverage="0" dxfId="8" text="" percent="0" bottom="0">
      <formula>0</formula>
    </cfRule>
  </conditionalFormatting>
  <conditionalFormatting sqref="D320">
    <cfRule type="cellIs" rank="0" priority="630" equalAverage="0" operator="greaterThan" aboveAverage="0" dxfId="10" text="" percent="0" bottom="0">
      <formula>GecOdemeEsik</formula>
    </cfRule>
  </conditionalFormatting>
  <conditionalFormatting sqref="E320">
    <cfRule type="cellIs" rank="0" priority="631" equalAverage="0" operator="greaterThan" aboveAverage="0" dxfId="8" text="" percent="0" bottom="0">
      <formula>0</formula>
    </cfRule>
  </conditionalFormatting>
  <conditionalFormatting sqref="D321">
    <cfRule type="cellIs" rank="0" priority="632" equalAverage="0" operator="greaterThan" aboveAverage="0" dxfId="10" text="" percent="0" bottom="0">
      <formula>GecOdemeEsik</formula>
    </cfRule>
  </conditionalFormatting>
  <conditionalFormatting sqref="E321">
    <cfRule type="cellIs" rank="0" priority="633" equalAverage="0" operator="greaterThan" aboveAverage="0" dxfId="8" text="" percent="0" bottom="0">
      <formula>0</formula>
    </cfRule>
  </conditionalFormatting>
  <conditionalFormatting sqref="D322">
    <cfRule type="cellIs" rank="0" priority="634" equalAverage="0" operator="greaterThan" aboveAverage="0" dxfId="10" text="" percent="0" bottom="0">
      <formula>GecOdemeEsik</formula>
    </cfRule>
  </conditionalFormatting>
  <conditionalFormatting sqref="E322">
    <cfRule type="cellIs" rank="0" priority="635" equalAverage="0" operator="greaterThan" aboveAverage="0" dxfId="8" text="" percent="0" bottom="0">
      <formula>0</formula>
    </cfRule>
  </conditionalFormatting>
  <conditionalFormatting sqref="D323">
    <cfRule type="cellIs" rank="0" priority="636" equalAverage="0" operator="greaterThan" aboveAverage="0" dxfId="10" text="" percent="0" bottom="0">
      <formula>GecOdemeEsik</formula>
    </cfRule>
  </conditionalFormatting>
  <conditionalFormatting sqref="E323">
    <cfRule type="cellIs" rank="0" priority="637" equalAverage="0" operator="greaterThan" aboveAverage="0" dxfId="8" text="" percent="0" bottom="0">
      <formula>0</formula>
    </cfRule>
  </conditionalFormatting>
  <conditionalFormatting sqref="D324">
    <cfRule type="cellIs" rank="0" priority="638" equalAverage="0" operator="greaterThan" aboveAverage="0" dxfId="10" text="" percent="0" bottom="0">
      <formula>GecOdemeEsik</formula>
    </cfRule>
  </conditionalFormatting>
  <conditionalFormatting sqref="E324">
    <cfRule type="cellIs" rank="0" priority="639" equalAverage="0" operator="greaterThan" aboveAverage="0" dxfId="8" text="" percent="0" bottom="0">
      <formula>0</formula>
    </cfRule>
  </conditionalFormatting>
  <conditionalFormatting sqref="D325">
    <cfRule type="cellIs" rank="0" priority="640" equalAverage="0" operator="greaterThan" aboveAverage="0" dxfId="10" text="" percent="0" bottom="0">
      <formula>GecOdemeEsik</formula>
    </cfRule>
  </conditionalFormatting>
  <conditionalFormatting sqref="E325">
    <cfRule type="cellIs" rank="0" priority="641" equalAverage="0" operator="greaterThan" aboveAverage="0" dxfId="8" text="" percent="0" bottom="0">
      <formula>0</formula>
    </cfRule>
  </conditionalFormatting>
  <conditionalFormatting sqref="D326">
    <cfRule type="cellIs" rank="0" priority="642" equalAverage="0" operator="greaterThan" aboveAverage="0" dxfId="10" text="" percent="0" bottom="0">
      <formula>GecOdemeEsik</formula>
    </cfRule>
  </conditionalFormatting>
  <conditionalFormatting sqref="E326">
    <cfRule type="cellIs" rank="0" priority="643" equalAverage="0" operator="greaterThan" aboveAverage="0" dxfId="8" text="" percent="0" bottom="0">
      <formula>0</formula>
    </cfRule>
  </conditionalFormatting>
  <conditionalFormatting sqref="D327">
    <cfRule type="cellIs" rank="0" priority="644" equalAverage="0" operator="greaterThan" aboveAverage="0" dxfId="10" text="" percent="0" bottom="0">
      <formula>GecOdemeEsik</formula>
    </cfRule>
  </conditionalFormatting>
  <conditionalFormatting sqref="E327">
    <cfRule type="cellIs" rank="0" priority="645" equalAverage="0" operator="greaterThan" aboveAverage="0" dxfId="8" text="" percent="0" bottom="0">
      <formula>0</formula>
    </cfRule>
  </conditionalFormatting>
  <conditionalFormatting sqref="D328">
    <cfRule type="cellIs" rank="0" priority="646" equalAverage="0" operator="greaterThan" aboveAverage="0" dxfId="10" text="" percent="0" bottom="0">
      <formula>GecOdemeEsik</formula>
    </cfRule>
  </conditionalFormatting>
  <conditionalFormatting sqref="E328">
    <cfRule type="cellIs" rank="0" priority="647" equalAverage="0" operator="greaterThan" aboveAverage="0" dxfId="8" text="" percent="0" bottom="0">
      <formula>0</formula>
    </cfRule>
  </conditionalFormatting>
  <conditionalFormatting sqref="D329">
    <cfRule type="cellIs" rank="0" priority="648" equalAverage="0" operator="greaterThan" aboveAverage="0" dxfId="10" text="" percent="0" bottom="0">
      <formula>GecOdemeEsik</formula>
    </cfRule>
  </conditionalFormatting>
  <conditionalFormatting sqref="E329">
    <cfRule type="cellIs" rank="0" priority="649" equalAverage="0" operator="greaterThan" aboveAverage="0" dxfId="8" text="" percent="0" bottom="0">
      <formula>0</formula>
    </cfRule>
  </conditionalFormatting>
  <conditionalFormatting sqref="D330">
    <cfRule type="cellIs" rank="0" priority="650" equalAverage="0" operator="greaterThan" aboveAverage="0" dxfId="10" text="" percent="0" bottom="0">
      <formula>GecOdemeEsik</formula>
    </cfRule>
  </conditionalFormatting>
  <conditionalFormatting sqref="E330">
    <cfRule type="cellIs" rank="0" priority="651" equalAverage="0" operator="greaterThan" aboveAverage="0" dxfId="8" text="" percent="0" bottom="0">
      <formula>0</formula>
    </cfRule>
  </conditionalFormatting>
  <conditionalFormatting sqref="D331">
    <cfRule type="cellIs" rank="0" priority="652" equalAverage="0" operator="greaterThan" aboveAverage="0" dxfId="10" text="" percent="0" bottom="0">
      <formula>GecOdemeEsik</formula>
    </cfRule>
  </conditionalFormatting>
  <conditionalFormatting sqref="E331">
    <cfRule type="cellIs" rank="0" priority="653" equalAverage="0" operator="greaterThan" aboveAverage="0" dxfId="8" text="" percent="0" bottom="0">
      <formula>0</formula>
    </cfRule>
  </conditionalFormatting>
  <conditionalFormatting sqref="D332">
    <cfRule type="cellIs" rank="0" priority="654" equalAverage="0" operator="greaterThan" aboveAverage="0" dxfId="10" text="" percent="0" bottom="0">
      <formula>GecOdemeEsik</formula>
    </cfRule>
  </conditionalFormatting>
  <conditionalFormatting sqref="E332">
    <cfRule type="cellIs" rank="0" priority="655" equalAverage="0" operator="greaterThan" aboveAverage="0" dxfId="8" text="" percent="0" bottom="0">
      <formula>0</formula>
    </cfRule>
  </conditionalFormatting>
  <conditionalFormatting sqref="D333">
    <cfRule type="cellIs" rank="0" priority="656" equalAverage="0" operator="greaterThan" aboveAverage="0" dxfId="10" text="" percent="0" bottom="0">
      <formula>GecOdemeEsik</formula>
    </cfRule>
  </conditionalFormatting>
  <conditionalFormatting sqref="E333">
    <cfRule type="cellIs" rank="0" priority="657" equalAverage="0" operator="greaterThan" aboveAverage="0" dxfId="8" text="" percent="0" bottom="0">
      <formula>0</formula>
    </cfRule>
  </conditionalFormatting>
  <conditionalFormatting sqref="D334">
    <cfRule type="cellIs" rank="0" priority="658" equalAverage="0" operator="greaterThan" aboveAverage="0" dxfId="10" text="" percent="0" bottom="0">
      <formula>GecOdemeEsik</formula>
    </cfRule>
  </conditionalFormatting>
  <conditionalFormatting sqref="E334">
    <cfRule type="cellIs" rank="0" priority="659" equalAverage="0" operator="greaterThan" aboveAverage="0" dxfId="8" text="" percent="0" bottom="0">
      <formula>0</formula>
    </cfRule>
  </conditionalFormatting>
  <conditionalFormatting sqref="D335">
    <cfRule type="cellIs" rank="0" priority="660" equalAverage="0" operator="greaterThan" aboveAverage="0" dxfId="10" text="" percent="0" bottom="0">
      <formula>GecOdemeEsik</formula>
    </cfRule>
  </conditionalFormatting>
  <conditionalFormatting sqref="E335">
    <cfRule type="cellIs" rank="0" priority="661" equalAverage="0" operator="greaterThan" aboveAverage="0" dxfId="8" text="" percent="0" bottom="0">
      <formula>0</formula>
    </cfRule>
  </conditionalFormatting>
  <conditionalFormatting sqref="D336">
    <cfRule type="cellIs" rank="0" priority="662" equalAverage="0" operator="greaterThan" aboveAverage="0" dxfId="10" text="" percent="0" bottom="0">
      <formula>GecOdemeEsik</formula>
    </cfRule>
  </conditionalFormatting>
  <conditionalFormatting sqref="E336">
    <cfRule type="cellIs" rank="0" priority="663" equalAverage="0" operator="greaterThan" aboveAverage="0" dxfId="8" text="" percent="0" bottom="0">
      <formula>0</formula>
    </cfRule>
  </conditionalFormatting>
  <conditionalFormatting sqref="D337">
    <cfRule type="cellIs" rank="0" priority="664" equalAverage="0" operator="greaterThan" aboveAverage="0" dxfId="10" text="" percent="0" bottom="0">
      <formula>GecOdemeEsik</formula>
    </cfRule>
  </conditionalFormatting>
  <conditionalFormatting sqref="E337">
    <cfRule type="cellIs" rank="0" priority="665" equalAverage="0" operator="greaterThan" aboveAverage="0" dxfId="8" text="" percent="0" bottom="0">
      <formula>0</formula>
    </cfRule>
  </conditionalFormatting>
  <conditionalFormatting sqref="D338">
    <cfRule type="cellIs" rank="0" priority="666" equalAverage="0" operator="greaterThan" aboveAverage="0" dxfId="10" text="" percent="0" bottom="0">
      <formula>GecOdemeEsik</formula>
    </cfRule>
  </conditionalFormatting>
  <conditionalFormatting sqref="E338">
    <cfRule type="cellIs" rank="0" priority="667" equalAverage="0" operator="greaterThan" aboveAverage="0" dxfId="8" text="" percent="0" bottom="0">
      <formula>0</formula>
    </cfRule>
  </conditionalFormatting>
  <conditionalFormatting sqref="D339">
    <cfRule type="cellIs" rank="0" priority="668" equalAverage="0" operator="greaterThan" aboveAverage="0" dxfId="10" text="" percent="0" bottom="0">
      <formula>GecOdemeEsik</formula>
    </cfRule>
  </conditionalFormatting>
  <conditionalFormatting sqref="E339">
    <cfRule type="cellIs" rank="0" priority="669" equalAverage="0" operator="greaterThan" aboveAverage="0" dxfId="8" text="" percent="0" bottom="0">
      <formula>0</formula>
    </cfRule>
  </conditionalFormatting>
  <conditionalFormatting sqref="D340">
    <cfRule type="cellIs" rank="0" priority="670" equalAverage="0" operator="greaterThan" aboveAverage="0" dxfId="10" text="" percent="0" bottom="0">
      <formula>GecOdemeEsik</formula>
    </cfRule>
  </conditionalFormatting>
  <conditionalFormatting sqref="E340">
    <cfRule type="cellIs" rank="0" priority="671" equalAverage="0" operator="greaterThan" aboveAverage="0" dxfId="8" text="" percent="0" bottom="0">
      <formula>0</formula>
    </cfRule>
  </conditionalFormatting>
  <conditionalFormatting sqref="D341">
    <cfRule type="cellIs" rank="0" priority="672" equalAverage="0" operator="greaterThan" aboveAverage="0" dxfId="10" text="" percent="0" bottom="0">
      <formula>GecOdemeEsik</formula>
    </cfRule>
  </conditionalFormatting>
  <conditionalFormatting sqref="E341">
    <cfRule type="cellIs" rank="0" priority="673" equalAverage="0" operator="greaterThan" aboveAverage="0" dxfId="8" text="" percent="0" bottom="0">
      <formula>0</formula>
    </cfRule>
  </conditionalFormatting>
  <conditionalFormatting sqref="D342">
    <cfRule type="cellIs" rank="0" priority="674" equalAverage="0" operator="greaterThan" aboveAverage="0" dxfId="10" text="" percent="0" bottom="0">
      <formula>GecOdemeEsik</formula>
    </cfRule>
  </conditionalFormatting>
  <conditionalFormatting sqref="E342">
    <cfRule type="cellIs" rank="0" priority="675" equalAverage="0" operator="greaterThan" aboveAverage="0" dxfId="8" text="" percent="0" bottom="0">
      <formula>0</formula>
    </cfRule>
  </conditionalFormatting>
  <conditionalFormatting sqref="D343">
    <cfRule type="cellIs" rank="0" priority="676" equalAverage="0" operator="greaterThan" aboveAverage="0" dxfId="10" text="" percent="0" bottom="0">
      <formula>GecOdemeEsik</formula>
    </cfRule>
  </conditionalFormatting>
  <conditionalFormatting sqref="E343">
    <cfRule type="cellIs" rank="0" priority="677" equalAverage="0" operator="greaterThan" aboveAverage="0" dxfId="8" text="" percent="0" bottom="0">
      <formula>0</formula>
    </cfRule>
  </conditionalFormatting>
  <conditionalFormatting sqref="D344">
    <cfRule type="cellIs" rank="0" priority="678" equalAverage="0" operator="greaterThan" aboveAverage="0" dxfId="10" text="" percent="0" bottom="0">
      <formula>GecOdemeEsik</formula>
    </cfRule>
  </conditionalFormatting>
  <conditionalFormatting sqref="E344">
    <cfRule type="cellIs" rank="0" priority="679" equalAverage="0" operator="greaterThan" aboveAverage="0" dxfId="8" text="" percent="0" bottom="0">
      <formula>0</formula>
    </cfRule>
  </conditionalFormatting>
  <conditionalFormatting sqref="D345">
    <cfRule type="cellIs" rank="0" priority="680" equalAverage="0" operator="greaterThan" aboveAverage="0" dxfId="10" text="" percent="0" bottom="0">
      <formula>GecOdemeEsik</formula>
    </cfRule>
  </conditionalFormatting>
  <conditionalFormatting sqref="E345">
    <cfRule type="cellIs" rank="0" priority="681" equalAverage="0" operator="greaterThan" aboveAverage="0" dxfId="8" text="" percent="0" bottom="0">
      <formula>0</formula>
    </cfRule>
  </conditionalFormatting>
  <conditionalFormatting sqref="D346">
    <cfRule type="cellIs" rank="0" priority="682" equalAverage="0" operator="greaterThan" aboveAverage="0" dxfId="10" text="" percent="0" bottom="0">
      <formula>GecOdemeEsik</formula>
    </cfRule>
  </conditionalFormatting>
  <conditionalFormatting sqref="E346">
    <cfRule type="cellIs" rank="0" priority="683" equalAverage="0" operator="greaterThan" aboveAverage="0" dxfId="8" text="" percent="0" bottom="0">
      <formula>0</formula>
    </cfRule>
  </conditionalFormatting>
  <conditionalFormatting sqref="D347">
    <cfRule type="cellIs" rank="0" priority="684" equalAverage="0" operator="greaterThan" aboveAverage="0" dxfId="10" text="" percent="0" bottom="0">
      <formula>GecOdemeEsik</formula>
    </cfRule>
  </conditionalFormatting>
  <conditionalFormatting sqref="E347">
    <cfRule type="cellIs" rank="0" priority="685" equalAverage="0" operator="greaterThan" aboveAverage="0" dxfId="8" text="" percent="0" bottom="0">
      <formula>0</formula>
    </cfRule>
  </conditionalFormatting>
  <conditionalFormatting sqref="D348">
    <cfRule type="cellIs" rank="0" priority="686" equalAverage="0" operator="greaterThan" aboveAverage="0" dxfId="10" text="" percent="0" bottom="0">
      <formula>GecOdemeEsik</formula>
    </cfRule>
  </conditionalFormatting>
  <conditionalFormatting sqref="E348">
    <cfRule type="cellIs" rank="0" priority="687" equalAverage="0" operator="greaterThan" aboveAverage="0" dxfId="8" text="" percent="0" bottom="0">
      <formula>0</formula>
    </cfRule>
  </conditionalFormatting>
  <conditionalFormatting sqref="D349">
    <cfRule type="cellIs" rank="0" priority="688" equalAverage="0" operator="greaterThan" aboveAverage="0" dxfId="10" text="" percent="0" bottom="0">
      <formula>GecOdemeEsik</formula>
    </cfRule>
  </conditionalFormatting>
  <conditionalFormatting sqref="E349">
    <cfRule type="cellIs" rank="0" priority="689" equalAverage="0" operator="greaterThan" aboveAverage="0" dxfId="8" text="" percent="0" bottom="0">
      <formula>0</formula>
    </cfRule>
  </conditionalFormatting>
  <conditionalFormatting sqref="D350">
    <cfRule type="cellIs" rank="0" priority="690" equalAverage="0" operator="greaterThan" aboveAverage="0" dxfId="10" text="" percent="0" bottom="0">
      <formula>GecOdemeEsik</formula>
    </cfRule>
  </conditionalFormatting>
  <conditionalFormatting sqref="E350">
    <cfRule type="cellIs" rank="0" priority="691" equalAverage="0" operator="greaterThan" aboveAverage="0" dxfId="8" text="" percent="0" bottom="0">
      <formula>0</formula>
    </cfRule>
  </conditionalFormatting>
  <conditionalFormatting sqref="D351">
    <cfRule type="cellIs" rank="0" priority="692" equalAverage="0" operator="greaterThan" aboveAverage="0" dxfId="10" text="" percent="0" bottom="0">
      <formula>GecOdemeEsik</formula>
    </cfRule>
  </conditionalFormatting>
  <conditionalFormatting sqref="E351">
    <cfRule type="cellIs" rank="0" priority="693" equalAverage="0" operator="greaterThan" aboveAverage="0" dxfId="8" text="" percent="0" bottom="0">
      <formula>0</formula>
    </cfRule>
  </conditionalFormatting>
  <conditionalFormatting sqref="D352">
    <cfRule type="cellIs" rank="0" priority="694" equalAverage="0" operator="greaterThan" aboveAverage="0" dxfId="10" text="" percent="0" bottom="0">
      <formula>GecOdemeEsik</formula>
    </cfRule>
  </conditionalFormatting>
  <conditionalFormatting sqref="E352">
    <cfRule type="cellIs" rank="0" priority="695" equalAverage="0" operator="greaterThan" aboveAverage="0" dxfId="8" text="" percent="0" bottom="0">
      <formula>0</formula>
    </cfRule>
  </conditionalFormatting>
  <conditionalFormatting sqref="D353">
    <cfRule type="cellIs" rank="0" priority="696" equalAverage="0" operator="greaterThan" aboveAverage="0" dxfId="10" text="" percent="0" bottom="0">
      <formula>GecOdemeEsik</formula>
    </cfRule>
  </conditionalFormatting>
  <conditionalFormatting sqref="E353">
    <cfRule type="cellIs" rank="0" priority="697" equalAverage="0" operator="greaterThan" aboveAverage="0" dxfId="8" text="" percent="0" bottom="0">
      <formula>0</formula>
    </cfRule>
  </conditionalFormatting>
  <conditionalFormatting sqref="D354">
    <cfRule type="cellIs" rank="0" priority="698" equalAverage="0" operator="greaterThan" aboveAverage="0" dxfId="10" text="" percent="0" bottom="0">
      <formula>GecOdemeEsik</formula>
    </cfRule>
  </conditionalFormatting>
  <conditionalFormatting sqref="E354">
    <cfRule type="cellIs" rank="0" priority="699" equalAverage="0" operator="greaterThan" aboveAverage="0" dxfId="8" text="" percent="0" bottom="0">
      <formula>0</formula>
    </cfRule>
  </conditionalFormatting>
  <conditionalFormatting sqref="D355">
    <cfRule type="cellIs" rank="0" priority="700" equalAverage="0" operator="greaterThan" aboveAverage="0" dxfId="10" text="" percent="0" bottom="0">
      <formula>GecOdemeEsik</formula>
    </cfRule>
  </conditionalFormatting>
  <conditionalFormatting sqref="E355">
    <cfRule type="cellIs" rank="0" priority="701" equalAverage="0" operator="greaterThan" aboveAverage="0" dxfId="8" text="" percent="0" bottom="0">
      <formula>0</formula>
    </cfRule>
  </conditionalFormatting>
  <conditionalFormatting sqref="D356">
    <cfRule type="cellIs" rank="0" priority="702" equalAverage="0" operator="greaterThan" aboveAverage="0" dxfId="10" text="" percent="0" bottom="0">
      <formula>GecOdemeEsik</formula>
    </cfRule>
  </conditionalFormatting>
  <conditionalFormatting sqref="E356">
    <cfRule type="cellIs" rank="0" priority="703" equalAverage="0" operator="greaterThan" aboveAverage="0" dxfId="8" text="" percent="0" bottom="0">
      <formula>0</formula>
    </cfRule>
  </conditionalFormatting>
  <conditionalFormatting sqref="D357">
    <cfRule type="cellIs" rank="0" priority="704" equalAverage="0" operator="greaterThan" aboveAverage="0" dxfId="10" text="" percent="0" bottom="0">
      <formula>GecOdemeEsik</formula>
    </cfRule>
  </conditionalFormatting>
  <conditionalFormatting sqref="E357">
    <cfRule type="cellIs" rank="0" priority="705" equalAverage="0" operator="greaterThan" aboveAverage="0" dxfId="8" text="" percent="0" bottom="0">
      <formula>0</formula>
    </cfRule>
  </conditionalFormatting>
  <conditionalFormatting sqref="D358">
    <cfRule type="cellIs" rank="0" priority="706" equalAverage="0" operator="greaterThan" aboveAverage="0" dxfId="10" text="" percent="0" bottom="0">
      <formula>GecOdemeEsik</formula>
    </cfRule>
  </conditionalFormatting>
  <conditionalFormatting sqref="E358">
    <cfRule type="cellIs" rank="0" priority="707" equalAverage="0" operator="greaterThan" aboveAverage="0" dxfId="8" text="" percent="0" bottom="0">
      <formula>0</formula>
    </cfRule>
  </conditionalFormatting>
  <conditionalFormatting sqref="D359">
    <cfRule type="cellIs" rank="0" priority="708" equalAverage="0" operator="greaterThan" aboveAverage="0" dxfId="10" text="" percent="0" bottom="0">
      <formula>GecOdemeEsik</formula>
    </cfRule>
  </conditionalFormatting>
  <conditionalFormatting sqref="E359">
    <cfRule type="cellIs" rank="0" priority="709" equalAverage="0" operator="greaterThan" aboveAverage="0" dxfId="8" text="" percent="0" bottom="0">
      <formula>0</formula>
    </cfRule>
  </conditionalFormatting>
  <conditionalFormatting sqref="D360">
    <cfRule type="cellIs" rank="0" priority="710" equalAverage="0" operator="greaterThan" aboveAverage="0" dxfId="10" text="" percent="0" bottom="0">
      <formula>GecOdemeEsik</formula>
    </cfRule>
  </conditionalFormatting>
  <conditionalFormatting sqref="E360">
    <cfRule type="cellIs" rank="0" priority="711" equalAverage="0" operator="greaterThan" aboveAverage="0" dxfId="8" text="" percent="0" bottom="0">
      <formula>0</formula>
    </cfRule>
  </conditionalFormatting>
  <conditionalFormatting sqref="D361">
    <cfRule type="cellIs" rank="0" priority="712" equalAverage="0" operator="greaterThan" aboveAverage="0" dxfId="10" text="" percent="0" bottom="0">
      <formula>GecOdemeEsik</formula>
    </cfRule>
  </conditionalFormatting>
  <conditionalFormatting sqref="E361">
    <cfRule type="cellIs" rank="0" priority="713" equalAverage="0" operator="greaterThan" aboveAverage="0" dxfId="8" text="" percent="0" bottom="0">
      <formula>0</formula>
    </cfRule>
  </conditionalFormatting>
  <conditionalFormatting sqref="D362">
    <cfRule type="cellIs" rank="0" priority="714" equalAverage="0" operator="greaterThan" aboveAverage="0" dxfId="10" text="" percent="0" bottom="0">
      <formula>GecOdemeEsik</formula>
    </cfRule>
  </conditionalFormatting>
  <conditionalFormatting sqref="E362">
    <cfRule type="cellIs" rank="0" priority="715" equalAverage="0" operator="greaterThan" aboveAverage="0" dxfId="8" text="" percent="0" bottom="0">
      <formula>0</formula>
    </cfRule>
  </conditionalFormatting>
  <conditionalFormatting sqref="D363">
    <cfRule type="cellIs" rank="0" priority="716" equalAverage="0" operator="greaterThan" aboveAverage="0" dxfId="10" text="" percent="0" bottom="0">
      <formula>GecOdemeEsik</formula>
    </cfRule>
  </conditionalFormatting>
  <conditionalFormatting sqref="E363">
    <cfRule type="cellIs" rank="0" priority="717" equalAverage="0" operator="greaterThan" aboveAverage="0" dxfId="8" text="" percent="0" bottom="0">
      <formula>0</formula>
    </cfRule>
  </conditionalFormatting>
  <conditionalFormatting sqref="D364">
    <cfRule type="cellIs" rank="0" priority="718" equalAverage="0" operator="greaterThan" aboveAverage="0" dxfId="10" text="" percent="0" bottom="0">
      <formula>GecOdemeEsik</formula>
    </cfRule>
  </conditionalFormatting>
  <conditionalFormatting sqref="E364">
    <cfRule type="cellIs" rank="0" priority="719" equalAverage="0" operator="greaterThan" aboveAverage="0" dxfId="8" text="" percent="0" bottom="0">
      <formula>0</formula>
    </cfRule>
  </conditionalFormatting>
  <conditionalFormatting sqref="D365">
    <cfRule type="cellIs" rank="0" priority="720" equalAverage="0" operator="greaterThan" aboveAverage="0" dxfId="10" text="" percent="0" bottom="0">
      <formula>GecOdemeEsik</formula>
    </cfRule>
  </conditionalFormatting>
  <conditionalFormatting sqref="E365">
    <cfRule type="cellIs" rank="0" priority="721" equalAverage="0" operator="greaterThan" aboveAverage="0" dxfId="8" text="" percent="0" bottom="0">
      <formula>0</formula>
    </cfRule>
  </conditionalFormatting>
  <conditionalFormatting sqref="D366">
    <cfRule type="cellIs" rank="0" priority="722" equalAverage="0" operator="greaterThan" aboveAverage="0" dxfId="10" text="" percent="0" bottom="0">
      <formula>GecOdemeEsik</formula>
    </cfRule>
  </conditionalFormatting>
  <conditionalFormatting sqref="E366">
    <cfRule type="cellIs" rank="0" priority="723" equalAverage="0" operator="greaterThan" aboveAverage="0" dxfId="8" text="" percent="0" bottom="0">
      <formula>0</formula>
    </cfRule>
  </conditionalFormatting>
  <conditionalFormatting sqref="D367">
    <cfRule type="cellIs" rank="0" priority="724" equalAverage="0" operator="greaterThan" aboveAverage="0" dxfId="10" text="" percent="0" bottom="0">
      <formula>GecOdemeEsik</formula>
    </cfRule>
  </conditionalFormatting>
  <conditionalFormatting sqref="E367">
    <cfRule type="cellIs" rank="0" priority="725" equalAverage="0" operator="greaterThan" aboveAverage="0" dxfId="8" text="" percent="0" bottom="0">
      <formula>0</formula>
    </cfRule>
  </conditionalFormatting>
  <conditionalFormatting sqref="D368">
    <cfRule type="cellIs" rank="0" priority="726" equalAverage="0" operator="greaterThan" aboveAverage="0" dxfId="10" text="" percent="0" bottom="0">
      <formula>GecOdemeEsik</formula>
    </cfRule>
  </conditionalFormatting>
  <conditionalFormatting sqref="E368">
    <cfRule type="cellIs" rank="0" priority="727" equalAverage="0" operator="greaterThan" aboveAverage="0" dxfId="8" text="" percent="0" bottom="0">
      <formula>0</formula>
    </cfRule>
  </conditionalFormatting>
  <conditionalFormatting sqref="D369">
    <cfRule type="cellIs" rank="0" priority="728" equalAverage="0" operator="greaterThan" aboveAverage="0" dxfId="10" text="" percent="0" bottom="0">
      <formula>GecOdemeEsik</formula>
    </cfRule>
  </conditionalFormatting>
  <conditionalFormatting sqref="E369">
    <cfRule type="cellIs" rank="0" priority="729" equalAverage="0" operator="greaterThan" aboveAverage="0" dxfId="8" text="" percent="0" bottom="0">
      <formula>0</formula>
    </cfRule>
  </conditionalFormatting>
  <conditionalFormatting sqref="D370">
    <cfRule type="cellIs" rank="0" priority="730" equalAverage="0" operator="greaterThan" aboveAverage="0" dxfId="10" text="" percent="0" bottom="0">
      <formula>GecOdemeEsik</formula>
    </cfRule>
  </conditionalFormatting>
  <conditionalFormatting sqref="E370">
    <cfRule type="cellIs" rank="0" priority="731" equalAverage="0" operator="greaterThan" aboveAverage="0" dxfId="8" text="" percent="0" bottom="0">
      <formula>0</formula>
    </cfRule>
  </conditionalFormatting>
  <conditionalFormatting sqref="D371">
    <cfRule type="cellIs" rank="0" priority="732" equalAverage="0" operator="greaterThan" aboveAverage="0" dxfId="10" text="" percent="0" bottom="0">
      <formula>GecOdemeEsik</formula>
    </cfRule>
  </conditionalFormatting>
  <conditionalFormatting sqref="E371">
    <cfRule type="cellIs" rank="0" priority="733" equalAverage="0" operator="greaterThan" aboveAverage="0" dxfId="8" text="" percent="0" bottom="0">
      <formula>0</formula>
    </cfRule>
  </conditionalFormatting>
  <conditionalFormatting sqref="D372">
    <cfRule type="cellIs" rank="0" priority="734" equalAverage="0" operator="greaterThan" aboveAverage="0" dxfId="10" text="" percent="0" bottom="0">
      <formula>GecOdemeEsik</formula>
    </cfRule>
  </conditionalFormatting>
  <conditionalFormatting sqref="E372">
    <cfRule type="cellIs" rank="0" priority="735" equalAverage="0" operator="greaterThan" aboveAverage="0" dxfId="8" text="" percent="0" bottom="0">
      <formula>0</formula>
    </cfRule>
  </conditionalFormatting>
  <conditionalFormatting sqref="D373">
    <cfRule type="cellIs" rank="0" priority="736" equalAverage="0" operator="greaterThan" aboveAverage="0" dxfId="10" text="" percent="0" bottom="0">
      <formula>GecOdemeEsik</formula>
    </cfRule>
  </conditionalFormatting>
  <conditionalFormatting sqref="E373">
    <cfRule type="cellIs" rank="0" priority="737" equalAverage="0" operator="greaterThan" aboveAverage="0" dxfId="8" text="" percent="0" bottom="0">
      <formula>0</formula>
    </cfRule>
  </conditionalFormatting>
  <conditionalFormatting sqref="D374">
    <cfRule type="cellIs" rank="0" priority="738" equalAverage="0" operator="greaterThan" aboveAverage="0" dxfId="10" text="" percent="0" bottom="0">
      <formula>GecOdemeEsik</formula>
    </cfRule>
  </conditionalFormatting>
  <conditionalFormatting sqref="E374">
    <cfRule type="cellIs" rank="0" priority="739" equalAverage="0" operator="greaterThan" aboveAverage="0" dxfId="8" text="" percent="0" bottom="0">
      <formula>0</formula>
    </cfRule>
  </conditionalFormatting>
  <conditionalFormatting sqref="D375">
    <cfRule type="cellIs" rank="0" priority="740" equalAverage="0" operator="greaterThan" aboveAverage="0" dxfId="10" text="" percent="0" bottom="0">
      <formula>GecOdemeEsik</formula>
    </cfRule>
  </conditionalFormatting>
  <conditionalFormatting sqref="E375">
    <cfRule type="cellIs" rank="0" priority="741" equalAverage="0" operator="greaterThan" aboveAverage="0" dxfId="8" text="" percent="0" bottom="0">
      <formula>0</formula>
    </cfRule>
  </conditionalFormatting>
  <conditionalFormatting sqref="D376">
    <cfRule type="cellIs" rank="0" priority="742" equalAverage="0" operator="greaterThan" aboveAverage="0" dxfId="10" text="" percent="0" bottom="0">
      <formula>GecOdemeEsik</formula>
    </cfRule>
  </conditionalFormatting>
  <conditionalFormatting sqref="E376">
    <cfRule type="cellIs" rank="0" priority="743" equalAverage="0" operator="greaterThan" aboveAverage="0" dxfId="8" text="" percent="0" bottom="0">
      <formula>0</formula>
    </cfRule>
  </conditionalFormatting>
  <conditionalFormatting sqref="D377">
    <cfRule type="cellIs" rank="0" priority="744" equalAverage="0" operator="greaterThan" aboveAverage="0" dxfId="10" text="" percent="0" bottom="0">
      <formula>GecOdemeEsik</formula>
    </cfRule>
  </conditionalFormatting>
  <conditionalFormatting sqref="E377">
    <cfRule type="cellIs" rank="0" priority="745" equalAverage="0" operator="greaterThan" aboveAverage="0" dxfId="8" text="" percent="0" bottom="0">
      <formula>0</formula>
    </cfRule>
  </conditionalFormatting>
  <conditionalFormatting sqref="D378">
    <cfRule type="cellIs" rank="0" priority="746" equalAverage="0" operator="greaterThan" aboveAverage="0" dxfId="10" text="" percent="0" bottom="0">
      <formula>GecOdemeEsik</formula>
    </cfRule>
  </conditionalFormatting>
  <conditionalFormatting sqref="E378">
    <cfRule type="cellIs" rank="0" priority="747" equalAverage="0" operator="greaterThan" aboveAverage="0" dxfId="8" text="" percent="0" bottom="0">
      <formula>0</formula>
    </cfRule>
  </conditionalFormatting>
  <conditionalFormatting sqref="D379">
    <cfRule type="cellIs" rank="0" priority="748" equalAverage="0" operator="greaterThan" aboveAverage="0" dxfId="10" text="" percent="0" bottom="0">
      <formula>GecOdemeEsik</formula>
    </cfRule>
  </conditionalFormatting>
  <conditionalFormatting sqref="E379">
    <cfRule type="cellIs" rank="0" priority="749" equalAverage="0" operator="greaterThan" aboveAverage="0" dxfId="8" text="" percent="0" bottom="0">
      <formula>0</formula>
    </cfRule>
  </conditionalFormatting>
  <conditionalFormatting sqref="D380">
    <cfRule type="cellIs" rank="0" priority="750" equalAverage="0" operator="greaterThan" aboveAverage="0" dxfId="10" text="" percent="0" bottom="0">
      <formula>GecOdemeEsik</formula>
    </cfRule>
  </conditionalFormatting>
  <conditionalFormatting sqref="E380">
    <cfRule type="cellIs" rank="0" priority="751" equalAverage="0" operator="greaterThan" aboveAverage="0" dxfId="8" text="" percent="0" bottom="0">
      <formula>0</formula>
    </cfRule>
  </conditionalFormatting>
  <conditionalFormatting sqref="D381">
    <cfRule type="cellIs" rank="0" priority="752" equalAverage="0" operator="greaterThan" aboveAverage="0" dxfId="10" text="" percent="0" bottom="0">
      <formula>GecOdemeEsik</formula>
    </cfRule>
  </conditionalFormatting>
  <conditionalFormatting sqref="E381">
    <cfRule type="cellIs" rank="0" priority="753" equalAverage="0" operator="greaterThan" aboveAverage="0" dxfId="8" text="" percent="0" bottom="0">
      <formula>0</formula>
    </cfRule>
  </conditionalFormatting>
  <conditionalFormatting sqref="D382">
    <cfRule type="cellIs" rank="0" priority="754" equalAverage="0" operator="greaterThan" aboveAverage="0" dxfId="10" text="" percent="0" bottom="0">
      <formula>GecOdemeEsik</formula>
    </cfRule>
  </conditionalFormatting>
  <conditionalFormatting sqref="E382">
    <cfRule type="cellIs" rank="0" priority="755" equalAverage="0" operator="greaterThan" aboveAverage="0" dxfId="8" text="" percent="0" bottom="0">
      <formula>0</formula>
    </cfRule>
  </conditionalFormatting>
  <conditionalFormatting sqref="D383">
    <cfRule type="cellIs" rank="0" priority="756" equalAverage="0" operator="greaterThan" aboveAverage="0" dxfId="10" text="" percent="0" bottom="0">
      <formula>GecOdemeEsik</formula>
    </cfRule>
  </conditionalFormatting>
  <conditionalFormatting sqref="E383">
    <cfRule type="cellIs" rank="0" priority="757" equalAverage="0" operator="greaterThan" aboveAverage="0" dxfId="8" text="" percent="0" bottom="0">
      <formula>0</formula>
    </cfRule>
  </conditionalFormatting>
  <conditionalFormatting sqref="D384">
    <cfRule type="cellIs" rank="0" priority="758" equalAverage="0" operator="greaterThan" aboveAverage="0" dxfId="10" text="" percent="0" bottom="0">
      <formula>GecOdemeEsik</formula>
    </cfRule>
  </conditionalFormatting>
  <conditionalFormatting sqref="E384">
    <cfRule type="cellIs" rank="0" priority="759" equalAverage="0" operator="greaterThan" aboveAverage="0" dxfId="8" text="" percent="0" bottom="0">
      <formula>0</formula>
    </cfRule>
  </conditionalFormatting>
  <conditionalFormatting sqref="D385">
    <cfRule type="cellIs" rank="0" priority="760" equalAverage="0" operator="greaterThan" aboveAverage="0" dxfId="10" text="" percent="0" bottom="0">
      <formula>GecOdemeEsik</formula>
    </cfRule>
  </conditionalFormatting>
  <conditionalFormatting sqref="E385">
    <cfRule type="cellIs" rank="0" priority="761" equalAverage="0" operator="greaterThan" aboveAverage="0" dxfId="8" text="" percent="0" bottom="0">
      <formula>0</formula>
    </cfRule>
  </conditionalFormatting>
  <conditionalFormatting sqref="D386">
    <cfRule type="cellIs" rank="0" priority="762" equalAverage="0" operator="greaterThan" aboveAverage="0" dxfId="10" text="" percent="0" bottom="0">
      <formula>GecOdemeEsik</formula>
    </cfRule>
  </conditionalFormatting>
  <conditionalFormatting sqref="E386">
    <cfRule type="cellIs" rank="0" priority="763" equalAverage="0" operator="greaterThan" aboveAverage="0" dxfId="8" text="" percent="0" bottom="0">
      <formula>0</formula>
    </cfRule>
  </conditionalFormatting>
  <conditionalFormatting sqref="D387">
    <cfRule type="cellIs" rank="0" priority="764" equalAverage="0" operator="greaterThan" aboveAverage="0" dxfId="10" text="" percent="0" bottom="0">
      <formula>GecOdemeEsik</formula>
    </cfRule>
  </conditionalFormatting>
  <conditionalFormatting sqref="E387">
    <cfRule type="cellIs" rank="0" priority="765" equalAverage="0" operator="greaterThan" aboveAverage="0" dxfId="8" text="" percent="0" bottom="0">
      <formula>0</formula>
    </cfRule>
  </conditionalFormatting>
  <conditionalFormatting sqref="D388">
    <cfRule type="cellIs" rank="0" priority="766" equalAverage="0" operator="greaterThan" aboveAverage="0" dxfId="10" text="" percent="0" bottom="0">
      <formula>GecOdemeEsik</formula>
    </cfRule>
  </conditionalFormatting>
  <conditionalFormatting sqref="E388">
    <cfRule type="cellIs" rank="0" priority="767" equalAverage="0" operator="greaterThan" aboveAverage="0" dxfId="8" text="" percent="0" bottom="0">
      <formula>0</formula>
    </cfRule>
  </conditionalFormatting>
  <conditionalFormatting sqref="D389">
    <cfRule type="cellIs" rank="0" priority="768" equalAverage="0" operator="greaterThan" aboveAverage="0" dxfId="10" text="" percent="0" bottom="0">
      <formula>GecOdemeEsik</formula>
    </cfRule>
  </conditionalFormatting>
  <conditionalFormatting sqref="E389">
    <cfRule type="cellIs" rank="0" priority="769" equalAverage="0" operator="greaterThan" aboveAverage="0" dxfId="8" text="" percent="0" bottom="0">
      <formula>0</formula>
    </cfRule>
  </conditionalFormatting>
  <conditionalFormatting sqref="D390">
    <cfRule type="cellIs" rank="0" priority="770" equalAverage="0" operator="greaterThan" aboveAverage="0" dxfId="10" text="" percent="0" bottom="0">
      <formula>GecOdemeEsik</formula>
    </cfRule>
  </conditionalFormatting>
  <conditionalFormatting sqref="E390">
    <cfRule type="cellIs" rank="0" priority="771" equalAverage="0" operator="greaterThan" aboveAverage="0" dxfId="8" text="" percent="0" bottom="0">
      <formula>0</formula>
    </cfRule>
  </conditionalFormatting>
  <conditionalFormatting sqref="D391">
    <cfRule type="cellIs" rank="0" priority="772" equalAverage="0" operator="greaterThan" aboveAverage="0" dxfId="10" text="" percent="0" bottom="0">
      <formula>GecOdemeEsik</formula>
    </cfRule>
  </conditionalFormatting>
  <conditionalFormatting sqref="E391">
    <cfRule type="cellIs" rank="0" priority="773" equalAverage="0" operator="greaterThan" aboveAverage="0" dxfId="8" text="" percent="0" bottom="0">
      <formula>0</formula>
    </cfRule>
  </conditionalFormatting>
  <conditionalFormatting sqref="D392">
    <cfRule type="cellIs" rank="0" priority="774" equalAverage="0" operator="greaterThan" aboveAverage="0" dxfId="10" text="" percent="0" bottom="0">
      <formula>GecOdemeEsik</formula>
    </cfRule>
  </conditionalFormatting>
  <conditionalFormatting sqref="E392">
    <cfRule type="cellIs" rank="0" priority="775" equalAverage="0" operator="greaterThan" aboveAverage="0" dxfId="8" text="" percent="0" bottom="0">
      <formula>0</formula>
    </cfRule>
  </conditionalFormatting>
  <conditionalFormatting sqref="D393">
    <cfRule type="cellIs" rank="0" priority="776" equalAverage="0" operator="greaterThan" aboveAverage="0" dxfId="10" text="" percent="0" bottom="0">
      <formula>GecOdemeEsik</formula>
    </cfRule>
  </conditionalFormatting>
  <conditionalFormatting sqref="E393">
    <cfRule type="cellIs" rank="0" priority="777" equalAverage="0" operator="greaterThan" aboveAverage="0" dxfId="8" text="" percent="0" bottom="0">
      <formula>0</formula>
    </cfRule>
  </conditionalFormatting>
  <conditionalFormatting sqref="D394">
    <cfRule type="cellIs" rank="0" priority="778" equalAverage="0" operator="greaterThan" aboveAverage="0" dxfId="10" text="" percent="0" bottom="0">
      <formula>GecOdemeEsik</formula>
    </cfRule>
  </conditionalFormatting>
  <conditionalFormatting sqref="E394">
    <cfRule type="cellIs" rank="0" priority="779" equalAverage="0" operator="greaterThan" aboveAverage="0" dxfId="8" text="" percent="0" bottom="0">
      <formula>0</formula>
    </cfRule>
  </conditionalFormatting>
  <conditionalFormatting sqref="D395">
    <cfRule type="cellIs" rank="0" priority="780" equalAverage="0" operator="greaterThan" aboveAverage="0" dxfId="10" text="" percent="0" bottom="0">
      <formula>GecOdemeEsik</formula>
    </cfRule>
  </conditionalFormatting>
  <conditionalFormatting sqref="E395">
    <cfRule type="cellIs" rank="0" priority="781" equalAverage="0" operator="greaterThan" aboveAverage="0" dxfId="8" text="" percent="0" bottom="0">
      <formula>0</formula>
    </cfRule>
  </conditionalFormatting>
  <conditionalFormatting sqref="D396">
    <cfRule type="cellIs" rank="0" priority="782" equalAverage="0" operator="greaterThan" aboveAverage="0" dxfId="10" text="" percent="0" bottom="0">
      <formula>GecOdemeEsik</formula>
    </cfRule>
  </conditionalFormatting>
  <conditionalFormatting sqref="E396">
    <cfRule type="cellIs" rank="0" priority="783" equalAverage="0" operator="greaterThan" aboveAverage="0" dxfId="8" text="" percent="0" bottom="0">
      <formula>0</formula>
    </cfRule>
  </conditionalFormatting>
  <conditionalFormatting sqref="D397">
    <cfRule type="cellIs" rank="0" priority="784" equalAverage="0" operator="greaterThan" aboveAverage="0" dxfId="10" text="" percent="0" bottom="0">
      <formula>GecOdemeEsik</formula>
    </cfRule>
  </conditionalFormatting>
  <conditionalFormatting sqref="E397">
    <cfRule type="cellIs" rank="0" priority="785" equalAverage="0" operator="greaterThan" aboveAverage="0" dxfId="8" text="" percent="0" bottom="0">
      <formula>0</formula>
    </cfRule>
  </conditionalFormatting>
  <conditionalFormatting sqref="D398">
    <cfRule type="cellIs" rank="0" priority="786" equalAverage="0" operator="greaterThan" aboveAverage="0" dxfId="10" text="" percent="0" bottom="0">
      <formula>GecOdemeEsik</formula>
    </cfRule>
  </conditionalFormatting>
  <conditionalFormatting sqref="E398">
    <cfRule type="cellIs" rank="0" priority="787" equalAverage="0" operator="greaterThan" aboveAverage="0" dxfId="8" text="" percent="0" bottom="0">
      <formula>0</formula>
    </cfRule>
  </conditionalFormatting>
  <conditionalFormatting sqref="D399">
    <cfRule type="cellIs" rank="0" priority="788" equalAverage="0" operator="greaterThan" aboveAverage="0" dxfId="10" text="" percent="0" bottom="0">
      <formula>GecOdemeEsik</formula>
    </cfRule>
  </conditionalFormatting>
  <conditionalFormatting sqref="E399">
    <cfRule type="cellIs" rank="0" priority="789" equalAverage="0" operator="greaterThan" aboveAverage="0" dxfId="8" text="" percent="0" bottom="0">
      <formula>0</formula>
    </cfRule>
  </conditionalFormatting>
  <conditionalFormatting sqref="D400">
    <cfRule type="cellIs" rank="0" priority="790" equalAverage="0" operator="greaterThan" aboveAverage="0" dxfId="10" text="" percent="0" bottom="0">
      <formula>GecOdemeEsik</formula>
    </cfRule>
  </conditionalFormatting>
  <conditionalFormatting sqref="E400">
    <cfRule type="cellIs" rank="0" priority="791" equalAverage="0" operator="greaterThan" aboveAverage="0" dxfId="8" text="" percent="0" bottom="0">
      <formula>0</formula>
    </cfRule>
  </conditionalFormatting>
  <conditionalFormatting sqref="D401">
    <cfRule type="cellIs" rank="0" priority="792" equalAverage="0" operator="greaterThan" aboveAverage="0" dxfId="10" text="" percent="0" bottom="0">
      <formula>GecOdemeEsik</formula>
    </cfRule>
  </conditionalFormatting>
  <conditionalFormatting sqref="E401">
    <cfRule type="cellIs" rank="0" priority="793" equalAverage="0" operator="greaterThan" aboveAverage="0" dxfId="8" text="" percent="0" bottom="0">
      <formula>0</formula>
    </cfRule>
  </conditionalFormatting>
  <conditionalFormatting sqref="D402">
    <cfRule type="cellIs" rank="0" priority="794" equalAverage="0" operator="greaterThan" aboveAverage="0" dxfId="10" text="" percent="0" bottom="0">
      <formula>GecOdemeEsik</formula>
    </cfRule>
  </conditionalFormatting>
  <conditionalFormatting sqref="E402">
    <cfRule type="cellIs" rank="0" priority="795" equalAverage="0" operator="greaterThan" aboveAverage="0" dxfId="8" text="" percent="0" bottom="0">
      <formula>0</formula>
    </cfRule>
  </conditionalFormatting>
  <conditionalFormatting sqref="D403">
    <cfRule type="cellIs" rank="0" priority="796" equalAverage="0" operator="greaterThan" aboveAverage="0" dxfId="10" text="" percent="0" bottom="0">
      <formula>GecOdemeEsik</formula>
    </cfRule>
  </conditionalFormatting>
  <conditionalFormatting sqref="E403">
    <cfRule type="cellIs" rank="0" priority="797" equalAverage="0" operator="greaterThan" aboveAverage="0" dxfId="8" text="" percent="0" bottom="0">
      <formula>0</formula>
    </cfRule>
  </conditionalFormatting>
  <conditionalFormatting sqref="D404">
    <cfRule type="cellIs" rank="0" priority="798" equalAverage="0" operator="greaterThan" aboveAverage="0" dxfId="10" text="" percent="0" bottom="0">
      <formula>GecOdemeEsik</formula>
    </cfRule>
  </conditionalFormatting>
  <conditionalFormatting sqref="E404">
    <cfRule type="cellIs" rank="0" priority="799" equalAverage="0" operator="greaterThan" aboveAverage="0" dxfId="8" text="" percent="0" bottom="0">
      <formula>0</formula>
    </cfRule>
  </conditionalFormatting>
  <conditionalFormatting sqref="D405">
    <cfRule type="cellIs" rank="0" priority="800" equalAverage="0" operator="greaterThan" aboveAverage="0" dxfId="10" text="" percent="0" bottom="0">
      <formula>GecOdemeEsik</formula>
    </cfRule>
  </conditionalFormatting>
  <conditionalFormatting sqref="E405">
    <cfRule type="cellIs" rank="0" priority="801" equalAverage="0" operator="greaterThan" aboveAverage="0" dxfId="8" text="" percent="0" bottom="0">
      <formula>0</formula>
    </cfRule>
  </conditionalFormatting>
  <conditionalFormatting sqref="D406">
    <cfRule type="cellIs" rank="0" priority="802" equalAverage="0" operator="greaterThan" aboveAverage="0" dxfId="10" text="" percent="0" bottom="0">
      <formula>GecOdemeEsik</formula>
    </cfRule>
  </conditionalFormatting>
  <conditionalFormatting sqref="E406">
    <cfRule type="cellIs" rank="0" priority="803" equalAverage="0" operator="greaterThan" aboveAverage="0" dxfId="8" text="" percent="0" bottom="0">
      <formula>0</formula>
    </cfRule>
  </conditionalFormatting>
  <conditionalFormatting sqref="D407">
    <cfRule type="cellIs" rank="0" priority="804" equalAverage="0" operator="greaterThan" aboveAverage="0" dxfId="10" text="" percent="0" bottom="0">
      <formula>GecOdemeEsik</formula>
    </cfRule>
  </conditionalFormatting>
  <conditionalFormatting sqref="E407">
    <cfRule type="cellIs" rank="0" priority="805" equalAverage="0" operator="greaterThan" aboveAverage="0" dxfId="8" text="" percent="0" bottom="0">
      <formula>0</formula>
    </cfRule>
  </conditionalFormatting>
  <conditionalFormatting sqref="D408">
    <cfRule type="cellIs" rank="0" priority="806" equalAverage="0" operator="greaterThan" aboveAverage="0" dxfId="10" text="" percent="0" bottom="0">
      <formula>GecOdemeEsik</formula>
    </cfRule>
  </conditionalFormatting>
  <conditionalFormatting sqref="E408">
    <cfRule type="cellIs" rank="0" priority="807" equalAverage="0" operator="greaterThan" aboveAverage="0" dxfId="8" text="" percent="0" bottom="0">
      <formula>0</formula>
    </cfRule>
  </conditionalFormatting>
  <conditionalFormatting sqref="D409">
    <cfRule type="cellIs" rank="0" priority="808" equalAverage="0" operator="greaterThan" aboveAverage="0" dxfId="10" text="" percent="0" bottom="0">
      <formula>GecOdemeEsik</formula>
    </cfRule>
  </conditionalFormatting>
  <conditionalFormatting sqref="E409">
    <cfRule type="cellIs" rank="0" priority="809" equalAverage="0" operator="greaterThan" aboveAverage="0" dxfId="8" text="" percent="0" bottom="0">
      <formula>0</formula>
    </cfRule>
  </conditionalFormatting>
  <conditionalFormatting sqref="D410">
    <cfRule type="cellIs" rank="0" priority="810" equalAverage="0" operator="greaterThan" aboveAverage="0" dxfId="10" text="" percent="0" bottom="0">
      <formula>GecOdemeEsik</formula>
    </cfRule>
  </conditionalFormatting>
  <conditionalFormatting sqref="E410">
    <cfRule type="cellIs" rank="0" priority="811" equalAverage="0" operator="greaterThan" aboveAverage="0" dxfId="8" text="" percent="0" bottom="0">
      <formula>0</formula>
    </cfRule>
  </conditionalFormatting>
  <conditionalFormatting sqref="D411">
    <cfRule type="cellIs" rank="0" priority="812" equalAverage="0" operator="greaterThan" aboveAverage="0" dxfId="10" text="" percent="0" bottom="0">
      <formula>GecOdemeEsik</formula>
    </cfRule>
  </conditionalFormatting>
  <conditionalFormatting sqref="E411">
    <cfRule type="cellIs" rank="0" priority="813" equalAverage="0" operator="greaterThan" aboveAverage="0" dxfId="8" text="" percent="0" bottom="0">
      <formula>0</formula>
    </cfRule>
  </conditionalFormatting>
  <conditionalFormatting sqref="D412">
    <cfRule type="cellIs" rank="0" priority="814" equalAverage="0" operator="greaterThan" aboveAverage="0" dxfId="10" text="" percent="0" bottom="0">
      <formula>GecOdemeEsik</formula>
    </cfRule>
  </conditionalFormatting>
  <conditionalFormatting sqref="E412">
    <cfRule type="cellIs" rank="0" priority="815" equalAverage="0" operator="greaterThan" aboveAverage="0" dxfId="8" text="" percent="0" bottom="0">
      <formula>0</formula>
    </cfRule>
  </conditionalFormatting>
  <conditionalFormatting sqref="D413">
    <cfRule type="cellIs" rank="0" priority="816" equalAverage="0" operator="greaterThan" aboveAverage="0" dxfId="10" text="" percent="0" bottom="0">
      <formula>GecOdemeEsik</formula>
    </cfRule>
  </conditionalFormatting>
  <conditionalFormatting sqref="E413">
    <cfRule type="cellIs" rank="0" priority="817" equalAverage="0" operator="greaterThan" aboveAverage="0" dxfId="8" text="" percent="0" bottom="0">
      <formula>0</formula>
    </cfRule>
  </conditionalFormatting>
  <conditionalFormatting sqref="D414">
    <cfRule type="cellIs" rank="0" priority="818" equalAverage="0" operator="greaterThan" aboveAverage="0" dxfId="10" text="" percent="0" bottom="0">
      <formula>GecOdemeEsik</formula>
    </cfRule>
  </conditionalFormatting>
  <conditionalFormatting sqref="E414">
    <cfRule type="cellIs" rank="0" priority="819" equalAverage="0" operator="greaterThan" aboveAverage="0" dxfId="8" text="" percent="0" bottom="0">
      <formula>0</formula>
    </cfRule>
  </conditionalFormatting>
  <conditionalFormatting sqref="D415">
    <cfRule type="cellIs" rank="0" priority="820" equalAverage="0" operator="greaterThan" aboveAverage="0" dxfId="10" text="" percent="0" bottom="0">
      <formula>GecOdemeEsik</formula>
    </cfRule>
  </conditionalFormatting>
  <conditionalFormatting sqref="E415">
    <cfRule type="cellIs" rank="0" priority="821" equalAverage="0" operator="greaterThan" aboveAverage="0" dxfId="8" text="" percent="0" bottom="0">
      <formula>0</formula>
    </cfRule>
  </conditionalFormatting>
  <conditionalFormatting sqref="D416">
    <cfRule type="cellIs" rank="0" priority="822" equalAverage="0" operator="greaterThan" aboveAverage="0" dxfId="10" text="" percent="0" bottom="0">
      <formula>GecOdemeEsik</formula>
    </cfRule>
  </conditionalFormatting>
  <conditionalFormatting sqref="E416">
    <cfRule type="cellIs" rank="0" priority="823" equalAverage="0" operator="greaterThan" aboveAverage="0" dxfId="8" text="" percent="0" bottom="0">
      <formula>0</formula>
    </cfRule>
  </conditionalFormatting>
  <conditionalFormatting sqref="D417">
    <cfRule type="cellIs" rank="0" priority="824" equalAverage="0" operator="greaterThan" aboveAverage="0" dxfId="10" text="" percent="0" bottom="0">
      <formula>GecOdemeEsik</formula>
    </cfRule>
  </conditionalFormatting>
  <conditionalFormatting sqref="E417">
    <cfRule type="cellIs" rank="0" priority="825" equalAverage="0" operator="greaterThan" aboveAverage="0" dxfId="8" text="" percent="0" bottom="0">
      <formula>0</formula>
    </cfRule>
  </conditionalFormatting>
  <conditionalFormatting sqref="D418">
    <cfRule type="cellIs" rank="0" priority="826" equalAverage="0" operator="greaterThan" aboveAverage="0" dxfId="10" text="" percent="0" bottom="0">
      <formula>GecOdemeEsik</formula>
    </cfRule>
  </conditionalFormatting>
  <conditionalFormatting sqref="E418">
    <cfRule type="cellIs" rank="0" priority="827" equalAverage="0" operator="greaterThan" aboveAverage="0" dxfId="8" text="" percent="0" bottom="0">
      <formula>0</formula>
    </cfRule>
  </conditionalFormatting>
  <conditionalFormatting sqref="D419">
    <cfRule type="cellIs" rank="0" priority="828" equalAverage="0" operator="greaterThan" aboveAverage="0" dxfId="10" text="" percent="0" bottom="0">
      <formula>GecOdemeEsik</formula>
    </cfRule>
  </conditionalFormatting>
  <conditionalFormatting sqref="E419">
    <cfRule type="cellIs" rank="0" priority="829" equalAverage="0" operator="greaterThan" aboveAverage="0" dxfId="8" text="" percent="0" bottom="0">
      <formula>0</formula>
    </cfRule>
  </conditionalFormatting>
  <conditionalFormatting sqref="D420">
    <cfRule type="cellIs" rank="0" priority="830" equalAverage="0" operator="greaterThan" aboveAverage="0" dxfId="10" text="" percent="0" bottom="0">
      <formula>GecOdemeEsik</formula>
    </cfRule>
  </conditionalFormatting>
  <conditionalFormatting sqref="E420">
    <cfRule type="cellIs" rank="0" priority="831" equalAverage="0" operator="greaterThan" aboveAverage="0" dxfId="8" text="" percent="0" bottom="0">
      <formula>0</formula>
    </cfRule>
  </conditionalFormatting>
  <conditionalFormatting sqref="D421">
    <cfRule type="cellIs" rank="0" priority="832" equalAverage="0" operator="greaterThan" aboveAverage="0" dxfId="10" text="" percent="0" bottom="0">
      <formula>GecOdemeEsik</formula>
    </cfRule>
  </conditionalFormatting>
  <conditionalFormatting sqref="E421">
    <cfRule type="cellIs" rank="0" priority="833" equalAverage="0" operator="greaterThan" aboveAverage="0" dxfId="8" text="" percent="0" bottom="0">
      <formula>0</formula>
    </cfRule>
  </conditionalFormatting>
  <conditionalFormatting sqref="D422">
    <cfRule type="cellIs" rank="0" priority="834" equalAverage="0" operator="greaterThan" aboveAverage="0" dxfId="10" text="" percent="0" bottom="0">
      <formula>GecOdemeEsik</formula>
    </cfRule>
  </conditionalFormatting>
  <conditionalFormatting sqref="E422">
    <cfRule type="cellIs" rank="0" priority="835" equalAverage="0" operator="greaterThan" aboveAverage="0" dxfId="8" text="" percent="0" bottom="0">
      <formula>0</formula>
    </cfRule>
  </conditionalFormatting>
  <conditionalFormatting sqref="D423">
    <cfRule type="cellIs" rank="0" priority="836" equalAverage="0" operator="greaterThan" aboveAverage="0" dxfId="10" text="" percent="0" bottom="0">
      <formula>GecOdemeEsik</formula>
    </cfRule>
  </conditionalFormatting>
  <conditionalFormatting sqref="E423">
    <cfRule type="cellIs" rank="0" priority="837" equalAverage="0" operator="greaterThan" aboveAverage="0" dxfId="8" text="" percent="0" bottom="0">
      <formula>0</formula>
    </cfRule>
  </conditionalFormatting>
  <conditionalFormatting sqref="D424">
    <cfRule type="cellIs" rank="0" priority="838" equalAverage="0" operator="greaterThan" aboveAverage="0" dxfId="10" text="" percent="0" bottom="0">
      <formula>GecOdemeEsik</formula>
    </cfRule>
  </conditionalFormatting>
  <conditionalFormatting sqref="E424">
    <cfRule type="cellIs" rank="0" priority="839" equalAverage="0" operator="greaterThan" aboveAverage="0" dxfId="8" text="" percent="0" bottom="0">
      <formula>0</formula>
    </cfRule>
  </conditionalFormatting>
  <conditionalFormatting sqref="D425">
    <cfRule type="cellIs" rank="0" priority="840" equalAverage="0" operator="greaterThan" aboveAverage="0" dxfId="10" text="" percent="0" bottom="0">
      <formula>GecOdemeEsik</formula>
    </cfRule>
  </conditionalFormatting>
  <conditionalFormatting sqref="E425">
    <cfRule type="cellIs" rank="0" priority="841" equalAverage="0" operator="greaterThan" aboveAverage="0" dxfId="8" text="" percent="0" bottom="0">
      <formula>0</formula>
    </cfRule>
  </conditionalFormatting>
  <conditionalFormatting sqref="D426">
    <cfRule type="cellIs" rank="0" priority="842" equalAverage="0" operator="greaterThan" aboveAverage="0" dxfId="10" text="" percent="0" bottom="0">
      <formula>GecOdemeEsik</formula>
    </cfRule>
  </conditionalFormatting>
  <conditionalFormatting sqref="E426">
    <cfRule type="cellIs" rank="0" priority="843" equalAverage="0" operator="greaterThan" aboveAverage="0" dxfId="8" text="" percent="0" bottom="0">
      <formula>0</formula>
    </cfRule>
  </conditionalFormatting>
  <conditionalFormatting sqref="D427">
    <cfRule type="cellIs" rank="0" priority="844" equalAverage="0" operator="greaterThan" aboveAverage="0" dxfId="10" text="" percent="0" bottom="0">
      <formula>GecOdemeEsik</formula>
    </cfRule>
  </conditionalFormatting>
  <conditionalFormatting sqref="E427">
    <cfRule type="cellIs" rank="0" priority="845" equalAverage="0" operator="greaterThan" aboveAverage="0" dxfId="8" text="" percent="0" bottom="0">
      <formula>0</formula>
    </cfRule>
  </conditionalFormatting>
  <conditionalFormatting sqref="D428">
    <cfRule type="cellIs" rank="0" priority="846" equalAverage="0" operator="greaterThan" aboveAverage="0" dxfId="10" text="" percent="0" bottom="0">
      <formula>GecOdemeEsik</formula>
    </cfRule>
  </conditionalFormatting>
  <conditionalFormatting sqref="E428">
    <cfRule type="cellIs" rank="0" priority="847" equalAverage="0" operator="greaterThan" aboveAverage="0" dxfId="8" text="" percent="0" bottom="0">
      <formula>0</formula>
    </cfRule>
  </conditionalFormatting>
  <conditionalFormatting sqref="D429">
    <cfRule type="cellIs" rank="0" priority="848" equalAverage="0" operator="greaterThan" aboveAverage="0" dxfId="10" text="" percent="0" bottom="0">
      <formula>GecOdemeEsik</formula>
    </cfRule>
  </conditionalFormatting>
  <conditionalFormatting sqref="E429">
    <cfRule type="cellIs" rank="0" priority="849" equalAverage="0" operator="greaterThan" aboveAverage="0" dxfId="8" text="" percent="0" bottom="0">
      <formula>0</formula>
    </cfRule>
  </conditionalFormatting>
  <conditionalFormatting sqref="D430">
    <cfRule type="cellIs" rank="0" priority="850" equalAverage="0" operator="greaterThan" aboveAverage="0" dxfId="10" text="" percent="0" bottom="0">
      <formula>GecOdemeEsik</formula>
    </cfRule>
  </conditionalFormatting>
  <conditionalFormatting sqref="E430">
    <cfRule type="cellIs" rank="0" priority="851" equalAverage="0" operator="greaterThan" aboveAverage="0" dxfId="8" text="" percent="0" bottom="0">
      <formula>0</formula>
    </cfRule>
  </conditionalFormatting>
  <conditionalFormatting sqref="D431">
    <cfRule type="cellIs" rank="0" priority="852" equalAverage="0" operator="greaterThan" aboveAverage="0" dxfId="10" text="" percent="0" bottom="0">
      <formula>GecOdemeEsik</formula>
    </cfRule>
  </conditionalFormatting>
  <conditionalFormatting sqref="E431">
    <cfRule type="cellIs" rank="0" priority="853" equalAverage="0" operator="greaterThan" aboveAverage="0" dxfId="8" text="" percent="0" bottom="0">
      <formula>0</formula>
    </cfRule>
  </conditionalFormatting>
  <conditionalFormatting sqref="D432">
    <cfRule type="cellIs" rank="0" priority="854" equalAverage="0" operator="greaterThan" aboveAverage="0" dxfId="10" text="" percent="0" bottom="0">
      <formula>GecOdemeEsik</formula>
    </cfRule>
  </conditionalFormatting>
  <conditionalFormatting sqref="E432">
    <cfRule type="cellIs" rank="0" priority="855" equalAverage="0" operator="greaterThan" aboveAverage="0" dxfId="8" text="" percent="0" bottom="0">
      <formula>0</formula>
    </cfRule>
  </conditionalFormatting>
  <conditionalFormatting sqref="D433">
    <cfRule type="cellIs" rank="0" priority="856" equalAverage="0" operator="greaterThan" aboveAverage="0" dxfId="10" text="" percent="0" bottom="0">
      <formula>GecOdemeEsik</formula>
    </cfRule>
  </conditionalFormatting>
  <conditionalFormatting sqref="E433">
    <cfRule type="cellIs" rank="0" priority="857" equalAverage="0" operator="greaterThan" aboveAverage="0" dxfId="8" text="" percent="0" bottom="0">
      <formula>0</formula>
    </cfRule>
  </conditionalFormatting>
  <conditionalFormatting sqref="D434">
    <cfRule type="cellIs" rank="0" priority="858" equalAverage="0" operator="greaterThan" aboveAverage="0" dxfId="10" text="" percent="0" bottom="0">
      <formula>GecOdemeEsik</formula>
    </cfRule>
  </conditionalFormatting>
  <conditionalFormatting sqref="E434">
    <cfRule type="cellIs" rank="0" priority="859" equalAverage="0" operator="greaterThan" aboveAverage="0" dxfId="8" text="" percent="0" bottom="0">
      <formula>0</formula>
    </cfRule>
  </conditionalFormatting>
  <conditionalFormatting sqref="D435">
    <cfRule type="cellIs" rank="0" priority="860" equalAverage="0" operator="greaterThan" aboveAverage="0" dxfId="10" text="" percent="0" bottom="0">
      <formula>GecOdemeEsik</formula>
    </cfRule>
  </conditionalFormatting>
  <conditionalFormatting sqref="E435">
    <cfRule type="cellIs" rank="0" priority="861" equalAverage="0" operator="greaterThan" aboveAverage="0" dxfId="8" text="" percent="0" bottom="0">
      <formula>0</formula>
    </cfRule>
  </conditionalFormatting>
  <conditionalFormatting sqref="D436">
    <cfRule type="cellIs" rank="0" priority="862" equalAverage="0" operator="greaterThan" aboveAverage="0" dxfId="10" text="" percent="0" bottom="0">
      <formula>GecOdemeEsik</formula>
    </cfRule>
  </conditionalFormatting>
  <conditionalFormatting sqref="E436">
    <cfRule type="cellIs" rank="0" priority="863" equalAverage="0" operator="greaterThan" aboveAverage="0" dxfId="8" text="" percent="0" bottom="0">
      <formula>0</formula>
    </cfRule>
  </conditionalFormatting>
  <conditionalFormatting sqref="D437">
    <cfRule type="cellIs" rank="0" priority="864" equalAverage="0" operator="greaterThan" aboveAverage="0" dxfId="10" text="" percent="0" bottom="0">
      <formula>GecOdemeEsik</formula>
    </cfRule>
  </conditionalFormatting>
  <conditionalFormatting sqref="E437">
    <cfRule type="cellIs" rank="0" priority="865" equalAverage="0" operator="greaterThan" aboveAverage="0" dxfId="8" text="" percent="0" bottom="0">
      <formula>0</formula>
    </cfRule>
  </conditionalFormatting>
  <conditionalFormatting sqref="D438">
    <cfRule type="cellIs" rank="0" priority="866" equalAverage="0" operator="greaterThan" aboveAverage="0" dxfId="10" text="" percent="0" bottom="0">
      <formula>GecOdemeEsik</formula>
    </cfRule>
  </conditionalFormatting>
  <conditionalFormatting sqref="E438">
    <cfRule type="cellIs" rank="0" priority="867" equalAverage="0" operator="greaterThan" aboveAverage="0" dxfId="8" text="" percent="0" bottom="0">
      <formula>0</formula>
    </cfRule>
  </conditionalFormatting>
  <conditionalFormatting sqref="D439">
    <cfRule type="cellIs" rank="0" priority="868" equalAverage="0" operator="greaterThan" aboveAverage="0" dxfId="10" text="" percent="0" bottom="0">
      <formula>GecOdemeEsik</formula>
    </cfRule>
  </conditionalFormatting>
  <conditionalFormatting sqref="E439">
    <cfRule type="cellIs" rank="0" priority="869" equalAverage="0" operator="greaterThan" aboveAverage="0" dxfId="8" text="" percent="0" bottom="0">
      <formula>0</formula>
    </cfRule>
  </conditionalFormatting>
  <conditionalFormatting sqref="D440">
    <cfRule type="cellIs" rank="0" priority="870" equalAverage="0" operator="greaterThan" aboveAverage="0" dxfId="10" text="" percent="0" bottom="0">
      <formula>GecOdemeEsik</formula>
    </cfRule>
  </conditionalFormatting>
  <conditionalFormatting sqref="E440">
    <cfRule type="cellIs" rank="0" priority="871" equalAverage="0" operator="greaterThan" aboveAverage="0" dxfId="8" text="" percent="0" bottom="0">
      <formula>0</formula>
    </cfRule>
  </conditionalFormatting>
  <conditionalFormatting sqref="D441">
    <cfRule type="cellIs" rank="0" priority="872" equalAverage="0" operator="greaterThan" aboveAverage="0" dxfId="10" text="" percent="0" bottom="0">
      <formula>GecOdemeEsik</formula>
    </cfRule>
  </conditionalFormatting>
  <conditionalFormatting sqref="E441">
    <cfRule type="cellIs" rank="0" priority="873" equalAverage="0" operator="greaterThan" aboveAverage="0" dxfId="8" text="" percent="0" bottom="0">
      <formula>0</formula>
    </cfRule>
  </conditionalFormatting>
  <conditionalFormatting sqref="D442">
    <cfRule type="cellIs" rank="0" priority="874" equalAverage="0" operator="greaterThan" aboveAverage="0" dxfId="10" text="" percent="0" bottom="0">
      <formula>GecOdemeEsik</formula>
    </cfRule>
  </conditionalFormatting>
  <conditionalFormatting sqref="E442">
    <cfRule type="cellIs" rank="0" priority="875" equalAverage="0" operator="greaterThan" aboveAverage="0" dxfId="8" text="" percent="0" bottom="0">
      <formula>0</formula>
    </cfRule>
  </conditionalFormatting>
  <conditionalFormatting sqref="D443">
    <cfRule type="cellIs" rank="0" priority="876" equalAverage="0" operator="greaterThan" aboveAverage="0" dxfId="10" text="" percent="0" bottom="0">
      <formula>GecOdemeEsik</formula>
    </cfRule>
  </conditionalFormatting>
  <conditionalFormatting sqref="E443">
    <cfRule type="cellIs" rank="0" priority="877" equalAverage="0" operator="greaterThan" aboveAverage="0" dxfId="8" text="" percent="0" bottom="0">
      <formula>0</formula>
    </cfRule>
  </conditionalFormatting>
  <conditionalFormatting sqref="D444">
    <cfRule type="cellIs" rank="0" priority="878" equalAverage="0" operator="greaterThan" aboveAverage="0" dxfId="10" text="" percent="0" bottom="0">
      <formula>GecOdemeEsik</formula>
    </cfRule>
  </conditionalFormatting>
  <conditionalFormatting sqref="E444">
    <cfRule type="cellIs" rank="0" priority="879" equalAverage="0" operator="greaterThan" aboveAverage="0" dxfId="8" text="" percent="0" bottom="0">
      <formula>0</formula>
    </cfRule>
  </conditionalFormatting>
  <conditionalFormatting sqref="D445">
    <cfRule type="cellIs" rank="0" priority="880" equalAverage="0" operator="greaterThan" aboveAverage="0" dxfId="10" text="" percent="0" bottom="0">
      <formula>GecOdemeEsik</formula>
    </cfRule>
  </conditionalFormatting>
  <conditionalFormatting sqref="E445">
    <cfRule type="cellIs" rank="0" priority="881" equalAverage="0" operator="greaterThan" aboveAverage="0" dxfId="8" text="" percent="0" bottom="0">
      <formula>0</formula>
    </cfRule>
  </conditionalFormatting>
  <conditionalFormatting sqref="D446">
    <cfRule type="cellIs" rank="0" priority="882" equalAverage="0" operator="greaterThan" aboveAverage="0" dxfId="10" text="" percent="0" bottom="0">
      <formula>GecOdemeEsik</formula>
    </cfRule>
  </conditionalFormatting>
  <conditionalFormatting sqref="E446">
    <cfRule type="cellIs" rank="0" priority="883" equalAverage="0" operator="greaterThan" aboveAverage="0" dxfId="8" text="" percent="0" bottom="0">
      <formula>0</formula>
    </cfRule>
  </conditionalFormatting>
  <conditionalFormatting sqref="D447">
    <cfRule type="cellIs" rank="0" priority="884" equalAverage="0" operator="greaterThan" aboveAverage="0" dxfId="10" text="" percent="0" bottom="0">
      <formula>GecOdemeEsik</formula>
    </cfRule>
  </conditionalFormatting>
  <conditionalFormatting sqref="E447">
    <cfRule type="cellIs" rank="0" priority="885" equalAverage="0" operator="greaterThan" aboveAverage="0" dxfId="8" text="" percent="0" bottom="0">
      <formula>0</formula>
    </cfRule>
  </conditionalFormatting>
  <conditionalFormatting sqref="D448">
    <cfRule type="cellIs" rank="0" priority="886" equalAverage="0" operator="greaterThan" aboveAverage="0" dxfId="10" text="" percent="0" bottom="0">
      <formula>GecOdemeEsik</formula>
    </cfRule>
  </conditionalFormatting>
  <conditionalFormatting sqref="E448">
    <cfRule type="cellIs" rank="0" priority="887" equalAverage="0" operator="greaterThan" aboveAverage="0" dxfId="8" text="" percent="0" bottom="0">
      <formula>0</formula>
    </cfRule>
  </conditionalFormatting>
  <conditionalFormatting sqref="D449">
    <cfRule type="cellIs" rank="0" priority="888" equalAverage="0" operator="greaterThan" aboveAverage="0" dxfId="10" text="" percent="0" bottom="0">
      <formula>GecOdemeEsik</formula>
    </cfRule>
  </conditionalFormatting>
  <conditionalFormatting sqref="E449">
    <cfRule type="cellIs" rank="0" priority="889" equalAverage="0" operator="greaterThan" aboveAverage="0" dxfId="8" text="" percent="0" bottom="0">
      <formula>0</formula>
    </cfRule>
  </conditionalFormatting>
  <conditionalFormatting sqref="D450">
    <cfRule type="cellIs" rank="0" priority="890" equalAverage="0" operator="greaterThan" aboveAverage="0" dxfId="10" text="" percent="0" bottom="0">
      <formula>GecOdemeEsik</formula>
    </cfRule>
  </conditionalFormatting>
  <conditionalFormatting sqref="E450">
    <cfRule type="cellIs" rank="0" priority="891" equalAverage="0" operator="greaterThan" aboveAverage="0" dxfId="8" text="" percent="0" bottom="0">
      <formula>0</formula>
    </cfRule>
  </conditionalFormatting>
  <conditionalFormatting sqref="D451">
    <cfRule type="cellIs" rank="0" priority="892" equalAverage="0" operator="greaterThan" aboveAverage="0" dxfId="10" text="" percent="0" bottom="0">
      <formula>GecOdemeEsik</formula>
    </cfRule>
  </conditionalFormatting>
  <conditionalFormatting sqref="E451">
    <cfRule type="cellIs" rank="0" priority="893" equalAverage="0" operator="greaterThan" aboveAverage="0" dxfId="8" text="" percent="0" bottom="0">
      <formula>0</formula>
    </cfRule>
  </conditionalFormatting>
  <conditionalFormatting sqref="D452">
    <cfRule type="cellIs" rank="0" priority="894" equalAverage="0" operator="greaterThan" aboveAverage="0" dxfId="10" text="" percent="0" bottom="0">
      <formula>GecOdemeEsik</formula>
    </cfRule>
  </conditionalFormatting>
  <conditionalFormatting sqref="E452">
    <cfRule type="cellIs" rank="0" priority="895" equalAverage="0" operator="greaterThan" aboveAverage="0" dxfId="8" text="" percent="0" bottom="0">
      <formula>0</formula>
    </cfRule>
  </conditionalFormatting>
  <conditionalFormatting sqref="D453">
    <cfRule type="cellIs" rank="0" priority="896" equalAverage="0" operator="greaterThan" aboveAverage="0" dxfId="10" text="" percent="0" bottom="0">
      <formula>GecOdemeEsik</formula>
    </cfRule>
  </conditionalFormatting>
  <conditionalFormatting sqref="E453">
    <cfRule type="cellIs" rank="0" priority="897" equalAverage="0" operator="greaterThan" aboveAverage="0" dxfId="8" text="" percent="0" bottom="0">
      <formula>0</formula>
    </cfRule>
  </conditionalFormatting>
  <conditionalFormatting sqref="D454">
    <cfRule type="cellIs" rank="0" priority="898" equalAverage="0" operator="greaterThan" aboveAverage="0" dxfId="10" text="" percent="0" bottom="0">
      <formula>GecOdemeEsik</formula>
    </cfRule>
  </conditionalFormatting>
  <conditionalFormatting sqref="E454">
    <cfRule type="cellIs" rank="0" priority="899" equalAverage="0" operator="greaterThan" aboveAverage="0" dxfId="8" text="" percent="0" bottom="0">
      <formula>0</formula>
    </cfRule>
  </conditionalFormatting>
  <conditionalFormatting sqref="D455">
    <cfRule type="cellIs" rank="0" priority="900" equalAverage="0" operator="greaterThan" aboveAverage="0" dxfId="10" text="" percent="0" bottom="0">
      <formula>GecOdemeEsik</formula>
    </cfRule>
  </conditionalFormatting>
  <conditionalFormatting sqref="E455">
    <cfRule type="cellIs" rank="0" priority="901" equalAverage="0" operator="greaterThan" aboveAverage="0" dxfId="8" text="" percent="0" bottom="0">
      <formula>0</formula>
    </cfRule>
  </conditionalFormatting>
  <conditionalFormatting sqref="D456">
    <cfRule type="cellIs" rank="0" priority="902" equalAverage="0" operator="greaterThan" aboveAverage="0" dxfId="10" text="" percent="0" bottom="0">
      <formula>GecOdemeEsik</formula>
    </cfRule>
  </conditionalFormatting>
  <conditionalFormatting sqref="E456">
    <cfRule type="cellIs" rank="0" priority="903" equalAverage="0" operator="greaterThan" aboveAverage="0" dxfId="8" text="" percent="0" bottom="0">
      <formula>0</formula>
    </cfRule>
  </conditionalFormatting>
  <conditionalFormatting sqref="D457">
    <cfRule type="cellIs" rank="0" priority="904" equalAverage="0" operator="greaterThan" aboveAverage="0" dxfId="10" text="" percent="0" bottom="0">
      <formula>GecOdemeEsik</formula>
    </cfRule>
  </conditionalFormatting>
  <conditionalFormatting sqref="E457">
    <cfRule type="cellIs" rank="0" priority="905" equalAverage="0" operator="greaterThan" aboveAverage="0" dxfId="8" text="" percent="0" bottom="0">
      <formula>0</formula>
    </cfRule>
  </conditionalFormatting>
  <conditionalFormatting sqref="D458">
    <cfRule type="cellIs" rank="0" priority="906" equalAverage="0" operator="greaterThan" aboveAverage="0" dxfId="10" text="" percent="0" bottom="0">
      <formula>GecOdemeEsik</formula>
    </cfRule>
  </conditionalFormatting>
  <conditionalFormatting sqref="E458">
    <cfRule type="cellIs" rank="0" priority="907" equalAverage="0" operator="greaterThan" aboveAverage="0" dxfId="8" text="" percent="0" bottom="0">
      <formula>0</formula>
    </cfRule>
  </conditionalFormatting>
  <conditionalFormatting sqref="D459">
    <cfRule type="cellIs" rank="0" priority="908" equalAverage="0" operator="greaterThan" aboveAverage="0" dxfId="10" text="" percent="0" bottom="0">
      <formula>GecOdemeEsik</formula>
    </cfRule>
  </conditionalFormatting>
  <conditionalFormatting sqref="E459">
    <cfRule type="cellIs" rank="0" priority="909" equalAverage="0" operator="greaterThan" aboveAverage="0" dxfId="8" text="" percent="0" bottom="0">
      <formula>0</formula>
    </cfRule>
  </conditionalFormatting>
  <conditionalFormatting sqref="D460">
    <cfRule type="cellIs" rank="0" priority="910" equalAverage="0" operator="greaterThan" aboveAverage="0" dxfId="10" text="" percent="0" bottom="0">
      <formula>GecOdemeEsik</formula>
    </cfRule>
  </conditionalFormatting>
  <conditionalFormatting sqref="E460">
    <cfRule type="cellIs" rank="0" priority="911" equalAverage="0" operator="greaterThan" aboveAverage="0" dxfId="8" text="" percent="0" bottom="0">
      <formula>0</formula>
    </cfRule>
  </conditionalFormatting>
  <conditionalFormatting sqref="D461">
    <cfRule type="cellIs" rank="0" priority="912" equalAverage="0" operator="greaterThan" aboveAverage="0" dxfId="10" text="" percent="0" bottom="0">
      <formula>GecOdemeEsik</formula>
    </cfRule>
  </conditionalFormatting>
  <conditionalFormatting sqref="E461">
    <cfRule type="cellIs" rank="0" priority="913" equalAverage="0" operator="greaterThan" aboveAverage="0" dxfId="8" text="" percent="0" bottom="0">
      <formula>0</formula>
    </cfRule>
  </conditionalFormatting>
  <conditionalFormatting sqref="D462">
    <cfRule type="cellIs" rank="0" priority="914" equalAverage="0" operator="greaterThan" aboveAverage="0" dxfId="10" text="" percent="0" bottom="0">
      <formula>GecOdemeEsik</formula>
    </cfRule>
  </conditionalFormatting>
  <conditionalFormatting sqref="E462">
    <cfRule type="cellIs" rank="0" priority="915" equalAverage="0" operator="greaterThan" aboveAverage="0" dxfId="8" text="" percent="0" bottom="0">
      <formula>0</formula>
    </cfRule>
  </conditionalFormatting>
  <conditionalFormatting sqref="D463">
    <cfRule type="cellIs" rank="0" priority="916" equalAverage="0" operator="greaterThan" aboveAverage="0" dxfId="10" text="" percent="0" bottom="0">
      <formula>GecOdemeEsik</formula>
    </cfRule>
  </conditionalFormatting>
  <conditionalFormatting sqref="E463">
    <cfRule type="cellIs" rank="0" priority="917" equalAverage="0" operator="greaterThan" aboveAverage="0" dxfId="8" text="" percent="0" bottom="0">
      <formula>0</formula>
    </cfRule>
  </conditionalFormatting>
  <conditionalFormatting sqref="D464">
    <cfRule type="cellIs" rank="0" priority="918" equalAverage="0" operator="greaterThan" aboveAverage="0" dxfId="10" text="" percent="0" bottom="0">
      <formula>GecOdemeEsik</formula>
    </cfRule>
  </conditionalFormatting>
  <conditionalFormatting sqref="E464">
    <cfRule type="cellIs" rank="0" priority="919" equalAverage="0" operator="greaterThan" aboveAverage="0" dxfId="8" text="" percent="0" bottom="0">
      <formula>0</formula>
    </cfRule>
  </conditionalFormatting>
  <conditionalFormatting sqref="D465">
    <cfRule type="cellIs" rank="0" priority="920" equalAverage="0" operator="greaterThan" aboveAverage="0" dxfId="10" text="" percent="0" bottom="0">
      <formula>GecOdemeEsik</formula>
    </cfRule>
  </conditionalFormatting>
  <conditionalFormatting sqref="E465">
    <cfRule type="cellIs" rank="0" priority="921" equalAverage="0" operator="greaterThan" aboveAverage="0" dxfId="8" text="" percent="0" bottom="0">
      <formula>0</formula>
    </cfRule>
  </conditionalFormatting>
  <conditionalFormatting sqref="D466">
    <cfRule type="cellIs" rank="0" priority="922" equalAverage="0" operator="greaterThan" aboveAverage="0" dxfId="10" text="" percent="0" bottom="0">
      <formula>GecOdemeEsik</formula>
    </cfRule>
  </conditionalFormatting>
  <conditionalFormatting sqref="E466">
    <cfRule type="cellIs" rank="0" priority="923" equalAverage="0" operator="greaterThan" aboveAverage="0" dxfId="8" text="" percent="0" bottom="0">
      <formula>0</formula>
    </cfRule>
  </conditionalFormatting>
  <conditionalFormatting sqref="D467">
    <cfRule type="cellIs" rank="0" priority="924" equalAverage="0" operator="greaterThan" aboveAverage="0" dxfId="10" text="" percent="0" bottom="0">
      <formula>GecOdemeEsik</formula>
    </cfRule>
  </conditionalFormatting>
  <conditionalFormatting sqref="E467">
    <cfRule type="cellIs" rank="0" priority="925" equalAverage="0" operator="greaterThan" aboveAverage="0" dxfId="8" text="" percent="0" bottom="0">
      <formula>0</formula>
    </cfRule>
  </conditionalFormatting>
  <conditionalFormatting sqref="D468">
    <cfRule type="cellIs" rank="0" priority="926" equalAverage="0" operator="greaterThan" aboveAverage="0" dxfId="10" text="" percent="0" bottom="0">
      <formula>GecOdemeEsik</formula>
    </cfRule>
  </conditionalFormatting>
  <conditionalFormatting sqref="E468">
    <cfRule type="cellIs" rank="0" priority="927" equalAverage="0" operator="greaterThan" aboveAverage="0" dxfId="8" text="" percent="0" bottom="0">
      <formula>0</formula>
    </cfRule>
  </conditionalFormatting>
  <conditionalFormatting sqref="D469">
    <cfRule type="cellIs" rank="0" priority="928" equalAverage="0" operator="greaterThan" aboveAverage="0" dxfId="10" text="" percent="0" bottom="0">
      <formula>GecOdemeEsik</formula>
    </cfRule>
  </conditionalFormatting>
  <conditionalFormatting sqref="E469">
    <cfRule type="cellIs" rank="0" priority="929" equalAverage="0" operator="greaterThan" aboveAverage="0" dxfId="8" text="" percent="0" bottom="0">
      <formula>0</formula>
    </cfRule>
  </conditionalFormatting>
  <conditionalFormatting sqref="D470">
    <cfRule type="cellIs" rank="0" priority="930" equalAverage="0" operator="greaterThan" aboveAverage="0" dxfId="10" text="" percent="0" bottom="0">
      <formula>GecOdemeEsik</formula>
    </cfRule>
  </conditionalFormatting>
  <conditionalFormatting sqref="E470">
    <cfRule type="cellIs" rank="0" priority="931" equalAverage="0" operator="greaterThan" aboveAverage="0" dxfId="8" text="" percent="0" bottom="0">
      <formula>0</formula>
    </cfRule>
  </conditionalFormatting>
  <conditionalFormatting sqref="D471">
    <cfRule type="cellIs" rank="0" priority="932" equalAverage="0" operator="greaterThan" aboveAverage="0" dxfId="10" text="" percent="0" bottom="0">
      <formula>GecOdemeEsik</formula>
    </cfRule>
  </conditionalFormatting>
  <conditionalFormatting sqref="E471">
    <cfRule type="cellIs" rank="0" priority="933" equalAverage="0" operator="greaterThan" aboveAverage="0" dxfId="8" text="" percent="0" bottom="0">
      <formula>0</formula>
    </cfRule>
  </conditionalFormatting>
  <conditionalFormatting sqref="D472">
    <cfRule type="cellIs" rank="0" priority="934" equalAverage="0" operator="greaterThan" aboveAverage="0" dxfId="10" text="" percent="0" bottom="0">
      <formula>GecOdemeEsik</formula>
    </cfRule>
  </conditionalFormatting>
  <conditionalFormatting sqref="E472">
    <cfRule type="cellIs" rank="0" priority="935" equalAverage="0" operator="greaterThan" aboveAverage="0" dxfId="8" text="" percent="0" bottom="0">
      <formula>0</formula>
    </cfRule>
  </conditionalFormatting>
  <conditionalFormatting sqref="D473">
    <cfRule type="cellIs" rank="0" priority="936" equalAverage="0" operator="greaterThan" aboveAverage="0" dxfId="10" text="" percent="0" bottom="0">
      <formula>GecOdemeEsik</formula>
    </cfRule>
  </conditionalFormatting>
  <conditionalFormatting sqref="E473">
    <cfRule type="cellIs" rank="0" priority="937" equalAverage="0" operator="greaterThan" aboveAverage="0" dxfId="8" text="" percent="0" bottom="0">
      <formula>0</formula>
    </cfRule>
  </conditionalFormatting>
  <conditionalFormatting sqref="D474">
    <cfRule type="cellIs" rank="0" priority="938" equalAverage="0" operator="greaterThan" aboveAverage="0" dxfId="10" text="" percent="0" bottom="0">
      <formula>GecOdemeEsik</formula>
    </cfRule>
  </conditionalFormatting>
  <conditionalFormatting sqref="E474">
    <cfRule type="cellIs" rank="0" priority="939" equalAverage="0" operator="greaterThan" aboveAverage="0" dxfId="8" text="" percent="0" bottom="0">
      <formula>0</formula>
    </cfRule>
  </conditionalFormatting>
  <conditionalFormatting sqref="D475">
    <cfRule type="cellIs" rank="0" priority="940" equalAverage="0" operator="greaterThan" aboveAverage="0" dxfId="10" text="" percent="0" bottom="0">
      <formula>GecOdemeEsik</formula>
    </cfRule>
  </conditionalFormatting>
  <conditionalFormatting sqref="E475">
    <cfRule type="cellIs" rank="0" priority="941" equalAverage="0" operator="greaterThan" aboveAverage="0" dxfId="8" text="" percent="0" bottom="0">
      <formula>0</formula>
    </cfRule>
  </conditionalFormatting>
  <conditionalFormatting sqref="D476">
    <cfRule type="cellIs" rank="0" priority="942" equalAverage="0" operator="greaterThan" aboveAverage="0" dxfId="10" text="" percent="0" bottom="0">
      <formula>GecOdemeEsik</formula>
    </cfRule>
  </conditionalFormatting>
  <conditionalFormatting sqref="E476">
    <cfRule type="cellIs" rank="0" priority="943" equalAverage="0" operator="greaterThan" aboveAverage="0" dxfId="8" text="" percent="0" bottom="0">
      <formula>0</formula>
    </cfRule>
  </conditionalFormatting>
  <conditionalFormatting sqref="D477">
    <cfRule type="cellIs" rank="0" priority="944" equalAverage="0" operator="greaterThan" aboveAverage="0" dxfId="10" text="" percent="0" bottom="0">
      <formula>GecOdemeEsik</formula>
    </cfRule>
  </conditionalFormatting>
  <conditionalFormatting sqref="E477">
    <cfRule type="cellIs" rank="0" priority="945" equalAverage="0" operator="greaterThan" aboveAverage="0" dxfId="8" text="" percent="0" bottom="0">
      <formula>0</formula>
    </cfRule>
  </conditionalFormatting>
  <conditionalFormatting sqref="D478">
    <cfRule type="cellIs" rank="0" priority="946" equalAverage="0" operator="greaterThan" aboveAverage="0" dxfId="10" text="" percent="0" bottom="0">
      <formula>GecOdemeEsik</formula>
    </cfRule>
  </conditionalFormatting>
  <conditionalFormatting sqref="E478">
    <cfRule type="cellIs" rank="0" priority="947" equalAverage="0" operator="greaterThan" aboveAverage="0" dxfId="8" text="" percent="0" bottom="0">
      <formula>0</formula>
    </cfRule>
  </conditionalFormatting>
  <conditionalFormatting sqref="D479">
    <cfRule type="cellIs" rank="0" priority="948" equalAverage="0" operator="greaterThan" aboveAverage="0" dxfId="10" text="" percent="0" bottom="0">
      <formula>GecOdemeEsik</formula>
    </cfRule>
  </conditionalFormatting>
  <conditionalFormatting sqref="E479">
    <cfRule type="cellIs" rank="0" priority="949" equalAverage="0" operator="greaterThan" aboveAverage="0" dxfId="8" text="" percent="0" bottom="0">
      <formula>0</formula>
    </cfRule>
  </conditionalFormatting>
  <conditionalFormatting sqref="D480">
    <cfRule type="cellIs" rank="0" priority="950" equalAverage="0" operator="greaterThan" aboveAverage="0" dxfId="10" text="" percent="0" bottom="0">
      <formula>GecOdemeEsik</formula>
    </cfRule>
  </conditionalFormatting>
  <conditionalFormatting sqref="E480">
    <cfRule type="cellIs" rank="0" priority="951" equalAverage="0" operator="greaterThan" aboveAverage="0" dxfId="8" text="" percent="0" bottom="0">
      <formula>0</formula>
    </cfRule>
  </conditionalFormatting>
  <conditionalFormatting sqref="D481">
    <cfRule type="cellIs" rank="0" priority="952" equalAverage="0" operator="greaterThan" aboveAverage="0" dxfId="10" text="" percent="0" bottom="0">
      <formula>GecOdemeEsik</formula>
    </cfRule>
  </conditionalFormatting>
  <conditionalFormatting sqref="E481">
    <cfRule type="cellIs" rank="0" priority="953" equalAverage="0" operator="greaterThan" aboveAverage="0" dxfId="8" text="" percent="0" bottom="0">
      <formula>0</formula>
    </cfRule>
  </conditionalFormatting>
  <conditionalFormatting sqref="D482">
    <cfRule type="cellIs" rank="0" priority="954" equalAverage="0" operator="greaterThan" aboveAverage="0" dxfId="10" text="" percent="0" bottom="0">
      <formula>GecOdemeEsik</formula>
    </cfRule>
  </conditionalFormatting>
  <conditionalFormatting sqref="E482">
    <cfRule type="cellIs" rank="0" priority="955" equalAverage="0" operator="greaterThan" aboveAverage="0" dxfId="8" text="" percent="0" bottom="0">
      <formula>0</formula>
    </cfRule>
  </conditionalFormatting>
  <conditionalFormatting sqref="D483">
    <cfRule type="cellIs" rank="0" priority="956" equalAverage="0" operator="greaterThan" aboveAverage="0" dxfId="10" text="" percent="0" bottom="0">
      <formula>GecOdemeEsik</formula>
    </cfRule>
  </conditionalFormatting>
  <conditionalFormatting sqref="E483">
    <cfRule type="cellIs" rank="0" priority="957" equalAverage="0" operator="greaterThan" aboveAverage="0" dxfId="8" text="" percent="0" bottom="0">
      <formula>0</formula>
    </cfRule>
  </conditionalFormatting>
  <conditionalFormatting sqref="D484">
    <cfRule type="cellIs" rank="0" priority="958" equalAverage="0" operator="greaterThan" aboveAverage="0" dxfId="10" text="" percent="0" bottom="0">
      <formula>GecOdemeEsik</formula>
    </cfRule>
  </conditionalFormatting>
  <conditionalFormatting sqref="E484">
    <cfRule type="cellIs" rank="0" priority="959" equalAverage="0" operator="greaterThan" aboveAverage="0" dxfId="8" text="" percent="0" bottom="0">
      <formula>0</formula>
    </cfRule>
  </conditionalFormatting>
  <conditionalFormatting sqref="D485">
    <cfRule type="cellIs" rank="0" priority="960" equalAverage="0" operator="greaterThan" aboveAverage="0" dxfId="10" text="" percent="0" bottom="0">
      <formula>GecOdemeEsik</formula>
    </cfRule>
  </conditionalFormatting>
  <conditionalFormatting sqref="E485">
    <cfRule type="cellIs" rank="0" priority="961" equalAverage="0" operator="greaterThan" aboveAverage="0" dxfId="8" text="" percent="0" bottom="0">
      <formula>0</formula>
    </cfRule>
  </conditionalFormatting>
  <conditionalFormatting sqref="D486">
    <cfRule type="cellIs" rank="0" priority="962" equalAverage="0" operator="greaterThan" aboveAverage="0" dxfId="10" text="" percent="0" bottom="0">
      <formula>GecOdemeEsik</formula>
    </cfRule>
  </conditionalFormatting>
  <conditionalFormatting sqref="E486">
    <cfRule type="cellIs" rank="0" priority="963" equalAverage="0" operator="greaterThan" aboveAverage="0" dxfId="8" text="" percent="0" bottom="0">
      <formula>0</formula>
    </cfRule>
  </conditionalFormatting>
  <conditionalFormatting sqref="D487">
    <cfRule type="cellIs" rank="0" priority="964" equalAverage="0" operator="greaterThan" aboveAverage="0" dxfId="10" text="" percent="0" bottom="0">
      <formula>GecOdemeEsik</formula>
    </cfRule>
  </conditionalFormatting>
  <conditionalFormatting sqref="E487">
    <cfRule type="cellIs" rank="0" priority="965" equalAverage="0" operator="greaterThan" aboveAverage="0" dxfId="8" text="" percent="0" bottom="0">
      <formula>0</formula>
    </cfRule>
  </conditionalFormatting>
  <conditionalFormatting sqref="D488">
    <cfRule type="cellIs" rank="0" priority="966" equalAverage="0" operator="greaterThan" aboveAverage="0" dxfId="10" text="" percent="0" bottom="0">
      <formula>GecOdemeEsik</formula>
    </cfRule>
  </conditionalFormatting>
  <conditionalFormatting sqref="E488">
    <cfRule type="cellIs" rank="0" priority="967" equalAverage="0" operator="greaterThan" aboveAverage="0" dxfId="8" text="" percent="0" bottom="0">
      <formula>0</formula>
    </cfRule>
  </conditionalFormatting>
  <conditionalFormatting sqref="D489">
    <cfRule type="cellIs" rank="0" priority="968" equalAverage="0" operator="greaterThan" aboveAverage="0" dxfId="10" text="" percent="0" bottom="0">
      <formula>GecOdemeEsik</formula>
    </cfRule>
  </conditionalFormatting>
  <conditionalFormatting sqref="E489">
    <cfRule type="cellIs" rank="0" priority="969" equalAverage="0" operator="greaterThan" aboveAverage="0" dxfId="8" text="" percent="0" bottom="0">
      <formula>0</formula>
    </cfRule>
  </conditionalFormatting>
  <conditionalFormatting sqref="D490">
    <cfRule type="cellIs" rank="0" priority="970" equalAverage="0" operator="greaterThan" aboveAverage="0" dxfId="10" text="" percent="0" bottom="0">
      <formula>GecOdemeEsik</formula>
    </cfRule>
  </conditionalFormatting>
  <conditionalFormatting sqref="E490">
    <cfRule type="cellIs" rank="0" priority="971" equalAverage="0" operator="greaterThan" aboveAverage="0" dxfId="8" text="" percent="0" bottom="0">
      <formula>0</formula>
    </cfRule>
  </conditionalFormatting>
  <conditionalFormatting sqref="D491">
    <cfRule type="cellIs" rank="0" priority="972" equalAverage="0" operator="greaterThan" aboveAverage="0" dxfId="10" text="" percent="0" bottom="0">
      <formula>GecOdemeEsik</formula>
    </cfRule>
  </conditionalFormatting>
  <conditionalFormatting sqref="E491">
    <cfRule type="cellIs" rank="0" priority="973" equalAverage="0" operator="greaterThan" aboveAverage="0" dxfId="8" text="" percent="0" bottom="0">
      <formula>0</formula>
    </cfRule>
  </conditionalFormatting>
  <conditionalFormatting sqref="D492">
    <cfRule type="cellIs" rank="0" priority="974" equalAverage="0" operator="greaterThan" aboveAverage="0" dxfId="10" text="" percent="0" bottom="0">
      <formula>GecOdemeEsik</formula>
    </cfRule>
  </conditionalFormatting>
  <conditionalFormatting sqref="E492">
    <cfRule type="cellIs" rank="0" priority="975" equalAverage="0" operator="greaterThan" aboveAverage="0" dxfId="8" text="" percent="0" bottom="0">
      <formula>0</formula>
    </cfRule>
  </conditionalFormatting>
  <conditionalFormatting sqref="D493">
    <cfRule type="cellIs" rank="0" priority="976" equalAverage="0" operator="greaterThan" aboveAverage="0" dxfId="10" text="" percent="0" bottom="0">
      <formula>GecOdemeEsik</formula>
    </cfRule>
  </conditionalFormatting>
  <conditionalFormatting sqref="E493">
    <cfRule type="cellIs" rank="0" priority="977" equalAverage="0" operator="greaterThan" aboveAverage="0" dxfId="8" text="" percent="0" bottom="0">
      <formula>0</formula>
    </cfRule>
  </conditionalFormatting>
  <conditionalFormatting sqref="D494">
    <cfRule type="cellIs" rank="0" priority="978" equalAverage="0" operator="greaterThan" aboveAverage="0" dxfId="10" text="" percent="0" bottom="0">
      <formula>GecOdemeEsik</formula>
    </cfRule>
  </conditionalFormatting>
  <conditionalFormatting sqref="E494">
    <cfRule type="cellIs" rank="0" priority="979" equalAverage="0" operator="greaterThan" aboveAverage="0" dxfId="8" text="" percent="0" bottom="0">
      <formula>0</formula>
    </cfRule>
  </conditionalFormatting>
  <conditionalFormatting sqref="D495">
    <cfRule type="cellIs" rank="0" priority="980" equalAverage="0" operator="greaterThan" aboveAverage="0" dxfId="10" text="" percent="0" bottom="0">
      <formula>GecOdemeEsik</formula>
    </cfRule>
  </conditionalFormatting>
  <conditionalFormatting sqref="E495">
    <cfRule type="cellIs" rank="0" priority="981" equalAverage="0" operator="greaterThan" aboveAverage="0" dxfId="8" text="" percent="0" bottom="0">
      <formula>0</formula>
    </cfRule>
  </conditionalFormatting>
  <conditionalFormatting sqref="D496">
    <cfRule type="cellIs" rank="0" priority="982" equalAverage="0" operator="greaterThan" aboveAverage="0" dxfId="10" text="" percent="0" bottom="0">
      <formula>GecOdemeEsik</formula>
    </cfRule>
  </conditionalFormatting>
  <conditionalFormatting sqref="E496">
    <cfRule type="cellIs" rank="0" priority="983" equalAverage="0" operator="greaterThan" aboveAverage="0" dxfId="8" text="" percent="0" bottom="0">
      <formula>0</formula>
    </cfRule>
  </conditionalFormatting>
  <conditionalFormatting sqref="D497">
    <cfRule type="cellIs" rank="0" priority="984" equalAverage="0" operator="greaterThan" aboveAverage="0" dxfId="10" text="" percent="0" bottom="0">
      <formula>GecOdemeEsik</formula>
    </cfRule>
  </conditionalFormatting>
  <conditionalFormatting sqref="E497">
    <cfRule type="cellIs" rank="0" priority="985" equalAverage="0" operator="greaterThan" aboveAverage="0" dxfId="8" text="" percent="0" bottom="0">
      <formula>0</formula>
    </cfRule>
  </conditionalFormatting>
  <conditionalFormatting sqref="D498">
    <cfRule type="cellIs" rank="0" priority="986" equalAverage="0" operator="greaterThan" aboveAverage="0" dxfId="10" text="" percent="0" bottom="0">
      <formula>GecOdemeEsik</formula>
    </cfRule>
  </conditionalFormatting>
  <conditionalFormatting sqref="E498">
    <cfRule type="cellIs" rank="0" priority="987" equalAverage="0" operator="greaterThan" aboveAverage="0" dxfId="8" text="" percent="0" bottom="0">
      <formula>0</formula>
    </cfRule>
  </conditionalFormatting>
  <conditionalFormatting sqref="D499">
    <cfRule type="cellIs" rank="0" priority="988" equalAverage="0" operator="greaterThan" aboveAverage="0" dxfId="10" text="" percent="0" bottom="0">
      <formula>GecOdemeEsik</formula>
    </cfRule>
  </conditionalFormatting>
  <conditionalFormatting sqref="E499">
    <cfRule type="cellIs" rank="0" priority="989" equalAverage="0" operator="greaterThan" aboveAverage="0" dxfId="8" text="" percent="0" bottom="0">
      <formula>0</formula>
    </cfRule>
  </conditionalFormatting>
  <conditionalFormatting sqref="D500">
    <cfRule type="cellIs" rank="0" priority="990" equalAverage="0" operator="greaterThan" aboveAverage="0" dxfId="10" text="" percent="0" bottom="0">
      <formula>GecOdemeEsik</formula>
    </cfRule>
  </conditionalFormatting>
  <conditionalFormatting sqref="E500">
    <cfRule type="cellIs" rank="0" priority="991" equalAverage="0" operator="greaterThan" aboveAverage="0" dxfId="8" text="" percent="0" bottom="0">
      <formula>0</formula>
    </cfRule>
  </conditionalFormatting>
  <conditionalFormatting sqref="D501">
    <cfRule type="cellIs" rank="0" priority="992" equalAverage="0" operator="greaterThan" aboveAverage="0" dxfId="10" text="" percent="0" bottom="0">
      <formula>GecOdemeEsik</formula>
    </cfRule>
  </conditionalFormatting>
  <conditionalFormatting sqref="E501">
    <cfRule type="cellIs" rank="0" priority="993" equalAverage="0" operator="greaterThan" aboveAverage="0" dxfId="8" text="" percent="0" bottom="0">
      <formula>0</formula>
    </cfRule>
  </conditionalFormatting>
  <conditionalFormatting sqref="D502">
    <cfRule type="cellIs" rank="0" priority="994" equalAverage="0" operator="greaterThan" aboveAverage="0" dxfId="10" text="" percent="0" bottom="0">
      <formula>GecOdemeEsik</formula>
    </cfRule>
  </conditionalFormatting>
  <conditionalFormatting sqref="E502">
    <cfRule type="cellIs" rank="0" priority="995" equalAverage="0" operator="greaterThan" aboveAverage="0" dxfId="8" text="" percent="0" bottom="0">
      <formula>0</formula>
    </cfRule>
  </conditionalFormatting>
  <conditionalFormatting sqref="D503">
    <cfRule type="cellIs" rank="0" priority="996" equalAverage="0" operator="greaterThan" aboveAverage="0" dxfId="10" text="" percent="0" bottom="0">
      <formula>GecOdemeEsik</formula>
    </cfRule>
  </conditionalFormatting>
  <conditionalFormatting sqref="E503">
    <cfRule type="cellIs" rank="0" priority="997" equalAverage="0" operator="greaterThan" aboveAverage="0" dxfId="8" text="" percent="0" bottom="0">
      <formula>0</formula>
    </cfRule>
  </conditionalFormatting>
  <conditionalFormatting sqref="D504">
    <cfRule type="cellIs" rank="0" priority="998" equalAverage="0" operator="greaterThan" aboveAverage="0" dxfId="10" text="" percent="0" bottom="0">
      <formula>GecOdemeEsik</formula>
    </cfRule>
  </conditionalFormatting>
  <conditionalFormatting sqref="E504">
    <cfRule type="cellIs" rank="0" priority="999" equalAverage="0" operator="greaterThan" aboveAverage="0" dxfId="8" text="" percent="0" bottom="0">
      <formula>0</formula>
    </cfRule>
  </conditionalFormatting>
  <conditionalFormatting sqref="D505">
    <cfRule type="cellIs" rank="0" priority="1000" equalAverage="0" operator="greaterThan" aboveAverage="0" dxfId="10" text="" percent="0" bottom="0">
      <formula>GecOdemeEsik</formula>
    </cfRule>
  </conditionalFormatting>
  <conditionalFormatting sqref="E505">
    <cfRule type="cellIs" rank="0" priority="1001" equalAverage="0" operator="greaterThan" aboveAverage="0" dxfId="8" text="" percent="0" bottom="0">
      <formula>0</formula>
    </cfRule>
  </conditionalFormatting>
  <conditionalFormatting sqref="D506">
    <cfRule type="cellIs" rank="0" priority="1002" equalAverage="0" operator="greaterThan" aboveAverage="0" dxfId="10" text="" percent="0" bottom="0">
      <formula>GecOdemeEsik</formula>
    </cfRule>
  </conditionalFormatting>
  <conditionalFormatting sqref="E506">
    <cfRule type="cellIs" rank="0" priority="1003" equalAverage="0" operator="greaterThan" aboveAverage="0" dxfId="8" text="" percent="0" bottom="0">
      <formula>0</formula>
    </cfRule>
  </conditionalFormatting>
  <conditionalFormatting sqref="D507">
    <cfRule type="cellIs" rank="0" priority="1004" equalAverage="0" operator="greaterThan" aboveAverage="0" dxfId="10" text="" percent="0" bottom="0">
      <formula>GecOdemeEsik</formula>
    </cfRule>
  </conditionalFormatting>
  <conditionalFormatting sqref="E507">
    <cfRule type="cellIs" rank="0" priority="1005" equalAverage="0" operator="greaterThan" aboveAverage="0" dxfId="8" text="" percent="0" bottom="0">
      <formula>0</formula>
    </cfRule>
  </conditionalFormatting>
  <conditionalFormatting sqref="D508">
    <cfRule type="cellIs" rank="0" priority="1006" equalAverage="0" operator="greaterThan" aboveAverage="0" dxfId="10" text="" percent="0" bottom="0">
      <formula>GecOdemeEsik</formula>
    </cfRule>
  </conditionalFormatting>
  <conditionalFormatting sqref="E508">
    <cfRule type="cellIs" rank="0" priority="1007" equalAverage="0" operator="greaterThan" aboveAverage="0" dxfId="8" text="" percent="0" bottom="0">
      <formula>0</formula>
    </cfRule>
  </conditionalFormatting>
  <conditionalFormatting sqref="D509">
    <cfRule type="cellIs" rank="0" priority="1008" equalAverage="0" operator="greaterThan" aboveAverage="0" dxfId="10" text="" percent="0" bottom="0">
      <formula>GecOdemeEsik</formula>
    </cfRule>
  </conditionalFormatting>
  <conditionalFormatting sqref="E509">
    <cfRule type="cellIs" rank="0" priority="1009" equalAverage="0" operator="greaterThan" aboveAverage="0" dxfId="8" text="" percent="0" bottom="0">
      <formula>0</formula>
    </cfRule>
  </conditionalFormatting>
  <conditionalFormatting sqref="D510">
    <cfRule type="cellIs" rank="0" priority="1010" equalAverage="0" operator="greaterThan" aboveAverage="0" dxfId="10" text="" percent="0" bottom="0">
      <formula>GecOdemeEsik</formula>
    </cfRule>
  </conditionalFormatting>
  <conditionalFormatting sqref="E510">
    <cfRule type="cellIs" rank="0" priority="1011" equalAverage="0" operator="greaterThan" aboveAverage="0" dxfId="8" text="" percent="0" bottom="0">
      <formula>0</formula>
    </cfRule>
  </conditionalFormatting>
  <conditionalFormatting sqref="D511">
    <cfRule type="cellIs" rank="0" priority="1012" equalAverage="0" operator="greaterThan" aboveAverage="0" dxfId="10" text="" percent="0" bottom="0">
      <formula>GecOdemeEsik</formula>
    </cfRule>
  </conditionalFormatting>
  <conditionalFormatting sqref="E511">
    <cfRule type="cellIs" rank="0" priority="1013" equalAverage="0" operator="greaterThan" aboveAverage="0" dxfId="8" text="" percent="0" bottom="0">
      <formula>0</formula>
    </cfRule>
  </conditionalFormatting>
  <conditionalFormatting sqref="D512">
    <cfRule type="cellIs" rank="0" priority="1014" equalAverage="0" operator="greaterThan" aboveAverage="0" dxfId="10" text="" percent="0" bottom="0">
      <formula>GecOdemeEsik</formula>
    </cfRule>
  </conditionalFormatting>
  <conditionalFormatting sqref="E512">
    <cfRule type="cellIs" rank="0" priority="1015" equalAverage="0" operator="greaterThan" aboveAverage="0" dxfId="8" text="" percent="0" bottom="0">
      <formula>0</formula>
    </cfRule>
  </conditionalFormatting>
  <conditionalFormatting sqref="D513">
    <cfRule type="cellIs" rank="0" priority="1016" equalAverage="0" operator="greaterThan" aboveAverage="0" dxfId="10" text="" percent="0" bottom="0">
      <formula>GecOdemeEsik</formula>
    </cfRule>
  </conditionalFormatting>
  <conditionalFormatting sqref="E513">
    <cfRule type="cellIs" rank="0" priority="1017" equalAverage="0" operator="greaterThan" aboveAverage="0" dxfId="8" text="" percent="0" bottom="0">
      <formula>0</formula>
    </cfRule>
  </conditionalFormatting>
  <conditionalFormatting sqref="D514">
    <cfRule type="cellIs" rank="0" priority="1018" equalAverage="0" operator="greaterThan" aboveAverage="0" dxfId="10" text="" percent="0" bottom="0">
      <formula>GecOdemeEsik</formula>
    </cfRule>
  </conditionalFormatting>
  <conditionalFormatting sqref="E514">
    <cfRule type="cellIs" rank="0" priority="1019" equalAverage="0" operator="greaterThan" aboveAverage="0" dxfId="8" text="" percent="0" bottom="0">
      <formula>0</formula>
    </cfRule>
  </conditionalFormatting>
  <conditionalFormatting sqref="D515">
    <cfRule type="cellIs" rank="0" priority="1020" equalAverage="0" operator="greaterThan" aboveAverage="0" dxfId="10" text="" percent="0" bottom="0">
      <formula>GecOdemeEsik</formula>
    </cfRule>
  </conditionalFormatting>
  <conditionalFormatting sqref="E515">
    <cfRule type="cellIs" rank="0" priority="1021" equalAverage="0" operator="greaterThan" aboveAverage="0" dxfId="8" text="" percent="0" bottom="0">
      <formula>0</formula>
    </cfRule>
  </conditionalFormatting>
  <conditionalFormatting sqref="D516">
    <cfRule type="cellIs" rank="0" priority="1022" equalAverage="0" operator="greaterThan" aboveAverage="0" dxfId="10" text="" percent="0" bottom="0">
      <formula>GecOdemeEsik</formula>
    </cfRule>
  </conditionalFormatting>
  <conditionalFormatting sqref="E516">
    <cfRule type="cellIs" rank="0" priority="1023" equalAverage="0" operator="greaterThan" aboveAverage="0" dxfId="8" text="" percent="0" bottom="0">
      <formula>0</formula>
    </cfRule>
  </conditionalFormatting>
  <conditionalFormatting sqref="D517">
    <cfRule type="cellIs" rank="0" priority="1024" equalAverage="0" operator="greaterThan" aboveAverage="0" dxfId="10" text="" percent="0" bottom="0">
      <formula>GecOdemeEsik</formula>
    </cfRule>
  </conditionalFormatting>
  <conditionalFormatting sqref="E517">
    <cfRule type="cellIs" rank="0" priority="1025" equalAverage="0" operator="greaterThan" aboveAverage="0" dxfId="8" text="" percent="0" bottom="0">
      <formula>0</formula>
    </cfRule>
  </conditionalFormatting>
  <conditionalFormatting sqref="D518">
    <cfRule type="cellIs" rank="0" priority="1026" equalAverage="0" operator="greaterThan" aboveAverage="0" dxfId="10" text="" percent="0" bottom="0">
      <formula>GecOdemeEsik</formula>
    </cfRule>
  </conditionalFormatting>
  <conditionalFormatting sqref="E518">
    <cfRule type="cellIs" rank="0" priority="1027" equalAverage="0" operator="greaterThan" aboveAverage="0" dxfId="8" text="" percent="0" bottom="0">
      <formula>0</formula>
    </cfRule>
  </conditionalFormatting>
  <conditionalFormatting sqref="D519">
    <cfRule type="cellIs" rank="0" priority="1028" equalAverage="0" operator="greaterThan" aboveAverage="0" dxfId="10" text="" percent="0" bottom="0">
      <formula>GecOdemeEsik</formula>
    </cfRule>
  </conditionalFormatting>
  <conditionalFormatting sqref="E519">
    <cfRule type="cellIs" rank="0" priority="1029" equalAverage="0" operator="greaterThan" aboveAverage="0" dxfId="8" text="" percent="0" bottom="0">
      <formula>0</formula>
    </cfRule>
  </conditionalFormatting>
  <conditionalFormatting sqref="D520">
    <cfRule type="cellIs" rank="0" priority="1030" equalAverage="0" operator="greaterThan" aboveAverage="0" dxfId="10" text="" percent="0" bottom="0">
      <formula>GecOdemeEsik</formula>
    </cfRule>
  </conditionalFormatting>
  <conditionalFormatting sqref="E520">
    <cfRule type="cellIs" rank="0" priority="1031" equalAverage="0" operator="greaterThan" aboveAverage="0" dxfId="8" text="" percent="0" bottom="0">
      <formula>0</formula>
    </cfRule>
  </conditionalFormatting>
  <conditionalFormatting sqref="D521">
    <cfRule type="cellIs" rank="0" priority="1032" equalAverage="0" operator="greaterThan" aboveAverage="0" dxfId="10" text="" percent="0" bottom="0">
      <formula>GecOdemeEsik</formula>
    </cfRule>
  </conditionalFormatting>
  <conditionalFormatting sqref="E521">
    <cfRule type="cellIs" rank="0" priority="1033" equalAverage="0" operator="greaterThan" aboveAverage="0" dxfId="8" text="" percent="0" bottom="0">
      <formula>0</formula>
    </cfRule>
  </conditionalFormatting>
  <conditionalFormatting sqref="D522">
    <cfRule type="cellIs" rank="0" priority="1034" equalAverage="0" operator="greaterThan" aboveAverage="0" dxfId="10" text="" percent="0" bottom="0">
      <formula>GecOdemeEsik</formula>
    </cfRule>
  </conditionalFormatting>
  <conditionalFormatting sqref="E522">
    <cfRule type="cellIs" rank="0" priority="1035" equalAverage="0" operator="greaterThan" aboveAverage="0" dxfId="8" text="" percent="0" bottom="0">
      <formula>0</formula>
    </cfRule>
  </conditionalFormatting>
  <conditionalFormatting sqref="D523">
    <cfRule type="cellIs" rank="0" priority="1036" equalAverage="0" operator="greaterThan" aboveAverage="0" dxfId="10" text="" percent="0" bottom="0">
      <formula>GecOdemeEsik</formula>
    </cfRule>
  </conditionalFormatting>
  <conditionalFormatting sqref="E523">
    <cfRule type="cellIs" rank="0" priority="1037" equalAverage="0" operator="greaterThan" aboveAverage="0" dxfId="8" text="" percent="0" bottom="0">
      <formula>0</formula>
    </cfRule>
  </conditionalFormatting>
  <conditionalFormatting sqref="D524">
    <cfRule type="cellIs" rank="0" priority="1038" equalAverage="0" operator="greaterThan" aboveAverage="0" dxfId="10" text="" percent="0" bottom="0">
      <formula>GecOdemeEsik</formula>
    </cfRule>
  </conditionalFormatting>
  <conditionalFormatting sqref="E524">
    <cfRule type="cellIs" rank="0" priority="1039" equalAverage="0" operator="greaterThan" aboveAverage="0" dxfId="8" text="" percent="0" bottom="0">
      <formula>0</formula>
    </cfRule>
  </conditionalFormatting>
  <conditionalFormatting sqref="D525">
    <cfRule type="cellIs" rank="0" priority="1040" equalAverage="0" operator="greaterThan" aboveAverage="0" dxfId="10" text="" percent="0" bottom="0">
      <formula>GecOdemeEsik</formula>
    </cfRule>
  </conditionalFormatting>
  <conditionalFormatting sqref="E525">
    <cfRule type="cellIs" rank="0" priority="1041" equalAverage="0" operator="greaterThan" aboveAverage="0" dxfId="8" text="" percent="0" bottom="0">
      <formula>0</formula>
    </cfRule>
  </conditionalFormatting>
  <conditionalFormatting sqref="D526">
    <cfRule type="cellIs" rank="0" priority="1042" equalAverage="0" operator="greaterThan" aboveAverage="0" dxfId="10" text="" percent="0" bottom="0">
      <formula>GecOdemeEsik</formula>
    </cfRule>
  </conditionalFormatting>
  <conditionalFormatting sqref="E526">
    <cfRule type="cellIs" rank="0" priority="1043" equalAverage="0" operator="greaterThan" aboveAverage="0" dxfId="8" text="" percent="0" bottom="0">
      <formula>0</formula>
    </cfRule>
  </conditionalFormatting>
  <conditionalFormatting sqref="D527">
    <cfRule type="cellIs" rank="0" priority="1044" equalAverage="0" operator="greaterThan" aboveAverage="0" dxfId="10" text="" percent="0" bottom="0">
      <formula>GecOdemeEsik</formula>
    </cfRule>
  </conditionalFormatting>
  <conditionalFormatting sqref="E527">
    <cfRule type="cellIs" rank="0" priority="1045" equalAverage="0" operator="greaterThan" aboveAverage="0" dxfId="8" text="" percent="0" bottom="0">
      <formula>0</formula>
    </cfRule>
  </conditionalFormatting>
  <conditionalFormatting sqref="D528">
    <cfRule type="cellIs" rank="0" priority="1046" equalAverage="0" operator="greaterThan" aboveAverage="0" dxfId="10" text="" percent="0" bottom="0">
      <formula>GecOdemeEsik</formula>
    </cfRule>
  </conditionalFormatting>
  <conditionalFormatting sqref="E528">
    <cfRule type="cellIs" rank="0" priority="1047" equalAverage="0" operator="greaterThan" aboveAverage="0" dxfId="8" text="" percent="0" bottom="0">
      <formula>0</formula>
    </cfRule>
  </conditionalFormatting>
  <conditionalFormatting sqref="D529">
    <cfRule type="cellIs" rank="0" priority="1048" equalAverage="0" operator="greaterThan" aboveAverage="0" dxfId="10" text="" percent="0" bottom="0">
      <formula>GecOdemeEsik</formula>
    </cfRule>
  </conditionalFormatting>
  <conditionalFormatting sqref="E529">
    <cfRule type="cellIs" rank="0" priority="1049" equalAverage="0" operator="greaterThan" aboveAverage="0" dxfId="8" text="" percent="0" bottom="0">
      <formula>0</formula>
    </cfRule>
  </conditionalFormatting>
  <conditionalFormatting sqref="D530">
    <cfRule type="cellIs" rank="0" priority="1050" equalAverage="0" operator="greaterThan" aboveAverage="0" dxfId="10" text="" percent="0" bottom="0">
      <formula>GecOdemeEsik</formula>
    </cfRule>
  </conditionalFormatting>
  <conditionalFormatting sqref="E530">
    <cfRule type="cellIs" rank="0" priority="1051" equalAverage="0" operator="greaterThan" aboveAverage="0" dxfId="8" text="" percent="0" bottom="0">
      <formula>0</formula>
    </cfRule>
  </conditionalFormatting>
  <conditionalFormatting sqref="D531">
    <cfRule type="cellIs" rank="0" priority="1052" equalAverage="0" operator="greaterThan" aboveAverage="0" dxfId="10" text="" percent="0" bottom="0">
      <formula>GecOdemeEsik</formula>
    </cfRule>
  </conditionalFormatting>
  <conditionalFormatting sqref="E531">
    <cfRule type="cellIs" rank="0" priority="1053" equalAverage="0" operator="greaterThan" aboveAverage="0" dxfId="8" text="" percent="0" bottom="0">
      <formula>0</formula>
    </cfRule>
  </conditionalFormatting>
  <conditionalFormatting sqref="D532">
    <cfRule type="cellIs" rank="0" priority="1054" equalAverage="0" operator="greaterThan" aboveAverage="0" dxfId="10" text="" percent="0" bottom="0">
      <formula>GecOdemeEsik</formula>
    </cfRule>
  </conditionalFormatting>
  <conditionalFormatting sqref="E532">
    <cfRule type="cellIs" rank="0" priority="1055" equalAverage="0" operator="greaterThan" aboveAverage="0" dxfId="8" text="" percent="0" bottom="0">
      <formula>0</formula>
    </cfRule>
  </conditionalFormatting>
  <conditionalFormatting sqref="D533">
    <cfRule type="cellIs" rank="0" priority="1056" equalAverage="0" operator="greaterThan" aboveAverage="0" dxfId="10" text="" percent="0" bottom="0">
      <formula>GecOdemeEsik</formula>
    </cfRule>
  </conditionalFormatting>
  <conditionalFormatting sqref="E533">
    <cfRule type="cellIs" rank="0" priority="1057" equalAverage="0" operator="greaterThan" aboveAverage="0" dxfId="8" text="" percent="0" bottom="0">
      <formula>0</formula>
    </cfRule>
  </conditionalFormatting>
  <conditionalFormatting sqref="D534">
    <cfRule type="cellIs" rank="0" priority="1058" equalAverage="0" operator="greaterThan" aboveAverage="0" dxfId="10" text="" percent="0" bottom="0">
      <formula>GecOdemeEsik</formula>
    </cfRule>
  </conditionalFormatting>
  <conditionalFormatting sqref="E534">
    <cfRule type="cellIs" rank="0" priority="1059" equalAverage="0" operator="greaterThan" aboveAverage="0" dxfId="8" text="" percent="0" bottom="0">
      <formula>0</formula>
    </cfRule>
  </conditionalFormatting>
  <conditionalFormatting sqref="D535">
    <cfRule type="cellIs" rank="0" priority="1060" equalAverage="0" operator="greaterThan" aboveAverage="0" dxfId="10" text="" percent="0" bottom="0">
      <formula>GecOdemeEsik</formula>
    </cfRule>
  </conditionalFormatting>
  <conditionalFormatting sqref="E535">
    <cfRule type="cellIs" rank="0" priority="1061" equalAverage="0" operator="greaterThan" aboveAverage="0" dxfId="8" text="" percent="0" bottom="0">
      <formula>0</formula>
    </cfRule>
  </conditionalFormatting>
  <conditionalFormatting sqref="D536">
    <cfRule type="cellIs" rank="0" priority="1062" equalAverage="0" operator="greaterThan" aboveAverage="0" dxfId="10" text="" percent="0" bottom="0">
      <formula>GecOdemeEsik</formula>
    </cfRule>
  </conditionalFormatting>
  <conditionalFormatting sqref="E536">
    <cfRule type="cellIs" rank="0" priority="1063" equalAverage="0" operator="greaterThan" aboveAverage="0" dxfId="8" text="" percent="0" bottom="0">
      <formula>0</formula>
    </cfRule>
  </conditionalFormatting>
  <conditionalFormatting sqref="D537">
    <cfRule type="cellIs" rank="0" priority="1064" equalAverage="0" operator="greaterThan" aboveAverage="0" dxfId="10" text="" percent="0" bottom="0">
      <formula>GecOdemeEsik</formula>
    </cfRule>
  </conditionalFormatting>
  <conditionalFormatting sqref="E537">
    <cfRule type="cellIs" rank="0" priority="1065" equalAverage="0" operator="greaterThan" aboveAverage="0" dxfId="8" text="" percent="0" bottom="0">
      <formula>0</formula>
    </cfRule>
  </conditionalFormatting>
  <conditionalFormatting sqref="D538">
    <cfRule type="cellIs" rank="0" priority="1066" equalAverage="0" operator="greaterThan" aboveAverage="0" dxfId="10" text="" percent="0" bottom="0">
      <formula>GecOdemeEsik</formula>
    </cfRule>
  </conditionalFormatting>
  <conditionalFormatting sqref="E538">
    <cfRule type="cellIs" rank="0" priority="1067" equalAverage="0" operator="greaterThan" aboveAverage="0" dxfId="8" text="" percent="0" bottom="0">
      <formula>0</formula>
    </cfRule>
  </conditionalFormatting>
  <conditionalFormatting sqref="D539">
    <cfRule type="cellIs" rank="0" priority="1068" equalAverage="0" operator="greaterThan" aboveAverage="0" dxfId="10" text="" percent="0" bottom="0">
      <formula>GecOdemeEsik</formula>
    </cfRule>
  </conditionalFormatting>
  <conditionalFormatting sqref="E539">
    <cfRule type="cellIs" rank="0" priority="1069" equalAverage="0" operator="greaterThan" aboveAverage="0" dxfId="8" text="" percent="0" bottom="0">
      <formula>0</formula>
    </cfRule>
  </conditionalFormatting>
  <conditionalFormatting sqref="D540">
    <cfRule type="cellIs" rank="0" priority="1070" equalAverage="0" operator="greaterThan" aboveAverage="0" dxfId="10" text="" percent="0" bottom="0">
      <formula>GecOdemeEsik</formula>
    </cfRule>
  </conditionalFormatting>
  <conditionalFormatting sqref="E540">
    <cfRule type="cellIs" rank="0" priority="1071" equalAverage="0" operator="greaterThan" aboveAverage="0" dxfId="8" text="" percent="0" bottom="0">
      <formula>0</formula>
    </cfRule>
  </conditionalFormatting>
  <conditionalFormatting sqref="D541">
    <cfRule type="cellIs" rank="0" priority="1072" equalAverage="0" operator="greaterThan" aboveAverage="0" dxfId="10" text="" percent="0" bottom="0">
      <formula>GecOdemeEsik</formula>
    </cfRule>
  </conditionalFormatting>
  <conditionalFormatting sqref="E541">
    <cfRule type="cellIs" rank="0" priority="1073" equalAverage="0" operator="greaterThan" aboveAverage="0" dxfId="8" text="" percent="0" bottom="0">
      <formula>0</formula>
    </cfRule>
  </conditionalFormatting>
  <conditionalFormatting sqref="D542">
    <cfRule type="cellIs" rank="0" priority="1074" equalAverage="0" operator="greaterThan" aboveAverage="0" dxfId="10" text="" percent="0" bottom="0">
      <formula>GecOdemeEsik</formula>
    </cfRule>
  </conditionalFormatting>
  <conditionalFormatting sqref="E542">
    <cfRule type="cellIs" rank="0" priority="1075" equalAverage="0" operator="greaterThan" aboveAverage="0" dxfId="8" text="" percent="0" bottom="0">
      <formula>0</formula>
    </cfRule>
  </conditionalFormatting>
  <conditionalFormatting sqref="D543">
    <cfRule type="cellIs" rank="0" priority="1076" equalAverage="0" operator="greaterThan" aboveAverage="0" dxfId="10" text="" percent="0" bottom="0">
      <formula>GecOdemeEsik</formula>
    </cfRule>
  </conditionalFormatting>
  <conditionalFormatting sqref="E543">
    <cfRule type="cellIs" rank="0" priority="1077" equalAverage="0" operator="greaterThan" aboveAverage="0" dxfId="8" text="" percent="0" bottom="0">
      <formula>0</formula>
    </cfRule>
  </conditionalFormatting>
  <conditionalFormatting sqref="D544">
    <cfRule type="cellIs" rank="0" priority="1078" equalAverage="0" operator="greaterThan" aboveAverage="0" dxfId="10" text="" percent="0" bottom="0">
      <formula>GecOdemeEsik</formula>
    </cfRule>
  </conditionalFormatting>
  <conditionalFormatting sqref="E544">
    <cfRule type="cellIs" rank="0" priority="1079" equalAverage="0" operator="greaterThan" aboveAverage="0" dxfId="8" text="" percent="0" bottom="0">
      <formula>0</formula>
    </cfRule>
  </conditionalFormatting>
  <conditionalFormatting sqref="D545">
    <cfRule type="cellIs" rank="0" priority="1080" equalAverage="0" operator="greaterThan" aboveAverage="0" dxfId="10" text="" percent="0" bottom="0">
      <formula>GecOdemeEsik</formula>
    </cfRule>
  </conditionalFormatting>
  <conditionalFormatting sqref="E545">
    <cfRule type="cellIs" rank="0" priority="1081" equalAverage="0" operator="greaterThan" aboveAverage="0" dxfId="8" text="" percent="0" bottom="0">
      <formula>0</formula>
    </cfRule>
  </conditionalFormatting>
  <conditionalFormatting sqref="D546">
    <cfRule type="cellIs" rank="0" priority="1082" equalAverage="0" operator="greaterThan" aboveAverage="0" dxfId="10" text="" percent="0" bottom="0">
      <formula>GecOdemeEsik</formula>
    </cfRule>
  </conditionalFormatting>
  <conditionalFormatting sqref="E546">
    <cfRule type="cellIs" rank="0" priority="1083" equalAverage="0" operator="greaterThan" aboveAverage="0" dxfId="8" text="" percent="0" bottom="0">
      <formula>0</formula>
    </cfRule>
  </conditionalFormatting>
  <conditionalFormatting sqref="D547">
    <cfRule type="cellIs" rank="0" priority="1084" equalAverage="0" operator="greaterThan" aboveAverage="0" dxfId="10" text="" percent="0" bottom="0">
      <formula>GecOdemeEsik</formula>
    </cfRule>
  </conditionalFormatting>
  <conditionalFormatting sqref="E547">
    <cfRule type="cellIs" rank="0" priority="1085" equalAverage="0" operator="greaterThan" aboveAverage="0" dxfId="8" text="" percent="0" bottom="0">
      <formula>0</formula>
    </cfRule>
  </conditionalFormatting>
  <conditionalFormatting sqref="D548">
    <cfRule type="cellIs" rank="0" priority="1086" equalAverage="0" operator="greaterThan" aboveAverage="0" dxfId="10" text="" percent="0" bottom="0">
      <formula>GecOdemeEsik</formula>
    </cfRule>
  </conditionalFormatting>
  <conditionalFormatting sqref="E548">
    <cfRule type="cellIs" rank="0" priority="1087" equalAverage="0" operator="greaterThan" aboveAverage="0" dxfId="8" text="" percent="0" bottom="0">
      <formula>0</formula>
    </cfRule>
  </conditionalFormatting>
  <conditionalFormatting sqref="D549">
    <cfRule type="cellIs" rank="0" priority="1088" equalAverage="0" operator="greaterThan" aboveAverage="0" dxfId="10" text="" percent="0" bottom="0">
      <formula>GecOdemeEsik</formula>
    </cfRule>
  </conditionalFormatting>
  <conditionalFormatting sqref="E549">
    <cfRule type="cellIs" rank="0" priority="1089" equalAverage="0" operator="greaterThan" aboveAverage="0" dxfId="8" text="" percent="0" bottom="0">
      <formula>0</formula>
    </cfRule>
  </conditionalFormatting>
  <conditionalFormatting sqref="D550">
    <cfRule type="cellIs" rank="0" priority="1090" equalAverage="0" operator="greaterThan" aboveAverage="0" dxfId="10" text="" percent="0" bottom="0">
      <formula>GecOdemeEsik</formula>
    </cfRule>
  </conditionalFormatting>
  <conditionalFormatting sqref="E550">
    <cfRule type="cellIs" rank="0" priority="1091" equalAverage="0" operator="greaterThan" aboveAverage="0" dxfId="8" text="" percent="0" bottom="0">
      <formula>0</formula>
    </cfRule>
  </conditionalFormatting>
  <conditionalFormatting sqref="D551">
    <cfRule type="cellIs" rank="0" priority="1092" equalAverage="0" operator="greaterThan" aboveAverage="0" dxfId="10" text="" percent="0" bottom="0">
      <formula>GecOdemeEsik</formula>
    </cfRule>
  </conditionalFormatting>
  <conditionalFormatting sqref="E551">
    <cfRule type="cellIs" rank="0" priority="1093" equalAverage="0" operator="greaterThan" aboveAverage="0" dxfId="8" text="" percent="0" bottom="0">
      <formula>0</formula>
    </cfRule>
  </conditionalFormatting>
  <conditionalFormatting sqref="D552">
    <cfRule type="cellIs" rank="0" priority="1094" equalAverage="0" operator="greaterThan" aboveAverage="0" dxfId="10" text="" percent="0" bottom="0">
      <formula>GecOdemeEsik</formula>
    </cfRule>
  </conditionalFormatting>
  <conditionalFormatting sqref="E552">
    <cfRule type="cellIs" rank="0" priority="1095" equalAverage="0" operator="greaterThan" aboveAverage="0" dxfId="8" text="" percent="0" bottom="0">
      <formula>0</formula>
    </cfRule>
  </conditionalFormatting>
  <conditionalFormatting sqref="D553">
    <cfRule type="cellIs" rank="0" priority="1096" equalAverage="0" operator="greaterThan" aboveAverage="0" dxfId="10" text="" percent="0" bottom="0">
      <formula>GecOdemeEsik</formula>
    </cfRule>
  </conditionalFormatting>
  <conditionalFormatting sqref="E553">
    <cfRule type="cellIs" rank="0" priority="1097" equalAverage="0" operator="greaterThan" aboveAverage="0" dxfId="8" text="" percent="0" bottom="0">
      <formula>0</formula>
    </cfRule>
  </conditionalFormatting>
  <conditionalFormatting sqref="D554">
    <cfRule type="cellIs" rank="0" priority="1098" equalAverage="0" operator="greaterThan" aboveAverage="0" dxfId="10" text="" percent="0" bottom="0">
      <formula>GecOdemeEsik</formula>
    </cfRule>
  </conditionalFormatting>
  <conditionalFormatting sqref="E554">
    <cfRule type="cellIs" rank="0" priority="1099" equalAverage="0" operator="greaterThan" aboveAverage="0" dxfId="8" text="" percent="0" bottom="0">
      <formula>0</formula>
    </cfRule>
  </conditionalFormatting>
  <conditionalFormatting sqref="D555">
    <cfRule type="cellIs" rank="0" priority="1100" equalAverage="0" operator="greaterThan" aboveAverage="0" dxfId="10" text="" percent="0" bottom="0">
      <formula>GecOdemeEsik</formula>
    </cfRule>
  </conditionalFormatting>
  <conditionalFormatting sqref="E555">
    <cfRule type="cellIs" rank="0" priority="1101" equalAverage="0" operator="greaterThan" aboveAverage="0" dxfId="8" text="" percent="0" bottom="0">
      <formula>0</formula>
    </cfRule>
  </conditionalFormatting>
  <conditionalFormatting sqref="D556">
    <cfRule type="cellIs" rank="0" priority="1102" equalAverage="0" operator="greaterThan" aboveAverage="0" dxfId="10" text="" percent="0" bottom="0">
      <formula>GecOdemeEsik</formula>
    </cfRule>
  </conditionalFormatting>
  <conditionalFormatting sqref="E556">
    <cfRule type="cellIs" rank="0" priority="1103" equalAverage="0" operator="greaterThan" aboveAverage="0" dxfId="8" text="" percent="0" bottom="0">
      <formula>0</formula>
    </cfRule>
  </conditionalFormatting>
  <conditionalFormatting sqref="D557">
    <cfRule type="cellIs" rank="0" priority="1104" equalAverage="0" operator="greaterThan" aboveAverage="0" dxfId="10" text="" percent="0" bottom="0">
      <formula>GecOdemeEsik</formula>
    </cfRule>
  </conditionalFormatting>
  <conditionalFormatting sqref="E557">
    <cfRule type="cellIs" rank="0" priority="1105" equalAverage="0" operator="greaterThan" aboveAverage="0" dxfId="8" text="" percent="0" bottom="0">
      <formula>0</formula>
    </cfRule>
  </conditionalFormatting>
  <conditionalFormatting sqref="D558">
    <cfRule type="cellIs" rank="0" priority="1106" equalAverage="0" operator="greaterThan" aboveAverage="0" dxfId="10" text="" percent="0" bottom="0">
      <formula>GecOdemeEsik</formula>
    </cfRule>
  </conditionalFormatting>
  <conditionalFormatting sqref="E558">
    <cfRule type="cellIs" rank="0" priority="1107" equalAverage="0" operator="greaterThan" aboveAverage="0" dxfId="8" text="" percent="0" bottom="0">
      <formula>0</formula>
    </cfRule>
  </conditionalFormatting>
  <conditionalFormatting sqref="D559">
    <cfRule type="cellIs" rank="0" priority="1108" equalAverage="0" operator="greaterThan" aboveAverage="0" dxfId="10" text="" percent="0" bottom="0">
      <formula>GecOdemeEsik</formula>
    </cfRule>
  </conditionalFormatting>
  <conditionalFormatting sqref="E559">
    <cfRule type="cellIs" rank="0" priority="1109" equalAverage="0" operator="greaterThan" aboveAverage="0" dxfId="8" text="" percent="0" bottom="0">
      <formula>0</formula>
    </cfRule>
  </conditionalFormatting>
  <conditionalFormatting sqref="D560">
    <cfRule type="cellIs" rank="0" priority="1110" equalAverage="0" operator="greaterThan" aboveAverage="0" dxfId="10" text="" percent="0" bottom="0">
      <formula>GecOdemeEsik</formula>
    </cfRule>
  </conditionalFormatting>
  <conditionalFormatting sqref="E560">
    <cfRule type="cellIs" rank="0" priority="1111" equalAverage="0" operator="greaterThan" aboveAverage="0" dxfId="8" text="" percent="0" bottom="0">
      <formula>0</formula>
    </cfRule>
  </conditionalFormatting>
  <conditionalFormatting sqref="D561">
    <cfRule type="cellIs" rank="0" priority="1112" equalAverage="0" operator="greaterThan" aboveAverage="0" dxfId="10" text="" percent="0" bottom="0">
      <formula>GecOdemeEsik</formula>
    </cfRule>
  </conditionalFormatting>
  <conditionalFormatting sqref="E561">
    <cfRule type="cellIs" rank="0" priority="1113" equalAverage="0" operator="greaterThan" aboveAverage="0" dxfId="8" text="" percent="0" bottom="0">
      <formula>0</formula>
    </cfRule>
  </conditionalFormatting>
  <conditionalFormatting sqref="D562">
    <cfRule type="cellIs" rank="0" priority="1114" equalAverage="0" operator="greaterThan" aboveAverage="0" dxfId="10" text="" percent="0" bottom="0">
      <formula>GecOdemeEsik</formula>
    </cfRule>
  </conditionalFormatting>
  <conditionalFormatting sqref="E562">
    <cfRule type="cellIs" rank="0" priority="1115" equalAverage="0" operator="greaterThan" aboveAverage="0" dxfId="8" text="" percent="0" bottom="0">
      <formula>0</formula>
    </cfRule>
  </conditionalFormatting>
  <conditionalFormatting sqref="D563">
    <cfRule type="cellIs" rank="0" priority="1116" equalAverage="0" operator="greaterThan" aboveAverage="0" dxfId="10" text="" percent="0" bottom="0">
      <formula>GecOdemeEsik</formula>
    </cfRule>
  </conditionalFormatting>
  <conditionalFormatting sqref="E563">
    <cfRule type="cellIs" rank="0" priority="1117" equalAverage="0" operator="greaterThan" aboveAverage="0" dxfId="8" text="" percent="0" bottom="0">
      <formula>0</formula>
    </cfRule>
  </conditionalFormatting>
  <conditionalFormatting sqref="D564">
    <cfRule type="cellIs" rank="0" priority="1118" equalAverage="0" operator="greaterThan" aboveAverage="0" dxfId="10" text="" percent="0" bottom="0">
      <formula>GecOdemeEsik</formula>
    </cfRule>
  </conditionalFormatting>
  <conditionalFormatting sqref="E564">
    <cfRule type="cellIs" rank="0" priority="1119" equalAverage="0" operator="greaterThan" aboveAverage="0" dxfId="8" text="" percent="0" bottom="0">
      <formula>0</formula>
    </cfRule>
  </conditionalFormatting>
  <conditionalFormatting sqref="D565">
    <cfRule type="cellIs" rank="0" priority="1120" equalAverage="0" operator="greaterThan" aboveAverage="0" dxfId="10" text="" percent="0" bottom="0">
      <formula>GecOdemeEsik</formula>
    </cfRule>
  </conditionalFormatting>
  <conditionalFormatting sqref="E565">
    <cfRule type="cellIs" rank="0" priority="1121" equalAverage="0" operator="greaterThan" aboveAverage="0" dxfId="8" text="" percent="0" bottom="0">
      <formula>0</formula>
    </cfRule>
  </conditionalFormatting>
  <conditionalFormatting sqref="D566">
    <cfRule type="cellIs" rank="0" priority="1122" equalAverage="0" operator="greaterThan" aboveAverage="0" dxfId="10" text="" percent="0" bottom="0">
      <formula>GecOdemeEsik</formula>
    </cfRule>
  </conditionalFormatting>
  <conditionalFormatting sqref="E566">
    <cfRule type="cellIs" rank="0" priority="1123" equalAverage="0" operator="greaterThan" aboveAverage="0" dxfId="8" text="" percent="0" bottom="0">
      <formula>0</formula>
    </cfRule>
  </conditionalFormatting>
  <conditionalFormatting sqref="D567">
    <cfRule type="cellIs" rank="0" priority="1124" equalAverage="0" operator="greaterThan" aboveAverage="0" dxfId="10" text="" percent="0" bottom="0">
      <formula>GecOdemeEsik</formula>
    </cfRule>
  </conditionalFormatting>
  <conditionalFormatting sqref="E567">
    <cfRule type="cellIs" rank="0" priority="1125" equalAverage="0" operator="greaterThan" aboveAverage="0" dxfId="8" text="" percent="0" bottom="0">
      <formula>0</formula>
    </cfRule>
  </conditionalFormatting>
  <conditionalFormatting sqref="D568">
    <cfRule type="cellIs" rank="0" priority="1126" equalAverage="0" operator="greaterThan" aboveAverage="0" dxfId="10" text="" percent="0" bottom="0">
      <formula>GecOdemeEsik</formula>
    </cfRule>
  </conditionalFormatting>
  <conditionalFormatting sqref="E568">
    <cfRule type="cellIs" rank="0" priority="1127" equalAverage="0" operator="greaterThan" aboveAverage="0" dxfId="8" text="" percent="0" bottom="0">
      <formula>0</formula>
    </cfRule>
  </conditionalFormatting>
  <conditionalFormatting sqref="D569">
    <cfRule type="cellIs" rank="0" priority="1128" equalAverage="0" operator="greaterThan" aboveAverage="0" dxfId="10" text="" percent="0" bottom="0">
      <formula>GecOdemeEsik</formula>
    </cfRule>
  </conditionalFormatting>
  <conditionalFormatting sqref="E569">
    <cfRule type="cellIs" rank="0" priority="1129" equalAverage="0" operator="greaterThan" aboveAverage="0" dxfId="8" text="" percent="0" bottom="0">
      <formula>0</formula>
    </cfRule>
  </conditionalFormatting>
  <conditionalFormatting sqref="D570">
    <cfRule type="cellIs" rank="0" priority="1130" equalAverage="0" operator="greaterThan" aboveAverage="0" dxfId="10" text="" percent="0" bottom="0">
      <formula>GecOdemeEsik</formula>
    </cfRule>
  </conditionalFormatting>
  <conditionalFormatting sqref="E570">
    <cfRule type="cellIs" rank="0" priority="1131" equalAverage="0" operator="greaterThan" aboveAverage="0" dxfId="8" text="" percent="0" bottom="0">
      <formula>0</formula>
    </cfRule>
  </conditionalFormatting>
  <conditionalFormatting sqref="D571">
    <cfRule type="cellIs" rank="0" priority="1132" equalAverage="0" operator="greaterThan" aboveAverage="0" dxfId="10" text="" percent="0" bottom="0">
      <formula>GecOdemeEsik</formula>
    </cfRule>
  </conditionalFormatting>
  <conditionalFormatting sqref="E571">
    <cfRule type="cellIs" rank="0" priority="1133" equalAverage="0" operator="greaterThan" aboveAverage="0" dxfId="8" text="" percent="0" bottom="0">
      <formula>0</formula>
    </cfRule>
  </conditionalFormatting>
  <conditionalFormatting sqref="D572">
    <cfRule type="cellIs" rank="0" priority="1134" equalAverage="0" operator="greaterThan" aboveAverage="0" dxfId="10" text="" percent="0" bottom="0">
      <formula>GecOdemeEsik</formula>
    </cfRule>
  </conditionalFormatting>
  <conditionalFormatting sqref="E572">
    <cfRule type="cellIs" rank="0" priority="1135" equalAverage="0" operator="greaterThan" aboveAverage="0" dxfId="8" text="" percent="0" bottom="0">
      <formula>0</formula>
    </cfRule>
  </conditionalFormatting>
  <conditionalFormatting sqref="D573">
    <cfRule type="cellIs" rank="0" priority="1136" equalAverage="0" operator="greaterThan" aboveAverage="0" dxfId="10" text="" percent="0" bottom="0">
      <formula>GecOdemeEsik</formula>
    </cfRule>
  </conditionalFormatting>
  <conditionalFormatting sqref="E573">
    <cfRule type="cellIs" rank="0" priority="1137" equalAverage="0" operator="greaterThan" aboveAverage="0" dxfId="8" text="" percent="0" bottom="0">
      <formula>0</formula>
    </cfRule>
  </conditionalFormatting>
  <conditionalFormatting sqref="D574">
    <cfRule type="cellIs" rank="0" priority="1138" equalAverage="0" operator="greaterThan" aboveAverage="0" dxfId="10" text="" percent="0" bottom="0">
      <formula>GecOdemeEsik</formula>
    </cfRule>
  </conditionalFormatting>
  <conditionalFormatting sqref="E574">
    <cfRule type="cellIs" rank="0" priority="1139" equalAverage="0" operator="greaterThan" aboveAverage="0" dxfId="8" text="" percent="0" bottom="0">
      <formula>0</formula>
    </cfRule>
  </conditionalFormatting>
  <conditionalFormatting sqref="D575">
    <cfRule type="cellIs" rank="0" priority="1140" equalAverage="0" operator="greaterThan" aboveAverage="0" dxfId="10" text="" percent="0" bottom="0">
      <formula>GecOdemeEsik</formula>
    </cfRule>
  </conditionalFormatting>
  <conditionalFormatting sqref="E575">
    <cfRule type="cellIs" rank="0" priority="1141" equalAverage="0" operator="greaterThan" aboveAverage="0" dxfId="8" text="" percent="0" bottom="0">
      <formula>0</formula>
    </cfRule>
  </conditionalFormatting>
  <conditionalFormatting sqref="D576">
    <cfRule type="cellIs" rank="0" priority="1142" equalAverage="0" operator="greaterThan" aboveAverage="0" dxfId="10" text="" percent="0" bottom="0">
      <formula>GecOdemeEsik</formula>
    </cfRule>
  </conditionalFormatting>
  <conditionalFormatting sqref="E576">
    <cfRule type="cellIs" rank="0" priority="1143" equalAverage="0" operator="greaterThan" aboveAverage="0" dxfId="8" text="" percent="0" bottom="0">
      <formula>0</formula>
    </cfRule>
  </conditionalFormatting>
  <conditionalFormatting sqref="D577">
    <cfRule type="cellIs" rank="0" priority="1144" equalAverage="0" operator="greaterThan" aboveAverage="0" dxfId="10" text="" percent="0" bottom="0">
      <formula>GecOdemeEsik</formula>
    </cfRule>
  </conditionalFormatting>
  <conditionalFormatting sqref="E577">
    <cfRule type="cellIs" rank="0" priority="1145" equalAverage="0" operator="greaterThan" aboveAverage="0" dxfId="8" text="" percent="0" bottom="0">
      <formula>0</formula>
    </cfRule>
  </conditionalFormatting>
  <conditionalFormatting sqref="D578">
    <cfRule type="cellIs" rank="0" priority="1146" equalAverage="0" operator="greaterThan" aboveAverage="0" dxfId="10" text="" percent="0" bottom="0">
      <formula>GecOdemeEsik</formula>
    </cfRule>
  </conditionalFormatting>
  <conditionalFormatting sqref="E578">
    <cfRule type="cellIs" rank="0" priority="1147" equalAverage="0" operator="greaterThan" aboveAverage="0" dxfId="8" text="" percent="0" bottom="0">
      <formula>0</formula>
    </cfRule>
  </conditionalFormatting>
  <conditionalFormatting sqref="D579">
    <cfRule type="cellIs" rank="0" priority="1148" equalAverage="0" operator="greaterThan" aboveAverage="0" dxfId="10" text="" percent="0" bottom="0">
      <formula>GecOdemeEsik</formula>
    </cfRule>
  </conditionalFormatting>
  <conditionalFormatting sqref="E579">
    <cfRule type="cellIs" rank="0" priority="1149" equalAverage="0" operator="greaterThan" aboveAverage="0" dxfId="8" text="" percent="0" bottom="0">
      <formula>0</formula>
    </cfRule>
  </conditionalFormatting>
  <conditionalFormatting sqref="D580">
    <cfRule type="cellIs" rank="0" priority="1150" equalAverage="0" operator="greaterThan" aboveAverage="0" dxfId="10" text="" percent="0" bottom="0">
      <formula>GecOdemeEsik</formula>
    </cfRule>
  </conditionalFormatting>
  <conditionalFormatting sqref="E580">
    <cfRule type="cellIs" rank="0" priority="1151" equalAverage="0" operator="greaterThan" aboveAverage="0" dxfId="8" text="" percent="0" bottom="0">
      <formula>0</formula>
    </cfRule>
  </conditionalFormatting>
  <conditionalFormatting sqref="D581">
    <cfRule type="cellIs" rank="0" priority="1152" equalAverage="0" operator="greaterThan" aboveAverage="0" dxfId="10" text="" percent="0" bottom="0">
      <formula>GecOdemeEsik</formula>
    </cfRule>
  </conditionalFormatting>
  <conditionalFormatting sqref="E581">
    <cfRule type="cellIs" rank="0" priority="1153" equalAverage="0" operator="greaterThan" aboveAverage="0" dxfId="8" text="" percent="0" bottom="0">
      <formula>0</formula>
    </cfRule>
  </conditionalFormatting>
  <conditionalFormatting sqref="D582">
    <cfRule type="cellIs" rank="0" priority="1154" equalAverage="0" operator="greaterThan" aboveAverage="0" dxfId="10" text="" percent="0" bottom="0">
      <formula>GecOdemeEsik</formula>
    </cfRule>
  </conditionalFormatting>
  <conditionalFormatting sqref="E582">
    <cfRule type="cellIs" rank="0" priority="1155" equalAverage="0" operator="greaterThan" aboveAverage="0" dxfId="8" text="" percent="0" bottom="0">
      <formula>0</formula>
    </cfRule>
  </conditionalFormatting>
  <conditionalFormatting sqref="D583">
    <cfRule type="cellIs" rank="0" priority="1156" equalAverage="0" operator="greaterThan" aboveAverage="0" dxfId="10" text="" percent="0" bottom="0">
      <formula>GecOdemeEsik</formula>
    </cfRule>
  </conditionalFormatting>
  <conditionalFormatting sqref="E583">
    <cfRule type="cellIs" rank="0" priority="1157" equalAverage="0" operator="greaterThan" aboveAverage="0" dxfId="8" text="" percent="0" bottom="0">
      <formula>0</formula>
    </cfRule>
  </conditionalFormatting>
  <conditionalFormatting sqref="D584">
    <cfRule type="cellIs" rank="0" priority="1158" equalAverage="0" operator="greaterThan" aboveAverage="0" dxfId="10" text="" percent="0" bottom="0">
      <formula>GecOdemeEsik</formula>
    </cfRule>
  </conditionalFormatting>
  <conditionalFormatting sqref="E584">
    <cfRule type="cellIs" rank="0" priority="1159" equalAverage="0" operator="greaterThan" aboveAverage="0" dxfId="8" text="" percent="0" bottom="0">
      <formula>0</formula>
    </cfRule>
  </conditionalFormatting>
  <conditionalFormatting sqref="D585">
    <cfRule type="cellIs" rank="0" priority="1160" equalAverage="0" operator="greaterThan" aboveAverage="0" dxfId="10" text="" percent="0" bottom="0">
      <formula>GecOdemeEsik</formula>
    </cfRule>
  </conditionalFormatting>
  <conditionalFormatting sqref="E585">
    <cfRule type="cellIs" rank="0" priority="1161" equalAverage="0" operator="greaterThan" aboveAverage="0" dxfId="8" text="" percent="0" bottom="0">
      <formula>0</formula>
    </cfRule>
  </conditionalFormatting>
  <conditionalFormatting sqref="D586">
    <cfRule type="cellIs" rank="0" priority="1162" equalAverage="0" operator="greaterThan" aboveAverage="0" dxfId="10" text="" percent="0" bottom="0">
      <formula>GecOdemeEsik</formula>
    </cfRule>
  </conditionalFormatting>
  <conditionalFormatting sqref="E586">
    <cfRule type="cellIs" rank="0" priority="1163" equalAverage="0" operator="greaterThan" aboveAverage="0" dxfId="8" text="" percent="0" bottom="0">
      <formula>0</formula>
    </cfRule>
  </conditionalFormatting>
  <conditionalFormatting sqref="D587">
    <cfRule type="cellIs" rank="0" priority="1164" equalAverage="0" operator="greaterThan" aboveAverage="0" dxfId="10" text="" percent="0" bottom="0">
      <formula>GecOdemeEsik</formula>
    </cfRule>
  </conditionalFormatting>
  <conditionalFormatting sqref="E587">
    <cfRule type="cellIs" rank="0" priority="1165" equalAverage="0" operator="greaterThan" aboveAverage="0" dxfId="8" text="" percent="0" bottom="0">
      <formula>0</formula>
    </cfRule>
  </conditionalFormatting>
  <conditionalFormatting sqref="D588">
    <cfRule type="cellIs" rank="0" priority="1166" equalAverage="0" operator="greaterThan" aboveAverage="0" dxfId="10" text="" percent="0" bottom="0">
      <formula>GecOdemeEsik</formula>
    </cfRule>
  </conditionalFormatting>
  <conditionalFormatting sqref="E588">
    <cfRule type="cellIs" rank="0" priority="1167" equalAverage="0" operator="greaterThan" aboveAverage="0" dxfId="8" text="" percent="0" bottom="0">
      <formula>0</formula>
    </cfRule>
  </conditionalFormatting>
  <conditionalFormatting sqref="D589">
    <cfRule type="cellIs" rank="0" priority="1168" equalAverage="0" operator="greaterThan" aboveAverage="0" dxfId="10" text="" percent="0" bottom="0">
      <formula>GecOdemeEsik</formula>
    </cfRule>
  </conditionalFormatting>
  <conditionalFormatting sqref="E589">
    <cfRule type="cellIs" rank="0" priority="1169" equalAverage="0" operator="greaterThan" aboveAverage="0" dxfId="8" text="" percent="0" bottom="0">
      <formula>0</formula>
    </cfRule>
  </conditionalFormatting>
  <conditionalFormatting sqref="D590">
    <cfRule type="cellIs" rank="0" priority="1170" equalAverage="0" operator="greaterThan" aboveAverage="0" dxfId="10" text="" percent="0" bottom="0">
      <formula>GecOdemeEsik</formula>
    </cfRule>
  </conditionalFormatting>
  <conditionalFormatting sqref="E590">
    <cfRule type="cellIs" rank="0" priority="1171" equalAverage="0" operator="greaterThan" aboveAverage="0" dxfId="8" text="" percent="0" bottom="0">
      <formula>0</formula>
    </cfRule>
  </conditionalFormatting>
  <conditionalFormatting sqref="D591">
    <cfRule type="cellIs" rank="0" priority="1172" equalAverage="0" operator="greaterThan" aboveAverage="0" dxfId="10" text="" percent="0" bottom="0">
      <formula>GecOdemeEsik</formula>
    </cfRule>
  </conditionalFormatting>
  <conditionalFormatting sqref="E591">
    <cfRule type="cellIs" rank="0" priority="1173" equalAverage="0" operator="greaterThan" aboveAverage="0" dxfId="8" text="" percent="0" bottom="0">
      <formula>0</formula>
    </cfRule>
  </conditionalFormatting>
  <conditionalFormatting sqref="D592">
    <cfRule type="cellIs" rank="0" priority="1174" equalAverage="0" operator="greaterThan" aboveAverage="0" dxfId="10" text="" percent="0" bottom="0">
      <formula>GecOdemeEsik</formula>
    </cfRule>
  </conditionalFormatting>
  <conditionalFormatting sqref="E592">
    <cfRule type="cellIs" rank="0" priority="1175" equalAverage="0" operator="greaterThan" aboveAverage="0" dxfId="8" text="" percent="0" bottom="0">
      <formula>0</formula>
    </cfRule>
  </conditionalFormatting>
  <conditionalFormatting sqref="D593">
    <cfRule type="cellIs" rank="0" priority="1176" equalAverage="0" operator="greaterThan" aboveAverage="0" dxfId="10" text="" percent="0" bottom="0">
      <formula>GecOdemeEsik</formula>
    </cfRule>
  </conditionalFormatting>
  <conditionalFormatting sqref="E593">
    <cfRule type="cellIs" rank="0" priority="1177" equalAverage="0" operator="greaterThan" aboveAverage="0" dxfId="8" text="" percent="0" bottom="0">
      <formula>0</formula>
    </cfRule>
  </conditionalFormatting>
  <conditionalFormatting sqref="D594">
    <cfRule type="cellIs" rank="0" priority="1178" equalAverage="0" operator="greaterThan" aboveAverage="0" dxfId="10" text="" percent="0" bottom="0">
      <formula>GecOdemeEsik</formula>
    </cfRule>
  </conditionalFormatting>
  <conditionalFormatting sqref="E594">
    <cfRule type="cellIs" rank="0" priority="1179" equalAverage="0" operator="greaterThan" aboveAverage="0" dxfId="8" text="" percent="0" bottom="0">
      <formula>0</formula>
    </cfRule>
  </conditionalFormatting>
  <conditionalFormatting sqref="D595">
    <cfRule type="cellIs" rank="0" priority="1180" equalAverage="0" operator="greaterThan" aboveAverage="0" dxfId="10" text="" percent="0" bottom="0">
      <formula>GecOdemeEsik</formula>
    </cfRule>
  </conditionalFormatting>
  <conditionalFormatting sqref="E595">
    <cfRule type="cellIs" rank="0" priority="1181" equalAverage="0" operator="greaterThan" aboveAverage="0" dxfId="8" text="" percent="0" bottom="0">
      <formula>0</formula>
    </cfRule>
  </conditionalFormatting>
  <conditionalFormatting sqref="D596">
    <cfRule type="cellIs" rank="0" priority="1182" equalAverage="0" operator="greaterThan" aboveAverage="0" dxfId="10" text="" percent="0" bottom="0">
      <formula>GecOdemeEsik</formula>
    </cfRule>
  </conditionalFormatting>
  <conditionalFormatting sqref="E596">
    <cfRule type="cellIs" rank="0" priority="1183" equalAverage="0" operator="greaterThan" aboveAverage="0" dxfId="8" text="" percent="0" bottom="0">
      <formula>0</formula>
    </cfRule>
  </conditionalFormatting>
  <conditionalFormatting sqref="D597">
    <cfRule type="cellIs" rank="0" priority="1184" equalAverage="0" operator="greaterThan" aboveAverage="0" dxfId="10" text="" percent="0" bottom="0">
      <formula>GecOdemeEsik</formula>
    </cfRule>
  </conditionalFormatting>
  <conditionalFormatting sqref="E597">
    <cfRule type="cellIs" rank="0" priority="1185" equalAverage="0" operator="greaterThan" aboveAverage="0" dxfId="8" text="" percent="0" bottom="0">
      <formula>0</formula>
    </cfRule>
  </conditionalFormatting>
  <conditionalFormatting sqref="D598">
    <cfRule type="cellIs" rank="0" priority="1186" equalAverage="0" operator="greaterThan" aboveAverage="0" dxfId="10" text="" percent="0" bottom="0">
      <formula>GecOdemeEsik</formula>
    </cfRule>
  </conditionalFormatting>
  <conditionalFormatting sqref="E598">
    <cfRule type="cellIs" rank="0" priority="1187" equalAverage="0" operator="greaterThan" aboveAverage="0" dxfId="8" text="" percent="0" bottom="0">
      <formula>0</formula>
    </cfRule>
  </conditionalFormatting>
  <conditionalFormatting sqref="D599">
    <cfRule type="cellIs" rank="0" priority="1188" equalAverage="0" operator="greaterThan" aboveAverage="0" dxfId="10" text="" percent="0" bottom="0">
      <formula>GecOdemeEsik</formula>
    </cfRule>
  </conditionalFormatting>
  <conditionalFormatting sqref="E599">
    <cfRule type="cellIs" rank="0" priority="1189" equalAverage="0" operator="greaterThan" aboveAverage="0" dxfId="8" text="" percent="0" bottom="0">
      <formula>0</formula>
    </cfRule>
  </conditionalFormatting>
  <conditionalFormatting sqref="D600">
    <cfRule type="cellIs" rank="0" priority="1190" equalAverage="0" operator="greaterThan" aboveAverage="0" dxfId="10" text="" percent="0" bottom="0">
      <formula>GecOdemeEsik</formula>
    </cfRule>
  </conditionalFormatting>
  <conditionalFormatting sqref="E600">
    <cfRule type="cellIs" rank="0" priority="1191" equalAverage="0" operator="greaterThan" aboveAverage="0" dxfId="8" text="" percent="0" bottom="0">
      <formula>0</formula>
    </cfRule>
  </conditionalFormatting>
  <conditionalFormatting sqref="D601">
    <cfRule type="cellIs" rank="0" priority="1192" equalAverage="0" operator="greaterThan" aboveAverage="0" dxfId="10" text="" percent="0" bottom="0">
      <formula>GecOdemeEsik</formula>
    </cfRule>
  </conditionalFormatting>
  <conditionalFormatting sqref="E601">
    <cfRule type="cellIs" rank="0" priority="1193" equalAverage="0" operator="greaterThan" aboveAverage="0" dxfId="8" text="" percent="0" bottom="0">
      <formula>0</formula>
    </cfRule>
  </conditionalFormatting>
  <conditionalFormatting sqref="D602">
    <cfRule type="cellIs" rank="0" priority="1194" equalAverage="0" operator="greaterThan" aboveAverage="0" dxfId="10" text="" percent="0" bottom="0">
      <formula>GecOdemeEsik</formula>
    </cfRule>
  </conditionalFormatting>
  <conditionalFormatting sqref="E602">
    <cfRule type="cellIs" rank="0" priority="1195" equalAverage="0" operator="greaterThan" aboveAverage="0" dxfId="8" text="" percent="0" bottom="0">
      <formula>0</formula>
    </cfRule>
  </conditionalFormatting>
  <conditionalFormatting sqref="D603">
    <cfRule type="cellIs" rank="0" priority="1196" equalAverage="0" operator="greaterThan" aboveAverage="0" dxfId="10" text="" percent="0" bottom="0">
      <formula>GecOdemeEsik</formula>
    </cfRule>
  </conditionalFormatting>
  <conditionalFormatting sqref="E603">
    <cfRule type="cellIs" rank="0" priority="1197" equalAverage="0" operator="greaterThan" aboveAverage="0" dxfId="8" text="" percent="0" bottom="0">
      <formula>0</formula>
    </cfRule>
  </conditionalFormatting>
  <conditionalFormatting sqref="D604">
    <cfRule type="cellIs" rank="0" priority="1198" equalAverage="0" operator="greaterThan" aboveAverage="0" dxfId="10" text="" percent="0" bottom="0">
      <formula>GecOdemeEsik</formula>
    </cfRule>
  </conditionalFormatting>
  <conditionalFormatting sqref="E604">
    <cfRule type="cellIs" rank="0" priority="1199" equalAverage="0" operator="greaterThan" aboveAverage="0" dxfId="8" text="" percent="0" bottom="0">
      <formula>0</formula>
    </cfRule>
  </conditionalFormatting>
  <conditionalFormatting sqref="D605">
    <cfRule type="cellIs" rank="0" priority="1200" equalAverage="0" operator="greaterThan" aboveAverage="0" dxfId="10" text="" percent="0" bottom="0">
      <formula>GecOdemeEsik</formula>
    </cfRule>
  </conditionalFormatting>
  <conditionalFormatting sqref="E605">
    <cfRule type="cellIs" rank="0" priority="1201" equalAverage="0" operator="greaterThan" aboveAverage="0" dxfId="8" text="" percent="0" bottom="0">
      <formula>0</formula>
    </cfRule>
  </conditionalFormatting>
  <conditionalFormatting sqref="D606">
    <cfRule type="cellIs" rank="0" priority="1202" equalAverage="0" operator="greaterThan" aboveAverage="0" dxfId="10" text="" percent="0" bottom="0">
      <formula>GecOdemeEsik</formula>
    </cfRule>
  </conditionalFormatting>
  <conditionalFormatting sqref="E606">
    <cfRule type="cellIs" rank="0" priority="1203" equalAverage="0" operator="greaterThan" aboveAverage="0" dxfId="8" text="" percent="0" bottom="0">
      <formula>0</formula>
    </cfRule>
  </conditionalFormatting>
  <conditionalFormatting sqref="D607">
    <cfRule type="cellIs" rank="0" priority="1204" equalAverage="0" operator="greaterThan" aboveAverage="0" dxfId="10" text="" percent="0" bottom="0">
      <formula>GecOdemeEsik</formula>
    </cfRule>
  </conditionalFormatting>
  <conditionalFormatting sqref="E607">
    <cfRule type="cellIs" rank="0" priority="1205" equalAverage="0" operator="greaterThan" aboveAverage="0" dxfId="8" text="" percent="0" bottom="0">
      <formula>0</formula>
    </cfRule>
  </conditionalFormatting>
  <conditionalFormatting sqref="D608">
    <cfRule type="cellIs" rank="0" priority="1206" equalAverage="0" operator="greaterThan" aboveAverage="0" dxfId="10" text="" percent="0" bottom="0">
      <formula>GecOdemeEsik</formula>
    </cfRule>
  </conditionalFormatting>
  <conditionalFormatting sqref="E608">
    <cfRule type="cellIs" rank="0" priority="1207" equalAverage="0" operator="greaterThan" aboveAverage="0" dxfId="8" text="" percent="0" bottom="0">
      <formula>0</formula>
    </cfRule>
  </conditionalFormatting>
  <conditionalFormatting sqref="D609">
    <cfRule type="cellIs" rank="0" priority="1208" equalAverage="0" operator="greaterThan" aboveAverage="0" dxfId="10" text="" percent="0" bottom="0">
      <formula>GecOdemeEsik</formula>
    </cfRule>
  </conditionalFormatting>
  <conditionalFormatting sqref="E609">
    <cfRule type="cellIs" rank="0" priority="1209" equalAverage="0" operator="greaterThan" aboveAverage="0" dxfId="8" text="" percent="0" bottom="0">
      <formula>0</formula>
    </cfRule>
  </conditionalFormatting>
  <conditionalFormatting sqref="D610">
    <cfRule type="cellIs" rank="0" priority="1210" equalAverage="0" operator="greaterThan" aboveAverage="0" dxfId="10" text="" percent="0" bottom="0">
      <formula>GecOdemeEsik</formula>
    </cfRule>
  </conditionalFormatting>
  <conditionalFormatting sqref="E610">
    <cfRule type="cellIs" rank="0" priority="1211" equalAverage="0" operator="greaterThan" aboveAverage="0" dxfId="8" text="" percent="0" bottom="0">
      <formula>0</formula>
    </cfRule>
  </conditionalFormatting>
  <conditionalFormatting sqref="D611">
    <cfRule type="cellIs" rank="0" priority="1212" equalAverage="0" operator="greaterThan" aboveAverage="0" dxfId="10" text="" percent="0" bottom="0">
      <formula>GecOdemeEsik</formula>
    </cfRule>
  </conditionalFormatting>
  <conditionalFormatting sqref="E611">
    <cfRule type="cellIs" rank="0" priority="1213" equalAverage="0" operator="greaterThan" aboveAverage="0" dxfId="8" text="" percent="0" bottom="0">
      <formula>0</formula>
    </cfRule>
  </conditionalFormatting>
  <conditionalFormatting sqref="D612">
    <cfRule type="cellIs" rank="0" priority="1214" equalAverage="0" operator="greaterThan" aboveAverage="0" dxfId="10" text="" percent="0" bottom="0">
      <formula>GecOdemeEsik</formula>
    </cfRule>
  </conditionalFormatting>
  <conditionalFormatting sqref="E612">
    <cfRule type="cellIs" rank="0" priority="1215" equalAverage="0" operator="greaterThan" aboveAverage="0" dxfId="8" text="" percent="0" bottom="0">
      <formula>0</formula>
    </cfRule>
  </conditionalFormatting>
  <conditionalFormatting sqref="D613">
    <cfRule type="cellIs" rank="0" priority="1216" equalAverage="0" operator="greaterThan" aboveAverage="0" dxfId="10" text="" percent="0" bottom="0">
      <formula>GecOdemeEsik</formula>
    </cfRule>
  </conditionalFormatting>
  <conditionalFormatting sqref="E613">
    <cfRule type="cellIs" rank="0" priority="1217" equalAverage="0" operator="greaterThan" aboveAverage="0" dxfId="8" text="" percent="0" bottom="0">
      <formula>0</formula>
    </cfRule>
  </conditionalFormatting>
  <conditionalFormatting sqref="D614">
    <cfRule type="cellIs" rank="0" priority="1218" equalAverage="0" operator="greaterThan" aboveAverage="0" dxfId="10" text="" percent="0" bottom="0">
      <formula>GecOdemeEsik</formula>
    </cfRule>
  </conditionalFormatting>
  <conditionalFormatting sqref="E614">
    <cfRule type="cellIs" rank="0" priority="1219" equalAverage="0" operator="greaterThan" aboveAverage="0" dxfId="8" text="" percent="0" bottom="0">
      <formula>0</formula>
    </cfRule>
  </conditionalFormatting>
  <conditionalFormatting sqref="D615">
    <cfRule type="cellIs" rank="0" priority="1220" equalAverage="0" operator="greaterThan" aboveAverage="0" dxfId="10" text="" percent="0" bottom="0">
      <formula>GecOdemeEsik</formula>
    </cfRule>
  </conditionalFormatting>
  <conditionalFormatting sqref="E615">
    <cfRule type="cellIs" rank="0" priority="1221" equalAverage="0" operator="greaterThan" aboveAverage="0" dxfId="8" text="" percent="0" bottom="0">
      <formula>0</formula>
    </cfRule>
  </conditionalFormatting>
  <conditionalFormatting sqref="D616">
    <cfRule type="cellIs" rank="0" priority="1222" equalAverage="0" operator="greaterThan" aboveAverage="0" dxfId="10" text="" percent="0" bottom="0">
      <formula>GecOdemeEsik</formula>
    </cfRule>
  </conditionalFormatting>
  <conditionalFormatting sqref="E616">
    <cfRule type="cellIs" rank="0" priority="1223" equalAverage="0" operator="greaterThan" aboveAverage="0" dxfId="8" text="" percent="0" bottom="0">
      <formula>0</formula>
    </cfRule>
  </conditionalFormatting>
  <conditionalFormatting sqref="D617">
    <cfRule type="cellIs" rank="0" priority="1224" equalAverage="0" operator="greaterThan" aboveAverage="0" dxfId="10" text="" percent="0" bottom="0">
      <formula>GecOdemeEsik</formula>
    </cfRule>
  </conditionalFormatting>
  <conditionalFormatting sqref="E617">
    <cfRule type="cellIs" rank="0" priority="1225" equalAverage="0" operator="greaterThan" aboveAverage="0" dxfId="8" text="" percent="0" bottom="0">
      <formula>0</formula>
    </cfRule>
  </conditionalFormatting>
  <conditionalFormatting sqref="D618">
    <cfRule type="cellIs" rank="0" priority="1226" equalAverage="0" operator="greaterThan" aboveAverage="0" dxfId="10" text="" percent="0" bottom="0">
      <formula>GecOdemeEsik</formula>
    </cfRule>
  </conditionalFormatting>
  <conditionalFormatting sqref="E618">
    <cfRule type="cellIs" rank="0" priority="1227" equalAverage="0" operator="greaterThan" aboveAverage="0" dxfId="8" text="" percent="0" bottom="0">
      <formula>0</formula>
    </cfRule>
  </conditionalFormatting>
  <conditionalFormatting sqref="D619">
    <cfRule type="cellIs" rank="0" priority="1228" equalAverage="0" operator="greaterThan" aboveAverage="0" dxfId="10" text="" percent="0" bottom="0">
      <formula>GecOdemeEsik</formula>
    </cfRule>
  </conditionalFormatting>
  <conditionalFormatting sqref="E619">
    <cfRule type="cellIs" rank="0" priority="1229" equalAverage="0" operator="greaterThan" aboveAverage="0" dxfId="8" text="" percent="0" bottom="0">
      <formula>0</formula>
    </cfRule>
  </conditionalFormatting>
  <conditionalFormatting sqref="D620">
    <cfRule type="cellIs" rank="0" priority="1230" equalAverage="0" operator="greaterThan" aboveAverage="0" dxfId="10" text="" percent="0" bottom="0">
      <formula>GecOdemeEsik</formula>
    </cfRule>
  </conditionalFormatting>
  <conditionalFormatting sqref="E620">
    <cfRule type="cellIs" rank="0" priority="1231" equalAverage="0" operator="greaterThan" aboveAverage="0" dxfId="8" text="" percent="0" bottom="0">
      <formula>0</formula>
    </cfRule>
  </conditionalFormatting>
  <conditionalFormatting sqref="D621">
    <cfRule type="cellIs" rank="0" priority="1232" equalAverage="0" operator="greaterThan" aboveAverage="0" dxfId="10" text="" percent="0" bottom="0">
      <formula>GecOdemeEsik</formula>
    </cfRule>
  </conditionalFormatting>
  <conditionalFormatting sqref="E621">
    <cfRule type="cellIs" rank="0" priority="1233" equalAverage="0" operator="greaterThan" aboveAverage="0" dxfId="8" text="" percent="0" bottom="0">
      <formula>0</formula>
    </cfRule>
  </conditionalFormatting>
  <conditionalFormatting sqref="D622">
    <cfRule type="cellIs" rank="0" priority="1234" equalAverage="0" operator="greaterThan" aboveAverage="0" dxfId="10" text="" percent="0" bottom="0">
      <formula>GecOdemeEsik</formula>
    </cfRule>
  </conditionalFormatting>
  <conditionalFormatting sqref="E622">
    <cfRule type="cellIs" rank="0" priority="1235" equalAverage="0" operator="greaterThan" aboveAverage="0" dxfId="8" text="" percent="0" bottom="0">
      <formula>0</formula>
    </cfRule>
  </conditionalFormatting>
  <conditionalFormatting sqref="D623">
    <cfRule type="cellIs" rank="0" priority="1236" equalAverage="0" operator="greaterThan" aboveAverage="0" dxfId="10" text="" percent="0" bottom="0">
      <formula>GecOdemeEsik</formula>
    </cfRule>
  </conditionalFormatting>
  <conditionalFormatting sqref="E623">
    <cfRule type="cellIs" rank="0" priority="1237" equalAverage="0" operator="greaterThan" aboveAverage="0" dxfId="8" text="" percent="0" bottom="0">
      <formula>0</formula>
    </cfRule>
  </conditionalFormatting>
  <conditionalFormatting sqref="D624">
    <cfRule type="cellIs" rank="0" priority="1238" equalAverage="0" operator="greaterThan" aboveAverage="0" dxfId="10" text="" percent="0" bottom="0">
      <formula>GecOdemeEsik</formula>
    </cfRule>
  </conditionalFormatting>
  <conditionalFormatting sqref="E624">
    <cfRule type="cellIs" rank="0" priority="1239" equalAverage="0" operator="greaterThan" aboveAverage="0" dxfId="8" text="" percent="0" bottom="0">
      <formula>0</formula>
    </cfRule>
  </conditionalFormatting>
  <conditionalFormatting sqref="D625">
    <cfRule type="cellIs" rank="0" priority="1240" equalAverage="0" operator="greaterThan" aboveAverage="0" dxfId="10" text="" percent="0" bottom="0">
      <formula>GecOdemeEsik</formula>
    </cfRule>
  </conditionalFormatting>
  <conditionalFormatting sqref="E625">
    <cfRule type="cellIs" rank="0" priority="1241" equalAverage="0" operator="greaterThan" aboveAverage="0" dxfId="8" text="" percent="0" bottom="0">
      <formula>0</formula>
    </cfRule>
  </conditionalFormatting>
  <conditionalFormatting sqref="D626">
    <cfRule type="cellIs" rank="0" priority="1242" equalAverage="0" operator="greaterThan" aboveAverage="0" dxfId="10" text="" percent="0" bottom="0">
      <formula>GecOdemeEsik</formula>
    </cfRule>
  </conditionalFormatting>
  <conditionalFormatting sqref="E626">
    <cfRule type="cellIs" rank="0" priority="1243" equalAverage="0" operator="greaterThan" aboveAverage="0" dxfId="8" text="" percent="0" bottom="0">
      <formula>0</formula>
    </cfRule>
  </conditionalFormatting>
  <conditionalFormatting sqref="D627">
    <cfRule type="cellIs" rank="0" priority="1244" equalAverage="0" operator="greaterThan" aboveAverage="0" dxfId="10" text="" percent="0" bottom="0">
      <formula>GecOdemeEsik</formula>
    </cfRule>
  </conditionalFormatting>
  <conditionalFormatting sqref="E627">
    <cfRule type="cellIs" rank="0" priority="1245" equalAverage="0" operator="greaterThan" aboveAverage="0" dxfId="8" text="" percent="0" bottom="0">
      <formula>0</formula>
    </cfRule>
  </conditionalFormatting>
  <conditionalFormatting sqref="D628">
    <cfRule type="cellIs" rank="0" priority="1246" equalAverage="0" operator="greaterThan" aboveAverage="0" dxfId="10" text="" percent="0" bottom="0">
      <formula>GecOdemeEsik</formula>
    </cfRule>
  </conditionalFormatting>
  <conditionalFormatting sqref="E628">
    <cfRule type="cellIs" rank="0" priority="1247" equalAverage="0" operator="greaterThan" aboveAverage="0" dxfId="8" text="" percent="0" bottom="0">
      <formula>0</formula>
    </cfRule>
  </conditionalFormatting>
  <conditionalFormatting sqref="D629">
    <cfRule type="cellIs" rank="0" priority="1248" equalAverage="0" operator="greaterThan" aboveAverage="0" dxfId="10" text="" percent="0" bottom="0">
      <formula>GecOdemeEsik</formula>
    </cfRule>
  </conditionalFormatting>
  <conditionalFormatting sqref="E629">
    <cfRule type="cellIs" rank="0" priority="1249" equalAverage="0" operator="greaterThan" aboveAverage="0" dxfId="8" text="" percent="0" bottom="0">
      <formula>0</formula>
    </cfRule>
  </conditionalFormatting>
  <conditionalFormatting sqref="D630">
    <cfRule type="cellIs" rank="0" priority="1250" equalAverage="0" operator="greaterThan" aboveAverage="0" dxfId="10" text="" percent="0" bottom="0">
      <formula>GecOdemeEsik</formula>
    </cfRule>
  </conditionalFormatting>
  <conditionalFormatting sqref="E630">
    <cfRule type="cellIs" rank="0" priority="1251" equalAverage="0" operator="greaterThan" aboveAverage="0" dxfId="8" text="" percent="0" bottom="0">
      <formula>0</formula>
    </cfRule>
  </conditionalFormatting>
  <conditionalFormatting sqref="D631">
    <cfRule type="cellIs" rank="0" priority="1252" equalAverage="0" operator="greaterThan" aboveAverage="0" dxfId="10" text="" percent="0" bottom="0">
      <formula>GecOdemeEsik</formula>
    </cfRule>
  </conditionalFormatting>
  <conditionalFormatting sqref="E631">
    <cfRule type="cellIs" rank="0" priority="1253" equalAverage="0" operator="greaterThan" aboveAverage="0" dxfId="8" text="" percent="0" bottom="0">
      <formula>0</formula>
    </cfRule>
  </conditionalFormatting>
  <conditionalFormatting sqref="D632">
    <cfRule type="cellIs" rank="0" priority="1254" equalAverage="0" operator="greaterThan" aboveAverage="0" dxfId="10" text="" percent="0" bottom="0">
      <formula>GecOdemeEsik</formula>
    </cfRule>
  </conditionalFormatting>
  <conditionalFormatting sqref="E632">
    <cfRule type="cellIs" rank="0" priority="1255" equalAverage="0" operator="greaterThan" aboveAverage="0" dxfId="8" text="" percent="0" bottom="0">
      <formula>0</formula>
    </cfRule>
  </conditionalFormatting>
  <conditionalFormatting sqref="D633">
    <cfRule type="cellIs" rank="0" priority="1256" equalAverage="0" operator="greaterThan" aboveAverage="0" dxfId="10" text="" percent="0" bottom="0">
      <formula>GecOdemeEsik</formula>
    </cfRule>
  </conditionalFormatting>
  <conditionalFormatting sqref="E633">
    <cfRule type="cellIs" rank="0" priority="1257" equalAverage="0" operator="greaterThan" aboveAverage="0" dxfId="8" text="" percent="0" bottom="0">
      <formula>0</formula>
    </cfRule>
  </conditionalFormatting>
  <conditionalFormatting sqref="D634">
    <cfRule type="cellIs" rank="0" priority="1258" equalAverage="0" operator="greaterThan" aboveAverage="0" dxfId="10" text="" percent="0" bottom="0">
      <formula>GecOdemeEsik</formula>
    </cfRule>
  </conditionalFormatting>
  <conditionalFormatting sqref="E634">
    <cfRule type="cellIs" rank="0" priority="1259" equalAverage="0" operator="greaterThan" aboveAverage="0" dxfId="8" text="" percent="0" bottom="0">
      <formula>0</formula>
    </cfRule>
  </conditionalFormatting>
  <conditionalFormatting sqref="D635">
    <cfRule type="cellIs" rank="0" priority="1260" equalAverage="0" operator="greaterThan" aboveAverage="0" dxfId="10" text="" percent="0" bottom="0">
      <formula>GecOdemeEsik</formula>
    </cfRule>
  </conditionalFormatting>
  <conditionalFormatting sqref="E635">
    <cfRule type="cellIs" rank="0" priority="1261" equalAverage="0" operator="greaterThan" aboveAverage="0" dxfId="8" text="" percent="0" bottom="0">
      <formula>0</formula>
    </cfRule>
  </conditionalFormatting>
  <conditionalFormatting sqref="D636">
    <cfRule type="cellIs" rank="0" priority="1262" equalAverage="0" operator="greaterThan" aboveAverage="0" dxfId="10" text="" percent="0" bottom="0">
      <formula>GecOdemeEsik</formula>
    </cfRule>
  </conditionalFormatting>
  <conditionalFormatting sqref="E636">
    <cfRule type="cellIs" rank="0" priority="1263" equalAverage="0" operator="greaterThan" aboveAverage="0" dxfId="8" text="" percent="0" bottom="0">
      <formula>0</formula>
    </cfRule>
  </conditionalFormatting>
  <conditionalFormatting sqref="D637">
    <cfRule type="cellIs" rank="0" priority="1264" equalAverage="0" operator="greaterThan" aboveAverage="0" dxfId="10" text="" percent="0" bottom="0">
      <formula>GecOdemeEsik</formula>
    </cfRule>
  </conditionalFormatting>
  <conditionalFormatting sqref="E637">
    <cfRule type="cellIs" rank="0" priority="1265" equalAverage="0" operator="greaterThan" aboveAverage="0" dxfId="8" text="" percent="0" bottom="0">
      <formula>0</formula>
    </cfRule>
  </conditionalFormatting>
  <conditionalFormatting sqref="D638">
    <cfRule type="cellIs" rank="0" priority="1266" equalAverage="0" operator="greaterThan" aboveAverage="0" dxfId="10" text="" percent="0" bottom="0">
      <formula>GecOdemeEsik</formula>
    </cfRule>
  </conditionalFormatting>
  <conditionalFormatting sqref="E638">
    <cfRule type="cellIs" rank="0" priority="1267" equalAverage="0" operator="greaterThan" aboveAverage="0" dxfId="8" text="" percent="0" bottom="0">
      <formula>0</formula>
    </cfRule>
  </conditionalFormatting>
  <conditionalFormatting sqref="D639">
    <cfRule type="cellIs" rank="0" priority="1268" equalAverage="0" operator="greaterThan" aboveAverage="0" dxfId="10" text="" percent="0" bottom="0">
      <formula>GecOdemeEsik</formula>
    </cfRule>
  </conditionalFormatting>
  <conditionalFormatting sqref="E639">
    <cfRule type="cellIs" rank="0" priority="1269" equalAverage="0" operator="greaterThan" aboveAverage="0" dxfId="8" text="" percent="0" bottom="0">
      <formula>0</formula>
    </cfRule>
  </conditionalFormatting>
  <conditionalFormatting sqref="D640">
    <cfRule type="cellIs" rank="0" priority="1270" equalAverage="0" operator="greaterThan" aboveAverage="0" dxfId="10" text="" percent="0" bottom="0">
      <formula>GecOdemeEsik</formula>
    </cfRule>
  </conditionalFormatting>
  <conditionalFormatting sqref="E640">
    <cfRule type="cellIs" rank="0" priority="1271" equalAverage="0" operator="greaterThan" aboveAverage="0" dxfId="8" text="" percent="0" bottom="0">
      <formula>0</formula>
    </cfRule>
  </conditionalFormatting>
  <conditionalFormatting sqref="D641">
    <cfRule type="cellIs" rank="0" priority="1272" equalAverage="0" operator="greaterThan" aboveAverage="0" dxfId="10" text="" percent="0" bottom="0">
      <formula>GecOdemeEsik</formula>
    </cfRule>
  </conditionalFormatting>
  <conditionalFormatting sqref="E641">
    <cfRule type="cellIs" rank="0" priority="1273" equalAverage="0" operator="greaterThan" aboveAverage="0" dxfId="8" text="" percent="0" bottom="0">
      <formula>0</formula>
    </cfRule>
  </conditionalFormatting>
  <conditionalFormatting sqref="D642">
    <cfRule type="cellIs" rank="0" priority="1274" equalAverage="0" operator="greaterThan" aboveAverage="0" dxfId="10" text="" percent="0" bottom="0">
      <formula>GecOdemeEsik</formula>
    </cfRule>
  </conditionalFormatting>
  <conditionalFormatting sqref="E642">
    <cfRule type="cellIs" rank="0" priority="1275" equalAverage="0" operator="greaterThan" aboveAverage="0" dxfId="8" text="" percent="0" bottom="0">
      <formula>0</formula>
    </cfRule>
  </conditionalFormatting>
  <conditionalFormatting sqref="D643">
    <cfRule type="cellIs" rank="0" priority="1276" equalAverage="0" operator="greaterThan" aboveAverage="0" dxfId="10" text="" percent="0" bottom="0">
      <formula>GecOdemeEsik</formula>
    </cfRule>
  </conditionalFormatting>
  <conditionalFormatting sqref="E643">
    <cfRule type="cellIs" rank="0" priority="1277" equalAverage="0" operator="greaterThan" aboveAverage="0" dxfId="8" text="" percent="0" bottom="0">
      <formula>0</formula>
    </cfRule>
  </conditionalFormatting>
  <conditionalFormatting sqref="D644">
    <cfRule type="cellIs" rank="0" priority="1278" equalAverage="0" operator="greaterThan" aboveAverage="0" dxfId="10" text="" percent="0" bottom="0">
      <formula>GecOdemeEsik</formula>
    </cfRule>
  </conditionalFormatting>
  <conditionalFormatting sqref="E644">
    <cfRule type="cellIs" rank="0" priority="1279" equalAverage="0" operator="greaterThan" aboveAverage="0" dxfId="8" text="" percent="0" bottom="0">
      <formula>0</formula>
    </cfRule>
  </conditionalFormatting>
  <conditionalFormatting sqref="D645">
    <cfRule type="cellIs" rank="0" priority="1280" equalAverage="0" operator="greaterThan" aboveAverage="0" dxfId="10" text="" percent="0" bottom="0">
      <formula>GecOdemeEsik</formula>
    </cfRule>
  </conditionalFormatting>
  <conditionalFormatting sqref="E645">
    <cfRule type="cellIs" rank="0" priority="1281" equalAverage="0" operator="greaterThan" aboveAverage="0" dxfId="8" text="" percent="0" bottom="0">
      <formula>0</formula>
    </cfRule>
  </conditionalFormatting>
  <conditionalFormatting sqref="D646">
    <cfRule type="cellIs" rank="0" priority="1282" equalAverage="0" operator="greaterThan" aboveAverage="0" dxfId="10" text="" percent="0" bottom="0">
      <formula>GecOdemeEsik</formula>
    </cfRule>
  </conditionalFormatting>
  <conditionalFormatting sqref="E646">
    <cfRule type="cellIs" rank="0" priority="1283" equalAverage="0" operator="greaterThan" aboveAverage="0" dxfId="8" text="" percent="0" bottom="0">
      <formula>0</formula>
    </cfRule>
  </conditionalFormatting>
  <conditionalFormatting sqref="D647">
    <cfRule type="cellIs" rank="0" priority="1284" equalAverage="0" operator="greaterThan" aboveAverage="0" dxfId="10" text="" percent="0" bottom="0">
      <formula>GecOdemeEsik</formula>
    </cfRule>
  </conditionalFormatting>
  <conditionalFormatting sqref="E647">
    <cfRule type="cellIs" rank="0" priority="1285" equalAverage="0" operator="greaterThan" aboveAverage="0" dxfId="8" text="" percent="0" bottom="0">
      <formula>0</formula>
    </cfRule>
  </conditionalFormatting>
  <conditionalFormatting sqref="D648">
    <cfRule type="cellIs" rank="0" priority="1286" equalAverage="0" operator="greaterThan" aboveAverage="0" dxfId="10" text="" percent="0" bottom="0">
      <formula>GecOdemeEsik</formula>
    </cfRule>
  </conditionalFormatting>
  <conditionalFormatting sqref="E648">
    <cfRule type="cellIs" rank="0" priority="1287" equalAverage="0" operator="greaterThan" aboveAverage="0" dxfId="8" text="" percent="0" bottom="0">
      <formula>0</formula>
    </cfRule>
  </conditionalFormatting>
  <conditionalFormatting sqref="D649">
    <cfRule type="cellIs" rank="0" priority="1288" equalAverage="0" operator="greaterThan" aboveAverage="0" dxfId="10" text="" percent="0" bottom="0">
      <formula>GecOdemeEsik</formula>
    </cfRule>
  </conditionalFormatting>
  <conditionalFormatting sqref="E649">
    <cfRule type="cellIs" rank="0" priority="1289" equalAverage="0" operator="greaterThan" aboveAverage="0" dxfId="8" text="" percent="0" bottom="0">
      <formula>0</formula>
    </cfRule>
  </conditionalFormatting>
  <conditionalFormatting sqref="D650">
    <cfRule type="cellIs" rank="0" priority="1290" equalAverage="0" operator="greaterThan" aboveAverage="0" dxfId="10" text="" percent="0" bottom="0">
      <formula>GecOdemeEsik</formula>
    </cfRule>
  </conditionalFormatting>
  <conditionalFormatting sqref="E650">
    <cfRule type="cellIs" rank="0" priority="1291" equalAverage="0" operator="greaterThan" aboveAverage="0" dxfId="8" text="" percent="0" bottom="0">
      <formula>0</formula>
    </cfRule>
  </conditionalFormatting>
  <conditionalFormatting sqref="D651">
    <cfRule type="cellIs" rank="0" priority="1292" equalAverage="0" operator="greaterThan" aboveAverage="0" dxfId="10" text="" percent="0" bottom="0">
      <formula>GecOdemeEsik</formula>
    </cfRule>
  </conditionalFormatting>
  <conditionalFormatting sqref="E651">
    <cfRule type="cellIs" rank="0" priority="1293" equalAverage="0" operator="greaterThan" aboveAverage="0" dxfId="8" text="" percent="0" bottom="0">
      <formula>0</formula>
    </cfRule>
  </conditionalFormatting>
  <conditionalFormatting sqref="D652">
    <cfRule type="cellIs" rank="0" priority="1294" equalAverage="0" operator="greaterThan" aboveAverage="0" dxfId="10" text="" percent="0" bottom="0">
      <formula>GecOdemeEsik</formula>
    </cfRule>
  </conditionalFormatting>
  <conditionalFormatting sqref="E652">
    <cfRule type="cellIs" rank="0" priority="1295" equalAverage="0" operator="greaterThan" aboveAverage="0" dxfId="8" text="" percent="0" bottom="0">
      <formula>0</formula>
    </cfRule>
  </conditionalFormatting>
  <conditionalFormatting sqref="D653">
    <cfRule type="cellIs" rank="0" priority="1296" equalAverage="0" operator="greaterThan" aboveAverage="0" dxfId="10" text="" percent="0" bottom="0">
      <formula>GecOdemeEsik</formula>
    </cfRule>
  </conditionalFormatting>
  <conditionalFormatting sqref="E653">
    <cfRule type="cellIs" rank="0" priority="1297" equalAverage="0" operator="greaterThan" aboveAverage="0" dxfId="8" text="" percent="0" bottom="0">
      <formula>0</formula>
    </cfRule>
  </conditionalFormatting>
  <conditionalFormatting sqref="D654">
    <cfRule type="cellIs" rank="0" priority="1298" equalAverage="0" operator="greaterThan" aboveAverage="0" dxfId="10" text="" percent="0" bottom="0">
      <formula>GecOdemeEsik</formula>
    </cfRule>
  </conditionalFormatting>
  <conditionalFormatting sqref="E654">
    <cfRule type="cellIs" rank="0" priority="1299" equalAverage="0" operator="greaterThan" aboveAverage="0" dxfId="8" text="" percent="0" bottom="0">
      <formula>0</formula>
    </cfRule>
  </conditionalFormatting>
  <conditionalFormatting sqref="D655">
    <cfRule type="cellIs" rank="0" priority="1300" equalAverage="0" operator="greaterThan" aboveAverage="0" dxfId="10" text="" percent="0" bottom="0">
      <formula>GecOdemeEsik</formula>
    </cfRule>
  </conditionalFormatting>
  <conditionalFormatting sqref="E655">
    <cfRule type="cellIs" rank="0" priority="1301" equalAverage="0" operator="greaterThan" aboveAverage="0" dxfId="8" text="" percent="0" bottom="0">
      <formula>0</formula>
    </cfRule>
  </conditionalFormatting>
  <conditionalFormatting sqref="D656">
    <cfRule type="cellIs" rank="0" priority="1302" equalAverage="0" operator="greaterThan" aboveAverage="0" dxfId="10" text="" percent="0" bottom="0">
      <formula>GecOdemeEsik</formula>
    </cfRule>
  </conditionalFormatting>
  <conditionalFormatting sqref="E656">
    <cfRule type="cellIs" rank="0" priority="1303" equalAverage="0" operator="greaterThan" aboveAverage="0" dxfId="8" text="" percent="0" bottom="0">
      <formula>0</formula>
    </cfRule>
  </conditionalFormatting>
  <conditionalFormatting sqref="D657">
    <cfRule type="cellIs" rank="0" priority="1304" equalAverage="0" operator="greaterThan" aboveAverage="0" dxfId="10" text="" percent="0" bottom="0">
      <formula>GecOdemeEsik</formula>
    </cfRule>
  </conditionalFormatting>
  <conditionalFormatting sqref="E657">
    <cfRule type="cellIs" rank="0" priority="1305" equalAverage="0" operator="greaterThan" aboveAverage="0" dxfId="8" text="" percent="0" bottom="0">
      <formula>0</formula>
    </cfRule>
  </conditionalFormatting>
  <conditionalFormatting sqref="D658">
    <cfRule type="cellIs" rank="0" priority="1306" equalAverage="0" operator="greaterThan" aboveAverage="0" dxfId="10" text="" percent="0" bottom="0">
      <formula>GecOdemeEsik</formula>
    </cfRule>
  </conditionalFormatting>
  <conditionalFormatting sqref="E658">
    <cfRule type="cellIs" rank="0" priority="1307" equalAverage="0" operator="greaterThan" aboveAverage="0" dxfId="8" text="" percent="0" bottom="0">
      <formula>0</formula>
    </cfRule>
  </conditionalFormatting>
  <conditionalFormatting sqref="D659">
    <cfRule type="cellIs" rank="0" priority="1308" equalAverage="0" operator="greaterThan" aboveAverage="0" dxfId="10" text="" percent="0" bottom="0">
      <formula>GecOdemeEsik</formula>
    </cfRule>
  </conditionalFormatting>
  <conditionalFormatting sqref="E659">
    <cfRule type="cellIs" rank="0" priority="1309" equalAverage="0" operator="greaterThan" aboveAverage="0" dxfId="8" text="" percent="0" bottom="0">
      <formula>0</formula>
    </cfRule>
  </conditionalFormatting>
  <conditionalFormatting sqref="D660">
    <cfRule type="cellIs" rank="0" priority="1310" equalAverage="0" operator="greaterThan" aboveAverage="0" dxfId="10" text="" percent="0" bottom="0">
      <formula>GecOdemeEsik</formula>
    </cfRule>
  </conditionalFormatting>
  <conditionalFormatting sqref="E660">
    <cfRule type="cellIs" rank="0" priority="1311" equalAverage="0" operator="greaterThan" aboveAverage="0" dxfId="8" text="" percent="0" bottom="0">
      <formula>0</formula>
    </cfRule>
  </conditionalFormatting>
  <conditionalFormatting sqref="D661">
    <cfRule type="cellIs" rank="0" priority="1312" equalAverage="0" operator="greaterThan" aboveAverage="0" dxfId="10" text="" percent="0" bottom="0">
      <formula>GecOdemeEsik</formula>
    </cfRule>
  </conditionalFormatting>
  <conditionalFormatting sqref="E661">
    <cfRule type="cellIs" rank="0" priority="1313" equalAverage="0" operator="greaterThan" aboveAverage="0" dxfId="8" text="" percent="0" bottom="0">
      <formula>0</formula>
    </cfRule>
  </conditionalFormatting>
  <conditionalFormatting sqref="D662">
    <cfRule type="cellIs" rank="0" priority="1314" equalAverage="0" operator="greaterThan" aboveAverage="0" dxfId="10" text="" percent="0" bottom="0">
      <formula>GecOdemeEsik</formula>
    </cfRule>
  </conditionalFormatting>
  <conditionalFormatting sqref="E662">
    <cfRule type="cellIs" rank="0" priority="1315" equalAverage="0" operator="greaterThan" aboveAverage="0" dxfId="8" text="" percent="0" bottom="0">
      <formula>0</formula>
    </cfRule>
  </conditionalFormatting>
  <conditionalFormatting sqref="D663">
    <cfRule type="cellIs" rank="0" priority="1316" equalAverage="0" operator="greaterThan" aboveAverage="0" dxfId="10" text="" percent="0" bottom="0">
      <formula>GecOdemeEsik</formula>
    </cfRule>
  </conditionalFormatting>
  <conditionalFormatting sqref="E663">
    <cfRule type="cellIs" rank="0" priority="1317" equalAverage="0" operator="greaterThan" aboveAverage="0" dxfId="8" text="" percent="0" bottom="0">
      <formula>0</formula>
    </cfRule>
  </conditionalFormatting>
  <conditionalFormatting sqref="D664">
    <cfRule type="cellIs" rank="0" priority="1318" equalAverage="0" operator="greaterThan" aboveAverage="0" dxfId="10" text="" percent="0" bottom="0">
      <formula>GecOdemeEsik</formula>
    </cfRule>
  </conditionalFormatting>
  <conditionalFormatting sqref="E664">
    <cfRule type="cellIs" rank="0" priority="1319" equalAverage="0" operator="greaterThan" aboveAverage="0" dxfId="8" text="" percent="0" bottom="0">
      <formula>0</formula>
    </cfRule>
  </conditionalFormatting>
  <conditionalFormatting sqref="D665">
    <cfRule type="cellIs" rank="0" priority="1320" equalAverage="0" operator="greaterThan" aboveAverage="0" dxfId="10" text="" percent="0" bottom="0">
      <formula>GecOdemeEsik</formula>
    </cfRule>
  </conditionalFormatting>
  <conditionalFormatting sqref="E665">
    <cfRule type="cellIs" rank="0" priority="1321" equalAverage="0" operator="greaterThan" aboveAverage="0" dxfId="8" text="" percent="0" bottom="0">
      <formula>0</formula>
    </cfRule>
  </conditionalFormatting>
  <conditionalFormatting sqref="D666">
    <cfRule type="cellIs" rank="0" priority="1322" equalAverage="0" operator="greaterThan" aboveAverage="0" dxfId="10" text="" percent="0" bottom="0">
      <formula>GecOdemeEsik</formula>
    </cfRule>
  </conditionalFormatting>
  <conditionalFormatting sqref="E666">
    <cfRule type="cellIs" rank="0" priority="1323" equalAverage="0" operator="greaterThan" aboveAverage="0" dxfId="8" text="" percent="0" bottom="0">
      <formula>0</formula>
    </cfRule>
  </conditionalFormatting>
  <conditionalFormatting sqref="D667">
    <cfRule type="cellIs" rank="0" priority="1324" equalAverage="0" operator="greaterThan" aboveAverage="0" dxfId="10" text="" percent="0" bottom="0">
      <formula>GecOdemeEsik</formula>
    </cfRule>
  </conditionalFormatting>
  <conditionalFormatting sqref="E667">
    <cfRule type="cellIs" rank="0" priority="1325" equalAverage="0" operator="greaterThan" aboveAverage="0" dxfId="8" text="" percent="0" bottom="0">
      <formula>0</formula>
    </cfRule>
  </conditionalFormatting>
  <conditionalFormatting sqref="D668">
    <cfRule type="cellIs" rank="0" priority="1326" equalAverage="0" operator="greaterThan" aboveAverage="0" dxfId="10" text="" percent="0" bottom="0">
      <formula>GecOdemeEsik</formula>
    </cfRule>
  </conditionalFormatting>
  <conditionalFormatting sqref="E668">
    <cfRule type="cellIs" rank="0" priority="1327" equalAverage="0" operator="greaterThan" aboveAverage="0" dxfId="8" text="" percent="0" bottom="0">
      <formula>0</formula>
    </cfRule>
  </conditionalFormatting>
  <conditionalFormatting sqref="D669">
    <cfRule type="cellIs" rank="0" priority="1328" equalAverage="0" operator="greaterThan" aboveAverage="0" dxfId="10" text="" percent="0" bottom="0">
      <formula>GecOdemeEsik</formula>
    </cfRule>
  </conditionalFormatting>
  <conditionalFormatting sqref="E669">
    <cfRule type="cellIs" rank="0" priority="1329" equalAverage="0" operator="greaterThan" aboveAverage="0" dxfId="8" text="" percent="0" bottom="0">
      <formula>0</formula>
    </cfRule>
  </conditionalFormatting>
  <conditionalFormatting sqref="D670">
    <cfRule type="cellIs" rank="0" priority="1330" equalAverage="0" operator="greaterThan" aboveAverage="0" dxfId="10" text="" percent="0" bottom="0">
      <formula>GecOdemeEsik</formula>
    </cfRule>
  </conditionalFormatting>
  <conditionalFormatting sqref="E670">
    <cfRule type="cellIs" rank="0" priority="1331" equalAverage="0" operator="greaterThan" aboveAverage="0" dxfId="8" text="" percent="0" bottom="0">
      <formula>0</formula>
    </cfRule>
  </conditionalFormatting>
  <conditionalFormatting sqref="D671">
    <cfRule type="cellIs" rank="0" priority="1332" equalAverage="0" operator="greaterThan" aboveAverage="0" dxfId="10" text="" percent="0" bottom="0">
      <formula>GecOdemeEsik</formula>
    </cfRule>
  </conditionalFormatting>
  <conditionalFormatting sqref="E671">
    <cfRule type="cellIs" rank="0" priority="1333" equalAverage="0" operator="greaterThan" aboveAverage="0" dxfId="8" text="" percent="0" bottom="0">
      <formula>0</formula>
    </cfRule>
  </conditionalFormatting>
  <conditionalFormatting sqref="D672">
    <cfRule type="cellIs" rank="0" priority="1334" equalAverage="0" operator="greaterThan" aboveAverage="0" dxfId="10" text="" percent="0" bottom="0">
      <formula>GecOdemeEsik</formula>
    </cfRule>
  </conditionalFormatting>
  <conditionalFormatting sqref="E672">
    <cfRule type="cellIs" rank="0" priority="1335" equalAverage="0" operator="greaterThan" aboveAverage="0" dxfId="8" text="" percent="0" bottom="0">
      <formula>0</formula>
    </cfRule>
  </conditionalFormatting>
  <conditionalFormatting sqref="D673">
    <cfRule type="cellIs" rank="0" priority="1336" equalAverage="0" operator="greaterThan" aboveAverage="0" dxfId="10" text="" percent="0" bottom="0">
      <formula>GecOdemeEsik</formula>
    </cfRule>
  </conditionalFormatting>
  <conditionalFormatting sqref="E673">
    <cfRule type="cellIs" rank="0" priority="1337" equalAverage="0" operator="greaterThan" aboveAverage="0" dxfId="8" text="" percent="0" bottom="0">
      <formula>0</formula>
    </cfRule>
  </conditionalFormatting>
  <conditionalFormatting sqref="D674">
    <cfRule type="cellIs" rank="0" priority="1338" equalAverage="0" operator="greaterThan" aboveAverage="0" dxfId="10" text="" percent="0" bottom="0">
      <formula>GecOdemeEsik</formula>
    </cfRule>
  </conditionalFormatting>
  <conditionalFormatting sqref="E674">
    <cfRule type="cellIs" rank="0" priority="1339" equalAverage="0" operator="greaterThan" aboveAverage="0" dxfId="8" text="" percent="0" bottom="0">
      <formula>0</formula>
    </cfRule>
  </conditionalFormatting>
  <conditionalFormatting sqref="D675">
    <cfRule type="cellIs" rank="0" priority="1340" equalAverage="0" operator="greaterThan" aboveAverage="0" dxfId="10" text="" percent="0" bottom="0">
      <formula>GecOdemeEsik</formula>
    </cfRule>
  </conditionalFormatting>
  <conditionalFormatting sqref="E675">
    <cfRule type="cellIs" rank="0" priority="1341" equalAverage="0" operator="greaterThan" aboveAverage="0" dxfId="8" text="" percent="0" bottom="0">
      <formula>0</formula>
    </cfRule>
  </conditionalFormatting>
  <conditionalFormatting sqref="D676">
    <cfRule type="cellIs" rank="0" priority="1342" equalAverage="0" operator="greaterThan" aboveAverage="0" dxfId="10" text="" percent="0" bottom="0">
      <formula>GecOdemeEsik</formula>
    </cfRule>
  </conditionalFormatting>
  <conditionalFormatting sqref="E676">
    <cfRule type="cellIs" rank="0" priority="1343" equalAverage="0" operator="greaterThan" aboveAverage="0" dxfId="8" text="" percent="0" bottom="0">
      <formula>0</formula>
    </cfRule>
  </conditionalFormatting>
  <conditionalFormatting sqref="D677">
    <cfRule type="cellIs" rank="0" priority="1344" equalAverage="0" operator="greaterThan" aboveAverage="0" dxfId="10" text="" percent="0" bottom="0">
      <formula>GecOdemeEsik</formula>
    </cfRule>
  </conditionalFormatting>
  <conditionalFormatting sqref="E677">
    <cfRule type="cellIs" rank="0" priority="1345" equalAverage="0" operator="greaterThan" aboveAverage="0" dxfId="8" text="" percent="0" bottom="0">
      <formula>0</formula>
    </cfRule>
  </conditionalFormatting>
  <conditionalFormatting sqref="D678">
    <cfRule type="cellIs" rank="0" priority="1346" equalAverage="0" operator="greaterThan" aboveAverage="0" dxfId="10" text="" percent="0" bottom="0">
      <formula>GecOdemeEsik</formula>
    </cfRule>
  </conditionalFormatting>
  <conditionalFormatting sqref="E678">
    <cfRule type="cellIs" rank="0" priority="1347" equalAverage="0" operator="greaterThan" aboveAverage="0" dxfId="8" text="" percent="0" bottom="0">
      <formula>0</formula>
    </cfRule>
  </conditionalFormatting>
  <conditionalFormatting sqref="D679">
    <cfRule type="cellIs" rank="0" priority="1348" equalAverage="0" operator="greaterThan" aboveAverage="0" dxfId="10" text="" percent="0" bottom="0">
      <formula>GecOdemeEsik</formula>
    </cfRule>
  </conditionalFormatting>
  <conditionalFormatting sqref="E679">
    <cfRule type="cellIs" rank="0" priority="1349" equalAverage="0" operator="greaterThan" aboveAverage="0" dxfId="8" text="" percent="0" bottom="0">
      <formula>0</formula>
    </cfRule>
  </conditionalFormatting>
  <conditionalFormatting sqref="D680">
    <cfRule type="cellIs" rank="0" priority="1350" equalAverage="0" operator="greaterThan" aboveAverage="0" dxfId="10" text="" percent="0" bottom="0">
      <formula>GecOdemeEsik</formula>
    </cfRule>
  </conditionalFormatting>
  <conditionalFormatting sqref="E680">
    <cfRule type="cellIs" rank="0" priority="1351" equalAverage="0" operator="greaterThan" aboveAverage="0" dxfId="8" text="" percent="0" bottom="0">
      <formula>0</formula>
    </cfRule>
  </conditionalFormatting>
  <conditionalFormatting sqref="D681">
    <cfRule type="cellIs" rank="0" priority="1352" equalAverage="0" operator="greaterThan" aboveAverage="0" dxfId="10" text="" percent="0" bottom="0">
      <formula>GecOdemeEsik</formula>
    </cfRule>
  </conditionalFormatting>
  <conditionalFormatting sqref="E681">
    <cfRule type="cellIs" rank="0" priority="1353" equalAverage="0" operator="greaterThan" aboveAverage="0" dxfId="8" text="" percent="0" bottom="0">
      <formula>0</formula>
    </cfRule>
  </conditionalFormatting>
  <conditionalFormatting sqref="D682">
    <cfRule type="cellIs" rank="0" priority="1354" equalAverage="0" operator="greaterThan" aboveAverage="0" dxfId="10" text="" percent="0" bottom="0">
      <formula>GecOdemeEsik</formula>
    </cfRule>
  </conditionalFormatting>
  <conditionalFormatting sqref="E682">
    <cfRule type="cellIs" rank="0" priority="1355" equalAverage="0" operator="greaterThan" aboveAverage="0" dxfId="8" text="" percent="0" bottom="0">
      <formula>0</formula>
    </cfRule>
  </conditionalFormatting>
  <conditionalFormatting sqref="D683">
    <cfRule type="cellIs" rank="0" priority="1356" equalAverage="0" operator="greaterThan" aboveAverage="0" dxfId="10" text="" percent="0" bottom="0">
      <formula>GecOdemeEsik</formula>
    </cfRule>
  </conditionalFormatting>
  <conditionalFormatting sqref="E683">
    <cfRule type="cellIs" rank="0" priority="1357" equalAverage="0" operator="greaterThan" aboveAverage="0" dxfId="8" text="" percent="0" bottom="0">
      <formula>0</formula>
    </cfRule>
  </conditionalFormatting>
  <conditionalFormatting sqref="D684">
    <cfRule type="cellIs" rank="0" priority="1358" equalAverage="0" operator="greaterThan" aboveAverage="0" dxfId="10" text="" percent="0" bottom="0">
      <formula>GecOdemeEsik</formula>
    </cfRule>
  </conditionalFormatting>
  <conditionalFormatting sqref="E684">
    <cfRule type="cellIs" rank="0" priority="1359" equalAverage="0" operator="greaterThan" aboveAverage="0" dxfId="8" text="" percent="0" bottom="0">
      <formula>0</formula>
    </cfRule>
  </conditionalFormatting>
  <conditionalFormatting sqref="D685">
    <cfRule type="cellIs" rank="0" priority="1360" equalAverage="0" operator="greaterThan" aboveAverage="0" dxfId="10" text="" percent="0" bottom="0">
      <formula>GecOdemeEsik</formula>
    </cfRule>
  </conditionalFormatting>
  <conditionalFormatting sqref="E685">
    <cfRule type="cellIs" rank="0" priority="1361" equalAverage="0" operator="greaterThan" aboveAverage="0" dxfId="8" text="" percent="0" bottom="0">
      <formula>0</formula>
    </cfRule>
  </conditionalFormatting>
  <conditionalFormatting sqref="D686">
    <cfRule type="cellIs" rank="0" priority="1362" equalAverage="0" operator="greaterThan" aboveAverage="0" dxfId="10" text="" percent="0" bottom="0">
      <formula>GecOdemeEsik</formula>
    </cfRule>
  </conditionalFormatting>
  <conditionalFormatting sqref="E686">
    <cfRule type="cellIs" rank="0" priority="1363" equalAverage="0" operator="greaterThan" aboveAverage="0" dxfId="8" text="" percent="0" bottom="0">
      <formula>0</formula>
    </cfRule>
  </conditionalFormatting>
  <conditionalFormatting sqref="D687">
    <cfRule type="cellIs" rank="0" priority="1364" equalAverage="0" operator="greaterThan" aboveAverage="0" dxfId="10" text="" percent="0" bottom="0">
      <formula>GecOdemeEsik</formula>
    </cfRule>
  </conditionalFormatting>
  <conditionalFormatting sqref="E687">
    <cfRule type="cellIs" rank="0" priority="1365" equalAverage="0" operator="greaterThan" aboveAverage="0" dxfId="8" text="" percent="0" bottom="0">
      <formula>0</formula>
    </cfRule>
  </conditionalFormatting>
  <conditionalFormatting sqref="D688">
    <cfRule type="cellIs" rank="0" priority="1366" equalAverage="0" operator="greaterThan" aboveAverage="0" dxfId="10" text="" percent="0" bottom="0">
      <formula>GecOdemeEsik</formula>
    </cfRule>
  </conditionalFormatting>
  <conditionalFormatting sqref="E688">
    <cfRule type="cellIs" rank="0" priority="1367" equalAverage="0" operator="greaterThan" aboveAverage="0" dxfId="8" text="" percent="0" bottom="0">
      <formula>0</formula>
    </cfRule>
  </conditionalFormatting>
  <conditionalFormatting sqref="D689">
    <cfRule type="cellIs" rank="0" priority="1368" equalAverage="0" operator="greaterThan" aboveAverage="0" dxfId="10" text="" percent="0" bottom="0">
      <formula>GecOdemeEsik</formula>
    </cfRule>
  </conditionalFormatting>
  <conditionalFormatting sqref="E689">
    <cfRule type="cellIs" rank="0" priority="1369" equalAverage="0" operator="greaterThan" aboveAverage="0" dxfId="8" text="" percent="0" bottom="0">
      <formula>0</formula>
    </cfRule>
  </conditionalFormatting>
  <conditionalFormatting sqref="D690">
    <cfRule type="cellIs" rank="0" priority="1370" equalAverage="0" operator="greaterThan" aboveAverage="0" dxfId="10" text="" percent="0" bottom="0">
      <formula>GecOdemeEsik</formula>
    </cfRule>
  </conditionalFormatting>
  <conditionalFormatting sqref="E690">
    <cfRule type="cellIs" rank="0" priority="1371" equalAverage="0" operator="greaterThan" aboveAverage="0" dxfId="8" text="" percent="0" bottom="0">
      <formula>0</formula>
    </cfRule>
  </conditionalFormatting>
  <conditionalFormatting sqref="D691">
    <cfRule type="cellIs" rank="0" priority="1372" equalAverage="0" operator="greaterThan" aboveAverage="0" dxfId="10" text="" percent="0" bottom="0">
      <formula>GecOdemeEsik</formula>
    </cfRule>
  </conditionalFormatting>
  <conditionalFormatting sqref="E691">
    <cfRule type="cellIs" rank="0" priority="1373" equalAverage="0" operator="greaterThan" aboveAverage="0" dxfId="8" text="" percent="0" bottom="0">
      <formula>0</formula>
    </cfRule>
  </conditionalFormatting>
  <conditionalFormatting sqref="D692">
    <cfRule type="cellIs" rank="0" priority="1374" equalAverage="0" operator="greaterThan" aboveAverage="0" dxfId="10" text="" percent="0" bottom="0">
      <formula>GecOdemeEsik</formula>
    </cfRule>
  </conditionalFormatting>
  <conditionalFormatting sqref="E692">
    <cfRule type="cellIs" rank="0" priority="1375" equalAverage="0" operator="greaterThan" aboveAverage="0" dxfId="8" text="" percent="0" bottom="0">
      <formula>0</formula>
    </cfRule>
  </conditionalFormatting>
  <conditionalFormatting sqref="D693">
    <cfRule type="cellIs" rank="0" priority="1376" equalAverage="0" operator="greaterThan" aboveAverage="0" dxfId="10" text="" percent="0" bottom="0">
      <formula>GecOdemeEsik</formula>
    </cfRule>
  </conditionalFormatting>
  <conditionalFormatting sqref="E693">
    <cfRule type="cellIs" rank="0" priority="1377" equalAverage="0" operator="greaterThan" aboveAverage="0" dxfId="8" text="" percent="0" bottom="0">
      <formula>0</formula>
    </cfRule>
  </conditionalFormatting>
  <conditionalFormatting sqref="D694">
    <cfRule type="cellIs" rank="0" priority="1378" equalAverage="0" operator="greaterThan" aboveAverage="0" dxfId="10" text="" percent="0" bottom="0">
      <formula>GecOdemeEsik</formula>
    </cfRule>
  </conditionalFormatting>
  <conditionalFormatting sqref="E694">
    <cfRule type="cellIs" rank="0" priority="1379" equalAverage="0" operator="greaterThan" aboveAverage="0" dxfId="8" text="" percent="0" bottom="0">
      <formula>0</formula>
    </cfRule>
  </conditionalFormatting>
  <conditionalFormatting sqref="D695">
    <cfRule type="cellIs" rank="0" priority="1380" equalAverage="0" operator="greaterThan" aboveAverage="0" dxfId="10" text="" percent="0" bottom="0">
      <formula>GecOdemeEsik</formula>
    </cfRule>
  </conditionalFormatting>
  <conditionalFormatting sqref="E695">
    <cfRule type="cellIs" rank="0" priority="1381" equalAverage="0" operator="greaterThan" aboveAverage="0" dxfId="8" text="" percent="0" bottom="0">
      <formula>0</formula>
    </cfRule>
  </conditionalFormatting>
  <conditionalFormatting sqref="D696">
    <cfRule type="cellIs" rank="0" priority="1382" equalAverage="0" operator="greaterThan" aboveAverage="0" dxfId="10" text="" percent="0" bottom="0">
      <formula>GecOdemeEsik</formula>
    </cfRule>
  </conditionalFormatting>
  <conditionalFormatting sqref="E696">
    <cfRule type="cellIs" rank="0" priority="1383" equalAverage="0" operator="greaterThan" aboveAverage="0" dxfId="8" text="" percent="0" bottom="0">
      <formula>0</formula>
    </cfRule>
  </conditionalFormatting>
  <conditionalFormatting sqref="D697">
    <cfRule type="cellIs" rank="0" priority="1384" equalAverage="0" operator="greaterThan" aboveAverage="0" dxfId="10" text="" percent="0" bottom="0">
      <formula>GecOdemeEsik</formula>
    </cfRule>
  </conditionalFormatting>
  <conditionalFormatting sqref="E697">
    <cfRule type="cellIs" rank="0" priority="1385" equalAverage="0" operator="greaterThan" aboveAverage="0" dxfId="8" text="" percent="0" bottom="0">
      <formula>0</formula>
    </cfRule>
  </conditionalFormatting>
  <conditionalFormatting sqref="D698">
    <cfRule type="cellIs" rank="0" priority="1386" equalAverage="0" operator="greaterThan" aboveAverage="0" dxfId="10" text="" percent="0" bottom="0">
      <formula>GecOdemeEsik</formula>
    </cfRule>
  </conditionalFormatting>
  <conditionalFormatting sqref="E698">
    <cfRule type="cellIs" rank="0" priority="1387" equalAverage="0" operator="greaterThan" aboveAverage="0" dxfId="8" text="" percent="0" bottom="0">
      <formula>0</formula>
    </cfRule>
  </conditionalFormatting>
  <conditionalFormatting sqref="D699">
    <cfRule type="cellIs" rank="0" priority="1388" equalAverage="0" operator="greaterThan" aboveAverage="0" dxfId="10" text="" percent="0" bottom="0">
      <formula>GecOdemeEsik</formula>
    </cfRule>
  </conditionalFormatting>
  <conditionalFormatting sqref="E699">
    <cfRule type="cellIs" rank="0" priority="1389" equalAverage="0" operator="greaterThan" aboveAverage="0" dxfId="8" text="" percent="0" bottom="0">
      <formula>0</formula>
    </cfRule>
  </conditionalFormatting>
  <conditionalFormatting sqref="D700">
    <cfRule type="cellIs" rank="0" priority="1390" equalAverage="0" operator="greaterThan" aboveAverage="0" dxfId="10" text="" percent="0" bottom="0">
      <formula>GecOdemeEsik</formula>
    </cfRule>
  </conditionalFormatting>
  <conditionalFormatting sqref="E700">
    <cfRule type="cellIs" rank="0" priority="1391" equalAverage="0" operator="greaterThan" aboveAverage="0" dxfId="8" text="" percent="0" bottom="0">
      <formula>0</formula>
    </cfRule>
  </conditionalFormatting>
  <conditionalFormatting sqref="D701">
    <cfRule type="cellIs" rank="0" priority="1392" equalAverage="0" operator="greaterThan" aboveAverage="0" dxfId="10" text="" percent="0" bottom="0">
      <formula>GecOdemeEsik</formula>
    </cfRule>
  </conditionalFormatting>
  <conditionalFormatting sqref="E701">
    <cfRule type="cellIs" rank="0" priority="1393" equalAverage="0" operator="greaterThan" aboveAverage="0" dxfId="8" text="" percent="0" bottom="0">
      <formula>0</formula>
    </cfRule>
  </conditionalFormatting>
  <conditionalFormatting sqref="D702">
    <cfRule type="cellIs" rank="0" priority="1394" equalAverage="0" operator="greaterThan" aboveAverage="0" dxfId="10" text="" percent="0" bottom="0">
      <formula>GecOdemeEsik</formula>
    </cfRule>
  </conditionalFormatting>
  <conditionalFormatting sqref="E702">
    <cfRule type="cellIs" rank="0" priority="1395" equalAverage="0" operator="greaterThan" aboveAverage="0" dxfId="8" text="" percent="0" bottom="0">
      <formula>0</formula>
    </cfRule>
  </conditionalFormatting>
  <conditionalFormatting sqref="D703">
    <cfRule type="cellIs" rank="0" priority="1396" equalAverage="0" operator="greaterThan" aboveAverage="0" dxfId="10" text="" percent="0" bottom="0">
      <formula>GecOdemeEsik</formula>
    </cfRule>
  </conditionalFormatting>
  <conditionalFormatting sqref="E703">
    <cfRule type="cellIs" rank="0" priority="1397" equalAverage="0" operator="greaterThan" aboveAverage="0" dxfId="8" text="" percent="0" bottom="0">
      <formula>0</formula>
    </cfRule>
  </conditionalFormatting>
  <conditionalFormatting sqref="D704">
    <cfRule type="cellIs" rank="0" priority="1398" equalAverage="0" operator="greaterThan" aboveAverage="0" dxfId="10" text="" percent="0" bottom="0">
      <formula>GecOdemeEsik</formula>
    </cfRule>
  </conditionalFormatting>
  <conditionalFormatting sqref="E704">
    <cfRule type="cellIs" rank="0" priority="1399" equalAverage="0" operator="greaterThan" aboveAverage="0" dxfId="8" text="" percent="0" bottom="0">
      <formula>0</formula>
    </cfRule>
  </conditionalFormatting>
  <conditionalFormatting sqref="D705">
    <cfRule type="cellIs" rank="0" priority="1400" equalAverage="0" operator="greaterThan" aboveAverage="0" dxfId="10" text="" percent="0" bottom="0">
      <formula>GecOdemeEsik</formula>
    </cfRule>
  </conditionalFormatting>
  <conditionalFormatting sqref="E705">
    <cfRule type="cellIs" rank="0" priority="1401" equalAverage="0" operator="greaterThan" aboveAverage="0" dxfId="8" text="" percent="0" bottom="0">
      <formula>0</formula>
    </cfRule>
  </conditionalFormatting>
  <conditionalFormatting sqref="D706">
    <cfRule type="cellIs" rank="0" priority="1402" equalAverage="0" operator="greaterThan" aboveAverage="0" dxfId="10" text="" percent="0" bottom="0">
      <formula>GecOdemeEsik</formula>
    </cfRule>
  </conditionalFormatting>
  <conditionalFormatting sqref="E706">
    <cfRule type="cellIs" rank="0" priority="1403" equalAverage="0" operator="greaterThan" aboveAverage="0" dxfId="8" text="" percent="0" bottom="0">
      <formula>0</formula>
    </cfRule>
  </conditionalFormatting>
  <conditionalFormatting sqref="D707">
    <cfRule type="cellIs" rank="0" priority="1404" equalAverage="0" operator="greaterThan" aboveAverage="0" dxfId="10" text="" percent="0" bottom="0">
      <formula>GecOdemeEsik</formula>
    </cfRule>
  </conditionalFormatting>
  <conditionalFormatting sqref="E707">
    <cfRule type="cellIs" rank="0" priority="1405" equalAverage="0" operator="greaterThan" aboveAverage="0" dxfId="8" text="" percent="0" bottom="0">
      <formula>0</formula>
    </cfRule>
  </conditionalFormatting>
  <conditionalFormatting sqref="D708">
    <cfRule type="cellIs" rank="0" priority="1406" equalAverage="0" operator="greaterThan" aboveAverage="0" dxfId="10" text="" percent="0" bottom="0">
      <formula>GecOdemeEsik</formula>
    </cfRule>
  </conditionalFormatting>
  <conditionalFormatting sqref="E708">
    <cfRule type="cellIs" rank="0" priority="1407" equalAverage="0" operator="greaterThan" aboveAverage="0" dxfId="8" text="" percent="0" bottom="0">
      <formula>0</formula>
    </cfRule>
  </conditionalFormatting>
  <conditionalFormatting sqref="D709">
    <cfRule type="cellIs" rank="0" priority="1408" equalAverage="0" operator="greaterThan" aboveAverage="0" dxfId="10" text="" percent="0" bottom="0">
      <formula>GecOdemeEsik</formula>
    </cfRule>
  </conditionalFormatting>
  <conditionalFormatting sqref="E709">
    <cfRule type="cellIs" rank="0" priority="1409" equalAverage="0" operator="greaterThan" aboveAverage="0" dxfId="8" text="" percent="0" bottom="0">
      <formula>0</formula>
    </cfRule>
  </conditionalFormatting>
  <conditionalFormatting sqref="D710">
    <cfRule type="cellIs" rank="0" priority="1410" equalAverage="0" operator="greaterThan" aboveAverage="0" dxfId="10" text="" percent="0" bottom="0">
      <formula>GecOdemeEsik</formula>
    </cfRule>
  </conditionalFormatting>
  <conditionalFormatting sqref="E710">
    <cfRule type="cellIs" rank="0" priority="1411" equalAverage="0" operator="greaterThan" aboveAverage="0" dxfId="8" text="" percent="0" bottom="0">
      <formula>0</formula>
    </cfRule>
  </conditionalFormatting>
  <conditionalFormatting sqref="D711">
    <cfRule type="cellIs" rank="0" priority="1412" equalAverage="0" operator="greaterThan" aboveAverage="0" dxfId="10" text="" percent="0" bottom="0">
      <formula>GecOdemeEsik</formula>
    </cfRule>
  </conditionalFormatting>
  <conditionalFormatting sqref="E711">
    <cfRule type="cellIs" rank="0" priority="1413" equalAverage="0" operator="greaterThan" aboveAverage="0" dxfId="8" text="" percent="0" bottom="0">
      <formula>0</formula>
    </cfRule>
  </conditionalFormatting>
  <conditionalFormatting sqref="D712">
    <cfRule type="cellIs" rank="0" priority="1414" equalAverage="0" operator="greaterThan" aboveAverage="0" dxfId="10" text="" percent="0" bottom="0">
      <formula>GecOdemeEsik</formula>
    </cfRule>
  </conditionalFormatting>
  <conditionalFormatting sqref="E712">
    <cfRule type="cellIs" rank="0" priority="1415" equalAverage="0" operator="greaterThan" aboveAverage="0" dxfId="8" text="" percent="0" bottom="0">
      <formula>0</formula>
    </cfRule>
  </conditionalFormatting>
  <conditionalFormatting sqref="D713">
    <cfRule type="cellIs" rank="0" priority="1416" equalAverage="0" operator="greaterThan" aboveAverage="0" dxfId="10" text="" percent="0" bottom="0">
      <formula>GecOdemeEsik</formula>
    </cfRule>
  </conditionalFormatting>
  <conditionalFormatting sqref="E713">
    <cfRule type="cellIs" rank="0" priority="1417" equalAverage="0" operator="greaterThan" aboveAverage="0" dxfId="8" text="" percent="0" bottom="0">
      <formula>0</formula>
    </cfRule>
  </conditionalFormatting>
  <conditionalFormatting sqref="D714">
    <cfRule type="cellIs" rank="0" priority="1418" equalAverage="0" operator="greaterThan" aboveAverage="0" dxfId="10" text="" percent="0" bottom="0">
      <formula>GecOdemeEsik</formula>
    </cfRule>
  </conditionalFormatting>
  <conditionalFormatting sqref="E714">
    <cfRule type="cellIs" rank="0" priority="1419" equalAverage="0" operator="greaterThan" aboveAverage="0" dxfId="8" text="" percent="0" bottom="0">
      <formula>0</formula>
    </cfRule>
  </conditionalFormatting>
  <conditionalFormatting sqref="D715">
    <cfRule type="cellIs" rank="0" priority="1420" equalAverage="0" operator="greaterThan" aboveAverage="0" dxfId="10" text="" percent="0" bottom="0">
      <formula>GecOdemeEsik</formula>
    </cfRule>
  </conditionalFormatting>
  <conditionalFormatting sqref="E715">
    <cfRule type="cellIs" rank="0" priority="1421" equalAverage="0" operator="greaterThan" aboveAverage="0" dxfId="8" text="" percent="0" bottom="0">
      <formula>0</formula>
    </cfRule>
  </conditionalFormatting>
  <conditionalFormatting sqref="D716">
    <cfRule type="cellIs" rank="0" priority="1422" equalAverage="0" operator="greaterThan" aboveAverage="0" dxfId="10" text="" percent="0" bottom="0">
      <formula>GecOdemeEsik</formula>
    </cfRule>
  </conditionalFormatting>
  <conditionalFormatting sqref="E716">
    <cfRule type="cellIs" rank="0" priority="1423" equalAverage="0" operator="greaterThan" aboveAverage="0" dxfId="8" text="" percent="0" bottom="0">
      <formula>0</formula>
    </cfRule>
  </conditionalFormatting>
  <conditionalFormatting sqref="D717">
    <cfRule type="cellIs" rank="0" priority="1424" equalAverage="0" operator="greaterThan" aboveAverage="0" dxfId="10" text="" percent="0" bottom="0">
      <formula>GecOdemeEsik</formula>
    </cfRule>
  </conditionalFormatting>
  <conditionalFormatting sqref="E717">
    <cfRule type="cellIs" rank="0" priority="1425" equalAverage="0" operator="greaterThan" aboveAverage="0" dxfId="8" text="" percent="0" bottom="0">
      <formula>0</formula>
    </cfRule>
  </conditionalFormatting>
  <conditionalFormatting sqref="D718">
    <cfRule type="cellIs" rank="0" priority="1426" equalAverage="0" operator="greaterThan" aboveAverage="0" dxfId="10" text="" percent="0" bottom="0">
      <formula>GecOdemeEsik</formula>
    </cfRule>
  </conditionalFormatting>
  <conditionalFormatting sqref="E718">
    <cfRule type="cellIs" rank="0" priority="1427" equalAverage="0" operator="greaterThan" aboveAverage="0" dxfId="8" text="" percent="0" bottom="0">
      <formula>0</formula>
    </cfRule>
  </conditionalFormatting>
  <conditionalFormatting sqref="D719">
    <cfRule type="cellIs" rank="0" priority="1428" equalAverage="0" operator="greaterThan" aboveAverage="0" dxfId="10" text="" percent="0" bottom="0">
      <formula>GecOdemeEsik</formula>
    </cfRule>
  </conditionalFormatting>
  <conditionalFormatting sqref="E719">
    <cfRule type="cellIs" rank="0" priority="1429" equalAverage="0" operator="greaterThan" aboveAverage="0" dxfId="8" text="" percent="0" bottom="0">
      <formula>0</formula>
    </cfRule>
  </conditionalFormatting>
  <conditionalFormatting sqref="D720">
    <cfRule type="cellIs" rank="0" priority="1430" equalAverage="0" operator="greaterThan" aboveAverage="0" dxfId="10" text="" percent="0" bottom="0">
      <formula>GecOdemeEsik</formula>
    </cfRule>
  </conditionalFormatting>
  <conditionalFormatting sqref="E720">
    <cfRule type="cellIs" rank="0" priority="1431" equalAverage="0" operator="greaterThan" aboveAverage="0" dxfId="8" text="" percent="0" bottom="0">
      <formula>0</formula>
    </cfRule>
  </conditionalFormatting>
  <conditionalFormatting sqref="D721">
    <cfRule type="cellIs" rank="0" priority="1432" equalAverage="0" operator="greaterThan" aboveAverage="0" dxfId="10" text="" percent="0" bottom="0">
      <formula>GecOdemeEsik</formula>
    </cfRule>
  </conditionalFormatting>
  <conditionalFormatting sqref="E721">
    <cfRule type="cellIs" rank="0" priority="1433" equalAverage="0" operator="greaterThan" aboveAverage="0" dxfId="8" text="" percent="0" bottom="0">
      <formula>0</formula>
    </cfRule>
  </conditionalFormatting>
  <conditionalFormatting sqref="D722">
    <cfRule type="cellIs" rank="0" priority="1434" equalAverage="0" operator="greaterThan" aboveAverage="0" dxfId="10" text="" percent="0" bottom="0">
      <formula>GecOdemeEsik</formula>
    </cfRule>
  </conditionalFormatting>
  <conditionalFormatting sqref="E722">
    <cfRule type="cellIs" rank="0" priority="1435" equalAverage="0" operator="greaterThan" aboveAverage="0" dxfId="8" text="" percent="0" bottom="0">
      <formula>0</formula>
    </cfRule>
  </conditionalFormatting>
  <conditionalFormatting sqref="D723">
    <cfRule type="cellIs" rank="0" priority="1436" equalAverage="0" operator="greaterThan" aboveAverage="0" dxfId="10" text="" percent="0" bottom="0">
      <formula>GecOdemeEsik</formula>
    </cfRule>
  </conditionalFormatting>
  <conditionalFormatting sqref="E723">
    <cfRule type="cellIs" rank="0" priority="1437" equalAverage="0" operator="greaterThan" aboveAverage="0" dxfId="8" text="" percent="0" bottom="0">
      <formula>0</formula>
    </cfRule>
  </conditionalFormatting>
  <conditionalFormatting sqref="D724">
    <cfRule type="cellIs" rank="0" priority="1438" equalAverage="0" operator="greaterThan" aboveAverage="0" dxfId="10" text="" percent="0" bottom="0">
      <formula>GecOdemeEsik</formula>
    </cfRule>
  </conditionalFormatting>
  <conditionalFormatting sqref="E724">
    <cfRule type="cellIs" rank="0" priority="1439" equalAverage="0" operator="greaterThan" aboveAverage="0" dxfId="8" text="" percent="0" bottom="0">
      <formula>0</formula>
    </cfRule>
  </conditionalFormatting>
  <conditionalFormatting sqref="D725">
    <cfRule type="cellIs" rank="0" priority="1440" equalAverage="0" operator="greaterThan" aboveAverage="0" dxfId="10" text="" percent="0" bottom="0">
      <formula>GecOdemeEsik</formula>
    </cfRule>
  </conditionalFormatting>
  <conditionalFormatting sqref="E725">
    <cfRule type="cellIs" rank="0" priority="1441" equalAverage="0" operator="greaterThan" aboveAverage="0" dxfId="8" text="" percent="0" bottom="0">
      <formula>0</formula>
    </cfRule>
  </conditionalFormatting>
  <conditionalFormatting sqref="D726">
    <cfRule type="cellIs" rank="0" priority="1442" equalAverage="0" operator="greaterThan" aboveAverage="0" dxfId="10" text="" percent="0" bottom="0">
      <formula>GecOdemeEsik</formula>
    </cfRule>
  </conditionalFormatting>
  <conditionalFormatting sqref="E726">
    <cfRule type="cellIs" rank="0" priority="1443" equalAverage="0" operator="greaterThan" aboveAverage="0" dxfId="8" text="" percent="0" bottom="0">
      <formula>0</formula>
    </cfRule>
  </conditionalFormatting>
  <conditionalFormatting sqref="D727">
    <cfRule type="cellIs" rank="0" priority="1444" equalAverage="0" operator="greaterThan" aboveAverage="0" dxfId="10" text="" percent="0" bottom="0">
      <formula>GecOdemeEsik</formula>
    </cfRule>
  </conditionalFormatting>
  <conditionalFormatting sqref="E727">
    <cfRule type="cellIs" rank="0" priority="1445" equalAverage="0" operator="greaterThan" aboveAverage="0" dxfId="8" text="" percent="0" bottom="0">
      <formula>0</formula>
    </cfRule>
  </conditionalFormatting>
  <conditionalFormatting sqref="D728">
    <cfRule type="cellIs" rank="0" priority="1446" equalAverage="0" operator="greaterThan" aboveAverage="0" dxfId="10" text="" percent="0" bottom="0">
      <formula>GecOdemeEsik</formula>
    </cfRule>
  </conditionalFormatting>
  <conditionalFormatting sqref="E728">
    <cfRule type="cellIs" rank="0" priority="1447" equalAverage="0" operator="greaterThan" aboveAverage="0" dxfId="8" text="" percent="0" bottom="0">
      <formula>0</formula>
    </cfRule>
  </conditionalFormatting>
  <conditionalFormatting sqref="D729">
    <cfRule type="cellIs" rank="0" priority="1448" equalAverage="0" operator="greaterThan" aboveAverage="0" dxfId="10" text="" percent="0" bottom="0">
      <formula>GecOdemeEsik</formula>
    </cfRule>
  </conditionalFormatting>
  <conditionalFormatting sqref="E729">
    <cfRule type="cellIs" rank="0" priority="1449" equalAverage="0" operator="greaterThan" aboveAverage="0" dxfId="8" text="" percent="0" bottom="0">
      <formula>0</formula>
    </cfRule>
  </conditionalFormatting>
  <conditionalFormatting sqref="D730">
    <cfRule type="cellIs" rank="0" priority="1450" equalAverage="0" operator="greaterThan" aboveAverage="0" dxfId="10" text="" percent="0" bottom="0">
      <formula>GecOdemeEsik</formula>
    </cfRule>
  </conditionalFormatting>
  <conditionalFormatting sqref="E730">
    <cfRule type="cellIs" rank="0" priority="1451" equalAverage="0" operator="greaterThan" aboveAverage="0" dxfId="8" text="" percent="0" bottom="0">
      <formula>0</formula>
    </cfRule>
  </conditionalFormatting>
  <conditionalFormatting sqref="D731">
    <cfRule type="cellIs" rank="0" priority="1452" equalAverage="0" operator="greaterThan" aboveAverage="0" dxfId="10" text="" percent="0" bottom="0">
      <formula>GecOdemeEsik</formula>
    </cfRule>
  </conditionalFormatting>
  <conditionalFormatting sqref="E731">
    <cfRule type="cellIs" rank="0" priority="1453" equalAverage="0" operator="greaterThan" aboveAverage="0" dxfId="8" text="" percent="0" bottom="0">
      <formula>0</formula>
    </cfRule>
  </conditionalFormatting>
  <conditionalFormatting sqref="D732">
    <cfRule type="cellIs" rank="0" priority="1454" equalAverage="0" operator="greaterThan" aboveAverage="0" dxfId="10" text="" percent="0" bottom="0">
      <formula>GecOdemeEsik</formula>
    </cfRule>
  </conditionalFormatting>
  <conditionalFormatting sqref="E732">
    <cfRule type="cellIs" rank="0" priority="1455" equalAverage="0" operator="greaterThan" aboveAverage="0" dxfId="8" text="" percent="0" bottom="0">
      <formula>0</formula>
    </cfRule>
  </conditionalFormatting>
  <conditionalFormatting sqref="D733">
    <cfRule type="cellIs" rank="0" priority="1456" equalAverage="0" operator="greaterThan" aboveAverage="0" dxfId="10" text="" percent="0" bottom="0">
      <formula>GecOdemeEsik</formula>
    </cfRule>
  </conditionalFormatting>
  <conditionalFormatting sqref="E733">
    <cfRule type="cellIs" rank="0" priority="1457" equalAverage="0" operator="greaterThan" aboveAverage="0" dxfId="8" text="" percent="0" bottom="0">
      <formula>0</formula>
    </cfRule>
  </conditionalFormatting>
  <conditionalFormatting sqref="D734">
    <cfRule type="cellIs" rank="0" priority="1458" equalAverage="0" operator="greaterThan" aboveAverage="0" dxfId="10" text="" percent="0" bottom="0">
      <formula>GecOdemeEsik</formula>
    </cfRule>
  </conditionalFormatting>
  <conditionalFormatting sqref="E734">
    <cfRule type="cellIs" rank="0" priority="1459" equalAverage="0" operator="greaterThan" aboveAverage="0" dxfId="8" text="" percent="0" bottom="0">
      <formula>0</formula>
    </cfRule>
  </conditionalFormatting>
  <conditionalFormatting sqref="D735">
    <cfRule type="cellIs" rank="0" priority="1460" equalAverage="0" operator="greaterThan" aboveAverage="0" dxfId="10" text="" percent="0" bottom="0">
      <formula>GecOdemeEsik</formula>
    </cfRule>
  </conditionalFormatting>
  <conditionalFormatting sqref="E735">
    <cfRule type="cellIs" rank="0" priority="1461" equalAverage="0" operator="greaterThan" aboveAverage="0" dxfId="8" text="" percent="0" bottom="0">
      <formula>0</formula>
    </cfRule>
  </conditionalFormatting>
  <conditionalFormatting sqref="D736">
    <cfRule type="cellIs" rank="0" priority="1462" equalAverage="0" operator="greaterThan" aboveAverage="0" dxfId="10" text="" percent="0" bottom="0">
      <formula>GecOdemeEsik</formula>
    </cfRule>
  </conditionalFormatting>
  <conditionalFormatting sqref="E736">
    <cfRule type="cellIs" rank="0" priority="1463" equalAverage="0" operator="greaterThan" aboveAverage="0" dxfId="8" text="" percent="0" bottom="0">
      <formula>0</formula>
    </cfRule>
  </conditionalFormatting>
  <conditionalFormatting sqref="D737">
    <cfRule type="cellIs" rank="0" priority="1464" equalAverage="0" operator="greaterThan" aboveAverage="0" dxfId="10" text="" percent="0" bottom="0">
      <formula>GecOdemeEsik</formula>
    </cfRule>
  </conditionalFormatting>
  <conditionalFormatting sqref="E737">
    <cfRule type="cellIs" rank="0" priority="1465" equalAverage="0" operator="greaterThan" aboveAverage="0" dxfId="8" text="" percent="0" bottom="0">
      <formula>0</formula>
    </cfRule>
  </conditionalFormatting>
  <conditionalFormatting sqref="D738">
    <cfRule type="cellIs" rank="0" priority="1466" equalAverage="0" operator="greaterThan" aboveAverage="0" dxfId="10" text="" percent="0" bottom="0">
      <formula>GecOdemeEsik</formula>
    </cfRule>
  </conditionalFormatting>
  <conditionalFormatting sqref="E738">
    <cfRule type="cellIs" rank="0" priority="1467" equalAverage="0" operator="greaterThan" aboveAverage="0" dxfId="8" text="" percent="0" bottom="0">
      <formula>0</formula>
    </cfRule>
  </conditionalFormatting>
  <conditionalFormatting sqref="D739">
    <cfRule type="cellIs" rank="0" priority="1468" equalAverage="0" operator="greaterThan" aboveAverage="0" dxfId="10" text="" percent="0" bottom="0">
      <formula>GecOdemeEsik</formula>
    </cfRule>
  </conditionalFormatting>
  <conditionalFormatting sqref="E739">
    <cfRule type="cellIs" rank="0" priority="1469" equalAverage="0" operator="greaterThan" aboveAverage="0" dxfId="8" text="" percent="0" bottom="0">
      <formula>0</formula>
    </cfRule>
  </conditionalFormatting>
  <conditionalFormatting sqref="D740">
    <cfRule type="cellIs" rank="0" priority="1470" equalAverage="0" operator="greaterThan" aboveAverage="0" dxfId="10" text="" percent="0" bottom="0">
      <formula>GecOdemeEsik</formula>
    </cfRule>
  </conditionalFormatting>
  <conditionalFormatting sqref="E740">
    <cfRule type="cellIs" rank="0" priority="1471" equalAverage="0" operator="greaterThan" aboveAverage="0" dxfId="8" text="" percent="0" bottom="0">
      <formula>0</formula>
    </cfRule>
  </conditionalFormatting>
  <conditionalFormatting sqref="D741">
    <cfRule type="cellIs" rank="0" priority="1472" equalAverage="0" operator="greaterThan" aboveAverage="0" dxfId="10" text="" percent="0" bottom="0">
      <formula>GecOdemeEsik</formula>
    </cfRule>
  </conditionalFormatting>
  <conditionalFormatting sqref="E741">
    <cfRule type="cellIs" rank="0" priority="1473" equalAverage="0" operator="greaterThan" aboveAverage="0" dxfId="8" text="" percent="0" bottom="0">
      <formula>0</formula>
    </cfRule>
  </conditionalFormatting>
  <conditionalFormatting sqref="D742">
    <cfRule type="cellIs" rank="0" priority="1474" equalAverage="0" operator="greaterThan" aboveAverage="0" dxfId="10" text="" percent="0" bottom="0">
      <formula>GecOdemeEsik</formula>
    </cfRule>
  </conditionalFormatting>
  <conditionalFormatting sqref="E742">
    <cfRule type="cellIs" rank="0" priority="1475" equalAverage="0" operator="greaterThan" aboveAverage="0" dxfId="8" text="" percent="0" bottom="0">
      <formula>0</formula>
    </cfRule>
  </conditionalFormatting>
  <conditionalFormatting sqref="D743">
    <cfRule type="cellIs" rank="0" priority="1476" equalAverage="0" operator="greaterThan" aboveAverage="0" dxfId="10" text="" percent="0" bottom="0">
      <formula>GecOdemeEsik</formula>
    </cfRule>
  </conditionalFormatting>
  <conditionalFormatting sqref="E743">
    <cfRule type="cellIs" rank="0" priority="1477" equalAverage="0" operator="greaterThan" aboveAverage="0" dxfId="8" text="" percent="0" bottom="0">
      <formula>0</formula>
    </cfRule>
  </conditionalFormatting>
  <conditionalFormatting sqref="D744">
    <cfRule type="cellIs" rank="0" priority="1478" equalAverage="0" operator="greaterThan" aboveAverage="0" dxfId="10" text="" percent="0" bottom="0">
      <formula>GecOdemeEsik</formula>
    </cfRule>
  </conditionalFormatting>
  <conditionalFormatting sqref="E744">
    <cfRule type="cellIs" rank="0" priority="1479" equalAverage="0" operator="greaterThan" aboveAverage="0" dxfId="8" text="" percent="0" bottom="0">
      <formula>0</formula>
    </cfRule>
  </conditionalFormatting>
  <conditionalFormatting sqref="D745">
    <cfRule type="cellIs" rank="0" priority="1480" equalAverage="0" operator="greaterThan" aboveAverage="0" dxfId="10" text="" percent="0" bottom="0">
      <formula>GecOdemeEsik</formula>
    </cfRule>
  </conditionalFormatting>
  <conditionalFormatting sqref="E745">
    <cfRule type="cellIs" rank="0" priority="1481" equalAverage="0" operator="greaterThan" aboveAverage="0" dxfId="8" text="" percent="0" bottom="0">
      <formula>0</formula>
    </cfRule>
  </conditionalFormatting>
  <conditionalFormatting sqref="D746">
    <cfRule type="cellIs" rank="0" priority="1482" equalAverage="0" operator="greaterThan" aboveAverage="0" dxfId="10" text="" percent="0" bottom="0">
      <formula>GecOdemeEsik</formula>
    </cfRule>
  </conditionalFormatting>
  <conditionalFormatting sqref="E746">
    <cfRule type="cellIs" rank="0" priority="1483" equalAverage="0" operator="greaterThan" aboveAverage="0" dxfId="8" text="" percent="0" bottom="0">
      <formula>0</formula>
    </cfRule>
  </conditionalFormatting>
  <conditionalFormatting sqref="D747">
    <cfRule type="cellIs" rank="0" priority="1484" equalAverage="0" operator="greaterThan" aboveAverage="0" dxfId="10" text="" percent="0" bottom="0">
      <formula>GecOdemeEsik</formula>
    </cfRule>
  </conditionalFormatting>
  <conditionalFormatting sqref="E747">
    <cfRule type="cellIs" rank="0" priority="1485" equalAverage="0" operator="greaterThan" aboveAverage="0" dxfId="8" text="" percent="0" bottom="0">
      <formula>0</formula>
    </cfRule>
  </conditionalFormatting>
  <conditionalFormatting sqref="D748">
    <cfRule type="cellIs" rank="0" priority="1486" equalAverage="0" operator="greaterThan" aboveAverage="0" dxfId="10" text="" percent="0" bottom="0">
      <formula>GecOdemeEsik</formula>
    </cfRule>
  </conditionalFormatting>
  <conditionalFormatting sqref="E748">
    <cfRule type="cellIs" rank="0" priority="1487" equalAverage="0" operator="greaterThan" aboveAverage="0" dxfId="8" text="" percent="0" bottom="0">
      <formula>0</formula>
    </cfRule>
  </conditionalFormatting>
  <conditionalFormatting sqref="D749">
    <cfRule type="cellIs" rank="0" priority="1488" equalAverage="0" operator="greaterThan" aboveAverage="0" dxfId="10" text="" percent="0" bottom="0">
      <formula>GecOdemeEsik</formula>
    </cfRule>
  </conditionalFormatting>
  <conditionalFormatting sqref="E749">
    <cfRule type="cellIs" rank="0" priority="1489" equalAverage="0" operator="greaterThan" aboveAverage="0" dxfId="8" text="" percent="0" bottom="0">
      <formula>0</formula>
    </cfRule>
  </conditionalFormatting>
  <conditionalFormatting sqref="D750">
    <cfRule type="cellIs" rank="0" priority="1490" equalAverage="0" operator="greaterThan" aboveAverage="0" dxfId="10" text="" percent="0" bottom="0">
      <formula>GecOdemeEsik</formula>
    </cfRule>
  </conditionalFormatting>
  <conditionalFormatting sqref="E750">
    <cfRule type="cellIs" rank="0" priority="1491" equalAverage="0" operator="greaterThan" aboveAverage="0" dxfId="8" text="" percent="0" bottom="0">
      <formula>0</formula>
    </cfRule>
  </conditionalFormatting>
  <conditionalFormatting sqref="D751">
    <cfRule type="cellIs" rank="0" priority="1492" equalAverage="0" operator="greaterThan" aboveAverage="0" dxfId="10" text="" percent="0" bottom="0">
      <formula>GecOdemeEsik</formula>
    </cfRule>
  </conditionalFormatting>
  <conditionalFormatting sqref="E751">
    <cfRule type="cellIs" rank="0" priority="1493" equalAverage="0" operator="greaterThan" aboveAverage="0" dxfId="8" text="" percent="0" bottom="0">
      <formula>0</formula>
    </cfRule>
  </conditionalFormatting>
  <conditionalFormatting sqref="D752">
    <cfRule type="cellIs" rank="0" priority="1494" equalAverage="0" operator="greaterThan" aboveAverage="0" dxfId="10" text="" percent="0" bottom="0">
      <formula>GecOdemeEsik</formula>
    </cfRule>
  </conditionalFormatting>
  <conditionalFormatting sqref="E752">
    <cfRule type="cellIs" rank="0" priority="1495" equalAverage="0" operator="greaterThan" aboveAverage="0" dxfId="8" text="" percent="0" bottom="0">
      <formula>0</formula>
    </cfRule>
  </conditionalFormatting>
  <conditionalFormatting sqref="D753">
    <cfRule type="cellIs" rank="0" priority="1496" equalAverage="0" operator="greaterThan" aboveAverage="0" dxfId="10" text="" percent="0" bottom="0">
      <formula>GecOdemeEsik</formula>
    </cfRule>
  </conditionalFormatting>
  <conditionalFormatting sqref="E753">
    <cfRule type="cellIs" rank="0" priority="1497" equalAverage="0" operator="greaterThan" aboveAverage="0" dxfId="8" text="" percent="0" bottom="0">
      <formula>0</formula>
    </cfRule>
  </conditionalFormatting>
  <conditionalFormatting sqref="D754">
    <cfRule type="cellIs" rank="0" priority="1498" equalAverage="0" operator="greaterThan" aboveAverage="0" dxfId="10" text="" percent="0" bottom="0">
      <formula>GecOdemeEsik</formula>
    </cfRule>
  </conditionalFormatting>
  <conditionalFormatting sqref="E754">
    <cfRule type="cellIs" rank="0" priority="1499" equalAverage="0" operator="greaterThan" aboveAverage="0" dxfId="8" text="" percent="0" bottom="0">
      <formula>0</formula>
    </cfRule>
  </conditionalFormatting>
  <conditionalFormatting sqref="D755">
    <cfRule type="cellIs" rank="0" priority="1500" equalAverage="0" operator="greaterThan" aboveAverage="0" dxfId="10" text="" percent="0" bottom="0">
      <formula>GecOdemeEsik</formula>
    </cfRule>
  </conditionalFormatting>
  <conditionalFormatting sqref="E755">
    <cfRule type="cellIs" rank="0" priority="1501" equalAverage="0" operator="greaterThan" aboveAverage="0" dxfId="8" text="" percent="0" bottom="0">
      <formula>0</formula>
    </cfRule>
  </conditionalFormatting>
  <conditionalFormatting sqref="D756">
    <cfRule type="cellIs" rank="0" priority="1502" equalAverage="0" operator="greaterThan" aboveAverage="0" dxfId="10" text="" percent="0" bottom="0">
      <formula>GecOdemeEsik</formula>
    </cfRule>
  </conditionalFormatting>
  <conditionalFormatting sqref="E756">
    <cfRule type="cellIs" rank="0" priority="1503" equalAverage="0" operator="greaterThan" aboveAverage="0" dxfId="8" text="" percent="0" bottom="0">
      <formula>0</formula>
    </cfRule>
  </conditionalFormatting>
  <conditionalFormatting sqref="D757">
    <cfRule type="cellIs" rank="0" priority="1504" equalAverage="0" operator="greaterThan" aboveAverage="0" dxfId="10" text="" percent="0" bottom="0">
      <formula>GecOdemeEsik</formula>
    </cfRule>
  </conditionalFormatting>
  <conditionalFormatting sqref="E757">
    <cfRule type="cellIs" rank="0" priority="1505" equalAverage="0" operator="greaterThan" aboveAverage="0" dxfId="8" text="" percent="0" bottom="0">
      <formula>0</formula>
    </cfRule>
  </conditionalFormatting>
  <conditionalFormatting sqref="D758">
    <cfRule type="cellIs" rank="0" priority="1506" equalAverage="0" operator="greaterThan" aboveAverage="0" dxfId="10" text="" percent="0" bottom="0">
      <formula>GecOdemeEsik</formula>
    </cfRule>
  </conditionalFormatting>
  <conditionalFormatting sqref="E758">
    <cfRule type="cellIs" rank="0" priority="1507" equalAverage="0" operator="greaterThan" aboveAverage="0" dxfId="8" text="" percent="0" bottom="0">
      <formula>0</formula>
    </cfRule>
  </conditionalFormatting>
  <conditionalFormatting sqref="D759">
    <cfRule type="cellIs" rank="0" priority="1508" equalAverage="0" operator="greaterThan" aboveAverage="0" dxfId="10" text="" percent="0" bottom="0">
      <formula>GecOdemeEsik</formula>
    </cfRule>
  </conditionalFormatting>
  <conditionalFormatting sqref="E759">
    <cfRule type="cellIs" rank="0" priority="1509" equalAverage="0" operator="greaterThan" aboveAverage="0" dxfId="8" text="" percent="0" bottom="0">
      <formula>0</formula>
    </cfRule>
  </conditionalFormatting>
  <conditionalFormatting sqref="D760">
    <cfRule type="cellIs" rank="0" priority="1510" equalAverage="0" operator="greaterThan" aboveAverage="0" dxfId="10" text="" percent="0" bottom="0">
      <formula>GecOdemeEsik</formula>
    </cfRule>
  </conditionalFormatting>
  <conditionalFormatting sqref="E760">
    <cfRule type="cellIs" rank="0" priority="1511" equalAverage="0" operator="greaterThan" aboveAverage="0" dxfId="8" text="" percent="0" bottom="0">
      <formula>0</formula>
    </cfRule>
  </conditionalFormatting>
  <conditionalFormatting sqref="D761">
    <cfRule type="cellIs" rank="0" priority="1512" equalAverage="0" operator="greaterThan" aboveAverage="0" dxfId="10" text="" percent="0" bottom="0">
      <formula>GecOdemeEsik</formula>
    </cfRule>
  </conditionalFormatting>
  <conditionalFormatting sqref="E761">
    <cfRule type="cellIs" rank="0" priority="1513" equalAverage="0" operator="greaterThan" aboveAverage="0" dxfId="8" text="" percent="0" bottom="0">
      <formula>0</formula>
    </cfRule>
  </conditionalFormatting>
  <conditionalFormatting sqref="D762">
    <cfRule type="cellIs" rank="0" priority="1514" equalAverage="0" operator="greaterThan" aboveAverage="0" dxfId="10" text="" percent="0" bottom="0">
      <formula>GecOdemeEsik</formula>
    </cfRule>
  </conditionalFormatting>
  <conditionalFormatting sqref="E762">
    <cfRule type="cellIs" rank="0" priority="1515" equalAverage="0" operator="greaterThan" aboveAverage="0" dxfId="8" text="" percent="0" bottom="0">
      <formula>0</formula>
    </cfRule>
  </conditionalFormatting>
  <conditionalFormatting sqref="D763">
    <cfRule type="cellIs" rank="0" priority="1516" equalAverage="0" operator="greaterThan" aboveAverage="0" dxfId="10" text="" percent="0" bottom="0">
      <formula>GecOdemeEsik</formula>
    </cfRule>
  </conditionalFormatting>
  <conditionalFormatting sqref="E763">
    <cfRule type="cellIs" rank="0" priority="1517" equalAverage="0" operator="greaterThan" aboveAverage="0" dxfId="8" text="" percent="0" bottom="0">
      <formula>0</formula>
    </cfRule>
  </conditionalFormatting>
  <conditionalFormatting sqref="D764">
    <cfRule type="cellIs" rank="0" priority="1518" equalAverage="0" operator="greaterThan" aboveAverage="0" dxfId="10" text="" percent="0" bottom="0">
      <formula>GecOdemeEsik</formula>
    </cfRule>
  </conditionalFormatting>
  <conditionalFormatting sqref="E764">
    <cfRule type="cellIs" rank="0" priority="1519" equalAverage="0" operator="greaterThan" aboveAverage="0" dxfId="8" text="" percent="0" bottom="0">
      <formula>0</formula>
    </cfRule>
  </conditionalFormatting>
  <conditionalFormatting sqref="D765">
    <cfRule type="cellIs" rank="0" priority="1520" equalAverage="0" operator="greaterThan" aboveAverage="0" dxfId="10" text="" percent="0" bottom="0">
      <formula>GecOdemeEsik</formula>
    </cfRule>
  </conditionalFormatting>
  <conditionalFormatting sqref="E765">
    <cfRule type="cellIs" rank="0" priority="1521" equalAverage="0" operator="greaterThan" aboveAverage="0" dxfId="8" text="" percent="0" bottom="0">
      <formula>0</formula>
    </cfRule>
  </conditionalFormatting>
  <conditionalFormatting sqref="D766">
    <cfRule type="cellIs" rank="0" priority="1522" equalAverage="0" operator="greaterThan" aboveAverage="0" dxfId="10" text="" percent="0" bottom="0">
      <formula>GecOdemeEsik</formula>
    </cfRule>
  </conditionalFormatting>
  <conditionalFormatting sqref="E766">
    <cfRule type="cellIs" rank="0" priority="1523" equalAverage="0" operator="greaterThan" aboveAverage="0" dxfId="8" text="" percent="0" bottom="0">
      <formula>0</formula>
    </cfRule>
  </conditionalFormatting>
  <conditionalFormatting sqref="D767">
    <cfRule type="cellIs" rank="0" priority="1524" equalAverage="0" operator="greaterThan" aboveAverage="0" dxfId="10" text="" percent="0" bottom="0">
      <formula>GecOdemeEsik</formula>
    </cfRule>
  </conditionalFormatting>
  <conditionalFormatting sqref="E767">
    <cfRule type="cellIs" rank="0" priority="1525" equalAverage="0" operator="greaterThan" aboveAverage="0" dxfId="8" text="" percent="0" bottom="0">
      <formula>0</formula>
    </cfRule>
  </conditionalFormatting>
  <conditionalFormatting sqref="D768">
    <cfRule type="cellIs" rank="0" priority="1526" equalAverage="0" operator="greaterThan" aboveAverage="0" dxfId="10" text="" percent="0" bottom="0">
      <formula>GecOdemeEsik</formula>
    </cfRule>
  </conditionalFormatting>
  <conditionalFormatting sqref="E768">
    <cfRule type="cellIs" rank="0" priority="1527" equalAverage="0" operator="greaterThan" aboveAverage="0" dxfId="8" text="" percent="0" bottom="0">
      <formula>0</formula>
    </cfRule>
  </conditionalFormatting>
  <conditionalFormatting sqref="D769">
    <cfRule type="cellIs" rank="0" priority="1528" equalAverage="0" operator="greaterThan" aboveAverage="0" dxfId="10" text="" percent="0" bottom="0">
      <formula>GecOdemeEsik</formula>
    </cfRule>
  </conditionalFormatting>
  <conditionalFormatting sqref="E769">
    <cfRule type="cellIs" rank="0" priority="1529" equalAverage="0" operator="greaterThan" aboveAverage="0" dxfId="8" text="" percent="0" bottom="0">
      <formula>0</formula>
    </cfRule>
  </conditionalFormatting>
  <conditionalFormatting sqref="D770">
    <cfRule type="cellIs" rank="0" priority="1530" equalAverage="0" operator="greaterThan" aboveAverage="0" dxfId="10" text="" percent="0" bottom="0">
      <formula>GecOdemeEsik</formula>
    </cfRule>
  </conditionalFormatting>
  <conditionalFormatting sqref="E770">
    <cfRule type="cellIs" rank="0" priority="1531" equalAverage="0" operator="greaterThan" aboveAverage="0" dxfId="8" text="" percent="0" bottom="0">
      <formula>0</formula>
    </cfRule>
  </conditionalFormatting>
  <conditionalFormatting sqref="D771">
    <cfRule type="cellIs" rank="0" priority="1532" equalAverage="0" operator="greaterThan" aboveAverage="0" dxfId="10" text="" percent="0" bottom="0">
      <formula>GecOdemeEsik</formula>
    </cfRule>
  </conditionalFormatting>
  <conditionalFormatting sqref="E771">
    <cfRule type="cellIs" rank="0" priority="1533" equalAverage="0" operator="greaterThan" aboveAverage="0" dxfId="8" text="" percent="0" bottom="0">
      <formula>0</formula>
    </cfRule>
  </conditionalFormatting>
  <conditionalFormatting sqref="D772">
    <cfRule type="cellIs" rank="0" priority="1534" equalAverage="0" operator="greaterThan" aboveAverage="0" dxfId="10" text="" percent="0" bottom="0">
      <formula>GecOdemeEsik</formula>
    </cfRule>
  </conditionalFormatting>
  <conditionalFormatting sqref="E772">
    <cfRule type="cellIs" rank="0" priority="1535" equalAverage="0" operator="greaterThan" aboveAverage="0" dxfId="8" text="" percent="0" bottom="0">
      <formula>0</formula>
    </cfRule>
  </conditionalFormatting>
  <conditionalFormatting sqref="D773">
    <cfRule type="cellIs" rank="0" priority="1536" equalAverage="0" operator="greaterThan" aboveAverage="0" dxfId="10" text="" percent="0" bottom="0">
      <formula>GecOdemeEsik</formula>
    </cfRule>
  </conditionalFormatting>
  <conditionalFormatting sqref="E773">
    <cfRule type="cellIs" rank="0" priority="1537" equalAverage="0" operator="greaterThan" aboveAverage="0" dxfId="8" text="" percent="0" bottom="0">
      <formula>0</formula>
    </cfRule>
  </conditionalFormatting>
  <conditionalFormatting sqref="D774">
    <cfRule type="cellIs" rank="0" priority="1538" equalAverage="0" operator="greaterThan" aboveAverage="0" dxfId="10" text="" percent="0" bottom="0">
      <formula>GecOdemeEsik</formula>
    </cfRule>
  </conditionalFormatting>
  <conditionalFormatting sqref="E774">
    <cfRule type="cellIs" rank="0" priority="1539" equalAverage="0" operator="greaterThan" aboveAverage="0" dxfId="8" text="" percent="0" bottom="0">
      <formula>0</formula>
    </cfRule>
  </conditionalFormatting>
  <conditionalFormatting sqref="D775">
    <cfRule type="cellIs" rank="0" priority="1540" equalAverage="0" operator="greaterThan" aboveAverage="0" dxfId="10" text="" percent="0" bottom="0">
      <formula>GecOdemeEsik</formula>
    </cfRule>
  </conditionalFormatting>
  <conditionalFormatting sqref="E775">
    <cfRule type="cellIs" rank="0" priority="1541" equalAverage="0" operator="greaterThan" aboveAverage="0" dxfId="8" text="" percent="0" bottom="0">
      <formula>0</formula>
    </cfRule>
  </conditionalFormatting>
  <conditionalFormatting sqref="D776">
    <cfRule type="cellIs" rank="0" priority="1542" equalAverage="0" operator="greaterThan" aboveAverage="0" dxfId="10" text="" percent="0" bottom="0">
      <formula>GecOdemeEsik</formula>
    </cfRule>
  </conditionalFormatting>
  <conditionalFormatting sqref="E776">
    <cfRule type="cellIs" rank="0" priority="1543" equalAverage="0" operator="greaterThan" aboveAverage="0" dxfId="8" text="" percent="0" bottom="0">
      <formula>0</formula>
    </cfRule>
  </conditionalFormatting>
  <conditionalFormatting sqref="D777">
    <cfRule type="cellIs" rank="0" priority="1544" equalAverage="0" operator="greaterThan" aboveAverage="0" dxfId="10" text="" percent="0" bottom="0">
      <formula>GecOdemeEsik</formula>
    </cfRule>
  </conditionalFormatting>
  <conditionalFormatting sqref="E777">
    <cfRule type="cellIs" rank="0" priority="1545" equalAverage="0" operator="greaterThan" aboveAverage="0" dxfId="8" text="" percent="0" bottom="0">
      <formula>0</formula>
    </cfRule>
  </conditionalFormatting>
  <conditionalFormatting sqref="D778">
    <cfRule type="cellIs" rank="0" priority="1546" equalAverage="0" operator="greaterThan" aboveAverage="0" dxfId="10" text="" percent="0" bottom="0">
      <formula>GecOdemeEsik</formula>
    </cfRule>
  </conditionalFormatting>
  <conditionalFormatting sqref="E778">
    <cfRule type="cellIs" rank="0" priority="1547" equalAverage="0" operator="greaterThan" aboveAverage="0" dxfId="8" text="" percent="0" bottom="0">
      <formula>0</formula>
    </cfRule>
  </conditionalFormatting>
  <conditionalFormatting sqref="D779">
    <cfRule type="cellIs" rank="0" priority="1548" equalAverage="0" operator="greaterThan" aboveAverage="0" dxfId="10" text="" percent="0" bottom="0">
      <formula>GecOdemeEsik</formula>
    </cfRule>
  </conditionalFormatting>
  <conditionalFormatting sqref="E779">
    <cfRule type="cellIs" rank="0" priority="1549" equalAverage="0" operator="greaterThan" aboveAverage="0" dxfId="8" text="" percent="0" bottom="0">
      <formula>0</formula>
    </cfRule>
  </conditionalFormatting>
  <conditionalFormatting sqref="D780">
    <cfRule type="cellIs" rank="0" priority="1550" equalAverage="0" operator="greaterThan" aboveAverage="0" dxfId="10" text="" percent="0" bottom="0">
      <formula>GecOdemeEsik</formula>
    </cfRule>
  </conditionalFormatting>
  <conditionalFormatting sqref="E780">
    <cfRule type="cellIs" rank="0" priority="1551" equalAverage="0" operator="greaterThan" aboveAverage="0" dxfId="8" text="" percent="0" bottom="0">
      <formula>0</formula>
    </cfRule>
  </conditionalFormatting>
  <conditionalFormatting sqref="D781">
    <cfRule type="cellIs" rank="0" priority="1552" equalAverage="0" operator="greaterThan" aboveAverage="0" dxfId="10" text="" percent="0" bottom="0">
      <formula>GecOdemeEsik</formula>
    </cfRule>
  </conditionalFormatting>
  <conditionalFormatting sqref="E781">
    <cfRule type="cellIs" rank="0" priority="1553" equalAverage="0" operator="greaterThan" aboveAverage="0" dxfId="8" text="" percent="0" bottom="0">
      <formula>0</formula>
    </cfRule>
  </conditionalFormatting>
  <conditionalFormatting sqref="D782">
    <cfRule type="cellIs" rank="0" priority="1554" equalAverage="0" operator="greaterThan" aboveAverage="0" dxfId="10" text="" percent="0" bottom="0">
      <formula>GecOdemeEsik</formula>
    </cfRule>
  </conditionalFormatting>
  <conditionalFormatting sqref="E782">
    <cfRule type="cellIs" rank="0" priority="1555" equalAverage="0" operator="greaterThan" aboveAverage="0" dxfId="8" text="" percent="0" bottom="0">
      <formula>0</formula>
    </cfRule>
  </conditionalFormatting>
  <conditionalFormatting sqref="D783">
    <cfRule type="cellIs" rank="0" priority="1556" equalAverage="0" operator="greaterThan" aboveAverage="0" dxfId="10" text="" percent="0" bottom="0">
      <formula>GecOdemeEsik</formula>
    </cfRule>
  </conditionalFormatting>
  <conditionalFormatting sqref="E783">
    <cfRule type="cellIs" rank="0" priority="1557" equalAverage="0" operator="greaterThan" aboveAverage="0" dxfId="8" text="" percent="0" bottom="0">
      <formula>0</formula>
    </cfRule>
  </conditionalFormatting>
  <conditionalFormatting sqref="D784">
    <cfRule type="cellIs" rank="0" priority="1558" equalAverage="0" operator="greaterThan" aboveAverage="0" dxfId="10" text="" percent="0" bottom="0">
      <formula>GecOdemeEsik</formula>
    </cfRule>
  </conditionalFormatting>
  <conditionalFormatting sqref="E784">
    <cfRule type="cellIs" rank="0" priority="1559" equalAverage="0" operator="greaterThan" aboveAverage="0" dxfId="8" text="" percent="0" bottom="0">
      <formula>0</formula>
    </cfRule>
  </conditionalFormatting>
  <conditionalFormatting sqref="D785">
    <cfRule type="cellIs" rank="0" priority="1560" equalAverage="0" operator="greaterThan" aboveAverage="0" dxfId="10" text="" percent="0" bottom="0">
      <formula>GecOdemeEsik</formula>
    </cfRule>
  </conditionalFormatting>
  <conditionalFormatting sqref="E785">
    <cfRule type="cellIs" rank="0" priority="1561" equalAverage="0" operator="greaterThan" aboveAverage="0" dxfId="8" text="" percent="0" bottom="0">
      <formula>0</formula>
    </cfRule>
  </conditionalFormatting>
  <conditionalFormatting sqref="D786">
    <cfRule type="cellIs" rank="0" priority="1562" equalAverage="0" operator="greaterThan" aboveAverage="0" dxfId="10" text="" percent="0" bottom="0">
      <formula>GecOdemeEsik</formula>
    </cfRule>
  </conditionalFormatting>
  <conditionalFormatting sqref="E786">
    <cfRule type="cellIs" rank="0" priority="1563" equalAverage="0" operator="greaterThan" aboveAverage="0" dxfId="8" text="" percent="0" bottom="0">
      <formula>0</formula>
    </cfRule>
  </conditionalFormatting>
  <conditionalFormatting sqref="D787">
    <cfRule type="cellIs" rank="0" priority="1564" equalAverage="0" operator="greaterThan" aboveAverage="0" dxfId="10" text="" percent="0" bottom="0">
      <formula>GecOdemeEsik</formula>
    </cfRule>
  </conditionalFormatting>
  <conditionalFormatting sqref="E787">
    <cfRule type="cellIs" rank="0" priority="1565" equalAverage="0" operator="greaterThan" aboveAverage="0" dxfId="8" text="" percent="0" bottom="0">
      <formula>0</formula>
    </cfRule>
  </conditionalFormatting>
  <conditionalFormatting sqref="D788">
    <cfRule type="cellIs" rank="0" priority="1566" equalAverage="0" operator="greaterThan" aboveAverage="0" dxfId="10" text="" percent="0" bottom="0">
      <formula>GecOdemeEsik</formula>
    </cfRule>
  </conditionalFormatting>
  <conditionalFormatting sqref="E788">
    <cfRule type="cellIs" rank="0" priority="1567" equalAverage="0" operator="greaterThan" aboveAverage="0" dxfId="8" text="" percent="0" bottom="0">
      <formula>0</formula>
    </cfRule>
  </conditionalFormatting>
  <conditionalFormatting sqref="D789">
    <cfRule type="cellIs" rank="0" priority="1568" equalAverage="0" operator="greaterThan" aboveAverage="0" dxfId="10" text="" percent="0" bottom="0">
      <formula>GecOdemeEsik</formula>
    </cfRule>
  </conditionalFormatting>
  <conditionalFormatting sqref="E789">
    <cfRule type="cellIs" rank="0" priority="1569" equalAverage="0" operator="greaterThan" aboveAverage="0" dxfId="8" text="" percent="0" bottom="0">
      <formula>0</formula>
    </cfRule>
  </conditionalFormatting>
  <conditionalFormatting sqref="D790">
    <cfRule type="cellIs" rank="0" priority="1570" equalAverage="0" operator="greaterThan" aboveAverage="0" dxfId="10" text="" percent="0" bottom="0">
      <formula>GecOdemeEsik</formula>
    </cfRule>
  </conditionalFormatting>
  <conditionalFormatting sqref="E790">
    <cfRule type="cellIs" rank="0" priority="1571" equalAverage="0" operator="greaterThan" aboveAverage="0" dxfId="8" text="" percent="0" bottom="0">
      <formula>0</formula>
    </cfRule>
  </conditionalFormatting>
  <conditionalFormatting sqref="D791">
    <cfRule type="cellIs" rank="0" priority="1572" equalAverage="0" operator="greaterThan" aboveAverage="0" dxfId="10" text="" percent="0" bottom="0">
      <formula>GecOdemeEsik</formula>
    </cfRule>
  </conditionalFormatting>
  <conditionalFormatting sqref="E791">
    <cfRule type="cellIs" rank="0" priority="1573" equalAverage="0" operator="greaterThan" aboveAverage="0" dxfId="8" text="" percent="0" bottom="0">
      <formula>0</formula>
    </cfRule>
  </conditionalFormatting>
  <conditionalFormatting sqref="D792">
    <cfRule type="cellIs" rank="0" priority="1574" equalAverage="0" operator="greaterThan" aboveAverage="0" dxfId="10" text="" percent="0" bottom="0">
      <formula>GecOdemeEsik</formula>
    </cfRule>
  </conditionalFormatting>
  <conditionalFormatting sqref="E792">
    <cfRule type="cellIs" rank="0" priority="1575" equalAverage="0" operator="greaterThan" aboveAverage="0" dxfId="8" text="" percent="0" bottom="0">
      <formula>0</formula>
    </cfRule>
  </conditionalFormatting>
  <conditionalFormatting sqref="D793">
    <cfRule type="cellIs" rank="0" priority="1576" equalAverage="0" operator="greaterThan" aboveAverage="0" dxfId="10" text="" percent="0" bottom="0">
      <formula>GecOdemeEsik</formula>
    </cfRule>
  </conditionalFormatting>
  <conditionalFormatting sqref="E793">
    <cfRule type="cellIs" rank="0" priority="1577" equalAverage="0" operator="greaterThan" aboveAverage="0" dxfId="8" text="" percent="0" bottom="0">
      <formula>0</formula>
    </cfRule>
  </conditionalFormatting>
  <conditionalFormatting sqref="D794">
    <cfRule type="cellIs" rank="0" priority="1578" equalAverage="0" operator="greaterThan" aboveAverage="0" dxfId="10" text="" percent="0" bottom="0">
      <formula>GecOdemeEsik</formula>
    </cfRule>
  </conditionalFormatting>
  <conditionalFormatting sqref="E794">
    <cfRule type="cellIs" rank="0" priority="1579" equalAverage="0" operator="greaterThan" aboveAverage="0" dxfId="8" text="" percent="0" bottom="0">
      <formula>0</formula>
    </cfRule>
  </conditionalFormatting>
  <conditionalFormatting sqref="D795">
    <cfRule type="cellIs" rank="0" priority="1580" equalAverage="0" operator="greaterThan" aboveAverage="0" dxfId="10" text="" percent="0" bottom="0">
      <formula>GecOdemeEsik</formula>
    </cfRule>
  </conditionalFormatting>
  <conditionalFormatting sqref="E795">
    <cfRule type="cellIs" rank="0" priority="1581" equalAverage="0" operator="greaterThan" aboveAverage="0" dxfId="8" text="" percent="0" bottom="0">
      <formula>0</formula>
    </cfRule>
  </conditionalFormatting>
  <conditionalFormatting sqref="D796">
    <cfRule type="cellIs" rank="0" priority="1582" equalAverage="0" operator="greaterThan" aboveAverage="0" dxfId="10" text="" percent="0" bottom="0">
      <formula>GecOdemeEsik</formula>
    </cfRule>
  </conditionalFormatting>
  <conditionalFormatting sqref="E796">
    <cfRule type="cellIs" rank="0" priority="1583" equalAverage="0" operator="greaterThan" aboveAverage="0" dxfId="8" text="" percent="0" bottom="0">
      <formula>0</formula>
    </cfRule>
  </conditionalFormatting>
  <conditionalFormatting sqref="D797">
    <cfRule type="cellIs" rank="0" priority="1584" equalAverage="0" operator="greaterThan" aboveAverage="0" dxfId="10" text="" percent="0" bottom="0">
      <formula>GecOdemeEsik</formula>
    </cfRule>
  </conditionalFormatting>
  <conditionalFormatting sqref="E797">
    <cfRule type="cellIs" rank="0" priority="1585" equalAverage="0" operator="greaterThan" aboveAverage="0" dxfId="8" text="" percent="0" bottom="0">
      <formula>0</formula>
    </cfRule>
  </conditionalFormatting>
  <conditionalFormatting sqref="D798">
    <cfRule type="cellIs" rank="0" priority="1586" equalAverage="0" operator="greaterThan" aboveAverage="0" dxfId="10" text="" percent="0" bottom="0">
      <formula>GecOdemeEsik</formula>
    </cfRule>
  </conditionalFormatting>
  <conditionalFormatting sqref="E798">
    <cfRule type="cellIs" rank="0" priority="1587" equalAverage="0" operator="greaterThan" aboveAverage="0" dxfId="8" text="" percent="0" bottom="0">
      <formula>0</formula>
    </cfRule>
  </conditionalFormatting>
  <conditionalFormatting sqref="D799">
    <cfRule type="cellIs" rank="0" priority="1588" equalAverage="0" operator="greaterThan" aboveAverage="0" dxfId="10" text="" percent="0" bottom="0">
      <formula>GecOdemeEsik</formula>
    </cfRule>
  </conditionalFormatting>
  <conditionalFormatting sqref="E799">
    <cfRule type="cellIs" rank="0" priority="1589" equalAverage="0" operator="greaterThan" aboveAverage="0" dxfId="8" text="" percent="0" bottom="0">
      <formula>0</formula>
    </cfRule>
  </conditionalFormatting>
  <conditionalFormatting sqref="D800">
    <cfRule type="cellIs" rank="0" priority="1590" equalAverage="0" operator="greaterThan" aboveAverage="0" dxfId="10" text="" percent="0" bottom="0">
      <formula>GecOdemeEsik</formula>
    </cfRule>
  </conditionalFormatting>
  <conditionalFormatting sqref="E800">
    <cfRule type="cellIs" rank="0" priority="1591" equalAverage="0" operator="greaterThan" aboveAverage="0" dxfId="8" text="" percent="0" bottom="0">
      <formula>0</formula>
    </cfRule>
  </conditionalFormatting>
  <conditionalFormatting sqref="D801">
    <cfRule type="cellIs" rank="0" priority="1592" equalAverage="0" operator="greaterThan" aboveAverage="0" dxfId="10" text="" percent="0" bottom="0">
      <formula>GecOdemeEsik</formula>
    </cfRule>
  </conditionalFormatting>
  <conditionalFormatting sqref="E801">
    <cfRule type="cellIs" rank="0" priority="1593" equalAverage="0" operator="greaterThan" aboveAverage="0" dxfId="8" text="" percent="0" bottom="0">
      <formula>0</formula>
    </cfRule>
  </conditionalFormatting>
  <conditionalFormatting sqref="D802">
    <cfRule type="cellIs" rank="0" priority="1594" equalAverage="0" operator="greaterThan" aboveAverage="0" dxfId="10" text="" percent="0" bottom="0">
      <formula>GecOdemeEsik</formula>
    </cfRule>
  </conditionalFormatting>
  <conditionalFormatting sqref="E802">
    <cfRule type="cellIs" rank="0" priority="1595" equalAverage="0" operator="greaterThan" aboveAverage="0" dxfId="8" text="" percent="0" bottom="0">
      <formula>0</formula>
    </cfRule>
  </conditionalFormatting>
  <conditionalFormatting sqref="D803">
    <cfRule type="cellIs" rank="0" priority="1596" equalAverage="0" operator="greaterThan" aboveAverage="0" dxfId="10" text="" percent="0" bottom="0">
      <formula>GecOdemeEsik</formula>
    </cfRule>
  </conditionalFormatting>
  <conditionalFormatting sqref="E803">
    <cfRule type="cellIs" rank="0" priority="1597" equalAverage="0" operator="greaterThan" aboveAverage="0" dxfId="8" text="" percent="0" bottom="0">
      <formula>0</formula>
    </cfRule>
  </conditionalFormatting>
  <conditionalFormatting sqref="D804">
    <cfRule type="cellIs" rank="0" priority="1598" equalAverage="0" operator="greaterThan" aboveAverage="0" dxfId="10" text="" percent="0" bottom="0">
      <formula>GecOdemeEsik</formula>
    </cfRule>
  </conditionalFormatting>
  <conditionalFormatting sqref="E804">
    <cfRule type="cellIs" rank="0" priority="1599" equalAverage="0" operator="greaterThan" aboveAverage="0" dxfId="8" text="" percent="0" bottom="0">
      <formula>0</formula>
    </cfRule>
  </conditionalFormatting>
  <conditionalFormatting sqref="D805">
    <cfRule type="cellIs" rank="0" priority="1600" equalAverage="0" operator="greaterThan" aboveAverage="0" dxfId="10" text="" percent="0" bottom="0">
      <formula>GecOdemeEsik</formula>
    </cfRule>
  </conditionalFormatting>
  <conditionalFormatting sqref="E805">
    <cfRule type="cellIs" rank="0" priority="1601" equalAverage="0" operator="greaterThan" aboveAverage="0" dxfId="8" text="" percent="0" bottom="0">
      <formula>0</formula>
    </cfRule>
  </conditionalFormatting>
  <conditionalFormatting sqref="D806">
    <cfRule type="cellIs" rank="0" priority="1602" equalAverage="0" operator="greaterThan" aboveAverage="0" dxfId="10" text="" percent="0" bottom="0">
      <formula>GecOdemeEsik</formula>
    </cfRule>
  </conditionalFormatting>
  <conditionalFormatting sqref="E806">
    <cfRule type="cellIs" rank="0" priority="1603" equalAverage="0" operator="greaterThan" aboveAverage="0" dxfId="8" text="" percent="0" bottom="0">
      <formula>0</formula>
    </cfRule>
  </conditionalFormatting>
  <conditionalFormatting sqref="D807">
    <cfRule type="cellIs" rank="0" priority="1604" equalAverage="0" operator="greaterThan" aboveAverage="0" dxfId="10" text="" percent="0" bottom="0">
      <formula>GecOdemeEsik</formula>
    </cfRule>
  </conditionalFormatting>
  <conditionalFormatting sqref="E807">
    <cfRule type="cellIs" rank="0" priority="1605" equalAverage="0" operator="greaterThan" aboveAverage="0" dxfId="8" text="" percent="0" bottom="0">
      <formula>0</formula>
    </cfRule>
  </conditionalFormatting>
  <conditionalFormatting sqref="D808">
    <cfRule type="cellIs" rank="0" priority="1606" equalAverage="0" operator="greaterThan" aboveAverage="0" dxfId="10" text="" percent="0" bottom="0">
      <formula>GecOdemeEsik</formula>
    </cfRule>
  </conditionalFormatting>
  <conditionalFormatting sqref="E808">
    <cfRule type="cellIs" rank="0" priority="1607" equalAverage="0" operator="greaterThan" aboveAverage="0" dxfId="8" text="" percent="0" bottom="0">
      <formula>0</formula>
    </cfRule>
  </conditionalFormatting>
  <conditionalFormatting sqref="D809">
    <cfRule type="cellIs" rank="0" priority="1608" equalAverage="0" operator="greaterThan" aboveAverage="0" dxfId="10" text="" percent="0" bottom="0">
      <formula>GecOdemeEsik</formula>
    </cfRule>
  </conditionalFormatting>
  <conditionalFormatting sqref="E809">
    <cfRule type="cellIs" rank="0" priority="1609" equalAverage="0" operator="greaterThan" aboveAverage="0" dxfId="8" text="" percent="0" bottom="0">
      <formula>0</formula>
    </cfRule>
  </conditionalFormatting>
  <conditionalFormatting sqref="D810">
    <cfRule type="cellIs" rank="0" priority="1610" equalAverage="0" operator="greaterThan" aboveAverage="0" dxfId="10" text="" percent="0" bottom="0">
      <formula>GecOdemeEsik</formula>
    </cfRule>
  </conditionalFormatting>
  <conditionalFormatting sqref="E810">
    <cfRule type="cellIs" rank="0" priority="1611" equalAverage="0" operator="greaterThan" aboveAverage="0" dxfId="8" text="" percent="0" bottom="0">
      <formula>0</formula>
    </cfRule>
  </conditionalFormatting>
  <conditionalFormatting sqref="D811">
    <cfRule type="cellIs" rank="0" priority="1612" equalAverage="0" operator="greaterThan" aboveAverage="0" dxfId="10" text="" percent="0" bottom="0">
      <formula>GecOdemeEsik</formula>
    </cfRule>
  </conditionalFormatting>
  <conditionalFormatting sqref="E811">
    <cfRule type="cellIs" rank="0" priority="1613" equalAverage="0" operator="greaterThan" aboveAverage="0" dxfId="8" text="" percent="0" bottom="0">
      <formula>0</formula>
    </cfRule>
  </conditionalFormatting>
  <conditionalFormatting sqref="D812">
    <cfRule type="cellIs" rank="0" priority="1614" equalAverage="0" operator="greaterThan" aboveAverage="0" dxfId="10" text="" percent="0" bottom="0">
      <formula>GecOdemeEsik</formula>
    </cfRule>
  </conditionalFormatting>
  <conditionalFormatting sqref="E812">
    <cfRule type="cellIs" rank="0" priority="1615" equalAverage="0" operator="greaterThan" aboveAverage="0" dxfId="8" text="" percent="0" bottom="0">
      <formula>0</formula>
    </cfRule>
  </conditionalFormatting>
  <conditionalFormatting sqref="D813">
    <cfRule type="cellIs" rank="0" priority="1616" equalAverage="0" operator="greaterThan" aboveAverage="0" dxfId="10" text="" percent="0" bottom="0">
      <formula>GecOdemeEsik</formula>
    </cfRule>
  </conditionalFormatting>
  <conditionalFormatting sqref="E813">
    <cfRule type="cellIs" rank="0" priority="1617" equalAverage="0" operator="greaterThan" aboveAverage="0" dxfId="8" text="" percent="0" bottom="0">
      <formula>0</formula>
    </cfRule>
  </conditionalFormatting>
  <conditionalFormatting sqref="D814">
    <cfRule type="cellIs" rank="0" priority="1618" equalAverage="0" operator="greaterThan" aboveAverage="0" dxfId="10" text="" percent="0" bottom="0">
      <formula>GecOdemeEsik</formula>
    </cfRule>
  </conditionalFormatting>
  <conditionalFormatting sqref="E814">
    <cfRule type="cellIs" rank="0" priority="1619" equalAverage="0" operator="greaterThan" aboveAverage="0" dxfId="8" text="" percent="0" bottom="0">
      <formula>0</formula>
    </cfRule>
  </conditionalFormatting>
  <conditionalFormatting sqref="D815">
    <cfRule type="cellIs" rank="0" priority="1620" equalAverage="0" operator="greaterThan" aboveAverage="0" dxfId="10" text="" percent="0" bottom="0">
      <formula>GecOdemeEsik</formula>
    </cfRule>
  </conditionalFormatting>
  <conditionalFormatting sqref="E815">
    <cfRule type="cellIs" rank="0" priority="1621" equalAverage="0" operator="greaterThan" aboveAverage="0" dxfId="8" text="" percent="0" bottom="0">
      <formula>0</formula>
    </cfRule>
  </conditionalFormatting>
  <conditionalFormatting sqref="D816">
    <cfRule type="cellIs" rank="0" priority="1622" equalAverage="0" operator="greaterThan" aboveAverage="0" dxfId="10" text="" percent="0" bottom="0">
      <formula>GecOdemeEsik</formula>
    </cfRule>
  </conditionalFormatting>
  <conditionalFormatting sqref="E816">
    <cfRule type="cellIs" rank="0" priority="1623" equalAverage="0" operator="greaterThan" aboveAverage="0" dxfId="8" text="" percent="0" bottom="0">
      <formula>0</formula>
    </cfRule>
  </conditionalFormatting>
  <conditionalFormatting sqref="D817">
    <cfRule type="cellIs" rank="0" priority="1624" equalAverage="0" operator="greaterThan" aboveAverage="0" dxfId="10" text="" percent="0" bottom="0">
      <formula>GecOdemeEsik</formula>
    </cfRule>
  </conditionalFormatting>
  <conditionalFormatting sqref="E817">
    <cfRule type="cellIs" rank="0" priority="1625" equalAverage="0" operator="greaterThan" aboveAverage="0" dxfId="8" text="" percent="0" bottom="0">
      <formula>0</formula>
    </cfRule>
  </conditionalFormatting>
  <conditionalFormatting sqref="D818">
    <cfRule type="cellIs" rank="0" priority="1626" equalAverage="0" operator="greaterThan" aboveAverage="0" dxfId="10" text="" percent="0" bottom="0">
      <formula>GecOdemeEsik</formula>
    </cfRule>
  </conditionalFormatting>
  <conditionalFormatting sqref="E818">
    <cfRule type="cellIs" rank="0" priority="1627" equalAverage="0" operator="greaterThan" aboveAverage="0" dxfId="8" text="" percent="0" bottom="0">
      <formula>0</formula>
    </cfRule>
  </conditionalFormatting>
  <conditionalFormatting sqref="D819">
    <cfRule type="cellIs" rank="0" priority="1628" equalAverage="0" operator="greaterThan" aboveAverage="0" dxfId="10" text="" percent="0" bottom="0">
      <formula>GecOdemeEsik</formula>
    </cfRule>
  </conditionalFormatting>
  <conditionalFormatting sqref="E819">
    <cfRule type="cellIs" rank="0" priority="1629" equalAverage="0" operator="greaterThan" aboveAverage="0" dxfId="8" text="" percent="0" bottom="0">
      <formula>0</formula>
    </cfRule>
  </conditionalFormatting>
  <conditionalFormatting sqref="D820">
    <cfRule type="cellIs" rank="0" priority="1630" equalAverage="0" operator="greaterThan" aboveAverage="0" dxfId="10" text="" percent="0" bottom="0">
      <formula>GecOdemeEsik</formula>
    </cfRule>
  </conditionalFormatting>
  <conditionalFormatting sqref="E820">
    <cfRule type="cellIs" rank="0" priority="1631" equalAverage="0" operator="greaterThan" aboveAverage="0" dxfId="8" text="" percent="0" bottom="0">
      <formula>0</formula>
    </cfRule>
  </conditionalFormatting>
  <conditionalFormatting sqref="D821">
    <cfRule type="cellIs" rank="0" priority="1632" equalAverage="0" operator="greaterThan" aboveAverage="0" dxfId="10" text="" percent="0" bottom="0">
      <formula>GecOdemeEsik</formula>
    </cfRule>
  </conditionalFormatting>
  <conditionalFormatting sqref="E821">
    <cfRule type="cellIs" rank="0" priority="1633" equalAverage="0" operator="greaterThan" aboveAverage="0" dxfId="8" text="" percent="0" bottom="0">
      <formula>0</formula>
    </cfRule>
  </conditionalFormatting>
  <conditionalFormatting sqref="D822">
    <cfRule type="cellIs" rank="0" priority="1634" equalAverage="0" operator="greaterThan" aboveAverage="0" dxfId="10" text="" percent="0" bottom="0">
      <formula>GecOdemeEsik</formula>
    </cfRule>
  </conditionalFormatting>
  <conditionalFormatting sqref="E822">
    <cfRule type="cellIs" rank="0" priority="1635" equalAverage="0" operator="greaterThan" aboveAverage="0" dxfId="8" text="" percent="0" bottom="0">
      <formula>0</formula>
    </cfRule>
  </conditionalFormatting>
  <conditionalFormatting sqref="D823">
    <cfRule type="cellIs" rank="0" priority="1636" equalAverage="0" operator="greaterThan" aboveAverage="0" dxfId="10" text="" percent="0" bottom="0">
      <formula>GecOdemeEsik</formula>
    </cfRule>
  </conditionalFormatting>
  <conditionalFormatting sqref="E823">
    <cfRule type="cellIs" rank="0" priority="1637" equalAverage="0" operator="greaterThan" aboveAverage="0" dxfId="8" text="" percent="0" bottom="0">
      <formula>0</formula>
    </cfRule>
  </conditionalFormatting>
  <conditionalFormatting sqref="D824">
    <cfRule type="cellIs" rank="0" priority="1638" equalAverage="0" operator="greaterThan" aboveAverage="0" dxfId="10" text="" percent="0" bottom="0">
      <formula>GecOdemeEsik</formula>
    </cfRule>
  </conditionalFormatting>
  <conditionalFormatting sqref="E824">
    <cfRule type="cellIs" rank="0" priority="1639" equalAverage="0" operator="greaterThan" aboveAverage="0" dxfId="8" text="" percent="0" bottom="0">
      <formula>0</formula>
    </cfRule>
  </conditionalFormatting>
  <conditionalFormatting sqref="D825">
    <cfRule type="cellIs" rank="0" priority="1640" equalAverage="0" operator="greaterThan" aboveAverage="0" dxfId="10" text="" percent="0" bottom="0">
      <formula>GecOdemeEsik</formula>
    </cfRule>
  </conditionalFormatting>
  <conditionalFormatting sqref="E825">
    <cfRule type="cellIs" rank="0" priority="1641" equalAverage="0" operator="greaterThan" aboveAverage="0" dxfId="8" text="" percent="0" bottom="0">
      <formula>0</formula>
    </cfRule>
  </conditionalFormatting>
  <conditionalFormatting sqref="D826">
    <cfRule type="cellIs" rank="0" priority="1642" equalAverage="0" operator="greaterThan" aboveAverage="0" dxfId="10" text="" percent="0" bottom="0">
      <formula>GecOdemeEsik</formula>
    </cfRule>
  </conditionalFormatting>
  <conditionalFormatting sqref="E826">
    <cfRule type="cellIs" rank="0" priority="1643" equalAverage="0" operator="greaterThan" aboveAverage="0" dxfId="8" text="" percent="0" bottom="0">
      <formula>0</formula>
    </cfRule>
  </conditionalFormatting>
  <conditionalFormatting sqref="D827">
    <cfRule type="cellIs" rank="0" priority="1644" equalAverage="0" operator="greaterThan" aboveAverage="0" dxfId="10" text="" percent="0" bottom="0">
      <formula>GecOdemeEsik</formula>
    </cfRule>
  </conditionalFormatting>
  <conditionalFormatting sqref="E827">
    <cfRule type="cellIs" rank="0" priority="1645" equalAverage="0" operator="greaterThan" aboveAverage="0" dxfId="8" text="" percent="0" bottom="0">
      <formula>0</formula>
    </cfRule>
  </conditionalFormatting>
  <conditionalFormatting sqref="D828">
    <cfRule type="cellIs" rank="0" priority="1646" equalAverage="0" operator="greaterThan" aboveAverage="0" dxfId="10" text="" percent="0" bottom="0">
      <formula>GecOdemeEsik</formula>
    </cfRule>
  </conditionalFormatting>
  <conditionalFormatting sqref="E828">
    <cfRule type="cellIs" rank="0" priority="1647" equalAverage="0" operator="greaterThan" aboveAverage="0" dxfId="8" text="" percent="0" bottom="0">
      <formula>0</formula>
    </cfRule>
  </conditionalFormatting>
  <conditionalFormatting sqref="D829">
    <cfRule type="cellIs" rank="0" priority="1648" equalAverage="0" operator="greaterThan" aboveAverage="0" dxfId="10" text="" percent="0" bottom="0">
      <formula>GecOdemeEsik</formula>
    </cfRule>
  </conditionalFormatting>
  <conditionalFormatting sqref="E829">
    <cfRule type="cellIs" rank="0" priority="1649" equalAverage="0" operator="greaterThan" aboveAverage="0" dxfId="8" text="" percent="0" bottom="0">
      <formula>0</formula>
    </cfRule>
  </conditionalFormatting>
  <conditionalFormatting sqref="D830">
    <cfRule type="cellIs" rank="0" priority="1650" equalAverage="0" operator="greaterThan" aboveAverage="0" dxfId="10" text="" percent="0" bottom="0">
      <formula>GecOdemeEsik</formula>
    </cfRule>
  </conditionalFormatting>
  <conditionalFormatting sqref="E830">
    <cfRule type="cellIs" rank="0" priority="1651" equalAverage="0" operator="greaterThan" aboveAverage="0" dxfId="8" text="" percent="0" bottom="0">
      <formula>0</formula>
    </cfRule>
  </conditionalFormatting>
  <conditionalFormatting sqref="D831">
    <cfRule type="cellIs" rank="0" priority="1652" equalAverage="0" operator="greaterThan" aboveAverage="0" dxfId="10" text="" percent="0" bottom="0">
      <formula>GecOdemeEsik</formula>
    </cfRule>
  </conditionalFormatting>
  <conditionalFormatting sqref="E831">
    <cfRule type="cellIs" rank="0" priority="1653" equalAverage="0" operator="greaterThan" aboveAverage="0" dxfId="8" text="" percent="0" bottom="0">
      <formula>0</formula>
    </cfRule>
  </conditionalFormatting>
  <conditionalFormatting sqref="D832">
    <cfRule type="cellIs" rank="0" priority="1654" equalAverage="0" operator="greaterThan" aboveAverage="0" dxfId="10" text="" percent="0" bottom="0">
      <formula>GecOdemeEsik</formula>
    </cfRule>
  </conditionalFormatting>
  <conditionalFormatting sqref="E832">
    <cfRule type="cellIs" rank="0" priority="1655" equalAverage="0" operator="greaterThan" aboveAverage="0" dxfId="8" text="" percent="0" bottom="0">
      <formula>0</formula>
    </cfRule>
  </conditionalFormatting>
  <conditionalFormatting sqref="D833">
    <cfRule type="cellIs" rank="0" priority="1656" equalAverage="0" operator="greaterThan" aboveAverage="0" dxfId="10" text="" percent="0" bottom="0">
      <formula>GecOdemeEsik</formula>
    </cfRule>
  </conditionalFormatting>
  <conditionalFormatting sqref="E833">
    <cfRule type="cellIs" rank="0" priority="1657" equalAverage="0" operator="greaterThan" aboveAverage="0" dxfId="8" text="" percent="0" bottom="0">
      <formula>0</formula>
    </cfRule>
  </conditionalFormatting>
  <conditionalFormatting sqref="D834">
    <cfRule type="cellIs" rank="0" priority="1658" equalAverage="0" operator="greaterThan" aboveAverage="0" dxfId="10" text="" percent="0" bottom="0">
      <formula>GecOdemeEsik</formula>
    </cfRule>
  </conditionalFormatting>
  <conditionalFormatting sqref="E834">
    <cfRule type="cellIs" rank="0" priority="1659" equalAverage="0" operator="greaterThan" aboveAverage="0" dxfId="8" text="" percent="0" bottom="0">
      <formula>0</formula>
    </cfRule>
  </conditionalFormatting>
  <conditionalFormatting sqref="D835">
    <cfRule type="cellIs" rank="0" priority="1660" equalAverage="0" operator="greaterThan" aboveAverage="0" dxfId="10" text="" percent="0" bottom="0">
      <formula>GecOdemeEsik</formula>
    </cfRule>
  </conditionalFormatting>
  <conditionalFormatting sqref="E835">
    <cfRule type="cellIs" rank="0" priority="1661" equalAverage="0" operator="greaterThan" aboveAverage="0" dxfId="8" text="" percent="0" bottom="0">
      <formula>0</formula>
    </cfRule>
  </conditionalFormatting>
  <conditionalFormatting sqref="D836">
    <cfRule type="cellIs" rank="0" priority="1662" equalAverage="0" operator="greaterThan" aboveAverage="0" dxfId="10" text="" percent="0" bottom="0">
      <formula>GecOdemeEsik</formula>
    </cfRule>
  </conditionalFormatting>
  <conditionalFormatting sqref="E836">
    <cfRule type="cellIs" rank="0" priority="1663" equalAverage="0" operator="greaterThan" aboveAverage="0" dxfId="8" text="" percent="0" bottom="0">
      <formula>0</formula>
    </cfRule>
  </conditionalFormatting>
  <conditionalFormatting sqref="D837">
    <cfRule type="cellIs" rank="0" priority="1664" equalAverage="0" operator="greaterThan" aboveAverage="0" dxfId="10" text="" percent="0" bottom="0">
      <formula>GecOdemeEsik</formula>
    </cfRule>
  </conditionalFormatting>
  <conditionalFormatting sqref="E837">
    <cfRule type="cellIs" rank="0" priority="1665" equalAverage="0" operator="greaterThan" aboveAverage="0" dxfId="8" text="" percent="0" bottom="0">
      <formula>0</formula>
    </cfRule>
  </conditionalFormatting>
  <conditionalFormatting sqref="D838">
    <cfRule type="cellIs" rank="0" priority="1666" equalAverage="0" operator="greaterThan" aboveAverage="0" dxfId="10" text="" percent="0" bottom="0">
      <formula>GecOdemeEsik</formula>
    </cfRule>
  </conditionalFormatting>
  <conditionalFormatting sqref="E838">
    <cfRule type="cellIs" rank="0" priority="1667" equalAverage="0" operator="greaterThan" aboveAverage="0" dxfId="8" text="" percent="0" bottom="0">
      <formula>0</formula>
    </cfRule>
  </conditionalFormatting>
  <conditionalFormatting sqref="D839">
    <cfRule type="cellIs" rank="0" priority="1668" equalAverage="0" operator="greaterThan" aboveAverage="0" dxfId="10" text="" percent="0" bottom="0">
      <formula>GecOdemeEsik</formula>
    </cfRule>
  </conditionalFormatting>
  <conditionalFormatting sqref="E839">
    <cfRule type="cellIs" rank="0" priority="1669" equalAverage="0" operator="greaterThan" aboveAverage="0" dxfId="8" text="" percent="0" bottom="0">
      <formula>0</formula>
    </cfRule>
  </conditionalFormatting>
  <conditionalFormatting sqref="D840">
    <cfRule type="cellIs" rank="0" priority="1670" equalAverage="0" operator="greaterThan" aboveAverage="0" dxfId="10" text="" percent="0" bottom="0">
      <formula>GecOdemeEsik</formula>
    </cfRule>
  </conditionalFormatting>
  <conditionalFormatting sqref="E840">
    <cfRule type="cellIs" rank="0" priority="1671" equalAverage="0" operator="greaterThan" aboveAverage="0" dxfId="8" text="" percent="0" bottom="0">
      <formula>0</formula>
    </cfRule>
  </conditionalFormatting>
  <conditionalFormatting sqref="D841">
    <cfRule type="cellIs" rank="0" priority="1672" equalAverage="0" operator="greaterThan" aboveAverage="0" dxfId="10" text="" percent="0" bottom="0">
      <formula>GecOdemeEsik</formula>
    </cfRule>
  </conditionalFormatting>
  <conditionalFormatting sqref="E841">
    <cfRule type="cellIs" rank="0" priority="1673" equalAverage="0" operator="greaterThan" aboveAverage="0" dxfId="8" text="" percent="0" bottom="0">
      <formula>0</formula>
    </cfRule>
  </conditionalFormatting>
  <conditionalFormatting sqref="D842">
    <cfRule type="cellIs" rank="0" priority="1674" equalAverage="0" operator="greaterThan" aboveAverage="0" dxfId="10" text="" percent="0" bottom="0">
      <formula>GecOdemeEsik</formula>
    </cfRule>
  </conditionalFormatting>
  <conditionalFormatting sqref="E842">
    <cfRule type="cellIs" rank="0" priority="1675" equalAverage="0" operator="greaterThan" aboveAverage="0" dxfId="8" text="" percent="0" bottom="0">
      <formula>0</formula>
    </cfRule>
  </conditionalFormatting>
  <conditionalFormatting sqref="D843">
    <cfRule type="cellIs" rank="0" priority="1676" equalAverage="0" operator="greaterThan" aboveAverage="0" dxfId="10" text="" percent="0" bottom="0">
      <formula>GecOdemeEsik</formula>
    </cfRule>
  </conditionalFormatting>
  <conditionalFormatting sqref="E843">
    <cfRule type="cellIs" rank="0" priority="1677" equalAverage="0" operator="greaterThan" aboveAverage="0" dxfId="8" text="" percent="0" bottom="0">
      <formula>0</formula>
    </cfRule>
  </conditionalFormatting>
  <conditionalFormatting sqref="D844">
    <cfRule type="cellIs" rank="0" priority="1678" equalAverage="0" operator="greaterThan" aboveAverage="0" dxfId="10" text="" percent="0" bottom="0">
      <formula>GecOdemeEsik</formula>
    </cfRule>
  </conditionalFormatting>
  <conditionalFormatting sqref="E844">
    <cfRule type="cellIs" rank="0" priority="1679" equalAverage="0" operator="greaterThan" aboveAverage="0" dxfId="8" text="" percent="0" bottom="0">
      <formula>0</formula>
    </cfRule>
  </conditionalFormatting>
  <conditionalFormatting sqref="D845">
    <cfRule type="cellIs" rank="0" priority="1680" equalAverage="0" operator="greaterThan" aboveAverage="0" dxfId="10" text="" percent="0" bottom="0">
      <formula>GecOdemeEsik</formula>
    </cfRule>
  </conditionalFormatting>
  <conditionalFormatting sqref="E845">
    <cfRule type="cellIs" rank="0" priority="1681" equalAverage="0" operator="greaterThan" aboveAverage="0" dxfId="8" text="" percent="0" bottom="0">
      <formula>0</formula>
    </cfRule>
  </conditionalFormatting>
  <conditionalFormatting sqref="D846">
    <cfRule type="cellIs" rank="0" priority="1682" equalAverage="0" operator="greaterThan" aboveAverage="0" dxfId="10" text="" percent="0" bottom="0">
      <formula>GecOdemeEsik</formula>
    </cfRule>
  </conditionalFormatting>
  <conditionalFormatting sqref="E846">
    <cfRule type="cellIs" rank="0" priority="1683" equalAverage="0" operator="greaterThan" aboveAverage="0" dxfId="8" text="" percent="0" bottom="0">
      <formula>0</formula>
    </cfRule>
  </conditionalFormatting>
  <conditionalFormatting sqref="D847">
    <cfRule type="cellIs" rank="0" priority="1684" equalAverage="0" operator="greaterThan" aboveAverage="0" dxfId="10" text="" percent="0" bottom="0">
      <formula>GecOdemeEsik</formula>
    </cfRule>
  </conditionalFormatting>
  <conditionalFormatting sqref="E847">
    <cfRule type="cellIs" rank="0" priority="1685" equalAverage="0" operator="greaterThan" aboveAverage="0" dxfId="8" text="" percent="0" bottom="0">
      <formula>0</formula>
    </cfRule>
  </conditionalFormatting>
  <conditionalFormatting sqref="D848">
    <cfRule type="cellIs" rank="0" priority="1686" equalAverage="0" operator="greaterThan" aboveAverage="0" dxfId="10" text="" percent="0" bottom="0">
      <formula>GecOdemeEsik</formula>
    </cfRule>
  </conditionalFormatting>
  <conditionalFormatting sqref="E848">
    <cfRule type="cellIs" rank="0" priority="1687" equalAverage="0" operator="greaterThan" aboveAverage="0" dxfId="8" text="" percent="0" bottom="0">
      <formula>0</formula>
    </cfRule>
  </conditionalFormatting>
  <conditionalFormatting sqref="D849">
    <cfRule type="cellIs" rank="0" priority="1688" equalAverage="0" operator="greaterThan" aboveAverage="0" dxfId="10" text="" percent="0" bottom="0">
      <formula>GecOdemeEsik</formula>
    </cfRule>
  </conditionalFormatting>
  <conditionalFormatting sqref="E849">
    <cfRule type="cellIs" rank="0" priority="1689" equalAverage="0" operator="greaterThan" aboveAverage="0" dxfId="8" text="" percent="0" bottom="0">
      <formula>0</formula>
    </cfRule>
  </conditionalFormatting>
  <conditionalFormatting sqref="D850">
    <cfRule type="cellIs" rank="0" priority="1690" equalAverage="0" operator="greaterThan" aboveAverage="0" dxfId="10" text="" percent="0" bottom="0">
      <formula>GecOdemeEsik</formula>
    </cfRule>
  </conditionalFormatting>
  <conditionalFormatting sqref="E850">
    <cfRule type="cellIs" rank="0" priority="1691" equalAverage="0" operator="greaterThan" aboveAverage="0" dxfId="8" text="" percent="0" bottom="0">
      <formula>0</formula>
    </cfRule>
  </conditionalFormatting>
  <conditionalFormatting sqref="D851">
    <cfRule type="cellIs" rank="0" priority="1692" equalAverage="0" operator="greaterThan" aboveAverage="0" dxfId="10" text="" percent="0" bottom="0">
      <formula>GecOdemeEsik</formula>
    </cfRule>
  </conditionalFormatting>
  <conditionalFormatting sqref="E851">
    <cfRule type="cellIs" rank="0" priority="1693" equalAverage="0" operator="greaterThan" aboveAverage="0" dxfId="8" text="" percent="0" bottom="0">
      <formula>0</formula>
    </cfRule>
  </conditionalFormatting>
  <conditionalFormatting sqref="D852">
    <cfRule type="cellIs" rank="0" priority="1694" equalAverage="0" operator="greaterThan" aboveAverage="0" dxfId="10" text="" percent="0" bottom="0">
      <formula>GecOdemeEsik</formula>
    </cfRule>
  </conditionalFormatting>
  <conditionalFormatting sqref="E852">
    <cfRule type="cellIs" rank="0" priority="1695" equalAverage="0" operator="greaterThan" aboveAverage="0" dxfId="8" text="" percent="0" bottom="0">
      <formula>0</formula>
    </cfRule>
  </conditionalFormatting>
  <conditionalFormatting sqref="D853">
    <cfRule type="cellIs" rank="0" priority="1696" equalAverage="0" operator="greaterThan" aboveAverage="0" dxfId="10" text="" percent="0" bottom="0">
      <formula>GecOdemeEsik</formula>
    </cfRule>
  </conditionalFormatting>
  <conditionalFormatting sqref="E853">
    <cfRule type="cellIs" rank="0" priority="1697" equalAverage="0" operator="greaterThan" aboveAverage="0" dxfId="8" text="" percent="0" bottom="0">
      <formula>0</formula>
    </cfRule>
  </conditionalFormatting>
  <conditionalFormatting sqref="D854">
    <cfRule type="cellIs" rank="0" priority="1698" equalAverage="0" operator="greaterThan" aboveAverage="0" dxfId="10" text="" percent="0" bottom="0">
      <formula>GecOdemeEsik</formula>
    </cfRule>
  </conditionalFormatting>
  <conditionalFormatting sqref="E854">
    <cfRule type="cellIs" rank="0" priority="1699" equalAverage="0" operator="greaterThan" aboveAverage="0" dxfId="8" text="" percent="0" bottom="0">
      <formula>0</formula>
    </cfRule>
  </conditionalFormatting>
  <conditionalFormatting sqref="D855">
    <cfRule type="cellIs" rank="0" priority="1700" equalAverage="0" operator="greaterThan" aboveAverage="0" dxfId="10" text="" percent="0" bottom="0">
      <formula>GecOdemeEsik</formula>
    </cfRule>
  </conditionalFormatting>
  <conditionalFormatting sqref="E855">
    <cfRule type="cellIs" rank="0" priority="1701" equalAverage="0" operator="greaterThan" aboveAverage="0" dxfId="8" text="" percent="0" bottom="0">
      <formula>0</formula>
    </cfRule>
  </conditionalFormatting>
  <conditionalFormatting sqref="D856">
    <cfRule type="cellIs" rank="0" priority="1702" equalAverage="0" operator="greaterThan" aboveAverage="0" dxfId="10" text="" percent="0" bottom="0">
      <formula>GecOdemeEsik</formula>
    </cfRule>
  </conditionalFormatting>
  <conditionalFormatting sqref="E856">
    <cfRule type="cellIs" rank="0" priority="1703" equalAverage="0" operator="greaterThan" aboveAverage="0" dxfId="8" text="" percent="0" bottom="0">
      <formula>0</formula>
    </cfRule>
  </conditionalFormatting>
  <conditionalFormatting sqref="D857">
    <cfRule type="cellIs" rank="0" priority="1704" equalAverage="0" operator="greaterThan" aboveAverage="0" dxfId="10" text="" percent="0" bottom="0">
      <formula>GecOdemeEsik</formula>
    </cfRule>
  </conditionalFormatting>
  <conditionalFormatting sqref="E857">
    <cfRule type="cellIs" rank="0" priority="1705" equalAverage="0" operator="greaterThan" aboveAverage="0" dxfId="8" text="" percent="0" bottom="0">
      <formula>0</formula>
    </cfRule>
  </conditionalFormatting>
  <conditionalFormatting sqref="D858">
    <cfRule type="cellIs" rank="0" priority="1706" equalAverage="0" operator="greaterThan" aboveAverage="0" dxfId="10" text="" percent="0" bottom="0">
      <formula>GecOdemeEsik</formula>
    </cfRule>
  </conditionalFormatting>
  <conditionalFormatting sqref="E858">
    <cfRule type="cellIs" rank="0" priority="1707" equalAverage="0" operator="greaterThan" aboveAverage="0" dxfId="8" text="" percent="0" bottom="0">
      <formula>0</formula>
    </cfRule>
  </conditionalFormatting>
  <conditionalFormatting sqref="D859">
    <cfRule type="cellIs" rank="0" priority="1708" equalAverage="0" operator="greaterThan" aboveAverage="0" dxfId="10" text="" percent="0" bottom="0">
      <formula>GecOdemeEsik</formula>
    </cfRule>
  </conditionalFormatting>
  <conditionalFormatting sqref="E859">
    <cfRule type="cellIs" rank="0" priority="1709" equalAverage="0" operator="greaterThan" aboveAverage="0" dxfId="8" text="" percent="0" bottom="0">
      <formula>0</formula>
    </cfRule>
  </conditionalFormatting>
  <conditionalFormatting sqref="D860">
    <cfRule type="cellIs" rank="0" priority="1710" equalAverage="0" operator="greaterThan" aboveAverage="0" dxfId="10" text="" percent="0" bottom="0">
      <formula>GecOdemeEsik</formula>
    </cfRule>
  </conditionalFormatting>
  <conditionalFormatting sqref="E860">
    <cfRule type="cellIs" rank="0" priority="1711" equalAverage="0" operator="greaterThan" aboveAverage="0" dxfId="8" text="" percent="0" bottom="0">
      <formula>0</formula>
    </cfRule>
  </conditionalFormatting>
  <conditionalFormatting sqref="D861">
    <cfRule type="cellIs" rank="0" priority="1712" equalAverage="0" operator="greaterThan" aboveAverage="0" dxfId="10" text="" percent="0" bottom="0">
      <formula>GecOdemeEsik</formula>
    </cfRule>
  </conditionalFormatting>
  <conditionalFormatting sqref="E861">
    <cfRule type="cellIs" rank="0" priority="1713" equalAverage="0" operator="greaterThan" aboveAverage="0" dxfId="8" text="" percent="0" bottom="0">
      <formula>0</formula>
    </cfRule>
  </conditionalFormatting>
  <conditionalFormatting sqref="D862">
    <cfRule type="cellIs" rank="0" priority="1714" equalAverage="0" operator="greaterThan" aboveAverage="0" dxfId="10" text="" percent="0" bottom="0">
      <formula>GecOdemeEsik</formula>
    </cfRule>
  </conditionalFormatting>
  <conditionalFormatting sqref="E862">
    <cfRule type="cellIs" rank="0" priority="1715" equalAverage="0" operator="greaterThan" aboveAverage="0" dxfId="8" text="" percent="0" bottom="0">
      <formula>0</formula>
    </cfRule>
  </conditionalFormatting>
  <conditionalFormatting sqref="D863">
    <cfRule type="cellIs" rank="0" priority="1716" equalAverage="0" operator="greaterThan" aboveAverage="0" dxfId="10" text="" percent="0" bottom="0">
      <formula>GecOdemeEsik</formula>
    </cfRule>
  </conditionalFormatting>
  <conditionalFormatting sqref="E863">
    <cfRule type="cellIs" rank="0" priority="1717" equalAverage="0" operator="greaterThan" aboveAverage="0" dxfId="8" text="" percent="0" bottom="0">
      <formula>0</formula>
    </cfRule>
  </conditionalFormatting>
  <conditionalFormatting sqref="D864">
    <cfRule type="cellIs" rank="0" priority="1718" equalAverage="0" operator="greaterThan" aboveAverage="0" dxfId="10" text="" percent="0" bottom="0">
      <formula>GecOdemeEsik</formula>
    </cfRule>
  </conditionalFormatting>
  <conditionalFormatting sqref="E864">
    <cfRule type="cellIs" rank="0" priority="1719" equalAverage="0" operator="greaterThan" aboveAverage="0" dxfId="8" text="" percent="0" bottom="0">
      <formula>0</formula>
    </cfRule>
  </conditionalFormatting>
  <conditionalFormatting sqref="D865">
    <cfRule type="cellIs" rank="0" priority="1720" equalAverage="0" operator="greaterThan" aboveAverage="0" dxfId="10" text="" percent="0" bottom="0">
      <formula>GecOdemeEsik</formula>
    </cfRule>
  </conditionalFormatting>
  <conditionalFormatting sqref="E865">
    <cfRule type="cellIs" rank="0" priority="1721" equalAverage="0" operator="greaterThan" aboveAverage="0" dxfId="8" text="" percent="0" bottom="0">
      <formula>0</formula>
    </cfRule>
  </conditionalFormatting>
  <conditionalFormatting sqref="D866">
    <cfRule type="cellIs" rank="0" priority="1722" equalAverage="0" operator="greaterThan" aboveAverage="0" dxfId="10" text="" percent="0" bottom="0">
      <formula>GecOdemeEsik</formula>
    </cfRule>
  </conditionalFormatting>
  <conditionalFormatting sqref="E866">
    <cfRule type="cellIs" rank="0" priority="1723" equalAverage="0" operator="greaterThan" aboveAverage="0" dxfId="8" text="" percent="0" bottom="0">
      <formula>0</formula>
    </cfRule>
  </conditionalFormatting>
  <conditionalFormatting sqref="D867">
    <cfRule type="cellIs" rank="0" priority="1724" equalAverage="0" operator="greaterThan" aboveAverage="0" dxfId="10" text="" percent="0" bottom="0">
      <formula>GecOdemeEsik</formula>
    </cfRule>
  </conditionalFormatting>
  <conditionalFormatting sqref="E867">
    <cfRule type="cellIs" rank="0" priority="1725" equalAverage="0" operator="greaterThan" aboveAverage="0" dxfId="8" text="" percent="0" bottom="0">
      <formula>0</formula>
    </cfRule>
  </conditionalFormatting>
  <conditionalFormatting sqref="D868">
    <cfRule type="cellIs" rank="0" priority="1726" equalAverage="0" operator="greaterThan" aboveAverage="0" dxfId="10" text="" percent="0" bottom="0">
      <formula>GecOdemeEsik</formula>
    </cfRule>
  </conditionalFormatting>
  <conditionalFormatting sqref="E868">
    <cfRule type="cellIs" rank="0" priority="1727" equalAverage="0" operator="greaterThan" aboveAverage="0" dxfId="8" text="" percent="0" bottom="0">
      <formula>0</formula>
    </cfRule>
  </conditionalFormatting>
  <conditionalFormatting sqref="D869">
    <cfRule type="cellIs" rank="0" priority="1728" equalAverage="0" operator="greaterThan" aboveAverage="0" dxfId="10" text="" percent="0" bottom="0">
      <formula>GecOdemeEsik</formula>
    </cfRule>
  </conditionalFormatting>
  <conditionalFormatting sqref="E869">
    <cfRule type="cellIs" rank="0" priority="1729" equalAverage="0" operator="greaterThan" aboveAverage="0" dxfId="8" text="" percent="0" bottom="0">
      <formula>0</formula>
    </cfRule>
  </conditionalFormatting>
  <conditionalFormatting sqref="D870">
    <cfRule type="cellIs" rank="0" priority="1730" equalAverage="0" operator="greaterThan" aboveAverage="0" dxfId="10" text="" percent="0" bottom="0">
      <formula>GecOdemeEsik</formula>
    </cfRule>
  </conditionalFormatting>
  <conditionalFormatting sqref="E870">
    <cfRule type="cellIs" rank="0" priority="1731" equalAverage="0" operator="greaterThan" aboveAverage="0" dxfId="8" text="" percent="0" bottom="0">
      <formula>0</formula>
    </cfRule>
  </conditionalFormatting>
  <conditionalFormatting sqref="D871">
    <cfRule type="cellIs" rank="0" priority="1732" equalAverage="0" operator="greaterThan" aboveAverage="0" dxfId="10" text="" percent="0" bottom="0">
      <formula>GecOdemeEsik</formula>
    </cfRule>
  </conditionalFormatting>
  <conditionalFormatting sqref="E871">
    <cfRule type="cellIs" rank="0" priority="1733" equalAverage="0" operator="greaterThan" aboveAverage="0" dxfId="8" text="" percent="0" bottom="0">
      <formula>0</formula>
    </cfRule>
  </conditionalFormatting>
  <conditionalFormatting sqref="D872">
    <cfRule type="cellIs" rank="0" priority="1734" equalAverage="0" operator="greaterThan" aboveAverage="0" dxfId="10" text="" percent="0" bottom="0">
      <formula>GecOdemeEsik</formula>
    </cfRule>
  </conditionalFormatting>
  <conditionalFormatting sqref="E872">
    <cfRule type="cellIs" rank="0" priority="1735" equalAverage="0" operator="greaterThan" aboveAverage="0" dxfId="8" text="" percent="0" bottom="0">
      <formula>0</formula>
    </cfRule>
  </conditionalFormatting>
  <conditionalFormatting sqref="D873">
    <cfRule type="cellIs" rank="0" priority="1736" equalAverage="0" operator="greaterThan" aboveAverage="0" dxfId="10" text="" percent="0" bottom="0">
      <formula>GecOdemeEsik</formula>
    </cfRule>
  </conditionalFormatting>
  <conditionalFormatting sqref="E873">
    <cfRule type="cellIs" rank="0" priority="1737" equalAverage="0" operator="greaterThan" aboveAverage="0" dxfId="8" text="" percent="0" bottom="0">
      <formula>0</formula>
    </cfRule>
  </conditionalFormatting>
  <conditionalFormatting sqref="D874">
    <cfRule type="cellIs" rank="0" priority="1738" equalAverage="0" operator="greaterThan" aboveAverage="0" dxfId="10" text="" percent="0" bottom="0">
      <formula>GecOdemeEsik</formula>
    </cfRule>
  </conditionalFormatting>
  <conditionalFormatting sqref="E874">
    <cfRule type="cellIs" rank="0" priority="1739" equalAverage="0" operator="greaterThan" aboveAverage="0" dxfId="8" text="" percent="0" bottom="0">
      <formula>0</formula>
    </cfRule>
  </conditionalFormatting>
  <conditionalFormatting sqref="D875">
    <cfRule type="cellIs" rank="0" priority="1740" equalAverage="0" operator="greaterThan" aboveAverage="0" dxfId="10" text="" percent="0" bottom="0">
      <formula>GecOdemeEsik</formula>
    </cfRule>
  </conditionalFormatting>
  <conditionalFormatting sqref="E875">
    <cfRule type="cellIs" rank="0" priority="1741" equalAverage="0" operator="greaterThan" aboveAverage="0" dxfId="8" text="" percent="0" bottom="0">
      <formula>0</formula>
    </cfRule>
  </conditionalFormatting>
  <conditionalFormatting sqref="D876">
    <cfRule type="cellIs" rank="0" priority="1742" equalAverage="0" operator="greaterThan" aboveAverage="0" dxfId="10" text="" percent="0" bottom="0">
      <formula>GecOdemeEsik</formula>
    </cfRule>
  </conditionalFormatting>
  <conditionalFormatting sqref="E876">
    <cfRule type="cellIs" rank="0" priority="1743" equalAverage="0" operator="greaterThan" aboveAverage="0" dxfId="8" text="" percent="0" bottom="0">
      <formula>0</formula>
    </cfRule>
  </conditionalFormatting>
  <conditionalFormatting sqref="D877">
    <cfRule type="cellIs" rank="0" priority="1744" equalAverage="0" operator="greaterThan" aboveAverage="0" dxfId="10" text="" percent="0" bottom="0">
      <formula>GecOdemeEsik</formula>
    </cfRule>
  </conditionalFormatting>
  <conditionalFormatting sqref="E877">
    <cfRule type="cellIs" rank="0" priority="1745" equalAverage="0" operator="greaterThan" aboveAverage="0" dxfId="8" text="" percent="0" bottom="0">
      <formula>0</formula>
    </cfRule>
  </conditionalFormatting>
  <conditionalFormatting sqref="D878">
    <cfRule type="cellIs" rank="0" priority="1746" equalAverage="0" operator="greaterThan" aboveAverage="0" dxfId="10" text="" percent="0" bottom="0">
      <formula>GecOdemeEsik</formula>
    </cfRule>
  </conditionalFormatting>
  <conditionalFormatting sqref="E878">
    <cfRule type="cellIs" rank="0" priority="1747" equalAverage="0" operator="greaterThan" aboveAverage="0" dxfId="8" text="" percent="0" bottom="0">
      <formula>0</formula>
    </cfRule>
  </conditionalFormatting>
  <conditionalFormatting sqref="D879">
    <cfRule type="cellIs" rank="0" priority="1748" equalAverage="0" operator="greaterThan" aboveAverage="0" dxfId="10" text="" percent="0" bottom="0">
      <formula>GecOdemeEsik</formula>
    </cfRule>
  </conditionalFormatting>
  <conditionalFormatting sqref="E879">
    <cfRule type="cellIs" rank="0" priority="1749" equalAverage="0" operator="greaterThan" aboveAverage="0" dxfId="8" text="" percent="0" bottom="0">
      <formula>0</formula>
    </cfRule>
  </conditionalFormatting>
  <conditionalFormatting sqref="D880">
    <cfRule type="cellIs" rank="0" priority="1750" equalAverage="0" operator="greaterThan" aboveAverage="0" dxfId="10" text="" percent="0" bottom="0">
      <formula>GecOdemeEsik</formula>
    </cfRule>
  </conditionalFormatting>
  <conditionalFormatting sqref="E880">
    <cfRule type="cellIs" rank="0" priority="1751" equalAverage="0" operator="greaterThan" aboveAverage="0" dxfId="8" text="" percent="0" bottom="0">
      <formula>0</formula>
    </cfRule>
  </conditionalFormatting>
  <conditionalFormatting sqref="D881">
    <cfRule type="cellIs" rank="0" priority="1752" equalAverage="0" operator="greaterThan" aboveAverage="0" dxfId="10" text="" percent="0" bottom="0">
      <formula>GecOdemeEsik</formula>
    </cfRule>
  </conditionalFormatting>
  <conditionalFormatting sqref="E881">
    <cfRule type="cellIs" rank="0" priority="1753" equalAverage="0" operator="greaterThan" aboveAverage="0" dxfId="8" text="" percent="0" bottom="0">
      <formula>0</formula>
    </cfRule>
  </conditionalFormatting>
  <conditionalFormatting sqref="D882">
    <cfRule type="cellIs" rank="0" priority="1754" equalAverage="0" operator="greaterThan" aboveAverage="0" dxfId="10" text="" percent="0" bottom="0">
      <formula>GecOdemeEsik</formula>
    </cfRule>
  </conditionalFormatting>
  <conditionalFormatting sqref="E882">
    <cfRule type="cellIs" rank="0" priority="1755" equalAverage="0" operator="greaterThan" aboveAverage="0" dxfId="8" text="" percent="0" bottom="0">
      <formula>0</formula>
    </cfRule>
  </conditionalFormatting>
  <conditionalFormatting sqref="D883">
    <cfRule type="cellIs" rank="0" priority="1756" equalAverage="0" operator="greaterThan" aboveAverage="0" dxfId="10" text="" percent="0" bottom="0">
      <formula>GecOdemeEsik</formula>
    </cfRule>
  </conditionalFormatting>
  <conditionalFormatting sqref="E883">
    <cfRule type="cellIs" rank="0" priority="1757" equalAverage="0" operator="greaterThan" aboveAverage="0" dxfId="8" text="" percent="0" bottom="0">
      <formula>0</formula>
    </cfRule>
  </conditionalFormatting>
  <conditionalFormatting sqref="D884">
    <cfRule type="cellIs" rank="0" priority="1758" equalAverage="0" operator="greaterThan" aboveAverage="0" dxfId="10" text="" percent="0" bottom="0">
      <formula>GecOdemeEsik</formula>
    </cfRule>
  </conditionalFormatting>
  <conditionalFormatting sqref="E884">
    <cfRule type="cellIs" rank="0" priority="1759" equalAverage="0" operator="greaterThan" aboveAverage="0" dxfId="8" text="" percent="0" bottom="0">
      <formula>0</formula>
    </cfRule>
  </conditionalFormatting>
  <conditionalFormatting sqref="D885">
    <cfRule type="cellIs" rank="0" priority="1760" equalAverage="0" operator="greaterThan" aboveAverage="0" dxfId="10" text="" percent="0" bottom="0">
      <formula>GecOdemeEsik</formula>
    </cfRule>
  </conditionalFormatting>
  <conditionalFormatting sqref="E885">
    <cfRule type="cellIs" rank="0" priority="1761" equalAverage="0" operator="greaterThan" aboveAverage="0" dxfId="8" text="" percent="0" bottom="0">
      <formula>0</formula>
    </cfRule>
  </conditionalFormatting>
  <conditionalFormatting sqref="D886">
    <cfRule type="cellIs" rank="0" priority="1762" equalAverage="0" operator="greaterThan" aboveAverage="0" dxfId="10" text="" percent="0" bottom="0">
      <formula>GecOdemeEsik</formula>
    </cfRule>
  </conditionalFormatting>
  <conditionalFormatting sqref="E886">
    <cfRule type="cellIs" rank="0" priority="1763" equalAverage="0" operator="greaterThan" aboveAverage="0" dxfId="8" text="" percent="0" bottom="0">
      <formula>0</formula>
    </cfRule>
  </conditionalFormatting>
  <conditionalFormatting sqref="D887">
    <cfRule type="cellIs" rank="0" priority="1764" equalAverage="0" operator="greaterThan" aboveAverage="0" dxfId="10" text="" percent="0" bottom="0">
      <formula>GecOdemeEsik</formula>
    </cfRule>
  </conditionalFormatting>
  <conditionalFormatting sqref="E887">
    <cfRule type="cellIs" rank="0" priority="1765" equalAverage="0" operator="greaterThan" aboveAverage="0" dxfId="8" text="" percent="0" bottom="0">
      <formula>0</formula>
    </cfRule>
  </conditionalFormatting>
  <conditionalFormatting sqref="D888">
    <cfRule type="cellIs" rank="0" priority="1766" equalAverage="0" operator="greaterThan" aboveAverage="0" dxfId="10" text="" percent="0" bottom="0">
      <formula>GecOdemeEsik</formula>
    </cfRule>
  </conditionalFormatting>
  <conditionalFormatting sqref="E888">
    <cfRule type="cellIs" rank="0" priority="1767" equalAverage="0" operator="greaterThan" aboveAverage="0" dxfId="8" text="" percent="0" bottom="0">
      <formula>0</formula>
    </cfRule>
  </conditionalFormatting>
  <conditionalFormatting sqref="D889">
    <cfRule type="cellIs" rank="0" priority="1768" equalAverage="0" operator="greaterThan" aboveAverage="0" dxfId="10" text="" percent="0" bottom="0">
      <formula>GecOdemeEsik</formula>
    </cfRule>
  </conditionalFormatting>
  <conditionalFormatting sqref="E889">
    <cfRule type="cellIs" rank="0" priority="1769" equalAverage="0" operator="greaterThan" aboveAverage="0" dxfId="8" text="" percent="0" bottom="0">
      <formula>0</formula>
    </cfRule>
  </conditionalFormatting>
  <conditionalFormatting sqref="D890">
    <cfRule type="cellIs" rank="0" priority="1770" equalAverage="0" operator="greaterThan" aboveAverage="0" dxfId="10" text="" percent="0" bottom="0">
      <formula>GecOdemeEsik</formula>
    </cfRule>
  </conditionalFormatting>
  <conditionalFormatting sqref="E890">
    <cfRule type="cellIs" rank="0" priority="1771" equalAverage="0" operator="greaterThan" aboveAverage="0" dxfId="8" text="" percent="0" bottom="0">
      <formula>0</formula>
    </cfRule>
  </conditionalFormatting>
  <conditionalFormatting sqref="D891">
    <cfRule type="cellIs" rank="0" priority="1772" equalAverage="0" operator="greaterThan" aboveAverage="0" dxfId="10" text="" percent="0" bottom="0">
      <formula>GecOdemeEsik</formula>
    </cfRule>
  </conditionalFormatting>
  <conditionalFormatting sqref="E891">
    <cfRule type="cellIs" rank="0" priority="1773" equalAverage="0" operator="greaterThan" aboveAverage="0" dxfId="8" text="" percent="0" bottom="0">
      <formula>0</formula>
    </cfRule>
  </conditionalFormatting>
  <conditionalFormatting sqref="D892">
    <cfRule type="cellIs" rank="0" priority="1774" equalAverage="0" operator="greaterThan" aboveAverage="0" dxfId="10" text="" percent="0" bottom="0">
      <formula>GecOdemeEsik</formula>
    </cfRule>
  </conditionalFormatting>
  <conditionalFormatting sqref="E892">
    <cfRule type="cellIs" rank="0" priority="1775" equalAverage="0" operator="greaterThan" aboveAverage="0" dxfId="8" text="" percent="0" bottom="0">
      <formula>0</formula>
    </cfRule>
  </conditionalFormatting>
  <conditionalFormatting sqref="D893">
    <cfRule type="cellIs" rank="0" priority="1776" equalAverage="0" operator="greaterThan" aboveAverage="0" dxfId="10" text="" percent="0" bottom="0">
      <formula>GecOdemeEsik</formula>
    </cfRule>
  </conditionalFormatting>
  <conditionalFormatting sqref="E893">
    <cfRule type="cellIs" rank="0" priority="1777" equalAverage="0" operator="greaterThan" aboveAverage="0" dxfId="8" text="" percent="0" bottom="0">
      <formula>0</formula>
    </cfRule>
  </conditionalFormatting>
  <conditionalFormatting sqref="D894">
    <cfRule type="cellIs" rank="0" priority="1778" equalAverage="0" operator="greaterThan" aboveAverage="0" dxfId="10" text="" percent="0" bottom="0">
      <formula>GecOdemeEsik</formula>
    </cfRule>
  </conditionalFormatting>
  <conditionalFormatting sqref="E894">
    <cfRule type="cellIs" rank="0" priority="1779" equalAverage="0" operator="greaterThan" aboveAverage="0" dxfId="8" text="" percent="0" bottom="0">
      <formula>0</formula>
    </cfRule>
  </conditionalFormatting>
  <conditionalFormatting sqref="D895">
    <cfRule type="cellIs" rank="0" priority="1780" equalAverage="0" operator="greaterThan" aboveAverage="0" dxfId="10" text="" percent="0" bottom="0">
      <formula>GecOdemeEsik</formula>
    </cfRule>
  </conditionalFormatting>
  <conditionalFormatting sqref="E895">
    <cfRule type="cellIs" rank="0" priority="1781" equalAverage="0" operator="greaterThan" aboveAverage="0" dxfId="8" text="" percent="0" bottom="0">
      <formula>0</formula>
    </cfRule>
  </conditionalFormatting>
  <conditionalFormatting sqref="D896">
    <cfRule type="cellIs" rank="0" priority="1782" equalAverage="0" operator="greaterThan" aboveAverage="0" dxfId="10" text="" percent="0" bottom="0">
      <formula>GecOdemeEsik</formula>
    </cfRule>
  </conditionalFormatting>
  <conditionalFormatting sqref="E896">
    <cfRule type="cellIs" rank="0" priority="1783" equalAverage="0" operator="greaterThan" aboveAverage="0" dxfId="8" text="" percent="0" bottom="0">
      <formula>0</formula>
    </cfRule>
  </conditionalFormatting>
  <conditionalFormatting sqref="D897">
    <cfRule type="cellIs" rank="0" priority="1784" equalAverage="0" operator="greaterThan" aboveAverage="0" dxfId="10" text="" percent="0" bottom="0">
      <formula>GecOdemeEsik</formula>
    </cfRule>
  </conditionalFormatting>
  <conditionalFormatting sqref="E897">
    <cfRule type="cellIs" rank="0" priority="1785" equalAverage="0" operator="greaterThan" aboveAverage="0" dxfId="8" text="" percent="0" bottom="0">
      <formula>0</formula>
    </cfRule>
  </conditionalFormatting>
  <conditionalFormatting sqref="D898">
    <cfRule type="cellIs" rank="0" priority="1786" equalAverage="0" operator="greaterThan" aboveAverage="0" dxfId="10" text="" percent="0" bottom="0">
      <formula>GecOdemeEsik</formula>
    </cfRule>
  </conditionalFormatting>
  <conditionalFormatting sqref="E898">
    <cfRule type="cellIs" rank="0" priority="1787" equalAverage="0" operator="greaterThan" aboveAverage="0" dxfId="8" text="" percent="0" bottom="0">
      <formula>0</formula>
    </cfRule>
  </conditionalFormatting>
  <conditionalFormatting sqref="D899">
    <cfRule type="cellIs" rank="0" priority="1788" equalAverage="0" operator="greaterThan" aboveAverage="0" dxfId="10" text="" percent="0" bottom="0">
      <formula>GecOdemeEsik</formula>
    </cfRule>
  </conditionalFormatting>
  <conditionalFormatting sqref="E899">
    <cfRule type="cellIs" rank="0" priority="1789" equalAverage="0" operator="greaterThan" aboveAverage="0" dxfId="8" text="" percent="0" bottom="0">
      <formula>0</formula>
    </cfRule>
  </conditionalFormatting>
  <conditionalFormatting sqref="D900">
    <cfRule type="cellIs" rank="0" priority="1790" equalAverage="0" operator="greaterThan" aboveAverage="0" dxfId="10" text="" percent="0" bottom="0">
      <formula>GecOdemeEsik</formula>
    </cfRule>
  </conditionalFormatting>
  <conditionalFormatting sqref="E900">
    <cfRule type="cellIs" rank="0" priority="1791" equalAverage="0" operator="greaterThan" aboveAverage="0" dxfId="8" text="" percent="0" bottom="0">
      <formula>0</formula>
    </cfRule>
  </conditionalFormatting>
  <conditionalFormatting sqref="D901">
    <cfRule type="cellIs" rank="0" priority="1792" equalAverage="0" operator="greaterThan" aboveAverage="0" dxfId="10" text="" percent="0" bottom="0">
      <formula>GecOdemeEsik</formula>
    </cfRule>
  </conditionalFormatting>
  <conditionalFormatting sqref="E901">
    <cfRule type="cellIs" rank="0" priority="1793" equalAverage="0" operator="greaterThan" aboveAverage="0" dxfId="8" text="" percent="0" bottom="0">
      <formula>0</formula>
    </cfRule>
  </conditionalFormatting>
  <conditionalFormatting sqref="D902">
    <cfRule type="cellIs" rank="0" priority="1794" equalAverage="0" operator="greaterThan" aboveAverage="0" dxfId="10" text="" percent="0" bottom="0">
      <formula>GecOdemeEsik</formula>
    </cfRule>
  </conditionalFormatting>
  <conditionalFormatting sqref="E902">
    <cfRule type="cellIs" rank="0" priority="1795" equalAverage="0" operator="greaterThan" aboveAverage="0" dxfId="8" text="" percent="0" bottom="0">
      <formula>0</formula>
    </cfRule>
  </conditionalFormatting>
  <conditionalFormatting sqref="D903">
    <cfRule type="cellIs" rank="0" priority="1796" equalAverage="0" operator="greaterThan" aboveAverage="0" dxfId="10" text="" percent="0" bottom="0">
      <formula>GecOdemeEsik</formula>
    </cfRule>
  </conditionalFormatting>
  <conditionalFormatting sqref="E903">
    <cfRule type="cellIs" rank="0" priority="1797" equalAverage="0" operator="greaterThan" aboveAverage="0" dxfId="8" text="" percent="0" bottom="0">
      <formula>0</formula>
    </cfRule>
  </conditionalFormatting>
  <conditionalFormatting sqref="D904">
    <cfRule type="cellIs" rank="0" priority="1798" equalAverage="0" operator="greaterThan" aboveAverage="0" dxfId="10" text="" percent="0" bottom="0">
      <formula>GecOdemeEsik</formula>
    </cfRule>
  </conditionalFormatting>
  <conditionalFormatting sqref="E904">
    <cfRule type="cellIs" rank="0" priority="1799" equalAverage="0" operator="greaterThan" aboveAverage="0" dxfId="8" text="" percent="0" bottom="0">
      <formula>0</formula>
    </cfRule>
  </conditionalFormatting>
  <conditionalFormatting sqref="D905">
    <cfRule type="cellIs" rank="0" priority="1800" equalAverage="0" operator="greaterThan" aboveAverage="0" dxfId="10" text="" percent="0" bottom="0">
      <formula>GecOdemeEsik</formula>
    </cfRule>
  </conditionalFormatting>
  <conditionalFormatting sqref="E905">
    <cfRule type="cellIs" rank="0" priority="1801" equalAverage="0" operator="greaterThan" aboveAverage="0" dxfId="8" text="" percent="0" bottom="0">
      <formula>0</formula>
    </cfRule>
  </conditionalFormatting>
  <conditionalFormatting sqref="D906">
    <cfRule type="cellIs" rank="0" priority="1802" equalAverage="0" operator="greaterThan" aboveAverage="0" dxfId="10" text="" percent="0" bottom="0">
      <formula>GecOdemeEsik</formula>
    </cfRule>
  </conditionalFormatting>
  <conditionalFormatting sqref="E906">
    <cfRule type="cellIs" rank="0" priority="1803" equalAverage="0" operator="greaterThan" aboveAverage="0" dxfId="8" text="" percent="0" bottom="0">
      <formula>0</formula>
    </cfRule>
  </conditionalFormatting>
  <conditionalFormatting sqref="D907">
    <cfRule type="cellIs" rank="0" priority="1804" equalAverage="0" operator="greaterThan" aboveAverage="0" dxfId="10" text="" percent="0" bottom="0">
      <formula>GecOdemeEsik</formula>
    </cfRule>
  </conditionalFormatting>
  <conditionalFormatting sqref="E907">
    <cfRule type="cellIs" rank="0" priority="1805" equalAverage="0" operator="greaterThan" aboveAverage="0" dxfId="8" text="" percent="0" bottom="0">
      <formula>0</formula>
    </cfRule>
  </conditionalFormatting>
  <conditionalFormatting sqref="D908">
    <cfRule type="cellIs" rank="0" priority="1806" equalAverage="0" operator="greaterThan" aboveAverage="0" dxfId="10" text="" percent="0" bottom="0">
      <formula>GecOdemeEsik</formula>
    </cfRule>
  </conditionalFormatting>
  <conditionalFormatting sqref="E908">
    <cfRule type="cellIs" rank="0" priority="1807" equalAverage="0" operator="greaterThan" aboveAverage="0" dxfId="8" text="" percent="0" bottom="0">
      <formula>0</formula>
    </cfRule>
  </conditionalFormatting>
  <conditionalFormatting sqref="D909">
    <cfRule type="cellIs" rank="0" priority="1808" equalAverage="0" operator="greaterThan" aboveAverage="0" dxfId="10" text="" percent="0" bottom="0">
      <formula>GecOdemeEsik</formula>
    </cfRule>
  </conditionalFormatting>
  <conditionalFormatting sqref="E909">
    <cfRule type="cellIs" rank="0" priority="1809" equalAverage="0" operator="greaterThan" aboveAverage="0" dxfId="8" text="" percent="0" bottom="0">
      <formula>0</formula>
    </cfRule>
  </conditionalFormatting>
  <conditionalFormatting sqref="D910">
    <cfRule type="cellIs" rank="0" priority="1810" equalAverage="0" operator="greaterThan" aboveAverage="0" dxfId="10" text="" percent="0" bottom="0">
      <formula>GecOdemeEsik</formula>
    </cfRule>
  </conditionalFormatting>
  <conditionalFormatting sqref="E910">
    <cfRule type="cellIs" rank="0" priority="1811" equalAverage="0" operator="greaterThan" aboveAverage="0" dxfId="8" text="" percent="0" bottom="0">
      <formula>0</formula>
    </cfRule>
  </conditionalFormatting>
  <conditionalFormatting sqref="D911">
    <cfRule type="cellIs" rank="0" priority="1812" equalAverage="0" operator="greaterThan" aboveAverage="0" dxfId="10" text="" percent="0" bottom="0">
      <formula>GecOdemeEsik</formula>
    </cfRule>
  </conditionalFormatting>
  <conditionalFormatting sqref="E911">
    <cfRule type="cellIs" rank="0" priority="1813" equalAverage="0" operator="greaterThan" aboveAverage="0" dxfId="8" text="" percent="0" bottom="0">
      <formula>0</formula>
    </cfRule>
  </conditionalFormatting>
  <conditionalFormatting sqref="D912">
    <cfRule type="cellIs" rank="0" priority="1814" equalAverage="0" operator="greaterThan" aboveAverage="0" dxfId="10" text="" percent="0" bottom="0">
      <formula>GecOdemeEsik</formula>
    </cfRule>
  </conditionalFormatting>
  <conditionalFormatting sqref="E912">
    <cfRule type="cellIs" rank="0" priority="1815" equalAverage="0" operator="greaterThan" aboveAverage="0" dxfId="8" text="" percent="0" bottom="0">
      <formula>0</formula>
    </cfRule>
  </conditionalFormatting>
  <conditionalFormatting sqref="D913">
    <cfRule type="cellIs" rank="0" priority="1816" equalAverage="0" operator="greaterThan" aboveAverage="0" dxfId="10" text="" percent="0" bottom="0">
      <formula>GecOdemeEsik</formula>
    </cfRule>
  </conditionalFormatting>
  <conditionalFormatting sqref="E913">
    <cfRule type="cellIs" rank="0" priority="1817" equalAverage="0" operator="greaterThan" aboveAverage="0" dxfId="8" text="" percent="0" bottom="0">
      <formula>0</formula>
    </cfRule>
  </conditionalFormatting>
  <conditionalFormatting sqref="D914">
    <cfRule type="cellIs" rank="0" priority="1818" equalAverage="0" operator="greaterThan" aboveAverage="0" dxfId="10" text="" percent="0" bottom="0">
      <formula>GecOdemeEsik</formula>
    </cfRule>
  </conditionalFormatting>
  <conditionalFormatting sqref="E914">
    <cfRule type="cellIs" rank="0" priority="1819" equalAverage="0" operator="greaterThan" aboveAverage="0" dxfId="8" text="" percent="0" bottom="0">
      <formula>0</formula>
    </cfRule>
  </conditionalFormatting>
  <conditionalFormatting sqref="D915">
    <cfRule type="cellIs" rank="0" priority="1820" equalAverage="0" operator="greaterThan" aboveAverage="0" dxfId="10" text="" percent="0" bottom="0">
      <formula>GecOdemeEsik</formula>
    </cfRule>
  </conditionalFormatting>
  <conditionalFormatting sqref="E915">
    <cfRule type="cellIs" rank="0" priority="1821" equalAverage="0" operator="greaterThan" aboveAverage="0" dxfId="8" text="" percent="0" bottom="0">
      <formula>0</formula>
    </cfRule>
  </conditionalFormatting>
  <conditionalFormatting sqref="D916">
    <cfRule type="cellIs" rank="0" priority="1822" equalAverage="0" operator="greaterThan" aboveAverage="0" dxfId="10" text="" percent="0" bottom="0">
      <formula>GecOdemeEsik</formula>
    </cfRule>
  </conditionalFormatting>
  <conditionalFormatting sqref="E916">
    <cfRule type="cellIs" rank="0" priority="1823" equalAverage="0" operator="greaterThan" aboveAverage="0" dxfId="8" text="" percent="0" bottom="0">
      <formula>0</formula>
    </cfRule>
  </conditionalFormatting>
  <conditionalFormatting sqref="D917">
    <cfRule type="cellIs" rank="0" priority="1824" equalAverage="0" operator="greaterThan" aboveAverage="0" dxfId="10" text="" percent="0" bottom="0">
      <formula>GecOdemeEsik</formula>
    </cfRule>
  </conditionalFormatting>
  <conditionalFormatting sqref="E917">
    <cfRule type="cellIs" rank="0" priority="1825" equalAverage="0" operator="greaterThan" aboveAverage="0" dxfId="8" text="" percent="0" bottom="0">
      <formula>0</formula>
    </cfRule>
  </conditionalFormatting>
  <conditionalFormatting sqref="D918">
    <cfRule type="cellIs" rank="0" priority="1826" equalAverage="0" operator="greaterThan" aboveAverage="0" dxfId="10" text="" percent="0" bottom="0">
      <formula>GecOdemeEsik</formula>
    </cfRule>
  </conditionalFormatting>
  <conditionalFormatting sqref="E918">
    <cfRule type="cellIs" rank="0" priority="1827" equalAverage="0" operator="greaterThan" aboveAverage="0" dxfId="8" text="" percent="0" bottom="0">
      <formula>0</formula>
    </cfRule>
  </conditionalFormatting>
  <conditionalFormatting sqref="D919">
    <cfRule type="cellIs" rank="0" priority="1828" equalAverage="0" operator="greaterThan" aboveAverage="0" dxfId="10" text="" percent="0" bottom="0">
      <formula>GecOdemeEsik</formula>
    </cfRule>
  </conditionalFormatting>
  <conditionalFormatting sqref="E919">
    <cfRule type="cellIs" rank="0" priority="1829" equalAverage="0" operator="greaterThan" aboveAverage="0" dxfId="8" text="" percent="0" bottom="0">
      <formula>0</formula>
    </cfRule>
  </conditionalFormatting>
  <conditionalFormatting sqref="D920">
    <cfRule type="cellIs" rank="0" priority="1830" equalAverage="0" operator="greaterThan" aboveAverage="0" dxfId="10" text="" percent="0" bottom="0">
      <formula>GecOdemeEsik</formula>
    </cfRule>
  </conditionalFormatting>
  <conditionalFormatting sqref="E920">
    <cfRule type="cellIs" rank="0" priority="1831" equalAverage="0" operator="greaterThan" aboveAverage="0" dxfId="8" text="" percent="0" bottom="0">
      <formula>0</formula>
    </cfRule>
  </conditionalFormatting>
  <conditionalFormatting sqref="D921">
    <cfRule type="cellIs" rank="0" priority="1832" equalAverage="0" operator="greaterThan" aboveAverage="0" dxfId="10" text="" percent="0" bottom="0">
      <formula>GecOdemeEsik</formula>
    </cfRule>
  </conditionalFormatting>
  <conditionalFormatting sqref="E921">
    <cfRule type="cellIs" rank="0" priority="1833" equalAverage="0" operator="greaterThan" aboveAverage="0" dxfId="8" text="" percent="0" bottom="0">
      <formula>0</formula>
    </cfRule>
  </conditionalFormatting>
  <conditionalFormatting sqref="D922">
    <cfRule type="cellIs" rank="0" priority="1834" equalAverage="0" operator="greaterThan" aboveAverage="0" dxfId="10" text="" percent="0" bottom="0">
      <formula>GecOdemeEsik</formula>
    </cfRule>
  </conditionalFormatting>
  <conditionalFormatting sqref="E922">
    <cfRule type="cellIs" rank="0" priority="1835" equalAverage="0" operator="greaterThan" aboveAverage="0" dxfId="8" text="" percent="0" bottom="0">
      <formula>0</formula>
    </cfRule>
  </conditionalFormatting>
  <conditionalFormatting sqref="D923">
    <cfRule type="cellIs" rank="0" priority="1836" equalAverage="0" operator="greaterThan" aboveAverage="0" dxfId="10" text="" percent="0" bottom="0">
      <formula>GecOdemeEsik</formula>
    </cfRule>
  </conditionalFormatting>
  <conditionalFormatting sqref="E923">
    <cfRule type="cellIs" rank="0" priority="1837" equalAverage="0" operator="greaterThan" aboveAverage="0" dxfId="8" text="" percent="0" bottom="0">
      <formula>0</formula>
    </cfRule>
  </conditionalFormatting>
  <conditionalFormatting sqref="D924">
    <cfRule type="cellIs" rank="0" priority="1838" equalAverage="0" operator="greaterThan" aboveAverage="0" dxfId="10" text="" percent="0" bottom="0">
      <formula>GecOdemeEsik</formula>
    </cfRule>
  </conditionalFormatting>
  <conditionalFormatting sqref="E924">
    <cfRule type="cellIs" rank="0" priority="1839" equalAverage="0" operator="greaterThan" aboveAverage="0" dxfId="8" text="" percent="0" bottom="0">
      <formula>0</formula>
    </cfRule>
  </conditionalFormatting>
  <conditionalFormatting sqref="D925">
    <cfRule type="cellIs" rank="0" priority="1840" equalAverage="0" operator="greaterThan" aboveAverage="0" dxfId="10" text="" percent="0" bottom="0">
      <formula>GecOdemeEsik</formula>
    </cfRule>
  </conditionalFormatting>
  <conditionalFormatting sqref="E925">
    <cfRule type="cellIs" rank="0" priority="1841" equalAverage="0" operator="greaterThan" aboveAverage="0" dxfId="8" text="" percent="0" bottom="0">
      <formula>0</formula>
    </cfRule>
  </conditionalFormatting>
  <conditionalFormatting sqref="D926">
    <cfRule type="cellIs" rank="0" priority="1842" equalAverage="0" operator="greaterThan" aboveAverage="0" dxfId="10" text="" percent="0" bottom="0">
      <formula>GecOdemeEsik</formula>
    </cfRule>
  </conditionalFormatting>
  <conditionalFormatting sqref="E926">
    <cfRule type="cellIs" rank="0" priority="1843" equalAverage="0" operator="greaterThan" aboveAverage="0" dxfId="8" text="" percent="0" bottom="0">
      <formula>0</formula>
    </cfRule>
  </conditionalFormatting>
  <conditionalFormatting sqref="D927">
    <cfRule type="cellIs" rank="0" priority="1844" equalAverage="0" operator="greaterThan" aboveAverage="0" dxfId="10" text="" percent="0" bottom="0">
      <formula>GecOdemeEsik</formula>
    </cfRule>
  </conditionalFormatting>
  <conditionalFormatting sqref="E927">
    <cfRule type="cellIs" rank="0" priority="1845" equalAverage="0" operator="greaterThan" aboveAverage="0" dxfId="8" text="" percent="0" bottom="0">
      <formula>0</formula>
    </cfRule>
  </conditionalFormatting>
  <conditionalFormatting sqref="D928">
    <cfRule type="cellIs" rank="0" priority="1846" equalAverage="0" operator="greaterThan" aboveAverage="0" dxfId="10" text="" percent="0" bottom="0">
      <formula>GecOdemeEsik</formula>
    </cfRule>
  </conditionalFormatting>
  <conditionalFormatting sqref="E928">
    <cfRule type="cellIs" rank="0" priority="1847" equalAverage="0" operator="greaterThan" aboveAverage="0" dxfId="8" text="" percent="0" bottom="0">
      <formula>0</formula>
    </cfRule>
  </conditionalFormatting>
  <conditionalFormatting sqref="D929">
    <cfRule type="cellIs" rank="0" priority="1848" equalAverage="0" operator="greaterThan" aboveAverage="0" dxfId="10" text="" percent="0" bottom="0">
      <formula>GecOdemeEsik</formula>
    </cfRule>
  </conditionalFormatting>
  <conditionalFormatting sqref="E929">
    <cfRule type="cellIs" rank="0" priority="1849" equalAverage="0" operator="greaterThan" aboveAverage="0" dxfId="8" text="" percent="0" bottom="0">
      <formula>0</formula>
    </cfRule>
  </conditionalFormatting>
  <conditionalFormatting sqref="D930">
    <cfRule type="cellIs" rank="0" priority="1850" equalAverage="0" operator="greaterThan" aboveAverage="0" dxfId="10" text="" percent="0" bottom="0">
      <formula>GecOdemeEsik</formula>
    </cfRule>
  </conditionalFormatting>
  <conditionalFormatting sqref="E930">
    <cfRule type="cellIs" rank="0" priority="1851" equalAverage="0" operator="greaterThan" aboveAverage="0" dxfId="8" text="" percent="0" bottom="0">
      <formula>0</formula>
    </cfRule>
  </conditionalFormatting>
  <conditionalFormatting sqref="D931">
    <cfRule type="cellIs" rank="0" priority="1852" equalAverage="0" operator="greaterThan" aboveAverage="0" dxfId="10" text="" percent="0" bottom="0">
      <formula>GecOdemeEsik</formula>
    </cfRule>
  </conditionalFormatting>
  <conditionalFormatting sqref="E931">
    <cfRule type="cellIs" rank="0" priority="1853" equalAverage="0" operator="greaterThan" aboveAverage="0" dxfId="8" text="" percent="0" bottom="0">
      <formula>0</formula>
    </cfRule>
  </conditionalFormatting>
  <conditionalFormatting sqref="D932">
    <cfRule type="cellIs" rank="0" priority="1854" equalAverage="0" operator="greaterThan" aboveAverage="0" dxfId="10" text="" percent="0" bottom="0">
      <formula>GecOdemeEsik</formula>
    </cfRule>
  </conditionalFormatting>
  <conditionalFormatting sqref="E932">
    <cfRule type="cellIs" rank="0" priority="1855" equalAverage="0" operator="greaterThan" aboveAverage="0" dxfId="8" text="" percent="0" bottom="0">
      <formula>0</formula>
    </cfRule>
  </conditionalFormatting>
  <conditionalFormatting sqref="D933">
    <cfRule type="cellIs" rank="0" priority="1856" equalAverage="0" operator="greaterThan" aboveAverage="0" dxfId="10" text="" percent="0" bottom="0">
      <formula>GecOdemeEsik</formula>
    </cfRule>
  </conditionalFormatting>
  <conditionalFormatting sqref="E933">
    <cfRule type="cellIs" rank="0" priority="1857" equalAverage="0" operator="greaterThan" aboveAverage="0" dxfId="8" text="" percent="0" bottom="0">
      <formula>0</formula>
    </cfRule>
  </conditionalFormatting>
  <conditionalFormatting sqref="D934">
    <cfRule type="cellIs" rank="0" priority="1858" equalAverage="0" operator="greaterThan" aboveAverage="0" dxfId="10" text="" percent="0" bottom="0">
      <formula>GecOdemeEsik</formula>
    </cfRule>
  </conditionalFormatting>
  <conditionalFormatting sqref="E934">
    <cfRule type="cellIs" rank="0" priority="1859" equalAverage="0" operator="greaterThan" aboveAverage="0" dxfId="8" text="" percent="0" bottom="0">
      <formula>0</formula>
    </cfRule>
  </conditionalFormatting>
  <conditionalFormatting sqref="D935">
    <cfRule type="cellIs" rank="0" priority="1860" equalAverage="0" operator="greaterThan" aboveAverage="0" dxfId="10" text="" percent="0" bottom="0">
      <formula>GecOdemeEsik</formula>
    </cfRule>
  </conditionalFormatting>
  <conditionalFormatting sqref="E935">
    <cfRule type="cellIs" rank="0" priority="1861" equalAverage="0" operator="greaterThan" aboveAverage="0" dxfId="8" text="" percent="0" bottom="0">
      <formula>0</formula>
    </cfRule>
  </conditionalFormatting>
  <conditionalFormatting sqref="D936">
    <cfRule type="cellIs" rank="0" priority="1862" equalAverage="0" operator="greaterThan" aboveAverage="0" dxfId="10" text="" percent="0" bottom="0">
      <formula>GecOdemeEsik</formula>
    </cfRule>
  </conditionalFormatting>
  <conditionalFormatting sqref="E936">
    <cfRule type="cellIs" rank="0" priority="1863" equalAverage="0" operator="greaterThan" aboveAverage="0" dxfId="8" text="" percent="0" bottom="0">
      <formula>0</formula>
    </cfRule>
  </conditionalFormatting>
  <conditionalFormatting sqref="D937">
    <cfRule type="cellIs" rank="0" priority="1864" equalAverage="0" operator="greaterThan" aboveAverage="0" dxfId="10" text="" percent="0" bottom="0">
      <formula>GecOdemeEsik</formula>
    </cfRule>
  </conditionalFormatting>
  <conditionalFormatting sqref="E937">
    <cfRule type="cellIs" rank="0" priority="1865" equalAverage="0" operator="greaterThan" aboveAverage="0" dxfId="8" text="" percent="0" bottom="0">
      <formula>0</formula>
    </cfRule>
  </conditionalFormatting>
  <conditionalFormatting sqref="D938">
    <cfRule type="cellIs" rank="0" priority="1866" equalAverage="0" operator="greaterThan" aboveAverage="0" dxfId="10" text="" percent="0" bottom="0">
      <formula>GecOdemeEsik</formula>
    </cfRule>
  </conditionalFormatting>
  <conditionalFormatting sqref="E938">
    <cfRule type="cellIs" rank="0" priority="1867" equalAverage="0" operator="greaterThan" aboveAverage="0" dxfId="8" text="" percent="0" bottom="0">
      <formula>0</formula>
    </cfRule>
  </conditionalFormatting>
  <conditionalFormatting sqref="D939">
    <cfRule type="cellIs" rank="0" priority="1868" equalAverage="0" operator="greaterThan" aboveAverage="0" dxfId="10" text="" percent="0" bottom="0">
      <formula>GecOdemeEsik</formula>
    </cfRule>
  </conditionalFormatting>
  <conditionalFormatting sqref="E939">
    <cfRule type="cellIs" rank="0" priority="1869" equalAverage="0" operator="greaterThan" aboveAverage="0" dxfId="8" text="" percent="0" bottom="0">
      <formula>0</formula>
    </cfRule>
  </conditionalFormatting>
  <conditionalFormatting sqref="D940">
    <cfRule type="cellIs" rank="0" priority="1870" equalAverage="0" operator="greaterThan" aboveAverage="0" dxfId="10" text="" percent="0" bottom="0">
      <formula>GecOdemeEsik</formula>
    </cfRule>
  </conditionalFormatting>
  <conditionalFormatting sqref="E940">
    <cfRule type="cellIs" rank="0" priority="1871" equalAverage="0" operator="greaterThan" aboveAverage="0" dxfId="8" text="" percent="0" bottom="0">
      <formula>0</formula>
    </cfRule>
  </conditionalFormatting>
  <conditionalFormatting sqref="D941">
    <cfRule type="cellIs" rank="0" priority="1872" equalAverage="0" operator="greaterThan" aboveAverage="0" dxfId="10" text="" percent="0" bottom="0">
      <formula>GecOdemeEsik</formula>
    </cfRule>
  </conditionalFormatting>
  <conditionalFormatting sqref="E941">
    <cfRule type="cellIs" rank="0" priority="1873" equalAverage="0" operator="greaterThan" aboveAverage="0" dxfId="8" text="" percent="0" bottom="0">
      <formula>0</formula>
    </cfRule>
  </conditionalFormatting>
  <conditionalFormatting sqref="D942">
    <cfRule type="cellIs" rank="0" priority="1874" equalAverage="0" operator="greaterThan" aboveAverage="0" dxfId="10" text="" percent="0" bottom="0">
      <formula>GecOdemeEsik</formula>
    </cfRule>
  </conditionalFormatting>
  <conditionalFormatting sqref="E942">
    <cfRule type="cellIs" rank="0" priority="1875" equalAverage="0" operator="greaterThan" aboveAverage="0" dxfId="8" text="" percent="0" bottom="0">
      <formula>0</formula>
    </cfRule>
  </conditionalFormatting>
  <conditionalFormatting sqref="D943">
    <cfRule type="cellIs" rank="0" priority="1876" equalAverage="0" operator="greaterThan" aboveAverage="0" dxfId="10" text="" percent="0" bottom="0">
      <formula>GecOdemeEsik</formula>
    </cfRule>
  </conditionalFormatting>
  <conditionalFormatting sqref="E943">
    <cfRule type="cellIs" rank="0" priority="1877" equalAverage="0" operator="greaterThan" aboveAverage="0" dxfId="8" text="" percent="0" bottom="0">
      <formula>0</formula>
    </cfRule>
  </conditionalFormatting>
  <conditionalFormatting sqref="D944">
    <cfRule type="cellIs" rank="0" priority="1878" equalAverage="0" operator="greaterThan" aboveAverage="0" dxfId="10" text="" percent="0" bottom="0">
      <formula>GecOdemeEsik</formula>
    </cfRule>
  </conditionalFormatting>
  <conditionalFormatting sqref="E944">
    <cfRule type="cellIs" rank="0" priority="1879" equalAverage="0" operator="greaterThan" aboveAverage="0" dxfId="8" text="" percent="0" bottom="0">
      <formula>0</formula>
    </cfRule>
  </conditionalFormatting>
  <conditionalFormatting sqref="D945">
    <cfRule type="cellIs" rank="0" priority="1880" equalAverage="0" operator="greaterThan" aboveAverage="0" dxfId="10" text="" percent="0" bottom="0">
      <formula>GecOdemeEsik</formula>
    </cfRule>
  </conditionalFormatting>
  <conditionalFormatting sqref="E945">
    <cfRule type="cellIs" rank="0" priority="1881" equalAverage="0" operator="greaterThan" aboveAverage="0" dxfId="8" text="" percent="0" bottom="0">
      <formula>0</formula>
    </cfRule>
  </conditionalFormatting>
  <conditionalFormatting sqref="D946">
    <cfRule type="cellIs" rank="0" priority="1882" equalAverage="0" operator="greaterThan" aboveAverage="0" dxfId="10" text="" percent="0" bottom="0">
      <formula>GecOdemeEsik</formula>
    </cfRule>
  </conditionalFormatting>
  <conditionalFormatting sqref="E946">
    <cfRule type="cellIs" rank="0" priority="1883" equalAverage="0" operator="greaterThan" aboveAverage="0" dxfId="8" text="" percent="0" bottom="0">
      <formula>0</formula>
    </cfRule>
  </conditionalFormatting>
  <conditionalFormatting sqref="D947">
    <cfRule type="cellIs" rank="0" priority="1884" equalAverage="0" operator="greaterThan" aboveAverage="0" dxfId="10" text="" percent="0" bottom="0">
      <formula>GecOdemeEsik</formula>
    </cfRule>
  </conditionalFormatting>
  <conditionalFormatting sqref="E947">
    <cfRule type="cellIs" rank="0" priority="1885" equalAverage="0" operator="greaterThan" aboveAverage="0" dxfId="8" text="" percent="0" bottom="0">
      <formula>0</formula>
    </cfRule>
  </conditionalFormatting>
  <conditionalFormatting sqref="D948">
    <cfRule type="cellIs" rank="0" priority="1886" equalAverage="0" operator="greaterThan" aboveAverage="0" dxfId="10" text="" percent="0" bottom="0">
      <formula>GecOdemeEsik</formula>
    </cfRule>
  </conditionalFormatting>
  <conditionalFormatting sqref="E948">
    <cfRule type="cellIs" rank="0" priority="1887" equalAverage="0" operator="greaterThan" aboveAverage="0" dxfId="8" text="" percent="0" bottom="0">
      <formula>0</formula>
    </cfRule>
  </conditionalFormatting>
  <conditionalFormatting sqref="D949">
    <cfRule type="cellIs" rank="0" priority="1888" equalAverage="0" operator="greaterThan" aboveAverage="0" dxfId="10" text="" percent="0" bottom="0">
      <formula>GecOdemeEsik</formula>
    </cfRule>
  </conditionalFormatting>
  <conditionalFormatting sqref="E949">
    <cfRule type="cellIs" rank="0" priority="1889" equalAverage="0" operator="greaterThan" aboveAverage="0" dxfId="8" text="" percent="0" bottom="0">
      <formula>0</formula>
    </cfRule>
  </conditionalFormatting>
  <conditionalFormatting sqref="D950">
    <cfRule type="cellIs" rank="0" priority="1890" equalAverage="0" operator="greaterThan" aboveAverage="0" dxfId="10" text="" percent="0" bottom="0">
      <formula>GecOdemeEsik</formula>
    </cfRule>
  </conditionalFormatting>
  <conditionalFormatting sqref="E950">
    <cfRule type="cellIs" rank="0" priority="1891" equalAverage="0" operator="greaterThan" aboveAverage="0" dxfId="8" text="" percent="0" bottom="0">
      <formula>0</formula>
    </cfRule>
  </conditionalFormatting>
  <conditionalFormatting sqref="D951">
    <cfRule type="cellIs" rank="0" priority="1892" equalAverage="0" operator="greaterThan" aboveAverage="0" dxfId="10" text="" percent="0" bottom="0">
      <formula>GecOdemeEsik</formula>
    </cfRule>
  </conditionalFormatting>
  <conditionalFormatting sqref="E951">
    <cfRule type="cellIs" rank="0" priority="1893" equalAverage="0" operator="greaterThan" aboveAverage="0" dxfId="8" text="" percent="0" bottom="0">
      <formula>0</formula>
    </cfRule>
  </conditionalFormatting>
  <conditionalFormatting sqref="D952">
    <cfRule type="cellIs" rank="0" priority="1894" equalAverage="0" operator="greaterThan" aboveAverage="0" dxfId="10" text="" percent="0" bottom="0">
      <formula>GecOdemeEsik</formula>
    </cfRule>
  </conditionalFormatting>
  <conditionalFormatting sqref="E952">
    <cfRule type="cellIs" rank="0" priority="1895" equalAverage="0" operator="greaterThan" aboveAverage="0" dxfId="8" text="" percent="0" bottom="0">
      <formula>0</formula>
    </cfRule>
  </conditionalFormatting>
  <conditionalFormatting sqref="D953">
    <cfRule type="cellIs" rank="0" priority="1896" equalAverage="0" operator="greaterThan" aboveAverage="0" dxfId="10" text="" percent="0" bottom="0">
      <formula>GecOdemeEsik</formula>
    </cfRule>
  </conditionalFormatting>
  <conditionalFormatting sqref="E953">
    <cfRule type="cellIs" rank="0" priority="1897" equalAverage="0" operator="greaterThan" aboveAverage="0" dxfId="8" text="" percent="0" bottom="0">
      <formula>0</formula>
    </cfRule>
  </conditionalFormatting>
  <conditionalFormatting sqref="D954">
    <cfRule type="cellIs" rank="0" priority="1898" equalAverage="0" operator="greaterThan" aboveAverage="0" dxfId="10" text="" percent="0" bottom="0">
      <formula>GecOdemeEsik</formula>
    </cfRule>
  </conditionalFormatting>
  <conditionalFormatting sqref="E954">
    <cfRule type="cellIs" rank="0" priority="1899" equalAverage="0" operator="greaterThan" aboveAverage="0" dxfId="8" text="" percent="0" bottom="0">
      <formula>0</formula>
    </cfRule>
  </conditionalFormatting>
  <conditionalFormatting sqref="D955">
    <cfRule type="cellIs" rank="0" priority="1900" equalAverage="0" operator="greaterThan" aboveAverage="0" dxfId="10" text="" percent="0" bottom="0">
      <formula>GecOdemeEsik</formula>
    </cfRule>
  </conditionalFormatting>
  <conditionalFormatting sqref="E955">
    <cfRule type="cellIs" rank="0" priority="1901" equalAverage="0" operator="greaterThan" aboveAverage="0" dxfId="8" text="" percent="0" bottom="0">
      <formula>0</formula>
    </cfRule>
  </conditionalFormatting>
  <conditionalFormatting sqref="D956">
    <cfRule type="cellIs" rank="0" priority="1902" equalAverage="0" operator="greaterThan" aboveAverage="0" dxfId="10" text="" percent="0" bottom="0">
      <formula>GecOdemeEsik</formula>
    </cfRule>
  </conditionalFormatting>
  <conditionalFormatting sqref="E956">
    <cfRule type="cellIs" rank="0" priority="1903" equalAverage="0" operator="greaterThan" aboveAverage="0" dxfId="8" text="" percent="0" bottom="0">
      <formula>0</formula>
    </cfRule>
  </conditionalFormatting>
  <conditionalFormatting sqref="D957">
    <cfRule type="cellIs" rank="0" priority="1904" equalAverage="0" operator="greaterThan" aboveAverage="0" dxfId="10" text="" percent="0" bottom="0">
      <formula>GecOdemeEsik</formula>
    </cfRule>
  </conditionalFormatting>
  <conditionalFormatting sqref="E957">
    <cfRule type="cellIs" rank="0" priority="1905" equalAverage="0" operator="greaterThan" aboveAverage="0" dxfId="8" text="" percent="0" bottom="0">
      <formula>0</formula>
    </cfRule>
  </conditionalFormatting>
  <conditionalFormatting sqref="D958">
    <cfRule type="cellIs" rank="0" priority="1906" equalAverage="0" operator="greaterThan" aboveAverage="0" dxfId="10" text="" percent="0" bottom="0">
      <formula>GecOdemeEsik</formula>
    </cfRule>
  </conditionalFormatting>
  <conditionalFormatting sqref="E958">
    <cfRule type="cellIs" rank="0" priority="1907" equalAverage="0" operator="greaterThan" aboveAverage="0" dxfId="8" text="" percent="0" bottom="0">
      <formula>0</formula>
    </cfRule>
  </conditionalFormatting>
  <conditionalFormatting sqref="D959">
    <cfRule type="cellIs" rank="0" priority="1908" equalAverage="0" operator="greaterThan" aboveAverage="0" dxfId="10" text="" percent="0" bottom="0">
      <formula>GecOdemeEsik</formula>
    </cfRule>
  </conditionalFormatting>
  <conditionalFormatting sqref="E959">
    <cfRule type="cellIs" rank="0" priority="1909" equalAverage="0" operator="greaterThan" aboveAverage="0" dxfId="8" text="" percent="0" bottom="0">
      <formula>0</formula>
    </cfRule>
  </conditionalFormatting>
  <conditionalFormatting sqref="D960">
    <cfRule type="cellIs" rank="0" priority="1910" equalAverage="0" operator="greaterThan" aboveAverage="0" dxfId="10" text="" percent="0" bottom="0">
      <formula>GecOdemeEsik</formula>
    </cfRule>
  </conditionalFormatting>
  <conditionalFormatting sqref="E960">
    <cfRule type="cellIs" rank="0" priority="1911" equalAverage="0" operator="greaterThan" aboveAverage="0" dxfId="8" text="" percent="0" bottom="0">
      <formula>0</formula>
    </cfRule>
  </conditionalFormatting>
  <conditionalFormatting sqref="D961">
    <cfRule type="cellIs" rank="0" priority="1912" equalAverage="0" operator="greaterThan" aboveAverage="0" dxfId="10" text="" percent="0" bottom="0">
      <formula>GecOdemeEsik</formula>
    </cfRule>
  </conditionalFormatting>
  <conditionalFormatting sqref="E961">
    <cfRule type="cellIs" rank="0" priority="1913" equalAverage="0" operator="greaterThan" aboveAverage="0" dxfId="8" text="" percent="0" bottom="0">
      <formula>0</formula>
    </cfRule>
  </conditionalFormatting>
  <conditionalFormatting sqref="D962">
    <cfRule type="cellIs" rank="0" priority="1914" equalAverage="0" operator="greaterThan" aboveAverage="0" dxfId="10" text="" percent="0" bottom="0">
      <formula>GecOdemeEsik</formula>
    </cfRule>
  </conditionalFormatting>
  <conditionalFormatting sqref="E962">
    <cfRule type="cellIs" rank="0" priority="1915" equalAverage="0" operator="greaterThan" aboveAverage="0" dxfId="8" text="" percent="0" bottom="0">
      <formula>0</formula>
    </cfRule>
  </conditionalFormatting>
  <conditionalFormatting sqref="D963">
    <cfRule type="cellIs" rank="0" priority="1916" equalAverage="0" operator="greaterThan" aboveAverage="0" dxfId="10" text="" percent="0" bottom="0">
      <formula>GecOdemeEsik</formula>
    </cfRule>
  </conditionalFormatting>
  <conditionalFormatting sqref="E963">
    <cfRule type="cellIs" rank="0" priority="1917" equalAverage="0" operator="greaterThan" aboveAverage="0" dxfId="8" text="" percent="0" bottom="0">
      <formula>0</formula>
    </cfRule>
  </conditionalFormatting>
  <conditionalFormatting sqref="D964">
    <cfRule type="cellIs" rank="0" priority="1918" equalAverage="0" operator="greaterThan" aboveAverage="0" dxfId="10" text="" percent="0" bottom="0">
      <formula>GecOdemeEsik</formula>
    </cfRule>
  </conditionalFormatting>
  <conditionalFormatting sqref="E964">
    <cfRule type="cellIs" rank="0" priority="1919" equalAverage="0" operator="greaterThan" aboveAverage="0" dxfId="8" text="" percent="0" bottom="0">
      <formula>0</formula>
    </cfRule>
  </conditionalFormatting>
  <conditionalFormatting sqref="D965">
    <cfRule type="cellIs" rank="0" priority="1920" equalAverage="0" operator="greaterThan" aboveAverage="0" dxfId="10" text="" percent="0" bottom="0">
      <formula>GecOdemeEsik</formula>
    </cfRule>
  </conditionalFormatting>
  <conditionalFormatting sqref="E965">
    <cfRule type="cellIs" rank="0" priority="1921" equalAverage="0" operator="greaterThan" aboveAverage="0" dxfId="8" text="" percent="0" bottom="0">
      <formula>0</formula>
    </cfRule>
  </conditionalFormatting>
  <conditionalFormatting sqref="D966">
    <cfRule type="cellIs" rank="0" priority="1922" equalAverage="0" operator="greaterThan" aboveAverage="0" dxfId="10" text="" percent="0" bottom="0">
      <formula>GecOdemeEsik</formula>
    </cfRule>
  </conditionalFormatting>
  <conditionalFormatting sqref="E966">
    <cfRule type="cellIs" rank="0" priority="1923" equalAverage="0" operator="greaterThan" aboveAverage="0" dxfId="8" text="" percent="0" bottom="0">
      <formula>0</formula>
    </cfRule>
  </conditionalFormatting>
  <conditionalFormatting sqref="D967">
    <cfRule type="cellIs" rank="0" priority="1924" equalAverage="0" operator="greaterThan" aboveAverage="0" dxfId="10" text="" percent="0" bottom="0">
      <formula>GecOdemeEsik</formula>
    </cfRule>
  </conditionalFormatting>
  <conditionalFormatting sqref="E967">
    <cfRule type="cellIs" rank="0" priority="1925" equalAverage="0" operator="greaterThan" aboveAverage="0" dxfId="8" text="" percent="0" bottom="0">
      <formula>0</formula>
    </cfRule>
  </conditionalFormatting>
  <conditionalFormatting sqref="D968">
    <cfRule type="cellIs" rank="0" priority="1926" equalAverage="0" operator="greaterThan" aboveAverage="0" dxfId="10" text="" percent="0" bottom="0">
      <formula>GecOdemeEsik</formula>
    </cfRule>
  </conditionalFormatting>
  <conditionalFormatting sqref="E968">
    <cfRule type="cellIs" rank="0" priority="1927" equalAverage="0" operator="greaterThan" aboveAverage="0" dxfId="8" text="" percent="0" bottom="0">
      <formula>0</formula>
    </cfRule>
  </conditionalFormatting>
  <conditionalFormatting sqref="D969">
    <cfRule type="cellIs" rank="0" priority="1928" equalAverage="0" operator="greaterThan" aboveAverage="0" dxfId="10" text="" percent="0" bottom="0">
      <formula>GecOdemeEsik</formula>
    </cfRule>
  </conditionalFormatting>
  <conditionalFormatting sqref="E969">
    <cfRule type="cellIs" rank="0" priority="1929" equalAverage="0" operator="greaterThan" aboveAverage="0" dxfId="8" text="" percent="0" bottom="0">
      <formula>0</formula>
    </cfRule>
  </conditionalFormatting>
  <conditionalFormatting sqref="D970">
    <cfRule type="cellIs" rank="0" priority="1930" equalAverage="0" operator="greaterThan" aboveAverage="0" dxfId="10" text="" percent="0" bottom="0">
      <formula>GecOdemeEsik</formula>
    </cfRule>
  </conditionalFormatting>
  <conditionalFormatting sqref="E970">
    <cfRule type="cellIs" rank="0" priority="1931" equalAverage="0" operator="greaterThan" aboveAverage="0" dxfId="8" text="" percent="0" bottom="0">
      <formula>0</formula>
    </cfRule>
  </conditionalFormatting>
  <conditionalFormatting sqref="D971">
    <cfRule type="cellIs" rank="0" priority="1932" equalAverage="0" operator="greaterThan" aboveAverage="0" dxfId="10" text="" percent="0" bottom="0">
      <formula>GecOdemeEsik</formula>
    </cfRule>
  </conditionalFormatting>
  <conditionalFormatting sqref="E971">
    <cfRule type="cellIs" rank="0" priority="1933" equalAverage="0" operator="greaterThan" aboveAverage="0" dxfId="8" text="" percent="0" bottom="0">
      <formula>0</formula>
    </cfRule>
  </conditionalFormatting>
  <conditionalFormatting sqref="D972">
    <cfRule type="cellIs" rank="0" priority="1934" equalAverage="0" operator="greaterThan" aboveAverage="0" dxfId="10" text="" percent="0" bottom="0">
      <formula>GecOdemeEsik</formula>
    </cfRule>
  </conditionalFormatting>
  <conditionalFormatting sqref="E972">
    <cfRule type="cellIs" rank="0" priority="1935" equalAverage="0" operator="greaterThan" aboveAverage="0" dxfId="8" text="" percent="0" bottom="0">
      <formula>0</formula>
    </cfRule>
  </conditionalFormatting>
  <conditionalFormatting sqref="D973">
    <cfRule type="cellIs" rank="0" priority="1936" equalAverage="0" operator="greaterThan" aboveAverage="0" dxfId="10" text="" percent="0" bottom="0">
      <formula>GecOdemeEsik</formula>
    </cfRule>
  </conditionalFormatting>
  <conditionalFormatting sqref="E973">
    <cfRule type="cellIs" rank="0" priority="1937" equalAverage="0" operator="greaterThan" aboveAverage="0" dxfId="8" text="" percent="0" bottom="0">
      <formula>0</formula>
    </cfRule>
  </conditionalFormatting>
  <conditionalFormatting sqref="D974">
    <cfRule type="cellIs" rank="0" priority="1938" equalAverage="0" operator="greaterThan" aboveAverage="0" dxfId="10" text="" percent="0" bottom="0">
      <formula>GecOdemeEsik</formula>
    </cfRule>
  </conditionalFormatting>
  <conditionalFormatting sqref="E974">
    <cfRule type="cellIs" rank="0" priority="1939" equalAverage="0" operator="greaterThan" aboveAverage="0" dxfId="8" text="" percent="0" bottom="0">
      <formula>0</formula>
    </cfRule>
  </conditionalFormatting>
  <conditionalFormatting sqref="D975">
    <cfRule type="cellIs" rank="0" priority="1940" equalAverage="0" operator="greaterThan" aboveAverage="0" dxfId="10" text="" percent="0" bottom="0">
      <formula>GecOdemeEsik</formula>
    </cfRule>
  </conditionalFormatting>
  <conditionalFormatting sqref="E975">
    <cfRule type="cellIs" rank="0" priority="1941" equalAverage="0" operator="greaterThan" aboveAverage="0" dxfId="8" text="" percent="0" bottom="0">
      <formula>0</formula>
    </cfRule>
  </conditionalFormatting>
  <conditionalFormatting sqref="D976">
    <cfRule type="cellIs" rank="0" priority="1942" equalAverage="0" operator="greaterThan" aboveAverage="0" dxfId="10" text="" percent="0" bottom="0">
      <formula>GecOdemeEsik</formula>
    </cfRule>
  </conditionalFormatting>
  <conditionalFormatting sqref="E976">
    <cfRule type="cellIs" rank="0" priority="1943" equalAverage="0" operator="greaterThan" aboveAverage="0" dxfId="8" text="" percent="0" bottom="0">
      <formula>0</formula>
    </cfRule>
  </conditionalFormatting>
  <conditionalFormatting sqref="D977">
    <cfRule type="cellIs" rank="0" priority="1944" equalAverage="0" operator="greaterThan" aboveAverage="0" dxfId="10" text="" percent="0" bottom="0">
      <formula>GecOdemeEsik</formula>
    </cfRule>
  </conditionalFormatting>
  <conditionalFormatting sqref="E977">
    <cfRule type="cellIs" rank="0" priority="1945" equalAverage="0" operator="greaterThan" aboveAverage="0" dxfId="8" text="" percent="0" bottom="0">
      <formula>0</formula>
    </cfRule>
  </conditionalFormatting>
  <conditionalFormatting sqref="D978">
    <cfRule type="cellIs" rank="0" priority="1946" equalAverage="0" operator="greaterThan" aboveAverage="0" dxfId="10" text="" percent="0" bottom="0">
      <formula>GecOdemeEsik</formula>
    </cfRule>
  </conditionalFormatting>
  <conditionalFormatting sqref="E978">
    <cfRule type="cellIs" rank="0" priority="1947" equalAverage="0" operator="greaterThan" aboveAverage="0" dxfId="8" text="" percent="0" bottom="0">
      <formula>0</formula>
    </cfRule>
  </conditionalFormatting>
  <conditionalFormatting sqref="D979">
    <cfRule type="cellIs" rank="0" priority="1948" equalAverage="0" operator="greaterThan" aboveAverage="0" dxfId="10" text="" percent="0" bottom="0">
      <formula>GecOdemeEsik</formula>
    </cfRule>
  </conditionalFormatting>
  <conditionalFormatting sqref="E979">
    <cfRule type="cellIs" rank="0" priority="1949" equalAverage="0" operator="greaterThan" aboveAverage="0" dxfId="8" text="" percent="0" bottom="0">
      <formula>0</formula>
    </cfRule>
  </conditionalFormatting>
  <conditionalFormatting sqref="D980">
    <cfRule type="cellIs" rank="0" priority="1950" equalAverage="0" operator="greaterThan" aboveAverage="0" dxfId="10" text="" percent="0" bottom="0">
      <formula>GecOdemeEsik</formula>
    </cfRule>
  </conditionalFormatting>
  <conditionalFormatting sqref="E980">
    <cfRule type="cellIs" rank="0" priority="1951" equalAverage="0" operator="greaterThan" aboveAverage="0" dxfId="8" text="" percent="0" bottom="0">
      <formula>0</formula>
    </cfRule>
  </conditionalFormatting>
  <conditionalFormatting sqref="D981">
    <cfRule type="cellIs" rank="0" priority="1952" equalAverage="0" operator="greaterThan" aboveAverage="0" dxfId="10" text="" percent="0" bottom="0">
      <formula>GecOdemeEsik</formula>
    </cfRule>
  </conditionalFormatting>
  <conditionalFormatting sqref="E981">
    <cfRule type="cellIs" rank="0" priority="1953" equalAverage="0" operator="greaterThan" aboveAverage="0" dxfId="8" text="" percent="0" bottom="0">
      <formula>0</formula>
    </cfRule>
  </conditionalFormatting>
  <conditionalFormatting sqref="D982">
    <cfRule type="cellIs" rank="0" priority="1954" equalAverage="0" operator="greaterThan" aboveAverage="0" dxfId="10" text="" percent="0" bottom="0">
      <formula>GecOdemeEsik</formula>
    </cfRule>
  </conditionalFormatting>
  <conditionalFormatting sqref="E982">
    <cfRule type="cellIs" rank="0" priority="1955" equalAverage="0" operator="greaterThan" aboveAverage="0" dxfId="8" text="" percent="0" bottom="0">
      <formula>0</formula>
    </cfRule>
  </conditionalFormatting>
  <conditionalFormatting sqref="D983">
    <cfRule type="cellIs" rank="0" priority="1956" equalAverage="0" operator="greaterThan" aboveAverage="0" dxfId="10" text="" percent="0" bottom="0">
      <formula>GecOdemeEsik</formula>
    </cfRule>
  </conditionalFormatting>
  <conditionalFormatting sqref="E983">
    <cfRule type="cellIs" rank="0" priority="1957" equalAverage="0" operator="greaterThan" aboveAverage="0" dxfId="8" text="" percent="0" bottom="0">
      <formula>0</formula>
    </cfRule>
  </conditionalFormatting>
  <conditionalFormatting sqref="D984">
    <cfRule type="cellIs" rank="0" priority="1958" equalAverage="0" operator="greaterThan" aboveAverage="0" dxfId="10" text="" percent="0" bottom="0">
      <formula>GecOdemeEsik</formula>
    </cfRule>
  </conditionalFormatting>
  <conditionalFormatting sqref="E984">
    <cfRule type="cellIs" rank="0" priority="1959" equalAverage="0" operator="greaterThan" aboveAverage="0" dxfId="8" text="" percent="0" bottom="0">
      <formula>0</formula>
    </cfRule>
  </conditionalFormatting>
  <conditionalFormatting sqref="D985">
    <cfRule type="cellIs" rank="0" priority="1960" equalAverage="0" operator="greaterThan" aboveAverage="0" dxfId="10" text="" percent="0" bottom="0">
      <formula>GecOdemeEsik</formula>
    </cfRule>
  </conditionalFormatting>
  <conditionalFormatting sqref="E985">
    <cfRule type="cellIs" rank="0" priority="1961" equalAverage="0" operator="greaterThan" aboveAverage="0" dxfId="8" text="" percent="0" bottom="0">
      <formula>0</formula>
    </cfRule>
  </conditionalFormatting>
  <conditionalFormatting sqref="D986">
    <cfRule type="cellIs" rank="0" priority="1962" equalAverage="0" operator="greaterThan" aboveAverage="0" dxfId="10" text="" percent="0" bottom="0">
      <formula>GecOdemeEsik</formula>
    </cfRule>
  </conditionalFormatting>
  <conditionalFormatting sqref="E986">
    <cfRule type="cellIs" rank="0" priority="1963" equalAverage="0" operator="greaterThan" aboveAverage="0" dxfId="8" text="" percent="0" bottom="0">
      <formula>0</formula>
    </cfRule>
  </conditionalFormatting>
  <conditionalFormatting sqref="D987">
    <cfRule type="cellIs" rank="0" priority="1964" equalAverage="0" operator="greaterThan" aboveAverage="0" dxfId="10" text="" percent="0" bottom="0">
      <formula>GecOdemeEsik</formula>
    </cfRule>
  </conditionalFormatting>
  <conditionalFormatting sqref="E987">
    <cfRule type="cellIs" rank="0" priority="1965" equalAverage="0" operator="greaterThan" aboveAverage="0" dxfId="8" text="" percent="0" bottom="0">
      <formula>0</formula>
    </cfRule>
  </conditionalFormatting>
  <conditionalFormatting sqref="D988">
    <cfRule type="cellIs" rank="0" priority="1966" equalAverage="0" operator="greaterThan" aboveAverage="0" dxfId="10" text="" percent="0" bottom="0">
      <formula>GecOdemeEsik</formula>
    </cfRule>
  </conditionalFormatting>
  <conditionalFormatting sqref="E988">
    <cfRule type="cellIs" rank="0" priority="1967" equalAverage="0" operator="greaterThan" aboveAverage="0" dxfId="8" text="" percent="0" bottom="0">
      <formula>0</formula>
    </cfRule>
  </conditionalFormatting>
  <conditionalFormatting sqref="D989">
    <cfRule type="cellIs" rank="0" priority="1968" equalAverage="0" operator="greaterThan" aboveAverage="0" dxfId="10" text="" percent="0" bottom="0">
      <formula>GecOdemeEsik</formula>
    </cfRule>
  </conditionalFormatting>
  <conditionalFormatting sqref="E989">
    <cfRule type="cellIs" rank="0" priority="1969" equalAverage="0" operator="greaterThan" aboveAverage="0" dxfId="8" text="" percent="0" bottom="0">
      <formula>0</formula>
    </cfRule>
  </conditionalFormatting>
  <conditionalFormatting sqref="D990">
    <cfRule type="cellIs" rank="0" priority="1970" equalAverage="0" operator="greaterThan" aboveAverage="0" dxfId="10" text="" percent="0" bottom="0">
      <formula>GecOdemeEsik</formula>
    </cfRule>
  </conditionalFormatting>
  <conditionalFormatting sqref="E990">
    <cfRule type="cellIs" rank="0" priority="1971" equalAverage="0" operator="greaterThan" aboveAverage="0" dxfId="8" text="" percent="0" bottom="0">
      <formula>0</formula>
    </cfRule>
  </conditionalFormatting>
  <conditionalFormatting sqref="D991">
    <cfRule type="cellIs" rank="0" priority="1972" equalAverage="0" operator="greaterThan" aboveAverage="0" dxfId="10" text="" percent="0" bottom="0">
      <formula>GecOdemeEsik</formula>
    </cfRule>
  </conditionalFormatting>
  <conditionalFormatting sqref="E991">
    <cfRule type="cellIs" rank="0" priority="1973" equalAverage="0" operator="greaterThan" aboveAverage="0" dxfId="8" text="" percent="0" bottom="0">
      <formula>0</formula>
    </cfRule>
  </conditionalFormatting>
  <conditionalFormatting sqref="D992">
    <cfRule type="cellIs" rank="0" priority="1974" equalAverage="0" operator="greaterThan" aboveAverage="0" dxfId="10" text="" percent="0" bottom="0">
      <formula>GecOdemeEsik</formula>
    </cfRule>
  </conditionalFormatting>
  <conditionalFormatting sqref="E992">
    <cfRule type="cellIs" rank="0" priority="1975" equalAverage="0" operator="greaterThan" aboveAverage="0" dxfId="8" text="" percent="0" bottom="0">
      <formula>0</formula>
    </cfRule>
  </conditionalFormatting>
  <conditionalFormatting sqref="D993">
    <cfRule type="cellIs" rank="0" priority="1976" equalAverage="0" operator="greaterThan" aboveAverage="0" dxfId="10" text="" percent="0" bottom="0">
      <formula>GecOdemeEsik</formula>
    </cfRule>
  </conditionalFormatting>
  <conditionalFormatting sqref="E993">
    <cfRule type="cellIs" rank="0" priority="1977" equalAverage="0" operator="greaterThan" aboveAverage="0" dxfId="8" text="" percent="0" bottom="0">
      <formula>0</formula>
    </cfRule>
  </conditionalFormatting>
  <conditionalFormatting sqref="D994">
    <cfRule type="cellIs" rank="0" priority="1978" equalAverage="0" operator="greaterThan" aboveAverage="0" dxfId="10" text="" percent="0" bottom="0">
      <formula>GecOdemeEsik</formula>
    </cfRule>
  </conditionalFormatting>
  <conditionalFormatting sqref="E994">
    <cfRule type="cellIs" rank="0" priority="1979" equalAverage="0" operator="greaterThan" aboveAverage="0" dxfId="8" text="" percent="0" bottom="0">
      <formula>0</formula>
    </cfRule>
  </conditionalFormatting>
  <conditionalFormatting sqref="D995">
    <cfRule type="cellIs" rank="0" priority="1980" equalAverage="0" operator="greaterThan" aboveAverage="0" dxfId="10" text="" percent="0" bottom="0">
      <formula>GecOdemeEsik</formula>
    </cfRule>
  </conditionalFormatting>
  <conditionalFormatting sqref="E995">
    <cfRule type="cellIs" rank="0" priority="1981" equalAverage="0" operator="greaterThan" aboveAverage="0" dxfId="8" text="" percent="0" bottom="0">
      <formula>0</formula>
    </cfRule>
  </conditionalFormatting>
  <conditionalFormatting sqref="D996">
    <cfRule type="cellIs" rank="0" priority="1982" equalAverage="0" operator="greaterThan" aboveAverage="0" dxfId="10" text="" percent="0" bottom="0">
      <formula>GecOdemeEsik</formula>
    </cfRule>
  </conditionalFormatting>
  <conditionalFormatting sqref="E996">
    <cfRule type="cellIs" rank="0" priority="1983" equalAverage="0" operator="greaterThan" aboveAverage="0" dxfId="8" text="" percent="0" bottom="0">
      <formula>0</formula>
    </cfRule>
  </conditionalFormatting>
  <conditionalFormatting sqref="D997">
    <cfRule type="cellIs" rank="0" priority="1984" equalAverage="0" operator="greaterThan" aboveAverage="0" dxfId="10" text="" percent="0" bottom="0">
      <formula>GecOdemeEsik</formula>
    </cfRule>
  </conditionalFormatting>
  <conditionalFormatting sqref="E997">
    <cfRule type="cellIs" rank="0" priority="1985" equalAverage="0" operator="greaterThan" aboveAverage="0" dxfId="8" text="" percent="0" bottom="0">
      <formula>0</formula>
    </cfRule>
  </conditionalFormatting>
  <conditionalFormatting sqref="D998">
    <cfRule type="cellIs" rank="0" priority="1986" equalAverage="0" operator="greaterThan" aboveAverage="0" dxfId="10" text="" percent="0" bottom="0">
      <formula>GecOdemeEsik</formula>
    </cfRule>
  </conditionalFormatting>
  <conditionalFormatting sqref="E998">
    <cfRule type="cellIs" rank="0" priority="1987" equalAverage="0" operator="greaterThan" aboveAverage="0" dxfId="8" text="" percent="0" bottom="0">
      <formula>0</formula>
    </cfRule>
  </conditionalFormatting>
  <conditionalFormatting sqref="D999">
    <cfRule type="cellIs" rank="0" priority="1988" equalAverage="0" operator="greaterThan" aboveAverage="0" dxfId="10" text="" percent="0" bottom="0">
      <formula>GecOdemeEsik</formula>
    </cfRule>
  </conditionalFormatting>
  <conditionalFormatting sqref="E999">
    <cfRule type="cellIs" rank="0" priority="1989" equalAverage="0" operator="greaterThan" aboveAverage="0" dxfId="8" text="" percent="0" bottom="0">
      <formula>0</formula>
    </cfRule>
  </conditionalFormatting>
  <conditionalFormatting sqref="D1000">
    <cfRule type="cellIs" rank="0" priority="1990" equalAverage="0" operator="greaterThan" aboveAverage="0" dxfId="10" text="" percent="0" bottom="0">
      <formula>GecOdemeEsik</formula>
    </cfRule>
  </conditionalFormatting>
  <conditionalFormatting sqref="E1000">
    <cfRule type="cellIs" rank="0" priority="1991" equalAverage="0" operator="greaterThan" aboveAverage="0" dxfId="8" text="" percent="0" bottom="0">
      <formula>0</formula>
    </cfRule>
  </conditionalFormatting>
  <conditionalFormatting sqref="D1001">
    <cfRule type="cellIs" rank="0" priority="1992" equalAverage="0" operator="greaterThan" aboveAverage="0" dxfId="10" text="" percent="0" bottom="0">
      <formula>GecOdemeEsik</formula>
    </cfRule>
  </conditionalFormatting>
  <conditionalFormatting sqref="E1001">
    <cfRule type="cellIs" rank="0" priority="1993" equalAverage="0" operator="greaterThan" aboveAverage="0" dxfId="8" text="" percent="0" bottom="0">
      <formula>0</formula>
    </cfRule>
  </conditionalFormatting>
  <conditionalFormatting sqref="D1002">
    <cfRule type="cellIs" rank="0" priority="1994" equalAverage="0" operator="greaterThan" aboveAverage="0" dxfId="10" text="" percent="0" bottom="0">
      <formula>GecOdemeEsik</formula>
    </cfRule>
  </conditionalFormatting>
  <conditionalFormatting sqref="E1002">
    <cfRule type="cellIs" rank="0" priority="1995" equalAverage="0" operator="greaterThan" aboveAverage="0" dxfId="8" text="" percent="0" bottom="0">
      <formula>0</formula>
    </cfRule>
  </conditionalFormatting>
  <conditionalFormatting sqref="D1003">
    <cfRule type="cellIs" rank="0" priority="1996" equalAverage="0" operator="greaterThan" aboveAverage="0" dxfId="10" text="" percent="0" bottom="0">
      <formula>GecOdemeEsik</formula>
    </cfRule>
  </conditionalFormatting>
  <conditionalFormatting sqref="E1003">
    <cfRule type="cellIs" rank="0" priority="1997" equalAverage="0" operator="greaterThan" aboveAverage="0" dxfId="8" text="" percent="0" bottom="0">
      <formula>0</formula>
    </cfRule>
  </conditionalFormatting>
  <dataValidations count="2">
    <dataValidation sqref="B6:B1004" showDropDown="0" showInputMessage="1" showErrorMessage="1" allowBlank="1" errorTitle="Geçersiz tarih" error="01.01.2020'den sonraki bir tarih girin." promptTitle="Ödeme Tarihi" prompt="Taşerona ödemenin yapıldığı tarih." type="date" errorStyle="stop" operator="greaterThan">
      <formula1>2020-1-1</formula1>
      <formula2>0</formula2>
    </dataValidation>
    <dataValidation sqref="C6:C1004" showDropDown="0" showInputMessage="1" showErrorMessage="1" allowBlank="1" errorTitle="Geçersiz tutar" error="Tutar 0'dan küçük olamaz." promptTitle="Ödenen Tutar (₺)" prompt="Net olarak ödenen tuta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6" customWidth="1" style="99" min="1" max="1"/>
    <col width="34" customWidth="1" style="99" min="2" max="2"/>
  </cols>
  <sheetData>
    <row r="1" ht="25.5" customHeight="1" s="73">
      <c r="A1" s="111" t="inlineStr">
        <is>
          <t>MOTOR — TAŞERON/ALT YÜKLENİCİ HAKEDİŞ &amp; KESİNTİ MUTABAKATI</t>
        </is>
      </c>
    </row>
    <row r="3" ht="15" customHeight="1" s="73">
      <c r="A3" s="112" t="inlineStr">
        <is>
          <t>Hesaplama Motoru — Kesinti, Mutabakat ve Gecikme</t>
        </is>
      </c>
    </row>
    <row r="6" ht="15" customHeight="1" s="73">
      <c r="A6" s="130" t="inlineStr">
        <is>
          <t>Toplam Brüt Hakediş</t>
        </is>
      </c>
      <c r="B6" s="131">
        <f>IFERROR(ROUND(SUM(tblHakedis[Brüt Hakediş (₺)]),0),0)</f>
        <v/>
      </c>
    </row>
    <row r="7" ht="15" customHeight="1" s="73">
      <c r="A7" s="130" t="inlineStr">
        <is>
          <t>Toplam KDV</t>
        </is>
      </c>
      <c r="B7" s="131">
        <f>IFERROR(ROUND(SUM(tblHakedis[KDV (₺)]),0),0)</f>
        <v/>
      </c>
    </row>
    <row r="8" ht="15" customHeight="1" s="73">
      <c r="A8" s="130" t="inlineStr">
        <is>
          <t>Toplam KDV Tevkifatı</t>
        </is>
      </c>
      <c r="B8" s="131">
        <f>IFERROR(ROUND(SUM(tblHakedis[KDV Tevkifatı (₺)]),0),0)</f>
        <v/>
      </c>
    </row>
    <row r="9" ht="15" customHeight="1" s="73">
      <c r="A9" s="130" t="inlineStr">
        <is>
          <t>Toplam Gelir Vergisi Stopajı</t>
        </is>
      </c>
      <c r="B9" s="131">
        <f>IFERROR(ROUND(SUM(tblHakedis[Gelir Vergisi Stopajı (₺)]),0),0)</f>
        <v/>
      </c>
    </row>
    <row r="10" ht="15" customHeight="1" s="73">
      <c r="A10" s="130" t="inlineStr">
        <is>
          <t>Toplam SGK Kesintisi</t>
        </is>
      </c>
      <c r="B10" s="131">
        <f>IFERROR(ROUND(SUM(tblHakedis[SGK Kesintisi (₺)]),0),0)</f>
        <v/>
      </c>
    </row>
    <row r="11" ht="15" customHeight="1" s="73">
      <c r="A11" s="130" t="inlineStr">
        <is>
          <t>Toplam Teminat Kesintisi</t>
        </is>
      </c>
      <c r="B11" s="131">
        <f>IFERROR(ROUND(SUM(tblHakedis[Teminat Kesintisi (₺)]),0),0)</f>
        <v/>
      </c>
    </row>
    <row r="12" ht="15" customHeight="1" s="73">
      <c r="A12" s="132" t="inlineStr">
        <is>
          <t>Toplam Net Hakediş</t>
        </is>
      </c>
      <c r="B12" s="131">
        <f>IFERROR(ROUND(SUM(tblHakedis[Net Hakediş (₺)]),0),0)</f>
        <v/>
      </c>
    </row>
    <row r="13" ht="15" customHeight="1" s="73">
      <c r="A13" s="130" t="inlineStr">
        <is>
          <t>Toplam Ödenen</t>
        </is>
      </c>
      <c r="B13" s="131">
        <f>IFERROR(ROUND(SUM(tblOdeme[Ödenen Tutar (₺)]),0),0)</f>
        <v/>
      </c>
    </row>
    <row r="14" ht="15" customHeight="1" s="73">
      <c r="A14" s="132" t="inlineStr">
        <is>
          <t>Mutabakat Farkı</t>
        </is>
      </c>
      <c r="B14" s="131">
        <f>IFERROR(ToplamNetHakedis-ToplamOdenen,0)</f>
        <v/>
      </c>
    </row>
    <row r="15" ht="15" customHeight="1" s="73">
      <c r="A15" s="130" t="inlineStr">
        <is>
          <t>Mutabakat Farkı Oranı</t>
        </is>
      </c>
      <c r="B15" s="117">
        <f>IFERROR(IF(ToplamNetHakedis=0,0,MutabakatFarki/ToplamNetHakedis),0)</f>
        <v/>
      </c>
    </row>
    <row r="16" ht="15" customHeight="1" s="73">
      <c r="A16" s="130" t="inlineStr">
        <is>
          <t>Ortalama Kesinti Oranı</t>
        </is>
      </c>
      <c r="B16" s="117">
        <f>IFERROR(IF(ToplamBrutHakedis=0,0,(ToplamKdvTevkifat+ToplamStopaj+ToplamSgk+ToplamTeminat)/ToplamBrutHakedis),0)</f>
        <v/>
      </c>
    </row>
    <row r="17" ht="15" customHeight="1" s="73">
      <c r="A17" s="130" t="inlineStr">
        <is>
          <t>Geç Ödeme Günü Ortalaması</t>
        </is>
      </c>
      <c r="B17" s="118">
        <f>IFERROR(AVERAGE(tblOdeme[Geç Ödeme Gün]),0)</f>
        <v/>
      </c>
    </row>
    <row r="18" ht="15" customHeight="1" s="73">
      <c r="A18" s="130" t="inlineStr">
        <is>
          <t>Gecikme Maliyeti Toplamı</t>
        </is>
      </c>
      <c r="B18" s="131">
        <f>IFERROR(ROUND(SUM(tblOdeme[Gecikme Maliyeti (₺)]),0),0)</f>
        <v/>
      </c>
    </row>
    <row r="19" ht="15" customHeight="1" s="73">
      <c r="A19" s="132" t="inlineStr">
        <is>
          <t>Hak Kaybı Toplamı</t>
        </is>
      </c>
      <c r="B19" s="131">
        <f>IFERROR(MutabakatFarki+GecikmeMaliyetiToplam,0)</f>
        <v/>
      </c>
    </row>
    <row r="20" ht="15" customHeight="1" s="73">
      <c r="A20" s="130" t="inlineStr">
        <is>
          <t>Tahsilat Oranı</t>
        </is>
      </c>
      <c r="B20" s="117">
        <f>IFERROR(IF(ToplamNetHakedis=0,0,ToplamOdenen/ToplamNetHakedis),0)</f>
        <v/>
      </c>
    </row>
    <row r="21" ht="15" customHeight="1" s="73">
      <c r="A21" s="130" t="inlineStr">
        <is>
          <t>Anomali Hakediş Adedi</t>
        </is>
      </c>
      <c r="B21" s="118">
        <f>SUMPRODUCT(--(tblHakedis[Brüt Hakediş (₺)]&lt;&gt;""),--(ABS(tblHakedis[Brüt Hakediş (₺)]-IFERROR(AVERAGE(tblHakedis[Brüt Hakediş (₺)]),0))&gt;AnomaliZEsik*IFERROR(stdev.p(tblHakedis[Brüt Hakediş (₺)]),0)))</f>
        <v/>
      </c>
    </row>
    <row r="22" ht="15" customHeight="1" s="73">
      <c r="A22" s="130" t="inlineStr">
        <is>
          <t>Proje Süresi (Ay)</t>
        </is>
      </c>
      <c r="B22" s="118">
        <f>IFERROR(MAX(0,DATEDIF(IsBaslangic,IsBitis,"m")),0)</f>
        <v/>
      </c>
    </row>
    <row r="25" ht="15" customHeight="1" s="73">
      <c r="A25" s="112" t="inlineStr">
        <is>
          <t>Analitik Modül Hesapları</t>
        </is>
      </c>
    </row>
    <row r="26" ht="15" customHeight="1" s="73">
      <c r="A26" s="130" t="inlineStr">
        <is>
          <t>Modül T1: Hakediş Zaman Kapsamı</t>
        </is>
      </c>
      <c r="B26" s="118">
        <f>IFERROR(MAX(tblHakedis[Hakediş Tarihi])-MIN(tblHakedis[Hakediş Tarihi]),0)</f>
        <v/>
      </c>
    </row>
    <row r="27" ht="15" customHeight="1" s="73">
      <c r="A27" s="130" t="inlineStr">
        <is>
          <t>Modül T2: Hakediş Eğilimi (dönem başı)</t>
        </is>
      </c>
      <c r="B27" s="131">
        <f>IFERROR(SLOPE(tblHakedis[Brüt Hakediş (₺)],ROW(tblHakedis[Brüt Hakediş (₺)])-ROW(tblHakedis[[#Headers],[Brüt Hakediş (₺)]])),0)</f>
        <v/>
      </c>
    </row>
    <row r="28" ht="15" customHeight="1" s="73">
      <c r="A28" s="130" t="inlineStr">
        <is>
          <t>Modül T3: En Büyük Dönem Hakedişinin Payı</t>
        </is>
      </c>
      <c r="B28" s="117">
        <f>IFERROR(LARGE(tblHakedis[Brüt Hakediş (₺)],1)/MAX(1,SUM(tblHakedis[Brüt Hakediş (₺)])),0)</f>
        <v/>
      </c>
    </row>
    <row r="29" ht="15" customHeight="1" s="73">
      <c r="A29" s="130" t="inlineStr">
        <is>
          <t>Modül T5: Mutabakat Farkı</t>
        </is>
      </c>
      <c r="B29" s="131">
        <f>IFERROR(ToplamNetHakedis-ToplamOdenen,0)</f>
        <v/>
      </c>
    </row>
    <row r="30" ht="15" customHeight="1" s="73">
      <c r="A30" s="130" t="inlineStr">
        <is>
          <t>Modül T6: Kesinti Kırılım Oranı</t>
        </is>
      </c>
      <c r="B30" s="117">
        <f>IFERROR(IF(KesintiEsik=0,0,KesintiOrani/KesintiEsik),0)</f>
        <v/>
      </c>
    </row>
    <row r="31" ht="15" customHeight="1" s="73">
      <c r="A31" s="130" t="inlineStr">
        <is>
          <t>Modül O1: Anomali Oranı</t>
        </is>
      </c>
      <c r="B31" s="117">
        <f>IFERROR(IF(COUNT(tblHakedis[Brüt Hakediş (₺)])=0,0,AnomaliAdet/COUNT(tblHakedis[Brüt Hakediş (₺)])),0)</f>
        <v/>
      </c>
    </row>
    <row r="32" ht="15" customHeight="1" s="73">
      <c r="A32" s="130" t="inlineStr">
        <is>
          <t>Modül O2: En Etkili Değişken (Tornado)</t>
        </is>
      </c>
      <c r="B32" s="133">
        <f>IFERROR(INDEX(SENARYO_DUYARLILIK!$A$13:$A$14,MATCH(MAX(SENARYO_DUYARLILIK!$G$13:$G$14),SENARYO_DUYARLILIK!$G$13:$G$14,0)),"VERİ YOK")</f>
        <v/>
      </c>
    </row>
    <row r="33" ht="15" customHeight="1" s="73">
      <c r="A33" s="130" t="inlineStr">
        <is>
          <t>Modül O3: Baz Senaryo Farkı</t>
        </is>
      </c>
      <c r="B33" s="131">
        <f>SENARYO_DUYARLILIK!$D$8</f>
        <v/>
      </c>
    </row>
    <row r="34" ht="15" customHeight="1" s="73">
      <c r="A34" s="130" t="inlineStr">
        <is>
          <t>Modül O4: Geç Ödeme Günü Ortalaması</t>
        </is>
      </c>
      <c r="B34" s="118">
        <f>IFERROR(AVERAGE(tblOdeme[Geç Ödeme Gün]),0)</f>
        <v/>
      </c>
    </row>
    <row r="35" ht="15" customHeight="1" s="73">
      <c r="A35" s="130" t="inlineStr">
        <is>
          <t>Modül O6: Hakediş Yoğunlaşması (HHI)</t>
        </is>
      </c>
      <c r="B35" s="134">
        <f>IFERROR(SUMPRODUCT((IF(ISNUMBER(tblHakedis[Brüt Hakediş (₺)]),tblHakedis[Brüt Hakediş (₺)],0)/MAX(1,SUM(tblHakedis[Brüt Hakediş (₺)])))^2),0)</f>
        <v/>
      </c>
    </row>
    <row r="36" ht="15" customHeight="1" s="73">
      <c r="A36" s="130" t="inlineStr">
        <is>
          <t>Modül O8: Veri Kalite Skoru</t>
        </is>
      </c>
      <c r="B36" s="118">
        <f>KONTROL!$B$21</f>
        <v/>
      </c>
    </row>
    <row r="37" ht="15" customHeight="1" s="73">
      <c r="A37" s="130" t="inlineStr">
        <is>
          <t>Modül I1: Hakediş Tahmin Orta Noktası</t>
        </is>
      </c>
      <c r="B37" s="131">
        <f>IFERROR(forecast.lınear(COUNTA(tblHakedis[Hakediş Tarihi])+1,tblHakedis[Brüt Hakediş (₺)],ROW(tblHakedis[Brüt Hakediş (₺)])-ROW(tblHakedis[[#Headers],[Brüt Hakediş (₺)]])),0)</f>
        <v/>
      </c>
    </row>
    <row r="38" ht="15" customHeight="1" s="73">
      <c r="A38" s="130" t="inlineStr">
        <is>
          <t>Modül I2: Hakediş P90</t>
        </is>
      </c>
      <c r="B38" s="131">
        <f>IFERROR(PERCENTILE(tblHakedis[Brüt Hakediş (₺)],P90Kuantil),0)</f>
        <v/>
      </c>
    </row>
    <row r="39" ht="15" customHeight="1" s="73">
      <c r="A39" s="130" t="inlineStr">
        <is>
          <t>Modül I3: Ödeme Nakit Akışı Net Bugünkü Değeri</t>
        </is>
      </c>
      <c r="B39" s="131">
        <f>IFERROR(NPV(IskontoOrani,tblOdeme[Ödenen Tutar (₺)]),0)</f>
        <v/>
      </c>
    </row>
    <row r="40" ht="15" customHeight="1" s="73">
      <c r="A40" s="130" t="inlineStr">
        <is>
          <t>Modül I7: Nakit Açığı Köprüsü (Ek Hakediş İhtiyacı)</t>
        </is>
      </c>
      <c r="B40" s="131">
        <f>IFERROR(ABS(MutabakatFarki)/MAX(0.01,(1-KesintiOrani)),0)</f>
        <v/>
      </c>
    </row>
    <row r="41" ht="15" customHeight="1" s="73">
      <c r="A41" s="130" t="inlineStr">
        <is>
          <t>Değer Ölçer: Toplam Kazanım</t>
        </is>
      </c>
      <c r="B41" s="131">
        <f>IFERROR(MAX(0,HakKaybiToplam),0)</f>
        <v/>
      </c>
    </row>
    <row r="42" ht="15" customHeight="1" s="73">
      <c r="A42" s="130" t="inlineStr">
        <is>
          <t>Değer Ölçer: Kazanım Oranı</t>
        </is>
      </c>
      <c r="B42" s="117">
        <f>IFERROR(IF(SozlesmeBedeli=0,0,degerKazanim/SozlesmeBedeli),0)</f>
        <v/>
      </c>
    </row>
    <row r="44" ht="15" customHeight="1" s="73">
      <c r="A44" s="112" t="inlineStr">
        <is>
          <t>Modül Makine Yorumları</t>
        </is>
      </c>
    </row>
    <row r="45" ht="15" customHeight="1" s="73">
      <c r="A45" s="130" t="inlineStr">
        <is>
          <t>T1 Zaman Kapsamı</t>
        </is>
      </c>
      <c r="B45" s="118">
        <f>modulT1HakedisYasOrt</f>
        <v/>
      </c>
      <c r="C45" s="135">
        <f>_xlfn.TEXTJOIN(" | ",TRUE(),"T1: Hakedişler "&amp;modulT1HakedisYasOrt&amp;" günlük aralığa yayılıyor",IF(modulT1HakedisYasOrt&gt;365,"kapsam bir yılı aşıyor, dönem takibi gerekli","kapsam tek yıl içinde"))</f>
        <v/>
      </c>
    </row>
    <row r="46" ht="15" customHeight="1" s="73">
      <c r="A46" s="130" t="inlineStr">
        <is>
          <t>T2 Hakediş Eğilimi</t>
        </is>
      </c>
      <c r="B46" s="131">
        <f>modulT2HakedisEgim</f>
        <v/>
      </c>
      <c r="C46" s="135">
        <f>_xlfn.TEXTJOIN(" | ",TRUE(),"T2: Hakediş eğilimi dönem başına "&amp;TEXT(modulT2HakedisEgim,"#,##0")&amp;" TL değişim",IF(modulT2HakedisEgim&gt;0,"hakedişler yükselme eğiliminde","hakedişler düşme eğiliminde, hakediş takvimini gözden geçirin"))</f>
        <v/>
      </c>
    </row>
    <row r="47" ht="15" customHeight="1" s="73">
      <c r="A47" s="130" t="inlineStr">
        <is>
          <t>T3 Pareto Hakediş Payı</t>
        </is>
      </c>
      <c r="B47" s="117">
        <f>modulT3HakedisParetoPay</f>
        <v/>
      </c>
      <c r="C47" s="135">
        <f>_xlfn.TEXTJOIN(" | ",TRUE(),"T3: En büyük dönem toplam hakedişin "&amp;TEXT(modulT3HakedisParetoPay*100,"0")&amp;"% tutarında",IF(modulT3HakedisParetoPay&gt;ParetoEsikOran,"hakediş tek dönemde yoğun, ödeme takvimi riskli","hakediş dönemlere dağılmış"))</f>
        <v/>
      </c>
    </row>
    <row r="48" ht="15" customHeight="1" s="73">
      <c r="A48" s="130" t="inlineStr">
        <is>
          <t>T5 Mutabakat Farkı</t>
        </is>
      </c>
      <c r="B48" s="131">
        <f>modulT5MutabakatFark</f>
        <v/>
      </c>
      <c r="C48" s="135">
        <f>_xlfn.TEXTJOIN(" | ",TRUE(),"T5: Hak edilen ile ödenen arası fark "&amp;TEXT(modulT5MutabakatFark,"#,##0")&amp;" TL",IF(ABS(modulT5MutabakatFark)&lt;=MutabakatTolerans,"mutabakat sağlandı","mutabakat farkı var, ödeme kayıtlarını kontrol edin"))</f>
        <v/>
      </c>
    </row>
    <row r="49" ht="15" customHeight="1" s="73">
      <c r="A49" s="130" t="inlineStr">
        <is>
          <t>T6 Kesinti Kırılımı</t>
        </is>
      </c>
      <c r="B49" s="117">
        <f>modulT6KesintiKirilim</f>
        <v/>
      </c>
      <c r="C49" s="135">
        <f>_xlfn.TEXTJOIN(" | ",TRUE(),"T6: Kesinti oranı uyarı eşiğinin "&amp;TEXT(modulT6KesintiKirilim*100,"0")&amp;"% seviyesinde",IF(modulT6KesintiKirilim&gt;=1,"kesintiler yüksek, sözleşme oranlarını teyit edin","kesinti oranı eşik altında"))</f>
        <v/>
      </c>
    </row>
    <row r="50" ht="15" customHeight="1" s="73">
      <c r="A50" s="130" t="inlineStr">
        <is>
          <t>O1 Anomali Oranı</t>
        </is>
      </c>
      <c r="B50" s="117">
        <f>modulO1AnomaliOran</f>
        <v/>
      </c>
      <c r="C50" s="135">
        <f>_xlfn.TEXTJOIN(" | ",TRUE(),"O1: Hakedişlerin "&amp;TEXT(modulO1AnomaliOran*100,"0")&amp;"% dönemde anomali var",IF(modulO1AnomaliOran&gt;0,"uç dönemleri hakediş raporlarıyla mutabakat edin","hakediş dağılımı tutarlı"))</f>
        <v/>
      </c>
    </row>
    <row r="51" ht="15" customHeight="1" s="73">
      <c r="A51" s="130" t="inlineStr">
        <is>
          <t>O2 Tornado Zirve</t>
        </is>
      </c>
      <c r="B51" s="133">
        <f>modulO2TornadoZirve</f>
        <v/>
      </c>
      <c r="C51" s="135">
        <f>_xlfn.TEXTJOIN(" | ",TRUE(),"O2: Mutabakat farkını en çok etkileyen değişken: "&amp;modulO2TornadoZirve,IF(modulO2TornadoZirve="Ödenen Tutar","ödeme planını ve vade koşullarını gözden geçirin","ana değişken netleşti"))</f>
        <v/>
      </c>
    </row>
    <row r="52" ht="15" customHeight="1" s="73">
      <c r="A52" s="130" t="inlineStr">
        <is>
          <t>O3 Senaryo Baz Fark</t>
        </is>
      </c>
      <c r="B52" s="131">
        <f>modulO3SenaryoBazFark</f>
        <v/>
      </c>
      <c r="C52" s="135">
        <f>_xlfn.TEXTJOIN(" | ",TRUE(),"O3: Senaryo motoru — baz mutabakat farkı "&amp;TEXT(modulO3SenaryoBazFark,"#,##0")&amp;" TL",IF(ABS(modulO3SenaryoBazFark)&gt;MutabakatTolerans,"baz senaryoda mutabakat farkı var","senaryo aralığı karar için yeterli"))</f>
        <v/>
      </c>
    </row>
    <row r="53" ht="15" customHeight="1" s="73">
      <c r="A53" s="130" t="inlineStr">
        <is>
          <t>O4 Geç Ödeme Günü</t>
        </is>
      </c>
      <c r="B53" s="118">
        <f>modulO4GecOdemeGun</f>
        <v/>
      </c>
      <c r="C53" s="135">
        <f>_xlfn.TEXTJOIN(" | ",TRUE(),"O4: Ortalama geç ödeme "&amp;modulO4GecOdemeGun&amp;" gün",IF(modulO4GecOdemeGun&gt;GecOdemeEsik,"ödemeler eşik üstü gecikiyor, tahsilat planını güçlendirin","ödemeler eşik içinde"))</f>
        <v/>
      </c>
    </row>
    <row r="54" ht="15" customHeight="1" s="73">
      <c r="A54" s="130" t="inlineStr">
        <is>
          <t>O6 Yoğunlaşma HHI</t>
        </is>
      </c>
      <c r="B54" s="134">
        <f>modulO6HakedisHhi</f>
        <v/>
      </c>
      <c r="C54" s="135">
        <f>_xlfn.TEXTJOIN(" | ",TRUE(),"O6: Hakediş yoğunlaşma endeksi "&amp;TEXT(modulO6HakedisHhi,"0,00")&amp;" (HHI)",IF(modulO6HakedisHhi&gt;0.5,"hakediş tek dönemde yoğun, tahsilat riski izlenmeli","yoğunlaşma dağılmış"))</f>
        <v/>
      </c>
    </row>
    <row r="55" ht="15" customHeight="1" s="73">
      <c r="A55" s="130" t="inlineStr">
        <is>
          <t>O8 Veri Kalite Skoru</t>
        </is>
      </c>
      <c r="B55" s="118">
        <f>modulO8KaliteSkoru</f>
        <v/>
      </c>
      <c r="C55" s="135">
        <f>_xlfn.TEXTJOIN(" | ",TRUE(),"O8: Veri kalitesi "&amp;modulO8KaliteSkoru&amp;"/100",IF(modulO8KaliteSkoru&lt;VeriKaliteOrtaEsik,"girişler eksik, karar güvenilir değil","giriş kalitesi karar için yeterli"))</f>
        <v/>
      </c>
    </row>
    <row r="56" ht="15" customHeight="1" s="73">
      <c r="A56" s="130" t="inlineStr">
        <is>
          <t>I1 Tahmin Orta</t>
        </is>
      </c>
      <c r="B56" s="131">
        <f>modulI1HakedisTahminOrta</f>
        <v/>
      </c>
      <c r="C56" s="135">
        <f>_xlfn.TEXTJOIN(" | ",TRUE(),"I1: Tahmin — sonraki dönem hakedişi "&amp;TEXT(modulI1HakedisTahminOrta,"#,##0")&amp;" TL öngörülüyor",IF(modulI1HakedisTahminOrta&gt;MAX(tblHakedis[Brüt Hakediş (₺)]),"tahmin mevcut hakedişlerin üzerinde","tahmin mevcut seviyeye yakın"))</f>
        <v/>
      </c>
    </row>
    <row r="57" ht="15" customHeight="1" s="73">
      <c r="A57" s="130" t="inlineStr">
        <is>
          <t>I2 Yüzdelik P90</t>
        </is>
      </c>
      <c r="B57" s="131">
        <f>modulI2HakedisP90</f>
        <v/>
      </c>
      <c r="C57" s="135">
        <f>_xlfn.TEXTJOIN(" | ",TRUE(),"I2: Dağılım — hakedişlerin %90'ı "&amp;TEXT(modulI2HakedisP90,"#,##0")&amp;" TL değerinin altında",IF(modulI2HakedisP90&gt;0,"yüksek dönem yoğunlaşması var","dağılım dengeli"))</f>
        <v/>
      </c>
    </row>
    <row r="58" ht="15" customHeight="1" s="73">
      <c r="A58" s="130" t="inlineStr">
        <is>
          <t>I3 Ödeme NPV</t>
        </is>
      </c>
      <c r="B58" s="131">
        <f>modulI3NakitNpv</f>
        <v/>
      </c>
      <c r="C58" s="135">
        <f>_xlfn.TEXTJOIN(" | ",TRUE(),"I3: İskonto edilmiş ödeme akışı "&amp;TEXT(modulI3NakitNpv,"#,##0")&amp;" TL",IF(modulI3NakitNpv&lt;0,"ödeme akışı iskonto sonrası değer kaybediyor","ödeme akışı pozitif bugünkü değer üretiyor"))</f>
        <v/>
      </c>
    </row>
    <row r="59" ht="15" customHeight="1" s="73">
      <c r="A59" s="130" t="inlineStr">
        <is>
          <t>I7 Nakit Açığı Köprüsü</t>
        </is>
      </c>
      <c r="B59" s="131">
        <f>modulI7NakitAcikKopru</f>
        <v/>
      </c>
      <c r="C59" s="135">
        <f>_xlfn.TEXTJOIN(" | ",TRUE(),"I7: Farkı kapatmak için gereken ek hakediş "&amp;TEXT(modulI7NakitAcikKopru,"#,##0")&amp;" TL",IF(modulI7NakitAcikKopru&gt;0,"ödeme planı veya sözleşme revizyonunu değerlendirin","mutabakat köprüsüne gerek yok"))</f>
        <v/>
      </c>
    </row>
    <row r="61" ht="19.5" customHeight="1" s="73">
      <c r="A61" s="110" t="inlineStr">
        <is>
          <t>Tüm hesaplar tablolardan ve AYARLAR'daki oranlardan beslenir; gömülü sabit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7">
    <mergeCell ref="C48:Z48"/>
    <mergeCell ref="A61:AN61"/>
    <mergeCell ref="C56:Z56"/>
    <mergeCell ref="C49:Z49"/>
    <mergeCell ref="C59:Z59"/>
    <mergeCell ref="C51:Z51"/>
    <mergeCell ref="C46:Z46"/>
    <mergeCell ref="C47:Z47"/>
    <mergeCell ref="C54:Z54"/>
    <mergeCell ref="C58:Z58"/>
    <mergeCell ref="C50:Z50"/>
    <mergeCell ref="C57:Z57"/>
    <mergeCell ref="C55:Z55"/>
    <mergeCell ref="C53:Z53"/>
    <mergeCell ref="C45:Z45"/>
    <mergeCell ref="C52:Z52"/>
    <mergeCell ref="A1:AD1"/>
  </mergeCells>
  <conditionalFormatting sqref="B14">
    <cfRule type="cellIs" rank="0" priority="2" equalAverage="0" operator="greaterThan" aboveAverage="0" dxfId="8" text="" percent="0" bottom="0">
      <formula>MutabakatTolerans</formula>
    </cfRule>
    <cfRule type="cellIs" rank="0" priority="3" equalAverage="0" operator="lessThanOrEqual" aboveAverage="0" dxfId="7" text="" percent="0" bottom="0">
      <formula>MutabakatTolerans</formula>
    </cfRule>
  </conditionalFormatting>
  <conditionalFormatting sqref="B16">
    <cfRule type="cellIs" rank="0" priority="4" equalAverage="0" operator="greaterThan" aboveAverage="0" dxfId="10" text="" percent="0" bottom="0">
      <formula>KesintiEsik</formula>
    </cfRule>
  </conditionalFormatting>
  <conditionalFormatting sqref="B17">
    <cfRule type="cellIs" rank="0" priority="5" equalAverage="0" operator="greaterThan" aboveAverage="0" dxfId="10" text="" percent="0" bottom="0">
      <formula>GecOdemeEsik</formula>
    </cfRule>
  </conditionalFormatting>
  <conditionalFormatting sqref="B20">
    <cfRule type="cellIs" rank="0" priority="6" equalAverage="0" operator="lessThan" aboveAverage="0" dxfId="10" text="" percent="0" bottom="0">
      <formula>0.95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9" min="1" max="1"/>
    <col width="14" customWidth="1" style="99" min="2" max="2"/>
  </cols>
  <sheetData>
    <row r="1" ht="25.5" customHeight="1" s="73">
      <c r="A1" s="111" t="inlineStr">
        <is>
          <t>KONTROL — TAŞERON/ALT YÜKLENİCİ HAKEDİŞ &amp; KESİNTİ MUTABAKATI</t>
        </is>
      </c>
    </row>
    <row r="3" ht="15" customHeight="1" s="73">
      <c r="A3" s="112" t="inlineStr">
        <is>
          <t>Veri Kalitesi ve Sağlık Kontrolü</t>
        </is>
      </c>
    </row>
    <row r="5" ht="15" customHeight="1" s="73">
      <c r="A5" s="136" t="inlineStr">
        <is>
          <t>A. GİRİŞ TAMLIK KONTROLÜ</t>
        </is>
      </c>
    </row>
    <row r="7" ht="15" customHeight="1" s="73">
      <c r="A7" s="137" t="inlineStr">
        <is>
          <t>Yüklenici Adı Boş</t>
        </is>
      </c>
      <c r="B7" s="138">
        <f>IF(YukleniciFirma="","FAIL","PASS")</f>
        <v/>
      </c>
    </row>
    <row r="8" ht="15" customHeight="1" s="73">
      <c r="A8" s="137" t="inlineStr">
        <is>
          <t>Taşeron Adı Boş</t>
        </is>
      </c>
      <c r="B8" s="138">
        <f>IF(TasseronFirma="","FAIL","PASS")</f>
        <v/>
      </c>
    </row>
    <row r="9" ht="15" customHeight="1" s="73">
      <c r="A9" s="137" t="inlineStr">
        <is>
          <t>Sözleşme Bedeli Boş/Sıfır</t>
        </is>
      </c>
      <c r="B9" s="138">
        <f>IF(OR(SozlesmeBedeli="",SozlesmeBedeli&lt;=0),"FAIL","PASS")</f>
        <v/>
      </c>
    </row>
    <row r="10" ht="15" customHeight="1" s="73">
      <c r="A10" s="137" t="inlineStr">
        <is>
          <t>İş Bitiş Tarihi Baştan Önce</t>
        </is>
      </c>
      <c r="B10" s="138">
        <f>IF(OR(IsBaslangic="",IsBitis=""),"FAIL",IF(IsBitis&lt;IsBaslangic,"FAIL","PASS"))</f>
        <v/>
      </c>
    </row>
    <row r="11" ht="15" customHeight="1" s="73">
      <c r="A11" s="137" t="inlineStr">
        <is>
          <t>Hakediş Kaydı Yok</t>
        </is>
      </c>
      <c r="B11" s="138">
        <f>IF(COUNT(tblHakedis[Brüt Hakediş (₺)])=0,"FAIL","PASS")</f>
        <v/>
      </c>
    </row>
    <row r="12" ht="15" customHeight="1" s="73">
      <c r="A12" s="137" t="inlineStr">
        <is>
          <t>Ödeme Kaydı Yok</t>
        </is>
      </c>
      <c r="B12" s="138">
        <f>IF(COUNT(tblOdeme[Ödenen Tutar (₺)])=0,"WARN","PASS")</f>
        <v/>
      </c>
    </row>
    <row r="13" ht="15" customHeight="1" s="73">
      <c r="A13" s="137" t="inlineStr">
        <is>
          <t>Mutabakat Farkı Yüksek</t>
        </is>
      </c>
      <c r="B13" s="138">
        <f>IF(MutabakatFarki&gt;MutabakatTolerans,"WARN","PASS")</f>
        <v/>
      </c>
    </row>
    <row r="14" ht="15" customHeight="1" s="73">
      <c r="A14" s="137" t="inlineStr">
        <is>
          <t>Geç Ödeme Yüksek</t>
        </is>
      </c>
      <c r="B14" s="138">
        <f>IF(GecOdemeGunOrt&gt;GecOdemeEsik,"WARN","PASS")</f>
        <v/>
      </c>
    </row>
    <row r="15" ht="15" customHeight="1" s="73">
      <c r="A15" s="137" t="inlineStr">
        <is>
          <t>Kesinti Oranı Eşik Üstünde</t>
        </is>
      </c>
      <c r="B15" s="138">
        <f>IF(KesintiOrani&gt;KesintiEsik,"WARN","PASS")</f>
        <v/>
      </c>
    </row>
    <row r="16" ht="15" customHeight="1" s="73">
      <c r="A16" s="137" t="inlineStr">
        <is>
          <t>Tahsilat Oranı Düşük</t>
        </is>
      </c>
      <c r="B16" s="138">
        <f>IF(TahsilatOran=0,"WARN",IF(TahsilatOran&lt;0.95,"WARN","PASS"))</f>
        <v/>
      </c>
    </row>
    <row r="18" ht="15" customHeight="1" s="73">
      <c r="A18" s="136" t="inlineStr">
        <is>
          <t>B. SKOR VE SAĞLIK</t>
        </is>
      </c>
    </row>
    <row r="19" ht="15" customHeight="1" s="73">
      <c r="A19" s="137" t="inlineStr">
        <is>
          <t>PASS Sayısı</t>
        </is>
      </c>
      <c r="B19" s="139">
        <f>COUNTIF(B7:B16,"PASS")</f>
        <v/>
      </c>
    </row>
    <row r="20" ht="15" customHeight="1" s="73">
      <c r="A20" s="137" t="inlineStr">
        <is>
          <t>FAIL Sayısı</t>
        </is>
      </c>
      <c r="B20" s="139">
        <f>COUNTIF(B7:B16,"FAIL")</f>
        <v/>
      </c>
    </row>
    <row r="21" ht="15" customHeight="1" s="73">
      <c r="A21" s="140" t="inlineStr">
        <is>
          <t>Veri Kalite Skoru (0-100)</t>
        </is>
      </c>
      <c r="B21" s="141">
        <f>IF(COUNTIF(B7:B16,"FAIL")=0,ROUND(100-COUNTIF(B7:B16,"WARN")*VeriKaliteUyariCeza,0),0)</f>
        <v/>
      </c>
    </row>
    <row r="22" ht="15" customHeight="1" s="73">
      <c r="A22" s="137" t="inlineStr">
        <is>
          <t>Güven Seviyesi</t>
        </is>
      </c>
      <c r="B22" s="140">
        <f>IF(VeriKaliteSkoru=0,"VERİ YOK",IF(VeriKaliteSkoru&gt;=VeriKaliteIyiEsik,"YÜKSEK",IF(VeriKaliteSkoru&gt;=VeriKaliteOrtaEsik,"ORTA","DÜŞÜK")))</f>
        <v/>
      </c>
    </row>
    <row r="24" ht="15" customHeight="1" s="73">
      <c r="A24" s="137" t="inlineStr">
        <is>
          <t>Durum</t>
        </is>
      </c>
      <c r="B24" s="140">
        <f>IF(FAIL_Sayisi=0,"SAĞLIKLI","İNCELE")</f>
        <v/>
      </c>
    </row>
    <row r="26" ht="19.5" customHeight="1" s="73">
      <c r="A26" s="110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6:AN26"/>
    <mergeCell ref="A1:AD1"/>
  </mergeCells>
  <conditionalFormatting sqref="B7">
    <cfRule type="cellIs" rank="0" priority="2" equalAverage="0" operator="equal" aboveAverage="0" dxfId="8" text="" percent="0" bottom="0">
      <formula>"FAIL"</formula>
    </cfRule>
    <cfRule type="cellIs" rank="0" priority="3" equalAverage="0" operator="equal" aboveAverage="0" dxfId="10" text="" percent="0" bottom="0">
      <formula>"WARN"</formula>
    </cfRule>
    <cfRule type="cellIs" rank="0" priority="4" equalAverage="0" operator="equal" aboveAverage="0" dxfId="7" text="" percent="0" bottom="0">
      <formula>"PASS"</formula>
    </cfRule>
  </conditionalFormatting>
  <conditionalFormatting sqref="B8">
    <cfRule type="cellIs" rank="0" priority="5" equalAverage="0" operator="equal" aboveAverage="0" dxfId="8" text="" percent="0" bottom="0">
      <formula>"FAIL"</formula>
    </cfRule>
    <cfRule type="cellIs" rank="0" priority="6" equalAverage="0" operator="equal" aboveAverage="0" dxfId="10" text="" percent="0" bottom="0">
      <formula>"WARN"</formula>
    </cfRule>
    <cfRule type="cellIs" rank="0" priority="7" equalAverage="0" operator="equal" aboveAverage="0" dxfId="7" text="" percent="0" bottom="0">
      <formula>"PASS"</formula>
    </cfRule>
  </conditionalFormatting>
  <conditionalFormatting sqref="B9">
    <cfRule type="cellIs" rank="0" priority="8" equalAverage="0" operator="equal" aboveAverage="0" dxfId="8" text="" percent="0" bottom="0">
      <formula>"FAIL"</formula>
    </cfRule>
    <cfRule type="cellIs" rank="0" priority="9" equalAverage="0" operator="equal" aboveAverage="0" dxfId="10" text="" percent="0" bottom="0">
      <formula>"WARN"</formula>
    </cfRule>
    <cfRule type="cellIs" rank="0" priority="10" equalAverage="0" operator="equal" aboveAverage="0" dxfId="7" text="" percent="0" bottom="0">
      <formula>"PASS"</formula>
    </cfRule>
  </conditionalFormatting>
  <conditionalFormatting sqref="B10">
    <cfRule type="cellIs" rank="0" priority="11" equalAverage="0" operator="equal" aboveAverage="0" dxfId="8" text="" percent="0" bottom="0">
      <formula>"FAIL"</formula>
    </cfRule>
    <cfRule type="cellIs" rank="0" priority="12" equalAverage="0" operator="equal" aboveAverage="0" dxfId="10" text="" percent="0" bottom="0">
      <formula>"WARN"</formula>
    </cfRule>
    <cfRule type="cellIs" rank="0" priority="13" equalAverage="0" operator="equal" aboveAverage="0" dxfId="7" text="" percent="0" bottom="0">
      <formula>"PASS"</formula>
    </cfRule>
  </conditionalFormatting>
  <conditionalFormatting sqref="B11">
    <cfRule type="cellIs" rank="0" priority="14" equalAverage="0" operator="equal" aboveAverage="0" dxfId="8" text="" percent="0" bottom="0">
      <formula>"FAIL"</formula>
    </cfRule>
    <cfRule type="cellIs" rank="0" priority="15" equalAverage="0" operator="equal" aboveAverage="0" dxfId="10" text="" percent="0" bottom="0">
      <formula>"WARN"</formula>
    </cfRule>
    <cfRule type="cellIs" rank="0" priority="16" equalAverage="0" operator="equal" aboveAverage="0" dxfId="7" text="" percent="0" bottom="0">
      <formula>"PASS"</formula>
    </cfRule>
  </conditionalFormatting>
  <conditionalFormatting sqref="B12">
    <cfRule type="cellIs" rank="0" priority="17" equalAverage="0" operator="equal" aboveAverage="0" dxfId="8" text="" percent="0" bottom="0">
      <formula>"FAIL"</formula>
    </cfRule>
    <cfRule type="cellIs" rank="0" priority="18" equalAverage="0" operator="equal" aboveAverage="0" dxfId="10" text="" percent="0" bottom="0">
      <formula>"WARN"</formula>
    </cfRule>
    <cfRule type="cellIs" rank="0" priority="19" equalAverage="0" operator="equal" aboveAverage="0" dxfId="7" text="" percent="0" bottom="0">
      <formula>"PASS"</formula>
    </cfRule>
  </conditionalFormatting>
  <conditionalFormatting sqref="B13">
    <cfRule type="cellIs" rank="0" priority="20" equalAverage="0" operator="equal" aboveAverage="0" dxfId="8" text="" percent="0" bottom="0">
      <formula>"FAIL"</formula>
    </cfRule>
    <cfRule type="cellIs" rank="0" priority="21" equalAverage="0" operator="equal" aboveAverage="0" dxfId="10" text="" percent="0" bottom="0">
      <formula>"WARN"</formula>
    </cfRule>
    <cfRule type="cellIs" rank="0" priority="22" equalAverage="0" operator="equal" aboveAverage="0" dxfId="7" text="" percent="0" bottom="0">
      <formula>"PASS"</formula>
    </cfRule>
  </conditionalFormatting>
  <conditionalFormatting sqref="B14">
    <cfRule type="cellIs" rank="0" priority="23" equalAverage="0" operator="equal" aboveAverage="0" dxfId="8" text="" percent="0" bottom="0">
      <formula>"FAIL"</formula>
    </cfRule>
    <cfRule type="cellIs" rank="0" priority="24" equalAverage="0" operator="equal" aboveAverage="0" dxfId="10" text="" percent="0" bottom="0">
      <formula>"WARN"</formula>
    </cfRule>
    <cfRule type="cellIs" rank="0" priority="25" equalAverage="0" operator="equal" aboveAverage="0" dxfId="7" text="" percent="0" bottom="0">
      <formula>"PASS"</formula>
    </cfRule>
  </conditionalFormatting>
  <conditionalFormatting sqref="B15">
    <cfRule type="cellIs" rank="0" priority="26" equalAverage="0" operator="equal" aboveAverage="0" dxfId="8" text="" percent="0" bottom="0">
      <formula>"FAIL"</formula>
    </cfRule>
    <cfRule type="cellIs" rank="0" priority="27" equalAverage="0" operator="equal" aboveAverage="0" dxfId="10" text="" percent="0" bottom="0">
      <formula>"WARN"</formula>
    </cfRule>
    <cfRule type="cellIs" rank="0" priority="28" equalAverage="0" operator="equal" aboveAverage="0" dxfId="7" text="" percent="0" bottom="0">
      <formula>"PASS"</formula>
    </cfRule>
  </conditionalFormatting>
  <conditionalFormatting sqref="B16">
    <cfRule type="cellIs" rank="0" priority="29" equalAverage="0" operator="equal" aboveAverage="0" dxfId="8" text="" percent="0" bottom="0">
      <formula>"FAIL"</formula>
    </cfRule>
    <cfRule type="cellIs" rank="0" priority="30" equalAverage="0" operator="equal" aboveAverage="0" dxfId="10" text="" percent="0" bottom="0">
      <formula>"WARN"</formula>
    </cfRule>
    <cfRule type="cellIs" rank="0" priority="31" equalAverage="0" operator="equal" aboveAverage="0" dxfId="7" text="" percent="0" bottom="0">
      <formula>"PASS"</formula>
    </cfRule>
  </conditionalFormatting>
  <conditionalFormatting sqref="B21">
    <cfRule type="cellIs" rank="0" priority="32" equalAverage="0" operator="greaterThanOrEqual" aboveAverage="0" dxfId="7" text="" percent="0" bottom="0">
      <formula>90</formula>
    </cfRule>
    <cfRule type="cellIs" rank="0" priority="33" equalAverage="0" operator="lessThan" aboveAverage="0" dxfId="8" text="" percent="0" bottom="0">
      <formula>70</formula>
    </cfRule>
  </conditionalFormatting>
  <conditionalFormatting sqref="B24">
    <cfRule type="cellIs" rank="0" priority="34" equalAverage="0" operator="equal" aboveAverage="0" dxfId="7" text="" percent="0" bottom="0">
      <formula>"SAĞLIKLI"</formula>
    </cfRule>
    <cfRule type="cellIs" rank="0" priority="35" equalAverage="0" operator="equal" aboveAverage="0" dxfId="10" text="" percent="0" bottom="0">
      <formula>"İNCELE"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9" min="1" max="1"/>
    <col width="28" customWidth="1" style="99" min="2" max="2"/>
    <col width="22" customWidth="1" style="99" min="3" max="3"/>
  </cols>
  <sheetData>
    <row r="1" ht="25.5" customHeight="1" s="73">
      <c r="A1" s="111" t="inlineStr">
        <is>
          <t>KARAR — TAŞERON/ALT YÜKLENİCİ HAKEDİŞ &amp; KESİNTİ MUTABAKATI</t>
        </is>
      </c>
    </row>
    <row r="3" ht="15" customHeight="1" s="73">
      <c r="A3" s="112" t="inlineStr">
        <is>
          <t>Karar Motoru</t>
        </is>
      </c>
    </row>
    <row r="5" ht="15" customHeight="1" s="73">
      <c r="A5" s="136" t="inlineStr">
        <is>
          <t>MUTABAKAT VE KESİNTİ ÖZETİ</t>
        </is>
      </c>
    </row>
    <row r="6" ht="15" customHeight="1" s="73">
      <c r="A6" s="140" t="inlineStr">
        <is>
          <t>Mutabakat Farkı</t>
        </is>
      </c>
      <c r="B6" s="131">
        <f>MutabakatFarki</f>
        <v/>
      </c>
    </row>
    <row r="7" ht="15" customHeight="1" s="73">
      <c r="A7" s="140" t="inlineStr">
        <is>
          <t>Mutabakat Farkı Oranı</t>
        </is>
      </c>
      <c r="B7" s="117">
        <f>MutabakatFarkiOran</f>
        <v/>
      </c>
    </row>
    <row r="8" ht="15" customHeight="1" s="73">
      <c r="A8" s="140" t="inlineStr">
        <is>
          <t>Kesinti Oranı</t>
        </is>
      </c>
      <c r="B8" s="117">
        <f>KesintiOrani</f>
        <v/>
      </c>
    </row>
    <row r="9" ht="15" customHeight="1" s="73">
      <c r="A9" s="140" t="inlineStr">
        <is>
          <t>Geç Ödeme Günü Ortalaması</t>
        </is>
      </c>
      <c r="B9" s="118">
        <f>GecOdemeGunOrt</f>
        <v/>
      </c>
    </row>
    <row r="11" ht="18.75" customHeight="1" s="73">
      <c r="A11" s="112" t="inlineStr">
        <is>
          <t>KARAR</t>
        </is>
      </c>
      <c r="B11" s="142">
        <f>IF(VeriKaliteSkoru=0,"VERİ YOK",IF(OR(MutabakatFarki&lt;0,ToplamOdenen&lt;0),"DURDUR",IF(MutabakatFarki&gt;MutabakatTolerans,"DURDUR",IF(MutabakatFarkiOran&gt;MutabakatFarkiEsik,"İNCELE",IF(GecOdemeGunOrt&gt;GecOdemeEsik,"İNCELE",IF(KesintiOrani&gt;KesintiEsik,"İNCELE","UYGUN"))))))</f>
        <v/>
      </c>
    </row>
    <row r="12" ht="27.75" customHeight="1" s="73">
      <c r="A12" s="140" t="inlineStr">
        <is>
          <t>GEREKÇE</t>
        </is>
      </c>
      <c r="B12" s="143">
        <f>IF(VeriKaliteSkoru=0,"Girdi eksik; lütfen sarı hücreleri doldurun.",IF(MutabakatFarki&lt;0,"Mutabakat farkı negatif: ödenen tutar hak edilenin üzerinde. Kayıtları mutabakat edin.",IF(MutabakatFarki&gt;MutabakatTolerans,"Mutabakat farkı "&amp;TEXT(MutabakatFarki,"#,##0")&amp;" ₺; tahsilat takvimini güçlendirin.",IF(MutabakatFarkiOran&gt;MutabakatFarkiEsik,"Fark oranı "&amp;TEXT(MutabakatFarkiOran,"0.0%")&amp;" eşik üstünde.",IF(GecOdemeGunOrt&gt;GecOdemeEsik,"Ortalama gecikme "&amp;TEXT(GecOdemeGunOrt,"0")&amp;" gün; vade koşullarını gözden geçirin.",IF(KesintiOrani&gt;KesintiEsik,"Kesinti oranı "&amp;TEXT(KesintiOrani,"0.0%")&amp;" eşik üstünde; oranları sözleşmeden teyit edin.","Mutabakat, ödeme ve kesinti kabul edilebilir aralıkta."))))))</f>
        <v/>
      </c>
    </row>
    <row r="14" ht="15" customHeight="1" s="73">
      <c r="A14" s="136" t="inlineStr">
        <is>
          <t>AKSİYONLAR</t>
        </is>
      </c>
    </row>
    <row r="15" ht="15" customHeight="1" s="73">
      <c r="A15" s="143">
        <f>IF(OR(KararSonuc="VERİ YOK",KararSonuc="DURDUR"),"Hakediş ve ödeme kayıtlarını tek tek mutabakat edin; farkın kaynağını belgelendirin",IF(MutabakatFarkiOran&gt;MutabakatFarkiEsik,"Tahsilat planını ve vade koşullarını taşeronla yeniden müzakere edin","Ödeme takvimini ve kesinti oranlarını dönem planına işleyin"))</f>
        <v/>
      </c>
    </row>
    <row r="16" ht="15" customHeight="1" s="73">
      <c r="A16" s="143">
        <f>IF(GecOdemeGunOrt&gt;GecOdemeEsik,"Gecikme maliyetini taraflar arası sözleşme hükümlerine göre hesaplayın ve izleyin","Gecikme maliyeti kabul edilebilir seviyede")</f>
        <v/>
      </c>
    </row>
    <row r="17" ht="15" customHeight="1" s="73">
      <c r="A17" s="143">
        <f>IF(KesintiOrani&gt;KesintiEsik,"Kesinti oranlarını sözleşme ve mevzuat tebliğleriyle teyit edin","Kesinti oranları normal seviyede")</f>
        <v/>
      </c>
    </row>
    <row r="18" ht="15" customHeight="1" s="73">
      <c r="A18" s="143">
        <f>IF(AnomaliAdet&gt;0,"Anomali hakedişleri inceleyin; kesinti ve tahsilat farklarını mutabakat edin","Hakedişler tutarlı dağılıyor")</f>
        <v/>
      </c>
    </row>
    <row r="21" ht="19.5" customHeight="1" s="73">
      <c r="A21" s="110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8:C18"/>
    <mergeCell ref="A15:C15"/>
    <mergeCell ref="A16:C16"/>
    <mergeCell ref="A1:AD1"/>
  </mergeCells>
  <conditionalFormatting sqref="B11">
    <cfRule type="cellIs" rank="0" priority="2" equalAverage="0" operator="equal" aboveAverage="0" dxfId="11" text="" percent="0" bottom="0">
      <formula>"UYGUN"</formula>
    </cfRule>
    <cfRule type="cellIs" rank="0" priority="3" equalAverage="0" operator="equal" aboveAverage="0" dxfId="12" text="" percent="0" bottom="0">
      <formula>"İNCELE"</formula>
    </cfRule>
    <cfRule type="cellIs" rank="0" priority="4" equalAverage="0" operator="equal" aboveAverage="0" dxfId="13" text="" percent="0" bottom="0">
      <formula>"DURDUR"</formula>
    </cfRule>
    <cfRule type="cellIs" rank="0" priority="5" equalAverage="0" operator="equal" aboveAverage="0" dxfId="14" text="" percent="0" bottom="0">
      <formula>"VERİ YOK"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9" min="1" max="1"/>
    <col width="16" customWidth="1" style="99" min="2" max="3"/>
    <col width="18" customWidth="1" style="99" min="4" max="6"/>
    <col width="14" customWidth="1" style="99" min="7" max="7"/>
  </cols>
  <sheetData>
    <row r="1" ht="25.5" customHeight="1" s="73">
      <c r="A1" s="111" t="inlineStr">
        <is>
          <t>SENARYO DUYARLILIK — TAŞERON/ALT YÜKLENİCİ HAKEDİŞ &amp; KESİNTİ MUTABAKATI</t>
        </is>
      </c>
    </row>
    <row r="3" ht="15" customHeight="1" s="73">
      <c r="A3" s="112" t="inlineStr">
        <is>
          <t>Senaryo ve Duyarlılık Analizi</t>
        </is>
      </c>
    </row>
    <row r="5" ht="15" customHeight="1" s="73">
      <c r="A5" s="136" t="inlineStr">
        <is>
          <t>A. SENARYO MOTORU</t>
        </is>
      </c>
    </row>
    <row r="6" ht="30" customHeight="1" s="73">
      <c r="A6" s="119" t="inlineStr">
        <is>
          <t>Senaryo</t>
        </is>
      </c>
      <c r="B6" s="119" t="inlineStr">
        <is>
          <t>Hakediş Çarpanı</t>
        </is>
      </c>
      <c r="C6" s="119" t="inlineStr">
        <is>
          <t>Ödeme Çarpanı</t>
        </is>
      </c>
      <c r="D6" s="119" t="inlineStr">
        <is>
          <t>Mutabakat Farkı (₺)</t>
        </is>
      </c>
      <c r="E6" s="119" t="inlineStr">
        <is>
          <t>Fark Oranı</t>
        </is>
      </c>
      <c r="F6" s="119" t="inlineStr">
        <is>
          <t>Gecikme Maliyeti (₺)</t>
        </is>
      </c>
      <c r="G6" s="119" t="inlineStr">
        <is>
          <t>Karar</t>
        </is>
      </c>
    </row>
    <row r="7" ht="15" customHeight="1" s="73">
      <c r="A7" s="113" t="inlineStr">
        <is>
          <t>KÖTÜMSER</t>
        </is>
      </c>
      <c r="B7" s="117">
        <f>IFERROR(IF(COUNT(tblHakedis[Brüt Hakediş (₺)])=0,1-SenaryoKotumserKat,MAX(0.01,MIN(tblHakedis[Brüt Hakediş (₺)])/IFERROR(AVERAGE(tblHakedis[Brüt Hakediş (₺)]),1))),1-SenaryoKotumserKat)</f>
        <v/>
      </c>
      <c r="C7" s="117">
        <f>IFERROR(IF(COUNT(tblOdeme[Ödenen Tutar (₺)])=0,1-SenaryoKotumserKat,MAX(0.01,MIN(tblOdeme[Ödenen Tutar (₺)])/IFERROR(AVERAGE(tblOdeme[Ödenen Tutar (₺)]),1))),1-SenaryoKotumserKat)</f>
        <v/>
      </c>
      <c r="D7" s="131">
        <f>IFERROR(ToplamNetHakedis*B7-ToplamOdenen*C7,0)</f>
        <v/>
      </c>
      <c r="E7" s="117">
        <f>IFERROR(IF(ToplamNetHakedis*B7=0,0,(ToplamNetHakedis*B7-ToplamOdenen*C7)/(ToplamNetHakedis*B7)),0)</f>
        <v/>
      </c>
      <c r="F7" s="131">
        <f>IFERROR(GecikmeMaliyetiToplam*(1+SenaryoKotumserKat),0)</f>
        <v/>
      </c>
      <c r="G7" s="138">
        <f>IF(VeriKaliteSkoru=0,"VERİ YOK",IF(D7&lt;0,"DURDUR",IF(ABS(E7)&gt;MutabakatFarkiEsik,"İNCELE","UYGUN")))</f>
        <v/>
      </c>
    </row>
    <row r="8" ht="15" customHeight="1" s="73">
      <c r="A8" s="113" t="inlineStr">
        <is>
          <t>BAZ</t>
        </is>
      </c>
      <c r="B8" s="117">
        <f>1</f>
        <v/>
      </c>
      <c r="C8" s="117">
        <f>1</f>
        <v/>
      </c>
      <c r="D8" s="131">
        <f>IFERROR(ToplamNetHakedis*B8-ToplamOdenen*C8,0)</f>
        <v/>
      </c>
      <c r="E8" s="117">
        <f>IFERROR(IF(ToplamNetHakedis*B8=0,0,(ToplamNetHakedis*B8-ToplamOdenen*C8)/(ToplamNetHakedis*B8)),0)</f>
        <v/>
      </c>
      <c r="F8" s="131">
        <f>GecikmeMaliyetiToplam</f>
        <v/>
      </c>
      <c r="G8" s="138">
        <f>IF(VeriKaliteSkoru=0,"VERİ YOK",IF(D8&lt;0,"DURDUR",IF(ABS(E8)&gt;MutabakatFarkiEsik,"İNCELE","UYGUN")))</f>
        <v/>
      </c>
    </row>
    <row r="9" ht="15" customHeight="1" s="73">
      <c r="A9" s="113" t="inlineStr">
        <is>
          <t>İYİMSER</t>
        </is>
      </c>
      <c r="B9" s="117">
        <f>IFERROR(IF(COUNT(tblHakedis[Brüt Hakediş (₺)])=0,1+SenaryoIyimserKat,MAX(1+SenaryoIyimserKat,MAX(tblHakedis[Brüt Hakediş (₺)])/IFERROR(AVERAGE(tblHakedis[Brüt Hakediş (₺)]),1))),1+SenaryoIyimserKat)</f>
        <v/>
      </c>
      <c r="C9" s="117">
        <f>IFERROR(IF(COUNT(tblOdeme[Ödenen Tutar (₺)])=0,1+SenaryoIyimserKat,MAX(1+SenaryoIyimserKat,MAX(tblOdeme[Ödenen Tutar (₺)])/IFERROR(AVERAGE(tblOdeme[Ödenen Tutar (₺)]),1))),1+SenaryoIyimserKat)</f>
        <v/>
      </c>
      <c r="D9" s="131">
        <f>IFERROR(ToplamNetHakedis*B9-ToplamOdenen*C9,0)</f>
        <v/>
      </c>
      <c r="E9" s="117">
        <f>IFERROR(IF(ToplamNetHakedis*B9=0,0,(ToplamNetHakedis*B9-ToplamOdenen*C9)/(ToplamNetHakedis*B9)),0)</f>
        <v/>
      </c>
      <c r="F9" s="131">
        <f>IFERROR(GecikmeMaliyetiToplam*(1-SenaryoIyimserKat),0)</f>
        <v/>
      </c>
      <c r="G9" s="138">
        <f>IF(VeriKaliteSkoru=0,"VERİ YOK",IF(D9&lt;0,"DURDUR",IF(ABS(E9)&gt;MutabakatFarkiEsik,"İNCELE","UYGUN")))</f>
        <v/>
      </c>
    </row>
    <row r="11" ht="15" customHeight="1" s="73">
      <c r="A11" s="136" t="inlineStr">
        <is>
          <t>B. TORNADO / DUYARLILIK</t>
        </is>
      </c>
    </row>
    <row r="12" ht="30" customHeight="1" s="73">
      <c r="A12" s="119" t="inlineStr">
        <is>
          <t>Değişken</t>
        </is>
      </c>
      <c r="B12" s="119" t="inlineStr">
        <is>
          <t>Alt (-%5)</t>
        </is>
      </c>
      <c r="C12" s="119" t="inlineStr">
        <is>
          <t>Baz</t>
        </is>
      </c>
      <c r="D12" s="119" t="inlineStr">
        <is>
          <t>Üst (+%5)</t>
        </is>
      </c>
      <c r="E12" s="119" t="inlineStr">
        <is>
          <t>Fark Alt</t>
        </is>
      </c>
      <c r="F12" s="119" t="inlineStr">
        <is>
          <t>Fark Üst</t>
        </is>
      </c>
      <c r="G12" s="119" t="inlineStr">
        <is>
          <t>Etki (puan)</t>
        </is>
      </c>
    </row>
    <row r="13" ht="15" customHeight="1" s="73">
      <c r="A13" s="140" t="inlineStr">
        <is>
          <t>Hakediş Değişimi</t>
        </is>
      </c>
      <c r="B13" s="131">
        <f>ToplamNetHakedis*(1-DuyarliDegisim)</f>
        <v/>
      </c>
      <c r="C13" s="131">
        <f>ToplamNetHakedis</f>
        <v/>
      </c>
      <c r="D13" s="131">
        <f>ToplamNetHakedis*(1+DuyarliDegisim)</f>
        <v/>
      </c>
      <c r="E13" s="117">
        <f>IFERROR(IF(ToplamNetHakedis=0,0,(E13-ToplamOdenen)/E13),0)</f>
        <v/>
      </c>
      <c r="F13" s="117">
        <f>IFERROR(IF(ToplamNetHakedis=0,0,(G13-ToplamOdenen)/G13),0)</f>
        <v/>
      </c>
      <c r="G13" s="117">
        <f>ABS(F13-E13)</f>
        <v/>
      </c>
    </row>
    <row r="14" ht="15" customHeight="1" s="73">
      <c r="A14" s="140" t="inlineStr">
        <is>
          <t>Ödeme Değişimi</t>
        </is>
      </c>
      <c r="B14" s="131">
        <f>ToplamOdenen*(1-DuyarliDegisim)</f>
        <v/>
      </c>
      <c r="C14" s="131">
        <f>ToplamOdenen</f>
        <v/>
      </c>
      <c r="D14" s="131">
        <f>ToplamOdenen*(1+DuyarliDegisim)</f>
        <v/>
      </c>
      <c r="E14" s="117">
        <f>IFERROR(IF(ToplamNetHakedis=0,0,(ToplamNetHakedis-E14)/ToplamNetHakedis),0)</f>
        <v/>
      </c>
      <c r="F14" s="117">
        <f>IFERROR(IF(ToplamNetHakedis=0,0,(ToplamNetHakedis-G14)/ToplamNetHakedis),0)</f>
        <v/>
      </c>
      <c r="G14" s="117">
        <f>ABS(F14-E14)</f>
        <v/>
      </c>
    </row>
    <row r="16" ht="15" customHeight="1" s="73">
      <c r="A16" s="136" t="inlineStr">
        <is>
          <t>C. EŞİK / KIRILIM ANALİZİ</t>
        </is>
      </c>
    </row>
    <row r="17" ht="15" customHeight="1" s="73">
      <c r="A17" s="140" t="inlineStr">
        <is>
          <t>Kırılım: Mutabakat Farkını Sıfırlayan Ödeme Artışı</t>
        </is>
      </c>
      <c r="B17" s="117">
        <f>IFERROR(IF(ToplamOdenen=0,0,MutabakatFarki/ToplamOdenen),0)</f>
        <v/>
      </c>
    </row>
    <row r="18" ht="15" customHeight="1" s="73">
      <c r="A18" s="140" t="inlineStr">
        <is>
          <t>Mutabakat Farkı Oranı - Eşik Farkı</t>
        </is>
      </c>
      <c r="B18" s="117">
        <f>IFERROR(MutabakatFarkiOran-MutabakatFarkiEsik,0)</f>
        <v/>
      </c>
    </row>
    <row r="19" ht="15" customHeight="1" s="73">
      <c r="A19" s="140" t="inlineStr">
        <is>
          <t>Değer Ölçer: Net Hakediş + Gecikme Maliyeti</t>
        </is>
      </c>
      <c r="B19" s="131">
        <f>IFERROR(ToplamNetHakedis+GecikmeMaliyetiToplam,0)</f>
        <v/>
      </c>
    </row>
    <row r="21" ht="19.5" customHeight="1" s="73">
      <c r="A21" s="110" t="inlineStr">
        <is>
          <t>Senaryo çarpanları ve duyarlılık oranı AYARLAR'dan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G7">
    <cfRule type="cellIs" rank="0" priority="2" equalAverage="0" operator="equal" aboveAverage="0" dxfId="7" text="" percent="0" bottom="0">
      <formula>"UYGUN"</formula>
    </cfRule>
    <cfRule type="cellIs" rank="0" priority="3" equalAverage="0" operator="equal" aboveAverage="0" dxfId="10" text="" percent="0" bottom="0">
      <formula>"İNCELE"</formula>
    </cfRule>
    <cfRule type="cellIs" rank="0" priority="4" equalAverage="0" operator="equal" aboveAverage="0" dxfId="8" text="" percent="0" bottom="0">
      <formula>"DURDUR"</formula>
    </cfRule>
  </conditionalFormatting>
  <conditionalFormatting sqref="G8">
    <cfRule type="cellIs" rank="0" priority="5" equalAverage="0" operator="equal" aboveAverage="0" dxfId="7" text="" percent="0" bottom="0">
      <formula>"UYGUN"</formula>
    </cfRule>
    <cfRule type="cellIs" rank="0" priority="6" equalAverage="0" operator="equal" aboveAverage="0" dxfId="10" text="" percent="0" bottom="0">
      <formula>"İNCELE"</formula>
    </cfRule>
    <cfRule type="cellIs" rank="0" priority="7" equalAverage="0" operator="equal" aboveAverage="0" dxfId="8" text="" percent="0" bottom="0">
      <formula>"DURDUR"</formula>
    </cfRule>
  </conditionalFormatting>
  <conditionalFormatting sqref="G9">
    <cfRule type="cellIs" rank="0" priority="8" equalAverage="0" operator="equal" aboveAverage="0" dxfId="7" text="" percent="0" bottom="0">
      <formula>"UYGUN"</formula>
    </cfRule>
    <cfRule type="cellIs" rank="0" priority="9" equalAverage="0" operator="equal" aboveAverage="0" dxfId="10" text="" percent="0" bottom="0">
      <formula>"İNCELE"</formula>
    </cfRule>
    <cfRule type="cellIs" rank="0" priority="10" equalAverage="0" operator="equal" aboveAverage="0" dxfId="8" text="" percent="0" bottom="0">
      <formula>"DURDUR"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9" min="1" max="1"/>
    <col width="26" customWidth="1" style="99" min="2" max="2"/>
    <col width="14" customWidth="1" style="99" min="3" max="3"/>
  </cols>
  <sheetData>
    <row r="1" ht="25.5" customHeight="1" s="73">
      <c r="A1" s="152" t="inlineStr">
        <is>
          <t>TAŞERON HAKEDİŞ VE KESİNTİ MUTABAKAT RAPORU</t>
        </is>
      </c>
    </row>
    <row r="2" ht="15" customHeight="1" s="73">
      <c r="A2" s="103">
        <f>SozlesmeAdi &amp; " — " &amp; TasseronFirma</f>
        <v/>
      </c>
    </row>
    <row r="3" ht="15" customHeight="1" s="73">
      <c r="A3" s="106">
        <f>TEXT(SozlesmeTarihi,"gg.aa.yyyy") &amp; " | Rapor: " &amp; TEXT(raporTarihi,"gg.aa.yyyy")</f>
        <v/>
      </c>
    </row>
    <row r="5" ht="15" customHeight="1" s="73">
      <c r="A5" s="136" t="inlineStr">
        <is>
          <t>1. ÖZET</t>
        </is>
      </c>
    </row>
    <row r="6" ht="15" customHeight="1" s="73">
      <c r="A6" s="137" t="inlineStr">
        <is>
          <t>Sözleşme Bedeli</t>
        </is>
      </c>
      <c r="B6" s="153">
        <f>SozlesmeBedeli</f>
        <v/>
      </c>
    </row>
    <row r="7" ht="15" customHeight="1" s="73">
      <c r="A7" s="137" t="inlineStr">
        <is>
          <t>Toplam Net Hakediş</t>
        </is>
      </c>
      <c r="B7" s="153">
        <f>ToplamNetHakedis</f>
        <v/>
      </c>
    </row>
    <row r="8" ht="15" customHeight="1" s="73">
      <c r="A8" s="137" t="inlineStr">
        <is>
          <t>Mutabakat Farkı</t>
        </is>
      </c>
      <c r="B8" s="153">
        <f>MutabakatFarki</f>
        <v/>
      </c>
    </row>
    <row r="9" ht="15" customHeight="1" s="73">
      <c r="A9" s="137" t="inlineStr">
        <is>
          <t>Kesinti Oranı</t>
        </is>
      </c>
      <c r="B9" s="154">
        <f>KesintiOrani</f>
        <v/>
      </c>
    </row>
    <row r="10" ht="15" customHeight="1" s="73">
      <c r="A10" s="137" t="inlineStr">
        <is>
          <t>Karar</t>
        </is>
      </c>
      <c r="B10" s="137">
        <f>KararSonuc</f>
        <v/>
      </c>
    </row>
    <row r="12" ht="15" customHeight="1" s="73">
      <c r="A12" s="136" t="inlineStr">
        <is>
          <t>2. KARAR GEREKÇESİ</t>
        </is>
      </c>
    </row>
    <row r="13" ht="15" customHeight="1" s="73">
      <c r="A13" s="143">
        <f>KararGerekce</f>
        <v/>
      </c>
    </row>
    <row r="15" ht="15" customHeight="1" s="73">
      <c r="A15" s="136" t="inlineStr">
        <is>
          <t>3. VARSAYIMLAR</t>
        </is>
      </c>
    </row>
    <row r="16" ht="15" customHeight="1" s="73">
      <c r="A16" s="106" t="inlineStr">
        <is>
          <t>• KDV oranı, tevkifat, stopaj, SGK ve teminat oranları AYARLAR sayfasından alınır.</t>
        </is>
      </c>
    </row>
    <row r="17" ht="15" customHeight="1" s="73">
      <c r="A17" s="106" t="inlineStr">
        <is>
          <t>• Geç ödeme günü, ödeme tarihinin vadeyi aşan kısmıdır; gecikme maliyeti yıllık faiz oranından günlüğe çevrilir.</t>
        </is>
      </c>
    </row>
    <row r="18" ht="15" customHeight="1" s="73">
      <c r="A18" s="106" t="inlineStr">
        <is>
          <t>• Mutabakat farkı, hak edilen net tutar ile fiilen ödenen tutar arasındaki farktır.</t>
        </is>
      </c>
    </row>
    <row r="19" ht="15" customHeight="1" s="73">
      <c r="A19" s="106" t="inlineStr">
        <is>
          <t>• SGK kesintisi, alt işveren prim sorumluluğu kapsamında sözleşme hükümlerine göre yapılan ayrıştırmadır.</t>
        </is>
      </c>
    </row>
    <row r="22" ht="15" customHeight="1" s="73">
      <c r="A22" s="136" t="inlineStr">
        <is>
          <t>4. UYARILAR</t>
        </is>
      </c>
    </row>
    <row r="23" ht="15" customHeight="1" s="73">
      <c r="A23" s="155">
        <f>IF(MutabakatFarki&gt;MutabakatTolerans,"Mutabakat farkı var; ödeme kayıtlarını gözden geçirin.","Mutabakat sağlanmış görünüyor.")</f>
        <v/>
      </c>
    </row>
    <row r="24" ht="15" customHeight="1" s="73">
      <c r="A24" s="155">
        <f>IF(GecOdemeGunOrt&gt;GecOdemeEsik,"Ortalama gecikme eşik üstünde; vade koşullarını gözden geçirin.","Gecikme kabul edilebilir seviyede.")</f>
        <v/>
      </c>
    </row>
    <row r="26" ht="15" customHeight="1" s="73">
      <c r="A26" s="136" t="inlineStr">
        <is>
          <t>5. ÖNERİLEN AKSİYONLAR</t>
        </is>
      </c>
    </row>
    <row r="27" ht="15" customHeight="1" s="73">
      <c r="A27" s="137">
        <f>Aksiyon1</f>
        <v/>
      </c>
    </row>
    <row r="28" ht="15" customHeight="1" s="73">
      <c r="A28" s="137">
        <f>Aksiyon2</f>
        <v/>
      </c>
    </row>
    <row r="29" ht="15" customHeight="1" s="73">
      <c r="A29" s="137">
        <f>Aksiyon3</f>
        <v/>
      </c>
    </row>
    <row r="31" ht="15" customHeight="1" s="73">
      <c r="A31" s="156">
        <f>SozlesmeAdi &amp; " | " &amp; TEXT(raporTarihi,"gg.aa.yyyy") &amp; " | Rev 1.0"</f>
        <v/>
      </c>
    </row>
    <row r="32" ht="15" customHeight="1" s="73">
      <c r="A32" s="156" t="inlineStr">
        <is>
          <t>Bu rapor karar destek çıktısıdır; mali müşavirlik veya hukuk danışmanlığı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24:F24"/>
    <mergeCell ref="A16:F16"/>
    <mergeCell ref="A28:F28"/>
    <mergeCell ref="A13:F13"/>
    <mergeCell ref="A19:F19"/>
    <mergeCell ref="A1:AN1"/>
    <mergeCell ref="A23:F23"/>
    <mergeCell ref="A32:F32"/>
    <mergeCell ref="A27:F27"/>
    <mergeCell ref="A31:F31"/>
    <mergeCell ref="A17:F17"/>
    <mergeCell ref="A18:F18"/>
    <mergeCell ref="A29:F29"/>
  </mergeCells>
  <conditionalFormatting sqref="B10">
    <cfRule type="cellIs" rank="0" priority="2" equalAverage="0" operator="equal" aboveAverage="0" dxfId="11" text="" percent="0" bottom="0">
      <formula>"UYGUN"</formula>
    </cfRule>
    <cfRule type="cellIs" rank="0" priority="3" equalAverage="0" operator="equal" aboveAverage="0" dxfId="12" text="" percent="0" bottom="0">
      <formula>"İNCELE"</formula>
    </cfRule>
    <cfRule type="cellIs" rank="0" priority="4" equalAverage="0" operator="equal" aboveAverage="0" dxfId="13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&amp;LTAŞERON/ALT YÜKLENİCİ HAKEDİŞ KESİNTİ MUTABAKATI&amp;CExcelArşiv&amp;RSayfa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20" customWidth="1" style="99" min="2" max="2"/>
    <col width="14" customWidth="1" style="99" min="3" max="3"/>
    <col width="30" customWidth="1" style="99" min="4" max="4"/>
    <col width="20" customWidth="1" style="99" min="5" max="5"/>
    <col width="14" customWidth="1" style="99" min="6" max="6"/>
  </cols>
  <sheetData>
    <row r="1" ht="25.5" customHeight="1" s="73">
      <c r="A1" s="111" t="inlineStr">
        <is>
          <t>ORNEK VERI — TAŞERON/ALT YÜKLENİCİ HAKEDİŞ &amp; KESİNTİ MUTABAKATI</t>
        </is>
      </c>
    </row>
    <row r="3" ht="15" customHeight="1" s="73">
      <c r="A3" s="112" t="inlineStr">
        <is>
          <t>Örnek Veri ve İçe Aktarma Yapısı</t>
        </is>
      </c>
    </row>
    <row r="4" ht="15" customHeight="1" s="73">
      <c r="A4" s="106" t="inlineStr">
        <is>
          <t>Bu sayfa otomasyon ve içe aktarma için yapıdır; hakediş satırlarını CSV/Excel'den kopyalayabilirsiniz.</t>
        </is>
      </c>
    </row>
    <row r="6" ht="30" customHeight="1" s="73">
      <c r="A6" s="119" t="inlineStr">
        <is>
          <t>Dönem</t>
        </is>
      </c>
      <c r="B6" s="119" t="inlineStr">
        <is>
          <t>Hakediş Tarihi</t>
        </is>
      </c>
      <c r="C6" s="119" t="inlineStr">
        <is>
          <t>Brüt Hakediş (₺)</t>
        </is>
      </c>
      <c r="D6" s="119" t="inlineStr">
        <is>
          <t>Ödeme Tarihi</t>
        </is>
      </c>
      <c r="E6" s="119" t="inlineStr">
        <is>
          <t>Ödenen Tutar (₺)</t>
        </is>
      </c>
    </row>
    <row r="7" ht="15" customHeight="1" s="73">
      <c r="A7" s="120" t="inlineStr">
        <is>
          <t>1. Hakediş</t>
        </is>
      </c>
      <c r="B7" s="121" t="n">
        <v>46101</v>
      </c>
      <c r="C7" s="122" t="n">
        <v>900000</v>
      </c>
      <c r="D7" s="121" t="n">
        <v>46152</v>
      </c>
      <c r="E7" s="122" t="n">
        <v>700000</v>
      </c>
    </row>
    <row r="8" ht="15" customHeight="1" s="73">
      <c r="A8" s="120" t="inlineStr">
        <is>
          <t>2. Hakediş</t>
        </is>
      </c>
      <c r="B8" s="121" t="n">
        <v>46132</v>
      </c>
      <c r="C8" s="122" t="n">
        <v>1100000</v>
      </c>
      <c r="D8" s="121" t="n">
        <v>46167</v>
      </c>
      <c r="E8" s="122" t="n">
        <v>900000</v>
      </c>
    </row>
    <row r="9" ht="15" customHeight="1" s="73">
      <c r="A9" s="120" t="inlineStr">
        <is>
          <t>3. Hakediş</t>
        </is>
      </c>
      <c r="B9" s="121" t="n">
        <v>46223</v>
      </c>
      <c r="C9" s="122" t="n">
        <v>1100000</v>
      </c>
      <c r="D9" s="121" t="n">
        <v>46254</v>
      </c>
      <c r="E9" s="122" t="n">
        <v>1100000</v>
      </c>
    </row>
    <row r="12" ht="19.5" customHeight="1" s="73">
      <c r="A12" s="110" t="inlineStr">
        <is>
          <t>Örnek veri giriş sayfalarını beslemek için değil, yapıyı göstermek içindir.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AD1"/>
    <mergeCell ref="A12:AN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9" min="1" max="1"/>
    <col width="16" customWidth="1" style="99" min="2" max="2"/>
    <col width="14" customWidth="1" style="99" min="3" max="4"/>
    <col width="10" customWidth="1" style="99" min="5" max="5"/>
    <col width="14" customWidth="1" style="99" min="6" max="6"/>
    <col width="40" customWidth="1" style="99" min="7" max="7"/>
  </cols>
  <sheetData>
    <row r="1" ht="15" customHeight="1" s="73">
      <c r="A1" s="99" t="inlineStr">
        <is>
          <t>AKIS — TaseronHakedisVeKesintiMutabakati</t>
        </is>
      </c>
    </row>
    <row r="3" ht="15" customHeight="1" s="73">
      <c r="A3" s="99" t="inlineStr">
        <is>
          <t>islem_id</t>
        </is>
      </c>
      <c r="B3" s="99" t="inlineStr">
        <is>
          <t>kaynak_kart_id</t>
        </is>
      </c>
      <c r="C3" s="99" t="inlineStr">
        <is>
          <t>onceki_durum</t>
        </is>
      </c>
      <c r="D3" s="99" t="inlineStr">
        <is>
          <t>yeni_durum</t>
        </is>
      </c>
      <c r="E3" s="99" t="inlineStr">
        <is>
          <t>tutar</t>
        </is>
      </c>
      <c r="F3" s="99" t="inlineStr">
        <is>
          <t>bayrak</t>
        </is>
      </c>
      <c r="G3" s="99" t="inlineStr">
        <is>
          <t>not</t>
        </is>
      </c>
    </row>
    <row r="4" ht="15" customHeight="1" s="73">
      <c r="A4" s="99" t="inlineStr">
        <is>
          <t>I-001</t>
        </is>
      </c>
      <c r="B4" s="99" t="inlineStr">
        <is>
          <t>KART-01</t>
        </is>
      </c>
      <c r="C4" s="99" t="inlineStr">
        <is>
          <t>ACIK</t>
        </is>
      </c>
      <c r="D4" s="99" t="inlineStr">
        <is>
          <t>ISLEMDE</t>
        </is>
      </c>
      <c r="E4" s="157" t="n">
        <v>1000</v>
      </c>
      <c r="F4" s="99" t="inlineStr">
        <is>
          <t>OK</t>
        </is>
      </c>
      <c r="G4" s="99" t="inlineStr">
        <is>
          <t>normal geçiş</t>
        </is>
      </c>
    </row>
    <row r="5" ht="15" customHeight="1" s="73">
      <c r="A5" s="99" t="inlineStr">
        <is>
          <t>I-002</t>
        </is>
      </c>
      <c r="B5" s="99" t="inlineStr">
        <is>
          <t>YETİM</t>
        </is>
      </c>
      <c r="C5" s="99" t="inlineStr">
        <is>
          <t>ACIK</t>
        </is>
      </c>
      <c r="D5" s="99" t="inlineStr">
        <is>
          <t>KAPALI</t>
        </is>
      </c>
      <c r="E5" s="157" t="n">
        <v>0</v>
      </c>
      <c r="F5" s="99" t="inlineStr">
        <is>
          <t>YETİM</t>
        </is>
      </c>
      <c r="G5" s="99" t="inlineStr">
        <is>
          <t>kaynak_kart_id yok — yetim kayıt</t>
        </is>
      </c>
    </row>
    <row r="6" ht="15" customHeight="1" s="73">
      <c r="A6" s="99" t="inlineStr">
        <is>
          <t>I-003</t>
        </is>
      </c>
      <c r="B6" s="99" t="inlineStr">
        <is>
          <t>KART-02</t>
        </is>
      </c>
      <c r="C6" s="99" t="inlineStr">
        <is>
          <t>ACIK</t>
        </is>
      </c>
      <c r="D6" s="99" t="inlineStr">
        <is>
          <t>KAPALI</t>
        </is>
      </c>
      <c r="E6" s="157" t="n">
        <v>500</v>
      </c>
      <c r="F6" s="99" t="inlineStr">
        <is>
          <t>GECERSIZ</t>
        </is>
      </c>
      <c r="G6" s="99" t="inlineStr">
        <is>
          <t>geçersiz durum geçişi</t>
        </is>
      </c>
    </row>
    <row r="7" ht="15" customHeight="1" s="73">
      <c r="A7" s="99" t="inlineStr">
        <is>
          <t>I-004</t>
        </is>
      </c>
      <c r="B7" s="99" t="inlineStr">
        <is>
          <t>KART-03</t>
        </is>
      </c>
      <c r="C7" s="99" t="inlineStr">
        <is>
          <t>ISLEMDE</t>
        </is>
      </c>
      <c r="D7" s="99" t="inlineStr">
        <is>
          <t>ISLEMDE</t>
        </is>
      </c>
      <c r="E7" s="157" t="n">
        <v>250</v>
      </c>
      <c r="F7" s="99" t="inlineStr">
        <is>
          <t>ZINCIR_KIRIK</t>
        </is>
      </c>
      <c r="G7" s="99" t="inlineStr">
        <is>
          <t>ZİNCİR KIRIK — tutar zinciri sapması</t>
        </is>
      </c>
    </row>
    <row r="9" ht="15" customHeight="1" s="73">
      <c r="A9" s="99" t="inlineStr">
        <is>
          <t>kuyruk_kanit</t>
        </is>
      </c>
      <c r="B9" s="99">
        <f>IFERROR(COUNTIF($F$4:$F$1000,"OK"),0)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99" min="1" max="1"/>
    <col width="10" customWidth="1" style="99" min="2" max="2"/>
    <col width="80" customWidth="1" style="99" min="3" max="3"/>
  </cols>
  <sheetData>
    <row r="1" ht="25.5" customHeight="1" s="73">
      <c r="A1" s="111" t="inlineStr">
        <is>
          <t>DEGISIKLIK KAYDI — TAŞERON/ALT YÜKLENİCİ HAKEDİŞ &amp; KESİNTİ MUTABAKATI</t>
        </is>
      </c>
    </row>
    <row r="3" ht="15" customHeight="1" s="73">
      <c r="A3" s="112" t="inlineStr">
        <is>
          <t>Değişiklik Kaydı</t>
        </is>
      </c>
    </row>
    <row r="5" ht="30" customHeight="1" s="73">
      <c r="A5" s="119" t="inlineStr">
        <is>
          <t>Tarih</t>
        </is>
      </c>
      <c r="B5" s="119" t="inlineStr">
        <is>
          <t>Sürüm</t>
        </is>
      </c>
      <c r="C5" s="119" t="inlineStr">
        <is>
          <t>Değişiklik</t>
        </is>
      </c>
    </row>
    <row r="6" ht="15" customHeight="1" s="73">
      <c r="A6" s="137" t="inlineStr">
        <is>
          <t>09.08.2026</t>
        </is>
      </c>
      <c r="B6" s="137" t="inlineStr">
        <is>
          <t>1.0</t>
        </is>
      </c>
      <c r="C6" s="143" t="inlineStr">
        <is>
          <t>İlk sürüm: KDV tevkifatı, stopaj, SGK ve teminat kesintileri; hakediş-ödeme mutabakatı, geç ödeme ve gecikme maliyeti.</t>
        </is>
      </c>
    </row>
    <row r="8" ht="19.5" customHeight="1" s="73">
      <c r="A8" s="110" t="inlineStr">
        <is>
          <t>Sürüm izi ve lisans bilgisi KAPAK sayfasında da yer alır.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8:AN8"/>
    <mergeCell ref="C6:H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99" min="1" max="1"/>
    <col width="3" customWidth="1" style="99" min="2" max="2"/>
    <col width="30" customWidth="1" style="99" min="3" max="3"/>
    <col width="3" customWidth="1" style="99" min="4" max="4"/>
    <col width="30" customWidth="1" style="99" min="5" max="5"/>
  </cols>
  <sheetData>
    <row r="1" ht="25.5" customHeight="1" s="73">
      <c r="A1" s="111" t="inlineStr">
        <is>
          <t>LISTELER — TAŞERON/ALT YÜKLENİCİ HAKEDİŞ &amp; KESİNTİ MUTABAKATI</t>
        </is>
      </c>
    </row>
    <row r="3" ht="15" customHeight="1" s="73">
      <c r="A3" s="112" t="inlineStr">
        <is>
          <t>Açılır Liste Kaynakları</t>
        </is>
      </c>
    </row>
    <row r="4" ht="15" customHeight="1" s="73">
      <c r="A4" s="113" t="inlineStr">
        <is>
          <t>Evet/Hayır</t>
        </is>
      </c>
      <c r="C4" s="113" t="inlineStr">
        <is>
          <t>İş Türü</t>
        </is>
      </c>
    </row>
    <row r="6" ht="15" customHeight="1" s="73">
      <c r="A6" s="120" t="inlineStr">
        <is>
          <t>Evet</t>
        </is>
      </c>
      <c r="C6" s="120" t="inlineStr">
        <is>
          <t>Yapım</t>
        </is>
      </c>
    </row>
    <row r="7" ht="15" customHeight="1" s="73">
      <c r="A7" s="120" t="inlineStr">
        <is>
          <t>Hayır</t>
        </is>
      </c>
      <c r="C7" s="120" t="inlineStr">
        <is>
          <t>Mal</t>
        </is>
      </c>
    </row>
    <row r="8" ht="15" customHeight="1" s="73">
      <c r="C8" s="120" t="inlineStr">
        <is>
          <t>Hizmet</t>
        </is>
      </c>
    </row>
    <row r="12" ht="19.5" customHeight="1" s="73">
      <c r="A12" s="110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2:AN12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26" customWidth="1" style="99" min="2" max="2"/>
    <col width="16" customWidth="1" style="99" min="3" max="3"/>
    <col width="10" customWidth="1" style="99" min="4" max="4"/>
    <col width="62" customWidth="1" style="99" min="5" max="5"/>
    <col width="28" customWidth="1" style="99" min="6" max="6"/>
    <col width="14" customWidth="1" style="99" min="7" max="8"/>
    <col width="16" customWidth="1" style="99" min="10" max="10"/>
    <col width="13" customWidth="1" style="99" min="11" max="11"/>
    <col width="28" customWidth="1" style="99" min="12" max="12"/>
    <col width="16" customWidth="1" style="99" min="13" max="13"/>
    <col width="13" customWidth="1" style="99" min="14" max="14"/>
  </cols>
  <sheetData>
    <row r="1" ht="25.5" customHeight="1" s="73">
      <c r="A1" s="111" t="inlineStr">
        <is>
          <t>AYARLAR — TAŞERON/ALT YÜKLENİCİ HAKEDİŞ &amp; KESİNTİ MUTABAKATI</t>
        </is>
      </c>
    </row>
    <row r="3" ht="15" customHeight="1" s="73">
      <c r="A3" s="112" t="inlineStr">
        <is>
          <t>Ayarlar ve Eşikler (Formüle Sabit Sayı Girilmez)</t>
        </is>
      </c>
    </row>
    <row r="4" ht="15" customHeight="1" s="73">
      <c r="A4" s="158" t="inlineStr">
        <is>
          <t>Tüm katsayı ve eşikler bu sayfadadır. Mevzuat değişikliklerinde AYARLAR'dan güncellenir; formüller değişmez. Kaynağı Varsayım işaretli değerler kullanıcı tarafından doğrulanmalıdır.</t>
        </is>
      </c>
    </row>
    <row r="5" ht="30" customHeight="1" s="73">
      <c r="A5" s="119" t="inlineStr">
        <is>
          <t>Grup</t>
        </is>
      </c>
      <c r="B5" s="119" t="inlineStr">
        <is>
          <t>Anahtar</t>
        </is>
      </c>
      <c r="C5" s="119" t="inlineStr">
        <is>
          <t>Değer</t>
        </is>
      </c>
      <c r="D5" s="119" t="inlineStr">
        <is>
          <t>Birim</t>
        </is>
      </c>
      <c r="E5" s="119" t="inlineStr">
        <is>
          <t>Açıklama</t>
        </is>
      </c>
      <c r="F5" s="119" t="inlineStr">
        <is>
          <t>kaynak</t>
        </is>
      </c>
      <c r="G5" s="119" t="inlineStr">
        <is>
          <t>yururluk_tarihi</t>
        </is>
      </c>
      <c r="H5" s="119" t="inlineStr">
        <is>
          <t>dogrulama_tarihi</t>
        </is>
      </c>
    </row>
    <row r="6" ht="15" customHeight="1" s="73">
      <c r="A6" s="159" t="inlineStr">
        <is>
          <t>Genel</t>
        </is>
      </c>
      <c r="B6" s="159" t="inlineStr">
        <is>
          <t>firmaUnvani</t>
        </is>
      </c>
      <c r="C6" s="120" t="inlineStr">
        <is>
          <t>Örnek Yapı A.Ş.</t>
        </is>
      </c>
      <c r="D6" s="106" t="inlineStr">
        <is>
          <t>metin</t>
        </is>
      </c>
      <c r="E6" s="160" t="inlineStr">
        <is>
          <t>Rapor başlığında görünen firma adı</t>
        </is>
      </c>
      <c r="F6" s="160" t="inlineStr">
        <is>
          <t>Kullanıcı</t>
        </is>
      </c>
      <c r="G6" s="106" t="inlineStr">
        <is>
          <t>09.08.2026</t>
        </is>
      </c>
      <c r="H6" s="106" t="inlineStr">
        <is>
          <t>09.08.2026</t>
        </is>
      </c>
    </row>
    <row r="7" ht="15" customHeight="1" s="73">
      <c r="A7" s="159" t="inlineStr">
        <is>
          <t>Genel</t>
        </is>
      </c>
      <c r="B7" s="159" t="inlineStr">
        <is>
          <t>raporTarihi</t>
        </is>
      </c>
      <c r="C7" s="161">
        <f>TODAY()</f>
        <v/>
      </c>
      <c r="D7" s="106" t="inlineStr">
        <is>
          <t>tarih</t>
        </is>
      </c>
      <c r="E7" s="160" t="inlineStr">
        <is>
          <t>Dosyadaki tek tarih kaynağı; tüm rapor tarihleri buradan okunur.</t>
        </is>
      </c>
      <c r="F7" s="160" t="inlineStr">
        <is>
          <t>Kullanıcı</t>
        </is>
      </c>
      <c r="G7" s="106" t="inlineStr">
        <is>
          <t>09.08.2026</t>
        </is>
      </c>
      <c r="H7" s="106" t="inlineStr">
        <is>
          <t>09.08.2026</t>
        </is>
      </c>
    </row>
    <row r="8" ht="15" customHeight="1" s="73">
      <c r="A8" s="159" t="inlineStr">
        <is>
          <t>Vergi</t>
        </is>
      </c>
      <c r="B8" s="159" t="inlineStr">
        <is>
          <t>KdvOrani</t>
        </is>
      </c>
      <c r="C8" s="162" t="n">
        <v>0.2</v>
      </c>
      <c r="D8" s="106" t="inlineStr">
        <is>
          <t>oran</t>
        </is>
      </c>
      <c r="E8" s="160" t="inlineStr">
        <is>
          <t>Katma değer vergisi oranı.</t>
        </is>
      </c>
      <c r="F8" s="160" t="inlineStr">
        <is>
          <t>KDV Kanunu md.28</t>
        </is>
      </c>
      <c r="G8" s="106" t="inlineStr">
        <is>
          <t>25.10.1984</t>
        </is>
      </c>
      <c r="H8" s="106" t="inlineStr">
        <is>
          <t>09.08.2026</t>
        </is>
      </c>
    </row>
    <row r="9" ht="15" customHeight="1" s="73">
      <c r="A9" s="159" t="inlineStr">
        <is>
          <t>Vergi</t>
        </is>
      </c>
      <c r="B9" s="159" t="inlineStr">
        <is>
          <t>KdvTevkifatOrani</t>
        </is>
      </c>
      <c r="C9" s="162" t="n">
        <v>0.04</v>
      </c>
      <c r="D9" s="106" t="inlineStr">
        <is>
          <t>oran</t>
        </is>
      </c>
      <c r="E9" s="160" t="inlineStr">
        <is>
          <t>Yapım işlerinde sorumlu sıfatıyla tevkif edilen KDV oranı (4/10).</t>
        </is>
      </c>
      <c r="F9" s="160" t="inlineStr">
        <is>
          <t>KDV Genel Uygulama Tebliği</t>
        </is>
      </c>
      <c r="G9" s="106" t="inlineStr">
        <is>
          <t>26.04.2018</t>
        </is>
      </c>
      <c r="H9" s="106" t="inlineStr">
        <is>
          <t>09.08.2026</t>
        </is>
      </c>
    </row>
    <row r="10" ht="15" customHeight="1" s="73">
      <c r="A10" s="159" t="inlineStr">
        <is>
          <t>Vergi</t>
        </is>
      </c>
      <c r="B10" s="159" t="inlineStr">
        <is>
          <t>GelirVergisiStopajOrani</t>
        </is>
      </c>
      <c r="C10" s="162" t="n">
        <v>0.05</v>
      </c>
      <c r="D10" s="106" t="inlineStr">
        <is>
          <t>oran</t>
        </is>
      </c>
      <c r="E10" s="160" t="inlineStr">
        <is>
          <t>Hakediş ödemelerinde kesilen gelir vergisi stopajı oranı.</t>
        </is>
      </c>
      <c r="F10" s="160" t="inlineStr">
        <is>
          <t>GVK md.94</t>
        </is>
      </c>
      <c r="G10" s="106" t="inlineStr">
        <is>
          <t>01.01.2006</t>
        </is>
      </c>
      <c r="H10" s="106" t="inlineStr">
        <is>
          <t>09.08.2026</t>
        </is>
      </c>
    </row>
    <row r="11" ht="15" customHeight="1" s="73">
      <c r="A11" s="159" t="inlineStr">
        <is>
          <t>Kesinti</t>
        </is>
      </c>
      <c r="B11" s="159" t="inlineStr">
        <is>
          <t>SgkKesintiOrani</t>
        </is>
      </c>
      <c r="C11" s="162" t="n">
        <v>0.2</v>
      </c>
      <c r="D11" s="106" t="inlineStr">
        <is>
          <t>oran</t>
        </is>
      </c>
      <c r="E11" s="160" t="inlineStr">
        <is>
          <t>Alt işveren prim sorumluluğu kapsamında ayrıştırılan SGK kesinti oranı.</t>
        </is>
      </c>
      <c r="F11" s="160" t="inlineStr">
        <is>
          <t>5510 s. Kanun; sözleşme hükmü</t>
        </is>
      </c>
      <c r="G11" s="106" t="inlineStr">
        <is>
          <t>01.10.2008</t>
        </is>
      </c>
      <c r="H11" s="106" t="inlineStr">
        <is>
          <t>09.08.2026</t>
        </is>
      </c>
    </row>
    <row r="12" ht="15" customHeight="1" s="73">
      <c r="A12" s="159" t="inlineStr">
        <is>
          <t>Kesinti</t>
        </is>
      </c>
      <c r="B12" s="159" t="inlineStr">
        <is>
          <t>TeminatOrani</t>
        </is>
      </c>
      <c r="C12" s="162" t="n">
        <v>0.05</v>
      </c>
      <c r="D12" s="106" t="inlineStr">
        <is>
          <t>oran</t>
        </is>
      </c>
      <c r="E12" s="160" t="inlineStr">
        <is>
          <t>Sözleşme teminat kesintisi oranı.</t>
        </is>
      </c>
      <c r="F12" s="160" t="inlineStr">
        <is>
          <t>Sözleşme hükmü</t>
        </is>
      </c>
      <c r="G12" s="106" t="inlineStr">
        <is>
          <t>09.08.2026</t>
        </is>
      </c>
      <c r="H12" s="106" t="inlineStr">
        <is>
          <t>09.08.2026</t>
        </is>
      </c>
    </row>
    <row r="13" ht="15" customHeight="1" s="73">
      <c r="A13" s="159" t="inlineStr">
        <is>
          <t>Ödeme</t>
        </is>
      </c>
      <c r="B13" s="159" t="inlineStr">
        <is>
          <t>VadeGun</t>
        </is>
      </c>
      <c r="C13" s="163" t="n">
        <v>60</v>
      </c>
      <c r="D13" s="106" t="inlineStr">
        <is>
          <t>gün</t>
        </is>
      </c>
      <c r="E13" s="160" t="inlineStr">
        <is>
          <t>Taşeron hakediş ödemelerinde ortalama vade günü.</t>
        </is>
      </c>
      <c r="F13" s="160" t="inlineStr">
        <is>
          <t>Sözleşme hükmü</t>
        </is>
      </c>
      <c r="G13" s="106" t="inlineStr">
        <is>
          <t>09.08.2026</t>
        </is>
      </c>
      <c r="H13" s="106" t="inlineStr">
        <is>
          <t>09.08.2026</t>
        </is>
      </c>
    </row>
    <row r="14" ht="15" customHeight="1" s="73">
      <c r="A14" s="159" t="inlineStr">
        <is>
          <t>Ödeme</t>
        </is>
      </c>
      <c r="B14" s="159" t="inlineStr">
        <is>
          <t>GecikmeFaizOrani</t>
        </is>
      </c>
      <c r="C14" s="162" t="n">
        <v>0.15</v>
      </c>
      <c r="D14" s="106" t="inlineStr">
        <is>
          <t>oran</t>
        </is>
      </c>
      <c r="E14" s="160" t="inlineStr">
        <is>
          <t>Yıllık gecikme faizi oranı (geç ödeme maliyeti hesabı).</t>
        </is>
      </c>
      <c r="F14" s="160" t="inlineStr">
        <is>
          <t>TBK md.117-120; sözleşme hükmü</t>
        </is>
      </c>
      <c r="G14" s="106" t="inlineStr">
        <is>
          <t>11.01.2011</t>
        </is>
      </c>
      <c r="H14" s="106" t="inlineStr">
        <is>
          <t>09.08.2026</t>
        </is>
      </c>
    </row>
    <row r="15" ht="15" customHeight="1" s="73">
      <c r="A15" s="159" t="inlineStr">
        <is>
          <t>Eşik</t>
        </is>
      </c>
      <c r="B15" s="159" t="inlineStr">
        <is>
          <t>MutabakatTolerans</t>
        </is>
      </c>
      <c r="C15" s="122" t="n">
        <v>100</v>
      </c>
      <c r="D15" s="106" t="inlineStr">
        <is>
          <t>₺</t>
        </is>
      </c>
      <c r="E15" s="160" t="inlineStr">
        <is>
          <t>Mutabakat farkı kabul toleransı (₺).</t>
        </is>
      </c>
      <c r="F15" s="160" t="inlineStr">
        <is>
          <t>Varsayım</t>
        </is>
      </c>
      <c r="G15" s="106" t="inlineStr">
        <is>
          <t>09.08.2026</t>
        </is>
      </c>
      <c r="H15" s="106" t="inlineStr">
        <is>
          <t>09.08.2026</t>
        </is>
      </c>
    </row>
    <row r="16" ht="15" customHeight="1" s="73">
      <c r="A16" s="159" t="inlineStr">
        <is>
          <t>Eşik</t>
        </is>
      </c>
      <c r="B16" s="159" t="inlineStr">
        <is>
          <t>MutabakatFarkiEsik</t>
        </is>
      </c>
      <c r="C16" s="162" t="n">
        <v>0.02</v>
      </c>
      <c r="D16" s="106" t="inlineStr">
        <is>
          <t>oran</t>
        </is>
      </c>
      <c r="E16" s="160" t="inlineStr">
        <is>
          <t>Mutabakat farkı oranı uyarı eşiği.</t>
        </is>
      </c>
      <c r="F16" s="160" t="inlineStr">
        <is>
          <t>Varsayım</t>
        </is>
      </c>
      <c r="G16" s="106" t="inlineStr">
        <is>
          <t>09.08.2026</t>
        </is>
      </c>
      <c r="H16" s="106" t="inlineStr">
        <is>
          <t>09.08.2026</t>
        </is>
      </c>
    </row>
    <row r="17" ht="15" customHeight="1" s="73">
      <c r="A17" s="159" t="inlineStr">
        <is>
          <t>Eşik</t>
        </is>
      </c>
      <c r="B17" s="159" t="inlineStr">
        <is>
          <t>GecOdemeEsik</t>
        </is>
      </c>
      <c r="C17" s="163" t="n">
        <v>30</v>
      </c>
      <c r="D17" s="106" t="inlineStr">
        <is>
          <t>gün</t>
        </is>
      </c>
      <c r="E17" s="160" t="inlineStr">
        <is>
          <t>Geç ödeme uyarı eşiği (gün).</t>
        </is>
      </c>
      <c r="F17" s="160" t="inlineStr">
        <is>
          <t>Varsayım</t>
        </is>
      </c>
      <c r="G17" s="106" t="inlineStr">
        <is>
          <t>09.08.2026</t>
        </is>
      </c>
      <c r="H17" s="106" t="inlineStr">
        <is>
          <t>09.08.2026</t>
        </is>
      </c>
    </row>
    <row r="18" ht="15" customHeight="1" s="73">
      <c r="A18" s="159" t="inlineStr">
        <is>
          <t>Eşik</t>
        </is>
      </c>
      <c r="B18" s="159" t="inlineStr">
        <is>
          <t>KesintiEsik</t>
        </is>
      </c>
      <c r="C18" s="162" t="n">
        <v>0.25</v>
      </c>
      <c r="D18" s="106" t="inlineStr">
        <is>
          <t>oran</t>
        </is>
      </c>
      <c r="E18" s="160" t="inlineStr">
        <is>
          <t>Toplam kesinti oranı uyarı eşiği.</t>
        </is>
      </c>
      <c r="F18" s="160" t="inlineStr">
        <is>
          <t>Varsayım</t>
        </is>
      </c>
      <c r="G18" s="106" t="inlineStr">
        <is>
          <t>09.08.2026</t>
        </is>
      </c>
      <c r="H18" s="106" t="inlineStr">
        <is>
          <t>09.08.2026</t>
        </is>
      </c>
    </row>
    <row r="19" ht="15" customHeight="1" s="73">
      <c r="A19" s="159" t="inlineStr">
        <is>
          <t>Eşik</t>
        </is>
      </c>
      <c r="B19" s="159" t="inlineStr">
        <is>
          <t>AnomaliZEsik</t>
        </is>
      </c>
      <c r="C19" s="162" t="n">
        <v>2</v>
      </c>
      <c r="D19" s="106" t="inlineStr">
        <is>
          <t>oran</t>
        </is>
      </c>
      <c r="E19" s="160" t="inlineStr">
        <is>
          <t>Hakediş anomali |Z| eşiği.</t>
        </is>
      </c>
      <c r="F19" s="160" t="inlineStr">
        <is>
          <t>Varsayım</t>
        </is>
      </c>
      <c r="G19" s="106" t="inlineStr">
        <is>
          <t>09.08.2026</t>
        </is>
      </c>
      <c r="H19" s="106" t="inlineStr">
        <is>
          <t>09.08.2026</t>
        </is>
      </c>
    </row>
    <row r="20" ht="15" customHeight="1" s="73">
      <c r="A20" s="159" t="inlineStr">
        <is>
          <t>Eşik</t>
        </is>
      </c>
      <c r="B20" s="159" t="inlineStr">
        <is>
          <t>VeriKaliteIyiEsik</t>
        </is>
      </c>
      <c r="C20" s="163" t="n">
        <v>90</v>
      </c>
      <c r="D20" s="106" t="inlineStr">
        <is>
          <t>puan</t>
        </is>
      </c>
      <c r="E20" s="160" t="inlineStr">
        <is>
          <t>Kalite skoru iyi eşiği.</t>
        </is>
      </c>
      <c r="F20" s="160" t="inlineStr">
        <is>
          <t>Varsayım</t>
        </is>
      </c>
      <c r="G20" s="106" t="inlineStr">
        <is>
          <t>09.08.2026</t>
        </is>
      </c>
      <c r="H20" s="106" t="inlineStr">
        <is>
          <t>09.08.2026</t>
        </is>
      </c>
    </row>
    <row r="21" ht="15" customHeight="1" s="73">
      <c r="A21" s="159" t="inlineStr">
        <is>
          <t>Eşik</t>
        </is>
      </c>
      <c r="B21" s="159" t="inlineStr">
        <is>
          <t>VeriKaliteOrtaEsik</t>
        </is>
      </c>
      <c r="C21" s="163" t="n">
        <v>70</v>
      </c>
      <c r="D21" s="106" t="inlineStr">
        <is>
          <t>puan</t>
        </is>
      </c>
      <c r="E21" s="160" t="inlineStr">
        <is>
          <t>Kalite skoru orta eşiği.</t>
        </is>
      </c>
      <c r="F21" s="160" t="inlineStr">
        <is>
          <t>Varsayım</t>
        </is>
      </c>
      <c r="G21" s="106" t="inlineStr">
        <is>
          <t>09.08.2026</t>
        </is>
      </c>
      <c r="H21" s="106" t="inlineStr">
        <is>
          <t>09.08.2026</t>
        </is>
      </c>
    </row>
    <row r="22" ht="15" customHeight="1" s="73">
      <c r="A22" s="159" t="inlineStr">
        <is>
          <t>Eşik</t>
        </is>
      </c>
      <c r="B22" s="159" t="inlineStr">
        <is>
          <t>VeriKaliteUyariCeza</t>
        </is>
      </c>
      <c r="C22" s="163" t="n">
        <v>10</v>
      </c>
      <c r="D22" s="106" t="inlineStr">
        <is>
          <t>puan</t>
        </is>
      </c>
      <c r="E22" s="160" t="inlineStr">
        <is>
          <t>Her WARN için skor cezası.</t>
        </is>
      </c>
      <c r="F22" s="160" t="inlineStr">
        <is>
          <t>Varsayım</t>
        </is>
      </c>
      <c r="G22" s="106" t="inlineStr">
        <is>
          <t>09.08.2026</t>
        </is>
      </c>
      <c r="H22" s="106" t="inlineStr">
        <is>
          <t>09.08.2026</t>
        </is>
      </c>
    </row>
    <row r="23" ht="15" customHeight="1" s="73">
      <c r="A23" s="159" t="inlineStr">
        <is>
          <t>Senaryo</t>
        </is>
      </c>
      <c r="B23" s="159" t="inlineStr">
        <is>
          <t>SenaryoKotumserKat</t>
        </is>
      </c>
      <c r="C23" s="162" t="n">
        <v>0.1</v>
      </c>
      <c r="D23" s="106" t="inlineStr">
        <is>
          <t>oran</t>
        </is>
      </c>
      <c r="E23" s="160" t="inlineStr">
        <is>
          <t>Kötümser senaryo çarpanı.</t>
        </is>
      </c>
      <c r="F23" s="160" t="inlineStr">
        <is>
          <t>Varsayım</t>
        </is>
      </c>
      <c r="G23" s="106" t="inlineStr">
        <is>
          <t>09.08.2026</t>
        </is>
      </c>
      <c r="H23" s="106" t="inlineStr">
        <is>
          <t>09.08.2026</t>
        </is>
      </c>
    </row>
    <row r="24" ht="15" customHeight="1" s="73">
      <c r="A24" s="159" t="inlineStr">
        <is>
          <t>Senaryo</t>
        </is>
      </c>
      <c r="B24" s="159" t="inlineStr">
        <is>
          <t>SenaryoIyimserKat</t>
        </is>
      </c>
      <c r="C24" s="162" t="n">
        <v>0.1</v>
      </c>
      <c r="D24" s="106" t="inlineStr">
        <is>
          <t>oran</t>
        </is>
      </c>
      <c r="E24" s="160" t="inlineStr">
        <is>
          <t>İyimser senaryo çarpanı.</t>
        </is>
      </c>
      <c r="F24" s="160" t="inlineStr">
        <is>
          <t>Varsayım</t>
        </is>
      </c>
      <c r="G24" s="106" t="inlineStr">
        <is>
          <t>09.08.2026</t>
        </is>
      </c>
      <c r="H24" s="106" t="inlineStr">
        <is>
          <t>09.08.2026</t>
        </is>
      </c>
    </row>
    <row r="25" ht="15" customHeight="1" s="73">
      <c r="A25" s="159" t="inlineStr">
        <is>
          <t>Duyarlılık</t>
        </is>
      </c>
      <c r="B25" s="159" t="inlineStr">
        <is>
          <t>DuyarliDegisim</t>
        </is>
      </c>
      <c r="C25" s="162" t="n">
        <v>0.05</v>
      </c>
      <c r="D25" s="106" t="inlineStr">
        <is>
          <t>oran</t>
        </is>
      </c>
      <c r="E25" s="160" t="inlineStr">
        <is>
          <t>Tornado analizinde değişim oranı.</t>
        </is>
      </c>
      <c r="F25" s="160" t="inlineStr">
        <is>
          <t>Varsayım</t>
        </is>
      </c>
      <c r="G25" s="106" t="inlineStr">
        <is>
          <t>09.08.2026</t>
        </is>
      </c>
      <c r="H25" s="106" t="inlineStr">
        <is>
          <t>09.08.2026</t>
        </is>
      </c>
    </row>
    <row r="26" ht="15" customHeight="1" s="73">
      <c r="A26" s="159" t="inlineStr">
        <is>
          <t>Duyarlılık</t>
        </is>
      </c>
      <c r="B26" s="159" t="inlineStr">
        <is>
          <t>ParetoEsikOran</t>
        </is>
      </c>
      <c r="C26" s="162" t="n">
        <v>0.5</v>
      </c>
      <c r="D26" s="106" t="inlineStr">
        <is>
          <t>oran</t>
        </is>
      </c>
      <c r="E26" s="160" t="inlineStr">
        <is>
          <t>Hakediş yoğunlaşması yüksek kabul eşiği.</t>
        </is>
      </c>
      <c r="F26" s="160" t="inlineStr">
        <is>
          <t>Varsayım</t>
        </is>
      </c>
      <c r="G26" s="106" t="inlineStr">
        <is>
          <t>09.08.2026</t>
        </is>
      </c>
      <c r="H26" s="106" t="inlineStr">
        <is>
          <t>09.08.2026</t>
        </is>
      </c>
    </row>
    <row r="27" ht="15" customHeight="1" s="73">
      <c r="A27" s="159" t="inlineStr">
        <is>
          <t>Tahmin</t>
        </is>
      </c>
      <c r="B27" s="159" t="inlineStr">
        <is>
          <t>P90Kuantil</t>
        </is>
      </c>
      <c r="C27" s="162" t="n">
        <v>0.9</v>
      </c>
      <c r="D27" s="106" t="inlineStr">
        <is>
          <t>oran</t>
        </is>
      </c>
      <c r="E27" s="160" t="inlineStr">
        <is>
          <t>Yüzdelik dağılım analizinde P90 kuantil değeri.</t>
        </is>
      </c>
      <c r="F27" s="160" t="inlineStr">
        <is>
          <t>Varsayım</t>
        </is>
      </c>
      <c r="G27" s="106" t="inlineStr">
        <is>
          <t>09.08.2026</t>
        </is>
      </c>
      <c r="H27" s="106" t="inlineStr">
        <is>
          <t>09.08.2026</t>
        </is>
      </c>
    </row>
    <row r="28" ht="15" customHeight="1" s="73">
      <c r="A28" s="159" t="inlineStr">
        <is>
          <t>Tahmin</t>
        </is>
      </c>
      <c r="B28" s="159" t="inlineStr">
        <is>
          <t>TahminBantOrani</t>
        </is>
      </c>
      <c r="C28" s="162" t="n">
        <v>0.1</v>
      </c>
      <c r="D28" s="106" t="inlineStr">
        <is>
          <t>oran</t>
        </is>
      </c>
      <c r="E28" s="160" t="inlineStr">
        <is>
          <t>Hakediş tahmin aralığı bant oranı.</t>
        </is>
      </c>
      <c r="F28" s="160" t="inlineStr">
        <is>
          <t>Varsayım</t>
        </is>
      </c>
      <c r="G28" s="106" t="inlineStr">
        <is>
          <t>09.08.2026</t>
        </is>
      </c>
      <c r="H28" s="106" t="inlineStr">
        <is>
          <t>09.08.2026</t>
        </is>
      </c>
    </row>
    <row r="29" ht="15" customHeight="1" s="73">
      <c r="A29" s="159" t="inlineStr">
        <is>
          <t>Nakit</t>
        </is>
      </c>
      <c r="B29" s="159" t="inlineStr">
        <is>
          <t>IskontoOrani</t>
        </is>
      </c>
      <c r="C29" s="162" t="n">
        <v>0.1</v>
      </c>
      <c r="D29" s="106" t="inlineStr">
        <is>
          <t>oran</t>
        </is>
      </c>
      <c r="E29" s="160" t="inlineStr">
        <is>
          <t>Nakit akışı net bugünkü değer hesabında iskonto oranı.</t>
        </is>
      </c>
      <c r="F29" s="160" t="inlineStr">
        <is>
          <t>Varsayım</t>
        </is>
      </c>
      <c r="G29" s="106" t="inlineStr">
        <is>
          <t>09.08.2026</t>
        </is>
      </c>
      <c r="H29" s="106" t="inlineStr">
        <is>
          <t>09.08.2026</t>
        </is>
      </c>
    </row>
    <row r="31" ht="15" customHeight="1" s="73">
      <c r="A31" s="106" t="inlineStr">
        <is>
          <t>Not: raporTarihi dışında TODAY()/NOW() gibi volatil fonksiyon kullanılmaz.</t>
        </is>
      </c>
    </row>
    <row r="33" ht="19.5" customHeight="1" s="73">
      <c r="A33" s="110" t="inlineStr">
        <is>
          <t>Gelişmiş ayarlar; ana kullanıcının değiştirmesi gerekmez.</t>
        </is>
      </c>
    </row>
    <row r="35" ht="15" customHeight="1" s="73">
      <c r="J35" s="99" t="inlineStr">
        <is>
          <t>durum_haritasi</t>
        </is>
      </c>
      <c r="K35" s="99" t="inlineStr">
        <is>
          <t>durum_id</t>
        </is>
      </c>
      <c r="L35" s="99" t="inlineStr">
        <is>
          <t>durum_adi</t>
        </is>
      </c>
      <c r="M35" s="99" t="inlineStr">
        <is>
          <t>izinli_sonraki</t>
        </is>
      </c>
      <c r="N35" s="99" t="inlineStr">
        <is>
          <t>kategori</t>
        </is>
      </c>
    </row>
    <row r="36" ht="15" customHeight="1" s="73">
      <c r="J36" s="99" t="inlineStr">
        <is>
          <t>HARITA</t>
        </is>
      </c>
      <c r="K36" s="99" t="inlineStr">
        <is>
          <t>ACIK</t>
        </is>
      </c>
      <c r="L36" s="99" t="inlineStr">
        <is>
          <t>Açık</t>
        </is>
      </c>
      <c r="M36" s="99" t="inlineStr">
        <is>
          <t>ISLEMDE</t>
        </is>
      </c>
      <c r="N36" s="99" t="inlineStr">
        <is>
          <t>acik</t>
        </is>
      </c>
    </row>
    <row r="37" ht="15" customHeight="1" s="73">
      <c r="J37" s="99" t="inlineStr">
        <is>
          <t>HARITA</t>
        </is>
      </c>
      <c r="K37" s="99" t="inlineStr">
        <is>
          <t>ISLEMDE</t>
        </is>
      </c>
      <c r="L37" s="99" t="inlineStr">
        <is>
          <t>İşlemde</t>
        </is>
      </c>
      <c r="M37" s="99" t="inlineStr">
        <is>
          <t>KAPALI</t>
        </is>
      </c>
      <c r="N37" s="99" t="inlineStr">
        <is>
          <t>acik</t>
        </is>
      </c>
    </row>
    <row r="38" ht="15" customHeight="1" s="73">
      <c r="J38" s="99" t="inlineStr">
        <is>
          <t>HARITA</t>
        </is>
      </c>
      <c r="K38" s="99" t="inlineStr">
        <is>
          <t>KAPALI</t>
        </is>
      </c>
      <c r="L38" s="99" t="inlineStr">
        <is>
          <t>Kapalı</t>
        </is>
      </c>
      <c r="M38" s="99" t="inlineStr">
        <is>
          <t>-</t>
        </is>
      </c>
      <c r="N38" s="99" t="inlineStr">
        <is>
          <t>kapali</t>
        </is>
      </c>
    </row>
    <row r="39" ht="15" customHeight="1" s="73">
      <c r="J39" s="99" t="inlineStr">
        <is>
          <t>HARITA</t>
        </is>
      </c>
      <c r="K39" s="99" t="inlineStr">
        <is>
          <t>GECERSIZ</t>
        </is>
      </c>
      <c r="L39" s="99" t="inlineStr">
        <is>
          <t>Geçersiz geçiş uyarısı</t>
        </is>
      </c>
      <c r="M39" s="99" t="inlineStr">
        <is>
          <t>-</t>
        </is>
      </c>
      <c r="N39" s="99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4:H4"/>
    <mergeCell ref="A3:H3"/>
    <mergeCell ref="A33:AN33"/>
    <mergeCell ref="A31:H31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9" min="1" max="1"/>
    <col width="40" customWidth="1" style="99" min="2" max="2"/>
  </cols>
  <sheetData>
    <row r="1" ht="25.5" customHeight="1" s="73">
      <c r="A1" s="111" t="inlineStr">
        <is>
          <t>KILAVUZ — TAŞERON/ALT YÜKLENİCİ HAKEDİŞ &amp; KESİNTİ MUTABAKATI</t>
        </is>
      </c>
    </row>
    <row r="3" ht="15.75" customHeight="1" s="73">
      <c r="A3" s="107" t="inlineStr">
        <is>
          <t>Kullanım Kılavuzu</t>
        </is>
      </c>
    </row>
    <row r="5" ht="15" customHeight="1" s="73">
      <c r="A5" s="164" t="inlineStr">
        <is>
          <t>1. Ne yapar?</t>
        </is>
      </c>
    </row>
    <row r="6" ht="15" customHeight="1" s="73">
      <c r="A6" s="164" t="inlineStr">
        <is>
          <t>2. Hangi sayfa sırasıyla gidilir?</t>
        </is>
      </c>
    </row>
    <row r="7" ht="15" customHeight="1" s="73">
      <c r="A7" s="164" t="inlineStr">
        <is>
          <t>3. Sarı hücreler ne demek?</t>
        </is>
      </c>
    </row>
    <row r="8" ht="15" customHeight="1" s="73">
      <c r="A8" s="164" t="inlineStr">
        <is>
          <t>4. Kesintiler nasıl hesaplanır?</t>
        </is>
      </c>
    </row>
    <row r="9" ht="15" customHeight="1" s="73">
      <c r="A9" s="164" t="inlineStr">
        <is>
          <t>5. Mutabakat nasıl çalışır?</t>
        </is>
      </c>
    </row>
    <row r="10" ht="15" customHeight="1" s="73">
      <c r="A10" s="164" t="inlineStr">
        <is>
          <t>6. Karar nasıl okunur?</t>
        </is>
      </c>
    </row>
    <row r="11" ht="15" customHeight="1" s="73">
      <c r="A11" s="164" t="inlineStr">
        <is>
          <t>7. Güvenlik ve KVKK</t>
        </is>
      </c>
    </row>
    <row r="12" ht="15" customHeight="1" s="73">
      <c r="A12" s="164" t="inlineStr">
        <is>
          <t>8. Kaynaklar ve varsayımlar</t>
        </is>
      </c>
    </row>
    <row r="13" ht="15" customHeight="1" s="73">
      <c r="A13" s="164" t="inlineStr">
        <is>
          <t>9. Ortam beyanı</t>
        </is>
      </c>
    </row>
    <row r="14" ht="15" customHeight="1" s="73">
      <c r="A14" s="164" t="inlineStr">
        <is>
          <t>10. Yasal çekince</t>
        </is>
      </c>
    </row>
    <row r="15" ht="15" customHeight="1" s="73">
      <c r="A15" s="108" t="inlineStr">
        <is>
          <t>Bu araç karar destek amaçlıdır; mali müşavirlik ve hukuk danışmanlığı yerine geçmez. Kesinti oranları ve vade koşulları sözleşmeden, gecikme faizi mevzuattan teyit edilmelidir.</t>
        </is>
      </c>
    </row>
    <row r="26" ht="19.5" customHeight="1" s="73">
      <c r="A26" s="110" t="inlineStr">
        <is>
          <t>ExcelArşiv | Taşeron/Alt Yüklenici Hakediş &amp; Kesinti Mutabakatı | Rev 1.0 | 2026-08-09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8:AN8"/>
    <mergeCell ref="A6:AN6"/>
    <mergeCell ref="A12:AN12"/>
    <mergeCell ref="A26:AN26"/>
    <mergeCell ref="A15:AN15"/>
    <mergeCell ref="A7:AN7"/>
    <mergeCell ref="A11:AN11"/>
    <mergeCell ref="A10:AN10"/>
    <mergeCell ref="A13:AN13"/>
    <mergeCell ref="A14:AN14"/>
    <mergeCell ref="A1:AN1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2026-08-09T21:01:30Z</dcterms:created>
  <dcterms:modified xmlns:dcterms="http://purl.org/dc/terms/" xmlns:xsi="http://www.w3.org/2001/XMLSchema-instance" xsi:type="dcterms:W3CDTF">2026-09-25T14:23:15Z</dcterms:modified>
  <cp:revision>0</cp:revision>
</cp:coreProperties>
</file>