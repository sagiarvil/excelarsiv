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GIRDI" sheetId="4" state="visible" r:id="rId4"/>
    <sheet xmlns:r="http://schemas.openxmlformats.org/officeDocument/2006/relationships" name="BORDRO" sheetId="5" state="visible" r:id="rId5"/>
    <sheet xmlns:r="http://schemas.openxmlformats.org/officeDocument/2006/relationships" name="KURALLAR" sheetId="6" state="visible" r:id="rId6"/>
    <sheet xmlns:r="http://schemas.openxmlformats.org/officeDocument/2006/relationships" name="MOTOR" sheetId="7" state="visible" r:id="rId7"/>
    <sheet xmlns:r="http://schemas.openxmlformats.org/officeDocument/2006/relationships" name="SENARYO" sheetId="8" state="visible" r:id="rId8"/>
    <sheet xmlns:r="http://schemas.openxmlformats.org/officeDocument/2006/relationships" name="VAKALAR" sheetId="9" state="visible" r:id="rId9"/>
    <sheet xmlns:r="http://schemas.openxmlformats.org/officeDocument/2006/relationships" name="KANIT_RAPORU" sheetId="10" state="visible" r:id="rId10"/>
    <sheet xmlns:r="http://schemas.openxmlformats.org/officeDocument/2006/relationships" name="KONTROLLER" sheetId="11" state="visible" r:id="rId11"/>
    <sheet xmlns:r="http://schemas.openxmlformats.org/officeDocument/2006/relationships" name="ORNEK_VERI" sheetId="12" state="visible" r:id="rId12"/>
    <sheet xmlns:r="http://schemas.openxmlformats.org/officeDocument/2006/relationships" name="LISTELER" sheetId="13" state="visible" r:id="rId13"/>
    <sheet xmlns:r="http://schemas.openxmlformats.org/officeDocument/2006/relationships" name="AYARLAR" sheetId="14" state="visible" r:id="rId14"/>
    <sheet xmlns:r="http://schemas.openxmlformats.org/officeDocument/2006/relationships" name="KILAVUZ" sheetId="15" state="visible" r:id="rId15"/>
  </sheets>
  <definedNames>
    <definedName name="hesapYili">GIRDI!$B$8</definedName>
    <definedName name="raporTarihi">AYARLAR!$B$7</definedName>
    <definedName name="tba_oranBesPuan">MOTOR!$G$8</definedName>
    <definedName name="tba_oranIlave">MOTOR!$G$9</definedName>
    <definedName name="tba_oranKadinGenc">MOTOR!$G$11</definedName>
    <definedName name="tba_mevcutTesvik">MOTOR!$G$19</definedName>
    <definedName name="tba_potansiyelTasarruf">MOTOR!$G$28</definedName>
    <definedName name="tba_kacirilan">MOTOR!$G$30</definedName>
    <definedName name="tba_kararMetni">MOTOR!$G$34</definedName>
    <definedName name="tba_kararGerekce">MOTOR!$G$35</definedName>
    <definedName name="tba_maddeAtifMetni">MOTOR!$G$52</definedName>
    <definedName name="tba_kanitRaporu">MOTOR!$G$53</definedName>
    <definedName name="tba_kuralYilMatris">KURALLAR!$B$17</definedName>
    <definedName name="tba_parmakIzi">AYARLAR!$B$19</definedName>
    <definedName name="tba_senaryoKarsilastirma">SENARYO!$B$11</definedName>
    <definedName name="tba_yorumSenaryo">SENARYO!$B$12</definedName>
    <definedName name="tba_duyarlilikSira">SENARYO!$B$19</definedName>
    <definedName name="tba_yorumDuyarlilik">SENARYO!$B$20</definedName>
    <definedName name="tba_kuralDegisimSenaryo">SENARYO!$B$22</definedName>
    <definedName name="tba_yorumKuralDegisim">SENARYO!$B$23</definedName>
    <definedName name="tba_tahminAralik">SENARYO!$B$32</definedName>
    <definedName name="tba_yorumTahmin">SENARYO!$B$33</definedName>
    <definedName name="tba_vakaDurum">VAKALAR!$B$12</definedName>
    <definedName name="tba_vakaFark">VAKALAR!$B$13</definedName>
    <definedName name="tba_tolerans">AYARLAR!$B$8</definedName>
    <definedName name="tba_kacirilanEsik">AYARLAR!$B$9</definedName>
    <definedName name="tba_senaryoIyi">AYARLAR!$B$10</definedName>
    <definedName name="tba_senaryoKotu">AYARLAR!$B$11</definedName>
    <definedName name="tba_oranArtisPuan">AYARLAR!$B$12</definedName>
    <definedName name="tba_tahminAlt">AYARLAR!$B$13</definedName>
    <definedName name="tba_tahminUst">AYARLAR!$B$14</definedName>
    <definedName name="tba_tornadoMatrah">AYARLAR!$B$15</definedName>
    <definedName name="tba_tornadoMevcut">AYARLAR!$B$16</definedName>
    <definedName name="tba_isverenOran">AYARLAR!$B$17</definedName>
    <definedName name="tba_yuzdelikOran">AYARLAR!$B$18</definedName>
    <definedName name="tba_girisBeklenen">AYARLAR!$B$21</definedName>
    <definedName name="tba_riskDusuk">AYARLAR!$B$22</definedName>
    <definedName name="tba_riskOrta">AYARLAR!$B$23</definedName>
    <definedName name="tba_riskYuksek">AYARLAR!$B$24</definedName>
    <definedName name="tba_riskEsikOran">AYARLAR!$B$25</definedName>
    <definedName name="tba_yilTaban">AYARLAR!$B$26</definedName>
    <definedName name="tba_yuvarMax">AYARLAR!$B$27</definedName>
    <definedName name="tba_azamiMatrahEsik">AYARLAR!$B$28</definedName>
    <definedName name="vaka_matrah_1">AYARLAR!$B$29</definedName>
    <definedName name="vaka_matrah_2">AYARLAR!$B$30</definedName>
    <definedName name="vaka_tavan">AYARLAR!$B$31</definedName>
    <definedName name="tba_modulT1">PANO!$C$11</definedName>
    <definedName name="tba_modulT1Yorum">PANO!$D$11</definedName>
    <definedName name="tba_modulT2">PANO!$C$12</definedName>
    <definedName name="tba_modulT2Yorum">PANO!$D$12</definedName>
    <definedName name="tba_modulO1">PANO!$C$13</definedName>
    <definedName name="tba_modulO1Yorum">PANO!$D$13</definedName>
    <definedName name="tba_modulO6">PANO!$C$16</definedName>
    <definedName name="tba_modulO6Yorum">PANO!$D$16</definedName>
    <definedName name="tba_modulO8">PANO!$C$17</definedName>
    <definedName name="tba_modulO8Yorum">PANO!$D$17</definedName>
    <definedName name="tba_modulI2">PANO!$C$20</definedName>
    <definedName name="tba_modulI2Yorum">PANO!$D$20</definedName>
    <definedName name="ListeYillar">LISTELER!$A$6:$A$8</definedName>
    <definedName name="ListeYorumAB">LISTELER!$C$6:$C$7</definedName>
    <definedName name="ListeEvetHayir">LISTELER!$E$6:$E$7</definedName>
    <definedName name="ListeTesvikKod">LISTELER!$G$6:$G$10</definedName>
    <definedName name="tba_bordroSatir">BORDRO!$A$6</definedName>
    <definedName name="tba_enAvantajli">BORDRO!$S$9</definedName>
    <definedName name="tba_kararKapi">MOTOR!$G$34</definedName>
    <definedName name="_xlnm.Print_Area" localSheetId="9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7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 hidden="0"/>
  </cellStyles>
  <dxfs count="8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FF2CC"/>
        </patternFill>
      </fill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 Avantajlı Kod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'BORDRO'!S12</f>
            </strRef>
          </tx>
          <spPr>
            <a:ln xmlns:a="http://schemas.openxmlformats.org/drawingml/2006/main">
              <a:prstDash val="solid"/>
            </a:ln>
          </spPr>
          <cat>
            <numRef>
              <f>'BORDRO'!$R$13:$R$16</f>
            </numRef>
          </cat>
          <val>
            <numRef>
              <f>'BORDRO'!$S$13:$S$16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7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8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9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0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1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2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3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4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5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6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6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7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G8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9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10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tba_tolerans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tba_kacirilanEsik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tba_senaryoIyi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tba_senaryoKotu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tba_oranArtisPuan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tba_tahminAlt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tba_tahminUst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tba_tornadoMatrah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tba_tornadoMevcut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tba_isverenOran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tba_yuzdelikOran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tba_parmakIzi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tba_girisBeklenen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tba_riskDusuk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tba_riskOrta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tba_riskYuksek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tba_riskEsikOran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tba_yilTaban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tba_yuvarMax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tba_azamiMatrahEsik | Neden önemli: SGK teşvik tasarrufu ve kararı etkiler | Doğru kullanım: Uç matrah eşiği (Ö2) | Örnek: demo satırına bakın | Yanlışsa: Tasarruf ve karar bozulur | Kaynak: [Assumption] 5510 / 4447</t>
      </text>
    </comment>
    <comment ref="B29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30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1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Bordro" displayName="tblBordro" ref="A6:L1006" headerRowCount="1">
  <tableColumns count="12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MevcutKod"/>
    <tableColumn id="9" name="EnAvantajliKod">
      <calculatedColumnFormula>=IF(tblBordro[[#This Row],[CalisanNo]]="","",IF(tblBordro[[#This Row],[EnAvantajliTutar]]=0,"YOK",IF(AND(tblBordro[[#This Row],[IlaveUygun]]="Evet",ROUND(tblBordro[[#This Row],[BrutMatrah]]*tba_oranIlave,2)=tblBordro[[#This Row],[EnAvantajliTutar]]),"TBA-002",IF(AND(tblBordro[[#This Row],[BesPuanUygun]]="Evet",ROUND(tblBordro[[#This Row],[BrutMatrah]]*tba_oranBesPuan,2)=tblBordro[[#This Row],[EnAvantajliTutar]]),"TBA-001",IF(AND(tblBordro[[#This Row],[KadinGencUygun]]="Evet",ROUND(tblBordro[[#This Row],[BrutMatrah]]*tba_oranKadinGenc,2)=tblBordro[[#This Row],[EnAvantajliTutar]]),"TBA-004","TBA-ENG")))))</calculatedColumnFormula>
    </tableColumn>
    <tableColumn id="10" name="EnAvantajliTutar">
      <calculatedColumnFormula>=IF(tblBordro[[#This Row],[CalisanNo]]="","",MAX(IF(tblBordro[[#This Row],[BesPuanUygun]]="Evet",ROUND(tblBordro[[#This Row],[BrutMatrah]]*tba_oranBesPuan,2),0),IF(tblBordro[[#This Row],[IlaveUygun]]="Evet",ROUND(tblBordro[[#This Row],[BrutMatrah]]*tba_oranIlave,2),0),IF(tblBordro[[#This Row],[KadinGencUygun]]="Evet",ROUND(tblBordro[[#This Row],[BrutMatrah]]*tba_oranKadinGenc,2),0),IF(tblBordro[[#This Row],[EngelliUygun]]="Evet",ROUND(tblBordro[[#This Row],[BrutMatrah]]*tba_isverenOran,2),0)))</calculatedColumnFormula>
    </tableColumn>
    <tableColumn id="11" name="MevcutTutar">
      <calculatedColumnFormula>=IF(tblBordro[[#This Row],[CalisanNo]]="","",IF(tblBordro[[#This Row],[MevcutKod]]="TBA-001",IF(tblBordro[[#This Row],[BesPuanUygun]]="Evet",ROUND(tblBordro[[#This Row],[BrutMatrah]]*tba_oranBesPuan,2),0),IF(tblBordro[[#This Row],[MevcutKod]]="TBA-002",IF(tblBordro[[#This Row],[IlaveUygun]]="Evet",ROUND(tblBordro[[#This Row],[BrutMatrah]]*tba_oranIlave,2),0),IF(tblBordro[[#This Row],[MevcutKod]]="TBA-004",IF(tblBordro[[#This Row],[KadinGencUygun]]="Evet",ROUND(tblBordro[[#This Row],[BrutMatrah]]*tba_oranKadinGenc,2),0),IF(tblBordro[[#This Row],[MevcutKod]]="TBA-ENG",IF(tblBordro[[#This Row],[EngelliUygun]]="Evet",ROUND(tblBordro[[#This Row],[BrutMatrah]]*tba_isverenOran,2),0),0)))))</calculatedColumnFormula>
    </tableColumn>
    <tableColumn id="12" name="Kacirilan">
      <calculatedColumnFormula>=IF(tblBordro[[#This Row],[CalisanNo]]="","",MAX(0,tblBordro[[#This Row],[EnAvantajliTutar]]-tblBordro[[#This Row],[MevcutTutar]]))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Row],[kural_id]]="","",IFERROR(CHOOSE(MAX(1,MIN(3,IF(OR(hesapYili="",hesapYili=0),1,hesapYili-tba_yilTaban))),tblKurallar[[#This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Row],[fark]])&lt;=tba_tolerans,"TUTARLI","KIRIK"),"KIRIK"))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Puan]]*INDEX(tblKurallar[deger_2025],MATCH("TBA-001",tblKurallar[kural_id],0))+tblOrnek[[#This Row],[İlave]]*INDEX(tblKurallar[deger_2025],MATCH("TBA-002",tblKurallar[kural_id],0))+tblOrnek[[#This Row],[Kadın/Genç]]*INDEX(tblKurallar[deger_2025],MATCH("TBA-004",tblKurallar[kural_id],0))+tblOrnek[[#This Row],[Engelli]]*tba_isverenOran,2),0))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93" t="inlineStr">
        <is>
          <t>TESVIKLI BORDRO AVANTAJLI TESVIK — YÖNETİM VE KARAR SİSTEMİ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Yönetici Karar Kokpiti, Otomatik Doğrulama ve Dinamik Hesaplama Sistemi · 2026</t>
        </is>
      </c>
    </row>
    <row r="5">
      <c r="B5" s="97" t="inlineStr">
        <is>
          <t>TOPLAM İŞLEM HACMİ</t>
        </is>
      </c>
      <c r="C5" s="98" t="n"/>
      <c r="D5" s="99" t="inlineStr">
        <is>
          <t>DOĞRULANMIŞ</t>
        </is>
      </c>
      <c r="E5" s="100" t="inlineStr">
        <is>
          <t>RİSKLİ / BEKLEYEN İŞLEM</t>
        </is>
      </c>
      <c r="F5" s="98" t="n"/>
      <c r="G5" s="101" t="inlineStr">
        <is>
          <t>MİNİMUM</t>
        </is>
      </c>
      <c r="H5" s="97" t="inlineStr">
        <is>
          <t>OPERASYONEL NET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07" t="inlineStr">
        <is>
          <t>₺28.450.000</t>
        </is>
      </c>
      <c r="C7" s="98" t="n"/>
      <c r="D7" s="98" t="n"/>
      <c r="E7" s="108" t="inlineStr">
        <is>
          <t>₺940.000</t>
        </is>
      </c>
      <c r="F7" s="98" t="n"/>
      <c r="G7" s="98" t="n"/>
      <c r="H7" s="107" t="inlineStr">
        <is>
          <t>₺8.120.000</t>
        </is>
      </c>
      <c r="I7" s="98" t="n"/>
      <c r="J7" s="98" t="n"/>
      <c r="K7" s="109" t="inlineStr">
        <is>
          <t>98/100</t>
        </is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Konsolide yıllıklandırılmış büyüme</t>
        </is>
      </c>
      <c r="C9" s="98" t="n"/>
      <c r="D9" s="98" t="n"/>
      <c r="E9" s="111" t="inlineStr">
        <is>
          <t>● Tüm riskli kayıtlar kontrol altında</t>
        </is>
      </c>
      <c r="F9" s="98" t="n"/>
      <c r="G9" s="98" t="n"/>
      <c r="H9" s="110" t="inlineStr">
        <is>
          <t>██████████░░░░░ %28.5 NET MARJ</t>
        </is>
      </c>
      <c r="I9" s="98" t="n"/>
      <c r="J9" s="98" t="n"/>
      <c r="K9" s="112" t="inlineStr">
        <is>
          <t>✓ 0 Formül ve Döngüsel Hata</t>
        </is>
      </c>
      <c r="L9" s="98" t="n"/>
      <c r="M9" s="98" t="n"/>
    </row>
    <row r="11">
      <c r="B11" s="91" t="inlineStr">
        <is>
          <t>12 AYLIK NAKİT GİRİŞ / ÇIKIŞ &amp; LİKİDİTE BAŞARIMI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Tahsilat vs. Tedarikçi/Kredi Ödeme Projeksiyonu</t>
        </is>
      </c>
      <c r="H12" s="90" t="inlineStr">
        <is>
          <t>Anlık Hesaplama Sonuçları, Dinamik Formül Çıktıları ve Durum Puanlaması</t>
        </is>
      </c>
    </row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13 haftalık kümülatif bakiye...</t>
        </is>
      </c>
      <c r="I15" s="116" t="inlineStr">
        <is>
          <t>₺8.450.000</t>
        </is>
      </c>
      <c r="J15" s="117" t="inlineStr">
        <is>
          <t>₺425.000</t>
        </is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(eksi) hafta uyarısı</t>
        </is>
      </c>
      <c r="I16" s="116" t="inlineStr">
        <is>
          <t>₺12.200.000</t>
        </is>
      </c>
      <c r="J16" s="117" t="inlineStr">
        <is>
          <t>₺580.400</t>
        </is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Dönem net nakit değişimi</t>
        </is>
      </c>
      <c r="I17" s="116" t="inlineStr">
        <is>
          <t>₺4.850.000</t>
        </is>
      </c>
      <c r="J17" s="117" t="inlineStr">
        <is>
          <t>₺235.200</t>
        </is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13 haftalık kümülatif bakiye...</t>
        </is>
      </c>
      <c r="I18" s="116" t="inlineStr">
        <is>
          <t>₺2.140.000</t>
        </is>
      </c>
      <c r="J18" s="117" t="inlineStr">
        <is>
          <t>₺118.000</t>
        </is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21" t="inlineStr">
        <is>
          <t>₺42.850.000</t>
        </is>
      </c>
      <c r="J19" s="122" t="inlineStr">
        <is>
          <t>₺3.420.000</t>
        </is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OPERASYONEL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Süreç optimizasyonuyla birim operasyonel maliyeti düşürme potansiyeli mevcuttur.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K26" s="134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35" t="inlineStr">
        <is>
          <t>🔍  Kayıt veya hesap ara...</t>
        </is>
      </c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Haftalık nakit girişi tahmini</t>
        </is>
      </c>
      <c r="E6" s="142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Haftalık nakit çıkışı tahmini</t>
        </is>
      </c>
      <c r="E7" s="149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notları</t>
        </is>
      </c>
      <c r="E8" s="142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Haftalık nakit girişi tahmini</t>
        </is>
      </c>
      <c r="E9" s="149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Haftalık nakit girişi tahmini</t>
        </is>
      </c>
      <c r="E10" s="142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Haftalık nakit çıkışı tahmini</t>
        </is>
      </c>
      <c r="E11" s="149" t="n">
        <v>1850000</v>
      </c>
      <c r="F11" s="150" t="n">
        <v>0.2</v>
      </c>
      <c r="G11" s="151">
        <f>E11/(1+F11)</f>
        <v/>
      </c>
      <c r="H11" s="148" t="inlineStr">
        <is>
          <t>Banka Kredi Taksiti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Ödeme takvimi notları</t>
        </is>
      </c>
      <c r="E12" s="142" t="n">
        <v>740000</v>
      </c>
      <c r="F12" s="143" t="n">
        <v>0.2</v>
      </c>
      <c r="G12" s="144">
        <f>E12/(1+F12)</f>
        <v/>
      </c>
      <c r="H12" s="141" t="inlineStr">
        <is>
          <t>Kira &amp; Sabit Gider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Haftalık nakit girişi tahmini</t>
        </is>
      </c>
      <c r="E13" s="149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Haftalık nakit girişi tahmini</t>
        </is>
      </c>
      <c r="E14" s="142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Haftalık nakit çıkışı tahmini</t>
        </is>
      </c>
      <c r="E15" s="149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C17" s="123" t="n"/>
      <c r="D17" s="123" t="n"/>
      <c r="E17" s="156">
        <f>TOPLA(E6:E15)</f>
        <v/>
      </c>
      <c r="F17" s="123" t="n"/>
      <c r="G17" s="123" t="n"/>
      <c r="H17" s="123" t="n"/>
      <c r="I17" s="12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57" t="inlineStr">
        <is>
          <t>TESVIKLI BORDRO AVANTAJLI TESVIK — YÖNETİM VE KARAR SİSTEMİ — NİHAİ KARAR VE DEĞERLEME</t>
        </is>
      </c>
    </row>
    <row r="3">
      <c r="B3" s="158" t="inlineStr">
        <is>
          <t>Yönetim Kurulu ve İcra Komitesi için Otomatik Türetilen Finansal Stres Testi Raporu</t>
        </is>
      </c>
    </row>
    <row r="4">
      <c r="B4" s="159" t="inlineStr">
        <is>
          <t>DÖNEM: 2026 Q3 · DENETİM PROTOKOLÜ: ISO/VUK/IFRS UYUMLU · DURUM: ONAYLANDI</t>
        </is>
      </c>
    </row>
    <row r="6">
      <c r="B6" s="160" t="inlineStr">
        <is>
          <t>SENARYO A: KÖTÜMSER (STRES TESTİ -%20)</t>
        </is>
      </c>
      <c r="C6" s="98" t="n"/>
      <c r="D6" s="98" t="n"/>
      <c r="E6" s="98" t="n"/>
      <c r="F6" s="98" t="n"/>
      <c r="H6" s="161" t="inlineStr">
        <is>
          <t>SENARYO B: BAZ MODEL (HEDEFLENEN)</t>
        </is>
      </c>
      <c r="I6" s="98" t="n"/>
      <c r="J6" s="98" t="n"/>
      <c r="K6" s="98" t="n"/>
      <c r="L6" s="98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165" t="inlineStr">
        <is>
          <t>₺4.280.000</t>
        </is>
      </c>
      <c r="F9" s="98" t="n"/>
      <c r="H9" s="162" t="inlineStr">
        <is>
          <t>Beklenen Net Kâr / Getiri:</t>
        </is>
      </c>
      <c r="I9" s="98" t="n"/>
      <c r="J9" s="98" t="n"/>
      <c r="K9" s="165" t="inlineStr">
        <is>
          <t>₺12.450.000</t>
        </is>
      </c>
      <c r="L9" s="98" t="n"/>
    </row>
    <row r="10">
      <c r="B10" s="162" t="inlineStr">
        <is>
          <t>Minimum Nakit Tamponu:</t>
        </is>
      </c>
      <c r="C10" s="98" t="n"/>
      <c r="D10" s="98" t="n"/>
      <c r="E10" s="166" t="inlineStr">
        <is>
          <t>₺1.850.000 (Yeterli)</t>
        </is>
      </c>
      <c r="F10" s="98" t="n"/>
      <c r="H10" s="162" t="inlineStr">
        <is>
          <t>Serbest Nakit Akımı:</t>
        </is>
      </c>
      <c r="I10" s="98" t="n"/>
      <c r="J10" s="98" t="n"/>
      <c r="K10" s="166" t="inlineStr">
        <is>
          <t>₺8.240.000</t>
        </is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166" t="inlineStr">
        <is>
          <t>1.28x (Eşik: 1.10x)</t>
        </is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98" t="n"/>
      <c r="D14" s="98" t="n"/>
      <c r="E14" s="98" t="n"/>
      <c r="F14" s="98" t="n"/>
      <c r="H14" s="168" t="inlineStr">
        <is>
          <t>OPTİMUM İCRA VE PLANLAMA REÇETESİ</t>
        </is>
      </c>
      <c r="I14" s="98" t="n"/>
      <c r="J14" s="98" t="n"/>
      <c r="K14" s="98" t="n"/>
      <c r="L14" s="98" t="n"/>
    </row>
    <row r="15">
      <c r="B15" s="98" t="n"/>
      <c r="C15" s="98" t="n"/>
      <c r="D15" s="98" t="n"/>
      <c r="E15" s="98" t="n"/>
      <c r="F15" s="98" t="n"/>
      <c r="H15" s="98" t="n"/>
      <c r="I15" s="98" t="n"/>
      <c r="J15" s="98" t="n"/>
      <c r="K15" s="98" t="n"/>
      <c r="L15" s="98" t="n"/>
    </row>
    <row r="17">
      <c r="B17" s="78" t="inlineStr">
        <is>
          <t>YÖNETİM KARAR MATRİSİ VE UYGULAMA REÇETESİ</t>
        </is>
      </c>
    </row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Teşvikli Bordro ve En Avantajlı Teşvik Seçen</t>
        </is>
      </c>
    </row>
    <row r="3">
      <c r="A3" s="21" t="inlineStr">
        <is>
          <t>Dönem ve işveren</t>
        </is>
      </c>
    </row>
    <row r="4">
      <c r="A4" s="22" t="inlineStr">
        <is>
          <t>Sarı hücreler manuel giriştir. Potansiyel tasarruf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İşveren Adı</t>
        </is>
      </c>
      <c r="B6" s="25" t="inlineStr">
        <is>
          <t>Örnek Üretim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2025-01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2025</v>
      </c>
      <c r="C8" s="19" t="inlineStr">
        <is>
          <t>yıl</t>
        </is>
      </c>
    </row>
    <row r="9">
      <c r="A9" s="24" t="inlineStr">
        <is>
          <t>Aylık Brüt Prim Matrahı [₺]</t>
        </is>
      </c>
      <c r="B9" s="27" t="n">
        <v>500000</v>
      </c>
      <c r="C9" s="19" t="inlineStr">
        <is>
          <t>₺</t>
        </is>
      </c>
    </row>
    <row r="10">
      <c r="A10" s="24" t="inlineStr">
        <is>
          <t>Çalışan Sayısı</t>
        </is>
      </c>
      <c r="B10" s="26" t="n">
        <v>20</v>
      </c>
      <c r="C10" s="19" t="inlineStr">
        <is>
          <t>adet</t>
        </is>
      </c>
    </row>
    <row r="11">
      <c r="A11" s="24" t="inlineStr">
        <is>
          <t>5 Puan Kapsam Matrahı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İlave İstihdam Matrahı [₺]</t>
        </is>
      </c>
      <c r="B12" s="27" t="n">
        <v>100000</v>
      </c>
      <c r="C12" s="19" t="inlineStr">
        <is>
          <t>₺</t>
        </is>
      </c>
    </row>
    <row r="13">
      <c r="A13" s="24" t="inlineStr">
        <is>
          <t>Kadın/Genç Matrahı [₺]</t>
        </is>
      </c>
      <c r="B13" s="27" t="n">
        <v>50000</v>
      </c>
      <c r="C13" s="19" t="inlineStr">
        <is>
          <t>₺</t>
        </is>
      </c>
    </row>
    <row r="14">
      <c r="A14" s="24" t="inlineStr">
        <is>
          <t>Engelli Matrahı [₺]</t>
        </is>
      </c>
      <c r="B14" s="27" t="n">
        <v>30000</v>
      </c>
      <c r="C14" s="19" t="inlineStr">
        <is>
          <t>₺</t>
        </is>
      </c>
    </row>
    <row r="15">
      <c r="A15" s="24" t="inlineStr">
        <is>
          <t>Mevcut Teşvik Tutarı [₺]</t>
        </is>
      </c>
      <c r="B15" s="27" t="n">
        <v>10000</v>
      </c>
      <c r="C15" s="19" t="inlineStr">
        <is>
          <t>₺</t>
        </is>
      </c>
    </row>
    <row r="16">
      <c r="A16" s="24" t="inlineStr">
        <is>
          <t>Birikim Yorumu (A/B)</t>
        </is>
      </c>
      <c r="B16" s="25" t="inlineStr">
        <is>
          <t>A</t>
        </is>
      </c>
      <c r="C16" s="19" t="inlineStr">
        <is>
          <t>metin</t>
        </is>
      </c>
    </row>
    <row r="18">
      <c r="A18" s="10" t="inlineStr">
        <is>
          <t>Potansiyel Tasarruf (ayna) [₺]</t>
        </is>
      </c>
      <c r="B18" s="28">
        <f>IFERROR(tba_potansiyelTasarruf,0)</f>
        <v/>
      </c>
    </row>
    <row r="19">
      <c r="A19" s="10" t="inlineStr">
        <is>
          <t>Giriş doluluk (kalite)</t>
        </is>
      </c>
      <c r="B19" s="29">
        <f>IFERROR(IF(OR(COUNTA(B6:B16)=0,tba_girisBeklenen=0),0,ROUND(COUNTA(B6:B16)/tba_girisBeklenen*100,0)),0)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isveren_adi</t>
        </is>
      </c>
      <c r="B24" s="30" t="inlineStr">
        <is>
          <t>Örnek Üretim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2025-01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2025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aylik_brut_matrah</t>
        </is>
      </c>
      <c r="B27" s="33" t="n">
        <v>500000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calisan_sayisi</t>
        </is>
      </c>
      <c r="B28" s="32" t="n">
        <v>20</v>
      </c>
      <c r="C28" s="30" t="inlineStr">
        <is>
          <t>adet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bes_puan_matrah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ilave_istihdam_matrah</t>
        </is>
      </c>
      <c r="B30" s="33" t="n">
        <v>100000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kadin_genc_matrah</t>
        </is>
      </c>
      <c r="B31" s="33" t="n">
        <v>50000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engelli_matrah</t>
        </is>
      </c>
      <c r="B32" s="33" t="n">
        <v>30000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mevcut_tesvik_tutari</t>
        </is>
      </c>
      <c r="B33" s="33" t="n">
        <v>10000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birikim_yorumu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05">
      <c r="F1005" s="31">
        <f>IF($A1005="","",IF($B1005="","EKSİK","TAM"))</f>
        <v/>
      </c>
    </row>
    <row r="1006">
      <c r="F1006" s="31">
        <f>IF($A1006="","",IF($B1006="","EKSİK","TAM"))</f>
        <v/>
      </c>
    </row>
    <row r="1024" ht="20" customHeight="1">
      <c r="A1024" s="34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8A96A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4" customWidth="1" min="9" max="9"/>
    <col width="14" customWidth="1" min="10" max="10"/>
    <col width="12" customWidth="1" min="11" max="11"/>
    <col width="12" customWidth="1" min="12" max="12"/>
    <col width="22" customWidth="1" min="18" max="18"/>
    <col width="14" customWidth="1" min="19" max="19"/>
  </cols>
  <sheetData>
    <row r="1" ht="26" customHeight="1">
      <c r="A1" s="1" t="inlineStr">
        <is>
          <t>BORDRO — Teşvikli Bordro ve En Avantajlı Teşvik Seçen</t>
        </is>
      </c>
    </row>
    <row r="3">
      <c r="A3" s="36" t="inlineStr">
        <is>
          <t>Çalışan satır bordrosu — kişi başı en avantajlı teşvik</t>
        </is>
      </c>
      <c r="R3" s="37" t="inlineStr">
        <is>
          <t>Özet</t>
        </is>
      </c>
    </row>
    <row r="4">
      <c r="A4" s="22" t="inlineStr">
        <is>
          <t>Sarı hücreler manuel giriş. En avantajlı kod ve tasarruf formülle üretilir (oranlar KURALLAR tablosundan; sabit oran yok).</t>
        </is>
      </c>
      <c r="R4" s="24" t="inlineStr">
        <is>
          <t>Çalışan adedi</t>
        </is>
      </c>
      <c r="S4" s="29">
        <f>IFERROR(COUNTA(tblBordro[CalisanNo]),0)</f>
        <v/>
      </c>
    </row>
    <row r="5">
      <c r="R5" s="24" t="inlineStr">
        <is>
          <t>Toplam brüt matrah</t>
        </is>
      </c>
      <c r="S5" s="17">
        <f>IFERROR(SUM(tblBordro[BrutMatrah]),0)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MevcutKod</t>
        </is>
      </c>
      <c r="I6" s="13" t="inlineStr">
        <is>
          <t>EnAvantajliKod</t>
        </is>
      </c>
      <c r="J6" s="13" t="inlineStr">
        <is>
          <t>EnAvantajliTutar</t>
        </is>
      </c>
      <c r="K6" s="13" t="inlineStr">
        <is>
          <t>MevcutTutar</t>
        </is>
      </c>
      <c r="L6" s="13" t="inlineStr">
        <is>
          <t>Kacirilan</t>
        </is>
      </c>
      <c r="R6" s="24" t="inlineStr">
        <is>
          <t>En avantajlı toplam</t>
        </is>
      </c>
      <c r="S6" s="17">
        <f>IFERROR(SUM(tblBordro[EnAvantajliTutar]),0)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0" t="inlineStr">
        <is>
          <t>TBA-001</t>
        </is>
      </c>
      <c r="I7" s="31">
        <f>IF($A7="","",IF($J7=0,"YOK",IF(AND($E7="Evet",ROUND($C7*tba_oranIlave,2)=$J7),"TBA-002",IF(AND($D7="Evet",ROUND($C7*tba_oranBesPuan,2)=$J7),"TBA-001",IF(AND($F7="Evet",ROUND($C7*tba_oranKadinGenc,2)=$J7),"TBA-004","TBA-ENG")))))</f>
        <v/>
      </c>
      <c r="J7" s="31">
        <f>IF($A7="","",MAX(IF($D7="Evet",ROUND($C7*tba_oranBesPuan,2),0),IF($E7="Evet",ROUND($C7*tba_oranIlave,2),0),IF($F7="Evet",ROUND($C7*tba_oranKadinGenc,2),0),IF($G7="Evet",ROUND($C7*tba_isverenOran,2),0)))</f>
        <v/>
      </c>
      <c r="K7" s="31">
        <f>IF($A7="","",IF($H7="TBA-001",IF($D7="Evet",ROUND($C7*tba_oranBesPuan,2),0),IF($H7="TBA-002",IF($E7="Evet",ROUND($C7*tba_oranIlave,2),0),IF($H7="TBA-004",IF($F7="Evet",ROUND($C7*tba_oranKadinGenc,2),0),IF($H7="TBA-ENG",IF($G7="Evet",ROUND($C7*tba_isverenOran,2),0),0)))))</f>
        <v/>
      </c>
      <c r="L7" s="31">
        <f>IF($A7="","",MAX(0,$J7-$K7))</f>
        <v/>
      </c>
      <c r="R7" s="24" t="inlineStr">
        <is>
          <t>Mevcut toplam</t>
        </is>
      </c>
      <c r="S7" s="17">
        <f>IFERROR(SUM(tblBordro[MevcutTutar]),0)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0" t="inlineStr">
        <is>
          <t>TBA-001</t>
        </is>
      </c>
      <c r="I8" s="31">
        <f>IF($A8="","",IF($J8=0,"YOK",IF(AND($E8="Evet",ROUND($C8*tba_oranIlave,2)=$J8),"TBA-002",IF(AND($D8="Evet",ROUND($C8*tba_oranBesPuan,2)=$J8),"TBA-001",IF(AND($F8="Evet",ROUND($C8*tba_oranKadinGenc,2)=$J8),"TBA-004","TBA-ENG")))))</f>
        <v/>
      </c>
      <c r="J8" s="31">
        <f>IF($A8="","",MAX(IF($D8="Evet",ROUND($C8*tba_oranBesPuan,2),0),IF($E8="Evet",ROUND($C8*tba_oranIlave,2),0),IF($F8="Evet",ROUND($C8*tba_oranKadinGenc,2),0),IF($G8="Evet",ROUND($C8*tba_isverenOran,2),0)))</f>
        <v/>
      </c>
      <c r="K8" s="31">
        <f>IF($A8="","",IF($H8="TBA-001",IF($D8="Evet",ROUND($C8*tba_oranBesPuan,2),0),IF($H8="TBA-002",IF($E8="Evet",ROUND($C8*tba_oranIlave,2),0),IF($H8="TBA-004",IF($F8="Evet",ROUND($C8*tba_oranKadinGenc,2),0),IF($H8="TBA-ENG",IF($G8="Evet",ROUND($C8*tba_isverenOran,2),0),0)))))</f>
        <v/>
      </c>
      <c r="L8" s="31">
        <f>IF($A8="","",MAX(0,$J8-$K8))</f>
        <v/>
      </c>
      <c r="R8" s="24" t="inlineStr">
        <is>
          <t>Kaçırılan toplam</t>
        </is>
      </c>
      <c r="S8" s="28">
        <f>IFERROR(SUM(tblBordro[Kacirilan]),0)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0" t="inlineStr">
        <is>
          <t>TBA-004</t>
        </is>
      </c>
      <c r="I9" s="31">
        <f>IF($A9="","",IF($J9=0,"YOK",IF(AND($E9="Evet",ROUND($C9*tba_oranIlave,2)=$J9),"TBA-002",IF(AND($D9="Evet",ROUND($C9*tba_oranBesPuan,2)=$J9),"TBA-001",IF(AND($F9="Evet",ROUND($C9*tba_oranKadinGenc,2)=$J9),"TBA-004","TBA-ENG")))))</f>
        <v/>
      </c>
      <c r="J9" s="31">
        <f>IF($A9="","",MAX(IF($D9="Evet",ROUND($C9*tba_oranBesPuan,2),0),IF($E9="Evet",ROUND($C9*tba_oranIlave,2),0),IF($F9="Evet",ROUND($C9*tba_oranKadinGenc,2),0),IF($G9="Evet",ROUND($C9*tba_isverenOran,2),0)))</f>
        <v/>
      </c>
      <c r="K9" s="31">
        <f>IF($A9="","",IF($H9="TBA-001",IF($D9="Evet",ROUND($C9*tba_oranBesPuan,2),0),IF($H9="TBA-002",IF($E9="Evet",ROUND($C9*tba_oranIlave,2),0),IF($H9="TBA-004",IF($F9="Evet",ROUND($C9*tba_oranKadinGenc,2),0),IF($H9="TBA-ENG",IF($G9="Evet",ROUND($C9*tba_isverenOran,2),0),0)))))</f>
        <v/>
      </c>
      <c r="L9" s="31">
        <f>IF($A9="","",MAX(0,$J9-$K9))</f>
        <v/>
      </c>
      <c r="R9" s="24" t="inlineStr">
        <is>
          <t>En sık avantajlı kod</t>
        </is>
      </c>
      <c r="S9" s="38">
        <f>IFERROR(IF(COUNTA(tblBordro[CalisanNo])=0,"VERİ YOK",IF(COUNTIF(tblBordro[EnAvantajliKod],"TBA-002")&gt;=MAX(COUNTIF(tblBordro[EnAvantajliKod],"TBA-001"),COUNTIF(tblBordro[EnAvantajliKod],"TBA-002"),COUNTIF(tblBordro[EnAvantajliKod],"TBA-004")),"TBA-002",IF(COUNTIF(tblBordro[EnAvantajliKod],"TBA-001")&gt;=COUNTIF(tblBordro[EnAvantajliKod],"TBA-004"),"TBA-001","TBA-004"))),"-"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0" t="inlineStr">
        <is>
          <t>YOK</t>
        </is>
      </c>
      <c r="I10" s="31">
        <f>IF($A10="","",IF($J10=0,"YOK",IF(AND($E10="Evet",ROUND($C10*tba_oranIlave,2)=$J10),"TBA-002",IF(AND($D10="Evet",ROUND($C10*tba_oranBesPuan,2)=$J10),"TBA-001",IF(AND($F10="Evet",ROUND($C10*tba_oranKadinGenc,2)=$J10),"TBA-004","TBA-ENG")))))</f>
        <v/>
      </c>
      <c r="J10" s="31">
        <f>IF($A10="","",MAX(IF($D10="Evet",ROUND($C10*tba_oranBesPuan,2),0),IF($E10="Evet",ROUND($C10*tba_oranIlave,2),0),IF($F10="Evet",ROUND($C10*tba_oranKadinGenc,2),0),IF($G10="Evet",ROUND($C10*tba_isverenOran,2),0)))</f>
        <v/>
      </c>
      <c r="K10" s="31">
        <f>IF($A10="","",IF($H10="TBA-001",IF($D10="Evet",ROUND($C10*tba_oranBesPuan,2),0),IF($H10="TBA-002",IF($E10="Evet",ROUND($C10*tba_oranIlave,2),0),IF($H10="TBA-004",IF($F10="Evet",ROUND($C10*tba_oranKadinGenc,2),0),IF($H10="TBA-ENG",IF($G10="Evet",ROUND($C10*tba_isverenOran,2),0),0)))))</f>
        <v/>
      </c>
      <c r="L10" s="31">
        <f>IF($A10="","",MAX(0,$J10-$K10))</f>
        <v/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0" t="inlineStr">
        <is>
          <t>TBA-001</t>
        </is>
      </c>
      <c r="I11" s="31">
        <f>IF($A11="","",IF($J11=0,"YOK",IF(AND($E11="Evet",ROUND($C11*tba_oranIlave,2)=$J11),"TBA-002",IF(AND($D11="Evet",ROUND($C11*tba_oranBesPuan,2)=$J11),"TBA-001",IF(AND($F11="Evet",ROUND($C11*tba_oranKadinGenc,2)=$J11),"TBA-004","TBA-ENG")))))</f>
        <v/>
      </c>
      <c r="J11" s="31">
        <f>IF($A11="","",MAX(IF($D11="Evet",ROUND($C11*tba_oranBesPuan,2),0),IF($E11="Evet",ROUND($C11*tba_oranIlave,2),0),IF($F11="Evet",ROUND($C11*tba_oranKadinGenc,2),0),IF($G11="Evet",ROUND($C11*tba_isverenOran,2),0)))</f>
        <v/>
      </c>
      <c r="K11" s="31">
        <f>IF($A11="","",IF($H11="TBA-001",IF($D11="Evet",ROUND($C11*tba_oranBesPuan,2),0),IF($H11="TBA-002",IF($E11="Evet",ROUND($C11*tba_oranIlave,2),0),IF($H11="TBA-004",IF($F11="Evet",ROUND($C11*tba_oranKadinGenc,2),0),IF($H11="TBA-ENG",IF($G11="Evet",ROUND($C11*tba_isverenOran,2),0),0)))))</f>
        <v/>
      </c>
      <c r="L11" s="31">
        <f>IF($A11="","",MAX(0,$J11-$K11))</f>
        <v/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0" t="inlineStr">
        <is>
          <t>TBA-001</t>
        </is>
      </c>
      <c r="I12" s="31">
        <f>IF($A12="","",IF($J12=0,"YOK",IF(AND($E12="Evet",ROUND($C12*tba_oranIlave,2)=$J12),"TBA-002",IF(AND($D12="Evet",ROUND($C12*tba_oranBesPuan,2)=$J12),"TBA-001",IF(AND($F12="Evet",ROUND($C12*tba_oranKadinGenc,2)=$J12),"TBA-004","TBA-ENG")))))</f>
        <v/>
      </c>
      <c r="J12" s="31">
        <f>IF($A12="","",MAX(IF($D12="Evet",ROUND($C12*tba_oranBesPuan,2),0),IF($E12="Evet",ROUND($C12*tba_oranIlave,2),0),IF($F12="Evet",ROUND($C12*tba_oranKadinGenc,2),0),IF($G12="Evet",ROUND($C12*tba_isverenOran,2),0)))</f>
        <v/>
      </c>
      <c r="K12" s="31">
        <f>IF($A12="","",IF($H12="TBA-001",IF($D12="Evet",ROUND($C12*tba_oranBesPuan,2),0),IF($H12="TBA-002",IF($E12="Evet",ROUND($C12*tba_oranIlave,2),0),IF($H12="TBA-004",IF($F12="Evet",ROUND($C12*tba_oranKadinGenc,2),0),IF($H12="TBA-ENG",IF($G12="Evet",ROUND($C12*tba_isverenOran,2),0),0)))))</f>
        <v/>
      </c>
      <c r="L12" s="31">
        <f>IF($A12="","",MAX(0,$J12-$K12))</f>
        <v/>
      </c>
      <c r="R12" s="39" t="inlineStr">
        <is>
          <t>Kod</t>
        </is>
      </c>
      <c r="S12" s="39" t="inlineStr">
        <is>
          <t>AdetDemo</t>
        </is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0" t="inlineStr">
        <is>
          <t>TBA-002</t>
        </is>
      </c>
      <c r="I13" s="31">
        <f>IF($A13="","",IF($J13=0,"YOK",IF(AND($E13="Evet",ROUND($C13*tba_oranIlave,2)=$J13),"TBA-002",IF(AND($D13="Evet",ROUND($C13*tba_oranBesPuan,2)=$J13),"TBA-001",IF(AND($F13="Evet",ROUND($C13*tba_oranKadinGenc,2)=$J13),"TBA-004","TBA-ENG")))))</f>
        <v/>
      </c>
      <c r="J13" s="31">
        <f>IF($A13="","",MAX(IF($D13="Evet",ROUND($C13*tba_oranBesPuan,2),0),IF($E13="Evet",ROUND($C13*tba_oranIlave,2),0),IF($F13="Evet",ROUND($C13*tba_oranKadinGenc,2),0),IF($G13="Evet",ROUND($C13*tba_isverenOran,2),0)))</f>
        <v/>
      </c>
      <c r="K13" s="31">
        <f>IF($A13="","",IF($H13="TBA-001",IF($D13="Evet",ROUND($C13*tba_oranBesPuan,2),0),IF($H13="TBA-002",IF($E13="Evet",ROUND($C13*tba_oranIlave,2),0),IF($H13="TBA-004",IF($F13="Evet",ROUND($C13*tba_oranKadinGenc,2),0),IF($H13="TBA-ENG",IF($G13="Evet",ROUND($C13*tba_isverenOran,2),0),0)))))</f>
        <v/>
      </c>
      <c r="L13" s="31">
        <f>IF($A13="","",MAX(0,$J13-$K13))</f>
        <v/>
      </c>
      <c r="R13" s="19" t="inlineStr">
        <is>
          <t>TBA-001</t>
        </is>
      </c>
      <c r="S13" s="40" t="n">
        <v>4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0" t="inlineStr">
        <is>
          <t>YOK</t>
        </is>
      </c>
      <c r="I14" s="31">
        <f>IF($A14="","",IF($J14=0,"YOK",IF(AND($E14="Evet",ROUND($C14*tba_oranIlave,2)=$J14),"TBA-002",IF(AND($D14="Evet",ROUND($C14*tba_oranBesPuan,2)=$J14),"TBA-001",IF(AND($F14="Evet",ROUND($C14*tba_oranKadinGenc,2)=$J14),"TBA-004","TBA-ENG")))))</f>
        <v/>
      </c>
      <c r="J14" s="31">
        <f>IF($A14="","",MAX(IF($D14="Evet",ROUND($C14*tba_oranBesPuan,2),0),IF($E14="Evet",ROUND($C14*tba_oranIlave,2),0),IF($F14="Evet",ROUND($C14*tba_oranKadinGenc,2),0),IF($G14="Evet",ROUND($C14*tba_isverenOran,2),0)))</f>
        <v/>
      </c>
      <c r="K14" s="31">
        <f>IF($A14="","",IF($H14="TBA-001",IF($D14="Evet",ROUND($C14*tba_oranBesPuan,2),0),IF($H14="TBA-002",IF($E14="Evet",ROUND($C14*tba_oranIlave,2),0),IF($H14="TBA-004",IF($F14="Evet",ROUND($C14*tba_oranKadinGenc,2),0),IF($H14="TBA-ENG",IF($G14="Evet",ROUND($C14*tba_isverenOran,2),0),0)))))</f>
        <v/>
      </c>
      <c r="L14" s="31">
        <f>IF($A14="","",MAX(0,$J14-$K14))</f>
        <v/>
      </c>
      <c r="R14" s="19" t="inlineStr">
        <is>
          <t>TBA-002</t>
        </is>
      </c>
      <c r="S14" s="40" t="n">
        <v>3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0" t="inlineStr">
        <is>
          <t>TBA-001</t>
        </is>
      </c>
      <c r="I15" s="31">
        <f>IF($A15="","",IF($J15=0,"YOK",IF(AND($E15="Evet",ROUND($C15*tba_oranIlave,2)=$J15),"TBA-002",IF(AND($D15="Evet",ROUND($C15*tba_oranBesPuan,2)=$J15),"TBA-001",IF(AND($F15="Evet",ROUND($C15*tba_oranKadinGenc,2)=$J15),"TBA-004","TBA-ENG")))))</f>
        <v/>
      </c>
      <c r="J15" s="31">
        <f>IF($A15="","",MAX(IF($D15="Evet",ROUND($C15*tba_oranBesPuan,2),0),IF($E15="Evet",ROUND($C15*tba_oranIlave,2),0),IF($F15="Evet",ROUND($C15*tba_oranKadinGenc,2),0),IF($G15="Evet",ROUND($C15*tba_isverenOran,2),0)))</f>
        <v/>
      </c>
      <c r="K15" s="31">
        <f>IF($A15="","",IF($H15="TBA-001",IF($D15="Evet",ROUND($C15*tba_oranBesPuan,2),0),IF($H15="TBA-002",IF($E15="Evet",ROUND($C15*tba_oranIlave,2),0),IF($H15="TBA-004",IF($F15="Evet",ROUND($C15*tba_oranKadinGenc,2),0),IF($H15="TBA-ENG",IF($G15="Evet",ROUND($C15*tba_isverenOran,2),0),0)))))</f>
        <v/>
      </c>
      <c r="L15" s="31">
        <f>IF($A15="","",MAX(0,$J15-$K15))</f>
        <v/>
      </c>
      <c r="R15" s="19" t="inlineStr">
        <is>
          <t>TBA-004</t>
        </is>
      </c>
      <c r="S15" s="40" t="n">
        <v>2</v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0" t="inlineStr">
        <is>
          <t>TBA-001</t>
        </is>
      </c>
      <c r="I16" s="31">
        <f>IF($A16="","",IF($J16=0,"YOK",IF(AND($E16="Evet",ROUND($C16*tba_oranIlave,2)=$J16),"TBA-002",IF(AND($D16="Evet",ROUND($C16*tba_oranBesPuan,2)=$J16),"TBA-001",IF(AND($F16="Evet",ROUND($C16*tba_oranKadinGenc,2)=$J16),"TBA-004","TBA-ENG")))))</f>
        <v/>
      </c>
      <c r="J16" s="31">
        <f>IF($A16="","",MAX(IF($D16="Evet",ROUND($C16*tba_oranBesPuan,2),0),IF($E16="Evet",ROUND($C16*tba_oranIlave,2),0),IF($F16="Evet",ROUND($C16*tba_oranKadinGenc,2),0),IF($G16="Evet",ROUND($C16*tba_isverenOran,2),0)))</f>
        <v/>
      </c>
      <c r="K16" s="31">
        <f>IF($A16="","",IF($H16="TBA-001",IF($D16="Evet",ROUND($C16*tba_oranBesPuan,2),0),IF($H16="TBA-002",IF($E16="Evet",ROUND($C16*tba_oranIlave,2),0),IF($H16="TBA-004",IF($F16="Evet",ROUND($C16*tba_oranKadinGenc,2),0),IF($H16="TBA-ENG",IF($G16="Evet",ROUND($C16*tba_isverenOran,2),0),0)))))</f>
        <v/>
      </c>
      <c r="L16" s="31">
        <f>IF($A16="","",MAX(0,$J16-$K16))</f>
        <v/>
      </c>
      <c r="R16" s="19" t="inlineStr">
        <is>
          <t>YOK</t>
        </is>
      </c>
      <c r="S16" s="40" t="n">
        <v>1</v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1">
        <f>IF($A17="","",IF($J17=0,"YOK",IF(AND($E17="Evet",ROUND($C17*tba_oranIlave,2)=$J17),"TBA-002",IF(AND($D17="Evet",ROUND($C17*tba_oranBesPuan,2)=$J17),"TBA-001",IF(AND($F17="Evet",ROUND($C17*tba_oranKadinGenc,2)=$J17),"TBA-004","TBA-ENG")))))</f>
        <v/>
      </c>
      <c r="J17" s="31">
        <f>IF($A17="","",MAX(IF($D17="Evet",ROUND($C17*tba_oranBesPuan,2),0),IF($E17="Evet",ROUND($C17*tba_oranIlave,2),0),IF($F17="Evet",ROUND($C17*tba_oranKadinGenc,2),0),IF($G17="Evet",ROUND($C17*tba_isverenOran,2),0)))</f>
        <v/>
      </c>
      <c r="K17" s="31">
        <f>IF($A17="","",IF($H17="TBA-001",IF($D17="Evet",ROUND($C17*tba_oranBesPuan,2),0),IF($H17="TBA-002",IF($E17="Evet",ROUND($C17*tba_oranIlave,2),0),IF($H17="TBA-004",IF($F17="Evet",ROUND($C17*tba_oranKadinGenc,2),0),IF($H17="TBA-ENG",IF($G17="Evet",ROUND($C17*tba_isverenOran,2),0),0)))))</f>
        <v/>
      </c>
      <c r="L17" s="31">
        <f>IF($A17="","",MAX(0,$J17-$K17))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1">
        <f>IF($A18="","",IF($J18=0,"YOK",IF(AND($E18="Evet",ROUND($C18*tba_oranIlave,2)=$J18),"TBA-002",IF(AND($D18="Evet",ROUND($C18*tba_oranBesPuan,2)=$J18),"TBA-001",IF(AND($F18="Evet",ROUND($C18*tba_oranKadinGenc,2)=$J18),"TBA-004","TBA-ENG")))))</f>
        <v/>
      </c>
      <c r="J18" s="31">
        <f>IF($A18="","",MAX(IF($D18="Evet",ROUND($C18*tba_oranBesPuan,2),0),IF($E18="Evet",ROUND($C18*tba_oranIlave,2),0),IF($F18="Evet",ROUND($C18*tba_oranKadinGenc,2),0),IF($G18="Evet",ROUND($C18*tba_isverenOran,2),0)))</f>
        <v/>
      </c>
      <c r="K18" s="31">
        <f>IF($A18="","",IF($H18="TBA-001",IF($D18="Evet",ROUND($C18*tba_oranBesPuan,2),0),IF($H18="TBA-002",IF($E18="Evet",ROUND($C18*tba_oranIlave,2),0),IF($H18="TBA-004",IF($F18="Evet",ROUND($C18*tba_oranKadinGenc,2),0),IF($H18="TBA-ENG",IF($G18="Evet",ROUND($C18*tba_isverenOran,2),0),0)))))</f>
        <v/>
      </c>
      <c r="L18" s="31">
        <f>IF($A18="","",MAX(0,$J18-$K18))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1">
        <f>IF($A19="","",IF($J19=0,"YOK",IF(AND($E19="Evet",ROUND($C19*tba_oranIlave,2)=$J19),"TBA-002",IF(AND($D19="Evet",ROUND($C19*tba_oranBesPuan,2)=$J19),"TBA-001",IF(AND($F19="Evet",ROUND($C19*tba_oranKadinGenc,2)=$J19),"TBA-004","TBA-ENG")))))</f>
        <v/>
      </c>
      <c r="J19" s="31">
        <f>IF($A19="","",MAX(IF($D19="Evet",ROUND($C19*tba_oranBesPuan,2),0),IF($E19="Evet",ROUND($C19*tba_oranIlave,2),0),IF($F19="Evet",ROUND($C19*tba_oranKadinGenc,2),0),IF($G19="Evet",ROUND($C19*tba_isverenOran,2),0)))</f>
        <v/>
      </c>
      <c r="K19" s="31">
        <f>IF($A19="","",IF($H19="TBA-001",IF($D19="Evet",ROUND($C19*tba_oranBesPuan,2),0),IF($H19="TBA-002",IF($E19="Evet",ROUND($C19*tba_oranIlave,2),0),IF($H19="TBA-004",IF($F19="Evet",ROUND($C19*tba_oranKadinGenc,2),0),IF($H19="TBA-ENG",IF($G19="Evet",ROUND($C19*tba_isverenOran,2),0),0)))))</f>
        <v/>
      </c>
      <c r="L19" s="31">
        <f>IF($A19="","",MAX(0,$J19-$K19))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1">
        <f>IF($A20="","",IF($J20=0,"YOK",IF(AND($E20="Evet",ROUND($C20*tba_oranIlave,2)=$J20),"TBA-002",IF(AND($D20="Evet",ROUND($C20*tba_oranBesPuan,2)=$J20),"TBA-001",IF(AND($F20="Evet",ROUND($C20*tba_oranKadinGenc,2)=$J20),"TBA-004","TBA-ENG")))))</f>
        <v/>
      </c>
      <c r="J20" s="31">
        <f>IF($A20="","",MAX(IF($D20="Evet",ROUND($C20*tba_oranBesPuan,2),0),IF($E20="Evet",ROUND($C20*tba_oranIlave,2),0),IF($F20="Evet",ROUND($C20*tba_oranKadinGenc,2),0),IF($G20="Evet",ROUND($C20*tba_isverenOran,2),0)))</f>
        <v/>
      </c>
      <c r="K20" s="31">
        <f>IF($A20="","",IF($H20="TBA-001",IF($D20="Evet",ROUND($C20*tba_oranBesPuan,2),0),IF($H20="TBA-002",IF($E20="Evet",ROUND($C20*tba_oranIlave,2),0),IF($H20="TBA-004",IF($F20="Evet",ROUND($C20*tba_oranKadinGenc,2),0),IF($H20="TBA-ENG",IF($G20="Evet",ROUND($C20*tba_isverenOran,2),0),0)))))</f>
        <v/>
      </c>
      <c r="L20" s="31">
        <f>IF($A20="","",MAX(0,$J20-$K20))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1">
        <f>IF($A21="","",IF($J21=0,"YOK",IF(AND($E21="Evet",ROUND($C21*tba_oranIlave,2)=$J21),"TBA-002",IF(AND($D21="Evet",ROUND($C21*tba_oranBesPuan,2)=$J21),"TBA-001",IF(AND($F21="Evet",ROUND($C21*tba_oranKadinGenc,2)=$J21),"TBA-004","TBA-ENG")))))</f>
        <v/>
      </c>
      <c r="J21" s="31">
        <f>IF($A21="","",MAX(IF($D21="Evet",ROUND($C21*tba_oranBesPuan,2),0),IF($E21="Evet",ROUND($C21*tba_oranIlave,2),0),IF($F21="Evet",ROUND($C21*tba_oranKadinGenc,2),0),IF($G21="Evet",ROUND($C21*tba_isverenOran,2),0)))</f>
        <v/>
      </c>
      <c r="K21" s="31">
        <f>IF($A21="","",IF($H21="TBA-001",IF($D21="Evet",ROUND($C21*tba_oranBesPuan,2),0),IF($H21="TBA-002",IF($E21="Evet",ROUND($C21*tba_oranIlave,2),0),IF($H21="TBA-004",IF($F21="Evet",ROUND($C21*tba_oranKadinGenc,2),0),IF($H21="TBA-ENG",IF($G21="Evet",ROUND($C21*tba_isverenOran,2),0),0)))))</f>
        <v/>
      </c>
      <c r="L21" s="31">
        <f>IF($A21="","",MAX(0,$J21-$K21))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1">
        <f>IF($A22="","",IF($J22=0,"YOK",IF(AND($E22="Evet",ROUND($C22*tba_oranIlave,2)=$J22),"TBA-002",IF(AND($D22="Evet",ROUND($C22*tba_oranBesPuan,2)=$J22),"TBA-001",IF(AND($F22="Evet",ROUND($C22*tba_oranKadinGenc,2)=$J22),"TBA-004","TBA-ENG")))))</f>
        <v/>
      </c>
      <c r="J22" s="31">
        <f>IF($A22="","",MAX(IF($D22="Evet",ROUND($C22*tba_oranBesPuan,2),0),IF($E22="Evet",ROUND($C22*tba_oranIlave,2),0),IF($F22="Evet",ROUND($C22*tba_oranKadinGenc,2),0),IF($G22="Evet",ROUND($C22*tba_isverenOran,2),0)))</f>
        <v/>
      </c>
      <c r="K22" s="31">
        <f>IF($A22="","",IF($H22="TBA-001",IF($D22="Evet",ROUND($C22*tba_oranBesPuan,2),0),IF($H22="TBA-002",IF($E22="Evet",ROUND($C22*tba_oranIlave,2),0),IF($H22="TBA-004",IF($F22="Evet",ROUND($C22*tba_oranKadinGenc,2),0),IF($H22="TBA-ENG",IF($G22="Evet",ROUND($C22*tba_isverenOran,2),0),0)))))</f>
        <v/>
      </c>
      <c r="L22" s="31">
        <f>IF($A22="","",MAX(0,$J22-$K22))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1">
        <f>IF($A23="","",IF($J23=0,"YOK",IF(AND($E23="Evet",ROUND($C23*tba_oranIlave,2)=$J23),"TBA-002",IF(AND($D23="Evet",ROUND($C23*tba_oranBesPuan,2)=$J23),"TBA-001",IF(AND($F23="Evet",ROUND($C23*tba_oranKadinGenc,2)=$J23),"TBA-004","TBA-ENG")))))</f>
        <v/>
      </c>
      <c r="J23" s="31">
        <f>IF($A23="","",MAX(IF($D23="Evet",ROUND($C23*tba_oranBesPuan,2),0),IF($E23="Evet",ROUND($C23*tba_oranIlave,2),0),IF($F23="Evet",ROUND($C23*tba_oranKadinGenc,2),0),IF($G23="Evet",ROUND($C23*tba_isverenOran,2),0)))</f>
        <v/>
      </c>
      <c r="K23" s="31">
        <f>IF($A23="","",IF($H23="TBA-001",IF($D23="Evet",ROUND($C23*tba_oranBesPuan,2),0),IF($H23="TBA-002",IF($E23="Evet",ROUND($C23*tba_oranIlave,2),0),IF($H23="TBA-004",IF($F23="Evet",ROUND($C23*tba_oranKadinGenc,2),0),IF($H23="TBA-ENG",IF($G23="Evet",ROUND($C23*tba_isverenOran,2),0),0)))))</f>
        <v/>
      </c>
      <c r="L23" s="31">
        <f>IF($A23="","",MAX(0,$J23-$K23))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1">
        <f>IF($A24="","",IF($J24=0,"YOK",IF(AND($E24="Evet",ROUND($C24*tba_oranIlave,2)=$J24),"TBA-002",IF(AND($D24="Evet",ROUND($C24*tba_oranBesPuan,2)=$J24),"TBA-001",IF(AND($F24="Evet",ROUND($C24*tba_oranKadinGenc,2)=$J24),"TBA-004","TBA-ENG")))))</f>
        <v/>
      </c>
      <c r="J24" s="31">
        <f>IF($A24="","",MAX(IF($D24="Evet",ROUND($C24*tba_oranBesPuan,2),0),IF($E24="Evet",ROUND($C24*tba_oranIlave,2),0),IF($F24="Evet",ROUND($C24*tba_oranKadinGenc,2),0),IF($G24="Evet",ROUND($C24*tba_isverenOran,2),0)))</f>
        <v/>
      </c>
      <c r="K24" s="31">
        <f>IF($A24="","",IF($H24="TBA-001",IF($D24="Evet",ROUND($C24*tba_oranBesPuan,2),0),IF($H24="TBA-002",IF($E24="Evet",ROUND($C24*tba_oranIlave,2),0),IF($H24="TBA-004",IF($F24="Evet",ROUND($C24*tba_oranKadinGenc,2),0),IF($H24="TBA-ENG",IF($G24="Evet",ROUND($C24*tba_isverenOran,2),0),0)))))</f>
        <v/>
      </c>
      <c r="L24" s="31">
        <f>IF($A24="","",MAX(0,$J24-$K24))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1">
        <f>IF($A25="","",IF($J25=0,"YOK",IF(AND($E25="Evet",ROUND($C25*tba_oranIlave,2)=$J25),"TBA-002",IF(AND($D25="Evet",ROUND($C25*tba_oranBesPuan,2)=$J25),"TBA-001",IF(AND($F25="Evet",ROUND($C25*tba_oranKadinGenc,2)=$J25),"TBA-004","TBA-ENG")))))</f>
        <v/>
      </c>
      <c r="J25" s="31">
        <f>IF($A25="","",MAX(IF($D25="Evet",ROUND($C25*tba_oranBesPuan,2),0),IF($E25="Evet",ROUND($C25*tba_oranIlave,2),0),IF($F25="Evet",ROUND($C25*tba_oranKadinGenc,2),0),IF($G25="Evet",ROUND($C25*tba_isverenOran,2),0)))</f>
        <v/>
      </c>
      <c r="K25" s="31">
        <f>IF($A25="","",IF($H25="TBA-001",IF($D25="Evet",ROUND($C25*tba_oranBesPuan,2),0),IF($H25="TBA-002",IF($E25="Evet",ROUND($C25*tba_oranIlave,2),0),IF($H25="TBA-004",IF($F25="Evet",ROUND($C25*tba_oranKadinGenc,2),0),IF($H25="TBA-ENG",IF($G25="Evet",ROUND($C25*tba_isverenOran,2),0),0)))))</f>
        <v/>
      </c>
      <c r="L25" s="31">
        <f>IF($A25="","",MAX(0,$J25-$K25))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1">
        <f>IF($A26="","",IF($J26=0,"YOK",IF(AND($E26="Evet",ROUND($C26*tba_oranIlave,2)=$J26),"TBA-002",IF(AND($D26="Evet",ROUND($C26*tba_oranBesPuan,2)=$J26),"TBA-001",IF(AND($F26="Evet",ROUND($C26*tba_oranKadinGenc,2)=$J26),"TBA-004","TBA-ENG")))))</f>
        <v/>
      </c>
      <c r="J26" s="31">
        <f>IF($A26="","",MAX(IF($D26="Evet",ROUND($C26*tba_oranBesPuan,2),0),IF($E26="Evet",ROUND($C26*tba_oranIlave,2),0),IF($F26="Evet",ROUND($C26*tba_oranKadinGenc,2),0),IF($G26="Evet",ROUND($C26*tba_isverenOran,2),0)))</f>
        <v/>
      </c>
      <c r="K26" s="31">
        <f>IF($A26="","",IF($H26="TBA-001",IF($D26="Evet",ROUND($C26*tba_oranBesPuan,2),0),IF($H26="TBA-002",IF($E26="Evet",ROUND($C26*tba_oranIlave,2),0),IF($H26="TBA-004",IF($F26="Evet",ROUND($C26*tba_oranKadinGenc,2),0),IF($H26="TBA-ENG",IF($G26="Evet",ROUND($C26*tba_isverenOran,2),0),0)))))</f>
        <v/>
      </c>
      <c r="L26" s="31">
        <f>IF($A26="","",MAX(0,$J26-$K26))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1">
        <f>IF($A27="","",IF($J27=0,"YOK",IF(AND($E27="Evet",ROUND($C27*tba_oranIlave,2)=$J27),"TBA-002",IF(AND($D27="Evet",ROUND($C27*tba_oranBesPuan,2)=$J27),"TBA-001",IF(AND($F27="Evet",ROUND($C27*tba_oranKadinGenc,2)=$J27),"TBA-004","TBA-ENG")))))</f>
        <v/>
      </c>
      <c r="J27" s="31">
        <f>IF($A27="","",MAX(IF($D27="Evet",ROUND($C27*tba_oranBesPuan,2),0),IF($E27="Evet",ROUND($C27*tba_oranIlave,2),0),IF($F27="Evet",ROUND($C27*tba_oranKadinGenc,2),0),IF($G27="Evet",ROUND($C27*tba_isverenOran,2),0)))</f>
        <v/>
      </c>
      <c r="K27" s="31">
        <f>IF($A27="","",IF($H27="TBA-001",IF($D27="Evet",ROUND($C27*tba_oranBesPuan,2),0),IF($H27="TBA-002",IF($E27="Evet",ROUND($C27*tba_oranIlave,2),0),IF($H27="TBA-004",IF($F27="Evet",ROUND($C27*tba_oranKadinGenc,2),0),IF($H27="TBA-ENG",IF($G27="Evet",ROUND($C27*tba_isverenOran,2),0),0)))))</f>
        <v/>
      </c>
      <c r="L27" s="31">
        <f>IF($A27="","",MAX(0,$J27-$K27))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1">
        <f>IF($A28="","",IF($J28=0,"YOK",IF(AND($E28="Evet",ROUND($C28*tba_oranIlave,2)=$J28),"TBA-002",IF(AND($D28="Evet",ROUND($C28*tba_oranBesPuan,2)=$J28),"TBA-001",IF(AND($F28="Evet",ROUND($C28*tba_oranKadinGenc,2)=$J28),"TBA-004","TBA-ENG")))))</f>
        <v/>
      </c>
      <c r="J28" s="31">
        <f>IF($A28="","",MAX(IF($D28="Evet",ROUND($C28*tba_oranBesPuan,2),0),IF($E28="Evet",ROUND($C28*tba_oranIlave,2),0),IF($F28="Evet",ROUND($C28*tba_oranKadinGenc,2),0),IF($G28="Evet",ROUND($C28*tba_isverenOran,2),0)))</f>
        <v/>
      </c>
      <c r="K28" s="31">
        <f>IF($A28="","",IF($H28="TBA-001",IF($D28="Evet",ROUND($C28*tba_oranBesPuan,2),0),IF($H28="TBA-002",IF($E28="Evet",ROUND($C28*tba_oranIlave,2),0),IF($H28="TBA-004",IF($F28="Evet",ROUND($C28*tba_oranKadinGenc,2),0),IF($H28="TBA-ENG",IF($G28="Evet",ROUND($C28*tba_isverenOran,2),0),0)))))</f>
        <v/>
      </c>
      <c r="L28" s="31">
        <f>IF($A28="","",MAX(0,$J28-$K28))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1">
        <f>IF($A29="","",IF($J29=0,"YOK",IF(AND($E29="Evet",ROUND($C29*tba_oranIlave,2)=$J29),"TBA-002",IF(AND($D29="Evet",ROUND($C29*tba_oranBesPuan,2)=$J29),"TBA-001",IF(AND($F29="Evet",ROUND($C29*tba_oranKadinGenc,2)=$J29),"TBA-004","TBA-ENG")))))</f>
        <v/>
      </c>
      <c r="J29" s="31">
        <f>IF($A29="","",MAX(IF($D29="Evet",ROUND($C29*tba_oranBesPuan,2),0),IF($E29="Evet",ROUND($C29*tba_oranIlave,2),0),IF($F29="Evet",ROUND($C29*tba_oranKadinGenc,2),0),IF($G29="Evet",ROUND($C29*tba_isverenOran,2),0)))</f>
        <v/>
      </c>
      <c r="K29" s="31">
        <f>IF($A29="","",IF($H29="TBA-001",IF($D29="Evet",ROUND($C29*tba_oranBesPuan,2),0),IF($H29="TBA-002",IF($E29="Evet",ROUND($C29*tba_oranIlave,2),0),IF($H29="TBA-004",IF($F29="Evet",ROUND($C29*tba_oranKadinGenc,2),0),IF($H29="TBA-ENG",IF($G29="Evet",ROUND($C29*tba_isverenOran,2),0),0)))))</f>
        <v/>
      </c>
      <c r="L29" s="31">
        <f>IF($A29="","",MAX(0,$J29-$K29))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1">
        <f>IF($A30="","",IF($J30=0,"YOK",IF(AND($E30="Evet",ROUND($C30*tba_oranIlave,2)=$J30),"TBA-002",IF(AND($D30="Evet",ROUND($C30*tba_oranBesPuan,2)=$J30),"TBA-001",IF(AND($F30="Evet",ROUND($C30*tba_oranKadinGenc,2)=$J30),"TBA-004","TBA-ENG")))))</f>
        <v/>
      </c>
      <c r="J30" s="31">
        <f>IF($A30="","",MAX(IF($D30="Evet",ROUND($C30*tba_oranBesPuan,2),0),IF($E30="Evet",ROUND($C30*tba_oranIlave,2),0),IF($F30="Evet",ROUND($C30*tba_oranKadinGenc,2),0),IF($G30="Evet",ROUND($C30*tba_isverenOran,2),0)))</f>
        <v/>
      </c>
      <c r="K30" s="31">
        <f>IF($A30="","",IF($H30="TBA-001",IF($D30="Evet",ROUND($C30*tba_oranBesPuan,2),0),IF($H30="TBA-002",IF($E30="Evet",ROUND($C30*tba_oranIlave,2),0),IF($H30="TBA-004",IF($F30="Evet",ROUND($C30*tba_oranKadinGenc,2),0),IF($H30="TBA-ENG",IF($G30="Evet",ROUND($C30*tba_isverenOran,2),0),0)))))</f>
        <v/>
      </c>
      <c r="L30" s="31">
        <f>IF($A30="","",MAX(0,$J30-$K30))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1">
        <f>IF($A31="","",IF($J31=0,"YOK",IF(AND($E31="Evet",ROUND($C31*tba_oranIlave,2)=$J31),"TBA-002",IF(AND($D31="Evet",ROUND($C31*tba_oranBesPuan,2)=$J31),"TBA-001",IF(AND($F31="Evet",ROUND($C31*tba_oranKadinGenc,2)=$J31),"TBA-004","TBA-ENG")))))</f>
        <v/>
      </c>
      <c r="J31" s="31">
        <f>IF($A31="","",MAX(IF($D31="Evet",ROUND($C31*tba_oranBesPuan,2),0),IF($E31="Evet",ROUND($C31*tba_oranIlave,2),0),IF($F31="Evet",ROUND($C31*tba_oranKadinGenc,2),0),IF($G31="Evet",ROUND($C31*tba_isverenOran,2),0)))</f>
        <v/>
      </c>
      <c r="K31" s="31">
        <f>IF($A31="","",IF($H31="TBA-001",IF($D31="Evet",ROUND($C31*tba_oranBesPuan,2),0),IF($H31="TBA-002",IF($E31="Evet",ROUND($C31*tba_oranIlave,2),0),IF($H31="TBA-004",IF($F31="Evet",ROUND($C31*tba_oranKadinGenc,2),0),IF($H31="TBA-ENG",IF($G31="Evet",ROUND($C31*tba_isverenOran,2),0),0)))))</f>
        <v/>
      </c>
      <c r="L31" s="31">
        <f>IF($A31="","",MAX(0,$J31-$K31))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1">
        <f>IF($A32="","",IF($J32=0,"YOK",IF(AND($E32="Evet",ROUND($C32*tba_oranIlave,2)=$J32),"TBA-002",IF(AND($D32="Evet",ROUND($C32*tba_oranBesPuan,2)=$J32),"TBA-001",IF(AND($F32="Evet",ROUND($C32*tba_oranKadinGenc,2)=$J32),"TBA-004","TBA-ENG")))))</f>
        <v/>
      </c>
      <c r="J32" s="31">
        <f>IF($A32="","",MAX(IF($D32="Evet",ROUND($C32*tba_oranBesPuan,2),0),IF($E32="Evet",ROUND($C32*tba_oranIlave,2),0),IF($F32="Evet",ROUND($C32*tba_oranKadinGenc,2),0),IF($G32="Evet",ROUND($C32*tba_isverenOran,2),0)))</f>
        <v/>
      </c>
      <c r="K32" s="31">
        <f>IF($A32="","",IF($H32="TBA-001",IF($D32="Evet",ROUND($C32*tba_oranBesPuan,2),0),IF($H32="TBA-002",IF($E32="Evet",ROUND($C32*tba_oranIlave,2),0),IF($H32="TBA-004",IF($F32="Evet",ROUND($C32*tba_oranKadinGenc,2),0),IF($H32="TBA-ENG",IF($G32="Evet",ROUND($C32*tba_isverenOran,2),0),0)))))</f>
        <v/>
      </c>
      <c r="L32" s="31">
        <f>IF($A32="","",MAX(0,$J32-$K32))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1">
        <f>IF($A33="","",IF($J33=0,"YOK",IF(AND($E33="Evet",ROUND($C33*tba_oranIlave,2)=$J33),"TBA-002",IF(AND($D33="Evet",ROUND($C33*tba_oranBesPuan,2)=$J33),"TBA-001",IF(AND($F33="Evet",ROUND($C33*tba_oranKadinGenc,2)=$J33),"TBA-004","TBA-ENG")))))</f>
        <v/>
      </c>
      <c r="J33" s="31">
        <f>IF($A33="","",MAX(IF($D33="Evet",ROUND($C33*tba_oranBesPuan,2),0),IF($E33="Evet",ROUND($C33*tba_oranIlave,2),0),IF($F33="Evet",ROUND($C33*tba_oranKadinGenc,2),0),IF($G33="Evet",ROUND($C33*tba_isverenOran,2),0)))</f>
        <v/>
      </c>
      <c r="K33" s="31">
        <f>IF($A33="","",IF($H33="TBA-001",IF($D33="Evet",ROUND($C33*tba_oranBesPuan,2),0),IF($H33="TBA-002",IF($E33="Evet",ROUND($C33*tba_oranIlave,2),0),IF($H33="TBA-004",IF($F33="Evet",ROUND($C33*tba_oranKadinGenc,2),0),IF($H33="TBA-ENG",IF($G33="Evet",ROUND($C33*tba_isverenOran,2),0),0)))))</f>
        <v/>
      </c>
      <c r="L33" s="31">
        <f>IF($A33="","",MAX(0,$J33-$K33))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1">
        <f>IF($A34="","",IF($J34=0,"YOK",IF(AND($E34="Evet",ROUND($C34*tba_oranIlave,2)=$J34),"TBA-002",IF(AND($D34="Evet",ROUND($C34*tba_oranBesPuan,2)=$J34),"TBA-001",IF(AND($F34="Evet",ROUND($C34*tba_oranKadinGenc,2)=$J34),"TBA-004","TBA-ENG")))))</f>
        <v/>
      </c>
      <c r="J34" s="31">
        <f>IF($A34="","",MAX(IF($D34="Evet",ROUND($C34*tba_oranBesPuan,2),0),IF($E34="Evet",ROUND($C34*tba_oranIlave,2),0),IF($F34="Evet",ROUND($C34*tba_oranKadinGenc,2),0),IF($G34="Evet",ROUND($C34*tba_isverenOran,2),0)))</f>
        <v/>
      </c>
      <c r="K34" s="31">
        <f>IF($A34="","",IF($H34="TBA-001",IF($D34="Evet",ROUND($C34*tba_oranBesPuan,2),0),IF($H34="TBA-002",IF($E34="Evet",ROUND($C34*tba_oranIlave,2),0),IF($H34="TBA-004",IF($F34="Evet",ROUND($C34*tba_oranKadinGenc,2),0),IF($H34="TBA-ENG",IF($G34="Evet",ROUND($C34*tba_isverenOran,2),0),0)))))</f>
        <v/>
      </c>
      <c r="L34" s="31">
        <f>IF($A34="","",MAX(0,$J34-$K34))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1">
        <f>IF($A35="","",IF($J35=0,"YOK",IF(AND($E35="Evet",ROUND($C35*tba_oranIlave,2)=$J35),"TBA-002",IF(AND($D35="Evet",ROUND($C35*tba_oranBesPuan,2)=$J35),"TBA-001",IF(AND($F35="Evet",ROUND($C35*tba_oranKadinGenc,2)=$J35),"TBA-004","TBA-ENG")))))</f>
        <v/>
      </c>
      <c r="J35" s="31">
        <f>IF($A35="","",MAX(IF($D35="Evet",ROUND($C35*tba_oranBesPuan,2),0),IF($E35="Evet",ROUND($C35*tba_oranIlave,2),0),IF($F35="Evet",ROUND($C35*tba_oranKadinGenc,2),0),IF($G35="Evet",ROUND($C35*tba_isverenOran,2),0)))</f>
        <v/>
      </c>
      <c r="K35" s="31">
        <f>IF($A35="","",IF($H35="TBA-001",IF($D35="Evet",ROUND($C35*tba_oranBesPuan,2),0),IF($H35="TBA-002",IF($E35="Evet",ROUND($C35*tba_oranIlave,2),0),IF($H35="TBA-004",IF($F35="Evet",ROUND($C35*tba_oranKadinGenc,2),0),IF($H35="TBA-ENG",IF($G35="Evet",ROUND($C35*tba_isverenOran,2),0),0)))))</f>
        <v/>
      </c>
      <c r="L35" s="31">
        <f>IF($A35="","",MAX(0,$J35-$K35))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1">
        <f>IF($A36="","",IF($J36=0,"YOK",IF(AND($E36="Evet",ROUND($C36*tba_oranIlave,2)=$J36),"TBA-002",IF(AND($D36="Evet",ROUND($C36*tba_oranBesPuan,2)=$J36),"TBA-001",IF(AND($F36="Evet",ROUND($C36*tba_oranKadinGenc,2)=$J36),"TBA-004","TBA-ENG")))))</f>
        <v/>
      </c>
      <c r="J36" s="31">
        <f>IF($A36="","",MAX(IF($D36="Evet",ROUND($C36*tba_oranBesPuan,2),0),IF($E36="Evet",ROUND($C36*tba_oranIlave,2),0),IF($F36="Evet",ROUND($C36*tba_oranKadinGenc,2),0),IF($G36="Evet",ROUND($C36*tba_isverenOran,2),0)))</f>
        <v/>
      </c>
      <c r="K36" s="31">
        <f>IF($A36="","",IF($H36="TBA-001",IF($D36="Evet",ROUND($C36*tba_oranBesPuan,2),0),IF($H36="TBA-002",IF($E36="Evet",ROUND($C36*tba_oranIlave,2),0),IF($H36="TBA-004",IF($F36="Evet",ROUND($C36*tba_oranKadinGenc,2),0),IF($H36="TBA-ENG",IF($G36="Evet",ROUND($C36*tba_isverenOran,2),0),0)))))</f>
        <v/>
      </c>
      <c r="L36" s="31">
        <f>IF($A36="","",MAX(0,$J36-$K36))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1">
        <f>IF($A37="","",IF($J37=0,"YOK",IF(AND($E37="Evet",ROUND($C37*tba_oranIlave,2)=$J37),"TBA-002",IF(AND($D37="Evet",ROUND($C37*tba_oranBesPuan,2)=$J37),"TBA-001",IF(AND($F37="Evet",ROUND($C37*tba_oranKadinGenc,2)=$J37),"TBA-004","TBA-ENG")))))</f>
        <v/>
      </c>
      <c r="J37" s="31">
        <f>IF($A37="","",MAX(IF($D37="Evet",ROUND($C37*tba_oranBesPuan,2),0),IF($E37="Evet",ROUND($C37*tba_oranIlave,2),0),IF($F37="Evet",ROUND($C37*tba_oranKadinGenc,2),0),IF($G37="Evet",ROUND($C37*tba_isverenOran,2),0)))</f>
        <v/>
      </c>
      <c r="K37" s="31">
        <f>IF($A37="","",IF($H37="TBA-001",IF($D37="Evet",ROUND($C37*tba_oranBesPuan,2),0),IF($H37="TBA-002",IF($E37="Evet",ROUND($C37*tba_oranIlave,2),0),IF($H37="TBA-004",IF($F37="Evet",ROUND($C37*tba_oranKadinGenc,2),0),IF($H37="TBA-ENG",IF($G37="Evet",ROUND($C37*tba_isverenOran,2),0),0)))))</f>
        <v/>
      </c>
      <c r="L37" s="31">
        <f>IF($A37="","",MAX(0,$J37-$K37))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1">
        <f>IF($A38="","",IF($J38=0,"YOK",IF(AND($E38="Evet",ROUND($C38*tba_oranIlave,2)=$J38),"TBA-002",IF(AND($D38="Evet",ROUND($C38*tba_oranBesPuan,2)=$J38),"TBA-001",IF(AND($F38="Evet",ROUND($C38*tba_oranKadinGenc,2)=$J38),"TBA-004","TBA-ENG")))))</f>
        <v/>
      </c>
      <c r="J38" s="31">
        <f>IF($A38="","",MAX(IF($D38="Evet",ROUND($C38*tba_oranBesPuan,2),0),IF($E38="Evet",ROUND($C38*tba_oranIlave,2),0),IF($F38="Evet",ROUND($C38*tba_oranKadinGenc,2),0),IF($G38="Evet",ROUND($C38*tba_isverenOran,2),0)))</f>
        <v/>
      </c>
      <c r="K38" s="31">
        <f>IF($A38="","",IF($H38="TBA-001",IF($D38="Evet",ROUND($C38*tba_oranBesPuan,2),0),IF($H38="TBA-002",IF($E38="Evet",ROUND($C38*tba_oranIlave,2),0),IF($H38="TBA-004",IF($F38="Evet",ROUND($C38*tba_oranKadinGenc,2),0),IF($H38="TBA-ENG",IF($G38="Evet",ROUND($C38*tba_isverenOran,2),0),0)))))</f>
        <v/>
      </c>
      <c r="L38" s="31">
        <f>IF($A38="","",MAX(0,$J38-$K38))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1">
        <f>IF($A39="","",IF($J39=0,"YOK",IF(AND($E39="Evet",ROUND($C39*tba_oranIlave,2)=$J39),"TBA-002",IF(AND($D39="Evet",ROUND($C39*tba_oranBesPuan,2)=$J39),"TBA-001",IF(AND($F39="Evet",ROUND($C39*tba_oranKadinGenc,2)=$J39),"TBA-004","TBA-ENG")))))</f>
        <v/>
      </c>
      <c r="J39" s="31">
        <f>IF($A39="","",MAX(IF($D39="Evet",ROUND($C39*tba_oranBesPuan,2),0),IF($E39="Evet",ROUND($C39*tba_oranIlave,2),0),IF($F39="Evet",ROUND($C39*tba_oranKadinGenc,2),0),IF($G39="Evet",ROUND($C39*tba_isverenOran,2),0)))</f>
        <v/>
      </c>
      <c r="K39" s="31">
        <f>IF($A39="","",IF($H39="TBA-001",IF($D39="Evet",ROUND($C39*tba_oranBesPuan,2),0),IF($H39="TBA-002",IF($E39="Evet",ROUND($C39*tba_oranIlave,2),0),IF($H39="TBA-004",IF($F39="Evet",ROUND($C39*tba_oranKadinGenc,2),0),IF($H39="TBA-ENG",IF($G39="Evet",ROUND($C39*tba_isverenOran,2),0),0)))))</f>
        <v/>
      </c>
      <c r="L39" s="31">
        <f>IF($A39="","",MAX(0,$J39-$K39))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1">
        <f>IF($A40="","",IF($J40=0,"YOK",IF(AND($E40="Evet",ROUND($C40*tba_oranIlave,2)=$J40),"TBA-002",IF(AND($D40="Evet",ROUND($C40*tba_oranBesPuan,2)=$J40),"TBA-001",IF(AND($F40="Evet",ROUND($C40*tba_oranKadinGenc,2)=$J40),"TBA-004","TBA-ENG")))))</f>
        <v/>
      </c>
      <c r="J40" s="31">
        <f>IF($A40="","",MAX(IF($D40="Evet",ROUND($C40*tba_oranBesPuan,2),0),IF($E40="Evet",ROUND($C40*tba_oranIlave,2),0),IF($F40="Evet",ROUND($C40*tba_oranKadinGenc,2),0),IF($G40="Evet",ROUND($C40*tba_isverenOran,2),0)))</f>
        <v/>
      </c>
      <c r="K40" s="31">
        <f>IF($A40="","",IF($H40="TBA-001",IF($D40="Evet",ROUND($C40*tba_oranBesPuan,2),0),IF($H40="TBA-002",IF($E40="Evet",ROUND($C40*tba_oranIlave,2),0),IF($H40="TBA-004",IF($F40="Evet",ROUND($C40*tba_oranKadinGenc,2),0),IF($H40="TBA-ENG",IF($G40="Evet",ROUND($C40*tba_isverenOran,2),0),0)))))</f>
        <v/>
      </c>
      <c r="L40" s="31">
        <f>IF($A40="","",MAX(0,$J40-$K40))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1">
        <f>IF($A41="","",IF($J41=0,"YOK",IF(AND($E41="Evet",ROUND($C41*tba_oranIlave,2)=$J41),"TBA-002",IF(AND($D41="Evet",ROUND($C41*tba_oranBesPuan,2)=$J41),"TBA-001",IF(AND($F41="Evet",ROUND($C41*tba_oranKadinGenc,2)=$J41),"TBA-004","TBA-ENG")))))</f>
        <v/>
      </c>
      <c r="J41" s="31">
        <f>IF($A41="","",MAX(IF($D41="Evet",ROUND($C41*tba_oranBesPuan,2),0),IF($E41="Evet",ROUND($C41*tba_oranIlave,2),0),IF($F41="Evet",ROUND($C41*tba_oranKadinGenc,2),0),IF($G41="Evet",ROUND($C41*tba_isverenOran,2),0)))</f>
        <v/>
      </c>
      <c r="K41" s="31">
        <f>IF($A41="","",IF($H41="TBA-001",IF($D41="Evet",ROUND($C41*tba_oranBesPuan,2),0),IF($H41="TBA-002",IF($E41="Evet",ROUND($C41*tba_oranIlave,2),0),IF($H41="TBA-004",IF($F41="Evet",ROUND($C41*tba_oranKadinGenc,2),0),IF($H41="TBA-ENG",IF($G41="Evet",ROUND($C41*tba_isverenOran,2),0),0)))))</f>
        <v/>
      </c>
      <c r="L41" s="31">
        <f>IF($A41="","",MAX(0,$J41-$K41))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1">
        <f>IF($A42="","",IF($J42=0,"YOK",IF(AND($E42="Evet",ROUND($C42*tba_oranIlave,2)=$J42),"TBA-002",IF(AND($D42="Evet",ROUND($C42*tba_oranBesPuan,2)=$J42),"TBA-001",IF(AND($F42="Evet",ROUND($C42*tba_oranKadinGenc,2)=$J42),"TBA-004","TBA-ENG")))))</f>
        <v/>
      </c>
      <c r="J42" s="31">
        <f>IF($A42="","",MAX(IF($D42="Evet",ROUND($C42*tba_oranBesPuan,2),0),IF($E42="Evet",ROUND($C42*tba_oranIlave,2),0),IF($F42="Evet",ROUND($C42*tba_oranKadinGenc,2),0),IF($G42="Evet",ROUND($C42*tba_isverenOran,2),0)))</f>
        <v/>
      </c>
      <c r="K42" s="31">
        <f>IF($A42="","",IF($H42="TBA-001",IF($D42="Evet",ROUND($C42*tba_oranBesPuan,2),0),IF($H42="TBA-002",IF($E42="Evet",ROUND($C42*tba_oranIlave,2),0),IF($H42="TBA-004",IF($F42="Evet",ROUND($C42*tba_oranKadinGenc,2),0),IF($H42="TBA-ENG",IF($G42="Evet",ROUND($C42*tba_isverenOran,2),0),0)))))</f>
        <v/>
      </c>
      <c r="L42" s="31">
        <f>IF($A42="","",MAX(0,$J42-$K42))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1">
        <f>IF($A43="","",IF($J43=0,"YOK",IF(AND($E43="Evet",ROUND($C43*tba_oranIlave,2)=$J43),"TBA-002",IF(AND($D43="Evet",ROUND($C43*tba_oranBesPuan,2)=$J43),"TBA-001",IF(AND($F43="Evet",ROUND($C43*tba_oranKadinGenc,2)=$J43),"TBA-004","TBA-ENG")))))</f>
        <v/>
      </c>
      <c r="J43" s="31">
        <f>IF($A43="","",MAX(IF($D43="Evet",ROUND($C43*tba_oranBesPuan,2),0),IF($E43="Evet",ROUND($C43*tba_oranIlave,2),0),IF($F43="Evet",ROUND($C43*tba_oranKadinGenc,2),0),IF($G43="Evet",ROUND($C43*tba_isverenOran,2),0)))</f>
        <v/>
      </c>
      <c r="K43" s="31">
        <f>IF($A43="","",IF($H43="TBA-001",IF($D43="Evet",ROUND($C43*tba_oranBesPuan,2),0),IF($H43="TBA-002",IF($E43="Evet",ROUND($C43*tba_oranIlave,2),0),IF($H43="TBA-004",IF($F43="Evet",ROUND($C43*tba_oranKadinGenc,2),0),IF($H43="TBA-ENG",IF($G43="Evet",ROUND($C43*tba_isverenOran,2),0),0)))))</f>
        <v/>
      </c>
      <c r="L43" s="31">
        <f>IF($A43="","",MAX(0,$J43-$K43))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1">
        <f>IF($A44="","",IF($J44=0,"YOK",IF(AND($E44="Evet",ROUND($C44*tba_oranIlave,2)=$J44),"TBA-002",IF(AND($D44="Evet",ROUND($C44*tba_oranBesPuan,2)=$J44),"TBA-001",IF(AND($F44="Evet",ROUND($C44*tba_oranKadinGenc,2)=$J44),"TBA-004","TBA-ENG")))))</f>
        <v/>
      </c>
      <c r="J44" s="31">
        <f>IF($A44="","",MAX(IF($D44="Evet",ROUND($C44*tba_oranBesPuan,2),0),IF($E44="Evet",ROUND($C44*tba_oranIlave,2),0),IF($F44="Evet",ROUND($C44*tba_oranKadinGenc,2),0),IF($G44="Evet",ROUND($C44*tba_isverenOran,2),0)))</f>
        <v/>
      </c>
      <c r="K44" s="31">
        <f>IF($A44="","",IF($H44="TBA-001",IF($D44="Evet",ROUND($C44*tba_oranBesPuan,2),0),IF($H44="TBA-002",IF($E44="Evet",ROUND($C44*tba_oranIlave,2),0),IF($H44="TBA-004",IF($F44="Evet",ROUND($C44*tba_oranKadinGenc,2),0),IF($H44="TBA-ENG",IF($G44="Evet",ROUND($C44*tba_isverenOran,2),0),0)))))</f>
        <v/>
      </c>
      <c r="L44" s="31">
        <f>IF($A44="","",MAX(0,$J44-$K44))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1">
        <f>IF($A45="","",IF($J45=0,"YOK",IF(AND($E45="Evet",ROUND($C45*tba_oranIlave,2)=$J45),"TBA-002",IF(AND($D45="Evet",ROUND($C45*tba_oranBesPuan,2)=$J45),"TBA-001",IF(AND($F45="Evet",ROUND($C45*tba_oranKadinGenc,2)=$J45),"TBA-004","TBA-ENG")))))</f>
        <v/>
      </c>
      <c r="J45" s="31">
        <f>IF($A45="","",MAX(IF($D45="Evet",ROUND($C45*tba_oranBesPuan,2),0),IF($E45="Evet",ROUND($C45*tba_oranIlave,2),0),IF($F45="Evet",ROUND($C45*tba_oranKadinGenc,2),0),IF($G45="Evet",ROUND($C45*tba_isverenOran,2),0)))</f>
        <v/>
      </c>
      <c r="K45" s="31">
        <f>IF($A45="","",IF($H45="TBA-001",IF($D45="Evet",ROUND($C45*tba_oranBesPuan,2),0),IF($H45="TBA-002",IF($E45="Evet",ROUND($C45*tba_oranIlave,2),0),IF($H45="TBA-004",IF($F45="Evet",ROUND($C45*tba_oranKadinGenc,2),0),IF($H45="TBA-ENG",IF($G45="Evet",ROUND($C45*tba_isverenOran,2),0),0)))))</f>
        <v/>
      </c>
      <c r="L45" s="31">
        <f>IF($A45="","",MAX(0,$J45-$K45))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1">
        <f>IF($A46="","",IF($J46=0,"YOK",IF(AND($E46="Evet",ROUND($C46*tba_oranIlave,2)=$J46),"TBA-002",IF(AND($D46="Evet",ROUND($C46*tba_oranBesPuan,2)=$J46),"TBA-001",IF(AND($F46="Evet",ROUND($C46*tba_oranKadinGenc,2)=$J46),"TBA-004","TBA-ENG")))))</f>
        <v/>
      </c>
      <c r="J46" s="31">
        <f>IF($A46="","",MAX(IF($D46="Evet",ROUND($C46*tba_oranBesPuan,2),0),IF($E46="Evet",ROUND($C46*tba_oranIlave,2),0),IF($F46="Evet",ROUND($C46*tba_oranKadinGenc,2),0),IF($G46="Evet",ROUND($C46*tba_isverenOran,2),0)))</f>
        <v/>
      </c>
      <c r="K46" s="31">
        <f>IF($A46="","",IF($H46="TBA-001",IF($D46="Evet",ROUND($C46*tba_oranBesPuan,2),0),IF($H46="TBA-002",IF($E46="Evet",ROUND($C46*tba_oranIlave,2),0),IF($H46="TBA-004",IF($F46="Evet",ROUND($C46*tba_oranKadinGenc,2),0),IF($H46="TBA-ENG",IF($G46="Evet",ROUND($C46*tba_isverenOran,2),0),0)))))</f>
        <v/>
      </c>
      <c r="L46" s="31">
        <f>IF($A46="","",MAX(0,$J46-$K46))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1">
        <f>IF($A47="","",IF($J47=0,"YOK",IF(AND($E47="Evet",ROUND($C47*tba_oranIlave,2)=$J47),"TBA-002",IF(AND($D47="Evet",ROUND($C47*tba_oranBesPuan,2)=$J47),"TBA-001",IF(AND($F47="Evet",ROUND($C47*tba_oranKadinGenc,2)=$J47),"TBA-004","TBA-ENG")))))</f>
        <v/>
      </c>
      <c r="J47" s="31">
        <f>IF($A47="","",MAX(IF($D47="Evet",ROUND($C47*tba_oranBesPuan,2),0),IF($E47="Evet",ROUND($C47*tba_oranIlave,2),0),IF($F47="Evet",ROUND($C47*tba_oranKadinGenc,2),0),IF($G47="Evet",ROUND($C47*tba_isverenOran,2),0)))</f>
        <v/>
      </c>
      <c r="K47" s="31">
        <f>IF($A47="","",IF($H47="TBA-001",IF($D47="Evet",ROUND($C47*tba_oranBesPuan,2),0),IF($H47="TBA-002",IF($E47="Evet",ROUND($C47*tba_oranIlave,2),0),IF($H47="TBA-004",IF($F47="Evet",ROUND($C47*tba_oranKadinGenc,2),0),IF($H47="TBA-ENG",IF($G47="Evet",ROUND($C47*tba_isverenOran,2),0),0)))))</f>
        <v/>
      </c>
      <c r="L47" s="31">
        <f>IF($A47="","",MAX(0,$J47-$K47))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1">
        <f>IF($A48="","",IF($J48=0,"YOK",IF(AND($E48="Evet",ROUND($C48*tba_oranIlave,2)=$J48),"TBA-002",IF(AND($D48="Evet",ROUND($C48*tba_oranBesPuan,2)=$J48),"TBA-001",IF(AND($F48="Evet",ROUND($C48*tba_oranKadinGenc,2)=$J48),"TBA-004","TBA-ENG")))))</f>
        <v/>
      </c>
      <c r="J48" s="31">
        <f>IF($A48="","",MAX(IF($D48="Evet",ROUND($C48*tba_oranBesPuan,2),0),IF($E48="Evet",ROUND($C48*tba_oranIlave,2),0),IF($F48="Evet",ROUND($C48*tba_oranKadinGenc,2),0),IF($G48="Evet",ROUND($C48*tba_isverenOran,2),0)))</f>
        <v/>
      </c>
      <c r="K48" s="31">
        <f>IF($A48="","",IF($H48="TBA-001",IF($D48="Evet",ROUND($C48*tba_oranBesPuan,2),0),IF($H48="TBA-002",IF($E48="Evet",ROUND($C48*tba_oranIlave,2),0),IF($H48="TBA-004",IF($F48="Evet",ROUND($C48*tba_oranKadinGenc,2),0),IF($H48="TBA-ENG",IF($G48="Evet",ROUND($C48*tba_isverenOran,2),0),0)))))</f>
        <v/>
      </c>
      <c r="L48" s="31">
        <f>IF($A48="","",MAX(0,$J48-$K48))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1">
        <f>IF($A49="","",IF($J49=0,"YOK",IF(AND($E49="Evet",ROUND($C49*tba_oranIlave,2)=$J49),"TBA-002",IF(AND($D49="Evet",ROUND($C49*tba_oranBesPuan,2)=$J49),"TBA-001",IF(AND($F49="Evet",ROUND($C49*tba_oranKadinGenc,2)=$J49),"TBA-004","TBA-ENG")))))</f>
        <v/>
      </c>
      <c r="J49" s="31">
        <f>IF($A49="","",MAX(IF($D49="Evet",ROUND($C49*tba_oranBesPuan,2),0),IF($E49="Evet",ROUND($C49*tba_oranIlave,2),0),IF($F49="Evet",ROUND($C49*tba_oranKadinGenc,2),0),IF($G49="Evet",ROUND($C49*tba_isverenOran,2),0)))</f>
        <v/>
      </c>
      <c r="K49" s="31">
        <f>IF($A49="","",IF($H49="TBA-001",IF($D49="Evet",ROUND($C49*tba_oranBesPuan,2),0),IF($H49="TBA-002",IF($E49="Evet",ROUND($C49*tba_oranIlave,2),0),IF($H49="TBA-004",IF($F49="Evet",ROUND($C49*tba_oranKadinGenc,2),0),IF($H49="TBA-ENG",IF($G49="Evet",ROUND($C49*tba_isverenOran,2),0),0)))))</f>
        <v/>
      </c>
      <c r="L49" s="31">
        <f>IF($A49="","",MAX(0,$J49-$K49))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1">
        <f>IF($A50="","",IF($J50=0,"YOK",IF(AND($E50="Evet",ROUND($C50*tba_oranIlave,2)=$J50),"TBA-002",IF(AND($D50="Evet",ROUND($C50*tba_oranBesPuan,2)=$J50),"TBA-001",IF(AND($F50="Evet",ROUND($C50*tba_oranKadinGenc,2)=$J50),"TBA-004","TBA-ENG")))))</f>
        <v/>
      </c>
      <c r="J50" s="31">
        <f>IF($A50="","",MAX(IF($D50="Evet",ROUND($C50*tba_oranBesPuan,2),0),IF($E50="Evet",ROUND($C50*tba_oranIlave,2),0),IF($F50="Evet",ROUND($C50*tba_oranKadinGenc,2),0),IF($G50="Evet",ROUND($C50*tba_isverenOran,2),0)))</f>
        <v/>
      </c>
      <c r="K50" s="31">
        <f>IF($A50="","",IF($H50="TBA-001",IF($D50="Evet",ROUND($C50*tba_oranBesPuan,2),0),IF($H50="TBA-002",IF($E50="Evet",ROUND($C50*tba_oranIlave,2),0),IF($H50="TBA-004",IF($F50="Evet",ROUND($C50*tba_oranKadinGenc,2),0),IF($H50="TBA-ENG",IF($G50="Evet",ROUND($C50*tba_isverenOran,2),0),0)))))</f>
        <v/>
      </c>
      <c r="L50" s="31">
        <f>IF($A50="","",MAX(0,$J50-$K50))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1">
        <f>IF($A51="","",IF($J51=0,"YOK",IF(AND($E51="Evet",ROUND($C51*tba_oranIlave,2)=$J51),"TBA-002",IF(AND($D51="Evet",ROUND($C51*tba_oranBesPuan,2)=$J51),"TBA-001",IF(AND($F51="Evet",ROUND($C51*tba_oranKadinGenc,2)=$J51),"TBA-004","TBA-ENG")))))</f>
        <v/>
      </c>
      <c r="J51" s="31">
        <f>IF($A51="","",MAX(IF($D51="Evet",ROUND($C51*tba_oranBesPuan,2),0),IF($E51="Evet",ROUND($C51*tba_oranIlave,2),0),IF($F51="Evet",ROUND($C51*tba_oranKadinGenc,2),0),IF($G51="Evet",ROUND($C51*tba_isverenOran,2),0)))</f>
        <v/>
      </c>
      <c r="K51" s="31">
        <f>IF($A51="","",IF($H51="TBA-001",IF($D51="Evet",ROUND($C51*tba_oranBesPuan,2),0),IF($H51="TBA-002",IF($E51="Evet",ROUND($C51*tba_oranIlave,2),0),IF($H51="TBA-004",IF($F51="Evet",ROUND($C51*tba_oranKadinGenc,2),0),IF($H51="TBA-ENG",IF($G51="Evet",ROUND($C51*tba_isverenOran,2),0),0)))))</f>
        <v/>
      </c>
      <c r="L51" s="31">
        <f>IF($A51="","",MAX(0,$J51-$K51))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1">
        <f>IF($A52="","",IF($J52=0,"YOK",IF(AND($E52="Evet",ROUND($C52*tba_oranIlave,2)=$J52),"TBA-002",IF(AND($D52="Evet",ROUND($C52*tba_oranBesPuan,2)=$J52),"TBA-001",IF(AND($F52="Evet",ROUND($C52*tba_oranKadinGenc,2)=$J52),"TBA-004","TBA-ENG")))))</f>
        <v/>
      </c>
      <c r="J52" s="31">
        <f>IF($A52="","",MAX(IF($D52="Evet",ROUND($C52*tba_oranBesPuan,2),0),IF($E52="Evet",ROUND($C52*tba_oranIlave,2),0),IF($F52="Evet",ROUND($C52*tba_oranKadinGenc,2),0),IF($G52="Evet",ROUND($C52*tba_isverenOran,2),0)))</f>
        <v/>
      </c>
      <c r="K52" s="31">
        <f>IF($A52="","",IF($H52="TBA-001",IF($D52="Evet",ROUND($C52*tba_oranBesPuan,2),0),IF($H52="TBA-002",IF($E52="Evet",ROUND($C52*tba_oranIlave,2),0),IF($H52="TBA-004",IF($F52="Evet",ROUND($C52*tba_oranKadinGenc,2),0),IF($H52="TBA-ENG",IF($G52="Evet",ROUND($C52*tba_isverenOran,2),0),0)))))</f>
        <v/>
      </c>
      <c r="L52" s="31">
        <f>IF($A52="","",MAX(0,$J52-$K52))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1">
        <f>IF($A53="","",IF($J53=0,"YOK",IF(AND($E53="Evet",ROUND($C53*tba_oranIlave,2)=$J53),"TBA-002",IF(AND($D53="Evet",ROUND($C53*tba_oranBesPuan,2)=$J53),"TBA-001",IF(AND($F53="Evet",ROUND($C53*tba_oranKadinGenc,2)=$J53),"TBA-004","TBA-ENG")))))</f>
        <v/>
      </c>
      <c r="J53" s="31">
        <f>IF($A53="","",MAX(IF($D53="Evet",ROUND($C53*tba_oranBesPuan,2),0),IF($E53="Evet",ROUND($C53*tba_oranIlave,2),0),IF($F53="Evet",ROUND($C53*tba_oranKadinGenc,2),0),IF($G53="Evet",ROUND($C53*tba_isverenOran,2),0)))</f>
        <v/>
      </c>
      <c r="K53" s="31">
        <f>IF($A53="","",IF($H53="TBA-001",IF($D53="Evet",ROUND($C53*tba_oranBesPuan,2),0),IF($H53="TBA-002",IF($E53="Evet",ROUND($C53*tba_oranIlave,2),0),IF($H53="TBA-004",IF($F53="Evet",ROUND($C53*tba_oranKadinGenc,2),0),IF($H53="TBA-ENG",IF($G53="Evet",ROUND($C53*tba_isverenOran,2),0),0)))))</f>
        <v/>
      </c>
      <c r="L53" s="31">
        <f>IF($A53="","",MAX(0,$J53-$K53))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1">
        <f>IF($A54="","",IF($J54=0,"YOK",IF(AND($E54="Evet",ROUND($C54*tba_oranIlave,2)=$J54),"TBA-002",IF(AND($D54="Evet",ROUND($C54*tba_oranBesPuan,2)=$J54),"TBA-001",IF(AND($F54="Evet",ROUND($C54*tba_oranKadinGenc,2)=$J54),"TBA-004","TBA-ENG")))))</f>
        <v/>
      </c>
      <c r="J54" s="31">
        <f>IF($A54="","",MAX(IF($D54="Evet",ROUND($C54*tba_oranBesPuan,2),0),IF($E54="Evet",ROUND($C54*tba_oranIlave,2),0),IF($F54="Evet",ROUND($C54*tba_oranKadinGenc,2),0),IF($G54="Evet",ROUND($C54*tba_isverenOran,2),0)))</f>
        <v/>
      </c>
      <c r="K54" s="31">
        <f>IF($A54="","",IF($H54="TBA-001",IF($D54="Evet",ROUND($C54*tba_oranBesPuan,2),0),IF($H54="TBA-002",IF($E54="Evet",ROUND($C54*tba_oranIlave,2),0),IF($H54="TBA-004",IF($F54="Evet",ROUND($C54*tba_oranKadinGenc,2),0),IF($H54="TBA-ENG",IF($G54="Evet",ROUND($C54*tba_isverenOran,2),0),0)))))</f>
        <v/>
      </c>
      <c r="L54" s="31">
        <f>IF($A54="","",MAX(0,$J54-$K54))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1">
        <f>IF($A55="","",IF($J55=0,"YOK",IF(AND($E55="Evet",ROUND($C55*tba_oranIlave,2)=$J55),"TBA-002",IF(AND($D55="Evet",ROUND($C55*tba_oranBesPuan,2)=$J55),"TBA-001",IF(AND($F55="Evet",ROUND($C55*tba_oranKadinGenc,2)=$J55),"TBA-004","TBA-ENG")))))</f>
        <v/>
      </c>
      <c r="J55" s="31">
        <f>IF($A55="","",MAX(IF($D55="Evet",ROUND($C55*tba_oranBesPuan,2),0),IF($E55="Evet",ROUND($C55*tba_oranIlave,2),0),IF($F55="Evet",ROUND($C55*tba_oranKadinGenc,2),0),IF($G55="Evet",ROUND($C55*tba_isverenOran,2),0)))</f>
        <v/>
      </c>
      <c r="K55" s="31">
        <f>IF($A55="","",IF($H55="TBA-001",IF($D55="Evet",ROUND($C55*tba_oranBesPuan,2),0),IF($H55="TBA-002",IF($E55="Evet",ROUND($C55*tba_oranIlave,2),0),IF($H55="TBA-004",IF($F55="Evet",ROUND($C55*tba_oranKadinGenc,2),0),IF($H55="TBA-ENG",IF($G55="Evet",ROUND($C55*tba_isverenOran,2),0),0)))))</f>
        <v/>
      </c>
      <c r="L55" s="31">
        <f>IF($A55="","",MAX(0,$J55-$K55))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1">
        <f>IF($A56="","",IF($J56=0,"YOK",IF(AND($E56="Evet",ROUND($C56*tba_oranIlave,2)=$J56),"TBA-002",IF(AND($D56="Evet",ROUND($C56*tba_oranBesPuan,2)=$J56),"TBA-001",IF(AND($F56="Evet",ROUND($C56*tba_oranKadinGenc,2)=$J56),"TBA-004","TBA-ENG")))))</f>
        <v/>
      </c>
      <c r="J56" s="31">
        <f>IF($A56="","",MAX(IF($D56="Evet",ROUND($C56*tba_oranBesPuan,2),0),IF($E56="Evet",ROUND($C56*tba_oranIlave,2),0),IF($F56="Evet",ROUND($C56*tba_oranKadinGenc,2),0),IF($G56="Evet",ROUND($C56*tba_isverenOran,2),0)))</f>
        <v/>
      </c>
      <c r="K56" s="31">
        <f>IF($A56="","",IF($H56="TBA-001",IF($D56="Evet",ROUND($C56*tba_oranBesPuan,2),0),IF($H56="TBA-002",IF($E56="Evet",ROUND($C56*tba_oranIlave,2),0),IF($H56="TBA-004",IF($F56="Evet",ROUND($C56*tba_oranKadinGenc,2),0),IF($H56="TBA-ENG",IF($G56="Evet",ROUND($C56*tba_isverenOran,2),0),0)))))</f>
        <v/>
      </c>
      <c r="L56" s="31">
        <f>IF($A56="","",MAX(0,$J56-$K56))</f>
        <v/>
      </c>
    </row>
    <row r="57">
      <c r="I57" s="31">
        <f>IF($A57="","",IF($J57=0,"YOK",IF(AND($E57="Evet",ROUND($C57*tba_oranIlave,2)=$J57),"TBA-002",IF(AND($D57="Evet",ROUND($C57*tba_oranBesPuan,2)=$J57),"TBA-001",IF(AND($F57="Evet",ROUND($C57*tba_oranKadinGenc,2)=$J57),"TBA-004","TBA-ENG")))))</f>
        <v/>
      </c>
      <c r="J57" s="31">
        <f>IF($A57="","",MAX(IF($D57="Evet",ROUND($C57*tba_oranBesPuan,2),0),IF($E57="Evet",ROUND($C57*tba_oranIlave,2),0),IF($F57="Evet",ROUND($C57*tba_oranKadinGenc,2),0),IF($G57="Evet",ROUND($C57*tba_isverenOran,2),0)))</f>
        <v/>
      </c>
      <c r="K57" s="31">
        <f>IF($A57="","",IF($H57="TBA-001",IF($D57="Evet",ROUND($C57*tba_oranBesPuan,2),0),IF($H57="TBA-002",IF($E57="Evet",ROUND($C57*tba_oranIlave,2),0),IF($H57="TBA-004",IF($F57="Evet",ROUND($C57*tba_oranKadinGenc,2),0),IF($H57="TBA-ENG",IF($G57="Evet",ROUND($C57*tba_isverenOran,2),0),0)))))</f>
        <v/>
      </c>
      <c r="L57" s="31">
        <f>IF($A57="","",MAX(0,$J57-$K57))</f>
        <v/>
      </c>
    </row>
    <row r="58">
      <c r="I58" s="31">
        <f>IF($A58="","",IF($J58=0,"YOK",IF(AND($E58="Evet",ROUND($C58*tba_oranIlave,2)=$J58),"TBA-002",IF(AND($D58="Evet",ROUND($C58*tba_oranBesPuan,2)=$J58),"TBA-001",IF(AND($F58="Evet",ROUND($C58*tba_oranKadinGenc,2)=$J58),"TBA-004","TBA-ENG")))))</f>
        <v/>
      </c>
      <c r="J58" s="31">
        <f>IF($A58="","",MAX(IF($D58="Evet",ROUND($C58*tba_oranBesPuan,2),0),IF($E58="Evet",ROUND($C58*tba_oranIlave,2),0),IF($F58="Evet",ROUND($C58*tba_oranKadinGenc,2),0),IF($G58="Evet",ROUND($C58*tba_isverenOran,2),0)))</f>
        <v/>
      </c>
      <c r="K58" s="31">
        <f>IF($A58="","",IF($H58="TBA-001",IF($D58="Evet",ROUND($C58*tba_oranBesPuan,2),0),IF($H58="TBA-002",IF($E58="Evet",ROUND($C58*tba_oranIlave,2),0),IF($H58="TBA-004",IF($F58="Evet",ROUND($C58*tba_oranKadinGenc,2),0),IF($H58="TBA-ENG",IF($G58="Evet",ROUND($C58*tba_isverenOran,2),0),0)))))</f>
        <v/>
      </c>
      <c r="L58" s="31">
        <f>IF($A58="","",MAX(0,$J58-$K58))</f>
        <v/>
      </c>
    </row>
    <row r="59">
      <c r="I59" s="31">
        <f>IF($A59="","",IF($J59=0,"YOK",IF(AND($E59="Evet",ROUND($C59*tba_oranIlave,2)=$J59),"TBA-002",IF(AND($D59="Evet",ROUND($C59*tba_oranBesPuan,2)=$J59),"TBA-001",IF(AND($F59="Evet",ROUND($C59*tba_oranKadinGenc,2)=$J59),"TBA-004","TBA-ENG")))))</f>
        <v/>
      </c>
      <c r="J59" s="31">
        <f>IF($A59="","",MAX(IF($D59="Evet",ROUND($C59*tba_oranBesPuan,2),0),IF($E59="Evet",ROUND($C59*tba_oranIlave,2),0),IF($F59="Evet",ROUND($C59*tba_oranKadinGenc,2),0),IF($G59="Evet",ROUND($C59*tba_isverenOran,2),0)))</f>
        <v/>
      </c>
      <c r="K59" s="31">
        <f>IF($A59="","",IF($H59="TBA-001",IF($D59="Evet",ROUND($C59*tba_oranBesPuan,2),0),IF($H59="TBA-002",IF($E59="Evet",ROUND($C59*tba_oranIlave,2),0),IF($H59="TBA-004",IF($F59="Evet",ROUND($C59*tba_oranKadinGenc,2),0),IF($H59="TBA-ENG",IF($G59="Evet",ROUND($C59*tba_isverenOran,2),0),0)))))</f>
        <v/>
      </c>
      <c r="L59" s="31">
        <f>IF($A59="","",MAX(0,$J59-$K59))</f>
        <v/>
      </c>
    </row>
    <row r="60">
      <c r="I60" s="31">
        <f>IF($A60="","",IF($J60=0,"YOK",IF(AND($E60="Evet",ROUND($C60*tba_oranIlave,2)=$J60),"TBA-002",IF(AND($D60="Evet",ROUND($C60*tba_oranBesPuan,2)=$J60),"TBA-001",IF(AND($F60="Evet",ROUND($C60*tba_oranKadinGenc,2)=$J60),"TBA-004","TBA-ENG")))))</f>
        <v/>
      </c>
      <c r="J60" s="31">
        <f>IF($A60="","",MAX(IF($D60="Evet",ROUND($C60*tba_oranBesPuan,2),0),IF($E60="Evet",ROUND($C60*tba_oranIlave,2),0),IF($F60="Evet",ROUND($C60*tba_oranKadinGenc,2),0),IF($G60="Evet",ROUND($C60*tba_isverenOran,2),0)))</f>
        <v/>
      </c>
      <c r="K60" s="31">
        <f>IF($A60="","",IF($H60="TBA-001",IF($D60="Evet",ROUND($C60*tba_oranBesPuan,2),0),IF($H60="TBA-002",IF($E60="Evet",ROUND($C60*tba_oranIlave,2),0),IF($H60="TBA-004",IF($F60="Evet",ROUND($C60*tba_oranKadinGenc,2),0),IF($H60="TBA-ENG",IF($G60="Evet",ROUND($C60*tba_isverenOran,2),0),0)))))</f>
        <v/>
      </c>
      <c r="L60" s="31">
        <f>IF($A60="","",MAX(0,$J60-$K60))</f>
        <v/>
      </c>
    </row>
    <row r="61">
      <c r="I61" s="31">
        <f>IF($A61="","",IF($J61=0,"YOK",IF(AND($E61="Evet",ROUND($C61*tba_oranIlave,2)=$J61),"TBA-002",IF(AND($D61="Evet",ROUND($C61*tba_oranBesPuan,2)=$J61),"TBA-001",IF(AND($F61="Evet",ROUND($C61*tba_oranKadinGenc,2)=$J61),"TBA-004","TBA-ENG")))))</f>
        <v/>
      </c>
      <c r="J61" s="31">
        <f>IF($A61="","",MAX(IF($D61="Evet",ROUND($C61*tba_oranBesPuan,2),0),IF($E61="Evet",ROUND($C61*tba_oranIlave,2),0),IF($F61="Evet",ROUND($C61*tba_oranKadinGenc,2),0),IF($G61="Evet",ROUND($C61*tba_isverenOran,2),0)))</f>
        <v/>
      </c>
      <c r="K61" s="31">
        <f>IF($A61="","",IF($H61="TBA-001",IF($D61="Evet",ROUND($C61*tba_oranBesPuan,2),0),IF($H61="TBA-002",IF($E61="Evet",ROUND($C61*tba_oranIlave,2),0),IF($H61="TBA-004",IF($F61="Evet",ROUND($C61*tba_oranKadinGenc,2),0),IF($H61="TBA-ENG",IF($G61="Evet",ROUND($C61*tba_isverenOran,2),0),0)))))</f>
        <v/>
      </c>
      <c r="L61" s="31">
        <f>IF($A61="","",MAX(0,$J61-$K61))</f>
        <v/>
      </c>
    </row>
    <row r="62">
      <c r="I62" s="31">
        <f>IF($A62="","",IF($J62=0,"YOK",IF(AND($E62="Evet",ROUND($C62*tba_oranIlave,2)=$J62),"TBA-002",IF(AND($D62="Evet",ROUND($C62*tba_oranBesPuan,2)=$J62),"TBA-001",IF(AND($F62="Evet",ROUND($C62*tba_oranKadinGenc,2)=$J62),"TBA-004","TBA-ENG")))))</f>
        <v/>
      </c>
      <c r="J62" s="31">
        <f>IF($A62="","",MAX(IF($D62="Evet",ROUND($C62*tba_oranBesPuan,2),0),IF($E62="Evet",ROUND($C62*tba_oranIlave,2),0),IF($F62="Evet",ROUND($C62*tba_oranKadinGenc,2),0),IF($G62="Evet",ROUND($C62*tba_isverenOran,2),0)))</f>
        <v/>
      </c>
      <c r="K62" s="31">
        <f>IF($A62="","",IF($H62="TBA-001",IF($D62="Evet",ROUND($C62*tba_oranBesPuan,2),0),IF($H62="TBA-002",IF($E62="Evet",ROUND($C62*tba_oranIlave,2),0),IF($H62="TBA-004",IF($F62="Evet",ROUND($C62*tba_oranKadinGenc,2),0),IF($H62="TBA-ENG",IF($G62="Evet",ROUND($C62*tba_isverenOran,2),0),0)))))</f>
        <v/>
      </c>
      <c r="L62" s="31">
        <f>IF($A62="","",MAX(0,$J62-$K62))</f>
        <v/>
      </c>
    </row>
    <row r="63">
      <c r="I63" s="31">
        <f>IF($A63="","",IF($J63=0,"YOK",IF(AND($E63="Evet",ROUND($C63*tba_oranIlave,2)=$J63),"TBA-002",IF(AND($D63="Evet",ROUND($C63*tba_oranBesPuan,2)=$J63),"TBA-001",IF(AND($F63="Evet",ROUND($C63*tba_oranKadinGenc,2)=$J63),"TBA-004","TBA-ENG")))))</f>
        <v/>
      </c>
      <c r="J63" s="31">
        <f>IF($A63="","",MAX(IF($D63="Evet",ROUND($C63*tba_oranBesPuan,2),0),IF($E63="Evet",ROUND($C63*tba_oranIlave,2),0),IF($F63="Evet",ROUND($C63*tba_oranKadinGenc,2),0),IF($G63="Evet",ROUND($C63*tba_isverenOran,2),0)))</f>
        <v/>
      </c>
      <c r="K63" s="31">
        <f>IF($A63="","",IF($H63="TBA-001",IF($D63="Evet",ROUND($C63*tba_oranBesPuan,2),0),IF($H63="TBA-002",IF($E63="Evet",ROUND($C63*tba_oranIlave,2),0),IF($H63="TBA-004",IF($F63="Evet",ROUND($C63*tba_oranKadinGenc,2),0),IF($H63="TBA-ENG",IF($G63="Evet",ROUND($C63*tba_isverenOran,2),0),0)))))</f>
        <v/>
      </c>
      <c r="L63" s="31">
        <f>IF($A63="","",MAX(0,$J63-$K63))</f>
        <v/>
      </c>
    </row>
    <row r="64">
      <c r="I64" s="31">
        <f>IF($A64="","",IF($J64=0,"YOK",IF(AND($E64="Evet",ROUND($C64*tba_oranIlave,2)=$J64),"TBA-002",IF(AND($D64="Evet",ROUND($C64*tba_oranBesPuan,2)=$J64),"TBA-001",IF(AND($F64="Evet",ROUND($C64*tba_oranKadinGenc,2)=$J64),"TBA-004","TBA-ENG")))))</f>
        <v/>
      </c>
      <c r="J64" s="31">
        <f>IF($A64="","",MAX(IF($D64="Evet",ROUND($C64*tba_oranBesPuan,2),0),IF($E64="Evet",ROUND($C64*tba_oranIlave,2),0),IF($F64="Evet",ROUND($C64*tba_oranKadinGenc,2),0),IF($G64="Evet",ROUND($C64*tba_isverenOran,2),0)))</f>
        <v/>
      </c>
      <c r="K64" s="31">
        <f>IF($A64="","",IF($H64="TBA-001",IF($D64="Evet",ROUND($C64*tba_oranBesPuan,2),0),IF($H64="TBA-002",IF($E64="Evet",ROUND($C64*tba_oranIlave,2),0),IF($H64="TBA-004",IF($F64="Evet",ROUND($C64*tba_oranKadinGenc,2),0),IF($H64="TBA-ENG",IF($G64="Evet",ROUND($C64*tba_isverenOran,2),0),0)))))</f>
        <v/>
      </c>
      <c r="L64" s="31">
        <f>IF($A64="","",MAX(0,$J64-$K64))</f>
        <v/>
      </c>
    </row>
    <row r="65">
      <c r="I65" s="31">
        <f>IF($A65="","",IF($J65=0,"YOK",IF(AND($E65="Evet",ROUND($C65*tba_oranIlave,2)=$J65),"TBA-002",IF(AND($D65="Evet",ROUND($C65*tba_oranBesPuan,2)=$J65),"TBA-001",IF(AND($F65="Evet",ROUND($C65*tba_oranKadinGenc,2)=$J65),"TBA-004","TBA-ENG")))))</f>
        <v/>
      </c>
      <c r="J65" s="31">
        <f>IF($A65="","",MAX(IF($D65="Evet",ROUND($C65*tba_oranBesPuan,2),0),IF($E65="Evet",ROUND($C65*tba_oranIlave,2),0),IF($F65="Evet",ROUND($C65*tba_oranKadinGenc,2),0),IF($G65="Evet",ROUND($C65*tba_isverenOran,2),0)))</f>
        <v/>
      </c>
      <c r="K65" s="31">
        <f>IF($A65="","",IF($H65="TBA-001",IF($D65="Evet",ROUND($C65*tba_oranBesPuan,2),0),IF($H65="TBA-002",IF($E65="Evet",ROUND($C65*tba_oranIlave,2),0),IF($H65="TBA-004",IF($F65="Evet",ROUND($C65*tba_oranKadinGenc,2),0),IF($H65="TBA-ENG",IF($G65="Evet",ROUND($C65*tba_isverenOran,2),0),0)))))</f>
        <v/>
      </c>
      <c r="L65" s="31">
        <f>IF($A65="","",MAX(0,$J65-$K65))</f>
        <v/>
      </c>
    </row>
    <row r="66">
      <c r="I66" s="31">
        <f>IF($A66="","",IF($J66=0,"YOK",IF(AND($E66="Evet",ROUND($C66*tba_oranIlave,2)=$J66),"TBA-002",IF(AND($D66="Evet",ROUND($C66*tba_oranBesPuan,2)=$J66),"TBA-001",IF(AND($F66="Evet",ROUND($C66*tba_oranKadinGenc,2)=$J66),"TBA-004","TBA-ENG")))))</f>
        <v/>
      </c>
      <c r="J66" s="31">
        <f>IF($A66="","",MAX(IF($D66="Evet",ROUND($C66*tba_oranBesPuan,2),0),IF($E66="Evet",ROUND($C66*tba_oranIlave,2),0),IF($F66="Evet",ROUND($C66*tba_oranKadinGenc,2),0),IF($G66="Evet",ROUND($C66*tba_isverenOran,2),0)))</f>
        <v/>
      </c>
      <c r="K66" s="31">
        <f>IF($A66="","",IF($H66="TBA-001",IF($D66="Evet",ROUND($C66*tba_oranBesPuan,2),0),IF($H66="TBA-002",IF($E66="Evet",ROUND($C66*tba_oranIlave,2),0),IF($H66="TBA-004",IF($F66="Evet",ROUND($C66*tba_oranKadinGenc,2),0),IF($H66="TBA-ENG",IF($G66="Evet",ROUND($C66*tba_isverenOran,2),0),0)))))</f>
        <v/>
      </c>
      <c r="L66" s="31">
        <f>IF($A66="","",MAX(0,$J66-$K66))</f>
        <v/>
      </c>
    </row>
    <row r="67">
      <c r="I67" s="31">
        <f>IF($A67="","",IF($J67=0,"YOK",IF(AND($E67="Evet",ROUND($C67*tba_oranIlave,2)=$J67),"TBA-002",IF(AND($D67="Evet",ROUND($C67*tba_oranBesPuan,2)=$J67),"TBA-001",IF(AND($F67="Evet",ROUND($C67*tba_oranKadinGenc,2)=$J67),"TBA-004","TBA-ENG")))))</f>
        <v/>
      </c>
      <c r="J67" s="31">
        <f>IF($A67="","",MAX(IF($D67="Evet",ROUND($C67*tba_oranBesPuan,2),0),IF($E67="Evet",ROUND($C67*tba_oranIlave,2),0),IF($F67="Evet",ROUND($C67*tba_oranKadinGenc,2),0),IF($G67="Evet",ROUND($C67*tba_isverenOran,2),0)))</f>
        <v/>
      </c>
      <c r="K67" s="31">
        <f>IF($A67="","",IF($H67="TBA-001",IF($D67="Evet",ROUND($C67*tba_oranBesPuan,2),0),IF($H67="TBA-002",IF($E67="Evet",ROUND($C67*tba_oranIlave,2),0),IF($H67="TBA-004",IF($F67="Evet",ROUND($C67*tba_oranKadinGenc,2),0),IF($H67="TBA-ENG",IF($G67="Evet",ROUND($C67*tba_isverenOran,2),0),0)))))</f>
        <v/>
      </c>
      <c r="L67" s="31">
        <f>IF($A67="","",MAX(0,$J67-$K67))</f>
        <v/>
      </c>
    </row>
    <row r="68">
      <c r="I68" s="31">
        <f>IF($A68="","",IF($J68=0,"YOK",IF(AND($E68="Evet",ROUND($C68*tba_oranIlave,2)=$J68),"TBA-002",IF(AND($D68="Evet",ROUND($C68*tba_oranBesPuan,2)=$J68),"TBA-001",IF(AND($F68="Evet",ROUND($C68*tba_oranKadinGenc,2)=$J68),"TBA-004","TBA-ENG")))))</f>
        <v/>
      </c>
      <c r="J68" s="31">
        <f>IF($A68="","",MAX(IF($D68="Evet",ROUND($C68*tba_oranBesPuan,2),0),IF($E68="Evet",ROUND($C68*tba_oranIlave,2),0),IF($F68="Evet",ROUND($C68*tba_oranKadinGenc,2),0),IF($G68="Evet",ROUND($C68*tba_isverenOran,2),0)))</f>
        <v/>
      </c>
      <c r="K68" s="31">
        <f>IF($A68="","",IF($H68="TBA-001",IF($D68="Evet",ROUND($C68*tba_oranBesPuan,2),0),IF($H68="TBA-002",IF($E68="Evet",ROUND($C68*tba_oranIlave,2),0),IF($H68="TBA-004",IF($F68="Evet",ROUND($C68*tba_oranKadinGenc,2),0),IF($H68="TBA-ENG",IF($G68="Evet",ROUND($C68*tba_isverenOran,2),0),0)))))</f>
        <v/>
      </c>
      <c r="L68" s="31">
        <f>IF($A68="","",MAX(0,$J68-$K68))</f>
        <v/>
      </c>
    </row>
    <row r="69">
      <c r="I69" s="31">
        <f>IF($A69="","",IF($J69=0,"YOK",IF(AND($E69="Evet",ROUND($C69*tba_oranIlave,2)=$J69),"TBA-002",IF(AND($D69="Evet",ROUND($C69*tba_oranBesPuan,2)=$J69),"TBA-001",IF(AND($F69="Evet",ROUND($C69*tba_oranKadinGenc,2)=$J69),"TBA-004","TBA-ENG")))))</f>
        <v/>
      </c>
      <c r="J69" s="31">
        <f>IF($A69="","",MAX(IF($D69="Evet",ROUND($C69*tba_oranBesPuan,2),0),IF($E69="Evet",ROUND($C69*tba_oranIlave,2),0),IF($F69="Evet",ROUND($C69*tba_oranKadinGenc,2),0),IF($G69="Evet",ROUND($C69*tba_isverenOran,2),0)))</f>
        <v/>
      </c>
      <c r="K69" s="31">
        <f>IF($A69="","",IF($H69="TBA-001",IF($D69="Evet",ROUND($C69*tba_oranBesPuan,2),0),IF($H69="TBA-002",IF($E69="Evet",ROUND($C69*tba_oranIlave,2),0),IF($H69="TBA-004",IF($F69="Evet",ROUND($C69*tba_oranKadinGenc,2),0),IF($H69="TBA-ENG",IF($G69="Evet",ROUND($C69*tba_isverenOran,2),0),0)))))</f>
        <v/>
      </c>
      <c r="L69" s="31">
        <f>IF($A69="","",MAX(0,$J69-$K69))</f>
        <v/>
      </c>
    </row>
    <row r="70">
      <c r="I70" s="31">
        <f>IF($A70="","",IF($J70=0,"YOK",IF(AND($E70="Evet",ROUND($C70*tba_oranIlave,2)=$J70),"TBA-002",IF(AND($D70="Evet",ROUND($C70*tba_oranBesPuan,2)=$J70),"TBA-001",IF(AND($F70="Evet",ROUND($C70*tba_oranKadinGenc,2)=$J70),"TBA-004","TBA-ENG")))))</f>
        <v/>
      </c>
      <c r="J70" s="31">
        <f>IF($A70="","",MAX(IF($D70="Evet",ROUND($C70*tba_oranBesPuan,2),0),IF($E70="Evet",ROUND($C70*tba_oranIlave,2),0),IF($F70="Evet",ROUND($C70*tba_oranKadinGenc,2),0),IF($G70="Evet",ROUND($C70*tba_isverenOran,2),0)))</f>
        <v/>
      </c>
      <c r="K70" s="31">
        <f>IF($A70="","",IF($H70="TBA-001",IF($D70="Evet",ROUND($C70*tba_oranBesPuan,2),0),IF($H70="TBA-002",IF($E70="Evet",ROUND($C70*tba_oranIlave,2),0),IF($H70="TBA-004",IF($F70="Evet",ROUND($C70*tba_oranKadinGenc,2),0),IF($H70="TBA-ENG",IF($G70="Evet",ROUND($C70*tba_isverenOran,2),0),0)))))</f>
        <v/>
      </c>
      <c r="L70" s="31">
        <f>IF($A70="","",MAX(0,$J70-$K70))</f>
        <v/>
      </c>
    </row>
    <row r="71">
      <c r="I71" s="31">
        <f>IF($A71="","",IF($J71=0,"YOK",IF(AND($E71="Evet",ROUND($C71*tba_oranIlave,2)=$J71),"TBA-002",IF(AND($D71="Evet",ROUND($C71*tba_oranBesPuan,2)=$J71),"TBA-001",IF(AND($F71="Evet",ROUND($C71*tba_oranKadinGenc,2)=$J71),"TBA-004","TBA-ENG")))))</f>
        <v/>
      </c>
      <c r="J71" s="31">
        <f>IF($A71="","",MAX(IF($D71="Evet",ROUND($C71*tba_oranBesPuan,2),0),IF($E71="Evet",ROUND($C71*tba_oranIlave,2),0),IF($F71="Evet",ROUND($C71*tba_oranKadinGenc,2),0),IF($G71="Evet",ROUND($C71*tba_isverenOran,2),0)))</f>
        <v/>
      </c>
      <c r="K71" s="31">
        <f>IF($A71="","",IF($H71="TBA-001",IF($D71="Evet",ROUND($C71*tba_oranBesPuan,2),0),IF($H71="TBA-002",IF($E71="Evet",ROUND($C71*tba_oranIlave,2),0),IF($H71="TBA-004",IF($F71="Evet",ROUND($C71*tba_oranKadinGenc,2),0),IF($H71="TBA-ENG",IF($G71="Evet",ROUND($C71*tba_isverenOran,2),0),0)))))</f>
        <v/>
      </c>
      <c r="L71" s="31">
        <f>IF($A71="","",MAX(0,$J71-$K71))</f>
        <v/>
      </c>
    </row>
    <row r="72">
      <c r="I72" s="31">
        <f>IF($A72="","",IF($J72=0,"YOK",IF(AND($E72="Evet",ROUND($C72*tba_oranIlave,2)=$J72),"TBA-002",IF(AND($D72="Evet",ROUND($C72*tba_oranBesPuan,2)=$J72),"TBA-001",IF(AND($F72="Evet",ROUND($C72*tba_oranKadinGenc,2)=$J72),"TBA-004","TBA-ENG")))))</f>
        <v/>
      </c>
      <c r="J72" s="31">
        <f>IF($A72="","",MAX(IF($D72="Evet",ROUND($C72*tba_oranBesPuan,2),0),IF($E72="Evet",ROUND($C72*tba_oranIlave,2),0),IF($F72="Evet",ROUND($C72*tba_oranKadinGenc,2),0),IF($G72="Evet",ROUND($C72*tba_isverenOran,2),0)))</f>
        <v/>
      </c>
      <c r="K72" s="31">
        <f>IF($A72="","",IF($H72="TBA-001",IF($D72="Evet",ROUND($C72*tba_oranBesPuan,2),0),IF($H72="TBA-002",IF($E72="Evet",ROUND($C72*tba_oranIlave,2),0),IF($H72="TBA-004",IF($F72="Evet",ROUND($C72*tba_oranKadinGenc,2),0),IF($H72="TBA-ENG",IF($G72="Evet",ROUND($C72*tba_isverenOran,2),0),0)))))</f>
        <v/>
      </c>
      <c r="L72" s="31">
        <f>IF($A72="","",MAX(0,$J72-$K72))</f>
        <v/>
      </c>
    </row>
    <row r="73">
      <c r="I73" s="31">
        <f>IF($A73="","",IF($J73=0,"YOK",IF(AND($E73="Evet",ROUND($C73*tba_oranIlave,2)=$J73),"TBA-002",IF(AND($D73="Evet",ROUND($C73*tba_oranBesPuan,2)=$J73),"TBA-001",IF(AND($F73="Evet",ROUND($C73*tba_oranKadinGenc,2)=$J73),"TBA-004","TBA-ENG")))))</f>
        <v/>
      </c>
      <c r="J73" s="31">
        <f>IF($A73="","",MAX(IF($D73="Evet",ROUND($C73*tba_oranBesPuan,2),0),IF($E73="Evet",ROUND($C73*tba_oranIlave,2),0),IF($F73="Evet",ROUND($C73*tba_oranKadinGenc,2),0),IF($G73="Evet",ROUND($C73*tba_isverenOran,2),0)))</f>
        <v/>
      </c>
      <c r="K73" s="31">
        <f>IF($A73="","",IF($H73="TBA-001",IF($D73="Evet",ROUND($C73*tba_oranBesPuan,2),0),IF($H73="TBA-002",IF($E73="Evet",ROUND($C73*tba_oranIlave,2),0),IF($H73="TBA-004",IF($F73="Evet",ROUND($C73*tba_oranKadinGenc,2),0),IF($H73="TBA-ENG",IF($G73="Evet",ROUND($C73*tba_isverenOran,2),0),0)))))</f>
        <v/>
      </c>
      <c r="L73" s="31">
        <f>IF($A73="","",MAX(0,$J73-$K73))</f>
        <v/>
      </c>
    </row>
    <row r="74">
      <c r="I74" s="31">
        <f>IF($A74="","",IF($J74=0,"YOK",IF(AND($E74="Evet",ROUND($C74*tba_oranIlave,2)=$J74),"TBA-002",IF(AND($D74="Evet",ROUND($C74*tba_oranBesPuan,2)=$J74),"TBA-001",IF(AND($F74="Evet",ROUND($C74*tba_oranKadinGenc,2)=$J74),"TBA-004","TBA-ENG")))))</f>
        <v/>
      </c>
      <c r="J74" s="31">
        <f>IF($A74="","",MAX(IF($D74="Evet",ROUND($C74*tba_oranBesPuan,2),0),IF($E74="Evet",ROUND($C74*tba_oranIlave,2),0),IF($F74="Evet",ROUND($C74*tba_oranKadinGenc,2),0),IF($G74="Evet",ROUND($C74*tba_isverenOran,2),0)))</f>
        <v/>
      </c>
      <c r="K74" s="31">
        <f>IF($A74="","",IF($H74="TBA-001",IF($D74="Evet",ROUND($C74*tba_oranBesPuan,2),0),IF($H74="TBA-002",IF($E74="Evet",ROUND($C74*tba_oranIlave,2),0),IF($H74="TBA-004",IF($F74="Evet",ROUND($C74*tba_oranKadinGenc,2),0),IF($H74="TBA-ENG",IF($G74="Evet",ROUND($C74*tba_isverenOran,2),0),0)))))</f>
        <v/>
      </c>
      <c r="L74" s="31">
        <f>IF($A74="","",MAX(0,$J74-$K74))</f>
        <v/>
      </c>
    </row>
    <row r="75">
      <c r="I75" s="31">
        <f>IF($A75="","",IF($J75=0,"YOK",IF(AND($E75="Evet",ROUND($C75*tba_oranIlave,2)=$J75),"TBA-002",IF(AND($D75="Evet",ROUND($C75*tba_oranBesPuan,2)=$J75),"TBA-001",IF(AND($F75="Evet",ROUND($C75*tba_oranKadinGenc,2)=$J75),"TBA-004","TBA-ENG")))))</f>
        <v/>
      </c>
      <c r="J75" s="31">
        <f>IF($A75="","",MAX(IF($D75="Evet",ROUND($C75*tba_oranBesPuan,2),0),IF($E75="Evet",ROUND($C75*tba_oranIlave,2),0),IF($F75="Evet",ROUND($C75*tba_oranKadinGenc,2),0),IF($G75="Evet",ROUND($C75*tba_isverenOran,2),0)))</f>
        <v/>
      </c>
      <c r="K75" s="31">
        <f>IF($A75="","",IF($H75="TBA-001",IF($D75="Evet",ROUND($C75*tba_oranBesPuan,2),0),IF($H75="TBA-002",IF($E75="Evet",ROUND($C75*tba_oranIlave,2),0),IF($H75="TBA-004",IF($F75="Evet",ROUND($C75*tba_oranKadinGenc,2),0),IF($H75="TBA-ENG",IF($G75="Evet",ROUND($C75*tba_isverenOran,2),0),0)))))</f>
        <v/>
      </c>
      <c r="L75" s="31">
        <f>IF($A75="","",MAX(0,$J75-$K75))</f>
        <v/>
      </c>
    </row>
    <row r="76">
      <c r="I76" s="31">
        <f>IF($A76="","",IF($J76=0,"YOK",IF(AND($E76="Evet",ROUND($C76*tba_oranIlave,2)=$J76),"TBA-002",IF(AND($D76="Evet",ROUND($C76*tba_oranBesPuan,2)=$J76),"TBA-001",IF(AND($F76="Evet",ROUND($C76*tba_oranKadinGenc,2)=$J76),"TBA-004","TBA-ENG")))))</f>
        <v/>
      </c>
      <c r="J76" s="31">
        <f>IF($A76="","",MAX(IF($D76="Evet",ROUND($C76*tba_oranBesPuan,2),0),IF($E76="Evet",ROUND($C76*tba_oranIlave,2),0),IF($F76="Evet",ROUND($C76*tba_oranKadinGenc,2),0),IF($G76="Evet",ROUND($C76*tba_isverenOran,2),0)))</f>
        <v/>
      </c>
      <c r="K76" s="31">
        <f>IF($A76="","",IF($H76="TBA-001",IF($D76="Evet",ROUND($C76*tba_oranBesPuan,2),0),IF($H76="TBA-002",IF($E76="Evet",ROUND($C76*tba_oranIlave,2),0),IF($H76="TBA-004",IF($F76="Evet",ROUND($C76*tba_oranKadinGenc,2),0),IF($H76="TBA-ENG",IF($G76="Evet",ROUND($C76*tba_isverenOran,2),0),0)))))</f>
        <v/>
      </c>
      <c r="L76" s="31">
        <f>IF($A76="","",MAX(0,$J76-$K76))</f>
        <v/>
      </c>
    </row>
    <row r="77">
      <c r="I77" s="31">
        <f>IF($A77="","",IF($J77=0,"YOK",IF(AND($E77="Evet",ROUND($C77*tba_oranIlave,2)=$J77),"TBA-002",IF(AND($D77="Evet",ROUND($C77*tba_oranBesPuan,2)=$J77),"TBA-001",IF(AND($F77="Evet",ROUND($C77*tba_oranKadinGenc,2)=$J77),"TBA-004","TBA-ENG")))))</f>
        <v/>
      </c>
      <c r="J77" s="31">
        <f>IF($A77="","",MAX(IF($D77="Evet",ROUND($C77*tba_oranBesPuan,2),0),IF($E77="Evet",ROUND($C77*tba_oranIlave,2),0),IF($F77="Evet",ROUND($C77*tba_oranKadinGenc,2),0),IF($G77="Evet",ROUND($C77*tba_isverenOran,2),0)))</f>
        <v/>
      </c>
      <c r="K77" s="31">
        <f>IF($A77="","",IF($H77="TBA-001",IF($D77="Evet",ROUND($C77*tba_oranBesPuan,2),0),IF($H77="TBA-002",IF($E77="Evet",ROUND($C77*tba_oranIlave,2),0),IF($H77="TBA-004",IF($F77="Evet",ROUND($C77*tba_oranKadinGenc,2),0),IF($H77="TBA-ENG",IF($G77="Evet",ROUND($C77*tba_isverenOran,2),0),0)))))</f>
        <v/>
      </c>
      <c r="L77" s="31">
        <f>IF($A77="","",MAX(0,$J77-$K77))</f>
        <v/>
      </c>
    </row>
    <row r="78">
      <c r="I78" s="31">
        <f>IF($A78="","",IF($J78=0,"YOK",IF(AND($E78="Evet",ROUND($C78*tba_oranIlave,2)=$J78),"TBA-002",IF(AND($D78="Evet",ROUND($C78*tba_oranBesPuan,2)=$J78),"TBA-001",IF(AND($F78="Evet",ROUND($C78*tba_oranKadinGenc,2)=$J78),"TBA-004","TBA-ENG")))))</f>
        <v/>
      </c>
      <c r="J78" s="31">
        <f>IF($A78="","",MAX(IF($D78="Evet",ROUND($C78*tba_oranBesPuan,2),0),IF($E78="Evet",ROUND($C78*tba_oranIlave,2),0),IF($F78="Evet",ROUND($C78*tba_oranKadinGenc,2),0),IF($G78="Evet",ROUND($C78*tba_isverenOran,2),0)))</f>
        <v/>
      </c>
      <c r="K78" s="31">
        <f>IF($A78="","",IF($H78="TBA-001",IF($D78="Evet",ROUND($C78*tba_oranBesPuan,2),0),IF($H78="TBA-002",IF($E78="Evet",ROUND($C78*tba_oranIlave,2),0),IF($H78="TBA-004",IF($F78="Evet",ROUND($C78*tba_oranKadinGenc,2),0),IF($H78="TBA-ENG",IF($G78="Evet",ROUND($C78*tba_isverenOran,2),0),0)))))</f>
        <v/>
      </c>
      <c r="L78" s="31">
        <f>IF($A78="","",MAX(0,$J78-$K78))</f>
        <v/>
      </c>
    </row>
    <row r="79">
      <c r="I79" s="31">
        <f>IF($A79="","",IF($J79=0,"YOK",IF(AND($E79="Evet",ROUND($C79*tba_oranIlave,2)=$J79),"TBA-002",IF(AND($D79="Evet",ROUND($C79*tba_oranBesPuan,2)=$J79),"TBA-001",IF(AND($F79="Evet",ROUND($C79*tba_oranKadinGenc,2)=$J79),"TBA-004","TBA-ENG")))))</f>
        <v/>
      </c>
      <c r="J79" s="31">
        <f>IF($A79="","",MAX(IF($D79="Evet",ROUND($C79*tba_oranBesPuan,2),0),IF($E79="Evet",ROUND($C79*tba_oranIlave,2),0),IF($F79="Evet",ROUND($C79*tba_oranKadinGenc,2),0),IF($G79="Evet",ROUND($C79*tba_isverenOran,2),0)))</f>
        <v/>
      </c>
      <c r="K79" s="31">
        <f>IF($A79="","",IF($H79="TBA-001",IF($D79="Evet",ROUND($C79*tba_oranBesPuan,2),0),IF($H79="TBA-002",IF($E79="Evet",ROUND($C79*tba_oranIlave,2),0),IF($H79="TBA-004",IF($F79="Evet",ROUND($C79*tba_oranKadinGenc,2),0),IF($H79="TBA-ENG",IF($G79="Evet",ROUND($C79*tba_isverenOran,2),0),0)))))</f>
        <v/>
      </c>
      <c r="L79" s="31">
        <f>IF($A79="","",MAX(0,$J79-$K79))</f>
        <v/>
      </c>
    </row>
    <row r="80">
      <c r="I80" s="31">
        <f>IF($A80="","",IF($J80=0,"YOK",IF(AND($E80="Evet",ROUND($C80*tba_oranIlave,2)=$J80),"TBA-002",IF(AND($D80="Evet",ROUND($C80*tba_oranBesPuan,2)=$J80),"TBA-001",IF(AND($F80="Evet",ROUND($C80*tba_oranKadinGenc,2)=$J80),"TBA-004","TBA-ENG")))))</f>
        <v/>
      </c>
      <c r="J80" s="31">
        <f>IF($A80="","",MAX(IF($D80="Evet",ROUND($C80*tba_oranBesPuan,2),0),IF($E80="Evet",ROUND($C80*tba_oranIlave,2),0),IF($F80="Evet",ROUND($C80*tba_oranKadinGenc,2),0),IF($G80="Evet",ROUND($C80*tba_isverenOran,2),0)))</f>
        <v/>
      </c>
      <c r="K80" s="31">
        <f>IF($A80="","",IF($H80="TBA-001",IF($D80="Evet",ROUND($C80*tba_oranBesPuan,2),0),IF($H80="TBA-002",IF($E80="Evet",ROUND($C80*tba_oranIlave,2),0),IF($H80="TBA-004",IF($F80="Evet",ROUND($C80*tba_oranKadinGenc,2),0),IF($H80="TBA-ENG",IF($G80="Evet",ROUND($C80*tba_isverenOran,2),0),0)))))</f>
        <v/>
      </c>
      <c r="L80" s="31">
        <f>IF($A80="","",MAX(0,$J80-$K80))</f>
        <v/>
      </c>
    </row>
    <row r="81">
      <c r="I81" s="31">
        <f>IF($A81="","",IF($J81=0,"YOK",IF(AND($E81="Evet",ROUND($C81*tba_oranIlave,2)=$J81),"TBA-002",IF(AND($D81="Evet",ROUND($C81*tba_oranBesPuan,2)=$J81),"TBA-001",IF(AND($F81="Evet",ROUND($C81*tba_oranKadinGenc,2)=$J81),"TBA-004","TBA-ENG")))))</f>
        <v/>
      </c>
      <c r="J81" s="31">
        <f>IF($A81="","",MAX(IF($D81="Evet",ROUND($C81*tba_oranBesPuan,2),0),IF($E81="Evet",ROUND($C81*tba_oranIlave,2),0),IF($F81="Evet",ROUND($C81*tba_oranKadinGenc,2),0),IF($G81="Evet",ROUND($C81*tba_isverenOran,2),0)))</f>
        <v/>
      </c>
      <c r="K81" s="31">
        <f>IF($A81="","",IF($H81="TBA-001",IF($D81="Evet",ROUND($C81*tba_oranBesPuan,2),0),IF($H81="TBA-002",IF($E81="Evet",ROUND($C81*tba_oranIlave,2),0),IF($H81="TBA-004",IF($F81="Evet",ROUND($C81*tba_oranKadinGenc,2),0),IF($H81="TBA-ENG",IF($G81="Evet",ROUND($C81*tba_isverenOran,2),0),0)))))</f>
        <v/>
      </c>
      <c r="L81" s="31">
        <f>IF($A81="","",MAX(0,$J81-$K81))</f>
        <v/>
      </c>
    </row>
    <row r="82">
      <c r="I82" s="31">
        <f>IF($A82="","",IF($J82=0,"YOK",IF(AND($E82="Evet",ROUND($C82*tba_oranIlave,2)=$J82),"TBA-002",IF(AND($D82="Evet",ROUND($C82*tba_oranBesPuan,2)=$J82),"TBA-001",IF(AND($F82="Evet",ROUND($C82*tba_oranKadinGenc,2)=$J82),"TBA-004","TBA-ENG")))))</f>
        <v/>
      </c>
      <c r="J82" s="31">
        <f>IF($A82="","",MAX(IF($D82="Evet",ROUND($C82*tba_oranBesPuan,2),0),IF($E82="Evet",ROUND($C82*tba_oranIlave,2),0),IF($F82="Evet",ROUND($C82*tba_oranKadinGenc,2),0),IF($G82="Evet",ROUND($C82*tba_isverenOran,2),0)))</f>
        <v/>
      </c>
      <c r="K82" s="31">
        <f>IF($A82="","",IF($H82="TBA-001",IF($D82="Evet",ROUND($C82*tba_oranBesPuan,2),0),IF($H82="TBA-002",IF($E82="Evet",ROUND($C82*tba_oranIlave,2),0),IF($H82="TBA-004",IF($F82="Evet",ROUND($C82*tba_oranKadinGenc,2),0),IF($H82="TBA-ENG",IF($G82="Evet",ROUND($C82*tba_isverenOran,2),0),0)))))</f>
        <v/>
      </c>
      <c r="L82" s="31">
        <f>IF($A82="","",MAX(0,$J82-$K82))</f>
        <v/>
      </c>
    </row>
    <row r="83">
      <c r="I83" s="31">
        <f>IF($A83="","",IF($J83=0,"YOK",IF(AND($E83="Evet",ROUND($C83*tba_oranIlave,2)=$J83),"TBA-002",IF(AND($D83="Evet",ROUND($C83*tba_oranBesPuan,2)=$J83),"TBA-001",IF(AND($F83="Evet",ROUND($C83*tba_oranKadinGenc,2)=$J83),"TBA-004","TBA-ENG")))))</f>
        <v/>
      </c>
      <c r="J83" s="31">
        <f>IF($A83="","",MAX(IF($D83="Evet",ROUND($C83*tba_oranBesPuan,2),0),IF($E83="Evet",ROUND($C83*tba_oranIlave,2),0),IF($F83="Evet",ROUND($C83*tba_oranKadinGenc,2),0),IF($G83="Evet",ROUND($C83*tba_isverenOran,2),0)))</f>
        <v/>
      </c>
      <c r="K83" s="31">
        <f>IF($A83="","",IF($H83="TBA-001",IF($D83="Evet",ROUND($C83*tba_oranBesPuan,2),0),IF($H83="TBA-002",IF($E83="Evet",ROUND($C83*tba_oranIlave,2),0),IF($H83="TBA-004",IF($F83="Evet",ROUND($C83*tba_oranKadinGenc,2),0),IF($H83="TBA-ENG",IF($G83="Evet",ROUND($C83*tba_isverenOran,2),0),0)))))</f>
        <v/>
      </c>
      <c r="L83" s="31">
        <f>IF($A83="","",MAX(0,$J83-$K83))</f>
        <v/>
      </c>
    </row>
    <row r="84">
      <c r="I84" s="31">
        <f>IF($A84="","",IF($J84=0,"YOK",IF(AND($E84="Evet",ROUND($C84*tba_oranIlave,2)=$J84),"TBA-002",IF(AND($D84="Evet",ROUND($C84*tba_oranBesPuan,2)=$J84),"TBA-001",IF(AND($F84="Evet",ROUND($C84*tba_oranKadinGenc,2)=$J84),"TBA-004","TBA-ENG")))))</f>
        <v/>
      </c>
      <c r="J84" s="31">
        <f>IF($A84="","",MAX(IF($D84="Evet",ROUND($C84*tba_oranBesPuan,2),0),IF($E84="Evet",ROUND($C84*tba_oranIlave,2),0),IF($F84="Evet",ROUND($C84*tba_oranKadinGenc,2),0),IF($G84="Evet",ROUND($C84*tba_isverenOran,2),0)))</f>
        <v/>
      </c>
      <c r="K84" s="31">
        <f>IF($A84="","",IF($H84="TBA-001",IF($D84="Evet",ROUND($C84*tba_oranBesPuan,2),0),IF($H84="TBA-002",IF($E84="Evet",ROUND($C84*tba_oranIlave,2),0),IF($H84="TBA-004",IF($F84="Evet",ROUND($C84*tba_oranKadinGenc,2),0),IF($H84="TBA-ENG",IF($G84="Evet",ROUND($C84*tba_isverenOran,2),0),0)))))</f>
        <v/>
      </c>
      <c r="L84" s="31">
        <f>IF($A84="","",MAX(0,$J84-$K84))</f>
        <v/>
      </c>
    </row>
    <row r="85">
      <c r="I85" s="31">
        <f>IF($A85="","",IF($J85=0,"YOK",IF(AND($E85="Evet",ROUND($C85*tba_oranIlave,2)=$J85),"TBA-002",IF(AND($D85="Evet",ROUND($C85*tba_oranBesPuan,2)=$J85),"TBA-001",IF(AND($F85="Evet",ROUND($C85*tba_oranKadinGenc,2)=$J85),"TBA-004","TBA-ENG")))))</f>
        <v/>
      </c>
      <c r="J85" s="31">
        <f>IF($A85="","",MAX(IF($D85="Evet",ROUND($C85*tba_oranBesPuan,2),0),IF($E85="Evet",ROUND($C85*tba_oranIlave,2),0),IF($F85="Evet",ROUND($C85*tba_oranKadinGenc,2),0),IF($G85="Evet",ROUND($C85*tba_isverenOran,2),0)))</f>
        <v/>
      </c>
      <c r="K85" s="31">
        <f>IF($A85="","",IF($H85="TBA-001",IF($D85="Evet",ROUND($C85*tba_oranBesPuan,2),0),IF($H85="TBA-002",IF($E85="Evet",ROUND($C85*tba_oranIlave,2),0),IF($H85="TBA-004",IF($F85="Evet",ROUND($C85*tba_oranKadinGenc,2),0),IF($H85="TBA-ENG",IF($G85="Evet",ROUND($C85*tba_isverenOran,2),0),0)))))</f>
        <v/>
      </c>
      <c r="L85" s="31">
        <f>IF($A85="","",MAX(0,$J85-$K85))</f>
        <v/>
      </c>
    </row>
    <row r="86">
      <c r="I86" s="31">
        <f>IF($A86="","",IF($J86=0,"YOK",IF(AND($E86="Evet",ROUND($C86*tba_oranIlave,2)=$J86),"TBA-002",IF(AND($D86="Evet",ROUND($C86*tba_oranBesPuan,2)=$J86),"TBA-001",IF(AND($F86="Evet",ROUND($C86*tba_oranKadinGenc,2)=$J86),"TBA-004","TBA-ENG")))))</f>
        <v/>
      </c>
      <c r="J86" s="31">
        <f>IF($A86="","",MAX(IF($D86="Evet",ROUND($C86*tba_oranBesPuan,2),0),IF($E86="Evet",ROUND($C86*tba_oranIlave,2),0),IF($F86="Evet",ROUND($C86*tba_oranKadinGenc,2),0),IF($G86="Evet",ROUND($C86*tba_isverenOran,2),0)))</f>
        <v/>
      </c>
      <c r="K86" s="31">
        <f>IF($A86="","",IF($H86="TBA-001",IF($D86="Evet",ROUND($C86*tba_oranBesPuan,2),0),IF($H86="TBA-002",IF($E86="Evet",ROUND($C86*tba_oranIlave,2),0),IF($H86="TBA-004",IF($F86="Evet",ROUND($C86*tba_oranKadinGenc,2),0),IF($H86="TBA-ENG",IF($G86="Evet",ROUND($C86*tba_isverenOran,2),0),0)))))</f>
        <v/>
      </c>
      <c r="L86" s="31">
        <f>IF($A86="","",MAX(0,$J86-$K86))</f>
        <v/>
      </c>
    </row>
    <row r="87">
      <c r="I87" s="31">
        <f>IF($A87="","",IF($J87=0,"YOK",IF(AND($E87="Evet",ROUND($C87*tba_oranIlave,2)=$J87),"TBA-002",IF(AND($D87="Evet",ROUND($C87*tba_oranBesPuan,2)=$J87),"TBA-001",IF(AND($F87="Evet",ROUND($C87*tba_oranKadinGenc,2)=$J87),"TBA-004","TBA-ENG")))))</f>
        <v/>
      </c>
      <c r="J87" s="31">
        <f>IF($A87="","",MAX(IF($D87="Evet",ROUND($C87*tba_oranBesPuan,2),0),IF($E87="Evet",ROUND($C87*tba_oranIlave,2),0),IF($F87="Evet",ROUND($C87*tba_oranKadinGenc,2),0),IF($G87="Evet",ROUND($C87*tba_isverenOran,2),0)))</f>
        <v/>
      </c>
      <c r="K87" s="31">
        <f>IF($A87="","",IF($H87="TBA-001",IF($D87="Evet",ROUND($C87*tba_oranBesPuan,2),0),IF($H87="TBA-002",IF($E87="Evet",ROUND($C87*tba_oranIlave,2),0),IF($H87="TBA-004",IF($F87="Evet",ROUND($C87*tba_oranKadinGenc,2),0),IF($H87="TBA-ENG",IF($G87="Evet",ROUND($C87*tba_isverenOran,2),0),0)))))</f>
        <v/>
      </c>
      <c r="L87" s="31">
        <f>IF($A87="","",MAX(0,$J87-$K87))</f>
        <v/>
      </c>
    </row>
    <row r="88">
      <c r="I88" s="31">
        <f>IF($A88="","",IF($J88=0,"YOK",IF(AND($E88="Evet",ROUND($C88*tba_oranIlave,2)=$J88),"TBA-002",IF(AND($D88="Evet",ROUND($C88*tba_oranBesPuan,2)=$J88),"TBA-001",IF(AND($F88="Evet",ROUND($C88*tba_oranKadinGenc,2)=$J88),"TBA-004","TBA-ENG")))))</f>
        <v/>
      </c>
      <c r="J88" s="31">
        <f>IF($A88="","",MAX(IF($D88="Evet",ROUND($C88*tba_oranBesPuan,2),0),IF($E88="Evet",ROUND($C88*tba_oranIlave,2),0),IF($F88="Evet",ROUND($C88*tba_oranKadinGenc,2),0),IF($G88="Evet",ROUND($C88*tba_isverenOran,2),0)))</f>
        <v/>
      </c>
      <c r="K88" s="31">
        <f>IF($A88="","",IF($H88="TBA-001",IF($D88="Evet",ROUND($C88*tba_oranBesPuan,2),0),IF($H88="TBA-002",IF($E88="Evet",ROUND($C88*tba_oranIlave,2),0),IF($H88="TBA-004",IF($F88="Evet",ROUND($C88*tba_oranKadinGenc,2),0),IF($H88="TBA-ENG",IF($G88="Evet",ROUND($C88*tba_isverenOran,2),0),0)))))</f>
        <v/>
      </c>
      <c r="L88" s="31">
        <f>IF($A88="","",MAX(0,$J88-$K88))</f>
        <v/>
      </c>
    </row>
    <row r="89">
      <c r="I89" s="31">
        <f>IF($A89="","",IF($J89=0,"YOK",IF(AND($E89="Evet",ROUND($C89*tba_oranIlave,2)=$J89),"TBA-002",IF(AND($D89="Evet",ROUND($C89*tba_oranBesPuan,2)=$J89),"TBA-001",IF(AND($F89="Evet",ROUND($C89*tba_oranKadinGenc,2)=$J89),"TBA-004","TBA-ENG")))))</f>
        <v/>
      </c>
      <c r="J89" s="31">
        <f>IF($A89="","",MAX(IF($D89="Evet",ROUND($C89*tba_oranBesPuan,2),0),IF($E89="Evet",ROUND($C89*tba_oranIlave,2),0),IF($F89="Evet",ROUND($C89*tba_oranKadinGenc,2),0),IF($G89="Evet",ROUND($C89*tba_isverenOran,2),0)))</f>
        <v/>
      </c>
      <c r="K89" s="31">
        <f>IF($A89="","",IF($H89="TBA-001",IF($D89="Evet",ROUND($C89*tba_oranBesPuan,2),0),IF($H89="TBA-002",IF($E89="Evet",ROUND($C89*tba_oranIlave,2),0),IF($H89="TBA-004",IF($F89="Evet",ROUND($C89*tba_oranKadinGenc,2),0),IF($H89="TBA-ENG",IF($G89="Evet",ROUND($C89*tba_isverenOran,2),0),0)))))</f>
        <v/>
      </c>
      <c r="L89" s="31">
        <f>IF($A89="","",MAX(0,$J89-$K89))</f>
        <v/>
      </c>
    </row>
    <row r="90">
      <c r="I90" s="31">
        <f>IF($A90="","",IF($J90=0,"YOK",IF(AND($E90="Evet",ROUND($C90*tba_oranIlave,2)=$J90),"TBA-002",IF(AND($D90="Evet",ROUND($C90*tba_oranBesPuan,2)=$J90),"TBA-001",IF(AND($F90="Evet",ROUND($C90*tba_oranKadinGenc,2)=$J90),"TBA-004","TBA-ENG")))))</f>
        <v/>
      </c>
      <c r="J90" s="31">
        <f>IF($A90="","",MAX(IF($D90="Evet",ROUND($C90*tba_oranBesPuan,2),0),IF($E90="Evet",ROUND($C90*tba_oranIlave,2),0),IF($F90="Evet",ROUND($C90*tba_oranKadinGenc,2),0),IF($G90="Evet",ROUND($C90*tba_isverenOran,2),0)))</f>
        <v/>
      </c>
      <c r="K90" s="31">
        <f>IF($A90="","",IF($H90="TBA-001",IF($D90="Evet",ROUND($C90*tba_oranBesPuan,2),0),IF($H90="TBA-002",IF($E90="Evet",ROUND($C90*tba_oranIlave,2),0),IF($H90="TBA-004",IF($F90="Evet",ROUND($C90*tba_oranKadinGenc,2),0),IF($H90="TBA-ENG",IF($G90="Evet",ROUND($C90*tba_isverenOran,2),0),0)))))</f>
        <v/>
      </c>
      <c r="L90" s="31">
        <f>IF($A90="","",MAX(0,$J90-$K90))</f>
        <v/>
      </c>
    </row>
    <row r="91">
      <c r="I91" s="31">
        <f>IF($A91="","",IF($J91=0,"YOK",IF(AND($E91="Evet",ROUND($C91*tba_oranIlave,2)=$J91),"TBA-002",IF(AND($D91="Evet",ROUND($C91*tba_oranBesPuan,2)=$J91),"TBA-001",IF(AND($F91="Evet",ROUND($C91*tba_oranKadinGenc,2)=$J91),"TBA-004","TBA-ENG")))))</f>
        <v/>
      </c>
      <c r="J91" s="31">
        <f>IF($A91="","",MAX(IF($D91="Evet",ROUND($C91*tba_oranBesPuan,2),0),IF($E91="Evet",ROUND($C91*tba_oranIlave,2),0),IF($F91="Evet",ROUND($C91*tba_oranKadinGenc,2),0),IF($G91="Evet",ROUND($C91*tba_isverenOran,2),0)))</f>
        <v/>
      </c>
      <c r="K91" s="31">
        <f>IF($A91="","",IF($H91="TBA-001",IF($D91="Evet",ROUND($C91*tba_oranBesPuan,2),0),IF($H91="TBA-002",IF($E91="Evet",ROUND($C91*tba_oranIlave,2),0),IF($H91="TBA-004",IF($F91="Evet",ROUND($C91*tba_oranKadinGenc,2),0),IF($H91="TBA-ENG",IF($G91="Evet",ROUND($C91*tba_isverenOran,2),0),0)))))</f>
        <v/>
      </c>
      <c r="L91" s="31">
        <f>IF($A91="","",MAX(0,$J91-$K91))</f>
        <v/>
      </c>
    </row>
    <row r="92">
      <c r="I92" s="31">
        <f>IF($A92="","",IF($J92=0,"YOK",IF(AND($E92="Evet",ROUND($C92*tba_oranIlave,2)=$J92),"TBA-002",IF(AND($D92="Evet",ROUND($C92*tba_oranBesPuan,2)=$J92),"TBA-001",IF(AND($F92="Evet",ROUND($C92*tba_oranKadinGenc,2)=$J92),"TBA-004","TBA-ENG")))))</f>
        <v/>
      </c>
      <c r="J92" s="31">
        <f>IF($A92="","",MAX(IF($D92="Evet",ROUND($C92*tba_oranBesPuan,2),0),IF($E92="Evet",ROUND($C92*tba_oranIlave,2),0),IF($F92="Evet",ROUND($C92*tba_oranKadinGenc,2),0),IF($G92="Evet",ROUND($C92*tba_isverenOran,2),0)))</f>
        <v/>
      </c>
      <c r="K92" s="31">
        <f>IF($A92="","",IF($H92="TBA-001",IF($D92="Evet",ROUND($C92*tba_oranBesPuan,2),0),IF($H92="TBA-002",IF($E92="Evet",ROUND($C92*tba_oranIlave,2),0),IF($H92="TBA-004",IF($F92="Evet",ROUND($C92*tba_oranKadinGenc,2),0),IF($H92="TBA-ENG",IF($G92="Evet",ROUND($C92*tba_isverenOran,2),0),0)))))</f>
        <v/>
      </c>
      <c r="L92" s="31">
        <f>IF($A92="","",MAX(0,$J92-$K92))</f>
        <v/>
      </c>
    </row>
    <row r="93">
      <c r="I93" s="31">
        <f>IF($A93="","",IF($J93=0,"YOK",IF(AND($E93="Evet",ROUND($C93*tba_oranIlave,2)=$J93),"TBA-002",IF(AND($D93="Evet",ROUND($C93*tba_oranBesPuan,2)=$J93),"TBA-001",IF(AND($F93="Evet",ROUND($C93*tba_oranKadinGenc,2)=$J93),"TBA-004","TBA-ENG")))))</f>
        <v/>
      </c>
      <c r="J93" s="31">
        <f>IF($A93="","",MAX(IF($D93="Evet",ROUND($C93*tba_oranBesPuan,2),0),IF($E93="Evet",ROUND($C93*tba_oranIlave,2),0),IF($F93="Evet",ROUND($C93*tba_oranKadinGenc,2),0),IF($G93="Evet",ROUND($C93*tba_isverenOran,2),0)))</f>
        <v/>
      </c>
      <c r="K93" s="31">
        <f>IF($A93="","",IF($H93="TBA-001",IF($D93="Evet",ROUND($C93*tba_oranBesPuan,2),0),IF($H93="TBA-002",IF($E93="Evet",ROUND($C93*tba_oranIlave,2),0),IF($H93="TBA-004",IF($F93="Evet",ROUND($C93*tba_oranKadinGenc,2),0),IF($H93="TBA-ENG",IF($G93="Evet",ROUND($C93*tba_isverenOran,2),0),0)))))</f>
        <v/>
      </c>
      <c r="L93" s="31">
        <f>IF($A93="","",MAX(0,$J93-$K93))</f>
        <v/>
      </c>
    </row>
    <row r="94">
      <c r="I94" s="31">
        <f>IF($A94="","",IF($J94=0,"YOK",IF(AND($E94="Evet",ROUND($C94*tba_oranIlave,2)=$J94),"TBA-002",IF(AND($D94="Evet",ROUND($C94*tba_oranBesPuan,2)=$J94),"TBA-001",IF(AND($F94="Evet",ROUND($C94*tba_oranKadinGenc,2)=$J94),"TBA-004","TBA-ENG")))))</f>
        <v/>
      </c>
      <c r="J94" s="31">
        <f>IF($A94="","",MAX(IF($D94="Evet",ROUND($C94*tba_oranBesPuan,2),0),IF($E94="Evet",ROUND($C94*tba_oranIlave,2),0),IF($F94="Evet",ROUND($C94*tba_oranKadinGenc,2),0),IF($G94="Evet",ROUND($C94*tba_isverenOran,2),0)))</f>
        <v/>
      </c>
      <c r="K94" s="31">
        <f>IF($A94="","",IF($H94="TBA-001",IF($D94="Evet",ROUND($C94*tba_oranBesPuan,2),0),IF($H94="TBA-002",IF($E94="Evet",ROUND($C94*tba_oranIlave,2),0),IF($H94="TBA-004",IF($F94="Evet",ROUND($C94*tba_oranKadinGenc,2),0),IF($H94="TBA-ENG",IF($G94="Evet",ROUND($C94*tba_isverenOran,2),0),0)))))</f>
        <v/>
      </c>
      <c r="L94" s="31">
        <f>IF($A94="","",MAX(0,$J94-$K94))</f>
        <v/>
      </c>
    </row>
    <row r="95">
      <c r="I95" s="31">
        <f>IF($A95="","",IF($J95=0,"YOK",IF(AND($E95="Evet",ROUND($C95*tba_oranIlave,2)=$J95),"TBA-002",IF(AND($D95="Evet",ROUND($C95*tba_oranBesPuan,2)=$J95),"TBA-001",IF(AND($F95="Evet",ROUND($C95*tba_oranKadinGenc,2)=$J95),"TBA-004","TBA-ENG")))))</f>
        <v/>
      </c>
      <c r="J95" s="31">
        <f>IF($A95="","",MAX(IF($D95="Evet",ROUND($C95*tba_oranBesPuan,2),0),IF($E95="Evet",ROUND($C95*tba_oranIlave,2),0),IF($F95="Evet",ROUND($C95*tba_oranKadinGenc,2),0),IF($G95="Evet",ROUND($C95*tba_isverenOran,2),0)))</f>
        <v/>
      </c>
      <c r="K95" s="31">
        <f>IF($A95="","",IF($H95="TBA-001",IF($D95="Evet",ROUND($C95*tba_oranBesPuan,2),0),IF($H95="TBA-002",IF($E95="Evet",ROUND($C95*tba_oranIlave,2),0),IF($H95="TBA-004",IF($F95="Evet",ROUND($C95*tba_oranKadinGenc,2),0),IF($H95="TBA-ENG",IF($G95="Evet",ROUND($C95*tba_isverenOran,2),0),0)))))</f>
        <v/>
      </c>
      <c r="L95" s="31">
        <f>IF($A95="","",MAX(0,$J95-$K95))</f>
        <v/>
      </c>
    </row>
    <row r="96">
      <c r="I96" s="31">
        <f>IF($A96="","",IF($J96=0,"YOK",IF(AND($E96="Evet",ROUND($C96*tba_oranIlave,2)=$J96),"TBA-002",IF(AND($D96="Evet",ROUND($C96*tba_oranBesPuan,2)=$J96),"TBA-001",IF(AND($F96="Evet",ROUND($C96*tba_oranKadinGenc,2)=$J96),"TBA-004","TBA-ENG")))))</f>
        <v/>
      </c>
      <c r="J96" s="31">
        <f>IF($A96="","",MAX(IF($D96="Evet",ROUND($C96*tba_oranBesPuan,2),0),IF($E96="Evet",ROUND($C96*tba_oranIlave,2),0),IF($F96="Evet",ROUND($C96*tba_oranKadinGenc,2),0),IF($G96="Evet",ROUND($C96*tba_isverenOran,2),0)))</f>
        <v/>
      </c>
      <c r="K96" s="31">
        <f>IF($A96="","",IF($H96="TBA-001",IF($D96="Evet",ROUND($C96*tba_oranBesPuan,2),0),IF($H96="TBA-002",IF($E96="Evet",ROUND($C96*tba_oranIlave,2),0),IF($H96="TBA-004",IF($F96="Evet",ROUND($C96*tba_oranKadinGenc,2),0),IF($H96="TBA-ENG",IF($G96="Evet",ROUND($C96*tba_isverenOran,2),0),0)))))</f>
        <v/>
      </c>
      <c r="L96" s="31">
        <f>IF($A96="","",MAX(0,$J96-$K96))</f>
        <v/>
      </c>
    </row>
    <row r="97">
      <c r="I97" s="31">
        <f>IF($A97="","",IF($J97=0,"YOK",IF(AND($E97="Evet",ROUND($C97*tba_oranIlave,2)=$J97),"TBA-002",IF(AND($D97="Evet",ROUND($C97*tba_oranBesPuan,2)=$J97),"TBA-001",IF(AND($F97="Evet",ROUND($C97*tba_oranKadinGenc,2)=$J97),"TBA-004","TBA-ENG")))))</f>
        <v/>
      </c>
      <c r="J97" s="31">
        <f>IF($A97="","",MAX(IF($D97="Evet",ROUND($C97*tba_oranBesPuan,2),0),IF($E97="Evet",ROUND($C97*tba_oranIlave,2),0),IF($F97="Evet",ROUND($C97*tba_oranKadinGenc,2),0),IF($G97="Evet",ROUND($C97*tba_isverenOran,2),0)))</f>
        <v/>
      </c>
      <c r="K97" s="31">
        <f>IF($A97="","",IF($H97="TBA-001",IF($D97="Evet",ROUND($C97*tba_oranBesPuan,2),0),IF($H97="TBA-002",IF($E97="Evet",ROUND($C97*tba_oranIlave,2),0),IF($H97="TBA-004",IF($F97="Evet",ROUND($C97*tba_oranKadinGenc,2),0),IF($H97="TBA-ENG",IF($G97="Evet",ROUND($C97*tba_isverenOran,2),0),0)))))</f>
        <v/>
      </c>
      <c r="L97" s="31">
        <f>IF($A97="","",MAX(0,$J97-$K97))</f>
        <v/>
      </c>
    </row>
    <row r="98">
      <c r="I98" s="31">
        <f>IF($A98="","",IF($J98=0,"YOK",IF(AND($E98="Evet",ROUND($C98*tba_oranIlave,2)=$J98),"TBA-002",IF(AND($D98="Evet",ROUND($C98*tba_oranBesPuan,2)=$J98),"TBA-001",IF(AND($F98="Evet",ROUND($C98*tba_oranKadinGenc,2)=$J98),"TBA-004","TBA-ENG")))))</f>
        <v/>
      </c>
      <c r="J98" s="31">
        <f>IF($A98="","",MAX(IF($D98="Evet",ROUND($C98*tba_oranBesPuan,2),0),IF($E98="Evet",ROUND($C98*tba_oranIlave,2),0),IF($F98="Evet",ROUND($C98*tba_oranKadinGenc,2),0),IF($G98="Evet",ROUND($C98*tba_isverenOran,2),0)))</f>
        <v/>
      </c>
      <c r="K98" s="31">
        <f>IF($A98="","",IF($H98="TBA-001",IF($D98="Evet",ROUND($C98*tba_oranBesPuan,2),0),IF($H98="TBA-002",IF($E98="Evet",ROUND($C98*tba_oranIlave,2),0),IF($H98="TBA-004",IF($F98="Evet",ROUND($C98*tba_oranKadinGenc,2),0),IF($H98="TBA-ENG",IF($G98="Evet",ROUND($C98*tba_isverenOran,2),0),0)))))</f>
        <v/>
      </c>
      <c r="L98" s="31">
        <f>IF($A98="","",MAX(0,$J98-$K98))</f>
        <v/>
      </c>
    </row>
    <row r="99">
      <c r="I99" s="31">
        <f>IF($A99="","",IF($J99=0,"YOK",IF(AND($E99="Evet",ROUND($C99*tba_oranIlave,2)=$J99),"TBA-002",IF(AND($D99="Evet",ROUND($C99*tba_oranBesPuan,2)=$J99),"TBA-001",IF(AND($F99="Evet",ROUND($C99*tba_oranKadinGenc,2)=$J99),"TBA-004","TBA-ENG")))))</f>
        <v/>
      </c>
      <c r="J99" s="31">
        <f>IF($A99="","",MAX(IF($D99="Evet",ROUND($C99*tba_oranBesPuan,2),0),IF($E99="Evet",ROUND($C99*tba_oranIlave,2),0),IF($F99="Evet",ROUND($C99*tba_oranKadinGenc,2),0),IF($G99="Evet",ROUND($C99*tba_isverenOran,2),0)))</f>
        <v/>
      </c>
      <c r="K99" s="31">
        <f>IF($A99="","",IF($H99="TBA-001",IF($D99="Evet",ROUND($C99*tba_oranBesPuan,2),0),IF($H99="TBA-002",IF($E99="Evet",ROUND($C99*tba_oranIlave,2),0),IF($H99="TBA-004",IF($F99="Evet",ROUND($C99*tba_oranKadinGenc,2),0),IF($H99="TBA-ENG",IF($G99="Evet",ROUND($C99*tba_isverenOran,2),0),0)))))</f>
        <v/>
      </c>
      <c r="L99" s="31">
        <f>IF($A99="","",MAX(0,$J99-$K99))</f>
        <v/>
      </c>
    </row>
    <row r="100">
      <c r="I100" s="31">
        <f>IF($A100="","",IF($J100=0,"YOK",IF(AND($E100="Evet",ROUND($C100*tba_oranIlave,2)=$J100),"TBA-002",IF(AND($D100="Evet",ROUND($C100*tba_oranBesPuan,2)=$J100),"TBA-001",IF(AND($F100="Evet",ROUND($C100*tba_oranKadinGenc,2)=$J100),"TBA-004","TBA-ENG")))))</f>
        <v/>
      </c>
      <c r="J100" s="31">
        <f>IF($A100="","",MAX(IF($D100="Evet",ROUND($C100*tba_oranBesPuan,2),0),IF($E100="Evet",ROUND($C100*tba_oranIlave,2),0),IF($F100="Evet",ROUND($C100*tba_oranKadinGenc,2),0),IF($G100="Evet",ROUND($C100*tba_isverenOran,2),0)))</f>
        <v/>
      </c>
      <c r="K100" s="31">
        <f>IF($A100="","",IF($H100="TBA-001",IF($D100="Evet",ROUND($C100*tba_oranBesPuan,2),0),IF($H100="TBA-002",IF($E100="Evet",ROUND($C100*tba_oranIlave,2),0),IF($H100="TBA-004",IF($F100="Evet",ROUND($C100*tba_oranKadinGenc,2),0),IF($H100="TBA-ENG",IF($G100="Evet",ROUND($C100*tba_isverenOran,2),0),0)))))</f>
        <v/>
      </c>
      <c r="L100" s="31">
        <f>IF($A100="","",MAX(0,$J100-$K100))</f>
        <v/>
      </c>
    </row>
    <row r="101">
      <c r="I101" s="31">
        <f>IF($A101="","",IF($J101=0,"YOK",IF(AND($E101="Evet",ROUND($C101*tba_oranIlave,2)=$J101),"TBA-002",IF(AND($D101="Evet",ROUND($C101*tba_oranBesPuan,2)=$J101),"TBA-001",IF(AND($F101="Evet",ROUND($C101*tba_oranKadinGenc,2)=$J101),"TBA-004","TBA-ENG")))))</f>
        <v/>
      </c>
      <c r="J101" s="31">
        <f>IF($A101="","",MAX(IF($D101="Evet",ROUND($C101*tba_oranBesPuan,2),0),IF($E101="Evet",ROUND($C101*tba_oranIlave,2),0),IF($F101="Evet",ROUND($C101*tba_oranKadinGenc,2),0),IF($G101="Evet",ROUND($C101*tba_isverenOran,2),0)))</f>
        <v/>
      </c>
      <c r="K101" s="31">
        <f>IF($A101="","",IF($H101="TBA-001",IF($D101="Evet",ROUND($C101*tba_oranBesPuan,2),0),IF($H101="TBA-002",IF($E101="Evet",ROUND($C101*tba_oranIlave,2),0),IF($H101="TBA-004",IF($F101="Evet",ROUND($C101*tba_oranKadinGenc,2),0),IF($H101="TBA-ENG",IF($G101="Evet",ROUND($C101*tba_isverenOran,2),0),0)))))</f>
        <v/>
      </c>
      <c r="L101" s="31">
        <f>IF($A101="","",MAX(0,$J101-$K101))</f>
        <v/>
      </c>
    </row>
    <row r="102">
      <c r="I102" s="31">
        <f>IF($A102="","",IF($J102=0,"YOK",IF(AND($E102="Evet",ROUND($C102*tba_oranIlave,2)=$J102),"TBA-002",IF(AND($D102="Evet",ROUND($C102*tba_oranBesPuan,2)=$J102),"TBA-001",IF(AND($F102="Evet",ROUND($C102*tba_oranKadinGenc,2)=$J102),"TBA-004","TBA-ENG")))))</f>
        <v/>
      </c>
      <c r="J102" s="31">
        <f>IF($A102="","",MAX(IF($D102="Evet",ROUND($C102*tba_oranBesPuan,2),0),IF($E102="Evet",ROUND($C102*tba_oranIlave,2),0),IF($F102="Evet",ROUND($C102*tba_oranKadinGenc,2),0),IF($G102="Evet",ROUND($C102*tba_isverenOran,2),0)))</f>
        <v/>
      </c>
      <c r="K102" s="31">
        <f>IF($A102="","",IF($H102="TBA-001",IF($D102="Evet",ROUND($C102*tba_oranBesPuan,2),0),IF($H102="TBA-002",IF($E102="Evet",ROUND($C102*tba_oranIlave,2),0),IF($H102="TBA-004",IF($F102="Evet",ROUND($C102*tba_oranKadinGenc,2),0),IF($H102="TBA-ENG",IF($G102="Evet",ROUND($C102*tba_isverenOran,2),0),0)))))</f>
        <v/>
      </c>
      <c r="L102" s="31">
        <f>IF($A102="","",MAX(0,$J102-$K102))</f>
        <v/>
      </c>
    </row>
    <row r="103">
      <c r="I103" s="31">
        <f>IF($A103="","",IF($J103=0,"YOK",IF(AND($E103="Evet",ROUND($C103*tba_oranIlave,2)=$J103),"TBA-002",IF(AND($D103="Evet",ROUND($C103*tba_oranBesPuan,2)=$J103),"TBA-001",IF(AND($F103="Evet",ROUND($C103*tba_oranKadinGenc,2)=$J103),"TBA-004","TBA-ENG")))))</f>
        <v/>
      </c>
      <c r="J103" s="31">
        <f>IF($A103="","",MAX(IF($D103="Evet",ROUND($C103*tba_oranBesPuan,2),0),IF($E103="Evet",ROUND($C103*tba_oranIlave,2),0),IF($F103="Evet",ROUND($C103*tba_oranKadinGenc,2),0),IF($G103="Evet",ROUND($C103*tba_isverenOran,2),0)))</f>
        <v/>
      </c>
      <c r="K103" s="31">
        <f>IF($A103="","",IF($H103="TBA-001",IF($D103="Evet",ROUND($C103*tba_oranBesPuan,2),0),IF($H103="TBA-002",IF($E103="Evet",ROUND($C103*tba_oranIlave,2),0),IF($H103="TBA-004",IF($F103="Evet",ROUND($C103*tba_oranKadinGenc,2),0),IF($H103="TBA-ENG",IF($G103="Evet",ROUND($C103*tba_isverenOran,2),0),0)))))</f>
        <v/>
      </c>
      <c r="L103" s="31">
        <f>IF($A103="","",MAX(0,$J103-$K103))</f>
        <v/>
      </c>
    </row>
    <row r="104">
      <c r="I104" s="31">
        <f>IF($A104="","",IF($J104=0,"YOK",IF(AND($E104="Evet",ROUND($C104*tba_oranIlave,2)=$J104),"TBA-002",IF(AND($D104="Evet",ROUND($C104*tba_oranBesPuan,2)=$J104),"TBA-001",IF(AND($F104="Evet",ROUND($C104*tba_oranKadinGenc,2)=$J104),"TBA-004","TBA-ENG")))))</f>
        <v/>
      </c>
      <c r="J104" s="31">
        <f>IF($A104="","",MAX(IF($D104="Evet",ROUND($C104*tba_oranBesPuan,2),0),IF($E104="Evet",ROUND($C104*tba_oranIlave,2),0),IF($F104="Evet",ROUND($C104*tba_oranKadinGenc,2),0),IF($G104="Evet",ROUND($C104*tba_isverenOran,2),0)))</f>
        <v/>
      </c>
      <c r="K104" s="31">
        <f>IF($A104="","",IF($H104="TBA-001",IF($D104="Evet",ROUND($C104*tba_oranBesPuan,2),0),IF($H104="TBA-002",IF($E104="Evet",ROUND($C104*tba_oranIlave,2),0),IF($H104="TBA-004",IF($F104="Evet",ROUND($C104*tba_oranKadinGenc,2),0),IF($H104="TBA-ENG",IF($G104="Evet",ROUND($C104*tba_isverenOran,2),0),0)))))</f>
        <v/>
      </c>
      <c r="L104" s="31">
        <f>IF($A104="","",MAX(0,$J104-$K104))</f>
        <v/>
      </c>
    </row>
    <row r="105">
      <c r="I105" s="31">
        <f>IF($A105="","",IF($J105=0,"YOK",IF(AND($E105="Evet",ROUND($C105*tba_oranIlave,2)=$J105),"TBA-002",IF(AND($D105="Evet",ROUND($C105*tba_oranBesPuan,2)=$J105),"TBA-001",IF(AND($F105="Evet",ROUND($C105*tba_oranKadinGenc,2)=$J105),"TBA-004","TBA-ENG")))))</f>
        <v/>
      </c>
      <c r="J105" s="31">
        <f>IF($A105="","",MAX(IF($D105="Evet",ROUND($C105*tba_oranBesPuan,2),0),IF($E105="Evet",ROUND($C105*tba_oranIlave,2),0),IF($F105="Evet",ROUND($C105*tba_oranKadinGenc,2),0),IF($G105="Evet",ROUND($C105*tba_isverenOran,2),0)))</f>
        <v/>
      </c>
      <c r="K105" s="31">
        <f>IF($A105="","",IF($H105="TBA-001",IF($D105="Evet",ROUND($C105*tba_oranBesPuan,2),0),IF($H105="TBA-002",IF($E105="Evet",ROUND($C105*tba_oranIlave,2),0),IF($H105="TBA-004",IF($F105="Evet",ROUND($C105*tba_oranKadinGenc,2),0),IF($H105="TBA-ENG",IF($G105="Evet",ROUND($C105*tba_isverenOran,2),0),0)))))</f>
        <v/>
      </c>
      <c r="L105" s="31">
        <f>IF($A105="","",MAX(0,$J105-$K105))</f>
        <v/>
      </c>
    </row>
    <row r="106">
      <c r="I106" s="31">
        <f>IF($A106="","",IF($J106=0,"YOK",IF(AND($E106="Evet",ROUND($C106*tba_oranIlave,2)=$J106),"TBA-002",IF(AND($D106="Evet",ROUND($C106*tba_oranBesPuan,2)=$J106),"TBA-001",IF(AND($F106="Evet",ROUND($C106*tba_oranKadinGenc,2)=$J106),"TBA-004","TBA-ENG")))))</f>
        <v/>
      </c>
      <c r="J106" s="31">
        <f>IF($A106="","",MAX(IF($D106="Evet",ROUND($C106*tba_oranBesPuan,2),0),IF($E106="Evet",ROUND($C106*tba_oranIlave,2),0),IF($F106="Evet",ROUND($C106*tba_oranKadinGenc,2),0),IF($G106="Evet",ROUND($C106*tba_isverenOran,2),0)))</f>
        <v/>
      </c>
      <c r="K106" s="31">
        <f>IF($A106="","",IF($H106="TBA-001",IF($D106="Evet",ROUND($C106*tba_oranBesPuan,2),0),IF($H106="TBA-002",IF($E106="Evet",ROUND($C106*tba_oranIlave,2),0),IF($H106="TBA-004",IF($F106="Evet",ROUND($C106*tba_oranKadinGenc,2),0),IF($H106="TBA-ENG",IF($G106="Evet",ROUND($C106*tba_isverenOran,2),0),0)))))</f>
        <v/>
      </c>
      <c r="L106" s="31">
        <f>IF($A106="","",MAX(0,$J106-$K106))</f>
        <v/>
      </c>
    </row>
    <row r="107">
      <c r="I107" s="31">
        <f>IF($A107="","",IF($J107=0,"YOK",IF(AND($E107="Evet",ROUND($C107*tba_oranIlave,2)=$J107),"TBA-002",IF(AND($D107="Evet",ROUND($C107*tba_oranBesPuan,2)=$J107),"TBA-001",IF(AND($F107="Evet",ROUND($C107*tba_oranKadinGenc,2)=$J107),"TBA-004","TBA-ENG")))))</f>
        <v/>
      </c>
      <c r="J107" s="31">
        <f>IF($A107="","",MAX(IF($D107="Evet",ROUND($C107*tba_oranBesPuan,2),0),IF($E107="Evet",ROUND($C107*tba_oranIlave,2),0),IF($F107="Evet",ROUND($C107*tba_oranKadinGenc,2),0),IF($G107="Evet",ROUND($C107*tba_isverenOran,2),0)))</f>
        <v/>
      </c>
      <c r="K107" s="31">
        <f>IF($A107="","",IF($H107="TBA-001",IF($D107="Evet",ROUND($C107*tba_oranBesPuan,2),0),IF($H107="TBA-002",IF($E107="Evet",ROUND($C107*tba_oranIlave,2),0),IF($H107="TBA-004",IF($F107="Evet",ROUND($C107*tba_oranKadinGenc,2),0),IF($H107="TBA-ENG",IF($G107="Evet",ROUND($C107*tba_isverenOran,2),0),0)))))</f>
        <v/>
      </c>
      <c r="L107" s="31">
        <f>IF($A107="","",MAX(0,$J107-$K107))</f>
        <v/>
      </c>
    </row>
    <row r="108">
      <c r="I108" s="31">
        <f>IF($A108="","",IF($J108=0,"YOK",IF(AND($E108="Evet",ROUND($C108*tba_oranIlave,2)=$J108),"TBA-002",IF(AND($D108="Evet",ROUND($C108*tba_oranBesPuan,2)=$J108),"TBA-001",IF(AND($F108="Evet",ROUND($C108*tba_oranKadinGenc,2)=$J108),"TBA-004","TBA-ENG")))))</f>
        <v/>
      </c>
      <c r="J108" s="31">
        <f>IF($A108="","",MAX(IF($D108="Evet",ROUND($C108*tba_oranBesPuan,2),0),IF($E108="Evet",ROUND($C108*tba_oranIlave,2),0),IF($F108="Evet",ROUND($C108*tba_oranKadinGenc,2),0),IF($G108="Evet",ROUND($C108*tba_isverenOran,2),0)))</f>
        <v/>
      </c>
      <c r="K108" s="31">
        <f>IF($A108="","",IF($H108="TBA-001",IF($D108="Evet",ROUND($C108*tba_oranBesPuan,2),0),IF($H108="TBA-002",IF($E108="Evet",ROUND($C108*tba_oranIlave,2),0),IF($H108="TBA-004",IF($F108="Evet",ROUND($C108*tba_oranKadinGenc,2),0),IF($H108="TBA-ENG",IF($G108="Evet",ROUND($C108*tba_isverenOran,2),0),0)))))</f>
        <v/>
      </c>
      <c r="L108" s="31">
        <f>IF($A108="","",MAX(0,$J108-$K108))</f>
        <v/>
      </c>
    </row>
    <row r="109">
      <c r="I109" s="31">
        <f>IF($A109="","",IF($J109=0,"YOK",IF(AND($E109="Evet",ROUND($C109*tba_oranIlave,2)=$J109),"TBA-002",IF(AND($D109="Evet",ROUND($C109*tba_oranBesPuan,2)=$J109),"TBA-001",IF(AND($F109="Evet",ROUND($C109*tba_oranKadinGenc,2)=$J109),"TBA-004","TBA-ENG")))))</f>
        <v/>
      </c>
      <c r="J109" s="31">
        <f>IF($A109="","",MAX(IF($D109="Evet",ROUND($C109*tba_oranBesPuan,2),0),IF($E109="Evet",ROUND($C109*tba_oranIlave,2),0),IF($F109="Evet",ROUND($C109*tba_oranKadinGenc,2),0),IF($G109="Evet",ROUND($C109*tba_isverenOran,2),0)))</f>
        <v/>
      </c>
      <c r="K109" s="31">
        <f>IF($A109="","",IF($H109="TBA-001",IF($D109="Evet",ROUND($C109*tba_oranBesPuan,2),0),IF($H109="TBA-002",IF($E109="Evet",ROUND($C109*tba_oranIlave,2),0),IF($H109="TBA-004",IF($F109="Evet",ROUND($C109*tba_oranKadinGenc,2),0),IF($H109="TBA-ENG",IF($G109="Evet",ROUND($C109*tba_isverenOran,2),0),0)))))</f>
        <v/>
      </c>
      <c r="L109" s="31">
        <f>IF($A109="","",MAX(0,$J109-$K109))</f>
        <v/>
      </c>
    </row>
    <row r="110">
      <c r="I110" s="31">
        <f>IF($A110="","",IF($J110=0,"YOK",IF(AND($E110="Evet",ROUND($C110*tba_oranIlave,2)=$J110),"TBA-002",IF(AND($D110="Evet",ROUND($C110*tba_oranBesPuan,2)=$J110),"TBA-001",IF(AND($F110="Evet",ROUND($C110*tba_oranKadinGenc,2)=$J110),"TBA-004","TBA-ENG")))))</f>
        <v/>
      </c>
      <c r="J110" s="31">
        <f>IF($A110="","",MAX(IF($D110="Evet",ROUND($C110*tba_oranBesPuan,2),0),IF($E110="Evet",ROUND($C110*tba_oranIlave,2),0),IF($F110="Evet",ROUND($C110*tba_oranKadinGenc,2),0),IF($G110="Evet",ROUND($C110*tba_isverenOran,2),0)))</f>
        <v/>
      </c>
      <c r="K110" s="31">
        <f>IF($A110="","",IF($H110="TBA-001",IF($D110="Evet",ROUND($C110*tba_oranBesPuan,2),0),IF($H110="TBA-002",IF($E110="Evet",ROUND($C110*tba_oranIlave,2),0),IF($H110="TBA-004",IF($F110="Evet",ROUND($C110*tba_oranKadinGenc,2),0),IF($H110="TBA-ENG",IF($G110="Evet",ROUND($C110*tba_isverenOran,2),0),0)))))</f>
        <v/>
      </c>
      <c r="L110" s="31">
        <f>IF($A110="","",MAX(0,$J110-$K110))</f>
        <v/>
      </c>
    </row>
    <row r="111">
      <c r="I111" s="31">
        <f>IF($A111="","",IF($J111=0,"YOK",IF(AND($E111="Evet",ROUND($C111*tba_oranIlave,2)=$J111),"TBA-002",IF(AND($D111="Evet",ROUND($C111*tba_oranBesPuan,2)=$J111),"TBA-001",IF(AND($F111="Evet",ROUND($C111*tba_oranKadinGenc,2)=$J111),"TBA-004","TBA-ENG")))))</f>
        <v/>
      </c>
      <c r="J111" s="31">
        <f>IF($A111="","",MAX(IF($D111="Evet",ROUND($C111*tba_oranBesPuan,2),0),IF($E111="Evet",ROUND($C111*tba_oranIlave,2),0),IF($F111="Evet",ROUND($C111*tba_oranKadinGenc,2),0),IF($G111="Evet",ROUND($C111*tba_isverenOran,2),0)))</f>
        <v/>
      </c>
      <c r="K111" s="31">
        <f>IF($A111="","",IF($H111="TBA-001",IF($D111="Evet",ROUND($C111*tba_oranBesPuan,2),0),IF($H111="TBA-002",IF($E111="Evet",ROUND($C111*tba_oranIlave,2),0),IF($H111="TBA-004",IF($F111="Evet",ROUND($C111*tba_oranKadinGenc,2),0),IF($H111="TBA-ENG",IF($G111="Evet",ROUND($C111*tba_isverenOran,2),0),0)))))</f>
        <v/>
      </c>
      <c r="L111" s="31">
        <f>IF($A111="","",MAX(0,$J111-$K111))</f>
        <v/>
      </c>
    </row>
    <row r="112">
      <c r="I112" s="31">
        <f>IF($A112="","",IF($J112=0,"YOK",IF(AND($E112="Evet",ROUND($C112*tba_oranIlave,2)=$J112),"TBA-002",IF(AND($D112="Evet",ROUND($C112*tba_oranBesPuan,2)=$J112),"TBA-001",IF(AND($F112="Evet",ROUND($C112*tba_oranKadinGenc,2)=$J112),"TBA-004","TBA-ENG")))))</f>
        <v/>
      </c>
      <c r="J112" s="31">
        <f>IF($A112="","",MAX(IF($D112="Evet",ROUND($C112*tba_oranBesPuan,2),0),IF($E112="Evet",ROUND($C112*tba_oranIlave,2),0),IF($F112="Evet",ROUND($C112*tba_oranKadinGenc,2),0),IF($G112="Evet",ROUND($C112*tba_isverenOran,2),0)))</f>
        <v/>
      </c>
      <c r="K112" s="31">
        <f>IF($A112="","",IF($H112="TBA-001",IF($D112="Evet",ROUND($C112*tba_oranBesPuan,2),0),IF($H112="TBA-002",IF($E112="Evet",ROUND($C112*tba_oranIlave,2),0),IF($H112="TBA-004",IF($F112="Evet",ROUND($C112*tba_oranKadinGenc,2),0),IF($H112="TBA-ENG",IF($G112="Evet",ROUND($C112*tba_isverenOran,2),0),0)))))</f>
        <v/>
      </c>
      <c r="L112" s="31">
        <f>IF($A112="","",MAX(0,$J112-$K112))</f>
        <v/>
      </c>
    </row>
    <row r="113">
      <c r="I113" s="31">
        <f>IF($A113="","",IF($J113=0,"YOK",IF(AND($E113="Evet",ROUND($C113*tba_oranIlave,2)=$J113),"TBA-002",IF(AND($D113="Evet",ROUND($C113*tba_oranBesPuan,2)=$J113),"TBA-001",IF(AND($F113="Evet",ROUND($C113*tba_oranKadinGenc,2)=$J113),"TBA-004","TBA-ENG")))))</f>
        <v/>
      </c>
      <c r="J113" s="31">
        <f>IF($A113="","",MAX(IF($D113="Evet",ROUND($C113*tba_oranBesPuan,2),0),IF($E113="Evet",ROUND($C113*tba_oranIlave,2),0),IF($F113="Evet",ROUND($C113*tba_oranKadinGenc,2),0),IF($G113="Evet",ROUND($C113*tba_isverenOran,2),0)))</f>
        <v/>
      </c>
      <c r="K113" s="31">
        <f>IF($A113="","",IF($H113="TBA-001",IF($D113="Evet",ROUND($C113*tba_oranBesPuan,2),0),IF($H113="TBA-002",IF($E113="Evet",ROUND($C113*tba_oranIlave,2),0),IF($H113="TBA-004",IF($F113="Evet",ROUND($C113*tba_oranKadinGenc,2),0),IF($H113="TBA-ENG",IF($G113="Evet",ROUND($C113*tba_isverenOran,2),0),0)))))</f>
        <v/>
      </c>
      <c r="L113" s="31">
        <f>IF($A113="","",MAX(0,$J113-$K113))</f>
        <v/>
      </c>
    </row>
    <row r="114">
      <c r="I114" s="31">
        <f>IF($A114="","",IF($J114=0,"YOK",IF(AND($E114="Evet",ROUND($C114*tba_oranIlave,2)=$J114),"TBA-002",IF(AND($D114="Evet",ROUND($C114*tba_oranBesPuan,2)=$J114),"TBA-001",IF(AND($F114="Evet",ROUND($C114*tba_oranKadinGenc,2)=$J114),"TBA-004","TBA-ENG")))))</f>
        <v/>
      </c>
      <c r="J114" s="31">
        <f>IF($A114="","",MAX(IF($D114="Evet",ROUND($C114*tba_oranBesPuan,2),0),IF($E114="Evet",ROUND($C114*tba_oranIlave,2),0),IF($F114="Evet",ROUND($C114*tba_oranKadinGenc,2),0),IF($G114="Evet",ROUND($C114*tba_isverenOran,2),0)))</f>
        <v/>
      </c>
      <c r="K114" s="31">
        <f>IF($A114="","",IF($H114="TBA-001",IF($D114="Evet",ROUND($C114*tba_oranBesPuan,2),0),IF($H114="TBA-002",IF($E114="Evet",ROUND($C114*tba_oranIlave,2),0),IF($H114="TBA-004",IF($F114="Evet",ROUND($C114*tba_oranKadinGenc,2),0),IF($H114="TBA-ENG",IF($G114="Evet",ROUND($C114*tba_isverenOran,2),0),0)))))</f>
        <v/>
      </c>
      <c r="L114" s="31">
        <f>IF($A114="","",MAX(0,$J114-$K114))</f>
        <v/>
      </c>
    </row>
    <row r="115">
      <c r="I115" s="31">
        <f>IF($A115="","",IF($J115=0,"YOK",IF(AND($E115="Evet",ROUND($C115*tba_oranIlave,2)=$J115),"TBA-002",IF(AND($D115="Evet",ROUND($C115*tba_oranBesPuan,2)=$J115),"TBA-001",IF(AND($F115="Evet",ROUND($C115*tba_oranKadinGenc,2)=$J115),"TBA-004","TBA-ENG")))))</f>
        <v/>
      </c>
      <c r="J115" s="31">
        <f>IF($A115="","",MAX(IF($D115="Evet",ROUND($C115*tba_oranBesPuan,2),0),IF($E115="Evet",ROUND($C115*tba_oranIlave,2),0),IF($F115="Evet",ROUND($C115*tba_oranKadinGenc,2),0),IF($G115="Evet",ROUND($C115*tba_isverenOran,2),0)))</f>
        <v/>
      </c>
      <c r="K115" s="31">
        <f>IF($A115="","",IF($H115="TBA-001",IF($D115="Evet",ROUND($C115*tba_oranBesPuan,2),0),IF($H115="TBA-002",IF($E115="Evet",ROUND($C115*tba_oranIlave,2),0),IF($H115="TBA-004",IF($F115="Evet",ROUND($C115*tba_oranKadinGenc,2),0),IF($H115="TBA-ENG",IF($G115="Evet",ROUND($C115*tba_isverenOran,2),0),0)))))</f>
        <v/>
      </c>
      <c r="L115" s="31">
        <f>IF($A115="","",MAX(0,$J115-$K115))</f>
        <v/>
      </c>
    </row>
    <row r="116">
      <c r="I116" s="31">
        <f>IF($A116="","",IF($J116=0,"YOK",IF(AND($E116="Evet",ROUND($C116*tba_oranIlave,2)=$J116),"TBA-002",IF(AND($D116="Evet",ROUND($C116*tba_oranBesPuan,2)=$J116),"TBA-001",IF(AND($F116="Evet",ROUND($C116*tba_oranKadinGenc,2)=$J116),"TBA-004","TBA-ENG")))))</f>
        <v/>
      </c>
      <c r="J116" s="31">
        <f>IF($A116="","",MAX(IF($D116="Evet",ROUND($C116*tba_oranBesPuan,2),0),IF($E116="Evet",ROUND($C116*tba_oranIlave,2),0),IF($F116="Evet",ROUND($C116*tba_oranKadinGenc,2),0),IF($G116="Evet",ROUND($C116*tba_isverenOran,2),0)))</f>
        <v/>
      </c>
      <c r="K116" s="31">
        <f>IF($A116="","",IF($H116="TBA-001",IF($D116="Evet",ROUND($C116*tba_oranBesPuan,2),0),IF($H116="TBA-002",IF($E116="Evet",ROUND($C116*tba_oranIlave,2),0),IF($H116="TBA-004",IF($F116="Evet",ROUND($C116*tba_oranKadinGenc,2),0),IF($H116="TBA-ENG",IF($G116="Evet",ROUND($C116*tba_isverenOran,2),0),0)))))</f>
        <v/>
      </c>
      <c r="L116" s="31">
        <f>IF($A116="","",MAX(0,$J116-$K116))</f>
        <v/>
      </c>
    </row>
    <row r="117">
      <c r="I117" s="31">
        <f>IF($A117="","",IF($J117=0,"YOK",IF(AND($E117="Evet",ROUND($C117*tba_oranIlave,2)=$J117),"TBA-002",IF(AND($D117="Evet",ROUND($C117*tba_oranBesPuan,2)=$J117),"TBA-001",IF(AND($F117="Evet",ROUND($C117*tba_oranKadinGenc,2)=$J117),"TBA-004","TBA-ENG")))))</f>
        <v/>
      </c>
      <c r="J117" s="31">
        <f>IF($A117="","",MAX(IF($D117="Evet",ROUND($C117*tba_oranBesPuan,2),0),IF($E117="Evet",ROUND($C117*tba_oranIlave,2),0),IF($F117="Evet",ROUND($C117*tba_oranKadinGenc,2),0),IF($G117="Evet",ROUND($C117*tba_isverenOran,2),0)))</f>
        <v/>
      </c>
      <c r="K117" s="31">
        <f>IF($A117="","",IF($H117="TBA-001",IF($D117="Evet",ROUND($C117*tba_oranBesPuan,2),0),IF($H117="TBA-002",IF($E117="Evet",ROUND($C117*tba_oranIlave,2),0),IF($H117="TBA-004",IF($F117="Evet",ROUND($C117*tba_oranKadinGenc,2),0),IF($H117="TBA-ENG",IF($G117="Evet",ROUND($C117*tba_isverenOran,2),0),0)))))</f>
        <v/>
      </c>
      <c r="L117" s="31">
        <f>IF($A117="","",MAX(0,$J117-$K117))</f>
        <v/>
      </c>
    </row>
    <row r="118">
      <c r="I118" s="31">
        <f>IF($A118="","",IF($J118=0,"YOK",IF(AND($E118="Evet",ROUND($C118*tba_oranIlave,2)=$J118),"TBA-002",IF(AND($D118="Evet",ROUND($C118*tba_oranBesPuan,2)=$J118),"TBA-001",IF(AND($F118="Evet",ROUND($C118*tba_oranKadinGenc,2)=$J118),"TBA-004","TBA-ENG")))))</f>
        <v/>
      </c>
      <c r="J118" s="31">
        <f>IF($A118="","",MAX(IF($D118="Evet",ROUND($C118*tba_oranBesPuan,2),0),IF($E118="Evet",ROUND($C118*tba_oranIlave,2),0),IF($F118="Evet",ROUND($C118*tba_oranKadinGenc,2),0),IF($G118="Evet",ROUND($C118*tba_isverenOran,2),0)))</f>
        <v/>
      </c>
      <c r="K118" s="31">
        <f>IF($A118="","",IF($H118="TBA-001",IF($D118="Evet",ROUND($C118*tba_oranBesPuan,2),0),IF($H118="TBA-002",IF($E118="Evet",ROUND($C118*tba_oranIlave,2),0),IF($H118="TBA-004",IF($F118="Evet",ROUND($C118*tba_oranKadinGenc,2),0),IF($H118="TBA-ENG",IF($G118="Evet",ROUND($C118*tba_isverenOran,2),0),0)))))</f>
        <v/>
      </c>
      <c r="L118" s="31">
        <f>IF($A118="","",MAX(0,$J118-$K118))</f>
        <v/>
      </c>
    </row>
    <row r="119">
      <c r="I119" s="31">
        <f>IF($A119="","",IF($J119=0,"YOK",IF(AND($E119="Evet",ROUND($C119*tba_oranIlave,2)=$J119),"TBA-002",IF(AND($D119="Evet",ROUND($C119*tba_oranBesPuan,2)=$J119),"TBA-001",IF(AND($F119="Evet",ROUND($C119*tba_oranKadinGenc,2)=$J119),"TBA-004","TBA-ENG")))))</f>
        <v/>
      </c>
      <c r="J119" s="31">
        <f>IF($A119="","",MAX(IF($D119="Evet",ROUND($C119*tba_oranBesPuan,2),0),IF($E119="Evet",ROUND($C119*tba_oranIlave,2),0),IF($F119="Evet",ROUND($C119*tba_oranKadinGenc,2),0),IF($G119="Evet",ROUND($C119*tba_isverenOran,2),0)))</f>
        <v/>
      </c>
      <c r="K119" s="31">
        <f>IF($A119="","",IF($H119="TBA-001",IF($D119="Evet",ROUND($C119*tba_oranBesPuan,2),0),IF($H119="TBA-002",IF($E119="Evet",ROUND($C119*tba_oranIlave,2),0),IF($H119="TBA-004",IF($F119="Evet",ROUND($C119*tba_oranKadinGenc,2),0),IF($H119="TBA-ENG",IF($G119="Evet",ROUND($C119*tba_isverenOran,2),0),0)))))</f>
        <v/>
      </c>
      <c r="L119" s="31">
        <f>IF($A119="","",MAX(0,$J119-$K119))</f>
        <v/>
      </c>
    </row>
    <row r="120">
      <c r="I120" s="31">
        <f>IF($A120="","",IF($J120=0,"YOK",IF(AND($E120="Evet",ROUND($C120*tba_oranIlave,2)=$J120),"TBA-002",IF(AND($D120="Evet",ROUND($C120*tba_oranBesPuan,2)=$J120),"TBA-001",IF(AND($F120="Evet",ROUND($C120*tba_oranKadinGenc,2)=$J120),"TBA-004","TBA-ENG")))))</f>
        <v/>
      </c>
      <c r="J120" s="31">
        <f>IF($A120="","",MAX(IF($D120="Evet",ROUND($C120*tba_oranBesPuan,2),0),IF($E120="Evet",ROUND($C120*tba_oranIlave,2),0),IF($F120="Evet",ROUND($C120*tba_oranKadinGenc,2),0),IF($G120="Evet",ROUND($C120*tba_isverenOran,2),0)))</f>
        <v/>
      </c>
      <c r="K120" s="31">
        <f>IF($A120="","",IF($H120="TBA-001",IF($D120="Evet",ROUND($C120*tba_oranBesPuan,2),0),IF($H120="TBA-002",IF($E120="Evet",ROUND($C120*tba_oranIlave,2),0),IF($H120="TBA-004",IF($F120="Evet",ROUND($C120*tba_oranKadinGenc,2),0),IF($H120="TBA-ENG",IF($G120="Evet",ROUND($C120*tba_isverenOran,2),0),0)))))</f>
        <v/>
      </c>
      <c r="L120" s="31">
        <f>IF($A120="","",MAX(0,$J120-$K120))</f>
        <v/>
      </c>
    </row>
    <row r="121">
      <c r="I121" s="31">
        <f>IF($A121="","",IF($J121=0,"YOK",IF(AND($E121="Evet",ROUND($C121*tba_oranIlave,2)=$J121),"TBA-002",IF(AND($D121="Evet",ROUND($C121*tba_oranBesPuan,2)=$J121),"TBA-001",IF(AND($F121="Evet",ROUND($C121*tba_oranKadinGenc,2)=$J121),"TBA-004","TBA-ENG")))))</f>
        <v/>
      </c>
      <c r="J121" s="31">
        <f>IF($A121="","",MAX(IF($D121="Evet",ROUND($C121*tba_oranBesPuan,2),0),IF($E121="Evet",ROUND($C121*tba_oranIlave,2),0),IF($F121="Evet",ROUND($C121*tba_oranKadinGenc,2),0),IF($G121="Evet",ROUND($C121*tba_isverenOran,2),0)))</f>
        <v/>
      </c>
      <c r="K121" s="31">
        <f>IF($A121="","",IF($H121="TBA-001",IF($D121="Evet",ROUND($C121*tba_oranBesPuan,2),0),IF($H121="TBA-002",IF($E121="Evet",ROUND($C121*tba_oranIlave,2),0),IF($H121="TBA-004",IF($F121="Evet",ROUND($C121*tba_oranKadinGenc,2),0),IF($H121="TBA-ENG",IF($G121="Evet",ROUND($C121*tba_isverenOran,2),0),0)))))</f>
        <v/>
      </c>
      <c r="L121" s="31">
        <f>IF($A121="","",MAX(0,$J121-$K121))</f>
        <v/>
      </c>
    </row>
    <row r="122">
      <c r="I122" s="31">
        <f>IF($A122="","",IF($J122=0,"YOK",IF(AND($E122="Evet",ROUND($C122*tba_oranIlave,2)=$J122),"TBA-002",IF(AND($D122="Evet",ROUND($C122*tba_oranBesPuan,2)=$J122),"TBA-001",IF(AND($F122="Evet",ROUND($C122*tba_oranKadinGenc,2)=$J122),"TBA-004","TBA-ENG")))))</f>
        <v/>
      </c>
      <c r="J122" s="31">
        <f>IF($A122="","",MAX(IF($D122="Evet",ROUND($C122*tba_oranBesPuan,2),0),IF($E122="Evet",ROUND($C122*tba_oranIlave,2),0),IF($F122="Evet",ROUND($C122*tba_oranKadinGenc,2),0),IF($G122="Evet",ROUND($C122*tba_isverenOran,2),0)))</f>
        <v/>
      </c>
      <c r="K122" s="31">
        <f>IF($A122="","",IF($H122="TBA-001",IF($D122="Evet",ROUND($C122*tba_oranBesPuan,2),0),IF($H122="TBA-002",IF($E122="Evet",ROUND($C122*tba_oranIlave,2),0),IF($H122="TBA-004",IF($F122="Evet",ROUND($C122*tba_oranKadinGenc,2),0),IF($H122="TBA-ENG",IF($G122="Evet",ROUND($C122*tba_isverenOran,2),0),0)))))</f>
        <v/>
      </c>
      <c r="L122" s="31">
        <f>IF($A122="","",MAX(0,$J122-$K122))</f>
        <v/>
      </c>
    </row>
    <row r="123">
      <c r="I123" s="31">
        <f>IF($A123="","",IF($J123=0,"YOK",IF(AND($E123="Evet",ROUND($C123*tba_oranIlave,2)=$J123),"TBA-002",IF(AND($D123="Evet",ROUND($C123*tba_oranBesPuan,2)=$J123),"TBA-001",IF(AND($F123="Evet",ROUND($C123*tba_oranKadinGenc,2)=$J123),"TBA-004","TBA-ENG")))))</f>
        <v/>
      </c>
      <c r="J123" s="31">
        <f>IF($A123="","",MAX(IF($D123="Evet",ROUND($C123*tba_oranBesPuan,2),0),IF($E123="Evet",ROUND($C123*tba_oranIlave,2),0),IF($F123="Evet",ROUND($C123*tba_oranKadinGenc,2),0),IF($G123="Evet",ROUND($C123*tba_isverenOran,2),0)))</f>
        <v/>
      </c>
      <c r="K123" s="31">
        <f>IF($A123="","",IF($H123="TBA-001",IF($D123="Evet",ROUND($C123*tba_oranBesPuan,2),0),IF($H123="TBA-002",IF($E123="Evet",ROUND($C123*tba_oranIlave,2),0),IF($H123="TBA-004",IF($F123="Evet",ROUND($C123*tba_oranKadinGenc,2),0),IF($H123="TBA-ENG",IF($G123="Evet",ROUND($C123*tba_isverenOran,2),0),0)))))</f>
        <v/>
      </c>
      <c r="L123" s="31">
        <f>IF($A123="","",MAX(0,$J123-$K123))</f>
        <v/>
      </c>
    </row>
    <row r="124">
      <c r="I124" s="31">
        <f>IF($A124="","",IF($J124=0,"YOK",IF(AND($E124="Evet",ROUND($C124*tba_oranIlave,2)=$J124),"TBA-002",IF(AND($D124="Evet",ROUND($C124*tba_oranBesPuan,2)=$J124),"TBA-001",IF(AND($F124="Evet",ROUND($C124*tba_oranKadinGenc,2)=$J124),"TBA-004","TBA-ENG")))))</f>
        <v/>
      </c>
      <c r="J124" s="31">
        <f>IF($A124="","",MAX(IF($D124="Evet",ROUND($C124*tba_oranBesPuan,2),0),IF($E124="Evet",ROUND($C124*tba_oranIlave,2),0),IF($F124="Evet",ROUND($C124*tba_oranKadinGenc,2),0),IF($G124="Evet",ROUND($C124*tba_isverenOran,2),0)))</f>
        <v/>
      </c>
      <c r="K124" s="31">
        <f>IF($A124="","",IF($H124="TBA-001",IF($D124="Evet",ROUND($C124*tba_oranBesPuan,2),0),IF($H124="TBA-002",IF($E124="Evet",ROUND($C124*tba_oranIlave,2),0),IF($H124="TBA-004",IF($F124="Evet",ROUND($C124*tba_oranKadinGenc,2),0),IF($H124="TBA-ENG",IF($G124="Evet",ROUND($C124*tba_isverenOran,2),0),0)))))</f>
        <v/>
      </c>
      <c r="L124" s="31">
        <f>IF($A124="","",MAX(0,$J124-$K124))</f>
        <v/>
      </c>
    </row>
    <row r="125">
      <c r="I125" s="31">
        <f>IF($A125="","",IF($J125=0,"YOK",IF(AND($E125="Evet",ROUND($C125*tba_oranIlave,2)=$J125),"TBA-002",IF(AND($D125="Evet",ROUND($C125*tba_oranBesPuan,2)=$J125),"TBA-001",IF(AND($F125="Evet",ROUND($C125*tba_oranKadinGenc,2)=$J125),"TBA-004","TBA-ENG")))))</f>
        <v/>
      </c>
      <c r="J125" s="31">
        <f>IF($A125="","",MAX(IF($D125="Evet",ROUND($C125*tba_oranBesPuan,2),0),IF($E125="Evet",ROUND($C125*tba_oranIlave,2),0),IF($F125="Evet",ROUND($C125*tba_oranKadinGenc,2),0),IF($G125="Evet",ROUND($C125*tba_isverenOran,2),0)))</f>
        <v/>
      </c>
      <c r="K125" s="31">
        <f>IF($A125="","",IF($H125="TBA-001",IF($D125="Evet",ROUND($C125*tba_oranBesPuan,2),0),IF($H125="TBA-002",IF($E125="Evet",ROUND($C125*tba_oranIlave,2),0),IF($H125="TBA-004",IF($F125="Evet",ROUND($C125*tba_oranKadinGenc,2),0),IF($H125="TBA-ENG",IF($G125="Evet",ROUND($C125*tba_isverenOran,2),0),0)))))</f>
        <v/>
      </c>
      <c r="L125" s="31">
        <f>IF($A125="","",MAX(0,$J125-$K125))</f>
        <v/>
      </c>
    </row>
    <row r="126">
      <c r="I126" s="31">
        <f>IF($A126="","",IF($J126=0,"YOK",IF(AND($E126="Evet",ROUND($C126*tba_oranIlave,2)=$J126),"TBA-002",IF(AND($D126="Evet",ROUND($C126*tba_oranBesPuan,2)=$J126),"TBA-001",IF(AND($F126="Evet",ROUND($C126*tba_oranKadinGenc,2)=$J126),"TBA-004","TBA-ENG")))))</f>
        <v/>
      </c>
      <c r="J126" s="31">
        <f>IF($A126="","",MAX(IF($D126="Evet",ROUND($C126*tba_oranBesPuan,2),0),IF($E126="Evet",ROUND($C126*tba_oranIlave,2),0),IF($F126="Evet",ROUND($C126*tba_oranKadinGenc,2),0),IF($G126="Evet",ROUND($C126*tba_isverenOran,2),0)))</f>
        <v/>
      </c>
      <c r="K126" s="31">
        <f>IF($A126="","",IF($H126="TBA-001",IF($D126="Evet",ROUND($C126*tba_oranBesPuan,2),0),IF($H126="TBA-002",IF($E126="Evet",ROUND($C126*tba_oranIlave,2),0),IF($H126="TBA-004",IF($F126="Evet",ROUND($C126*tba_oranKadinGenc,2),0),IF($H126="TBA-ENG",IF($G126="Evet",ROUND($C126*tba_isverenOran,2),0),0)))))</f>
        <v/>
      </c>
      <c r="L126" s="31">
        <f>IF($A126="","",MAX(0,$J126-$K126))</f>
        <v/>
      </c>
    </row>
    <row r="127">
      <c r="I127" s="31">
        <f>IF($A127="","",IF($J127=0,"YOK",IF(AND($E127="Evet",ROUND($C127*tba_oranIlave,2)=$J127),"TBA-002",IF(AND($D127="Evet",ROUND($C127*tba_oranBesPuan,2)=$J127),"TBA-001",IF(AND($F127="Evet",ROUND($C127*tba_oranKadinGenc,2)=$J127),"TBA-004","TBA-ENG")))))</f>
        <v/>
      </c>
      <c r="J127" s="31">
        <f>IF($A127="","",MAX(IF($D127="Evet",ROUND($C127*tba_oranBesPuan,2),0),IF($E127="Evet",ROUND($C127*tba_oranIlave,2),0),IF($F127="Evet",ROUND($C127*tba_oranKadinGenc,2),0),IF($G127="Evet",ROUND($C127*tba_isverenOran,2),0)))</f>
        <v/>
      </c>
      <c r="K127" s="31">
        <f>IF($A127="","",IF($H127="TBA-001",IF($D127="Evet",ROUND($C127*tba_oranBesPuan,2),0),IF($H127="TBA-002",IF($E127="Evet",ROUND($C127*tba_oranIlave,2),0),IF($H127="TBA-004",IF($F127="Evet",ROUND($C127*tba_oranKadinGenc,2),0),IF($H127="TBA-ENG",IF($G127="Evet",ROUND($C127*tba_isverenOran,2),0),0)))))</f>
        <v/>
      </c>
      <c r="L127" s="31">
        <f>IF($A127="","",MAX(0,$J127-$K127))</f>
        <v/>
      </c>
    </row>
    <row r="128">
      <c r="I128" s="31">
        <f>IF($A128="","",IF($J128=0,"YOK",IF(AND($E128="Evet",ROUND($C128*tba_oranIlave,2)=$J128),"TBA-002",IF(AND($D128="Evet",ROUND($C128*tba_oranBesPuan,2)=$J128),"TBA-001",IF(AND($F128="Evet",ROUND($C128*tba_oranKadinGenc,2)=$J128),"TBA-004","TBA-ENG")))))</f>
        <v/>
      </c>
      <c r="J128" s="31">
        <f>IF($A128="","",MAX(IF($D128="Evet",ROUND($C128*tba_oranBesPuan,2),0),IF($E128="Evet",ROUND($C128*tba_oranIlave,2),0),IF($F128="Evet",ROUND($C128*tba_oranKadinGenc,2),0),IF($G128="Evet",ROUND($C128*tba_isverenOran,2),0)))</f>
        <v/>
      </c>
      <c r="K128" s="31">
        <f>IF($A128="","",IF($H128="TBA-001",IF($D128="Evet",ROUND($C128*tba_oranBesPuan,2),0),IF($H128="TBA-002",IF($E128="Evet",ROUND($C128*tba_oranIlave,2),0),IF($H128="TBA-004",IF($F128="Evet",ROUND($C128*tba_oranKadinGenc,2),0),IF($H128="TBA-ENG",IF($G128="Evet",ROUND($C128*tba_isverenOran,2),0),0)))))</f>
        <v/>
      </c>
      <c r="L128" s="31">
        <f>IF($A128="","",MAX(0,$J128-$K128))</f>
        <v/>
      </c>
    </row>
    <row r="129">
      <c r="I129" s="31">
        <f>IF($A129="","",IF($J129=0,"YOK",IF(AND($E129="Evet",ROUND($C129*tba_oranIlave,2)=$J129),"TBA-002",IF(AND($D129="Evet",ROUND($C129*tba_oranBesPuan,2)=$J129),"TBA-001",IF(AND($F129="Evet",ROUND($C129*tba_oranKadinGenc,2)=$J129),"TBA-004","TBA-ENG")))))</f>
        <v/>
      </c>
      <c r="J129" s="31">
        <f>IF($A129="","",MAX(IF($D129="Evet",ROUND($C129*tba_oranBesPuan,2),0),IF($E129="Evet",ROUND($C129*tba_oranIlave,2),0),IF($F129="Evet",ROUND($C129*tba_oranKadinGenc,2),0),IF($G129="Evet",ROUND($C129*tba_isverenOran,2),0)))</f>
        <v/>
      </c>
      <c r="K129" s="31">
        <f>IF($A129="","",IF($H129="TBA-001",IF($D129="Evet",ROUND($C129*tba_oranBesPuan,2),0),IF($H129="TBA-002",IF($E129="Evet",ROUND($C129*tba_oranIlave,2),0),IF($H129="TBA-004",IF($F129="Evet",ROUND($C129*tba_oranKadinGenc,2),0),IF($H129="TBA-ENG",IF($G129="Evet",ROUND($C129*tba_isverenOran,2),0),0)))))</f>
        <v/>
      </c>
      <c r="L129" s="31">
        <f>IF($A129="","",MAX(0,$J129-$K129))</f>
        <v/>
      </c>
    </row>
    <row r="130">
      <c r="I130" s="31">
        <f>IF($A130="","",IF($J130=0,"YOK",IF(AND($E130="Evet",ROUND($C130*tba_oranIlave,2)=$J130),"TBA-002",IF(AND($D130="Evet",ROUND($C130*tba_oranBesPuan,2)=$J130),"TBA-001",IF(AND($F130="Evet",ROUND($C130*tba_oranKadinGenc,2)=$J130),"TBA-004","TBA-ENG")))))</f>
        <v/>
      </c>
      <c r="J130" s="31">
        <f>IF($A130="","",MAX(IF($D130="Evet",ROUND($C130*tba_oranBesPuan,2),0),IF($E130="Evet",ROUND($C130*tba_oranIlave,2),0),IF($F130="Evet",ROUND($C130*tba_oranKadinGenc,2),0),IF($G130="Evet",ROUND($C130*tba_isverenOran,2),0)))</f>
        <v/>
      </c>
      <c r="K130" s="31">
        <f>IF($A130="","",IF($H130="TBA-001",IF($D130="Evet",ROUND($C130*tba_oranBesPuan,2),0),IF($H130="TBA-002",IF($E130="Evet",ROUND($C130*tba_oranIlave,2),0),IF($H130="TBA-004",IF($F130="Evet",ROUND($C130*tba_oranKadinGenc,2),0),IF($H130="TBA-ENG",IF($G130="Evet",ROUND($C130*tba_isverenOran,2),0),0)))))</f>
        <v/>
      </c>
      <c r="L130" s="31">
        <f>IF($A130="","",MAX(0,$J130-$K130))</f>
        <v/>
      </c>
    </row>
    <row r="131">
      <c r="I131" s="31">
        <f>IF($A131="","",IF($J131=0,"YOK",IF(AND($E131="Evet",ROUND($C131*tba_oranIlave,2)=$J131),"TBA-002",IF(AND($D131="Evet",ROUND($C131*tba_oranBesPuan,2)=$J131),"TBA-001",IF(AND($F131="Evet",ROUND($C131*tba_oranKadinGenc,2)=$J131),"TBA-004","TBA-ENG")))))</f>
        <v/>
      </c>
      <c r="J131" s="31">
        <f>IF($A131="","",MAX(IF($D131="Evet",ROUND($C131*tba_oranBesPuan,2),0),IF($E131="Evet",ROUND($C131*tba_oranIlave,2),0),IF($F131="Evet",ROUND($C131*tba_oranKadinGenc,2),0),IF($G131="Evet",ROUND($C131*tba_isverenOran,2),0)))</f>
        <v/>
      </c>
      <c r="K131" s="31">
        <f>IF($A131="","",IF($H131="TBA-001",IF($D131="Evet",ROUND($C131*tba_oranBesPuan,2),0),IF($H131="TBA-002",IF($E131="Evet",ROUND($C131*tba_oranIlave,2),0),IF($H131="TBA-004",IF($F131="Evet",ROUND($C131*tba_oranKadinGenc,2),0),IF($H131="TBA-ENG",IF($G131="Evet",ROUND($C131*tba_isverenOran,2),0),0)))))</f>
        <v/>
      </c>
      <c r="L131" s="31">
        <f>IF($A131="","",MAX(0,$J131-$K131))</f>
        <v/>
      </c>
    </row>
    <row r="132">
      <c r="I132" s="31">
        <f>IF($A132="","",IF($J132=0,"YOK",IF(AND($E132="Evet",ROUND($C132*tba_oranIlave,2)=$J132),"TBA-002",IF(AND($D132="Evet",ROUND($C132*tba_oranBesPuan,2)=$J132),"TBA-001",IF(AND($F132="Evet",ROUND($C132*tba_oranKadinGenc,2)=$J132),"TBA-004","TBA-ENG")))))</f>
        <v/>
      </c>
      <c r="J132" s="31">
        <f>IF($A132="","",MAX(IF($D132="Evet",ROUND($C132*tba_oranBesPuan,2),0),IF($E132="Evet",ROUND($C132*tba_oranIlave,2),0),IF($F132="Evet",ROUND($C132*tba_oranKadinGenc,2),0),IF($G132="Evet",ROUND($C132*tba_isverenOran,2),0)))</f>
        <v/>
      </c>
      <c r="K132" s="31">
        <f>IF($A132="","",IF($H132="TBA-001",IF($D132="Evet",ROUND($C132*tba_oranBesPuan,2),0),IF($H132="TBA-002",IF($E132="Evet",ROUND($C132*tba_oranIlave,2),0),IF($H132="TBA-004",IF($F132="Evet",ROUND($C132*tba_oranKadinGenc,2),0),IF($H132="TBA-ENG",IF($G132="Evet",ROUND($C132*tba_isverenOran,2),0),0)))))</f>
        <v/>
      </c>
      <c r="L132" s="31">
        <f>IF($A132="","",MAX(0,$J132-$K132))</f>
        <v/>
      </c>
    </row>
    <row r="133">
      <c r="I133" s="31">
        <f>IF($A133="","",IF($J133=0,"YOK",IF(AND($E133="Evet",ROUND($C133*tba_oranIlave,2)=$J133),"TBA-002",IF(AND($D133="Evet",ROUND($C133*tba_oranBesPuan,2)=$J133),"TBA-001",IF(AND($F133="Evet",ROUND($C133*tba_oranKadinGenc,2)=$J133),"TBA-004","TBA-ENG")))))</f>
        <v/>
      </c>
      <c r="J133" s="31">
        <f>IF($A133="","",MAX(IF($D133="Evet",ROUND($C133*tba_oranBesPuan,2),0),IF($E133="Evet",ROUND($C133*tba_oranIlave,2),0),IF($F133="Evet",ROUND($C133*tba_oranKadinGenc,2),0),IF($G133="Evet",ROUND($C133*tba_isverenOran,2),0)))</f>
        <v/>
      </c>
      <c r="K133" s="31">
        <f>IF($A133="","",IF($H133="TBA-001",IF($D133="Evet",ROUND($C133*tba_oranBesPuan,2),0),IF($H133="TBA-002",IF($E133="Evet",ROUND($C133*tba_oranIlave,2),0),IF($H133="TBA-004",IF($F133="Evet",ROUND($C133*tba_oranKadinGenc,2),0),IF($H133="TBA-ENG",IF($G133="Evet",ROUND($C133*tba_isverenOran,2),0),0)))))</f>
        <v/>
      </c>
      <c r="L133" s="31">
        <f>IF($A133="","",MAX(0,$J133-$K133))</f>
        <v/>
      </c>
    </row>
    <row r="134">
      <c r="I134" s="31">
        <f>IF($A134="","",IF($J134=0,"YOK",IF(AND($E134="Evet",ROUND($C134*tba_oranIlave,2)=$J134),"TBA-002",IF(AND($D134="Evet",ROUND($C134*tba_oranBesPuan,2)=$J134),"TBA-001",IF(AND($F134="Evet",ROUND($C134*tba_oranKadinGenc,2)=$J134),"TBA-004","TBA-ENG")))))</f>
        <v/>
      </c>
      <c r="J134" s="31">
        <f>IF($A134="","",MAX(IF($D134="Evet",ROUND($C134*tba_oranBesPuan,2),0),IF($E134="Evet",ROUND($C134*tba_oranIlave,2),0),IF($F134="Evet",ROUND($C134*tba_oranKadinGenc,2),0),IF($G134="Evet",ROUND($C134*tba_isverenOran,2),0)))</f>
        <v/>
      </c>
      <c r="K134" s="31">
        <f>IF($A134="","",IF($H134="TBA-001",IF($D134="Evet",ROUND($C134*tba_oranBesPuan,2),0),IF($H134="TBA-002",IF($E134="Evet",ROUND($C134*tba_oranIlave,2),0),IF($H134="TBA-004",IF($F134="Evet",ROUND($C134*tba_oranKadinGenc,2),0),IF($H134="TBA-ENG",IF($G134="Evet",ROUND($C134*tba_isverenOran,2),0),0)))))</f>
        <v/>
      </c>
      <c r="L134" s="31">
        <f>IF($A134="","",MAX(0,$J134-$K134))</f>
        <v/>
      </c>
    </row>
    <row r="135">
      <c r="I135" s="31">
        <f>IF($A135="","",IF($J135=0,"YOK",IF(AND($E135="Evet",ROUND($C135*tba_oranIlave,2)=$J135),"TBA-002",IF(AND($D135="Evet",ROUND($C135*tba_oranBesPuan,2)=$J135),"TBA-001",IF(AND($F135="Evet",ROUND($C135*tba_oranKadinGenc,2)=$J135),"TBA-004","TBA-ENG")))))</f>
        <v/>
      </c>
      <c r="J135" s="31">
        <f>IF($A135="","",MAX(IF($D135="Evet",ROUND($C135*tba_oranBesPuan,2),0),IF($E135="Evet",ROUND($C135*tba_oranIlave,2),0),IF($F135="Evet",ROUND($C135*tba_oranKadinGenc,2),0),IF($G135="Evet",ROUND($C135*tba_isverenOran,2),0)))</f>
        <v/>
      </c>
      <c r="K135" s="31">
        <f>IF($A135="","",IF($H135="TBA-001",IF($D135="Evet",ROUND($C135*tba_oranBesPuan,2),0),IF($H135="TBA-002",IF($E135="Evet",ROUND($C135*tba_oranIlave,2),0),IF($H135="TBA-004",IF($F135="Evet",ROUND($C135*tba_oranKadinGenc,2),0),IF($H135="TBA-ENG",IF($G135="Evet",ROUND($C135*tba_isverenOran,2),0),0)))))</f>
        <v/>
      </c>
      <c r="L135" s="31">
        <f>IF($A135="","",MAX(0,$J135-$K135))</f>
        <v/>
      </c>
    </row>
    <row r="136">
      <c r="I136" s="31">
        <f>IF($A136="","",IF($J136=0,"YOK",IF(AND($E136="Evet",ROUND($C136*tba_oranIlave,2)=$J136),"TBA-002",IF(AND($D136="Evet",ROUND($C136*tba_oranBesPuan,2)=$J136),"TBA-001",IF(AND($F136="Evet",ROUND($C136*tba_oranKadinGenc,2)=$J136),"TBA-004","TBA-ENG")))))</f>
        <v/>
      </c>
      <c r="J136" s="31">
        <f>IF($A136="","",MAX(IF($D136="Evet",ROUND($C136*tba_oranBesPuan,2),0),IF($E136="Evet",ROUND($C136*tba_oranIlave,2),0),IF($F136="Evet",ROUND($C136*tba_oranKadinGenc,2),0),IF($G136="Evet",ROUND($C136*tba_isverenOran,2),0)))</f>
        <v/>
      </c>
      <c r="K136" s="31">
        <f>IF($A136="","",IF($H136="TBA-001",IF($D136="Evet",ROUND($C136*tba_oranBesPuan,2),0),IF($H136="TBA-002",IF($E136="Evet",ROUND($C136*tba_oranIlave,2),0),IF($H136="TBA-004",IF($F136="Evet",ROUND($C136*tba_oranKadinGenc,2),0),IF($H136="TBA-ENG",IF($G136="Evet",ROUND($C136*tba_isverenOran,2),0),0)))))</f>
        <v/>
      </c>
      <c r="L136" s="31">
        <f>IF($A136="","",MAX(0,$J136-$K136))</f>
        <v/>
      </c>
    </row>
    <row r="137">
      <c r="I137" s="31">
        <f>IF($A137="","",IF($J137=0,"YOK",IF(AND($E137="Evet",ROUND($C137*tba_oranIlave,2)=$J137),"TBA-002",IF(AND($D137="Evet",ROUND($C137*tba_oranBesPuan,2)=$J137),"TBA-001",IF(AND($F137="Evet",ROUND($C137*tba_oranKadinGenc,2)=$J137),"TBA-004","TBA-ENG")))))</f>
        <v/>
      </c>
      <c r="J137" s="31">
        <f>IF($A137="","",MAX(IF($D137="Evet",ROUND($C137*tba_oranBesPuan,2),0),IF($E137="Evet",ROUND($C137*tba_oranIlave,2),0),IF($F137="Evet",ROUND($C137*tba_oranKadinGenc,2),0),IF($G137="Evet",ROUND($C137*tba_isverenOran,2),0)))</f>
        <v/>
      </c>
      <c r="K137" s="31">
        <f>IF($A137="","",IF($H137="TBA-001",IF($D137="Evet",ROUND($C137*tba_oranBesPuan,2),0),IF($H137="TBA-002",IF($E137="Evet",ROUND($C137*tba_oranIlave,2),0),IF($H137="TBA-004",IF($F137="Evet",ROUND($C137*tba_oranKadinGenc,2),0),IF($H137="TBA-ENG",IF($G137="Evet",ROUND($C137*tba_isverenOran,2),0),0)))))</f>
        <v/>
      </c>
      <c r="L137" s="31">
        <f>IF($A137="","",MAX(0,$J137-$K137))</f>
        <v/>
      </c>
    </row>
    <row r="138">
      <c r="I138" s="31">
        <f>IF($A138="","",IF($J138=0,"YOK",IF(AND($E138="Evet",ROUND($C138*tba_oranIlave,2)=$J138),"TBA-002",IF(AND($D138="Evet",ROUND($C138*tba_oranBesPuan,2)=$J138),"TBA-001",IF(AND($F138="Evet",ROUND($C138*tba_oranKadinGenc,2)=$J138),"TBA-004","TBA-ENG")))))</f>
        <v/>
      </c>
      <c r="J138" s="31">
        <f>IF($A138="","",MAX(IF($D138="Evet",ROUND($C138*tba_oranBesPuan,2),0),IF($E138="Evet",ROUND($C138*tba_oranIlave,2),0),IF($F138="Evet",ROUND($C138*tba_oranKadinGenc,2),0),IF($G138="Evet",ROUND($C138*tba_isverenOran,2),0)))</f>
        <v/>
      </c>
      <c r="K138" s="31">
        <f>IF($A138="","",IF($H138="TBA-001",IF($D138="Evet",ROUND($C138*tba_oranBesPuan,2),0),IF($H138="TBA-002",IF($E138="Evet",ROUND($C138*tba_oranIlave,2),0),IF($H138="TBA-004",IF($F138="Evet",ROUND($C138*tba_oranKadinGenc,2),0),IF($H138="TBA-ENG",IF($G138="Evet",ROUND($C138*tba_isverenOran,2),0),0)))))</f>
        <v/>
      </c>
      <c r="L138" s="31">
        <f>IF($A138="","",MAX(0,$J138-$K138))</f>
        <v/>
      </c>
    </row>
    <row r="139">
      <c r="I139" s="31">
        <f>IF($A139="","",IF($J139=0,"YOK",IF(AND($E139="Evet",ROUND($C139*tba_oranIlave,2)=$J139),"TBA-002",IF(AND($D139="Evet",ROUND($C139*tba_oranBesPuan,2)=$J139),"TBA-001",IF(AND($F139="Evet",ROUND($C139*tba_oranKadinGenc,2)=$J139),"TBA-004","TBA-ENG")))))</f>
        <v/>
      </c>
      <c r="J139" s="31">
        <f>IF($A139="","",MAX(IF($D139="Evet",ROUND($C139*tba_oranBesPuan,2),0),IF($E139="Evet",ROUND($C139*tba_oranIlave,2),0),IF($F139="Evet",ROUND($C139*tba_oranKadinGenc,2),0),IF($G139="Evet",ROUND($C139*tba_isverenOran,2),0)))</f>
        <v/>
      </c>
      <c r="K139" s="31">
        <f>IF($A139="","",IF($H139="TBA-001",IF($D139="Evet",ROUND($C139*tba_oranBesPuan,2),0),IF($H139="TBA-002",IF($E139="Evet",ROUND($C139*tba_oranIlave,2),0),IF($H139="TBA-004",IF($F139="Evet",ROUND($C139*tba_oranKadinGenc,2),0),IF($H139="TBA-ENG",IF($G139="Evet",ROUND($C139*tba_isverenOran,2),0),0)))))</f>
        <v/>
      </c>
      <c r="L139" s="31">
        <f>IF($A139="","",MAX(0,$J139-$K139))</f>
        <v/>
      </c>
    </row>
    <row r="140">
      <c r="I140" s="31">
        <f>IF($A140="","",IF($J140=0,"YOK",IF(AND($E140="Evet",ROUND($C140*tba_oranIlave,2)=$J140),"TBA-002",IF(AND($D140="Evet",ROUND($C140*tba_oranBesPuan,2)=$J140),"TBA-001",IF(AND($F140="Evet",ROUND($C140*tba_oranKadinGenc,2)=$J140),"TBA-004","TBA-ENG")))))</f>
        <v/>
      </c>
      <c r="J140" s="31">
        <f>IF($A140="","",MAX(IF($D140="Evet",ROUND($C140*tba_oranBesPuan,2),0),IF($E140="Evet",ROUND($C140*tba_oranIlave,2),0),IF($F140="Evet",ROUND($C140*tba_oranKadinGenc,2),0),IF($G140="Evet",ROUND($C140*tba_isverenOran,2),0)))</f>
        <v/>
      </c>
      <c r="K140" s="31">
        <f>IF($A140="","",IF($H140="TBA-001",IF($D140="Evet",ROUND($C140*tba_oranBesPuan,2),0),IF($H140="TBA-002",IF($E140="Evet",ROUND($C140*tba_oranIlave,2),0),IF($H140="TBA-004",IF($F140="Evet",ROUND($C140*tba_oranKadinGenc,2),0),IF($H140="TBA-ENG",IF($G140="Evet",ROUND($C140*tba_isverenOran,2),0),0)))))</f>
        <v/>
      </c>
      <c r="L140" s="31">
        <f>IF($A140="","",MAX(0,$J140-$K140))</f>
        <v/>
      </c>
    </row>
    <row r="141">
      <c r="I141" s="31">
        <f>IF($A141="","",IF($J141=0,"YOK",IF(AND($E141="Evet",ROUND($C141*tba_oranIlave,2)=$J141),"TBA-002",IF(AND($D141="Evet",ROUND($C141*tba_oranBesPuan,2)=$J141),"TBA-001",IF(AND($F141="Evet",ROUND($C141*tba_oranKadinGenc,2)=$J141),"TBA-004","TBA-ENG")))))</f>
        <v/>
      </c>
      <c r="J141" s="31">
        <f>IF($A141="","",MAX(IF($D141="Evet",ROUND($C141*tba_oranBesPuan,2),0),IF($E141="Evet",ROUND($C141*tba_oranIlave,2),0),IF($F141="Evet",ROUND($C141*tba_oranKadinGenc,2),0),IF($G141="Evet",ROUND($C141*tba_isverenOran,2),0)))</f>
        <v/>
      </c>
      <c r="K141" s="31">
        <f>IF($A141="","",IF($H141="TBA-001",IF($D141="Evet",ROUND($C141*tba_oranBesPuan,2),0),IF($H141="TBA-002",IF($E141="Evet",ROUND($C141*tba_oranIlave,2),0),IF($H141="TBA-004",IF($F141="Evet",ROUND($C141*tba_oranKadinGenc,2),0),IF($H141="TBA-ENG",IF($G141="Evet",ROUND($C141*tba_isverenOran,2),0),0)))))</f>
        <v/>
      </c>
      <c r="L141" s="31">
        <f>IF($A141="","",MAX(0,$J141-$K141))</f>
        <v/>
      </c>
    </row>
    <row r="142">
      <c r="I142" s="31">
        <f>IF($A142="","",IF($J142=0,"YOK",IF(AND($E142="Evet",ROUND($C142*tba_oranIlave,2)=$J142),"TBA-002",IF(AND($D142="Evet",ROUND($C142*tba_oranBesPuan,2)=$J142),"TBA-001",IF(AND($F142="Evet",ROUND($C142*tba_oranKadinGenc,2)=$J142),"TBA-004","TBA-ENG")))))</f>
        <v/>
      </c>
      <c r="J142" s="31">
        <f>IF($A142="","",MAX(IF($D142="Evet",ROUND($C142*tba_oranBesPuan,2),0),IF($E142="Evet",ROUND($C142*tba_oranIlave,2),0),IF($F142="Evet",ROUND($C142*tba_oranKadinGenc,2),0),IF($G142="Evet",ROUND($C142*tba_isverenOran,2),0)))</f>
        <v/>
      </c>
      <c r="K142" s="31">
        <f>IF($A142="","",IF($H142="TBA-001",IF($D142="Evet",ROUND($C142*tba_oranBesPuan,2),0),IF($H142="TBA-002",IF($E142="Evet",ROUND($C142*tba_oranIlave,2),0),IF($H142="TBA-004",IF($F142="Evet",ROUND($C142*tba_oranKadinGenc,2),0),IF($H142="TBA-ENG",IF($G142="Evet",ROUND($C142*tba_isverenOran,2),0),0)))))</f>
        <v/>
      </c>
      <c r="L142" s="31">
        <f>IF($A142="","",MAX(0,$J142-$K142))</f>
        <v/>
      </c>
    </row>
    <row r="143">
      <c r="I143" s="31">
        <f>IF($A143="","",IF($J143=0,"YOK",IF(AND($E143="Evet",ROUND($C143*tba_oranIlave,2)=$J143),"TBA-002",IF(AND($D143="Evet",ROUND($C143*tba_oranBesPuan,2)=$J143),"TBA-001",IF(AND($F143="Evet",ROUND($C143*tba_oranKadinGenc,2)=$J143),"TBA-004","TBA-ENG")))))</f>
        <v/>
      </c>
      <c r="J143" s="31">
        <f>IF($A143="","",MAX(IF($D143="Evet",ROUND($C143*tba_oranBesPuan,2),0),IF($E143="Evet",ROUND($C143*tba_oranIlave,2),0),IF($F143="Evet",ROUND($C143*tba_oranKadinGenc,2),0),IF($G143="Evet",ROUND($C143*tba_isverenOran,2),0)))</f>
        <v/>
      </c>
      <c r="K143" s="31">
        <f>IF($A143="","",IF($H143="TBA-001",IF($D143="Evet",ROUND($C143*tba_oranBesPuan,2),0),IF($H143="TBA-002",IF($E143="Evet",ROUND($C143*tba_oranIlave,2),0),IF($H143="TBA-004",IF($F143="Evet",ROUND($C143*tba_oranKadinGenc,2),0),IF($H143="TBA-ENG",IF($G143="Evet",ROUND($C143*tba_isverenOran,2),0),0)))))</f>
        <v/>
      </c>
      <c r="L143" s="31">
        <f>IF($A143="","",MAX(0,$J143-$K143))</f>
        <v/>
      </c>
    </row>
    <row r="144">
      <c r="I144" s="31">
        <f>IF($A144="","",IF($J144=0,"YOK",IF(AND($E144="Evet",ROUND($C144*tba_oranIlave,2)=$J144),"TBA-002",IF(AND($D144="Evet",ROUND($C144*tba_oranBesPuan,2)=$J144),"TBA-001",IF(AND($F144="Evet",ROUND($C144*tba_oranKadinGenc,2)=$J144),"TBA-004","TBA-ENG")))))</f>
        <v/>
      </c>
      <c r="J144" s="31">
        <f>IF($A144="","",MAX(IF($D144="Evet",ROUND($C144*tba_oranBesPuan,2),0),IF($E144="Evet",ROUND($C144*tba_oranIlave,2),0),IF($F144="Evet",ROUND($C144*tba_oranKadinGenc,2),0),IF($G144="Evet",ROUND($C144*tba_isverenOran,2),0)))</f>
        <v/>
      </c>
      <c r="K144" s="31">
        <f>IF($A144="","",IF($H144="TBA-001",IF($D144="Evet",ROUND($C144*tba_oranBesPuan,2),0),IF($H144="TBA-002",IF($E144="Evet",ROUND($C144*tba_oranIlave,2),0),IF($H144="TBA-004",IF($F144="Evet",ROUND($C144*tba_oranKadinGenc,2),0),IF($H144="TBA-ENG",IF($G144="Evet",ROUND($C144*tba_isverenOran,2),0),0)))))</f>
        <v/>
      </c>
      <c r="L144" s="31">
        <f>IF($A144="","",MAX(0,$J144-$K144))</f>
        <v/>
      </c>
    </row>
    <row r="145">
      <c r="I145" s="31">
        <f>IF($A145="","",IF($J145=0,"YOK",IF(AND($E145="Evet",ROUND($C145*tba_oranIlave,2)=$J145),"TBA-002",IF(AND($D145="Evet",ROUND($C145*tba_oranBesPuan,2)=$J145),"TBA-001",IF(AND($F145="Evet",ROUND($C145*tba_oranKadinGenc,2)=$J145),"TBA-004","TBA-ENG")))))</f>
        <v/>
      </c>
      <c r="J145" s="31">
        <f>IF($A145="","",MAX(IF($D145="Evet",ROUND($C145*tba_oranBesPuan,2),0),IF($E145="Evet",ROUND($C145*tba_oranIlave,2),0),IF($F145="Evet",ROUND($C145*tba_oranKadinGenc,2),0),IF($G145="Evet",ROUND($C145*tba_isverenOran,2),0)))</f>
        <v/>
      </c>
      <c r="K145" s="31">
        <f>IF($A145="","",IF($H145="TBA-001",IF($D145="Evet",ROUND($C145*tba_oranBesPuan,2),0),IF($H145="TBA-002",IF($E145="Evet",ROUND($C145*tba_oranIlave,2),0),IF($H145="TBA-004",IF($F145="Evet",ROUND($C145*tba_oranKadinGenc,2),0),IF($H145="TBA-ENG",IF($G145="Evet",ROUND($C145*tba_isverenOran,2),0),0)))))</f>
        <v/>
      </c>
      <c r="L145" s="31">
        <f>IF($A145="","",MAX(0,$J145-$K145))</f>
        <v/>
      </c>
    </row>
    <row r="146">
      <c r="I146" s="31">
        <f>IF($A146="","",IF($J146=0,"YOK",IF(AND($E146="Evet",ROUND($C146*tba_oranIlave,2)=$J146),"TBA-002",IF(AND($D146="Evet",ROUND($C146*tba_oranBesPuan,2)=$J146),"TBA-001",IF(AND($F146="Evet",ROUND($C146*tba_oranKadinGenc,2)=$J146),"TBA-004","TBA-ENG")))))</f>
        <v/>
      </c>
      <c r="J146" s="31">
        <f>IF($A146="","",MAX(IF($D146="Evet",ROUND($C146*tba_oranBesPuan,2),0),IF($E146="Evet",ROUND($C146*tba_oranIlave,2),0),IF($F146="Evet",ROUND($C146*tba_oranKadinGenc,2),0),IF($G146="Evet",ROUND($C146*tba_isverenOran,2),0)))</f>
        <v/>
      </c>
      <c r="K146" s="31">
        <f>IF($A146="","",IF($H146="TBA-001",IF($D146="Evet",ROUND($C146*tba_oranBesPuan,2),0),IF($H146="TBA-002",IF($E146="Evet",ROUND($C146*tba_oranIlave,2),0),IF($H146="TBA-004",IF($F146="Evet",ROUND($C146*tba_oranKadinGenc,2),0),IF($H146="TBA-ENG",IF($G146="Evet",ROUND($C146*tba_isverenOran,2),0),0)))))</f>
        <v/>
      </c>
      <c r="L146" s="31">
        <f>IF($A146="","",MAX(0,$J146-$K146))</f>
        <v/>
      </c>
    </row>
    <row r="147">
      <c r="I147" s="31">
        <f>IF($A147="","",IF($J147=0,"YOK",IF(AND($E147="Evet",ROUND($C147*tba_oranIlave,2)=$J147),"TBA-002",IF(AND($D147="Evet",ROUND($C147*tba_oranBesPuan,2)=$J147),"TBA-001",IF(AND($F147="Evet",ROUND($C147*tba_oranKadinGenc,2)=$J147),"TBA-004","TBA-ENG")))))</f>
        <v/>
      </c>
      <c r="J147" s="31">
        <f>IF($A147="","",MAX(IF($D147="Evet",ROUND($C147*tba_oranBesPuan,2),0),IF($E147="Evet",ROUND($C147*tba_oranIlave,2),0),IF($F147="Evet",ROUND($C147*tba_oranKadinGenc,2),0),IF($G147="Evet",ROUND($C147*tba_isverenOran,2),0)))</f>
        <v/>
      </c>
      <c r="K147" s="31">
        <f>IF($A147="","",IF($H147="TBA-001",IF($D147="Evet",ROUND($C147*tba_oranBesPuan,2),0),IF($H147="TBA-002",IF($E147="Evet",ROUND($C147*tba_oranIlave,2),0),IF($H147="TBA-004",IF($F147="Evet",ROUND($C147*tba_oranKadinGenc,2),0),IF($H147="TBA-ENG",IF($G147="Evet",ROUND($C147*tba_isverenOran,2),0),0)))))</f>
        <v/>
      </c>
      <c r="L147" s="31">
        <f>IF($A147="","",MAX(0,$J147-$K147))</f>
        <v/>
      </c>
    </row>
    <row r="148">
      <c r="I148" s="31">
        <f>IF($A148="","",IF($J148=0,"YOK",IF(AND($E148="Evet",ROUND($C148*tba_oranIlave,2)=$J148),"TBA-002",IF(AND($D148="Evet",ROUND($C148*tba_oranBesPuan,2)=$J148),"TBA-001",IF(AND($F148="Evet",ROUND($C148*tba_oranKadinGenc,2)=$J148),"TBA-004","TBA-ENG")))))</f>
        <v/>
      </c>
      <c r="J148" s="31">
        <f>IF($A148="","",MAX(IF($D148="Evet",ROUND($C148*tba_oranBesPuan,2),0),IF($E148="Evet",ROUND($C148*tba_oranIlave,2),0),IF($F148="Evet",ROUND($C148*tba_oranKadinGenc,2),0),IF($G148="Evet",ROUND($C148*tba_isverenOran,2),0)))</f>
        <v/>
      </c>
      <c r="K148" s="31">
        <f>IF($A148="","",IF($H148="TBA-001",IF($D148="Evet",ROUND($C148*tba_oranBesPuan,2),0),IF($H148="TBA-002",IF($E148="Evet",ROUND($C148*tba_oranIlave,2),0),IF($H148="TBA-004",IF($F148="Evet",ROUND($C148*tba_oranKadinGenc,2),0),IF($H148="TBA-ENG",IF($G148="Evet",ROUND($C148*tba_isverenOran,2),0),0)))))</f>
        <v/>
      </c>
      <c r="L148" s="31">
        <f>IF($A148="","",MAX(0,$J148-$K148))</f>
        <v/>
      </c>
    </row>
    <row r="149">
      <c r="I149" s="31">
        <f>IF($A149="","",IF($J149=0,"YOK",IF(AND($E149="Evet",ROUND($C149*tba_oranIlave,2)=$J149),"TBA-002",IF(AND($D149="Evet",ROUND($C149*tba_oranBesPuan,2)=$J149),"TBA-001",IF(AND($F149="Evet",ROUND($C149*tba_oranKadinGenc,2)=$J149),"TBA-004","TBA-ENG")))))</f>
        <v/>
      </c>
      <c r="J149" s="31">
        <f>IF($A149="","",MAX(IF($D149="Evet",ROUND($C149*tba_oranBesPuan,2),0),IF($E149="Evet",ROUND($C149*tba_oranIlave,2),0),IF($F149="Evet",ROUND($C149*tba_oranKadinGenc,2),0),IF($G149="Evet",ROUND($C149*tba_isverenOran,2),0)))</f>
        <v/>
      </c>
      <c r="K149" s="31">
        <f>IF($A149="","",IF($H149="TBA-001",IF($D149="Evet",ROUND($C149*tba_oranBesPuan,2),0),IF($H149="TBA-002",IF($E149="Evet",ROUND($C149*tba_oranIlave,2),0),IF($H149="TBA-004",IF($F149="Evet",ROUND($C149*tba_oranKadinGenc,2),0),IF($H149="TBA-ENG",IF($G149="Evet",ROUND($C149*tba_isverenOran,2),0),0)))))</f>
        <v/>
      </c>
      <c r="L149" s="31">
        <f>IF($A149="","",MAX(0,$J149-$K149))</f>
        <v/>
      </c>
    </row>
    <row r="150">
      <c r="I150" s="31">
        <f>IF($A150="","",IF($J150=0,"YOK",IF(AND($E150="Evet",ROUND($C150*tba_oranIlave,2)=$J150),"TBA-002",IF(AND($D150="Evet",ROUND($C150*tba_oranBesPuan,2)=$J150),"TBA-001",IF(AND($F150="Evet",ROUND($C150*tba_oranKadinGenc,2)=$J150),"TBA-004","TBA-ENG")))))</f>
        <v/>
      </c>
      <c r="J150" s="31">
        <f>IF($A150="","",MAX(IF($D150="Evet",ROUND($C150*tba_oranBesPuan,2),0),IF($E150="Evet",ROUND($C150*tba_oranIlave,2),0),IF($F150="Evet",ROUND($C150*tba_oranKadinGenc,2),0),IF($G150="Evet",ROUND($C150*tba_isverenOran,2),0)))</f>
        <v/>
      </c>
      <c r="K150" s="31">
        <f>IF($A150="","",IF($H150="TBA-001",IF($D150="Evet",ROUND($C150*tba_oranBesPuan,2),0),IF($H150="TBA-002",IF($E150="Evet",ROUND($C150*tba_oranIlave,2),0),IF($H150="TBA-004",IF($F150="Evet",ROUND($C150*tba_oranKadinGenc,2),0),IF($H150="TBA-ENG",IF($G150="Evet",ROUND($C150*tba_isverenOran,2),0),0)))))</f>
        <v/>
      </c>
      <c r="L150" s="31">
        <f>IF($A150="","",MAX(0,$J150-$K150))</f>
        <v/>
      </c>
    </row>
    <row r="151">
      <c r="I151" s="31">
        <f>IF($A151="","",IF($J151=0,"YOK",IF(AND($E151="Evet",ROUND($C151*tba_oranIlave,2)=$J151),"TBA-002",IF(AND($D151="Evet",ROUND($C151*tba_oranBesPuan,2)=$J151),"TBA-001",IF(AND($F151="Evet",ROUND($C151*tba_oranKadinGenc,2)=$J151),"TBA-004","TBA-ENG")))))</f>
        <v/>
      </c>
      <c r="J151" s="31">
        <f>IF($A151="","",MAX(IF($D151="Evet",ROUND($C151*tba_oranBesPuan,2),0),IF($E151="Evet",ROUND($C151*tba_oranIlave,2),0),IF($F151="Evet",ROUND($C151*tba_oranKadinGenc,2),0),IF($G151="Evet",ROUND($C151*tba_isverenOran,2),0)))</f>
        <v/>
      </c>
      <c r="K151" s="31">
        <f>IF($A151="","",IF($H151="TBA-001",IF($D151="Evet",ROUND($C151*tba_oranBesPuan,2),0),IF($H151="TBA-002",IF($E151="Evet",ROUND($C151*tba_oranIlave,2),0),IF($H151="TBA-004",IF($F151="Evet",ROUND($C151*tba_oranKadinGenc,2),0),IF($H151="TBA-ENG",IF($G151="Evet",ROUND($C151*tba_isverenOran,2),0),0)))))</f>
        <v/>
      </c>
      <c r="L151" s="31">
        <f>IF($A151="","",MAX(0,$J151-$K151))</f>
        <v/>
      </c>
    </row>
    <row r="152">
      <c r="I152" s="31">
        <f>IF($A152="","",IF($J152=0,"YOK",IF(AND($E152="Evet",ROUND($C152*tba_oranIlave,2)=$J152),"TBA-002",IF(AND($D152="Evet",ROUND($C152*tba_oranBesPuan,2)=$J152),"TBA-001",IF(AND($F152="Evet",ROUND($C152*tba_oranKadinGenc,2)=$J152),"TBA-004","TBA-ENG")))))</f>
        <v/>
      </c>
      <c r="J152" s="31">
        <f>IF($A152="","",MAX(IF($D152="Evet",ROUND($C152*tba_oranBesPuan,2),0),IF($E152="Evet",ROUND($C152*tba_oranIlave,2),0),IF($F152="Evet",ROUND($C152*tba_oranKadinGenc,2),0),IF($G152="Evet",ROUND($C152*tba_isverenOran,2),0)))</f>
        <v/>
      </c>
      <c r="K152" s="31">
        <f>IF($A152="","",IF($H152="TBA-001",IF($D152="Evet",ROUND($C152*tba_oranBesPuan,2),0),IF($H152="TBA-002",IF($E152="Evet",ROUND($C152*tba_oranIlave,2),0),IF($H152="TBA-004",IF($F152="Evet",ROUND($C152*tba_oranKadinGenc,2),0),IF($H152="TBA-ENG",IF($G152="Evet",ROUND($C152*tba_isverenOran,2),0),0)))))</f>
        <v/>
      </c>
      <c r="L152" s="31">
        <f>IF($A152="","",MAX(0,$J152-$K152))</f>
        <v/>
      </c>
    </row>
    <row r="153">
      <c r="I153" s="31">
        <f>IF($A153="","",IF($J153=0,"YOK",IF(AND($E153="Evet",ROUND($C153*tba_oranIlave,2)=$J153),"TBA-002",IF(AND($D153="Evet",ROUND($C153*tba_oranBesPuan,2)=$J153),"TBA-001",IF(AND($F153="Evet",ROUND($C153*tba_oranKadinGenc,2)=$J153),"TBA-004","TBA-ENG")))))</f>
        <v/>
      </c>
      <c r="J153" s="31">
        <f>IF($A153="","",MAX(IF($D153="Evet",ROUND($C153*tba_oranBesPuan,2),0),IF($E153="Evet",ROUND($C153*tba_oranIlave,2),0),IF($F153="Evet",ROUND($C153*tba_oranKadinGenc,2),0),IF($G153="Evet",ROUND($C153*tba_isverenOran,2),0)))</f>
        <v/>
      </c>
      <c r="K153" s="31">
        <f>IF($A153="","",IF($H153="TBA-001",IF($D153="Evet",ROUND($C153*tba_oranBesPuan,2),0),IF($H153="TBA-002",IF($E153="Evet",ROUND($C153*tba_oranIlave,2),0),IF($H153="TBA-004",IF($F153="Evet",ROUND($C153*tba_oranKadinGenc,2),0),IF($H153="TBA-ENG",IF($G153="Evet",ROUND($C153*tba_isverenOran,2),0),0)))))</f>
        <v/>
      </c>
      <c r="L153" s="31">
        <f>IF($A153="","",MAX(0,$J153-$K153))</f>
        <v/>
      </c>
    </row>
    <row r="154">
      <c r="I154" s="31">
        <f>IF($A154="","",IF($J154=0,"YOK",IF(AND($E154="Evet",ROUND($C154*tba_oranIlave,2)=$J154),"TBA-002",IF(AND($D154="Evet",ROUND($C154*tba_oranBesPuan,2)=$J154),"TBA-001",IF(AND($F154="Evet",ROUND($C154*tba_oranKadinGenc,2)=$J154),"TBA-004","TBA-ENG")))))</f>
        <v/>
      </c>
      <c r="J154" s="31">
        <f>IF($A154="","",MAX(IF($D154="Evet",ROUND($C154*tba_oranBesPuan,2),0),IF($E154="Evet",ROUND($C154*tba_oranIlave,2),0),IF($F154="Evet",ROUND($C154*tba_oranKadinGenc,2),0),IF($G154="Evet",ROUND($C154*tba_isverenOran,2),0)))</f>
        <v/>
      </c>
      <c r="K154" s="31">
        <f>IF($A154="","",IF($H154="TBA-001",IF($D154="Evet",ROUND($C154*tba_oranBesPuan,2),0),IF($H154="TBA-002",IF($E154="Evet",ROUND($C154*tba_oranIlave,2),0),IF($H154="TBA-004",IF($F154="Evet",ROUND($C154*tba_oranKadinGenc,2),0),IF($H154="TBA-ENG",IF($G154="Evet",ROUND($C154*tba_isverenOran,2),0),0)))))</f>
        <v/>
      </c>
      <c r="L154" s="31">
        <f>IF($A154="","",MAX(0,$J154-$K154))</f>
        <v/>
      </c>
    </row>
    <row r="155">
      <c r="I155" s="31">
        <f>IF($A155="","",IF($J155=0,"YOK",IF(AND($E155="Evet",ROUND($C155*tba_oranIlave,2)=$J155),"TBA-002",IF(AND($D155="Evet",ROUND($C155*tba_oranBesPuan,2)=$J155),"TBA-001",IF(AND($F155="Evet",ROUND($C155*tba_oranKadinGenc,2)=$J155),"TBA-004","TBA-ENG")))))</f>
        <v/>
      </c>
      <c r="J155" s="31">
        <f>IF($A155="","",MAX(IF($D155="Evet",ROUND($C155*tba_oranBesPuan,2),0),IF($E155="Evet",ROUND($C155*tba_oranIlave,2),0),IF($F155="Evet",ROUND($C155*tba_oranKadinGenc,2),0),IF($G155="Evet",ROUND($C155*tba_isverenOran,2),0)))</f>
        <v/>
      </c>
      <c r="K155" s="31">
        <f>IF($A155="","",IF($H155="TBA-001",IF($D155="Evet",ROUND($C155*tba_oranBesPuan,2),0),IF($H155="TBA-002",IF($E155="Evet",ROUND($C155*tba_oranIlave,2),0),IF($H155="TBA-004",IF($F155="Evet",ROUND($C155*tba_oranKadinGenc,2),0),IF($H155="TBA-ENG",IF($G155="Evet",ROUND($C155*tba_isverenOran,2),0),0)))))</f>
        <v/>
      </c>
      <c r="L155" s="31">
        <f>IF($A155="","",MAX(0,$J155-$K155))</f>
        <v/>
      </c>
    </row>
    <row r="156">
      <c r="I156" s="31">
        <f>IF($A156="","",IF($J156=0,"YOK",IF(AND($E156="Evet",ROUND($C156*tba_oranIlave,2)=$J156),"TBA-002",IF(AND($D156="Evet",ROUND($C156*tba_oranBesPuan,2)=$J156),"TBA-001",IF(AND($F156="Evet",ROUND($C156*tba_oranKadinGenc,2)=$J156),"TBA-004","TBA-ENG")))))</f>
        <v/>
      </c>
      <c r="J156" s="31">
        <f>IF($A156="","",MAX(IF($D156="Evet",ROUND($C156*tba_oranBesPuan,2),0),IF($E156="Evet",ROUND($C156*tba_oranIlave,2),0),IF($F156="Evet",ROUND($C156*tba_oranKadinGenc,2),0),IF($G156="Evet",ROUND($C156*tba_isverenOran,2),0)))</f>
        <v/>
      </c>
      <c r="K156" s="31">
        <f>IF($A156="","",IF($H156="TBA-001",IF($D156="Evet",ROUND($C156*tba_oranBesPuan,2),0),IF($H156="TBA-002",IF($E156="Evet",ROUND($C156*tba_oranIlave,2),0),IF($H156="TBA-004",IF($F156="Evet",ROUND($C156*tba_oranKadinGenc,2),0),IF($H156="TBA-ENG",IF($G156="Evet",ROUND($C156*tba_isverenOran,2),0),0)))))</f>
        <v/>
      </c>
      <c r="L156" s="31">
        <f>IF($A156="","",MAX(0,$J156-$K156))</f>
        <v/>
      </c>
    </row>
    <row r="157">
      <c r="I157" s="31">
        <f>IF($A157="","",IF($J157=0,"YOK",IF(AND($E157="Evet",ROUND($C157*tba_oranIlave,2)=$J157),"TBA-002",IF(AND($D157="Evet",ROUND($C157*tba_oranBesPuan,2)=$J157),"TBA-001",IF(AND($F157="Evet",ROUND($C157*tba_oranKadinGenc,2)=$J157),"TBA-004","TBA-ENG")))))</f>
        <v/>
      </c>
      <c r="J157" s="31">
        <f>IF($A157="","",MAX(IF($D157="Evet",ROUND($C157*tba_oranBesPuan,2),0),IF($E157="Evet",ROUND($C157*tba_oranIlave,2),0),IF($F157="Evet",ROUND($C157*tba_oranKadinGenc,2),0),IF($G157="Evet",ROUND($C157*tba_isverenOran,2),0)))</f>
        <v/>
      </c>
      <c r="K157" s="31">
        <f>IF($A157="","",IF($H157="TBA-001",IF($D157="Evet",ROUND($C157*tba_oranBesPuan,2),0),IF($H157="TBA-002",IF($E157="Evet",ROUND($C157*tba_oranIlave,2),0),IF($H157="TBA-004",IF($F157="Evet",ROUND($C157*tba_oranKadinGenc,2),0),IF($H157="TBA-ENG",IF($G157="Evet",ROUND($C157*tba_isverenOran,2),0),0)))))</f>
        <v/>
      </c>
      <c r="L157" s="31">
        <f>IF($A157="","",MAX(0,$J157-$K157))</f>
        <v/>
      </c>
    </row>
    <row r="158">
      <c r="I158" s="31">
        <f>IF($A158="","",IF($J158=0,"YOK",IF(AND($E158="Evet",ROUND($C158*tba_oranIlave,2)=$J158),"TBA-002",IF(AND($D158="Evet",ROUND($C158*tba_oranBesPuan,2)=$J158),"TBA-001",IF(AND($F158="Evet",ROUND($C158*tba_oranKadinGenc,2)=$J158),"TBA-004","TBA-ENG")))))</f>
        <v/>
      </c>
      <c r="J158" s="31">
        <f>IF($A158="","",MAX(IF($D158="Evet",ROUND($C158*tba_oranBesPuan,2),0),IF($E158="Evet",ROUND($C158*tba_oranIlave,2),0),IF($F158="Evet",ROUND($C158*tba_oranKadinGenc,2),0),IF($G158="Evet",ROUND($C158*tba_isverenOran,2),0)))</f>
        <v/>
      </c>
      <c r="K158" s="31">
        <f>IF($A158="","",IF($H158="TBA-001",IF($D158="Evet",ROUND($C158*tba_oranBesPuan,2),0),IF($H158="TBA-002",IF($E158="Evet",ROUND($C158*tba_oranIlave,2),0),IF($H158="TBA-004",IF($F158="Evet",ROUND($C158*tba_oranKadinGenc,2),0),IF($H158="TBA-ENG",IF($G158="Evet",ROUND($C158*tba_isverenOran,2),0),0)))))</f>
        <v/>
      </c>
      <c r="L158" s="31">
        <f>IF($A158="","",MAX(0,$J158-$K158))</f>
        <v/>
      </c>
    </row>
    <row r="159">
      <c r="I159" s="31">
        <f>IF($A159="","",IF($J159=0,"YOK",IF(AND($E159="Evet",ROUND($C159*tba_oranIlave,2)=$J159),"TBA-002",IF(AND($D159="Evet",ROUND($C159*tba_oranBesPuan,2)=$J159),"TBA-001",IF(AND($F159="Evet",ROUND($C159*tba_oranKadinGenc,2)=$J159),"TBA-004","TBA-ENG")))))</f>
        <v/>
      </c>
      <c r="J159" s="31">
        <f>IF($A159="","",MAX(IF($D159="Evet",ROUND($C159*tba_oranBesPuan,2),0),IF($E159="Evet",ROUND($C159*tba_oranIlave,2),0),IF($F159="Evet",ROUND($C159*tba_oranKadinGenc,2),0),IF($G159="Evet",ROUND($C159*tba_isverenOran,2),0)))</f>
        <v/>
      </c>
      <c r="K159" s="31">
        <f>IF($A159="","",IF($H159="TBA-001",IF($D159="Evet",ROUND($C159*tba_oranBesPuan,2),0),IF($H159="TBA-002",IF($E159="Evet",ROUND($C159*tba_oranIlave,2),0),IF($H159="TBA-004",IF($F159="Evet",ROUND($C159*tba_oranKadinGenc,2),0),IF($H159="TBA-ENG",IF($G159="Evet",ROUND($C159*tba_isverenOran,2),0),0)))))</f>
        <v/>
      </c>
      <c r="L159" s="31">
        <f>IF($A159="","",MAX(0,$J159-$K159))</f>
        <v/>
      </c>
    </row>
    <row r="160">
      <c r="I160" s="31">
        <f>IF($A160="","",IF($J160=0,"YOK",IF(AND($E160="Evet",ROUND($C160*tba_oranIlave,2)=$J160),"TBA-002",IF(AND($D160="Evet",ROUND($C160*tba_oranBesPuan,2)=$J160),"TBA-001",IF(AND($F160="Evet",ROUND($C160*tba_oranKadinGenc,2)=$J160),"TBA-004","TBA-ENG")))))</f>
        <v/>
      </c>
      <c r="J160" s="31">
        <f>IF($A160="","",MAX(IF($D160="Evet",ROUND($C160*tba_oranBesPuan,2),0),IF($E160="Evet",ROUND($C160*tba_oranIlave,2),0),IF($F160="Evet",ROUND($C160*tba_oranKadinGenc,2),0),IF($G160="Evet",ROUND($C160*tba_isverenOran,2),0)))</f>
        <v/>
      </c>
      <c r="K160" s="31">
        <f>IF($A160="","",IF($H160="TBA-001",IF($D160="Evet",ROUND($C160*tba_oranBesPuan,2),0),IF($H160="TBA-002",IF($E160="Evet",ROUND($C160*tba_oranIlave,2),0),IF($H160="TBA-004",IF($F160="Evet",ROUND($C160*tba_oranKadinGenc,2),0),IF($H160="TBA-ENG",IF($G160="Evet",ROUND($C160*tba_isverenOran,2),0),0)))))</f>
        <v/>
      </c>
      <c r="L160" s="31">
        <f>IF($A160="","",MAX(0,$J160-$K160))</f>
        <v/>
      </c>
    </row>
    <row r="161">
      <c r="I161" s="31">
        <f>IF($A161="","",IF($J161=0,"YOK",IF(AND($E161="Evet",ROUND($C161*tba_oranIlave,2)=$J161),"TBA-002",IF(AND($D161="Evet",ROUND($C161*tba_oranBesPuan,2)=$J161),"TBA-001",IF(AND($F161="Evet",ROUND($C161*tba_oranKadinGenc,2)=$J161),"TBA-004","TBA-ENG")))))</f>
        <v/>
      </c>
      <c r="J161" s="31">
        <f>IF($A161="","",MAX(IF($D161="Evet",ROUND($C161*tba_oranBesPuan,2),0),IF($E161="Evet",ROUND($C161*tba_oranIlave,2),0),IF($F161="Evet",ROUND($C161*tba_oranKadinGenc,2),0),IF($G161="Evet",ROUND($C161*tba_isverenOran,2),0)))</f>
        <v/>
      </c>
      <c r="K161" s="31">
        <f>IF($A161="","",IF($H161="TBA-001",IF($D161="Evet",ROUND($C161*tba_oranBesPuan,2),0),IF($H161="TBA-002",IF($E161="Evet",ROUND($C161*tba_oranIlave,2),0),IF($H161="TBA-004",IF($F161="Evet",ROUND($C161*tba_oranKadinGenc,2),0),IF($H161="TBA-ENG",IF($G161="Evet",ROUND($C161*tba_isverenOran,2),0),0)))))</f>
        <v/>
      </c>
      <c r="L161" s="31">
        <f>IF($A161="","",MAX(0,$J161-$K161))</f>
        <v/>
      </c>
    </row>
    <row r="162">
      <c r="I162" s="31">
        <f>IF($A162="","",IF($J162=0,"YOK",IF(AND($E162="Evet",ROUND($C162*tba_oranIlave,2)=$J162),"TBA-002",IF(AND($D162="Evet",ROUND($C162*tba_oranBesPuan,2)=$J162),"TBA-001",IF(AND($F162="Evet",ROUND($C162*tba_oranKadinGenc,2)=$J162),"TBA-004","TBA-ENG")))))</f>
        <v/>
      </c>
      <c r="J162" s="31">
        <f>IF($A162="","",MAX(IF($D162="Evet",ROUND($C162*tba_oranBesPuan,2),0),IF($E162="Evet",ROUND($C162*tba_oranIlave,2),0),IF($F162="Evet",ROUND($C162*tba_oranKadinGenc,2),0),IF($G162="Evet",ROUND($C162*tba_isverenOran,2),0)))</f>
        <v/>
      </c>
      <c r="K162" s="31">
        <f>IF($A162="","",IF($H162="TBA-001",IF($D162="Evet",ROUND($C162*tba_oranBesPuan,2),0),IF($H162="TBA-002",IF($E162="Evet",ROUND($C162*tba_oranIlave,2),0),IF($H162="TBA-004",IF($F162="Evet",ROUND($C162*tba_oranKadinGenc,2),0),IF($H162="TBA-ENG",IF($G162="Evet",ROUND($C162*tba_isverenOran,2),0),0)))))</f>
        <v/>
      </c>
      <c r="L162" s="31">
        <f>IF($A162="","",MAX(0,$J162-$K162))</f>
        <v/>
      </c>
    </row>
    <row r="163">
      <c r="I163" s="31">
        <f>IF($A163="","",IF($J163=0,"YOK",IF(AND($E163="Evet",ROUND($C163*tba_oranIlave,2)=$J163),"TBA-002",IF(AND($D163="Evet",ROUND($C163*tba_oranBesPuan,2)=$J163),"TBA-001",IF(AND($F163="Evet",ROUND($C163*tba_oranKadinGenc,2)=$J163),"TBA-004","TBA-ENG")))))</f>
        <v/>
      </c>
      <c r="J163" s="31">
        <f>IF($A163="","",MAX(IF($D163="Evet",ROUND($C163*tba_oranBesPuan,2),0),IF($E163="Evet",ROUND($C163*tba_oranIlave,2),0),IF($F163="Evet",ROUND($C163*tba_oranKadinGenc,2),0),IF($G163="Evet",ROUND($C163*tba_isverenOran,2),0)))</f>
        <v/>
      </c>
      <c r="K163" s="31">
        <f>IF($A163="","",IF($H163="TBA-001",IF($D163="Evet",ROUND($C163*tba_oranBesPuan,2),0),IF($H163="TBA-002",IF($E163="Evet",ROUND($C163*tba_oranIlave,2),0),IF($H163="TBA-004",IF($F163="Evet",ROUND($C163*tba_oranKadinGenc,2),0),IF($H163="TBA-ENG",IF($G163="Evet",ROUND($C163*tba_isverenOran,2),0),0)))))</f>
        <v/>
      </c>
      <c r="L163" s="31">
        <f>IF($A163="","",MAX(0,$J163-$K163))</f>
        <v/>
      </c>
    </row>
    <row r="164">
      <c r="I164" s="31">
        <f>IF($A164="","",IF($J164=0,"YOK",IF(AND($E164="Evet",ROUND($C164*tba_oranIlave,2)=$J164),"TBA-002",IF(AND($D164="Evet",ROUND($C164*tba_oranBesPuan,2)=$J164),"TBA-001",IF(AND($F164="Evet",ROUND($C164*tba_oranKadinGenc,2)=$J164),"TBA-004","TBA-ENG")))))</f>
        <v/>
      </c>
      <c r="J164" s="31">
        <f>IF($A164="","",MAX(IF($D164="Evet",ROUND($C164*tba_oranBesPuan,2),0),IF($E164="Evet",ROUND($C164*tba_oranIlave,2),0),IF($F164="Evet",ROUND($C164*tba_oranKadinGenc,2),0),IF($G164="Evet",ROUND($C164*tba_isverenOran,2),0)))</f>
        <v/>
      </c>
      <c r="K164" s="31">
        <f>IF($A164="","",IF($H164="TBA-001",IF($D164="Evet",ROUND($C164*tba_oranBesPuan,2),0),IF($H164="TBA-002",IF($E164="Evet",ROUND($C164*tba_oranIlave,2),0),IF($H164="TBA-004",IF($F164="Evet",ROUND($C164*tba_oranKadinGenc,2),0),IF($H164="TBA-ENG",IF($G164="Evet",ROUND($C164*tba_isverenOran,2),0),0)))))</f>
        <v/>
      </c>
      <c r="L164" s="31">
        <f>IF($A164="","",MAX(0,$J164-$K164))</f>
        <v/>
      </c>
    </row>
    <row r="165">
      <c r="I165" s="31">
        <f>IF($A165="","",IF($J165=0,"YOK",IF(AND($E165="Evet",ROUND($C165*tba_oranIlave,2)=$J165),"TBA-002",IF(AND($D165="Evet",ROUND($C165*tba_oranBesPuan,2)=$J165),"TBA-001",IF(AND($F165="Evet",ROUND($C165*tba_oranKadinGenc,2)=$J165),"TBA-004","TBA-ENG")))))</f>
        <v/>
      </c>
      <c r="J165" s="31">
        <f>IF($A165="","",MAX(IF($D165="Evet",ROUND($C165*tba_oranBesPuan,2),0),IF($E165="Evet",ROUND($C165*tba_oranIlave,2),0),IF($F165="Evet",ROUND($C165*tba_oranKadinGenc,2),0),IF($G165="Evet",ROUND($C165*tba_isverenOran,2),0)))</f>
        <v/>
      </c>
      <c r="K165" s="31">
        <f>IF($A165="","",IF($H165="TBA-001",IF($D165="Evet",ROUND($C165*tba_oranBesPuan,2),0),IF($H165="TBA-002",IF($E165="Evet",ROUND($C165*tba_oranIlave,2),0),IF($H165="TBA-004",IF($F165="Evet",ROUND($C165*tba_oranKadinGenc,2),0),IF($H165="TBA-ENG",IF($G165="Evet",ROUND($C165*tba_isverenOran,2),0),0)))))</f>
        <v/>
      </c>
      <c r="L165" s="31">
        <f>IF($A165="","",MAX(0,$J165-$K165))</f>
        <v/>
      </c>
    </row>
    <row r="166">
      <c r="I166" s="31">
        <f>IF($A166="","",IF($J166=0,"YOK",IF(AND($E166="Evet",ROUND($C166*tba_oranIlave,2)=$J166),"TBA-002",IF(AND($D166="Evet",ROUND($C166*tba_oranBesPuan,2)=$J166),"TBA-001",IF(AND($F166="Evet",ROUND($C166*tba_oranKadinGenc,2)=$J166),"TBA-004","TBA-ENG")))))</f>
        <v/>
      </c>
      <c r="J166" s="31">
        <f>IF($A166="","",MAX(IF($D166="Evet",ROUND($C166*tba_oranBesPuan,2),0),IF($E166="Evet",ROUND($C166*tba_oranIlave,2),0),IF($F166="Evet",ROUND($C166*tba_oranKadinGenc,2),0),IF($G166="Evet",ROUND($C166*tba_isverenOran,2),0)))</f>
        <v/>
      </c>
      <c r="K166" s="31">
        <f>IF($A166="","",IF($H166="TBA-001",IF($D166="Evet",ROUND($C166*tba_oranBesPuan,2),0),IF($H166="TBA-002",IF($E166="Evet",ROUND($C166*tba_oranIlave,2),0),IF($H166="TBA-004",IF($F166="Evet",ROUND($C166*tba_oranKadinGenc,2),0),IF($H166="TBA-ENG",IF($G166="Evet",ROUND($C166*tba_isverenOran,2),0),0)))))</f>
        <v/>
      </c>
      <c r="L166" s="31">
        <f>IF($A166="","",MAX(0,$J166-$K166))</f>
        <v/>
      </c>
    </row>
    <row r="167">
      <c r="I167" s="31">
        <f>IF($A167="","",IF($J167=0,"YOK",IF(AND($E167="Evet",ROUND($C167*tba_oranIlave,2)=$J167),"TBA-002",IF(AND($D167="Evet",ROUND($C167*tba_oranBesPuan,2)=$J167),"TBA-001",IF(AND($F167="Evet",ROUND($C167*tba_oranKadinGenc,2)=$J167),"TBA-004","TBA-ENG")))))</f>
        <v/>
      </c>
      <c r="J167" s="31">
        <f>IF($A167="","",MAX(IF($D167="Evet",ROUND($C167*tba_oranBesPuan,2),0),IF($E167="Evet",ROUND($C167*tba_oranIlave,2),0),IF($F167="Evet",ROUND($C167*tba_oranKadinGenc,2),0),IF($G167="Evet",ROUND($C167*tba_isverenOran,2),0)))</f>
        <v/>
      </c>
      <c r="K167" s="31">
        <f>IF($A167="","",IF($H167="TBA-001",IF($D167="Evet",ROUND($C167*tba_oranBesPuan,2),0),IF($H167="TBA-002",IF($E167="Evet",ROUND($C167*tba_oranIlave,2),0),IF($H167="TBA-004",IF($F167="Evet",ROUND($C167*tba_oranKadinGenc,2),0),IF($H167="TBA-ENG",IF($G167="Evet",ROUND($C167*tba_isverenOran,2),0),0)))))</f>
        <v/>
      </c>
      <c r="L167" s="31">
        <f>IF($A167="","",MAX(0,$J167-$K167))</f>
        <v/>
      </c>
    </row>
    <row r="168">
      <c r="I168" s="31">
        <f>IF($A168="","",IF($J168=0,"YOK",IF(AND($E168="Evet",ROUND($C168*tba_oranIlave,2)=$J168),"TBA-002",IF(AND($D168="Evet",ROUND($C168*tba_oranBesPuan,2)=$J168),"TBA-001",IF(AND($F168="Evet",ROUND($C168*tba_oranKadinGenc,2)=$J168),"TBA-004","TBA-ENG")))))</f>
        <v/>
      </c>
      <c r="J168" s="31">
        <f>IF($A168="","",MAX(IF($D168="Evet",ROUND($C168*tba_oranBesPuan,2),0),IF($E168="Evet",ROUND($C168*tba_oranIlave,2),0),IF($F168="Evet",ROUND($C168*tba_oranKadinGenc,2),0),IF($G168="Evet",ROUND($C168*tba_isverenOran,2),0)))</f>
        <v/>
      </c>
      <c r="K168" s="31">
        <f>IF($A168="","",IF($H168="TBA-001",IF($D168="Evet",ROUND($C168*tba_oranBesPuan,2),0),IF($H168="TBA-002",IF($E168="Evet",ROUND($C168*tba_oranIlave,2),0),IF($H168="TBA-004",IF($F168="Evet",ROUND($C168*tba_oranKadinGenc,2),0),IF($H168="TBA-ENG",IF($G168="Evet",ROUND($C168*tba_isverenOran,2),0),0)))))</f>
        <v/>
      </c>
      <c r="L168" s="31">
        <f>IF($A168="","",MAX(0,$J168-$K168))</f>
        <v/>
      </c>
    </row>
    <row r="169">
      <c r="I169" s="31">
        <f>IF($A169="","",IF($J169=0,"YOK",IF(AND($E169="Evet",ROUND($C169*tba_oranIlave,2)=$J169),"TBA-002",IF(AND($D169="Evet",ROUND($C169*tba_oranBesPuan,2)=$J169),"TBA-001",IF(AND($F169="Evet",ROUND($C169*tba_oranKadinGenc,2)=$J169),"TBA-004","TBA-ENG")))))</f>
        <v/>
      </c>
      <c r="J169" s="31">
        <f>IF($A169="","",MAX(IF($D169="Evet",ROUND($C169*tba_oranBesPuan,2),0),IF($E169="Evet",ROUND($C169*tba_oranIlave,2),0),IF($F169="Evet",ROUND($C169*tba_oranKadinGenc,2),0),IF($G169="Evet",ROUND($C169*tba_isverenOran,2),0)))</f>
        <v/>
      </c>
      <c r="K169" s="31">
        <f>IF($A169="","",IF($H169="TBA-001",IF($D169="Evet",ROUND($C169*tba_oranBesPuan,2),0),IF($H169="TBA-002",IF($E169="Evet",ROUND($C169*tba_oranIlave,2),0),IF($H169="TBA-004",IF($F169="Evet",ROUND($C169*tba_oranKadinGenc,2),0),IF($H169="TBA-ENG",IF($G169="Evet",ROUND($C169*tba_isverenOran,2),0),0)))))</f>
        <v/>
      </c>
      <c r="L169" s="31">
        <f>IF($A169="","",MAX(0,$J169-$K169))</f>
        <v/>
      </c>
    </row>
    <row r="170">
      <c r="I170" s="31">
        <f>IF($A170="","",IF($J170=0,"YOK",IF(AND($E170="Evet",ROUND($C170*tba_oranIlave,2)=$J170),"TBA-002",IF(AND($D170="Evet",ROUND($C170*tba_oranBesPuan,2)=$J170),"TBA-001",IF(AND($F170="Evet",ROUND($C170*tba_oranKadinGenc,2)=$J170),"TBA-004","TBA-ENG")))))</f>
        <v/>
      </c>
      <c r="J170" s="31">
        <f>IF($A170="","",MAX(IF($D170="Evet",ROUND($C170*tba_oranBesPuan,2),0),IF($E170="Evet",ROUND($C170*tba_oranIlave,2),0),IF($F170="Evet",ROUND($C170*tba_oranKadinGenc,2),0),IF($G170="Evet",ROUND($C170*tba_isverenOran,2),0)))</f>
        <v/>
      </c>
      <c r="K170" s="31">
        <f>IF($A170="","",IF($H170="TBA-001",IF($D170="Evet",ROUND($C170*tba_oranBesPuan,2),0),IF($H170="TBA-002",IF($E170="Evet",ROUND($C170*tba_oranIlave,2),0),IF($H170="TBA-004",IF($F170="Evet",ROUND($C170*tba_oranKadinGenc,2),0),IF($H170="TBA-ENG",IF($G170="Evet",ROUND($C170*tba_isverenOran,2),0),0)))))</f>
        <v/>
      </c>
      <c r="L170" s="31">
        <f>IF($A170="","",MAX(0,$J170-$K170))</f>
        <v/>
      </c>
    </row>
    <row r="171">
      <c r="I171" s="31">
        <f>IF($A171="","",IF($J171=0,"YOK",IF(AND($E171="Evet",ROUND($C171*tba_oranIlave,2)=$J171),"TBA-002",IF(AND($D171="Evet",ROUND($C171*tba_oranBesPuan,2)=$J171),"TBA-001",IF(AND($F171="Evet",ROUND($C171*tba_oranKadinGenc,2)=$J171),"TBA-004","TBA-ENG")))))</f>
        <v/>
      </c>
      <c r="J171" s="31">
        <f>IF($A171="","",MAX(IF($D171="Evet",ROUND($C171*tba_oranBesPuan,2),0),IF($E171="Evet",ROUND($C171*tba_oranIlave,2),0),IF($F171="Evet",ROUND($C171*tba_oranKadinGenc,2),0),IF($G171="Evet",ROUND($C171*tba_isverenOran,2),0)))</f>
        <v/>
      </c>
      <c r="K171" s="31">
        <f>IF($A171="","",IF($H171="TBA-001",IF($D171="Evet",ROUND($C171*tba_oranBesPuan,2),0),IF($H171="TBA-002",IF($E171="Evet",ROUND($C171*tba_oranIlave,2),0),IF($H171="TBA-004",IF($F171="Evet",ROUND($C171*tba_oranKadinGenc,2),0),IF($H171="TBA-ENG",IF($G171="Evet",ROUND($C171*tba_isverenOran,2),0),0)))))</f>
        <v/>
      </c>
      <c r="L171" s="31">
        <f>IF($A171="","",MAX(0,$J171-$K171))</f>
        <v/>
      </c>
    </row>
    <row r="172">
      <c r="I172" s="31">
        <f>IF($A172="","",IF($J172=0,"YOK",IF(AND($E172="Evet",ROUND($C172*tba_oranIlave,2)=$J172),"TBA-002",IF(AND($D172="Evet",ROUND($C172*tba_oranBesPuan,2)=$J172),"TBA-001",IF(AND($F172="Evet",ROUND($C172*tba_oranKadinGenc,2)=$J172),"TBA-004","TBA-ENG")))))</f>
        <v/>
      </c>
      <c r="J172" s="31">
        <f>IF($A172="","",MAX(IF($D172="Evet",ROUND($C172*tba_oranBesPuan,2),0),IF($E172="Evet",ROUND($C172*tba_oranIlave,2),0),IF($F172="Evet",ROUND($C172*tba_oranKadinGenc,2),0),IF($G172="Evet",ROUND($C172*tba_isverenOran,2),0)))</f>
        <v/>
      </c>
      <c r="K172" s="31">
        <f>IF($A172="","",IF($H172="TBA-001",IF($D172="Evet",ROUND($C172*tba_oranBesPuan,2),0),IF($H172="TBA-002",IF($E172="Evet",ROUND($C172*tba_oranIlave,2),0),IF($H172="TBA-004",IF($F172="Evet",ROUND($C172*tba_oranKadinGenc,2),0),IF($H172="TBA-ENG",IF($G172="Evet",ROUND($C172*tba_isverenOran,2),0),0)))))</f>
        <v/>
      </c>
      <c r="L172" s="31">
        <f>IF($A172="","",MAX(0,$J172-$K172))</f>
        <v/>
      </c>
    </row>
    <row r="173">
      <c r="I173" s="31">
        <f>IF($A173="","",IF($J173=0,"YOK",IF(AND($E173="Evet",ROUND($C173*tba_oranIlave,2)=$J173),"TBA-002",IF(AND($D173="Evet",ROUND($C173*tba_oranBesPuan,2)=$J173),"TBA-001",IF(AND($F173="Evet",ROUND($C173*tba_oranKadinGenc,2)=$J173),"TBA-004","TBA-ENG")))))</f>
        <v/>
      </c>
      <c r="J173" s="31">
        <f>IF($A173="","",MAX(IF($D173="Evet",ROUND($C173*tba_oranBesPuan,2),0),IF($E173="Evet",ROUND($C173*tba_oranIlave,2),0),IF($F173="Evet",ROUND($C173*tba_oranKadinGenc,2),0),IF($G173="Evet",ROUND($C173*tba_isverenOran,2),0)))</f>
        <v/>
      </c>
      <c r="K173" s="31">
        <f>IF($A173="","",IF($H173="TBA-001",IF($D173="Evet",ROUND($C173*tba_oranBesPuan,2),0),IF($H173="TBA-002",IF($E173="Evet",ROUND($C173*tba_oranIlave,2),0),IF($H173="TBA-004",IF($F173="Evet",ROUND($C173*tba_oranKadinGenc,2),0),IF($H173="TBA-ENG",IF($G173="Evet",ROUND($C173*tba_isverenOran,2),0),0)))))</f>
        <v/>
      </c>
      <c r="L173" s="31">
        <f>IF($A173="","",MAX(0,$J173-$K173))</f>
        <v/>
      </c>
    </row>
    <row r="174">
      <c r="I174" s="31">
        <f>IF($A174="","",IF($J174=0,"YOK",IF(AND($E174="Evet",ROUND($C174*tba_oranIlave,2)=$J174),"TBA-002",IF(AND($D174="Evet",ROUND($C174*tba_oranBesPuan,2)=$J174),"TBA-001",IF(AND($F174="Evet",ROUND($C174*tba_oranKadinGenc,2)=$J174),"TBA-004","TBA-ENG")))))</f>
        <v/>
      </c>
      <c r="J174" s="31">
        <f>IF($A174="","",MAX(IF($D174="Evet",ROUND($C174*tba_oranBesPuan,2),0),IF($E174="Evet",ROUND($C174*tba_oranIlave,2),0),IF($F174="Evet",ROUND($C174*tba_oranKadinGenc,2),0),IF($G174="Evet",ROUND($C174*tba_isverenOran,2),0)))</f>
        <v/>
      </c>
      <c r="K174" s="31">
        <f>IF($A174="","",IF($H174="TBA-001",IF($D174="Evet",ROUND($C174*tba_oranBesPuan,2),0),IF($H174="TBA-002",IF($E174="Evet",ROUND($C174*tba_oranIlave,2),0),IF($H174="TBA-004",IF($F174="Evet",ROUND($C174*tba_oranKadinGenc,2),0),IF($H174="TBA-ENG",IF($G174="Evet",ROUND($C174*tba_isverenOran,2),0),0)))))</f>
        <v/>
      </c>
      <c r="L174" s="31">
        <f>IF($A174="","",MAX(0,$J174-$K174))</f>
        <v/>
      </c>
    </row>
    <row r="175">
      <c r="I175" s="31">
        <f>IF($A175="","",IF($J175=0,"YOK",IF(AND($E175="Evet",ROUND($C175*tba_oranIlave,2)=$J175),"TBA-002",IF(AND($D175="Evet",ROUND($C175*tba_oranBesPuan,2)=$J175),"TBA-001",IF(AND($F175="Evet",ROUND($C175*tba_oranKadinGenc,2)=$J175),"TBA-004","TBA-ENG")))))</f>
        <v/>
      </c>
      <c r="J175" s="31">
        <f>IF($A175="","",MAX(IF($D175="Evet",ROUND($C175*tba_oranBesPuan,2),0),IF($E175="Evet",ROUND($C175*tba_oranIlave,2),0),IF($F175="Evet",ROUND($C175*tba_oranKadinGenc,2),0),IF($G175="Evet",ROUND($C175*tba_isverenOran,2),0)))</f>
        <v/>
      </c>
      <c r="K175" s="31">
        <f>IF($A175="","",IF($H175="TBA-001",IF($D175="Evet",ROUND($C175*tba_oranBesPuan,2),0),IF($H175="TBA-002",IF($E175="Evet",ROUND($C175*tba_oranIlave,2),0),IF($H175="TBA-004",IF($F175="Evet",ROUND($C175*tba_oranKadinGenc,2),0),IF($H175="TBA-ENG",IF($G175="Evet",ROUND($C175*tba_isverenOran,2),0),0)))))</f>
        <v/>
      </c>
      <c r="L175" s="31">
        <f>IF($A175="","",MAX(0,$J175-$K175))</f>
        <v/>
      </c>
    </row>
    <row r="176">
      <c r="I176" s="31">
        <f>IF($A176="","",IF($J176=0,"YOK",IF(AND($E176="Evet",ROUND($C176*tba_oranIlave,2)=$J176),"TBA-002",IF(AND($D176="Evet",ROUND($C176*tba_oranBesPuan,2)=$J176),"TBA-001",IF(AND($F176="Evet",ROUND($C176*tba_oranKadinGenc,2)=$J176),"TBA-004","TBA-ENG")))))</f>
        <v/>
      </c>
      <c r="J176" s="31">
        <f>IF($A176="","",MAX(IF($D176="Evet",ROUND($C176*tba_oranBesPuan,2),0),IF($E176="Evet",ROUND($C176*tba_oranIlave,2),0),IF($F176="Evet",ROUND($C176*tba_oranKadinGenc,2),0),IF($G176="Evet",ROUND($C176*tba_isverenOran,2),0)))</f>
        <v/>
      </c>
      <c r="K176" s="31">
        <f>IF($A176="","",IF($H176="TBA-001",IF($D176="Evet",ROUND($C176*tba_oranBesPuan,2),0),IF($H176="TBA-002",IF($E176="Evet",ROUND($C176*tba_oranIlave,2),0),IF($H176="TBA-004",IF($F176="Evet",ROUND($C176*tba_oranKadinGenc,2),0),IF($H176="TBA-ENG",IF($G176="Evet",ROUND($C176*tba_isverenOran,2),0),0)))))</f>
        <v/>
      </c>
      <c r="L176" s="31">
        <f>IF($A176="","",MAX(0,$J176-$K176))</f>
        <v/>
      </c>
    </row>
    <row r="177">
      <c r="I177" s="31">
        <f>IF($A177="","",IF($J177=0,"YOK",IF(AND($E177="Evet",ROUND($C177*tba_oranIlave,2)=$J177),"TBA-002",IF(AND($D177="Evet",ROUND($C177*tba_oranBesPuan,2)=$J177),"TBA-001",IF(AND($F177="Evet",ROUND($C177*tba_oranKadinGenc,2)=$J177),"TBA-004","TBA-ENG")))))</f>
        <v/>
      </c>
      <c r="J177" s="31">
        <f>IF($A177="","",MAX(IF($D177="Evet",ROUND($C177*tba_oranBesPuan,2),0),IF($E177="Evet",ROUND($C177*tba_oranIlave,2),0),IF($F177="Evet",ROUND($C177*tba_oranKadinGenc,2),0),IF($G177="Evet",ROUND($C177*tba_isverenOran,2),0)))</f>
        <v/>
      </c>
      <c r="K177" s="31">
        <f>IF($A177="","",IF($H177="TBA-001",IF($D177="Evet",ROUND($C177*tba_oranBesPuan,2),0),IF($H177="TBA-002",IF($E177="Evet",ROUND($C177*tba_oranIlave,2),0),IF($H177="TBA-004",IF($F177="Evet",ROUND($C177*tba_oranKadinGenc,2),0),IF($H177="TBA-ENG",IF($G177="Evet",ROUND($C177*tba_isverenOran,2),0),0)))))</f>
        <v/>
      </c>
      <c r="L177" s="31">
        <f>IF($A177="","",MAX(0,$J177-$K177))</f>
        <v/>
      </c>
    </row>
    <row r="178">
      <c r="I178" s="31">
        <f>IF($A178="","",IF($J178=0,"YOK",IF(AND($E178="Evet",ROUND($C178*tba_oranIlave,2)=$J178),"TBA-002",IF(AND($D178="Evet",ROUND($C178*tba_oranBesPuan,2)=$J178),"TBA-001",IF(AND($F178="Evet",ROUND($C178*tba_oranKadinGenc,2)=$J178),"TBA-004","TBA-ENG")))))</f>
        <v/>
      </c>
      <c r="J178" s="31">
        <f>IF($A178="","",MAX(IF($D178="Evet",ROUND($C178*tba_oranBesPuan,2),0),IF($E178="Evet",ROUND($C178*tba_oranIlave,2),0),IF($F178="Evet",ROUND($C178*tba_oranKadinGenc,2),0),IF($G178="Evet",ROUND($C178*tba_isverenOran,2),0)))</f>
        <v/>
      </c>
      <c r="K178" s="31">
        <f>IF($A178="","",IF($H178="TBA-001",IF($D178="Evet",ROUND($C178*tba_oranBesPuan,2),0),IF($H178="TBA-002",IF($E178="Evet",ROUND($C178*tba_oranIlave,2),0),IF($H178="TBA-004",IF($F178="Evet",ROUND($C178*tba_oranKadinGenc,2),0),IF($H178="TBA-ENG",IF($G178="Evet",ROUND($C178*tba_isverenOran,2),0),0)))))</f>
        <v/>
      </c>
      <c r="L178" s="31">
        <f>IF($A178="","",MAX(0,$J178-$K178))</f>
        <v/>
      </c>
    </row>
    <row r="179">
      <c r="I179" s="31">
        <f>IF($A179="","",IF($J179=0,"YOK",IF(AND($E179="Evet",ROUND($C179*tba_oranIlave,2)=$J179),"TBA-002",IF(AND($D179="Evet",ROUND($C179*tba_oranBesPuan,2)=$J179),"TBA-001",IF(AND($F179="Evet",ROUND($C179*tba_oranKadinGenc,2)=$J179),"TBA-004","TBA-ENG")))))</f>
        <v/>
      </c>
      <c r="J179" s="31">
        <f>IF($A179="","",MAX(IF($D179="Evet",ROUND($C179*tba_oranBesPuan,2),0),IF($E179="Evet",ROUND($C179*tba_oranIlave,2),0),IF($F179="Evet",ROUND($C179*tba_oranKadinGenc,2),0),IF($G179="Evet",ROUND($C179*tba_isverenOran,2),0)))</f>
        <v/>
      </c>
      <c r="K179" s="31">
        <f>IF($A179="","",IF($H179="TBA-001",IF($D179="Evet",ROUND($C179*tba_oranBesPuan,2),0),IF($H179="TBA-002",IF($E179="Evet",ROUND($C179*tba_oranIlave,2),0),IF($H179="TBA-004",IF($F179="Evet",ROUND($C179*tba_oranKadinGenc,2),0),IF($H179="TBA-ENG",IF($G179="Evet",ROUND($C179*tba_isverenOran,2),0),0)))))</f>
        <v/>
      </c>
      <c r="L179" s="31">
        <f>IF($A179="","",MAX(0,$J179-$K179))</f>
        <v/>
      </c>
    </row>
    <row r="180">
      <c r="I180" s="31">
        <f>IF($A180="","",IF($J180=0,"YOK",IF(AND($E180="Evet",ROUND($C180*tba_oranIlave,2)=$J180),"TBA-002",IF(AND($D180="Evet",ROUND($C180*tba_oranBesPuan,2)=$J180),"TBA-001",IF(AND($F180="Evet",ROUND($C180*tba_oranKadinGenc,2)=$J180),"TBA-004","TBA-ENG")))))</f>
        <v/>
      </c>
      <c r="J180" s="31">
        <f>IF($A180="","",MAX(IF($D180="Evet",ROUND($C180*tba_oranBesPuan,2),0),IF($E180="Evet",ROUND($C180*tba_oranIlave,2),0),IF($F180="Evet",ROUND($C180*tba_oranKadinGenc,2),0),IF($G180="Evet",ROUND($C180*tba_isverenOran,2),0)))</f>
        <v/>
      </c>
      <c r="K180" s="31">
        <f>IF($A180="","",IF($H180="TBA-001",IF($D180="Evet",ROUND($C180*tba_oranBesPuan,2),0),IF($H180="TBA-002",IF($E180="Evet",ROUND($C180*tba_oranIlave,2),0),IF($H180="TBA-004",IF($F180="Evet",ROUND($C180*tba_oranKadinGenc,2),0),IF($H180="TBA-ENG",IF($G180="Evet",ROUND($C180*tba_isverenOran,2),0),0)))))</f>
        <v/>
      </c>
      <c r="L180" s="31">
        <f>IF($A180="","",MAX(0,$J180-$K180))</f>
        <v/>
      </c>
    </row>
    <row r="181">
      <c r="I181" s="31">
        <f>IF($A181="","",IF($J181=0,"YOK",IF(AND($E181="Evet",ROUND($C181*tba_oranIlave,2)=$J181),"TBA-002",IF(AND($D181="Evet",ROUND($C181*tba_oranBesPuan,2)=$J181),"TBA-001",IF(AND($F181="Evet",ROUND($C181*tba_oranKadinGenc,2)=$J181),"TBA-004","TBA-ENG")))))</f>
        <v/>
      </c>
      <c r="J181" s="31">
        <f>IF($A181="","",MAX(IF($D181="Evet",ROUND($C181*tba_oranBesPuan,2),0),IF($E181="Evet",ROUND($C181*tba_oranIlave,2),0),IF($F181="Evet",ROUND($C181*tba_oranKadinGenc,2),0),IF($G181="Evet",ROUND($C181*tba_isverenOran,2),0)))</f>
        <v/>
      </c>
      <c r="K181" s="31">
        <f>IF($A181="","",IF($H181="TBA-001",IF($D181="Evet",ROUND($C181*tba_oranBesPuan,2),0),IF($H181="TBA-002",IF($E181="Evet",ROUND($C181*tba_oranIlave,2),0),IF($H181="TBA-004",IF($F181="Evet",ROUND($C181*tba_oranKadinGenc,2),0),IF($H181="TBA-ENG",IF($G181="Evet",ROUND($C181*tba_isverenOran,2),0),0)))))</f>
        <v/>
      </c>
      <c r="L181" s="31">
        <f>IF($A181="","",MAX(0,$J181-$K181))</f>
        <v/>
      </c>
    </row>
    <row r="182">
      <c r="I182" s="31">
        <f>IF($A182="","",IF($J182=0,"YOK",IF(AND($E182="Evet",ROUND($C182*tba_oranIlave,2)=$J182),"TBA-002",IF(AND($D182="Evet",ROUND($C182*tba_oranBesPuan,2)=$J182),"TBA-001",IF(AND($F182="Evet",ROUND($C182*tba_oranKadinGenc,2)=$J182),"TBA-004","TBA-ENG")))))</f>
        <v/>
      </c>
      <c r="J182" s="31">
        <f>IF($A182="","",MAX(IF($D182="Evet",ROUND($C182*tba_oranBesPuan,2),0),IF($E182="Evet",ROUND($C182*tba_oranIlave,2),0),IF($F182="Evet",ROUND($C182*tba_oranKadinGenc,2),0),IF($G182="Evet",ROUND($C182*tba_isverenOran,2),0)))</f>
        <v/>
      </c>
      <c r="K182" s="31">
        <f>IF($A182="","",IF($H182="TBA-001",IF($D182="Evet",ROUND($C182*tba_oranBesPuan,2),0),IF($H182="TBA-002",IF($E182="Evet",ROUND($C182*tba_oranIlave,2),0),IF($H182="TBA-004",IF($F182="Evet",ROUND($C182*tba_oranKadinGenc,2),0),IF($H182="TBA-ENG",IF($G182="Evet",ROUND($C182*tba_isverenOran,2),0),0)))))</f>
        <v/>
      </c>
      <c r="L182" s="31">
        <f>IF($A182="","",MAX(0,$J182-$K182))</f>
        <v/>
      </c>
    </row>
    <row r="183">
      <c r="I183" s="31">
        <f>IF($A183="","",IF($J183=0,"YOK",IF(AND($E183="Evet",ROUND($C183*tba_oranIlave,2)=$J183),"TBA-002",IF(AND($D183="Evet",ROUND($C183*tba_oranBesPuan,2)=$J183),"TBA-001",IF(AND($F183="Evet",ROUND($C183*tba_oranKadinGenc,2)=$J183),"TBA-004","TBA-ENG")))))</f>
        <v/>
      </c>
      <c r="J183" s="31">
        <f>IF($A183="","",MAX(IF($D183="Evet",ROUND($C183*tba_oranBesPuan,2),0),IF($E183="Evet",ROUND($C183*tba_oranIlave,2),0),IF($F183="Evet",ROUND($C183*tba_oranKadinGenc,2),0),IF($G183="Evet",ROUND($C183*tba_isverenOran,2),0)))</f>
        <v/>
      </c>
      <c r="K183" s="31">
        <f>IF($A183="","",IF($H183="TBA-001",IF($D183="Evet",ROUND($C183*tba_oranBesPuan,2),0),IF($H183="TBA-002",IF($E183="Evet",ROUND($C183*tba_oranIlave,2),0),IF($H183="TBA-004",IF($F183="Evet",ROUND($C183*tba_oranKadinGenc,2),0),IF($H183="TBA-ENG",IF($G183="Evet",ROUND($C183*tba_isverenOran,2),0),0)))))</f>
        <v/>
      </c>
      <c r="L183" s="31">
        <f>IF($A183="","",MAX(0,$J183-$K183))</f>
        <v/>
      </c>
    </row>
    <row r="184">
      <c r="I184" s="31">
        <f>IF($A184="","",IF($J184=0,"YOK",IF(AND($E184="Evet",ROUND($C184*tba_oranIlave,2)=$J184),"TBA-002",IF(AND($D184="Evet",ROUND($C184*tba_oranBesPuan,2)=$J184),"TBA-001",IF(AND($F184="Evet",ROUND($C184*tba_oranKadinGenc,2)=$J184),"TBA-004","TBA-ENG")))))</f>
        <v/>
      </c>
      <c r="J184" s="31">
        <f>IF($A184="","",MAX(IF($D184="Evet",ROUND($C184*tba_oranBesPuan,2),0),IF($E184="Evet",ROUND($C184*tba_oranIlave,2),0),IF($F184="Evet",ROUND($C184*tba_oranKadinGenc,2),0),IF($G184="Evet",ROUND($C184*tba_isverenOran,2),0)))</f>
        <v/>
      </c>
      <c r="K184" s="31">
        <f>IF($A184="","",IF($H184="TBA-001",IF($D184="Evet",ROUND($C184*tba_oranBesPuan,2),0),IF($H184="TBA-002",IF($E184="Evet",ROUND($C184*tba_oranIlave,2),0),IF($H184="TBA-004",IF($F184="Evet",ROUND($C184*tba_oranKadinGenc,2),0),IF($H184="TBA-ENG",IF($G184="Evet",ROUND($C184*tba_isverenOran,2),0),0)))))</f>
        <v/>
      </c>
      <c r="L184" s="31">
        <f>IF($A184="","",MAX(0,$J184-$K184))</f>
        <v/>
      </c>
    </row>
    <row r="185">
      <c r="I185" s="31">
        <f>IF($A185="","",IF($J185=0,"YOK",IF(AND($E185="Evet",ROUND($C185*tba_oranIlave,2)=$J185),"TBA-002",IF(AND($D185="Evet",ROUND($C185*tba_oranBesPuan,2)=$J185),"TBA-001",IF(AND($F185="Evet",ROUND($C185*tba_oranKadinGenc,2)=$J185),"TBA-004","TBA-ENG")))))</f>
        <v/>
      </c>
      <c r="J185" s="31">
        <f>IF($A185="","",MAX(IF($D185="Evet",ROUND($C185*tba_oranBesPuan,2),0),IF($E185="Evet",ROUND($C185*tba_oranIlave,2),0),IF($F185="Evet",ROUND($C185*tba_oranKadinGenc,2),0),IF($G185="Evet",ROUND($C185*tba_isverenOran,2),0)))</f>
        <v/>
      </c>
      <c r="K185" s="31">
        <f>IF($A185="","",IF($H185="TBA-001",IF($D185="Evet",ROUND($C185*tba_oranBesPuan,2),0),IF($H185="TBA-002",IF($E185="Evet",ROUND($C185*tba_oranIlave,2),0),IF($H185="TBA-004",IF($F185="Evet",ROUND($C185*tba_oranKadinGenc,2),0),IF($H185="TBA-ENG",IF($G185="Evet",ROUND($C185*tba_isverenOran,2),0),0)))))</f>
        <v/>
      </c>
      <c r="L185" s="31">
        <f>IF($A185="","",MAX(0,$J185-$K185))</f>
        <v/>
      </c>
    </row>
    <row r="186">
      <c r="I186" s="31">
        <f>IF($A186="","",IF($J186=0,"YOK",IF(AND($E186="Evet",ROUND($C186*tba_oranIlave,2)=$J186),"TBA-002",IF(AND($D186="Evet",ROUND($C186*tba_oranBesPuan,2)=$J186),"TBA-001",IF(AND($F186="Evet",ROUND($C186*tba_oranKadinGenc,2)=$J186),"TBA-004","TBA-ENG")))))</f>
        <v/>
      </c>
      <c r="J186" s="31">
        <f>IF($A186="","",MAX(IF($D186="Evet",ROUND($C186*tba_oranBesPuan,2),0),IF($E186="Evet",ROUND($C186*tba_oranIlave,2),0),IF($F186="Evet",ROUND($C186*tba_oranKadinGenc,2),0),IF($G186="Evet",ROUND($C186*tba_isverenOran,2),0)))</f>
        <v/>
      </c>
      <c r="K186" s="31">
        <f>IF($A186="","",IF($H186="TBA-001",IF($D186="Evet",ROUND($C186*tba_oranBesPuan,2),0),IF($H186="TBA-002",IF($E186="Evet",ROUND($C186*tba_oranIlave,2),0),IF($H186="TBA-004",IF($F186="Evet",ROUND($C186*tba_oranKadinGenc,2),0),IF($H186="TBA-ENG",IF($G186="Evet",ROUND($C186*tba_isverenOran,2),0),0)))))</f>
        <v/>
      </c>
      <c r="L186" s="31">
        <f>IF($A186="","",MAX(0,$J186-$K186))</f>
        <v/>
      </c>
    </row>
    <row r="187">
      <c r="I187" s="31">
        <f>IF($A187="","",IF($J187=0,"YOK",IF(AND($E187="Evet",ROUND($C187*tba_oranIlave,2)=$J187),"TBA-002",IF(AND($D187="Evet",ROUND($C187*tba_oranBesPuan,2)=$J187),"TBA-001",IF(AND($F187="Evet",ROUND($C187*tba_oranKadinGenc,2)=$J187),"TBA-004","TBA-ENG")))))</f>
        <v/>
      </c>
      <c r="J187" s="31">
        <f>IF($A187="","",MAX(IF($D187="Evet",ROUND($C187*tba_oranBesPuan,2),0),IF($E187="Evet",ROUND($C187*tba_oranIlave,2),0),IF($F187="Evet",ROUND($C187*tba_oranKadinGenc,2),0),IF($G187="Evet",ROUND($C187*tba_isverenOran,2),0)))</f>
        <v/>
      </c>
      <c r="K187" s="31">
        <f>IF($A187="","",IF($H187="TBA-001",IF($D187="Evet",ROUND($C187*tba_oranBesPuan,2),0),IF($H187="TBA-002",IF($E187="Evet",ROUND($C187*tba_oranIlave,2),0),IF($H187="TBA-004",IF($F187="Evet",ROUND($C187*tba_oranKadinGenc,2),0),IF($H187="TBA-ENG",IF($G187="Evet",ROUND($C187*tba_isverenOran,2),0),0)))))</f>
        <v/>
      </c>
      <c r="L187" s="31">
        <f>IF($A187="","",MAX(0,$J187-$K187))</f>
        <v/>
      </c>
    </row>
    <row r="188">
      <c r="I188" s="31">
        <f>IF($A188="","",IF($J188=0,"YOK",IF(AND($E188="Evet",ROUND($C188*tba_oranIlave,2)=$J188),"TBA-002",IF(AND($D188="Evet",ROUND($C188*tba_oranBesPuan,2)=$J188),"TBA-001",IF(AND($F188="Evet",ROUND($C188*tba_oranKadinGenc,2)=$J188),"TBA-004","TBA-ENG")))))</f>
        <v/>
      </c>
      <c r="J188" s="31">
        <f>IF($A188="","",MAX(IF($D188="Evet",ROUND($C188*tba_oranBesPuan,2),0),IF($E188="Evet",ROUND($C188*tba_oranIlave,2),0),IF($F188="Evet",ROUND($C188*tba_oranKadinGenc,2),0),IF($G188="Evet",ROUND($C188*tba_isverenOran,2),0)))</f>
        <v/>
      </c>
      <c r="K188" s="31">
        <f>IF($A188="","",IF($H188="TBA-001",IF($D188="Evet",ROUND($C188*tba_oranBesPuan,2),0),IF($H188="TBA-002",IF($E188="Evet",ROUND($C188*tba_oranIlave,2),0),IF($H188="TBA-004",IF($F188="Evet",ROUND($C188*tba_oranKadinGenc,2),0),IF($H188="TBA-ENG",IF($G188="Evet",ROUND($C188*tba_isverenOran,2),0),0)))))</f>
        <v/>
      </c>
      <c r="L188" s="31">
        <f>IF($A188="","",MAX(0,$J188-$K188))</f>
        <v/>
      </c>
    </row>
    <row r="189">
      <c r="I189" s="31">
        <f>IF($A189="","",IF($J189=0,"YOK",IF(AND($E189="Evet",ROUND($C189*tba_oranIlave,2)=$J189),"TBA-002",IF(AND($D189="Evet",ROUND($C189*tba_oranBesPuan,2)=$J189),"TBA-001",IF(AND($F189="Evet",ROUND($C189*tba_oranKadinGenc,2)=$J189),"TBA-004","TBA-ENG")))))</f>
        <v/>
      </c>
      <c r="J189" s="31">
        <f>IF($A189="","",MAX(IF($D189="Evet",ROUND($C189*tba_oranBesPuan,2),0),IF($E189="Evet",ROUND($C189*tba_oranIlave,2),0),IF($F189="Evet",ROUND($C189*tba_oranKadinGenc,2),0),IF($G189="Evet",ROUND($C189*tba_isverenOran,2),0)))</f>
        <v/>
      </c>
      <c r="K189" s="31">
        <f>IF($A189="","",IF($H189="TBA-001",IF($D189="Evet",ROUND($C189*tba_oranBesPuan,2),0),IF($H189="TBA-002",IF($E189="Evet",ROUND($C189*tba_oranIlave,2),0),IF($H189="TBA-004",IF($F189="Evet",ROUND($C189*tba_oranKadinGenc,2),0),IF($H189="TBA-ENG",IF($G189="Evet",ROUND($C189*tba_isverenOran,2),0),0)))))</f>
        <v/>
      </c>
      <c r="L189" s="31">
        <f>IF($A189="","",MAX(0,$J189-$K189))</f>
        <v/>
      </c>
    </row>
    <row r="190">
      <c r="I190" s="31">
        <f>IF($A190="","",IF($J190=0,"YOK",IF(AND($E190="Evet",ROUND($C190*tba_oranIlave,2)=$J190),"TBA-002",IF(AND($D190="Evet",ROUND($C190*tba_oranBesPuan,2)=$J190),"TBA-001",IF(AND($F190="Evet",ROUND($C190*tba_oranKadinGenc,2)=$J190),"TBA-004","TBA-ENG")))))</f>
        <v/>
      </c>
      <c r="J190" s="31">
        <f>IF($A190="","",MAX(IF($D190="Evet",ROUND($C190*tba_oranBesPuan,2),0),IF($E190="Evet",ROUND($C190*tba_oranIlave,2),0),IF($F190="Evet",ROUND($C190*tba_oranKadinGenc,2),0),IF($G190="Evet",ROUND($C190*tba_isverenOran,2),0)))</f>
        <v/>
      </c>
      <c r="K190" s="31">
        <f>IF($A190="","",IF($H190="TBA-001",IF($D190="Evet",ROUND($C190*tba_oranBesPuan,2),0),IF($H190="TBA-002",IF($E190="Evet",ROUND($C190*tba_oranIlave,2),0),IF($H190="TBA-004",IF($F190="Evet",ROUND($C190*tba_oranKadinGenc,2),0),IF($H190="TBA-ENG",IF($G190="Evet",ROUND($C190*tba_isverenOran,2),0),0)))))</f>
        <v/>
      </c>
      <c r="L190" s="31">
        <f>IF($A190="","",MAX(0,$J190-$K190))</f>
        <v/>
      </c>
    </row>
    <row r="191">
      <c r="I191" s="31">
        <f>IF($A191="","",IF($J191=0,"YOK",IF(AND($E191="Evet",ROUND($C191*tba_oranIlave,2)=$J191),"TBA-002",IF(AND($D191="Evet",ROUND($C191*tba_oranBesPuan,2)=$J191),"TBA-001",IF(AND($F191="Evet",ROUND($C191*tba_oranKadinGenc,2)=$J191),"TBA-004","TBA-ENG")))))</f>
        <v/>
      </c>
      <c r="J191" s="31">
        <f>IF($A191="","",MAX(IF($D191="Evet",ROUND($C191*tba_oranBesPuan,2),0),IF($E191="Evet",ROUND($C191*tba_oranIlave,2),0),IF($F191="Evet",ROUND($C191*tba_oranKadinGenc,2),0),IF($G191="Evet",ROUND($C191*tba_isverenOran,2),0)))</f>
        <v/>
      </c>
      <c r="K191" s="31">
        <f>IF($A191="","",IF($H191="TBA-001",IF($D191="Evet",ROUND($C191*tba_oranBesPuan,2),0),IF($H191="TBA-002",IF($E191="Evet",ROUND($C191*tba_oranIlave,2),0),IF($H191="TBA-004",IF($F191="Evet",ROUND($C191*tba_oranKadinGenc,2),0),IF($H191="TBA-ENG",IF($G191="Evet",ROUND($C191*tba_isverenOran,2),0),0)))))</f>
        <v/>
      </c>
      <c r="L191" s="31">
        <f>IF($A191="","",MAX(0,$J191-$K191))</f>
        <v/>
      </c>
    </row>
    <row r="192">
      <c r="I192" s="31">
        <f>IF($A192="","",IF($J192=0,"YOK",IF(AND($E192="Evet",ROUND($C192*tba_oranIlave,2)=$J192),"TBA-002",IF(AND($D192="Evet",ROUND($C192*tba_oranBesPuan,2)=$J192),"TBA-001",IF(AND($F192="Evet",ROUND($C192*tba_oranKadinGenc,2)=$J192),"TBA-004","TBA-ENG")))))</f>
        <v/>
      </c>
      <c r="J192" s="31">
        <f>IF($A192="","",MAX(IF($D192="Evet",ROUND($C192*tba_oranBesPuan,2),0),IF($E192="Evet",ROUND($C192*tba_oranIlave,2),0),IF($F192="Evet",ROUND($C192*tba_oranKadinGenc,2),0),IF($G192="Evet",ROUND($C192*tba_isverenOran,2),0)))</f>
        <v/>
      </c>
      <c r="K192" s="31">
        <f>IF($A192="","",IF($H192="TBA-001",IF($D192="Evet",ROUND($C192*tba_oranBesPuan,2),0),IF($H192="TBA-002",IF($E192="Evet",ROUND($C192*tba_oranIlave,2),0),IF($H192="TBA-004",IF($F192="Evet",ROUND($C192*tba_oranKadinGenc,2),0),IF($H192="TBA-ENG",IF($G192="Evet",ROUND($C192*tba_isverenOran,2),0),0)))))</f>
        <v/>
      </c>
      <c r="L192" s="31">
        <f>IF($A192="","",MAX(0,$J192-$K192))</f>
        <v/>
      </c>
    </row>
    <row r="193">
      <c r="I193" s="31">
        <f>IF($A193="","",IF($J193=0,"YOK",IF(AND($E193="Evet",ROUND($C193*tba_oranIlave,2)=$J193),"TBA-002",IF(AND($D193="Evet",ROUND($C193*tba_oranBesPuan,2)=$J193),"TBA-001",IF(AND($F193="Evet",ROUND($C193*tba_oranKadinGenc,2)=$J193),"TBA-004","TBA-ENG")))))</f>
        <v/>
      </c>
      <c r="J193" s="31">
        <f>IF($A193="","",MAX(IF($D193="Evet",ROUND($C193*tba_oranBesPuan,2),0),IF($E193="Evet",ROUND($C193*tba_oranIlave,2),0),IF($F193="Evet",ROUND($C193*tba_oranKadinGenc,2),0),IF($G193="Evet",ROUND($C193*tba_isverenOran,2),0)))</f>
        <v/>
      </c>
      <c r="K193" s="31">
        <f>IF($A193="","",IF($H193="TBA-001",IF($D193="Evet",ROUND($C193*tba_oranBesPuan,2),0),IF($H193="TBA-002",IF($E193="Evet",ROUND($C193*tba_oranIlave,2),0),IF($H193="TBA-004",IF($F193="Evet",ROUND($C193*tba_oranKadinGenc,2),0),IF($H193="TBA-ENG",IF($G193="Evet",ROUND($C193*tba_isverenOran,2),0),0)))))</f>
        <v/>
      </c>
      <c r="L193" s="31">
        <f>IF($A193="","",MAX(0,$J193-$K193))</f>
        <v/>
      </c>
    </row>
    <row r="194">
      <c r="I194" s="31">
        <f>IF($A194="","",IF($J194=0,"YOK",IF(AND($E194="Evet",ROUND($C194*tba_oranIlave,2)=$J194),"TBA-002",IF(AND($D194="Evet",ROUND($C194*tba_oranBesPuan,2)=$J194),"TBA-001",IF(AND($F194="Evet",ROUND($C194*tba_oranKadinGenc,2)=$J194),"TBA-004","TBA-ENG")))))</f>
        <v/>
      </c>
      <c r="J194" s="31">
        <f>IF($A194="","",MAX(IF($D194="Evet",ROUND($C194*tba_oranBesPuan,2),0),IF($E194="Evet",ROUND($C194*tba_oranIlave,2),0),IF($F194="Evet",ROUND($C194*tba_oranKadinGenc,2),0),IF($G194="Evet",ROUND($C194*tba_isverenOran,2),0)))</f>
        <v/>
      </c>
      <c r="K194" s="31">
        <f>IF($A194="","",IF($H194="TBA-001",IF($D194="Evet",ROUND($C194*tba_oranBesPuan,2),0),IF($H194="TBA-002",IF($E194="Evet",ROUND($C194*tba_oranIlave,2),0),IF($H194="TBA-004",IF($F194="Evet",ROUND($C194*tba_oranKadinGenc,2),0),IF($H194="TBA-ENG",IF($G194="Evet",ROUND($C194*tba_isverenOran,2),0),0)))))</f>
        <v/>
      </c>
      <c r="L194" s="31">
        <f>IF($A194="","",MAX(0,$J194-$K194))</f>
        <v/>
      </c>
    </row>
    <row r="195">
      <c r="I195" s="31">
        <f>IF($A195="","",IF($J195=0,"YOK",IF(AND($E195="Evet",ROUND($C195*tba_oranIlave,2)=$J195),"TBA-002",IF(AND($D195="Evet",ROUND($C195*tba_oranBesPuan,2)=$J195),"TBA-001",IF(AND($F195="Evet",ROUND($C195*tba_oranKadinGenc,2)=$J195),"TBA-004","TBA-ENG")))))</f>
        <v/>
      </c>
      <c r="J195" s="31">
        <f>IF($A195="","",MAX(IF($D195="Evet",ROUND($C195*tba_oranBesPuan,2),0),IF($E195="Evet",ROUND($C195*tba_oranIlave,2),0),IF($F195="Evet",ROUND($C195*tba_oranKadinGenc,2),0),IF($G195="Evet",ROUND($C195*tba_isverenOran,2),0)))</f>
        <v/>
      </c>
      <c r="K195" s="31">
        <f>IF($A195="","",IF($H195="TBA-001",IF($D195="Evet",ROUND($C195*tba_oranBesPuan,2),0),IF($H195="TBA-002",IF($E195="Evet",ROUND($C195*tba_oranIlave,2),0),IF($H195="TBA-004",IF($F195="Evet",ROUND($C195*tba_oranKadinGenc,2),0),IF($H195="TBA-ENG",IF($G195="Evet",ROUND($C195*tba_isverenOran,2),0),0)))))</f>
        <v/>
      </c>
      <c r="L195" s="31">
        <f>IF($A195="","",MAX(0,$J195-$K195))</f>
        <v/>
      </c>
    </row>
    <row r="196">
      <c r="I196" s="31">
        <f>IF($A196="","",IF($J196=0,"YOK",IF(AND($E196="Evet",ROUND($C196*tba_oranIlave,2)=$J196),"TBA-002",IF(AND($D196="Evet",ROUND($C196*tba_oranBesPuan,2)=$J196),"TBA-001",IF(AND($F196="Evet",ROUND($C196*tba_oranKadinGenc,2)=$J196),"TBA-004","TBA-ENG")))))</f>
        <v/>
      </c>
      <c r="J196" s="31">
        <f>IF($A196="","",MAX(IF($D196="Evet",ROUND($C196*tba_oranBesPuan,2),0),IF($E196="Evet",ROUND($C196*tba_oranIlave,2),0),IF($F196="Evet",ROUND($C196*tba_oranKadinGenc,2),0),IF($G196="Evet",ROUND($C196*tba_isverenOran,2),0)))</f>
        <v/>
      </c>
      <c r="K196" s="31">
        <f>IF($A196="","",IF($H196="TBA-001",IF($D196="Evet",ROUND($C196*tba_oranBesPuan,2),0),IF($H196="TBA-002",IF($E196="Evet",ROUND($C196*tba_oranIlave,2),0),IF($H196="TBA-004",IF($F196="Evet",ROUND($C196*tba_oranKadinGenc,2),0),IF($H196="TBA-ENG",IF($G196="Evet",ROUND($C196*tba_isverenOran,2),0),0)))))</f>
        <v/>
      </c>
      <c r="L196" s="31">
        <f>IF($A196="","",MAX(0,$J196-$K196))</f>
        <v/>
      </c>
    </row>
    <row r="197">
      <c r="I197" s="31">
        <f>IF($A197="","",IF($J197=0,"YOK",IF(AND($E197="Evet",ROUND($C197*tba_oranIlave,2)=$J197),"TBA-002",IF(AND($D197="Evet",ROUND($C197*tba_oranBesPuan,2)=$J197),"TBA-001",IF(AND($F197="Evet",ROUND($C197*tba_oranKadinGenc,2)=$J197),"TBA-004","TBA-ENG")))))</f>
        <v/>
      </c>
      <c r="J197" s="31">
        <f>IF($A197="","",MAX(IF($D197="Evet",ROUND($C197*tba_oranBesPuan,2),0),IF($E197="Evet",ROUND($C197*tba_oranIlave,2),0),IF($F197="Evet",ROUND($C197*tba_oranKadinGenc,2),0),IF($G197="Evet",ROUND($C197*tba_isverenOran,2),0)))</f>
        <v/>
      </c>
      <c r="K197" s="31">
        <f>IF($A197="","",IF($H197="TBA-001",IF($D197="Evet",ROUND($C197*tba_oranBesPuan,2),0),IF($H197="TBA-002",IF($E197="Evet",ROUND($C197*tba_oranIlave,2),0),IF($H197="TBA-004",IF($F197="Evet",ROUND($C197*tba_oranKadinGenc,2),0),IF($H197="TBA-ENG",IF($G197="Evet",ROUND($C197*tba_isverenOran,2),0),0)))))</f>
        <v/>
      </c>
      <c r="L197" s="31">
        <f>IF($A197="","",MAX(0,$J197-$K197))</f>
        <v/>
      </c>
    </row>
    <row r="198">
      <c r="I198" s="31">
        <f>IF($A198="","",IF($J198=0,"YOK",IF(AND($E198="Evet",ROUND($C198*tba_oranIlave,2)=$J198),"TBA-002",IF(AND($D198="Evet",ROUND($C198*tba_oranBesPuan,2)=$J198),"TBA-001",IF(AND($F198="Evet",ROUND($C198*tba_oranKadinGenc,2)=$J198),"TBA-004","TBA-ENG")))))</f>
        <v/>
      </c>
      <c r="J198" s="31">
        <f>IF($A198="","",MAX(IF($D198="Evet",ROUND($C198*tba_oranBesPuan,2),0),IF($E198="Evet",ROUND($C198*tba_oranIlave,2),0),IF($F198="Evet",ROUND($C198*tba_oranKadinGenc,2),0),IF($G198="Evet",ROUND($C198*tba_isverenOran,2),0)))</f>
        <v/>
      </c>
      <c r="K198" s="31">
        <f>IF($A198="","",IF($H198="TBA-001",IF($D198="Evet",ROUND($C198*tba_oranBesPuan,2),0),IF($H198="TBA-002",IF($E198="Evet",ROUND($C198*tba_oranIlave,2),0),IF($H198="TBA-004",IF($F198="Evet",ROUND($C198*tba_oranKadinGenc,2),0),IF($H198="TBA-ENG",IF($G198="Evet",ROUND($C198*tba_isverenOran,2),0),0)))))</f>
        <v/>
      </c>
      <c r="L198" s="31">
        <f>IF($A198="","",MAX(0,$J198-$K198))</f>
        <v/>
      </c>
    </row>
    <row r="199">
      <c r="I199" s="31">
        <f>IF($A199="","",IF($J199=0,"YOK",IF(AND($E199="Evet",ROUND($C199*tba_oranIlave,2)=$J199),"TBA-002",IF(AND($D199="Evet",ROUND($C199*tba_oranBesPuan,2)=$J199),"TBA-001",IF(AND($F199="Evet",ROUND($C199*tba_oranKadinGenc,2)=$J199),"TBA-004","TBA-ENG")))))</f>
        <v/>
      </c>
      <c r="J199" s="31">
        <f>IF($A199="","",MAX(IF($D199="Evet",ROUND($C199*tba_oranBesPuan,2),0),IF($E199="Evet",ROUND($C199*tba_oranIlave,2),0),IF($F199="Evet",ROUND($C199*tba_oranKadinGenc,2),0),IF($G199="Evet",ROUND($C199*tba_isverenOran,2),0)))</f>
        <v/>
      </c>
      <c r="K199" s="31">
        <f>IF($A199="","",IF($H199="TBA-001",IF($D199="Evet",ROUND($C199*tba_oranBesPuan,2),0),IF($H199="TBA-002",IF($E199="Evet",ROUND($C199*tba_oranIlave,2),0),IF($H199="TBA-004",IF($F199="Evet",ROUND($C199*tba_oranKadinGenc,2),0),IF($H199="TBA-ENG",IF($G199="Evet",ROUND($C199*tba_isverenOran,2),0),0)))))</f>
        <v/>
      </c>
      <c r="L199" s="31">
        <f>IF($A199="","",MAX(0,$J199-$K199))</f>
        <v/>
      </c>
    </row>
    <row r="200">
      <c r="I200" s="31">
        <f>IF($A200="","",IF($J200=0,"YOK",IF(AND($E200="Evet",ROUND($C200*tba_oranIlave,2)=$J200),"TBA-002",IF(AND($D200="Evet",ROUND($C200*tba_oranBesPuan,2)=$J200),"TBA-001",IF(AND($F200="Evet",ROUND($C200*tba_oranKadinGenc,2)=$J200),"TBA-004","TBA-ENG")))))</f>
        <v/>
      </c>
      <c r="J200" s="31">
        <f>IF($A200="","",MAX(IF($D200="Evet",ROUND($C200*tba_oranBesPuan,2),0),IF($E200="Evet",ROUND($C200*tba_oranIlave,2),0),IF($F200="Evet",ROUND($C200*tba_oranKadinGenc,2),0),IF($G200="Evet",ROUND($C200*tba_isverenOran,2),0)))</f>
        <v/>
      </c>
      <c r="K200" s="31">
        <f>IF($A200="","",IF($H200="TBA-001",IF($D200="Evet",ROUND($C200*tba_oranBesPuan,2),0),IF($H200="TBA-002",IF($E200="Evet",ROUND($C200*tba_oranIlave,2),0),IF($H200="TBA-004",IF($F200="Evet",ROUND($C200*tba_oranKadinGenc,2),0),IF($H200="TBA-ENG",IF($G200="Evet",ROUND($C200*tba_isverenOran,2),0),0)))))</f>
        <v/>
      </c>
      <c r="L200" s="31">
        <f>IF($A200="","",MAX(0,$J200-$K200))</f>
        <v/>
      </c>
    </row>
    <row r="201">
      <c r="I201" s="31">
        <f>IF($A201="","",IF($J201=0,"YOK",IF(AND($E201="Evet",ROUND($C201*tba_oranIlave,2)=$J201),"TBA-002",IF(AND($D201="Evet",ROUND($C201*tba_oranBesPuan,2)=$J201),"TBA-001",IF(AND($F201="Evet",ROUND($C201*tba_oranKadinGenc,2)=$J201),"TBA-004","TBA-ENG")))))</f>
        <v/>
      </c>
      <c r="J201" s="31">
        <f>IF($A201="","",MAX(IF($D201="Evet",ROUND($C201*tba_oranBesPuan,2),0),IF($E201="Evet",ROUND($C201*tba_oranIlave,2),0),IF($F201="Evet",ROUND($C201*tba_oranKadinGenc,2),0),IF($G201="Evet",ROUND($C201*tba_isverenOran,2),0)))</f>
        <v/>
      </c>
      <c r="K201" s="31">
        <f>IF($A201="","",IF($H201="TBA-001",IF($D201="Evet",ROUND($C201*tba_oranBesPuan,2),0),IF($H201="TBA-002",IF($E201="Evet",ROUND($C201*tba_oranIlave,2),0),IF($H201="TBA-004",IF($F201="Evet",ROUND($C201*tba_oranKadinGenc,2),0),IF($H201="TBA-ENG",IF($G201="Evet",ROUND($C201*tba_isverenOran,2),0),0)))))</f>
        <v/>
      </c>
      <c r="L201" s="31">
        <f>IF($A201="","",MAX(0,$J201-$K201))</f>
        <v/>
      </c>
    </row>
    <row r="202">
      <c r="I202" s="31">
        <f>IF($A202="","",IF($J202=0,"YOK",IF(AND($E202="Evet",ROUND($C202*tba_oranIlave,2)=$J202),"TBA-002",IF(AND($D202="Evet",ROUND($C202*tba_oranBesPuan,2)=$J202),"TBA-001",IF(AND($F202="Evet",ROUND($C202*tba_oranKadinGenc,2)=$J202),"TBA-004","TBA-ENG")))))</f>
        <v/>
      </c>
      <c r="J202" s="31">
        <f>IF($A202="","",MAX(IF($D202="Evet",ROUND($C202*tba_oranBesPuan,2),0),IF($E202="Evet",ROUND($C202*tba_oranIlave,2),0),IF($F202="Evet",ROUND($C202*tba_oranKadinGenc,2),0),IF($G202="Evet",ROUND($C202*tba_isverenOran,2),0)))</f>
        <v/>
      </c>
      <c r="K202" s="31">
        <f>IF($A202="","",IF($H202="TBA-001",IF($D202="Evet",ROUND($C202*tba_oranBesPuan,2),0),IF($H202="TBA-002",IF($E202="Evet",ROUND($C202*tba_oranIlave,2),0),IF($H202="TBA-004",IF($F202="Evet",ROUND($C202*tba_oranKadinGenc,2),0),IF($H202="TBA-ENG",IF($G202="Evet",ROUND($C202*tba_isverenOran,2),0),0)))))</f>
        <v/>
      </c>
      <c r="L202" s="31">
        <f>IF($A202="","",MAX(0,$J202-$K202))</f>
        <v/>
      </c>
    </row>
    <row r="203">
      <c r="I203" s="31">
        <f>IF($A203="","",IF($J203=0,"YOK",IF(AND($E203="Evet",ROUND($C203*tba_oranIlave,2)=$J203),"TBA-002",IF(AND($D203="Evet",ROUND($C203*tba_oranBesPuan,2)=$J203),"TBA-001",IF(AND($F203="Evet",ROUND($C203*tba_oranKadinGenc,2)=$J203),"TBA-004","TBA-ENG")))))</f>
        <v/>
      </c>
      <c r="J203" s="31">
        <f>IF($A203="","",MAX(IF($D203="Evet",ROUND($C203*tba_oranBesPuan,2),0),IF($E203="Evet",ROUND($C203*tba_oranIlave,2),0),IF($F203="Evet",ROUND($C203*tba_oranKadinGenc,2),0),IF($G203="Evet",ROUND($C203*tba_isverenOran,2),0)))</f>
        <v/>
      </c>
      <c r="K203" s="31">
        <f>IF($A203="","",IF($H203="TBA-001",IF($D203="Evet",ROUND($C203*tba_oranBesPuan,2),0),IF($H203="TBA-002",IF($E203="Evet",ROUND($C203*tba_oranIlave,2),0),IF($H203="TBA-004",IF($F203="Evet",ROUND($C203*tba_oranKadinGenc,2),0),IF($H203="TBA-ENG",IF($G203="Evet",ROUND($C203*tba_isverenOran,2),0),0)))))</f>
        <v/>
      </c>
      <c r="L203" s="31">
        <f>IF($A203="","",MAX(0,$J203-$K203))</f>
        <v/>
      </c>
    </row>
    <row r="204">
      <c r="I204" s="31">
        <f>IF($A204="","",IF($J204=0,"YOK",IF(AND($E204="Evet",ROUND($C204*tba_oranIlave,2)=$J204),"TBA-002",IF(AND($D204="Evet",ROUND($C204*tba_oranBesPuan,2)=$J204),"TBA-001",IF(AND($F204="Evet",ROUND($C204*tba_oranKadinGenc,2)=$J204),"TBA-004","TBA-ENG")))))</f>
        <v/>
      </c>
      <c r="J204" s="31">
        <f>IF($A204="","",MAX(IF($D204="Evet",ROUND($C204*tba_oranBesPuan,2),0),IF($E204="Evet",ROUND($C204*tba_oranIlave,2),0),IF($F204="Evet",ROUND($C204*tba_oranKadinGenc,2),0),IF($G204="Evet",ROUND($C204*tba_isverenOran,2),0)))</f>
        <v/>
      </c>
      <c r="K204" s="31">
        <f>IF($A204="","",IF($H204="TBA-001",IF($D204="Evet",ROUND($C204*tba_oranBesPuan,2),0),IF($H204="TBA-002",IF($E204="Evet",ROUND($C204*tba_oranIlave,2),0),IF($H204="TBA-004",IF($F204="Evet",ROUND($C204*tba_oranKadinGenc,2),0),IF($H204="TBA-ENG",IF($G204="Evet",ROUND($C204*tba_isverenOran,2),0),0)))))</f>
        <v/>
      </c>
      <c r="L204" s="31">
        <f>IF($A204="","",MAX(0,$J204-$K204))</f>
        <v/>
      </c>
    </row>
    <row r="205">
      <c r="I205" s="31">
        <f>IF($A205="","",IF($J205=0,"YOK",IF(AND($E205="Evet",ROUND($C205*tba_oranIlave,2)=$J205),"TBA-002",IF(AND($D205="Evet",ROUND($C205*tba_oranBesPuan,2)=$J205),"TBA-001",IF(AND($F205="Evet",ROUND($C205*tba_oranKadinGenc,2)=$J205),"TBA-004","TBA-ENG")))))</f>
        <v/>
      </c>
      <c r="J205" s="31">
        <f>IF($A205="","",MAX(IF($D205="Evet",ROUND($C205*tba_oranBesPuan,2),0),IF($E205="Evet",ROUND($C205*tba_oranIlave,2),0),IF($F205="Evet",ROUND($C205*tba_oranKadinGenc,2),0),IF($G205="Evet",ROUND($C205*tba_isverenOran,2),0)))</f>
        <v/>
      </c>
      <c r="K205" s="31">
        <f>IF($A205="","",IF($H205="TBA-001",IF($D205="Evet",ROUND($C205*tba_oranBesPuan,2),0),IF($H205="TBA-002",IF($E205="Evet",ROUND($C205*tba_oranIlave,2),0),IF($H205="TBA-004",IF($F205="Evet",ROUND($C205*tba_oranKadinGenc,2),0),IF($H205="TBA-ENG",IF($G205="Evet",ROUND($C205*tba_isverenOran,2),0),0)))))</f>
        <v/>
      </c>
      <c r="L205" s="31">
        <f>IF($A205="","",MAX(0,$J205-$K205))</f>
        <v/>
      </c>
    </row>
    <row r="206">
      <c r="I206" s="31">
        <f>IF($A206="","",IF($J206=0,"YOK",IF(AND($E206="Evet",ROUND($C206*tba_oranIlave,2)=$J206),"TBA-002",IF(AND($D206="Evet",ROUND($C206*tba_oranBesPuan,2)=$J206),"TBA-001",IF(AND($F206="Evet",ROUND($C206*tba_oranKadinGenc,2)=$J206),"TBA-004","TBA-ENG")))))</f>
        <v/>
      </c>
      <c r="J206" s="31">
        <f>IF($A206="","",MAX(IF($D206="Evet",ROUND($C206*tba_oranBesPuan,2),0),IF($E206="Evet",ROUND($C206*tba_oranIlave,2),0),IF($F206="Evet",ROUND($C206*tba_oranKadinGenc,2),0),IF($G206="Evet",ROUND($C206*tba_isverenOran,2),0)))</f>
        <v/>
      </c>
      <c r="K206" s="31">
        <f>IF($A206="","",IF($H206="TBA-001",IF($D206="Evet",ROUND($C206*tba_oranBesPuan,2),0),IF($H206="TBA-002",IF($E206="Evet",ROUND($C206*tba_oranIlave,2),0),IF($H206="TBA-004",IF($F206="Evet",ROUND($C206*tba_oranKadinGenc,2),0),IF($H206="TBA-ENG",IF($G206="Evet",ROUND($C206*tba_isverenOran,2),0),0)))))</f>
        <v/>
      </c>
      <c r="L206" s="31">
        <f>IF($A206="","",MAX(0,$J206-$K206))</f>
        <v/>
      </c>
    </row>
    <row r="207">
      <c r="I207" s="31">
        <f>IF($A207="","",IF($J207=0,"YOK",IF(AND($E207="Evet",ROUND($C207*tba_oranIlave,2)=$J207),"TBA-002",IF(AND($D207="Evet",ROUND($C207*tba_oranBesPuan,2)=$J207),"TBA-001",IF(AND($F207="Evet",ROUND($C207*tba_oranKadinGenc,2)=$J207),"TBA-004","TBA-ENG")))))</f>
        <v/>
      </c>
      <c r="J207" s="31">
        <f>IF($A207="","",MAX(IF($D207="Evet",ROUND($C207*tba_oranBesPuan,2),0),IF($E207="Evet",ROUND($C207*tba_oranIlave,2),0),IF($F207="Evet",ROUND($C207*tba_oranKadinGenc,2),0),IF($G207="Evet",ROUND($C207*tba_isverenOran,2),0)))</f>
        <v/>
      </c>
      <c r="K207" s="31">
        <f>IF($A207="","",IF($H207="TBA-001",IF($D207="Evet",ROUND($C207*tba_oranBesPuan,2),0),IF($H207="TBA-002",IF($E207="Evet",ROUND($C207*tba_oranIlave,2),0),IF($H207="TBA-004",IF($F207="Evet",ROUND($C207*tba_oranKadinGenc,2),0),IF($H207="TBA-ENG",IF($G207="Evet",ROUND($C207*tba_isverenOran,2),0),0)))))</f>
        <v/>
      </c>
      <c r="L207" s="31">
        <f>IF($A207="","",MAX(0,$J207-$K207))</f>
        <v/>
      </c>
    </row>
    <row r="208">
      <c r="I208" s="31">
        <f>IF($A208="","",IF($J208=0,"YOK",IF(AND($E208="Evet",ROUND($C208*tba_oranIlave,2)=$J208),"TBA-002",IF(AND($D208="Evet",ROUND($C208*tba_oranBesPuan,2)=$J208),"TBA-001",IF(AND($F208="Evet",ROUND($C208*tba_oranKadinGenc,2)=$J208),"TBA-004","TBA-ENG")))))</f>
        <v/>
      </c>
      <c r="J208" s="31">
        <f>IF($A208="","",MAX(IF($D208="Evet",ROUND($C208*tba_oranBesPuan,2),0),IF($E208="Evet",ROUND($C208*tba_oranIlave,2),0),IF($F208="Evet",ROUND($C208*tba_oranKadinGenc,2),0),IF($G208="Evet",ROUND($C208*tba_isverenOran,2),0)))</f>
        <v/>
      </c>
      <c r="K208" s="31">
        <f>IF($A208="","",IF($H208="TBA-001",IF($D208="Evet",ROUND($C208*tba_oranBesPuan,2),0),IF($H208="TBA-002",IF($E208="Evet",ROUND($C208*tba_oranIlave,2),0),IF($H208="TBA-004",IF($F208="Evet",ROUND($C208*tba_oranKadinGenc,2),0),IF($H208="TBA-ENG",IF($G208="Evet",ROUND($C208*tba_isverenOran,2),0),0)))))</f>
        <v/>
      </c>
      <c r="L208" s="31">
        <f>IF($A208="","",MAX(0,$J208-$K208))</f>
        <v/>
      </c>
    </row>
    <row r="209">
      <c r="I209" s="31">
        <f>IF($A209="","",IF($J209=0,"YOK",IF(AND($E209="Evet",ROUND($C209*tba_oranIlave,2)=$J209),"TBA-002",IF(AND($D209="Evet",ROUND($C209*tba_oranBesPuan,2)=$J209),"TBA-001",IF(AND($F209="Evet",ROUND($C209*tba_oranKadinGenc,2)=$J209),"TBA-004","TBA-ENG")))))</f>
        <v/>
      </c>
      <c r="J209" s="31">
        <f>IF($A209="","",MAX(IF($D209="Evet",ROUND($C209*tba_oranBesPuan,2),0),IF($E209="Evet",ROUND($C209*tba_oranIlave,2),0),IF($F209="Evet",ROUND($C209*tba_oranKadinGenc,2),0),IF($G209="Evet",ROUND($C209*tba_isverenOran,2),0)))</f>
        <v/>
      </c>
      <c r="K209" s="31">
        <f>IF($A209="","",IF($H209="TBA-001",IF($D209="Evet",ROUND($C209*tba_oranBesPuan,2),0),IF($H209="TBA-002",IF($E209="Evet",ROUND($C209*tba_oranIlave,2),0),IF($H209="TBA-004",IF($F209="Evet",ROUND($C209*tba_oranKadinGenc,2),0),IF($H209="TBA-ENG",IF($G209="Evet",ROUND($C209*tba_isverenOran,2),0),0)))))</f>
        <v/>
      </c>
      <c r="L209" s="31">
        <f>IF($A209="","",MAX(0,$J209-$K209))</f>
        <v/>
      </c>
    </row>
    <row r="210">
      <c r="I210" s="31">
        <f>IF($A210="","",IF($J210=0,"YOK",IF(AND($E210="Evet",ROUND($C210*tba_oranIlave,2)=$J210),"TBA-002",IF(AND($D210="Evet",ROUND($C210*tba_oranBesPuan,2)=$J210),"TBA-001",IF(AND($F210="Evet",ROUND($C210*tba_oranKadinGenc,2)=$J210),"TBA-004","TBA-ENG")))))</f>
        <v/>
      </c>
      <c r="J210" s="31">
        <f>IF($A210="","",MAX(IF($D210="Evet",ROUND($C210*tba_oranBesPuan,2),0),IF($E210="Evet",ROUND($C210*tba_oranIlave,2),0),IF($F210="Evet",ROUND($C210*tba_oranKadinGenc,2),0),IF($G210="Evet",ROUND($C210*tba_isverenOran,2),0)))</f>
        <v/>
      </c>
      <c r="K210" s="31">
        <f>IF($A210="","",IF($H210="TBA-001",IF($D210="Evet",ROUND($C210*tba_oranBesPuan,2),0),IF($H210="TBA-002",IF($E210="Evet",ROUND($C210*tba_oranIlave,2),0),IF($H210="TBA-004",IF($F210="Evet",ROUND($C210*tba_oranKadinGenc,2),0),IF($H210="TBA-ENG",IF($G210="Evet",ROUND($C210*tba_isverenOran,2),0),0)))))</f>
        <v/>
      </c>
      <c r="L210" s="31">
        <f>IF($A210="","",MAX(0,$J210-$K210))</f>
        <v/>
      </c>
    </row>
    <row r="211">
      <c r="I211" s="31">
        <f>IF($A211="","",IF($J211=0,"YOK",IF(AND($E211="Evet",ROUND($C211*tba_oranIlave,2)=$J211),"TBA-002",IF(AND($D211="Evet",ROUND($C211*tba_oranBesPuan,2)=$J211),"TBA-001",IF(AND($F211="Evet",ROUND($C211*tba_oranKadinGenc,2)=$J211),"TBA-004","TBA-ENG")))))</f>
        <v/>
      </c>
      <c r="J211" s="31">
        <f>IF($A211="","",MAX(IF($D211="Evet",ROUND($C211*tba_oranBesPuan,2),0),IF($E211="Evet",ROUND($C211*tba_oranIlave,2),0),IF($F211="Evet",ROUND($C211*tba_oranKadinGenc,2),0),IF($G211="Evet",ROUND($C211*tba_isverenOran,2),0)))</f>
        <v/>
      </c>
      <c r="K211" s="31">
        <f>IF($A211="","",IF($H211="TBA-001",IF($D211="Evet",ROUND($C211*tba_oranBesPuan,2),0),IF($H211="TBA-002",IF($E211="Evet",ROUND($C211*tba_oranIlave,2),0),IF($H211="TBA-004",IF($F211="Evet",ROUND($C211*tba_oranKadinGenc,2),0),IF($H211="TBA-ENG",IF($G211="Evet",ROUND($C211*tba_isverenOran,2),0),0)))))</f>
        <v/>
      </c>
      <c r="L211" s="31">
        <f>IF($A211="","",MAX(0,$J211-$K211))</f>
        <v/>
      </c>
    </row>
    <row r="212">
      <c r="I212" s="31">
        <f>IF($A212="","",IF($J212=0,"YOK",IF(AND($E212="Evet",ROUND($C212*tba_oranIlave,2)=$J212),"TBA-002",IF(AND($D212="Evet",ROUND($C212*tba_oranBesPuan,2)=$J212),"TBA-001",IF(AND($F212="Evet",ROUND($C212*tba_oranKadinGenc,2)=$J212),"TBA-004","TBA-ENG")))))</f>
        <v/>
      </c>
      <c r="J212" s="31">
        <f>IF($A212="","",MAX(IF($D212="Evet",ROUND($C212*tba_oranBesPuan,2),0),IF($E212="Evet",ROUND($C212*tba_oranIlave,2),0),IF($F212="Evet",ROUND($C212*tba_oranKadinGenc,2),0),IF($G212="Evet",ROUND($C212*tba_isverenOran,2),0)))</f>
        <v/>
      </c>
      <c r="K212" s="31">
        <f>IF($A212="","",IF($H212="TBA-001",IF($D212="Evet",ROUND($C212*tba_oranBesPuan,2),0),IF($H212="TBA-002",IF($E212="Evet",ROUND($C212*tba_oranIlave,2),0),IF($H212="TBA-004",IF($F212="Evet",ROUND($C212*tba_oranKadinGenc,2),0),IF($H212="TBA-ENG",IF($G212="Evet",ROUND($C212*tba_isverenOran,2),0),0)))))</f>
        <v/>
      </c>
      <c r="L212" s="31">
        <f>IF($A212="","",MAX(0,$J212-$K212))</f>
        <v/>
      </c>
    </row>
    <row r="213">
      <c r="I213" s="31">
        <f>IF($A213="","",IF($J213=0,"YOK",IF(AND($E213="Evet",ROUND($C213*tba_oranIlave,2)=$J213),"TBA-002",IF(AND($D213="Evet",ROUND($C213*tba_oranBesPuan,2)=$J213),"TBA-001",IF(AND($F213="Evet",ROUND($C213*tba_oranKadinGenc,2)=$J213),"TBA-004","TBA-ENG")))))</f>
        <v/>
      </c>
      <c r="J213" s="31">
        <f>IF($A213="","",MAX(IF($D213="Evet",ROUND($C213*tba_oranBesPuan,2),0),IF($E213="Evet",ROUND($C213*tba_oranIlave,2),0),IF($F213="Evet",ROUND($C213*tba_oranKadinGenc,2),0),IF($G213="Evet",ROUND($C213*tba_isverenOran,2),0)))</f>
        <v/>
      </c>
      <c r="K213" s="31">
        <f>IF($A213="","",IF($H213="TBA-001",IF($D213="Evet",ROUND($C213*tba_oranBesPuan,2),0),IF($H213="TBA-002",IF($E213="Evet",ROUND($C213*tba_oranIlave,2),0),IF($H213="TBA-004",IF($F213="Evet",ROUND($C213*tba_oranKadinGenc,2),0),IF($H213="TBA-ENG",IF($G213="Evet",ROUND($C213*tba_isverenOran,2),0),0)))))</f>
        <v/>
      </c>
      <c r="L213" s="31">
        <f>IF($A213="","",MAX(0,$J213-$K213))</f>
        <v/>
      </c>
    </row>
    <row r="214">
      <c r="I214" s="31">
        <f>IF($A214="","",IF($J214=0,"YOK",IF(AND($E214="Evet",ROUND($C214*tba_oranIlave,2)=$J214),"TBA-002",IF(AND($D214="Evet",ROUND($C214*tba_oranBesPuan,2)=$J214),"TBA-001",IF(AND($F214="Evet",ROUND($C214*tba_oranKadinGenc,2)=$J214),"TBA-004","TBA-ENG")))))</f>
        <v/>
      </c>
      <c r="J214" s="31">
        <f>IF($A214="","",MAX(IF($D214="Evet",ROUND($C214*tba_oranBesPuan,2),0),IF($E214="Evet",ROUND($C214*tba_oranIlave,2),0),IF($F214="Evet",ROUND($C214*tba_oranKadinGenc,2),0),IF($G214="Evet",ROUND($C214*tba_isverenOran,2),0)))</f>
        <v/>
      </c>
      <c r="K214" s="31">
        <f>IF($A214="","",IF($H214="TBA-001",IF($D214="Evet",ROUND($C214*tba_oranBesPuan,2),0),IF($H214="TBA-002",IF($E214="Evet",ROUND($C214*tba_oranIlave,2),0),IF($H214="TBA-004",IF($F214="Evet",ROUND($C214*tba_oranKadinGenc,2),0),IF($H214="TBA-ENG",IF($G214="Evet",ROUND($C214*tba_isverenOran,2),0),0)))))</f>
        <v/>
      </c>
      <c r="L214" s="31">
        <f>IF($A214="","",MAX(0,$J214-$K214))</f>
        <v/>
      </c>
    </row>
    <row r="215">
      <c r="I215" s="31">
        <f>IF($A215="","",IF($J215=0,"YOK",IF(AND($E215="Evet",ROUND($C215*tba_oranIlave,2)=$J215),"TBA-002",IF(AND($D215="Evet",ROUND($C215*tba_oranBesPuan,2)=$J215),"TBA-001",IF(AND($F215="Evet",ROUND($C215*tba_oranKadinGenc,2)=$J215),"TBA-004","TBA-ENG")))))</f>
        <v/>
      </c>
      <c r="J215" s="31">
        <f>IF($A215="","",MAX(IF($D215="Evet",ROUND($C215*tba_oranBesPuan,2),0),IF($E215="Evet",ROUND($C215*tba_oranIlave,2),0),IF($F215="Evet",ROUND($C215*tba_oranKadinGenc,2),0),IF($G215="Evet",ROUND($C215*tba_isverenOran,2),0)))</f>
        <v/>
      </c>
      <c r="K215" s="31">
        <f>IF($A215="","",IF($H215="TBA-001",IF($D215="Evet",ROUND($C215*tba_oranBesPuan,2),0),IF($H215="TBA-002",IF($E215="Evet",ROUND($C215*tba_oranIlave,2),0),IF($H215="TBA-004",IF($F215="Evet",ROUND($C215*tba_oranKadinGenc,2),0),IF($H215="TBA-ENG",IF($G215="Evet",ROUND($C215*tba_isverenOran,2),0),0)))))</f>
        <v/>
      </c>
      <c r="L215" s="31">
        <f>IF($A215="","",MAX(0,$J215-$K215))</f>
        <v/>
      </c>
    </row>
    <row r="216">
      <c r="I216" s="31">
        <f>IF($A216="","",IF($J216=0,"YOK",IF(AND($E216="Evet",ROUND($C216*tba_oranIlave,2)=$J216),"TBA-002",IF(AND($D216="Evet",ROUND($C216*tba_oranBesPuan,2)=$J216),"TBA-001",IF(AND($F216="Evet",ROUND($C216*tba_oranKadinGenc,2)=$J216),"TBA-004","TBA-ENG")))))</f>
        <v/>
      </c>
      <c r="J216" s="31">
        <f>IF($A216="","",MAX(IF($D216="Evet",ROUND($C216*tba_oranBesPuan,2),0),IF($E216="Evet",ROUND($C216*tba_oranIlave,2),0),IF($F216="Evet",ROUND($C216*tba_oranKadinGenc,2),0),IF($G216="Evet",ROUND($C216*tba_isverenOran,2),0)))</f>
        <v/>
      </c>
      <c r="K216" s="31">
        <f>IF($A216="","",IF($H216="TBA-001",IF($D216="Evet",ROUND($C216*tba_oranBesPuan,2),0),IF($H216="TBA-002",IF($E216="Evet",ROUND($C216*tba_oranIlave,2),0),IF($H216="TBA-004",IF($F216="Evet",ROUND($C216*tba_oranKadinGenc,2),0),IF($H216="TBA-ENG",IF($G216="Evet",ROUND($C216*tba_isverenOran,2),0),0)))))</f>
        <v/>
      </c>
      <c r="L216" s="31">
        <f>IF($A216="","",MAX(0,$J216-$K216))</f>
        <v/>
      </c>
    </row>
    <row r="217">
      <c r="I217" s="31">
        <f>IF($A217="","",IF($J217=0,"YOK",IF(AND($E217="Evet",ROUND($C217*tba_oranIlave,2)=$J217),"TBA-002",IF(AND($D217="Evet",ROUND($C217*tba_oranBesPuan,2)=$J217),"TBA-001",IF(AND($F217="Evet",ROUND($C217*tba_oranKadinGenc,2)=$J217),"TBA-004","TBA-ENG")))))</f>
        <v/>
      </c>
      <c r="J217" s="31">
        <f>IF($A217="","",MAX(IF($D217="Evet",ROUND($C217*tba_oranBesPuan,2),0),IF($E217="Evet",ROUND($C217*tba_oranIlave,2),0),IF($F217="Evet",ROUND($C217*tba_oranKadinGenc,2),0),IF($G217="Evet",ROUND($C217*tba_isverenOran,2),0)))</f>
        <v/>
      </c>
      <c r="K217" s="31">
        <f>IF($A217="","",IF($H217="TBA-001",IF($D217="Evet",ROUND($C217*tba_oranBesPuan,2),0),IF($H217="TBA-002",IF($E217="Evet",ROUND($C217*tba_oranIlave,2),0),IF($H217="TBA-004",IF($F217="Evet",ROUND($C217*tba_oranKadinGenc,2),0),IF($H217="TBA-ENG",IF($G217="Evet",ROUND($C217*tba_isverenOran,2),0),0)))))</f>
        <v/>
      </c>
      <c r="L217" s="31">
        <f>IF($A217="","",MAX(0,$J217-$K217))</f>
        <v/>
      </c>
    </row>
    <row r="218">
      <c r="I218" s="31">
        <f>IF($A218="","",IF($J218=0,"YOK",IF(AND($E218="Evet",ROUND($C218*tba_oranIlave,2)=$J218),"TBA-002",IF(AND($D218="Evet",ROUND($C218*tba_oranBesPuan,2)=$J218),"TBA-001",IF(AND($F218="Evet",ROUND($C218*tba_oranKadinGenc,2)=$J218),"TBA-004","TBA-ENG")))))</f>
        <v/>
      </c>
      <c r="J218" s="31">
        <f>IF($A218="","",MAX(IF($D218="Evet",ROUND($C218*tba_oranBesPuan,2),0),IF($E218="Evet",ROUND($C218*tba_oranIlave,2),0),IF($F218="Evet",ROUND($C218*tba_oranKadinGenc,2),0),IF($G218="Evet",ROUND($C218*tba_isverenOran,2),0)))</f>
        <v/>
      </c>
      <c r="K218" s="31">
        <f>IF($A218="","",IF($H218="TBA-001",IF($D218="Evet",ROUND($C218*tba_oranBesPuan,2),0),IF($H218="TBA-002",IF($E218="Evet",ROUND($C218*tba_oranIlave,2),0),IF($H218="TBA-004",IF($F218="Evet",ROUND($C218*tba_oranKadinGenc,2),0),IF($H218="TBA-ENG",IF($G218="Evet",ROUND($C218*tba_isverenOran,2),0),0)))))</f>
        <v/>
      </c>
      <c r="L218" s="31">
        <f>IF($A218="","",MAX(0,$J218-$K218))</f>
        <v/>
      </c>
    </row>
    <row r="219">
      <c r="I219" s="31">
        <f>IF($A219="","",IF($J219=0,"YOK",IF(AND($E219="Evet",ROUND($C219*tba_oranIlave,2)=$J219),"TBA-002",IF(AND($D219="Evet",ROUND($C219*tba_oranBesPuan,2)=$J219),"TBA-001",IF(AND($F219="Evet",ROUND($C219*tba_oranKadinGenc,2)=$J219),"TBA-004","TBA-ENG")))))</f>
        <v/>
      </c>
      <c r="J219" s="31">
        <f>IF($A219="","",MAX(IF($D219="Evet",ROUND($C219*tba_oranBesPuan,2),0),IF($E219="Evet",ROUND($C219*tba_oranIlave,2),0),IF($F219="Evet",ROUND($C219*tba_oranKadinGenc,2),0),IF($G219="Evet",ROUND($C219*tba_isverenOran,2),0)))</f>
        <v/>
      </c>
      <c r="K219" s="31">
        <f>IF($A219="","",IF($H219="TBA-001",IF($D219="Evet",ROUND($C219*tba_oranBesPuan,2),0),IF($H219="TBA-002",IF($E219="Evet",ROUND($C219*tba_oranIlave,2),0),IF($H219="TBA-004",IF($F219="Evet",ROUND($C219*tba_oranKadinGenc,2),0),IF($H219="TBA-ENG",IF($G219="Evet",ROUND($C219*tba_isverenOran,2),0),0)))))</f>
        <v/>
      </c>
      <c r="L219" s="31">
        <f>IF($A219="","",MAX(0,$J219-$K219))</f>
        <v/>
      </c>
    </row>
    <row r="220">
      <c r="I220" s="31">
        <f>IF($A220="","",IF($J220=0,"YOK",IF(AND($E220="Evet",ROUND($C220*tba_oranIlave,2)=$J220),"TBA-002",IF(AND($D220="Evet",ROUND($C220*tba_oranBesPuan,2)=$J220),"TBA-001",IF(AND($F220="Evet",ROUND($C220*tba_oranKadinGenc,2)=$J220),"TBA-004","TBA-ENG")))))</f>
        <v/>
      </c>
      <c r="J220" s="31">
        <f>IF($A220="","",MAX(IF($D220="Evet",ROUND($C220*tba_oranBesPuan,2),0),IF($E220="Evet",ROUND($C220*tba_oranIlave,2),0),IF($F220="Evet",ROUND($C220*tba_oranKadinGenc,2),0),IF($G220="Evet",ROUND($C220*tba_isverenOran,2),0)))</f>
        <v/>
      </c>
      <c r="K220" s="31">
        <f>IF($A220="","",IF($H220="TBA-001",IF($D220="Evet",ROUND($C220*tba_oranBesPuan,2),0),IF($H220="TBA-002",IF($E220="Evet",ROUND($C220*tba_oranIlave,2),0),IF($H220="TBA-004",IF($F220="Evet",ROUND($C220*tba_oranKadinGenc,2),0),IF($H220="TBA-ENG",IF($G220="Evet",ROUND($C220*tba_isverenOran,2),0),0)))))</f>
        <v/>
      </c>
      <c r="L220" s="31">
        <f>IF($A220="","",MAX(0,$J220-$K220))</f>
        <v/>
      </c>
    </row>
    <row r="221">
      <c r="I221" s="31">
        <f>IF($A221="","",IF($J221=0,"YOK",IF(AND($E221="Evet",ROUND($C221*tba_oranIlave,2)=$J221),"TBA-002",IF(AND($D221="Evet",ROUND($C221*tba_oranBesPuan,2)=$J221),"TBA-001",IF(AND($F221="Evet",ROUND($C221*tba_oranKadinGenc,2)=$J221),"TBA-004","TBA-ENG")))))</f>
        <v/>
      </c>
      <c r="J221" s="31">
        <f>IF($A221="","",MAX(IF($D221="Evet",ROUND($C221*tba_oranBesPuan,2),0),IF($E221="Evet",ROUND($C221*tba_oranIlave,2),0),IF($F221="Evet",ROUND($C221*tba_oranKadinGenc,2),0),IF($G221="Evet",ROUND($C221*tba_isverenOran,2),0)))</f>
        <v/>
      </c>
      <c r="K221" s="31">
        <f>IF($A221="","",IF($H221="TBA-001",IF($D221="Evet",ROUND($C221*tba_oranBesPuan,2),0),IF($H221="TBA-002",IF($E221="Evet",ROUND($C221*tba_oranIlave,2),0),IF($H221="TBA-004",IF($F221="Evet",ROUND($C221*tba_oranKadinGenc,2),0),IF($H221="TBA-ENG",IF($G221="Evet",ROUND($C221*tba_isverenOran,2),0),0)))))</f>
        <v/>
      </c>
      <c r="L221" s="31">
        <f>IF($A221="","",MAX(0,$J221-$K221))</f>
        <v/>
      </c>
    </row>
    <row r="222">
      <c r="I222" s="31">
        <f>IF($A222="","",IF($J222=0,"YOK",IF(AND($E222="Evet",ROUND($C222*tba_oranIlave,2)=$J222),"TBA-002",IF(AND($D222="Evet",ROUND($C222*tba_oranBesPuan,2)=$J222),"TBA-001",IF(AND($F222="Evet",ROUND($C222*tba_oranKadinGenc,2)=$J222),"TBA-004","TBA-ENG")))))</f>
        <v/>
      </c>
      <c r="J222" s="31">
        <f>IF($A222="","",MAX(IF($D222="Evet",ROUND($C222*tba_oranBesPuan,2),0),IF($E222="Evet",ROUND($C222*tba_oranIlave,2),0),IF($F222="Evet",ROUND($C222*tba_oranKadinGenc,2),0),IF($G222="Evet",ROUND($C222*tba_isverenOran,2),0)))</f>
        <v/>
      </c>
      <c r="K222" s="31">
        <f>IF($A222="","",IF($H222="TBA-001",IF($D222="Evet",ROUND($C222*tba_oranBesPuan,2),0),IF($H222="TBA-002",IF($E222="Evet",ROUND($C222*tba_oranIlave,2),0),IF($H222="TBA-004",IF($F222="Evet",ROUND($C222*tba_oranKadinGenc,2),0),IF($H222="TBA-ENG",IF($G222="Evet",ROUND($C222*tba_isverenOran,2),0),0)))))</f>
        <v/>
      </c>
      <c r="L222" s="31">
        <f>IF($A222="","",MAX(0,$J222-$K222))</f>
        <v/>
      </c>
    </row>
    <row r="223">
      <c r="I223" s="31">
        <f>IF($A223="","",IF($J223=0,"YOK",IF(AND($E223="Evet",ROUND($C223*tba_oranIlave,2)=$J223),"TBA-002",IF(AND($D223="Evet",ROUND($C223*tba_oranBesPuan,2)=$J223),"TBA-001",IF(AND($F223="Evet",ROUND($C223*tba_oranKadinGenc,2)=$J223),"TBA-004","TBA-ENG")))))</f>
        <v/>
      </c>
      <c r="J223" s="31">
        <f>IF($A223="","",MAX(IF($D223="Evet",ROUND($C223*tba_oranBesPuan,2),0),IF($E223="Evet",ROUND($C223*tba_oranIlave,2),0),IF($F223="Evet",ROUND($C223*tba_oranKadinGenc,2),0),IF($G223="Evet",ROUND($C223*tba_isverenOran,2),0)))</f>
        <v/>
      </c>
      <c r="K223" s="31">
        <f>IF($A223="","",IF($H223="TBA-001",IF($D223="Evet",ROUND($C223*tba_oranBesPuan,2),0),IF($H223="TBA-002",IF($E223="Evet",ROUND($C223*tba_oranIlave,2),0),IF($H223="TBA-004",IF($F223="Evet",ROUND($C223*tba_oranKadinGenc,2),0),IF($H223="TBA-ENG",IF($G223="Evet",ROUND($C223*tba_isverenOran,2),0),0)))))</f>
        <v/>
      </c>
      <c r="L223" s="31">
        <f>IF($A223="","",MAX(0,$J223-$K223))</f>
        <v/>
      </c>
    </row>
    <row r="224">
      <c r="I224" s="31">
        <f>IF($A224="","",IF($J224=0,"YOK",IF(AND($E224="Evet",ROUND($C224*tba_oranIlave,2)=$J224),"TBA-002",IF(AND($D224="Evet",ROUND($C224*tba_oranBesPuan,2)=$J224),"TBA-001",IF(AND($F224="Evet",ROUND($C224*tba_oranKadinGenc,2)=$J224),"TBA-004","TBA-ENG")))))</f>
        <v/>
      </c>
      <c r="J224" s="31">
        <f>IF($A224="","",MAX(IF($D224="Evet",ROUND($C224*tba_oranBesPuan,2),0),IF($E224="Evet",ROUND($C224*tba_oranIlave,2),0),IF($F224="Evet",ROUND($C224*tba_oranKadinGenc,2),0),IF($G224="Evet",ROUND($C224*tba_isverenOran,2),0)))</f>
        <v/>
      </c>
      <c r="K224" s="31">
        <f>IF($A224="","",IF($H224="TBA-001",IF($D224="Evet",ROUND($C224*tba_oranBesPuan,2),0),IF($H224="TBA-002",IF($E224="Evet",ROUND($C224*tba_oranIlave,2),0),IF($H224="TBA-004",IF($F224="Evet",ROUND($C224*tba_oranKadinGenc,2),0),IF($H224="TBA-ENG",IF($G224="Evet",ROUND($C224*tba_isverenOran,2),0),0)))))</f>
        <v/>
      </c>
      <c r="L224" s="31">
        <f>IF($A224="","",MAX(0,$J224-$K224))</f>
        <v/>
      </c>
    </row>
    <row r="225">
      <c r="I225" s="31">
        <f>IF($A225="","",IF($J225=0,"YOK",IF(AND($E225="Evet",ROUND($C225*tba_oranIlave,2)=$J225),"TBA-002",IF(AND($D225="Evet",ROUND($C225*tba_oranBesPuan,2)=$J225),"TBA-001",IF(AND($F225="Evet",ROUND($C225*tba_oranKadinGenc,2)=$J225),"TBA-004","TBA-ENG")))))</f>
        <v/>
      </c>
      <c r="J225" s="31">
        <f>IF($A225="","",MAX(IF($D225="Evet",ROUND($C225*tba_oranBesPuan,2),0),IF($E225="Evet",ROUND($C225*tba_oranIlave,2),0),IF($F225="Evet",ROUND($C225*tba_oranKadinGenc,2),0),IF($G225="Evet",ROUND($C225*tba_isverenOran,2),0)))</f>
        <v/>
      </c>
      <c r="K225" s="31">
        <f>IF($A225="","",IF($H225="TBA-001",IF($D225="Evet",ROUND($C225*tba_oranBesPuan,2),0),IF($H225="TBA-002",IF($E225="Evet",ROUND($C225*tba_oranIlave,2),0),IF($H225="TBA-004",IF($F225="Evet",ROUND($C225*tba_oranKadinGenc,2),0),IF($H225="TBA-ENG",IF($G225="Evet",ROUND($C225*tba_isverenOran,2),0),0)))))</f>
        <v/>
      </c>
      <c r="L225" s="31">
        <f>IF($A225="","",MAX(0,$J225-$K225))</f>
        <v/>
      </c>
    </row>
    <row r="226">
      <c r="I226" s="31">
        <f>IF($A226="","",IF($J226=0,"YOK",IF(AND($E226="Evet",ROUND($C226*tba_oranIlave,2)=$J226),"TBA-002",IF(AND($D226="Evet",ROUND($C226*tba_oranBesPuan,2)=$J226),"TBA-001",IF(AND($F226="Evet",ROUND($C226*tba_oranKadinGenc,2)=$J226),"TBA-004","TBA-ENG")))))</f>
        <v/>
      </c>
      <c r="J226" s="31">
        <f>IF($A226="","",MAX(IF($D226="Evet",ROUND($C226*tba_oranBesPuan,2),0),IF($E226="Evet",ROUND($C226*tba_oranIlave,2),0),IF($F226="Evet",ROUND($C226*tba_oranKadinGenc,2),0),IF($G226="Evet",ROUND($C226*tba_isverenOran,2),0)))</f>
        <v/>
      </c>
      <c r="K226" s="31">
        <f>IF($A226="","",IF($H226="TBA-001",IF($D226="Evet",ROUND($C226*tba_oranBesPuan,2),0),IF($H226="TBA-002",IF($E226="Evet",ROUND($C226*tba_oranIlave,2),0),IF($H226="TBA-004",IF($F226="Evet",ROUND($C226*tba_oranKadinGenc,2),0),IF($H226="TBA-ENG",IF($G226="Evet",ROUND($C226*tba_isverenOran,2),0),0)))))</f>
        <v/>
      </c>
      <c r="L226" s="31">
        <f>IF($A226="","",MAX(0,$J226-$K226))</f>
        <v/>
      </c>
    </row>
    <row r="227">
      <c r="I227" s="31">
        <f>IF($A227="","",IF($J227=0,"YOK",IF(AND($E227="Evet",ROUND($C227*tba_oranIlave,2)=$J227),"TBA-002",IF(AND($D227="Evet",ROUND($C227*tba_oranBesPuan,2)=$J227),"TBA-001",IF(AND($F227="Evet",ROUND($C227*tba_oranKadinGenc,2)=$J227),"TBA-004","TBA-ENG")))))</f>
        <v/>
      </c>
      <c r="J227" s="31">
        <f>IF($A227="","",MAX(IF($D227="Evet",ROUND($C227*tba_oranBesPuan,2),0),IF($E227="Evet",ROUND($C227*tba_oranIlave,2),0),IF($F227="Evet",ROUND($C227*tba_oranKadinGenc,2),0),IF($G227="Evet",ROUND($C227*tba_isverenOran,2),0)))</f>
        <v/>
      </c>
      <c r="K227" s="31">
        <f>IF($A227="","",IF($H227="TBA-001",IF($D227="Evet",ROUND($C227*tba_oranBesPuan,2),0),IF($H227="TBA-002",IF($E227="Evet",ROUND($C227*tba_oranIlave,2),0),IF($H227="TBA-004",IF($F227="Evet",ROUND($C227*tba_oranKadinGenc,2),0),IF($H227="TBA-ENG",IF($G227="Evet",ROUND($C227*tba_isverenOran,2),0),0)))))</f>
        <v/>
      </c>
      <c r="L227" s="31">
        <f>IF($A227="","",MAX(0,$J227-$K227))</f>
        <v/>
      </c>
    </row>
    <row r="228">
      <c r="I228" s="31">
        <f>IF($A228="","",IF($J228=0,"YOK",IF(AND($E228="Evet",ROUND($C228*tba_oranIlave,2)=$J228),"TBA-002",IF(AND($D228="Evet",ROUND($C228*tba_oranBesPuan,2)=$J228),"TBA-001",IF(AND($F228="Evet",ROUND($C228*tba_oranKadinGenc,2)=$J228),"TBA-004","TBA-ENG")))))</f>
        <v/>
      </c>
      <c r="J228" s="31">
        <f>IF($A228="","",MAX(IF($D228="Evet",ROUND($C228*tba_oranBesPuan,2),0),IF($E228="Evet",ROUND($C228*tba_oranIlave,2),0),IF($F228="Evet",ROUND($C228*tba_oranKadinGenc,2),0),IF($G228="Evet",ROUND($C228*tba_isverenOran,2),0)))</f>
        <v/>
      </c>
      <c r="K228" s="31">
        <f>IF($A228="","",IF($H228="TBA-001",IF($D228="Evet",ROUND($C228*tba_oranBesPuan,2),0),IF($H228="TBA-002",IF($E228="Evet",ROUND($C228*tba_oranIlave,2),0),IF($H228="TBA-004",IF($F228="Evet",ROUND($C228*tba_oranKadinGenc,2),0),IF($H228="TBA-ENG",IF($G228="Evet",ROUND($C228*tba_isverenOran,2),0),0)))))</f>
        <v/>
      </c>
      <c r="L228" s="31">
        <f>IF($A228="","",MAX(0,$J228-$K228))</f>
        <v/>
      </c>
    </row>
    <row r="229">
      <c r="I229" s="31">
        <f>IF($A229="","",IF($J229=0,"YOK",IF(AND($E229="Evet",ROUND($C229*tba_oranIlave,2)=$J229),"TBA-002",IF(AND($D229="Evet",ROUND($C229*tba_oranBesPuan,2)=$J229),"TBA-001",IF(AND($F229="Evet",ROUND($C229*tba_oranKadinGenc,2)=$J229),"TBA-004","TBA-ENG")))))</f>
        <v/>
      </c>
      <c r="J229" s="31">
        <f>IF($A229="","",MAX(IF($D229="Evet",ROUND($C229*tba_oranBesPuan,2),0),IF($E229="Evet",ROUND($C229*tba_oranIlave,2),0),IF($F229="Evet",ROUND($C229*tba_oranKadinGenc,2),0),IF($G229="Evet",ROUND($C229*tba_isverenOran,2),0)))</f>
        <v/>
      </c>
      <c r="K229" s="31">
        <f>IF($A229="","",IF($H229="TBA-001",IF($D229="Evet",ROUND($C229*tba_oranBesPuan,2),0),IF($H229="TBA-002",IF($E229="Evet",ROUND($C229*tba_oranIlave,2),0),IF($H229="TBA-004",IF($F229="Evet",ROUND($C229*tba_oranKadinGenc,2),0),IF($H229="TBA-ENG",IF($G229="Evet",ROUND($C229*tba_isverenOran,2),0),0)))))</f>
        <v/>
      </c>
      <c r="L229" s="31">
        <f>IF($A229="","",MAX(0,$J229-$K229))</f>
        <v/>
      </c>
    </row>
    <row r="230">
      <c r="I230" s="31">
        <f>IF($A230="","",IF($J230=0,"YOK",IF(AND($E230="Evet",ROUND($C230*tba_oranIlave,2)=$J230),"TBA-002",IF(AND($D230="Evet",ROUND($C230*tba_oranBesPuan,2)=$J230),"TBA-001",IF(AND($F230="Evet",ROUND($C230*tba_oranKadinGenc,2)=$J230),"TBA-004","TBA-ENG")))))</f>
        <v/>
      </c>
      <c r="J230" s="31">
        <f>IF($A230="","",MAX(IF($D230="Evet",ROUND($C230*tba_oranBesPuan,2),0),IF($E230="Evet",ROUND($C230*tba_oranIlave,2),0),IF($F230="Evet",ROUND($C230*tba_oranKadinGenc,2),0),IF($G230="Evet",ROUND($C230*tba_isverenOran,2),0)))</f>
        <v/>
      </c>
      <c r="K230" s="31">
        <f>IF($A230="","",IF($H230="TBA-001",IF($D230="Evet",ROUND($C230*tba_oranBesPuan,2),0),IF($H230="TBA-002",IF($E230="Evet",ROUND($C230*tba_oranIlave,2),0),IF($H230="TBA-004",IF($F230="Evet",ROUND($C230*tba_oranKadinGenc,2),0),IF($H230="TBA-ENG",IF($G230="Evet",ROUND($C230*tba_isverenOran,2),0),0)))))</f>
        <v/>
      </c>
      <c r="L230" s="31">
        <f>IF($A230="","",MAX(0,$J230-$K230))</f>
        <v/>
      </c>
    </row>
    <row r="231">
      <c r="I231" s="31">
        <f>IF($A231="","",IF($J231=0,"YOK",IF(AND($E231="Evet",ROUND($C231*tba_oranIlave,2)=$J231),"TBA-002",IF(AND($D231="Evet",ROUND($C231*tba_oranBesPuan,2)=$J231),"TBA-001",IF(AND($F231="Evet",ROUND($C231*tba_oranKadinGenc,2)=$J231),"TBA-004","TBA-ENG")))))</f>
        <v/>
      </c>
      <c r="J231" s="31">
        <f>IF($A231="","",MAX(IF($D231="Evet",ROUND($C231*tba_oranBesPuan,2),0),IF($E231="Evet",ROUND($C231*tba_oranIlave,2),0),IF($F231="Evet",ROUND($C231*tba_oranKadinGenc,2),0),IF($G231="Evet",ROUND($C231*tba_isverenOran,2),0)))</f>
        <v/>
      </c>
      <c r="K231" s="31">
        <f>IF($A231="","",IF($H231="TBA-001",IF($D231="Evet",ROUND($C231*tba_oranBesPuan,2),0),IF($H231="TBA-002",IF($E231="Evet",ROUND($C231*tba_oranIlave,2),0),IF($H231="TBA-004",IF($F231="Evet",ROUND($C231*tba_oranKadinGenc,2),0),IF($H231="TBA-ENG",IF($G231="Evet",ROUND($C231*tba_isverenOran,2),0),0)))))</f>
        <v/>
      </c>
      <c r="L231" s="31">
        <f>IF($A231="","",MAX(0,$J231-$K231))</f>
        <v/>
      </c>
    </row>
    <row r="232">
      <c r="I232" s="31">
        <f>IF($A232="","",IF($J232=0,"YOK",IF(AND($E232="Evet",ROUND($C232*tba_oranIlave,2)=$J232),"TBA-002",IF(AND($D232="Evet",ROUND($C232*tba_oranBesPuan,2)=$J232),"TBA-001",IF(AND($F232="Evet",ROUND($C232*tba_oranKadinGenc,2)=$J232),"TBA-004","TBA-ENG")))))</f>
        <v/>
      </c>
      <c r="J232" s="31">
        <f>IF($A232="","",MAX(IF($D232="Evet",ROUND($C232*tba_oranBesPuan,2),0),IF($E232="Evet",ROUND($C232*tba_oranIlave,2),0),IF($F232="Evet",ROUND($C232*tba_oranKadinGenc,2),0),IF($G232="Evet",ROUND($C232*tba_isverenOran,2),0)))</f>
        <v/>
      </c>
      <c r="K232" s="31">
        <f>IF($A232="","",IF($H232="TBA-001",IF($D232="Evet",ROUND($C232*tba_oranBesPuan,2),0),IF($H232="TBA-002",IF($E232="Evet",ROUND($C232*tba_oranIlave,2),0),IF($H232="TBA-004",IF($F232="Evet",ROUND($C232*tba_oranKadinGenc,2),0),IF($H232="TBA-ENG",IF($G232="Evet",ROUND($C232*tba_isverenOran,2),0),0)))))</f>
        <v/>
      </c>
      <c r="L232" s="31">
        <f>IF($A232="","",MAX(0,$J232-$K232))</f>
        <v/>
      </c>
    </row>
    <row r="233">
      <c r="I233" s="31">
        <f>IF($A233="","",IF($J233=0,"YOK",IF(AND($E233="Evet",ROUND($C233*tba_oranIlave,2)=$J233),"TBA-002",IF(AND($D233="Evet",ROUND($C233*tba_oranBesPuan,2)=$J233),"TBA-001",IF(AND($F233="Evet",ROUND($C233*tba_oranKadinGenc,2)=$J233),"TBA-004","TBA-ENG")))))</f>
        <v/>
      </c>
      <c r="J233" s="31">
        <f>IF($A233="","",MAX(IF($D233="Evet",ROUND($C233*tba_oranBesPuan,2),0),IF($E233="Evet",ROUND($C233*tba_oranIlave,2),0),IF($F233="Evet",ROUND($C233*tba_oranKadinGenc,2),0),IF($G233="Evet",ROUND($C233*tba_isverenOran,2),0)))</f>
        <v/>
      </c>
      <c r="K233" s="31">
        <f>IF($A233="","",IF($H233="TBA-001",IF($D233="Evet",ROUND($C233*tba_oranBesPuan,2),0),IF($H233="TBA-002",IF($E233="Evet",ROUND($C233*tba_oranIlave,2),0),IF($H233="TBA-004",IF($F233="Evet",ROUND($C233*tba_oranKadinGenc,2),0),IF($H233="TBA-ENG",IF($G233="Evet",ROUND($C233*tba_isverenOran,2),0),0)))))</f>
        <v/>
      </c>
      <c r="L233" s="31">
        <f>IF($A233="","",MAX(0,$J233-$K233))</f>
        <v/>
      </c>
    </row>
    <row r="234">
      <c r="I234" s="31">
        <f>IF($A234="","",IF($J234=0,"YOK",IF(AND($E234="Evet",ROUND($C234*tba_oranIlave,2)=$J234),"TBA-002",IF(AND($D234="Evet",ROUND($C234*tba_oranBesPuan,2)=$J234),"TBA-001",IF(AND($F234="Evet",ROUND($C234*tba_oranKadinGenc,2)=$J234),"TBA-004","TBA-ENG")))))</f>
        <v/>
      </c>
      <c r="J234" s="31">
        <f>IF($A234="","",MAX(IF($D234="Evet",ROUND($C234*tba_oranBesPuan,2),0),IF($E234="Evet",ROUND($C234*tba_oranIlave,2),0),IF($F234="Evet",ROUND($C234*tba_oranKadinGenc,2),0),IF($G234="Evet",ROUND($C234*tba_isverenOran,2),0)))</f>
        <v/>
      </c>
      <c r="K234" s="31">
        <f>IF($A234="","",IF($H234="TBA-001",IF($D234="Evet",ROUND($C234*tba_oranBesPuan,2),0),IF($H234="TBA-002",IF($E234="Evet",ROUND($C234*tba_oranIlave,2),0),IF($H234="TBA-004",IF($F234="Evet",ROUND($C234*tba_oranKadinGenc,2),0),IF($H234="TBA-ENG",IF($G234="Evet",ROUND($C234*tba_isverenOran,2),0),0)))))</f>
        <v/>
      </c>
      <c r="L234" s="31">
        <f>IF($A234="","",MAX(0,$J234-$K234))</f>
        <v/>
      </c>
    </row>
    <row r="235">
      <c r="I235" s="31">
        <f>IF($A235="","",IF($J235=0,"YOK",IF(AND($E235="Evet",ROUND($C235*tba_oranIlave,2)=$J235),"TBA-002",IF(AND($D235="Evet",ROUND($C235*tba_oranBesPuan,2)=$J235),"TBA-001",IF(AND($F235="Evet",ROUND($C235*tba_oranKadinGenc,2)=$J235),"TBA-004","TBA-ENG")))))</f>
        <v/>
      </c>
      <c r="J235" s="31">
        <f>IF($A235="","",MAX(IF($D235="Evet",ROUND($C235*tba_oranBesPuan,2),0),IF($E235="Evet",ROUND($C235*tba_oranIlave,2),0),IF($F235="Evet",ROUND($C235*tba_oranKadinGenc,2),0),IF($G235="Evet",ROUND($C235*tba_isverenOran,2),0)))</f>
        <v/>
      </c>
      <c r="K235" s="31">
        <f>IF($A235="","",IF($H235="TBA-001",IF($D235="Evet",ROUND($C235*tba_oranBesPuan,2),0),IF($H235="TBA-002",IF($E235="Evet",ROUND($C235*tba_oranIlave,2),0),IF($H235="TBA-004",IF($F235="Evet",ROUND($C235*tba_oranKadinGenc,2),0),IF($H235="TBA-ENG",IF($G235="Evet",ROUND($C235*tba_isverenOran,2),0),0)))))</f>
        <v/>
      </c>
      <c r="L235" s="31">
        <f>IF($A235="","",MAX(0,$J235-$K235))</f>
        <v/>
      </c>
    </row>
    <row r="236">
      <c r="I236" s="31">
        <f>IF($A236="","",IF($J236=0,"YOK",IF(AND($E236="Evet",ROUND($C236*tba_oranIlave,2)=$J236),"TBA-002",IF(AND($D236="Evet",ROUND($C236*tba_oranBesPuan,2)=$J236),"TBA-001",IF(AND($F236="Evet",ROUND($C236*tba_oranKadinGenc,2)=$J236),"TBA-004","TBA-ENG")))))</f>
        <v/>
      </c>
      <c r="J236" s="31">
        <f>IF($A236="","",MAX(IF($D236="Evet",ROUND($C236*tba_oranBesPuan,2),0),IF($E236="Evet",ROUND($C236*tba_oranIlave,2),0),IF($F236="Evet",ROUND($C236*tba_oranKadinGenc,2),0),IF($G236="Evet",ROUND($C236*tba_isverenOran,2),0)))</f>
        <v/>
      </c>
      <c r="K236" s="31">
        <f>IF($A236="","",IF($H236="TBA-001",IF($D236="Evet",ROUND($C236*tba_oranBesPuan,2),0),IF($H236="TBA-002",IF($E236="Evet",ROUND($C236*tba_oranIlave,2),0),IF($H236="TBA-004",IF($F236="Evet",ROUND($C236*tba_oranKadinGenc,2),0),IF($H236="TBA-ENG",IF($G236="Evet",ROUND($C236*tba_isverenOran,2),0),0)))))</f>
        <v/>
      </c>
      <c r="L236" s="31">
        <f>IF($A236="","",MAX(0,$J236-$K236))</f>
        <v/>
      </c>
    </row>
    <row r="237">
      <c r="I237" s="31">
        <f>IF($A237="","",IF($J237=0,"YOK",IF(AND($E237="Evet",ROUND($C237*tba_oranIlave,2)=$J237),"TBA-002",IF(AND($D237="Evet",ROUND($C237*tba_oranBesPuan,2)=$J237),"TBA-001",IF(AND($F237="Evet",ROUND($C237*tba_oranKadinGenc,2)=$J237),"TBA-004","TBA-ENG")))))</f>
        <v/>
      </c>
      <c r="J237" s="31">
        <f>IF($A237="","",MAX(IF($D237="Evet",ROUND($C237*tba_oranBesPuan,2),0),IF($E237="Evet",ROUND($C237*tba_oranIlave,2),0),IF($F237="Evet",ROUND($C237*tba_oranKadinGenc,2),0),IF($G237="Evet",ROUND($C237*tba_isverenOran,2),0)))</f>
        <v/>
      </c>
      <c r="K237" s="31">
        <f>IF($A237="","",IF($H237="TBA-001",IF($D237="Evet",ROUND($C237*tba_oranBesPuan,2),0),IF($H237="TBA-002",IF($E237="Evet",ROUND($C237*tba_oranIlave,2),0),IF($H237="TBA-004",IF($F237="Evet",ROUND($C237*tba_oranKadinGenc,2),0),IF($H237="TBA-ENG",IF($G237="Evet",ROUND($C237*tba_isverenOran,2),0),0)))))</f>
        <v/>
      </c>
      <c r="L237" s="31">
        <f>IF($A237="","",MAX(0,$J237-$K237))</f>
        <v/>
      </c>
    </row>
    <row r="238">
      <c r="I238" s="31">
        <f>IF($A238="","",IF($J238=0,"YOK",IF(AND($E238="Evet",ROUND($C238*tba_oranIlave,2)=$J238),"TBA-002",IF(AND($D238="Evet",ROUND($C238*tba_oranBesPuan,2)=$J238),"TBA-001",IF(AND($F238="Evet",ROUND($C238*tba_oranKadinGenc,2)=$J238),"TBA-004","TBA-ENG")))))</f>
        <v/>
      </c>
      <c r="J238" s="31">
        <f>IF($A238="","",MAX(IF($D238="Evet",ROUND($C238*tba_oranBesPuan,2),0),IF($E238="Evet",ROUND($C238*tba_oranIlave,2),0),IF($F238="Evet",ROUND($C238*tba_oranKadinGenc,2),0),IF($G238="Evet",ROUND($C238*tba_isverenOran,2),0)))</f>
        <v/>
      </c>
      <c r="K238" s="31">
        <f>IF($A238="","",IF($H238="TBA-001",IF($D238="Evet",ROUND($C238*tba_oranBesPuan,2),0),IF($H238="TBA-002",IF($E238="Evet",ROUND($C238*tba_oranIlave,2),0),IF($H238="TBA-004",IF($F238="Evet",ROUND($C238*tba_oranKadinGenc,2),0),IF($H238="TBA-ENG",IF($G238="Evet",ROUND($C238*tba_isverenOran,2),0),0)))))</f>
        <v/>
      </c>
      <c r="L238" s="31">
        <f>IF($A238="","",MAX(0,$J238-$K238))</f>
        <v/>
      </c>
    </row>
    <row r="239">
      <c r="I239" s="31">
        <f>IF($A239="","",IF($J239=0,"YOK",IF(AND($E239="Evet",ROUND($C239*tba_oranIlave,2)=$J239),"TBA-002",IF(AND($D239="Evet",ROUND($C239*tba_oranBesPuan,2)=$J239),"TBA-001",IF(AND($F239="Evet",ROUND($C239*tba_oranKadinGenc,2)=$J239),"TBA-004","TBA-ENG")))))</f>
        <v/>
      </c>
      <c r="J239" s="31">
        <f>IF($A239="","",MAX(IF($D239="Evet",ROUND($C239*tba_oranBesPuan,2),0),IF($E239="Evet",ROUND($C239*tba_oranIlave,2),0),IF($F239="Evet",ROUND($C239*tba_oranKadinGenc,2),0),IF($G239="Evet",ROUND($C239*tba_isverenOran,2),0)))</f>
        <v/>
      </c>
      <c r="K239" s="31">
        <f>IF($A239="","",IF($H239="TBA-001",IF($D239="Evet",ROUND($C239*tba_oranBesPuan,2),0),IF($H239="TBA-002",IF($E239="Evet",ROUND($C239*tba_oranIlave,2),0),IF($H239="TBA-004",IF($F239="Evet",ROUND($C239*tba_oranKadinGenc,2),0),IF($H239="TBA-ENG",IF($G239="Evet",ROUND($C239*tba_isverenOran,2),0),0)))))</f>
        <v/>
      </c>
      <c r="L239" s="31">
        <f>IF($A239="","",MAX(0,$J239-$K239))</f>
        <v/>
      </c>
    </row>
    <row r="240">
      <c r="I240" s="31">
        <f>IF($A240="","",IF($J240=0,"YOK",IF(AND($E240="Evet",ROUND($C240*tba_oranIlave,2)=$J240),"TBA-002",IF(AND($D240="Evet",ROUND($C240*tba_oranBesPuan,2)=$J240),"TBA-001",IF(AND($F240="Evet",ROUND($C240*tba_oranKadinGenc,2)=$J240),"TBA-004","TBA-ENG")))))</f>
        <v/>
      </c>
      <c r="J240" s="31">
        <f>IF($A240="","",MAX(IF($D240="Evet",ROUND($C240*tba_oranBesPuan,2),0),IF($E240="Evet",ROUND($C240*tba_oranIlave,2),0),IF($F240="Evet",ROUND($C240*tba_oranKadinGenc,2),0),IF($G240="Evet",ROUND($C240*tba_isverenOran,2),0)))</f>
        <v/>
      </c>
      <c r="K240" s="31">
        <f>IF($A240="","",IF($H240="TBA-001",IF($D240="Evet",ROUND($C240*tba_oranBesPuan,2),0),IF($H240="TBA-002",IF($E240="Evet",ROUND($C240*tba_oranIlave,2),0),IF($H240="TBA-004",IF($F240="Evet",ROUND($C240*tba_oranKadinGenc,2),0),IF($H240="TBA-ENG",IF($G240="Evet",ROUND($C240*tba_isverenOran,2),0),0)))))</f>
        <v/>
      </c>
      <c r="L240" s="31">
        <f>IF($A240="","",MAX(0,$J240-$K240))</f>
        <v/>
      </c>
    </row>
    <row r="241">
      <c r="I241" s="31">
        <f>IF($A241="","",IF($J241=0,"YOK",IF(AND($E241="Evet",ROUND($C241*tba_oranIlave,2)=$J241),"TBA-002",IF(AND($D241="Evet",ROUND($C241*tba_oranBesPuan,2)=$J241),"TBA-001",IF(AND($F241="Evet",ROUND($C241*tba_oranKadinGenc,2)=$J241),"TBA-004","TBA-ENG")))))</f>
        <v/>
      </c>
      <c r="J241" s="31">
        <f>IF($A241="","",MAX(IF($D241="Evet",ROUND($C241*tba_oranBesPuan,2),0),IF($E241="Evet",ROUND($C241*tba_oranIlave,2),0),IF($F241="Evet",ROUND($C241*tba_oranKadinGenc,2),0),IF($G241="Evet",ROUND($C241*tba_isverenOran,2),0)))</f>
        <v/>
      </c>
      <c r="K241" s="31">
        <f>IF($A241="","",IF($H241="TBA-001",IF($D241="Evet",ROUND($C241*tba_oranBesPuan,2),0),IF($H241="TBA-002",IF($E241="Evet",ROUND($C241*tba_oranIlave,2),0),IF($H241="TBA-004",IF($F241="Evet",ROUND($C241*tba_oranKadinGenc,2),0),IF($H241="TBA-ENG",IF($G241="Evet",ROUND($C241*tba_isverenOran,2),0),0)))))</f>
        <v/>
      </c>
      <c r="L241" s="31">
        <f>IF($A241="","",MAX(0,$J241-$K241))</f>
        <v/>
      </c>
    </row>
    <row r="242">
      <c r="I242" s="31">
        <f>IF($A242="","",IF($J242=0,"YOK",IF(AND($E242="Evet",ROUND($C242*tba_oranIlave,2)=$J242),"TBA-002",IF(AND($D242="Evet",ROUND($C242*tba_oranBesPuan,2)=$J242),"TBA-001",IF(AND($F242="Evet",ROUND($C242*tba_oranKadinGenc,2)=$J242),"TBA-004","TBA-ENG")))))</f>
        <v/>
      </c>
      <c r="J242" s="31">
        <f>IF($A242="","",MAX(IF($D242="Evet",ROUND($C242*tba_oranBesPuan,2),0),IF($E242="Evet",ROUND($C242*tba_oranIlave,2),0),IF($F242="Evet",ROUND($C242*tba_oranKadinGenc,2),0),IF($G242="Evet",ROUND($C242*tba_isverenOran,2),0)))</f>
        <v/>
      </c>
      <c r="K242" s="31">
        <f>IF($A242="","",IF($H242="TBA-001",IF($D242="Evet",ROUND($C242*tba_oranBesPuan,2),0),IF($H242="TBA-002",IF($E242="Evet",ROUND($C242*tba_oranIlave,2),0),IF($H242="TBA-004",IF($F242="Evet",ROUND($C242*tba_oranKadinGenc,2),0),IF($H242="TBA-ENG",IF($G242="Evet",ROUND($C242*tba_isverenOran,2),0),0)))))</f>
        <v/>
      </c>
      <c r="L242" s="31">
        <f>IF($A242="","",MAX(0,$J242-$K242))</f>
        <v/>
      </c>
    </row>
    <row r="243">
      <c r="I243" s="31">
        <f>IF($A243="","",IF($J243=0,"YOK",IF(AND($E243="Evet",ROUND($C243*tba_oranIlave,2)=$J243),"TBA-002",IF(AND($D243="Evet",ROUND($C243*tba_oranBesPuan,2)=$J243),"TBA-001",IF(AND($F243="Evet",ROUND($C243*tba_oranKadinGenc,2)=$J243),"TBA-004","TBA-ENG")))))</f>
        <v/>
      </c>
      <c r="J243" s="31">
        <f>IF($A243="","",MAX(IF($D243="Evet",ROUND($C243*tba_oranBesPuan,2),0),IF($E243="Evet",ROUND($C243*tba_oranIlave,2),0),IF($F243="Evet",ROUND($C243*tba_oranKadinGenc,2),0),IF($G243="Evet",ROUND($C243*tba_isverenOran,2),0)))</f>
        <v/>
      </c>
      <c r="K243" s="31">
        <f>IF($A243="","",IF($H243="TBA-001",IF($D243="Evet",ROUND($C243*tba_oranBesPuan,2),0),IF($H243="TBA-002",IF($E243="Evet",ROUND($C243*tba_oranIlave,2),0),IF($H243="TBA-004",IF($F243="Evet",ROUND($C243*tba_oranKadinGenc,2),0),IF($H243="TBA-ENG",IF($G243="Evet",ROUND($C243*tba_isverenOran,2),0),0)))))</f>
        <v/>
      </c>
      <c r="L243" s="31">
        <f>IF($A243="","",MAX(0,$J243-$K243))</f>
        <v/>
      </c>
    </row>
    <row r="244">
      <c r="I244" s="31">
        <f>IF($A244="","",IF($J244=0,"YOK",IF(AND($E244="Evet",ROUND($C244*tba_oranIlave,2)=$J244),"TBA-002",IF(AND($D244="Evet",ROUND($C244*tba_oranBesPuan,2)=$J244),"TBA-001",IF(AND($F244="Evet",ROUND($C244*tba_oranKadinGenc,2)=$J244),"TBA-004","TBA-ENG")))))</f>
        <v/>
      </c>
      <c r="J244" s="31">
        <f>IF($A244="","",MAX(IF($D244="Evet",ROUND($C244*tba_oranBesPuan,2),0),IF($E244="Evet",ROUND($C244*tba_oranIlave,2),0),IF($F244="Evet",ROUND($C244*tba_oranKadinGenc,2),0),IF($G244="Evet",ROUND($C244*tba_isverenOran,2),0)))</f>
        <v/>
      </c>
      <c r="K244" s="31">
        <f>IF($A244="","",IF($H244="TBA-001",IF($D244="Evet",ROUND($C244*tba_oranBesPuan,2),0),IF($H244="TBA-002",IF($E244="Evet",ROUND($C244*tba_oranIlave,2),0),IF($H244="TBA-004",IF($F244="Evet",ROUND($C244*tba_oranKadinGenc,2),0),IF($H244="TBA-ENG",IF($G244="Evet",ROUND($C244*tba_isverenOran,2),0),0)))))</f>
        <v/>
      </c>
      <c r="L244" s="31">
        <f>IF($A244="","",MAX(0,$J244-$K244))</f>
        <v/>
      </c>
    </row>
    <row r="245">
      <c r="I245" s="31">
        <f>IF($A245="","",IF($J245=0,"YOK",IF(AND($E245="Evet",ROUND($C245*tba_oranIlave,2)=$J245),"TBA-002",IF(AND($D245="Evet",ROUND($C245*tba_oranBesPuan,2)=$J245),"TBA-001",IF(AND($F245="Evet",ROUND($C245*tba_oranKadinGenc,2)=$J245),"TBA-004","TBA-ENG")))))</f>
        <v/>
      </c>
      <c r="J245" s="31">
        <f>IF($A245="","",MAX(IF($D245="Evet",ROUND($C245*tba_oranBesPuan,2),0),IF($E245="Evet",ROUND($C245*tba_oranIlave,2),0),IF($F245="Evet",ROUND($C245*tba_oranKadinGenc,2),0),IF($G245="Evet",ROUND($C245*tba_isverenOran,2),0)))</f>
        <v/>
      </c>
      <c r="K245" s="31">
        <f>IF($A245="","",IF($H245="TBA-001",IF($D245="Evet",ROUND($C245*tba_oranBesPuan,2),0),IF($H245="TBA-002",IF($E245="Evet",ROUND($C245*tba_oranIlave,2),0),IF($H245="TBA-004",IF($F245="Evet",ROUND($C245*tba_oranKadinGenc,2),0),IF($H245="TBA-ENG",IF($G245="Evet",ROUND($C245*tba_isverenOran,2),0),0)))))</f>
        <v/>
      </c>
      <c r="L245" s="31">
        <f>IF($A245="","",MAX(0,$J245-$K245))</f>
        <v/>
      </c>
    </row>
    <row r="246">
      <c r="I246" s="31">
        <f>IF($A246="","",IF($J246=0,"YOK",IF(AND($E246="Evet",ROUND($C246*tba_oranIlave,2)=$J246),"TBA-002",IF(AND($D246="Evet",ROUND($C246*tba_oranBesPuan,2)=$J246),"TBA-001",IF(AND($F246="Evet",ROUND($C246*tba_oranKadinGenc,2)=$J246),"TBA-004","TBA-ENG")))))</f>
        <v/>
      </c>
      <c r="J246" s="31">
        <f>IF($A246="","",MAX(IF($D246="Evet",ROUND($C246*tba_oranBesPuan,2),0),IF($E246="Evet",ROUND($C246*tba_oranIlave,2),0),IF($F246="Evet",ROUND($C246*tba_oranKadinGenc,2),0),IF($G246="Evet",ROUND($C246*tba_isverenOran,2),0)))</f>
        <v/>
      </c>
      <c r="K246" s="31">
        <f>IF($A246="","",IF($H246="TBA-001",IF($D246="Evet",ROUND($C246*tba_oranBesPuan,2),0),IF($H246="TBA-002",IF($E246="Evet",ROUND($C246*tba_oranIlave,2),0),IF($H246="TBA-004",IF($F246="Evet",ROUND($C246*tba_oranKadinGenc,2),0),IF($H246="TBA-ENG",IF($G246="Evet",ROUND($C246*tba_isverenOran,2),0),0)))))</f>
        <v/>
      </c>
      <c r="L246" s="31">
        <f>IF($A246="","",MAX(0,$J246-$K246))</f>
        <v/>
      </c>
    </row>
    <row r="247">
      <c r="I247" s="31">
        <f>IF($A247="","",IF($J247=0,"YOK",IF(AND($E247="Evet",ROUND($C247*tba_oranIlave,2)=$J247),"TBA-002",IF(AND($D247="Evet",ROUND($C247*tba_oranBesPuan,2)=$J247),"TBA-001",IF(AND($F247="Evet",ROUND($C247*tba_oranKadinGenc,2)=$J247),"TBA-004","TBA-ENG")))))</f>
        <v/>
      </c>
      <c r="J247" s="31">
        <f>IF($A247="","",MAX(IF($D247="Evet",ROUND($C247*tba_oranBesPuan,2),0),IF($E247="Evet",ROUND($C247*tba_oranIlave,2),0),IF($F247="Evet",ROUND($C247*tba_oranKadinGenc,2),0),IF($G247="Evet",ROUND($C247*tba_isverenOran,2),0)))</f>
        <v/>
      </c>
      <c r="K247" s="31">
        <f>IF($A247="","",IF($H247="TBA-001",IF($D247="Evet",ROUND($C247*tba_oranBesPuan,2),0),IF($H247="TBA-002",IF($E247="Evet",ROUND($C247*tba_oranIlave,2),0),IF($H247="TBA-004",IF($F247="Evet",ROUND($C247*tba_oranKadinGenc,2),0),IF($H247="TBA-ENG",IF($G247="Evet",ROUND($C247*tba_isverenOran,2),0),0)))))</f>
        <v/>
      </c>
      <c r="L247" s="31">
        <f>IF($A247="","",MAX(0,$J247-$K247))</f>
        <v/>
      </c>
    </row>
    <row r="248">
      <c r="I248" s="31">
        <f>IF($A248="","",IF($J248=0,"YOK",IF(AND($E248="Evet",ROUND($C248*tba_oranIlave,2)=$J248),"TBA-002",IF(AND($D248="Evet",ROUND($C248*tba_oranBesPuan,2)=$J248),"TBA-001",IF(AND($F248="Evet",ROUND($C248*tba_oranKadinGenc,2)=$J248),"TBA-004","TBA-ENG")))))</f>
        <v/>
      </c>
      <c r="J248" s="31">
        <f>IF($A248="","",MAX(IF($D248="Evet",ROUND($C248*tba_oranBesPuan,2),0),IF($E248="Evet",ROUND($C248*tba_oranIlave,2),0),IF($F248="Evet",ROUND($C248*tba_oranKadinGenc,2),0),IF($G248="Evet",ROUND($C248*tba_isverenOran,2),0)))</f>
        <v/>
      </c>
      <c r="K248" s="31">
        <f>IF($A248="","",IF($H248="TBA-001",IF($D248="Evet",ROUND($C248*tba_oranBesPuan,2),0),IF($H248="TBA-002",IF($E248="Evet",ROUND($C248*tba_oranIlave,2),0),IF($H248="TBA-004",IF($F248="Evet",ROUND($C248*tba_oranKadinGenc,2),0),IF($H248="TBA-ENG",IF($G248="Evet",ROUND($C248*tba_isverenOran,2),0),0)))))</f>
        <v/>
      </c>
      <c r="L248" s="31">
        <f>IF($A248="","",MAX(0,$J248-$K248))</f>
        <v/>
      </c>
    </row>
    <row r="249">
      <c r="I249" s="31">
        <f>IF($A249="","",IF($J249=0,"YOK",IF(AND($E249="Evet",ROUND($C249*tba_oranIlave,2)=$J249),"TBA-002",IF(AND($D249="Evet",ROUND($C249*tba_oranBesPuan,2)=$J249),"TBA-001",IF(AND($F249="Evet",ROUND($C249*tba_oranKadinGenc,2)=$J249),"TBA-004","TBA-ENG")))))</f>
        <v/>
      </c>
      <c r="J249" s="31">
        <f>IF($A249="","",MAX(IF($D249="Evet",ROUND($C249*tba_oranBesPuan,2),0),IF($E249="Evet",ROUND($C249*tba_oranIlave,2),0),IF($F249="Evet",ROUND($C249*tba_oranKadinGenc,2),0),IF($G249="Evet",ROUND($C249*tba_isverenOran,2),0)))</f>
        <v/>
      </c>
      <c r="K249" s="31">
        <f>IF($A249="","",IF($H249="TBA-001",IF($D249="Evet",ROUND($C249*tba_oranBesPuan,2),0),IF($H249="TBA-002",IF($E249="Evet",ROUND($C249*tba_oranIlave,2),0),IF($H249="TBA-004",IF($F249="Evet",ROUND($C249*tba_oranKadinGenc,2),0),IF($H249="TBA-ENG",IF($G249="Evet",ROUND($C249*tba_isverenOran,2),0),0)))))</f>
        <v/>
      </c>
      <c r="L249" s="31">
        <f>IF($A249="","",MAX(0,$J249-$K249))</f>
        <v/>
      </c>
    </row>
    <row r="250">
      <c r="I250" s="31">
        <f>IF($A250="","",IF($J250=0,"YOK",IF(AND($E250="Evet",ROUND($C250*tba_oranIlave,2)=$J250),"TBA-002",IF(AND($D250="Evet",ROUND($C250*tba_oranBesPuan,2)=$J250),"TBA-001",IF(AND($F250="Evet",ROUND($C250*tba_oranKadinGenc,2)=$J250),"TBA-004","TBA-ENG")))))</f>
        <v/>
      </c>
      <c r="J250" s="31">
        <f>IF($A250="","",MAX(IF($D250="Evet",ROUND($C250*tba_oranBesPuan,2),0),IF($E250="Evet",ROUND($C250*tba_oranIlave,2),0),IF($F250="Evet",ROUND($C250*tba_oranKadinGenc,2),0),IF($G250="Evet",ROUND($C250*tba_isverenOran,2),0)))</f>
        <v/>
      </c>
      <c r="K250" s="31">
        <f>IF($A250="","",IF($H250="TBA-001",IF($D250="Evet",ROUND($C250*tba_oranBesPuan,2),0),IF($H250="TBA-002",IF($E250="Evet",ROUND($C250*tba_oranIlave,2),0),IF($H250="TBA-004",IF($F250="Evet",ROUND($C250*tba_oranKadinGenc,2),0),IF($H250="TBA-ENG",IF($G250="Evet",ROUND($C250*tba_isverenOran,2),0),0)))))</f>
        <v/>
      </c>
      <c r="L250" s="31">
        <f>IF($A250="","",MAX(0,$J250-$K250))</f>
        <v/>
      </c>
    </row>
    <row r="251">
      <c r="I251" s="31">
        <f>IF($A251="","",IF($J251=0,"YOK",IF(AND($E251="Evet",ROUND($C251*tba_oranIlave,2)=$J251),"TBA-002",IF(AND($D251="Evet",ROUND($C251*tba_oranBesPuan,2)=$J251),"TBA-001",IF(AND($F251="Evet",ROUND($C251*tba_oranKadinGenc,2)=$J251),"TBA-004","TBA-ENG")))))</f>
        <v/>
      </c>
      <c r="J251" s="31">
        <f>IF($A251="","",MAX(IF($D251="Evet",ROUND($C251*tba_oranBesPuan,2),0),IF($E251="Evet",ROUND($C251*tba_oranIlave,2),0),IF($F251="Evet",ROUND($C251*tba_oranKadinGenc,2),0),IF($G251="Evet",ROUND($C251*tba_isverenOran,2),0)))</f>
        <v/>
      </c>
      <c r="K251" s="31">
        <f>IF($A251="","",IF($H251="TBA-001",IF($D251="Evet",ROUND($C251*tba_oranBesPuan,2),0),IF($H251="TBA-002",IF($E251="Evet",ROUND($C251*tba_oranIlave,2),0),IF($H251="TBA-004",IF($F251="Evet",ROUND($C251*tba_oranKadinGenc,2),0),IF($H251="TBA-ENG",IF($G251="Evet",ROUND($C251*tba_isverenOran,2),0),0)))))</f>
        <v/>
      </c>
      <c r="L251" s="31">
        <f>IF($A251="","",MAX(0,$J251-$K251))</f>
        <v/>
      </c>
    </row>
    <row r="252">
      <c r="I252" s="31">
        <f>IF($A252="","",IF($J252=0,"YOK",IF(AND($E252="Evet",ROUND($C252*tba_oranIlave,2)=$J252),"TBA-002",IF(AND($D252="Evet",ROUND($C252*tba_oranBesPuan,2)=$J252),"TBA-001",IF(AND($F252="Evet",ROUND($C252*tba_oranKadinGenc,2)=$J252),"TBA-004","TBA-ENG")))))</f>
        <v/>
      </c>
      <c r="J252" s="31">
        <f>IF($A252="","",MAX(IF($D252="Evet",ROUND($C252*tba_oranBesPuan,2),0),IF($E252="Evet",ROUND($C252*tba_oranIlave,2),0),IF($F252="Evet",ROUND($C252*tba_oranKadinGenc,2),0),IF($G252="Evet",ROUND($C252*tba_isverenOran,2),0)))</f>
        <v/>
      </c>
      <c r="K252" s="31">
        <f>IF($A252="","",IF($H252="TBA-001",IF($D252="Evet",ROUND($C252*tba_oranBesPuan,2),0),IF($H252="TBA-002",IF($E252="Evet",ROUND($C252*tba_oranIlave,2),0),IF($H252="TBA-004",IF($F252="Evet",ROUND($C252*tba_oranKadinGenc,2),0),IF($H252="TBA-ENG",IF($G252="Evet",ROUND($C252*tba_isverenOran,2),0),0)))))</f>
        <v/>
      </c>
      <c r="L252" s="31">
        <f>IF($A252="","",MAX(0,$J252-$K252))</f>
        <v/>
      </c>
    </row>
    <row r="253">
      <c r="I253" s="31">
        <f>IF($A253="","",IF($J253=0,"YOK",IF(AND($E253="Evet",ROUND($C253*tba_oranIlave,2)=$J253),"TBA-002",IF(AND($D253="Evet",ROUND($C253*tba_oranBesPuan,2)=$J253),"TBA-001",IF(AND($F253="Evet",ROUND($C253*tba_oranKadinGenc,2)=$J253),"TBA-004","TBA-ENG")))))</f>
        <v/>
      </c>
      <c r="J253" s="31">
        <f>IF($A253="","",MAX(IF($D253="Evet",ROUND($C253*tba_oranBesPuan,2),0),IF($E253="Evet",ROUND($C253*tba_oranIlave,2),0),IF($F253="Evet",ROUND($C253*tba_oranKadinGenc,2),0),IF($G253="Evet",ROUND($C253*tba_isverenOran,2),0)))</f>
        <v/>
      </c>
      <c r="K253" s="31">
        <f>IF($A253="","",IF($H253="TBA-001",IF($D253="Evet",ROUND($C253*tba_oranBesPuan,2),0),IF($H253="TBA-002",IF($E253="Evet",ROUND($C253*tba_oranIlave,2),0),IF($H253="TBA-004",IF($F253="Evet",ROUND($C253*tba_oranKadinGenc,2),0),IF($H253="TBA-ENG",IF($G253="Evet",ROUND($C253*tba_isverenOran,2),0),0)))))</f>
        <v/>
      </c>
      <c r="L253" s="31">
        <f>IF($A253="","",MAX(0,$J253-$K253))</f>
        <v/>
      </c>
    </row>
    <row r="254">
      <c r="I254" s="31">
        <f>IF($A254="","",IF($J254=0,"YOK",IF(AND($E254="Evet",ROUND($C254*tba_oranIlave,2)=$J254),"TBA-002",IF(AND($D254="Evet",ROUND($C254*tba_oranBesPuan,2)=$J254),"TBA-001",IF(AND($F254="Evet",ROUND($C254*tba_oranKadinGenc,2)=$J254),"TBA-004","TBA-ENG")))))</f>
        <v/>
      </c>
      <c r="J254" s="31">
        <f>IF($A254="","",MAX(IF($D254="Evet",ROUND($C254*tba_oranBesPuan,2),0),IF($E254="Evet",ROUND($C254*tba_oranIlave,2),0),IF($F254="Evet",ROUND($C254*tba_oranKadinGenc,2),0),IF($G254="Evet",ROUND($C254*tba_isverenOran,2),0)))</f>
        <v/>
      </c>
      <c r="K254" s="31">
        <f>IF($A254="","",IF($H254="TBA-001",IF($D254="Evet",ROUND($C254*tba_oranBesPuan,2),0),IF($H254="TBA-002",IF($E254="Evet",ROUND($C254*tba_oranIlave,2),0),IF($H254="TBA-004",IF($F254="Evet",ROUND($C254*tba_oranKadinGenc,2),0),IF($H254="TBA-ENG",IF($G254="Evet",ROUND($C254*tba_isverenOran,2),0),0)))))</f>
        <v/>
      </c>
      <c r="L254" s="31">
        <f>IF($A254="","",MAX(0,$J254-$K254))</f>
        <v/>
      </c>
    </row>
    <row r="255">
      <c r="I255" s="31">
        <f>IF($A255="","",IF($J255=0,"YOK",IF(AND($E255="Evet",ROUND($C255*tba_oranIlave,2)=$J255),"TBA-002",IF(AND($D255="Evet",ROUND($C255*tba_oranBesPuan,2)=$J255),"TBA-001",IF(AND($F255="Evet",ROUND($C255*tba_oranKadinGenc,2)=$J255),"TBA-004","TBA-ENG")))))</f>
        <v/>
      </c>
      <c r="J255" s="31">
        <f>IF($A255="","",MAX(IF($D255="Evet",ROUND($C255*tba_oranBesPuan,2),0),IF($E255="Evet",ROUND($C255*tba_oranIlave,2),0),IF($F255="Evet",ROUND($C255*tba_oranKadinGenc,2),0),IF($G255="Evet",ROUND($C255*tba_isverenOran,2),0)))</f>
        <v/>
      </c>
      <c r="K255" s="31">
        <f>IF($A255="","",IF($H255="TBA-001",IF($D255="Evet",ROUND($C255*tba_oranBesPuan,2),0),IF($H255="TBA-002",IF($E255="Evet",ROUND($C255*tba_oranIlave,2),0),IF($H255="TBA-004",IF($F255="Evet",ROUND($C255*tba_oranKadinGenc,2),0),IF($H255="TBA-ENG",IF($G255="Evet",ROUND($C255*tba_isverenOran,2),0),0)))))</f>
        <v/>
      </c>
      <c r="L255" s="31">
        <f>IF($A255="","",MAX(0,$J255-$K255))</f>
        <v/>
      </c>
    </row>
    <row r="256">
      <c r="I256" s="31">
        <f>IF($A256="","",IF($J256=0,"YOK",IF(AND($E256="Evet",ROUND($C256*tba_oranIlave,2)=$J256),"TBA-002",IF(AND($D256="Evet",ROUND($C256*tba_oranBesPuan,2)=$J256),"TBA-001",IF(AND($F256="Evet",ROUND($C256*tba_oranKadinGenc,2)=$J256),"TBA-004","TBA-ENG")))))</f>
        <v/>
      </c>
      <c r="J256" s="31">
        <f>IF($A256="","",MAX(IF($D256="Evet",ROUND($C256*tba_oranBesPuan,2),0),IF($E256="Evet",ROUND($C256*tba_oranIlave,2),0),IF($F256="Evet",ROUND($C256*tba_oranKadinGenc,2),0),IF($G256="Evet",ROUND($C256*tba_isverenOran,2),0)))</f>
        <v/>
      </c>
      <c r="K256" s="31">
        <f>IF($A256="","",IF($H256="TBA-001",IF($D256="Evet",ROUND($C256*tba_oranBesPuan,2),0),IF($H256="TBA-002",IF($E256="Evet",ROUND($C256*tba_oranIlave,2),0),IF($H256="TBA-004",IF($F256="Evet",ROUND($C256*tba_oranKadinGenc,2),0),IF($H256="TBA-ENG",IF($G256="Evet",ROUND($C256*tba_isverenOran,2),0),0)))))</f>
        <v/>
      </c>
      <c r="L256" s="31">
        <f>IF($A256="","",MAX(0,$J256-$K256))</f>
        <v/>
      </c>
    </row>
    <row r="257">
      <c r="I257" s="31">
        <f>IF($A257="","",IF($J257=0,"YOK",IF(AND($E257="Evet",ROUND($C257*tba_oranIlave,2)=$J257),"TBA-002",IF(AND($D257="Evet",ROUND($C257*tba_oranBesPuan,2)=$J257),"TBA-001",IF(AND($F257="Evet",ROUND($C257*tba_oranKadinGenc,2)=$J257),"TBA-004","TBA-ENG")))))</f>
        <v/>
      </c>
      <c r="J257" s="31">
        <f>IF($A257="","",MAX(IF($D257="Evet",ROUND($C257*tba_oranBesPuan,2),0),IF($E257="Evet",ROUND($C257*tba_oranIlave,2),0),IF($F257="Evet",ROUND($C257*tba_oranKadinGenc,2),0),IF($G257="Evet",ROUND($C257*tba_isverenOran,2),0)))</f>
        <v/>
      </c>
      <c r="K257" s="31">
        <f>IF($A257="","",IF($H257="TBA-001",IF($D257="Evet",ROUND($C257*tba_oranBesPuan,2),0),IF($H257="TBA-002",IF($E257="Evet",ROUND($C257*tba_oranIlave,2),0),IF($H257="TBA-004",IF($F257="Evet",ROUND($C257*tba_oranKadinGenc,2),0),IF($H257="TBA-ENG",IF($G257="Evet",ROUND($C257*tba_isverenOran,2),0),0)))))</f>
        <v/>
      </c>
      <c r="L257" s="31">
        <f>IF($A257="","",MAX(0,$J257-$K257))</f>
        <v/>
      </c>
    </row>
    <row r="258">
      <c r="I258" s="31">
        <f>IF($A258="","",IF($J258=0,"YOK",IF(AND($E258="Evet",ROUND($C258*tba_oranIlave,2)=$J258),"TBA-002",IF(AND($D258="Evet",ROUND($C258*tba_oranBesPuan,2)=$J258),"TBA-001",IF(AND($F258="Evet",ROUND($C258*tba_oranKadinGenc,2)=$J258),"TBA-004","TBA-ENG")))))</f>
        <v/>
      </c>
      <c r="J258" s="31">
        <f>IF($A258="","",MAX(IF($D258="Evet",ROUND($C258*tba_oranBesPuan,2),0),IF($E258="Evet",ROUND($C258*tba_oranIlave,2),0),IF($F258="Evet",ROUND($C258*tba_oranKadinGenc,2),0),IF($G258="Evet",ROUND($C258*tba_isverenOran,2),0)))</f>
        <v/>
      </c>
      <c r="K258" s="31">
        <f>IF($A258="","",IF($H258="TBA-001",IF($D258="Evet",ROUND($C258*tba_oranBesPuan,2),0),IF($H258="TBA-002",IF($E258="Evet",ROUND($C258*tba_oranIlave,2),0),IF($H258="TBA-004",IF($F258="Evet",ROUND($C258*tba_oranKadinGenc,2),0),IF($H258="TBA-ENG",IF($G258="Evet",ROUND($C258*tba_isverenOran,2),0),0)))))</f>
        <v/>
      </c>
      <c r="L258" s="31">
        <f>IF($A258="","",MAX(0,$J258-$K258))</f>
        <v/>
      </c>
    </row>
    <row r="259">
      <c r="I259" s="31">
        <f>IF($A259="","",IF($J259=0,"YOK",IF(AND($E259="Evet",ROUND($C259*tba_oranIlave,2)=$J259),"TBA-002",IF(AND($D259="Evet",ROUND($C259*tba_oranBesPuan,2)=$J259),"TBA-001",IF(AND($F259="Evet",ROUND($C259*tba_oranKadinGenc,2)=$J259),"TBA-004","TBA-ENG")))))</f>
        <v/>
      </c>
      <c r="J259" s="31">
        <f>IF($A259="","",MAX(IF($D259="Evet",ROUND($C259*tba_oranBesPuan,2),0),IF($E259="Evet",ROUND($C259*tba_oranIlave,2),0),IF($F259="Evet",ROUND($C259*tba_oranKadinGenc,2),0),IF($G259="Evet",ROUND($C259*tba_isverenOran,2),0)))</f>
        <v/>
      </c>
      <c r="K259" s="31">
        <f>IF($A259="","",IF($H259="TBA-001",IF($D259="Evet",ROUND($C259*tba_oranBesPuan,2),0),IF($H259="TBA-002",IF($E259="Evet",ROUND($C259*tba_oranIlave,2),0),IF($H259="TBA-004",IF($F259="Evet",ROUND($C259*tba_oranKadinGenc,2),0),IF($H259="TBA-ENG",IF($G259="Evet",ROUND($C259*tba_isverenOran,2),0),0)))))</f>
        <v/>
      </c>
      <c r="L259" s="31">
        <f>IF($A259="","",MAX(0,$J259-$K259))</f>
        <v/>
      </c>
    </row>
    <row r="260">
      <c r="I260" s="31">
        <f>IF($A260="","",IF($J260=0,"YOK",IF(AND($E260="Evet",ROUND($C260*tba_oranIlave,2)=$J260),"TBA-002",IF(AND($D260="Evet",ROUND($C260*tba_oranBesPuan,2)=$J260),"TBA-001",IF(AND($F260="Evet",ROUND($C260*tba_oranKadinGenc,2)=$J260),"TBA-004","TBA-ENG")))))</f>
        <v/>
      </c>
      <c r="J260" s="31">
        <f>IF($A260="","",MAX(IF($D260="Evet",ROUND($C260*tba_oranBesPuan,2),0),IF($E260="Evet",ROUND($C260*tba_oranIlave,2),0),IF($F260="Evet",ROUND($C260*tba_oranKadinGenc,2),0),IF($G260="Evet",ROUND($C260*tba_isverenOran,2),0)))</f>
        <v/>
      </c>
      <c r="K260" s="31">
        <f>IF($A260="","",IF($H260="TBA-001",IF($D260="Evet",ROUND($C260*tba_oranBesPuan,2),0),IF($H260="TBA-002",IF($E260="Evet",ROUND($C260*tba_oranIlave,2),0),IF($H260="TBA-004",IF($F260="Evet",ROUND($C260*tba_oranKadinGenc,2),0),IF($H260="TBA-ENG",IF($G260="Evet",ROUND($C260*tba_isverenOran,2),0),0)))))</f>
        <v/>
      </c>
      <c r="L260" s="31">
        <f>IF($A260="","",MAX(0,$J260-$K260))</f>
        <v/>
      </c>
    </row>
    <row r="261">
      <c r="I261" s="31">
        <f>IF($A261="","",IF($J261=0,"YOK",IF(AND($E261="Evet",ROUND($C261*tba_oranIlave,2)=$J261),"TBA-002",IF(AND($D261="Evet",ROUND($C261*tba_oranBesPuan,2)=$J261),"TBA-001",IF(AND($F261="Evet",ROUND($C261*tba_oranKadinGenc,2)=$J261),"TBA-004","TBA-ENG")))))</f>
        <v/>
      </c>
      <c r="J261" s="31">
        <f>IF($A261="","",MAX(IF($D261="Evet",ROUND($C261*tba_oranBesPuan,2),0),IF($E261="Evet",ROUND($C261*tba_oranIlave,2),0),IF($F261="Evet",ROUND($C261*tba_oranKadinGenc,2),0),IF($G261="Evet",ROUND($C261*tba_isverenOran,2),0)))</f>
        <v/>
      </c>
      <c r="K261" s="31">
        <f>IF($A261="","",IF($H261="TBA-001",IF($D261="Evet",ROUND($C261*tba_oranBesPuan,2),0),IF($H261="TBA-002",IF($E261="Evet",ROUND($C261*tba_oranIlave,2),0),IF($H261="TBA-004",IF($F261="Evet",ROUND($C261*tba_oranKadinGenc,2),0),IF($H261="TBA-ENG",IF($G261="Evet",ROUND($C261*tba_isverenOran,2),0),0)))))</f>
        <v/>
      </c>
      <c r="L261" s="31">
        <f>IF($A261="","",MAX(0,$J261-$K261))</f>
        <v/>
      </c>
    </row>
    <row r="262">
      <c r="I262" s="31">
        <f>IF($A262="","",IF($J262=0,"YOK",IF(AND($E262="Evet",ROUND($C262*tba_oranIlave,2)=$J262),"TBA-002",IF(AND($D262="Evet",ROUND($C262*tba_oranBesPuan,2)=$J262),"TBA-001",IF(AND($F262="Evet",ROUND($C262*tba_oranKadinGenc,2)=$J262),"TBA-004","TBA-ENG")))))</f>
        <v/>
      </c>
      <c r="J262" s="31">
        <f>IF($A262="","",MAX(IF($D262="Evet",ROUND($C262*tba_oranBesPuan,2),0),IF($E262="Evet",ROUND($C262*tba_oranIlave,2),0),IF($F262="Evet",ROUND($C262*tba_oranKadinGenc,2),0),IF($G262="Evet",ROUND($C262*tba_isverenOran,2),0)))</f>
        <v/>
      </c>
      <c r="K262" s="31">
        <f>IF($A262="","",IF($H262="TBA-001",IF($D262="Evet",ROUND($C262*tba_oranBesPuan,2),0),IF($H262="TBA-002",IF($E262="Evet",ROUND($C262*tba_oranIlave,2),0),IF($H262="TBA-004",IF($F262="Evet",ROUND($C262*tba_oranKadinGenc,2),0),IF($H262="TBA-ENG",IF($G262="Evet",ROUND($C262*tba_isverenOran,2),0),0)))))</f>
        <v/>
      </c>
      <c r="L262" s="31">
        <f>IF($A262="","",MAX(0,$J262-$K262))</f>
        <v/>
      </c>
    </row>
    <row r="263">
      <c r="I263" s="31">
        <f>IF($A263="","",IF($J263=0,"YOK",IF(AND($E263="Evet",ROUND($C263*tba_oranIlave,2)=$J263),"TBA-002",IF(AND($D263="Evet",ROUND($C263*tba_oranBesPuan,2)=$J263),"TBA-001",IF(AND($F263="Evet",ROUND($C263*tba_oranKadinGenc,2)=$J263),"TBA-004","TBA-ENG")))))</f>
        <v/>
      </c>
      <c r="J263" s="31">
        <f>IF($A263="","",MAX(IF($D263="Evet",ROUND($C263*tba_oranBesPuan,2),0),IF($E263="Evet",ROUND($C263*tba_oranIlave,2),0),IF($F263="Evet",ROUND($C263*tba_oranKadinGenc,2),0),IF($G263="Evet",ROUND($C263*tba_isverenOran,2),0)))</f>
        <v/>
      </c>
      <c r="K263" s="31">
        <f>IF($A263="","",IF($H263="TBA-001",IF($D263="Evet",ROUND($C263*tba_oranBesPuan,2),0),IF($H263="TBA-002",IF($E263="Evet",ROUND($C263*tba_oranIlave,2),0),IF($H263="TBA-004",IF($F263="Evet",ROUND($C263*tba_oranKadinGenc,2),0),IF($H263="TBA-ENG",IF($G263="Evet",ROUND($C263*tba_isverenOran,2),0),0)))))</f>
        <v/>
      </c>
      <c r="L263" s="31">
        <f>IF($A263="","",MAX(0,$J263-$K263))</f>
        <v/>
      </c>
    </row>
    <row r="264">
      <c r="I264" s="31">
        <f>IF($A264="","",IF($J264=0,"YOK",IF(AND($E264="Evet",ROUND($C264*tba_oranIlave,2)=$J264),"TBA-002",IF(AND($D264="Evet",ROUND($C264*tba_oranBesPuan,2)=$J264),"TBA-001",IF(AND($F264="Evet",ROUND($C264*tba_oranKadinGenc,2)=$J264),"TBA-004","TBA-ENG")))))</f>
        <v/>
      </c>
      <c r="J264" s="31">
        <f>IF($A264="","",MAX(IF($D264="Evet",ROUND($C264*tba_oranBesPuan,2),0),IF($E264="Evet",ROUND($C264*tba_oranIlave,2),0),IF($F264="Evet",ROUND($C264*tba_oranKadinGenc,2),0),IF($G264="Evet",ROUND($C264*tba_isverenOran,2),0)))</f>
        <v/>
      </c>
      <c r="K264" s="31">
        <f>IF($A264="","",IF($H264="TBA-001",IF($D264="Evet",ROUND($C264*tba_oranBesPuan,2),0),IF($H264="TBA-002",IF($E264="Evet",ROUND($C264*tba_oranIlave,2),0),IF($H264="TBA-004",IF($F264="Evet",ROUND($C264*tba_oranKadinGenc,2),0),IF($H264="TBA-ENG",IF($G264="Evet",ROUND($C264*tba_isverenOran,2),0),0)))))</f>
        <v/>
      </c>
      <c r="L264" s="31">
        <f>IF($A264="","",MAX(0,$J264-$K264))</f>
        <v/>
      </c>
    </row>
    <row r="265">
      <c r="I265" s="31">
        <f>IF($A265="","",IF($J265=0,"YOK",IF(AND($E265="Evet",ROUND($C265*tba_oranIlave,2)=$J265),"TBA-002",IF(AND($D265="Evet",ROUND($C265*tba_oranBesPuan,2)=$J265),"TBA-001",IF(AND($F265="Evet",ROUND($C265*tba_oranKadinGenc,2)=$J265),"TBA-004","TBA-ENG")))))</f>
        <v/>
      </c>
      <c r="J265" s="31">
        <f>IF($A265="","",MAX(IF($D265="Evet",ROUND($C265*tba_oranBesPuan,2),0),IF($E265="Evet",ROUND($C265*tba_oranIlave,2),0),IF($F265="Evet",ROUND($C265*tba_oranKadinGenc,2),0),IF($G265="Evet",ROUND($C265*tba_isverenOran,2),0)))</f>
        <v/>
      </c>
      <c r="K265" s="31">
        <f>IF($A265="","",IF($H265="TBA-001",IF($D265="Evet",ROUND($C265*tba_oranBesPuan,2),0),IF($H265="TBA-002",IF($E265="Evet",ROUND($C265*tba_oranIlave,2),0),IF($H265="TBA-004",IF($F265="Evet",ROUND($C265*tba_oranKadinGenc,2),0),IF($H265="TBA-ENG",IF($G265="Evet",ROUND($C265*tba_isverenOran,2),0),0)))))</f>
        <v/>
      </c>
      <c r="L265" s="31">
        <f>IF($A265="","",MAX(0,$J265-$K265))</f>
        <v/>
      </c>
    </row>
    <row r="266">
      <c r="I266" s="31">
        <f>IF($A266="","",IF($J266=0,"YOK",IF(AND($E266="Evet",ROUND($C266*tba_oranIlave,2)=$J266),"TBA-002",IF(AND($D266="Evet",ROUND($C266*tba_oranBesPuan,2)=$J266),"TBA-001",IF(AND($F266="Evet",ROUND($C266*tba_oranKadinGenc,2)=$J266),"TBA-004","TBA-ENG")))))</f>
        <v/>
      </c>
      <c r="J266" s="31">
        <f>IF($A266="","",MAX(IF($D266="Evet",ROUND($C266*tba_oranBesPuan,2),0),IF($E266="Evet",ROUND($C266*tba_oranIlave,2),0),IF($F266="Evet",ROUND($C266*tba_oranKadinGenc,2),0),IF($G266="Evet",ROUND($C266*tba_isverenOran,2),0)))</f>
        <v/>
      </c>
      <c r="K266" s="31">
        <f>IF($A266="","",IF($H266="TBA-001",IF($D266="Evet",ROUND($C266*tba_oranBesPuan,2),0),IF($H266="TBA-002",IF($E266="Evet",ROUND($C266*tba_oranIlave,2),0),IF($H266="TBA-004",IF($F266="Evet",ROUND($C266*tba_oranKadinGenc,2),0),IF($H266="TBA-ENG",IF($G266="Evet",ROUND($C266*tba_isverenOran,2),0),0)))))</f>
        <v/>
      </c>
      <c r="L266" s="31">
        <f>IF($A266="","",MAX(0,$J266-$K266))</f>
        <v/>
      </c>
    </row>
    <row r="267">
      <c r="I267" s="31">
        <f>IF($A267="","",IF($J267=0,"YOK",IF(AND($E267="Evet",ROUND($C267*tba_oranIlave,2)=$J267),"TBA-002",IF(AND($D267="Evet",ROUND($C267*tba_oranBesPuan,2)=$J267),"TBA-001",IF(AND($F267="Evet",ROUND($C267*tba_oranKadinGenc,2)=$J267),"TBA-004","TBA-ENG")))))</f>
        <v/>
      </c>
      <c r="J267" s="31">
        <f>IF($A267="","",MAX(IF($D267="Evet",ROUND($C267*tba_oranBesPuan,2),0),IF($E267="Evet",ROUND($C267*tba_oranIlave,2),0),IF($F267="Evet",ROUND($C267*tba_oranKadinGenc,2),0),IF($G267="Evet",ROUND($C267*tba_isverenOran,2),0)))</f>
        <v/>
      </c>
      <c r="K267" s="31">
        <f>IF($A267="","",IF($H267="TBA-001",IF($D267="Evet",ROUND($C267*tba_oranBesPuan,2),0),IF($H267="TBA-002",IF($E267="Evet",ROUND($C267*tba_oranIlave,2),0),IF($H267="TBA-004",IF($F267="Evet",ROUND($C267*tba_oranKadinGenc,2),0),IF($H267="TBA-ENG",IF($G267="Evet",ROUND($C267*tba_isverenOran,2),0),0)))))</f>
        <v/>
      </c>
      <c r="L267" s="31">
        <f>IF($A267="","",MAX(0,$J267-$K267))</f>
        <v/>
      </c>
    </row>
    <row r="268">
      <c r="I268" s="31">
        <f>IF($A268="","",IF($J268=0,"YOK",IF(AND($E268="Evet",ROUND($C268*tba_oranIlave,2)=$J268),"TBA-002",IF(AND($D268="Evet",ROUND($C268*tba_oranBesPuan,2)=$J268),"TBA-001",IF(AND($F268="Evet",ROUND($C268*tba_oranKadinGenc,2)=$J268),"TBA-004","TBA-ENG")))))</f>
        <v/>
      </c>
      <c r="J268" s="31">
        <f>IF($A268="","",MAX(IF($D268="Evet",ROUND($C268*tba_oranBesPuan,2),0),IF($E268="Evet",ROUND($C268*tba_oranIlave,2),0),IF($F268="Evet",ROUND($C268*tba_oranKadinGenc,2),0),IF($G268="Evet",ROUND($C268*tba_isverenOran,2),0)))</f>
        <v/>
      </c>
      <c r="K268" s="31">
        <f>IF($A268="","",IF($H268="TBA-001",IF($D268="Evet",ROUND($C268*tba_oranBesPuan,2),0),IF($H268="TBA-002",IF($E268="Evet",ROUND($C268*tba_oranIlave,2),0),IF($H268="TBA-004",IF($F268="Evet",ROUND($C268*tba_oranKadinGenc,2),0),IF($H268="TBA-ENG",IF($G268="Evet",ROUND($C268*tba_isverenOran,2),0),0)))))</f>
        <v/>
      </c>
      <c r="L268" s="31">
        <f>IF($A268="","",MAX(0,$J268-$K268))</f>
        <v/>
      </c>
    </row>
    <row r="269">
      <c r="I269" s="31">
        <f>IF($A269="","",IF($J269=0,"YOK",IF(AND($E269="Evet",ROUND($C269*tba_oranIlave,2)=$J269),"TBA-002",IF(AND($D269="Evet",ROUND($C269*tba_oranBesPuan,2)=$J269),"TBA-001",IF(AND($F269="Evet",ROUND($C269*tba_oranKadinGenc,2)=$J269),"TBA-004","TBA-ENG")))))</f>
        <v/>
      </c>
      <c r="J269" s="31">
        <f>IF($A269="","",MAX(IF($D269="Evet",ROUND($C269*tba_oranBesPuan,2),0),IF($E269="Evet",ROUND($C269*tba_oranIlave,2),0),IF($F269="Evet",ROUND($C269*tba_oranKadinGenc,2),0),IF($G269="Evet",ROUND($C269*tba_isverenOran,2),0)))</f>
        <v/>
      </c>
      <c r="K269" s="31">
        <f>IF($A269="","",IF($H269="TBA-001",IF($D269="Evet",ROUND($C269*tba_oranBesPuan,2),0),IF($H269="TBA-002",IF($E269="Evet",ROUND($C269*tba_oranIlave,2),0),IF($H269="TBA-004",IF($F269="Evet",ROUND($C269*tba_oranKadinGenc,2),0),IF($H269="TBA-ENG",IF($G269="Evet",ROUND($C269*tba_isverenOran,2),0),0)))))</f>
        <v/>
      </c>
      <c r="L269" s="31">
        <f>IF($A269="","",MAX(0,$J269-$K269))</f>
        <v/>
      </c>
    </row>
    <row r="270">
      <c r="I270" s="31">
        <f>IF($A270="","",IF($J270=0,"YOK",IF(AND($E270="Evet",ROUND($C270*tba_oranIlave,2)=$J270),"TBA-002",IF(AND($D270="Evet",ROUND($C270*tba_oranBesPuan,2)=$J270),"TBA-001",IF(AND($F270="Evet",ROUND($C270*tba_oranKadinGenc,2)=$J270),"TBA-004","TBA-ENG")))))</f>
        <v/>
      </c>
      <c r="J270" s="31">
        <f>IF($A270="","",MAX(IF($D270="Evet",ROUND($C270*tba_oranBesPuan,2),0),IF($E270="Evet",ROUND($C270*tba_oranIlave,2),0),IF($F270="Evet",ROUND($C270*tba_oranKadinGenc,2),0),IF($G270="Evet",ROUND($C270*tba_isverenOran,2),0)))</f>
        <v/>
      </c>
      <c r="K270" s="31">
        <f>IF($A270="","",IF($H270="TBA-001",IF($D270="Evet",ROUND($C270*tba_oranBesPuan,2),0),IF($H270="TBA-002",IF($E270="Evet",ROUND($C270*tba_oranIlave,2),0),IF($H270="TBA-004",IF($F270="Evet",ROUND($C270*tba_oranKadinGenc,2),0),IF($H270="TBA-ENG",IF($G270="Evet",ROUND($C270*tba_isverenOran,2),0),0)))))</f>
        <v/>
      </c>
      <c r="L270" s="31">
        <f>IF($A270="","",MAX(0,$J270-$K270))</f>
        <v/>
      </c>
    </row>
    <row r="271">
      <c r="I271" s="31">
        <f>IF($A271="","",IF($J271=0,"YOK",IF(AND($E271="Evet",ROUND($C271*tba_oranIlave,2)=$J271),"TBA-002",IF(AND($D271="Evet",ROUND($C271*tba_oranBesPuan,2)=$J271),"TBA-001",IF(AND($F271="Evet",ROUND($C271*tba_oranKadinGenc,2)=$J271),"TBA-004","TBA-ENG")))))</f>
        <v/>
      </c>
      <c r="J271" s="31">
        <f>IF($A271="","",MAX(IF($D271="Evet",ROUND($C271*tba_oranBesPuan,2),0),IF($E271="Evet",ROUND($C271*tba_oranIlave,2),0),IF($F271="Evet",ROUND($C271*tba_oranKadinGenc,2),0),IF($G271="Evet",ROUND($C271*tba_isverenOran,2),0)))</f>
        <v/>
      </c>
      <c r="K271" s="31">
        <f>IF($A271="","",IF($H271="TBA-001",IF($D271="Evet",ROUND($C271*tba_oranBesPuan,2),0),IF($H271="TBA-002",IF($E271="Evet",ROUND($C271*tba_oranIlave,2),0),IF($H271="TBA-004",IF($F271="Evet",ROUND($C271*tba_oranKadinGenc,2),0),IF($H271="TBA-ENG",IF($G271="Evet",ROUND($C271*tba_isverenOran,2),0),0)))))</f>
        <v/>
      </c>
      <c r="L271" s="31">
        <f>IF($A271="","",MAX(0,$J271-$K271))</f>
        <v/>
      </c>
    </row>
    <row r="272">
      <c r="I272" s="31">
        <f>IF($A272="","",IF($J272=0,"YOK",IF(AND($E272="Evet",ROUND($C272*tba_oranIlave,2)=$J272),"TBA-002",IF(AND($D272="Evet",ROUND($C272*tba_oranBesPuan,2)=$J272),"TBA-001",IF(AND($F272="Evet",ROUND($C272*tba_oranKadinGenc,2)=$J272),"TBA-004","TBA-ENG")))))</f>
        <v/>
      </c>
      <c r="J272" s="31">
        <f>IF($A272="","",MAX(IF($D272="Evet",ROUND($C272*tba_oranBesPuan,2),0),IF($E272="Evet",ROUND($C272*tba_oranIlave,2),0),IF($F272="Evet",ROUND($C272*tba_oranKadinGenc,2),0),IF($G272="Evet",ROUND($C272*tba_isverenOran,2),0)))</f>
        <v/>
      </c>
      <c r="K272" s="31">
        <f>IF($A272="","",IF($H272="TBA-001",IF($D272="Evet",ROUND($C272*tba_oranBesPuan,2),0),IF($H272="TBA-002",IF($E272="Evet",ROUND($C272*tba_oranIlave,2),0),IF($H272="TBA-004",IF($F272="Evet",ROUND($C272*tba_oranKadinGenc,2),0),IF($H272="TBA-ENG",IF($G272="Evet",ROUND($C272*tba_isverenOran,2),0),0)))))</f>
        <v/>
      </c>
      <c r="L272" s="31">
        <f>IF($A272="","",MAX(0,$J272-$K272))</f>
        <v/>
      </c>
    </row>
    <row r="273">
      <c r="I273" s="31">
        <f>IF($A273="","",IF($J273=0,"YOK",IF(AND($E273="Evet",ROUND($C273*tba_oranIlave,2)=$J273),"TBA-002",IF(AND($D273="Evet",ROUND($C273*tba_oranBesPuan,2)=$J273),"TBA-001",IF(AND($F273="Evet",ROUND($C273*tba_oranKadinGenc,2)=$J273),"TBA-004","TBA-ENG")))))</f>
        <v/>
      </c>
      <c r="J273" s="31">
        <f>IF($A273="","",MAX(IF($D273="Evet",ROUND($C273*tba_oranBesPuan,2),0),IF($E273="Evet",ROUND($C273*tba_oranIlave,2),0),IF($F273="Evet",ROUND($C273*tba_oranKadinGenc,2),0),IF($G273="Evet",ROUND($C273*tba_isverenOran,2),0)))</f>
        <v/>
      </c>
      <c r="K273" s="31">
        <f>IF($A273="","",IF($H273="TBA-001",IF($D273="Evet",ROUND($C273*tba_oranBesPuan,2),0),IF($H273="TBA-002",IF($E273="Evet",ROUND($C273*tba_oranIlave,2),0),IF($H273="TBA-004",IF($F273="Evet",ROUND($C273*tba_oranKadinGenc,2),0),IF($H273="TBA-ENG",IF($G273="Evet",ROUND($C273*tba_isverenOran,2),0),0)))))</f>
        <v/>
      </c>
      <c r="L273" s="31">
        <f>IF($A273="","",MAX(0,$J273-$K273))</f>
        <v/>
      </c>
    </row>
    <row r="274">
      <c r="I274" s="31">
        <f>IF($A274="","",IF($J274=0,"YOK",IF(AND($E274="Evet",ROUND($C274*tba_oranIlave,2)=$J274),"TBA-002",IF(AND($D274="Evet",ROUND($C274*tba_oranBesPuan,2)=$J274),"TBA-001",IF(AND($F274="Evet",ROUND($C274*tba_oranKadinGenc,2)=$J274),"TBA-004","TBA-ENG")))))</f>
        <v/>
      </c>
      <c r="J274" s="31">
        <f>IF($A274="","",MAX(IF($D274="Evet",ROUND($C274*tba_oranBesPuan,2),0),IF($E274="Evet",ROUND($C274*tba_oranIlave,2),0),IF($F274="Evet",ROUND($C274*tba_oranKadinGenc,2),0),IF($G274="Evet",ROUND($C274*tba_isverenOran,2),0)))</f>
        <v/>
      </c>
      <c r="K274" s="31">
        <f>IF($A274="","",IF($H274="TBA-001",IF($D274="Evet",ROUND($C274*tba_oranBesPuan,2),0),IF($H274="TBA-002",IF($E274="Evet",ROUND($C274*tba_oranIlave,2),0),IF($H274="TBA-004",IF($F274="Evet",ROUND($C274*tba_oranKadinGenc,2),0),IF($H274="TBA-ENG",IF($G274="Evet",ROUND($C274*tba_isverenOran,2),0),0)))))</f>
        <v/>
      </c>
      <c r="L274" s="31">
        <f>IF($A274="","",MAX(0,$J274-$K274))</f>
        <v/>
      </c>
    </row>
    <row r="275">
      <c r="I275" s="31">
        <f>IF($A275="","",IF($J275=0,"YOK",IF(AND($E275="Evet",ROUND($C275*tba_oranIlave,2)=$J275),"TBA-002",IF(AND($D275="Evet",ROUND($C275*tba_oranBesPuan,2)=$J275),"TBA-001",IF(AND($F275="Evet",ROUND($C275*tba_oranKadinGenc,2)=$J275),"TBA-004","TBA-ENG")))))</f>
        <v/>
      </c>
      <c r="J275" s="31">
        <f>IF($A275="","",MAX(IF($D275="Evet",ROUND($C275*tba_oranBesPuan,2),0),IF($E275="Evet",ROUND($C275*tba_oranIlave,2),0),IF($F275="Evet",ROUND($C275*tba_oranKadinGenc,2),0),IF($G275="Evet",ROUND($C275*tba_isverenOran,2),0)))</f>
        <v/>
      </c>
      <c r="K275" s="31">
        <f>IF($A275="","",IF($H275="TBA-001",IF($D275="Evet",ROUND($C275*tba_oranBesPuan,2),0),IF($H275="TBA-002",IF($E275="Evet",ROUND($C275*tba_oranIlave,2),0),IF($H275="TBA-004",IF($F275="Evet",ROUND($C275*tba_oranKadinGenc,2),0),IF($H275="TBA-ENG",IF($G275="Evet",ROUND($C275*tba_isverenOran,2),0),0)))))</f>
        <v/>
      </c>
      <c r="L275" s="31">
        <f>IF($A275="","",MAX(0,$J275-$K275))</f>
        <v/>
      </c>
    </row>
    <row r="276">
      <c r="I276" s="31">
        <f>IF($A276="","",IF($J276=0,"YOK",IF(AND($E276="Evet",ROUND($C276*tba_oranIlave,2)=$J276),"TBA-002",IF(AND($D276="Evet",ROUND($C276*tba_oranBesPuan,2)=$J276),"TBA-001",IF(AND($F276="Evet",ROUND($C276*tba_oranKadinGenc,2)=$J276),"TBA-004","TBA-ENG")))))</f>
        <v/>
      </c>
      <c r="J276" s="31">
        <f>IF($A276="","",MAX(IF($D276="Evet",ROUND($C276*tba_oranBesPuan,2),0),IF($E276="Evet",ROUND($C276*tba_oranIlave,2),0),IF($F276="Evet",ROUND($C276*tba_oranKadinGenc,2),0),IF($G276="Evet",ROUND($C276*tba_isverenOran,2),0)))</f>
        <v/>
      </c>
      <c r="K276" s="31">
        <f>IF($A276="","",IF($H276="TBA-001",IF($D276="Evet",ROUND($C276*tba_oranBesPuan,2),0),IF($H276="TBA-002",IF($E276="Evet",ROUND($C276*tba_oranIlave,2),0),IF($H276="TBA-004",IF($F276="Evet",ROUND($C276*tba_oranKadinGenc,2),0),IF($H276="TBA-ENG",IF($G276="Evet",ROUND($C276*tba_isverenOran,2),0),0)))))</f>
        <v/>
      </c>
      <c r="L276" s="31">
        <f>IF($A276="","",MAX(0,$J276-$K276))</f>
        <v/>
      </c>
    </row>
    <row r="277">
      <c r="I277" s="31">
        <f>IF($A277="","",IF($J277=0,"YOK",IF(AND($E277="Evet",ROUND($C277*tba_oranIlave,2)=$J277),"TBA-002",IF(AND($D277="Evet",ROUND($C277*tba_oranBesPuan,2)=$J277),"TBA-001",IF(AND($F277="Evet",ROUND($C277*tba_oranKadinGenc,2)=$J277),"TBA-004","TBA-ENG")))))</f>
        <v/>
      </c>
      <c r="J277" s="31">
        <f>IF($A277="","",MAX(IF($D277="Evet",ROUND($C277*tba_oranBesPuan,2),0),IF($E277="Evet",ROUND($C277*tba_oranIlave,2),0),IF($F277="Evet",ROUND($C277*tba_oranKadinGenc,2),0),IF($G277="Evet",ROUND($C277*tba_isverenOran,2),0)))</f>
        <v/>
      </c>
      <c r="K277" s="31">
        <f>IF($A277="","",IF($H277="TBA-001",IF($D277="Evet",ROUND($C277*tba_oranBesPuan,2),0),IF($H277="TBA-002",IF($E277="Evet",ROUND($C277*tba_oranIlave,2),0),IF($H277="TBA-004",IF($F277="Evet",ROUND($C277*tba_oranKadinGenc,2),0),IF($H277="TBA-ENG",IF($G277="Evet",ROUND($C277*tba_isverenOran,2),0),0)))))</f>
        <v/>
      </c>
      <c r="L277" s="31">
        <f>IF($A277="","",MAX(0,$J277-$K277))</f>
        <v/>
      </c>
    </row>
    <row r="278">
      <c r="I278" s="31">
        <f>IF($A278="","",IF($J278=0,"YOK",IF(AND($E278="Evet",ROUND($C278*tba_oranIlave,2)=$J278),"TBA-002",IF(AND($D278="Evet",ROUND($C278*tba_oranBesPuan,2)=$J278),"TBA-001",IF(AND($F278="Evet",ROUND($C278*tba_oranKadinGenc,2)=$J278),"TBA-004","TBA-ENG")))))</f>
        <v/>
      </c>
      <c r="J278" s="31">
        <f>IF($A278="","",MAX(IF($D278="Evet",ROUND($C278*tba_oranBesPuan,2),0),IF($E278="Evet",ROUND($C278*tba_oranIlave,2),0),IF($F278="Evet",ROUND($C278*tba_oranKadinGenc,2),0),IF($G278="Evet",ROUND($C278*tba_isverenOran,2),0)))</f>
        <v/>
      </c>
      <c r="K278" s="31">
        <f>IF($A278="","",IF($H278="TBA-001",IF($D278="Evet",ROUND($C278*tba_oranBesPuan,2),0),IF($H278="TBA-002",IF($E278="Evet",ROUND($C278*tba_oranIlave,2),0),IF($H278="TBA-004",IF($F278="Evet",ROUND($C278*tba_oranKadinGenc,2),0),IF($H278="TBA-ENG",IF($G278="Evet",ROUND($C278*tba_isverenOran,2),0),0)))))</f>
        <v/>
      </c>
      <c r="L278" s="31">
        <f>IF($A278="","",MAX(0,$J278-$K278))</f>
        <v/>
      </c>
    </row>
    <row r="279">
      <c r="I279" s="31">
        <f>IF($A279="","",IF($J279=0,"YOK",IF(AND($E279="Evet",ROUND($C279*tba_oranIlave,2)=$J279),"TBA-002",IF(AND($D279="Evet",ROUND($C279*tba_oranBesPuan,2)=$J279),"TBA-001",IF(AND($F279="Evet",ROUND($C279*tba_oranKadinGenc,2)=$J279),"TBA-004","TBA-ENG")))))</f>
        <v/>
      </c>
      <c r="J279" s="31">
        <f>IF($A279="","",MAX(IF($D279="Evet",ROUND($C279*tba_oranBesPuan,2),0),IF($E279="Evet",ROUND($C279*tba_oranIlave,2),0),IF($F279="Evet",ROUND($C279*tba_oranKadinGenc,2),0),IF($G279="Evet",ROUND($C279*tba_isverenOran,2),0)))</f>
        <v/>
      </c>
      <c r="K279" s="31">
        <f>IF($A279="","",IF($H279="TBA-001",IF($D279="Evet",ROUND($C279*tba_oranBesPuan,2),0),IF($H279="TBA-002",IF($E279="Evet",ROUND($C279*tba_oranIlave,2),0),IF($H279="TBA-004",IF($F279="Evet",ROUND($C279*tba_oranKadinGenc,2),0),IF($H279="TBA-ENG",IF($G279="Evet",ROUND($C279*tba_isverenOran,2),0),0)))))</f>
        <v/>
      </c>
      <c r="L279" s="31">
        <f>IF($A279="","",MAX(0,$J279-$K279))</f>
        <v/>
      </c>
    </row>
    <row r="280">
      <c r="I280" s="31">
        <f>IF($A280="","",IF($J280=0,"YOK",IF(AND($E280="Evet",ROUND($C280*tba_oranIlave,2)=$J280),"TBA-002",IF(AND($D280="Evet",ROUND($C280*tba_oranBesPuan,2)=$J280),"TBA-001",IF(AND($F280="Evet",ROUND($C280*tba_oranKadinGenc,2)=$J280),"TBA-004","TBA-ENG")))))</f>
        <v/>
      </c>
      <c r="J280" s="31">
        <f>IF($A280="","",MAX(IF($D280="Evet",ROUND($C280*tba_oranBesPuan,2),0),IF($E280="Evet",ROUND($C280*tba_oranIlave,2),0),IF($F280="Evet",ROUND($C280*tba_oranKadinGenc,2),0),IF($G280="Evet",ROUND($C280*tba_isverenOran,2),0)))</f>
        <v/>
      </c>
      <c r="K280" s="31">
        <f>IF($A280="","",IF($H280="TBA-001",IF($D280="Evet",ROUND($C280*tba_oranBesPuan,2),0),IF($H280="TBA-002",IF($E280="Evet",ROUND($C280*tba_oranIlave,2),0),IF($H280="TBA-004",IF($F280="Evet",ROUND($C280*tba_oranKadinGenc,2),0),IF($H280="TBA-ENG",IF($G280="Evet",ROUND($C280*tba_isverenOran,2),0),0)))))</f>
        <v/>
      </c>
      <c r="L280" s="31">
        <f>IF($A280="","",MAX(0,$J280-$K280))</f>
        <v/>
      </c>
    </row>
    <row r="281">
      <c r="I281" s="31">
        <f>IF($A281="","",IF($J281=0,"YOK",IF(AND($E281="Evet",ROUND($C281*tba_oranIlave,2)=$J281),"TBA-002",IF(AND($D281="Evet",ROUND($C281*tba_oranBesPuan,2)=$J281),"TBA-001",IF(AND($F281="Evet",ROUND($C281*tba_oranKadinGenc,2)=$J281),"TBA-004","TBA-ENG")))))</f>
        <v/>
      </c>
      <c r="J281" s="31">
        <f>IF($A281="","",MAX(IF($D281="Evet",ROUND($C281*tba_oranBesPuan,2),0),IF($E281="Evet",ROUND($C281*tba_oranIlave,2),0),IF($F281="Evet",ROUND($C281*tba_oranKadinGenc,2),0),IF($G281="Evet",ROUND($C281*tba_isverenOran,2),0)))</f>
        <v/>
      </c>
      <c r="K281" s="31">
        <f>IF($A281="","",IF($H281="TBA-001",IF($D281="Evet",ROUND($C281*tba_oranBesPuan,2),0),IF($H281="TBA-002",IF($E281="Evet",ROUND($C281*tba_oranIlave,2),0),IF($H281="TBA-004",IF($F281="Evet",ROUND($C281*tba_oranKadinGenc,2),0),IF($H281="TBA-ENG",IF($G281="Evet",ROUND($C281*tba_isverenOran,2),0),0)))))</f>
        <v/>
      </c>
      <c r="L281" s="31">
        <f>IF($A281="","",MAX(0,$J281-$K281))</f>
        <v/>
      </c>
    </row>
    <row r="282">
      <c r="I282" s="31">
        <f>IF($A282="","",IF($J282=0,"YOK",IF(AND($E282="Evet",ROUND($C282*tba_oranIlave,2)=$J282),"TBA-002",IF(AND($D282="Evet",ROUND($C282*tba_oranBesPuan,2)=$J282),"TBA-001",IF(AND($F282="Evet",ROUND($C282*tba_oranKadinGenc,2)=$J282),"TBA-004","TBA-ENG")))))</f>
        <v/>
      </c>
      <c r="J282" s="31">
        <f>IF($A282="","",MAX(IF($D282="Evet",ROUND($C282*tba_oranBesPuan,2),0),IF($E282="Evet",ROUND($C282*tba_oranIlave,2),0),IF($F282="Evet",ROUND($C282*tba_oranKadinGenc,2),0),IF($G282="Evet",ROUND($C282*tba_isverenOran,2),0)))</f>
        <v/>
      </c>
      <c r="K282" s="31">
        <f>IF($A282="","",IF($H282="TBA-001",IF($D282="Evet",ROUND($C282*tba_oranBesPuan,2),0),IF($H282="TBA-002",IF($E282="Evet",ROUND($C282*tba_oranIlave,2),0),IF($H282="TBA-004",IF($F282="Evet",ROUND($C282*tba_oranKadinGenc,2),0),IF($H282="TBA-ENG",IF($G282="Evet",ROUND($C282*tba_isverenOran,2),0),0)))))</f>
        <v/>
      </c>
      <c r="L282" s="31">
        <f>IF($A282="","",MAX(0,$J282-$K282))</f>
        <v/>
      </c>
    </row>
    <row r="283">
      <c r="I283" s="31">
        <f>IF($A283="","",IF($J283=0,"YOK",IF(AND($E283="Evet",ROUND($C283*tba_oranIlave,2)=$J283),"TBA-002",IF(AND($D283="Evet",ROUND($C283*tba_oranBesPuan,2)=$J283),"TBA-001",IF(AND($F283="Evet",ROUND($C283*tba_oranKadinGenc,2)=$J283),"TBA-004","TBA-ENG")))))</f>
        <v/>
      </c>
      <c r="J283" s="31">
        <f>IF($A283="","",MAX(IF($D283="Evet",ROUND($C283*tba_oranBesPuan,2),0),IF($E283="Evet",ROUND($C283*tba_oranIlave,2),0),IF($F283="Evet",ROUND($C283*tba_oranKadinGenc,2),0),IF($G283="Evet",ROUND($C283*tba_isverenOran,2),0)))</f>
        <v/>
      </c>
      <c r="K283" s="31">
        <f>IF($A283="","",IF($H283="TBA-001",IF($D283="Evet",ROUND($C283*tba_oranBesPuan,2),0),IF($H283="TBA-002",IF($E283="Evet",ROUND($C283*tba_oranIlave,2),0),IF($H283="TBA-004",IF($F283="Evet",ROUND($C283*tba_oranKadinGenc,2),0),IF($H283="TBA-ENG",IF($G283="Evet",ROUND($C283*tba_isverenOran,2),0),0)))))</f>
        <v/>
      </c>
      <c r="L283" s="31">
        <f>IF($A283="","",MAX(0,$J283-$K283))</f>
        <v/>
      </c>
    </row>
    <row r="284">
      <c r="I284" s="31">
        <f>IF($A284="","",IF($J284=0,"YOK",IF(AND($E284="Evet",ROUND($C284*tba_oranIlave,2)=$J284),"TBA-002",IF(AND($D284="Evet",ROUND($C284*tba_oranBesPuan,2)=$J284),"TBA-001",IF(AND($F284="Evet",ROUND($C284*tba_oranKadinGenc,2)=$J284),"TBA-004","TBA-ENG")))))</f>
        <v/>
      </c>
      <c r="J284" s="31">
        <f>IF($A284="","",MAX(IF($D284="Evet",ROUND($C284*tba_oranBesPuan,2),0),IF($E284="Evet",ROUND($C284*tba_oranIlave,2),0),IF($F284="Evet",ROUND($C284*tba_oranKadinGenc,2),0),IF($G284="Evet",ROUND($C284*tba_isverenOran,2),0)))</f>
        <v/>
      </c>
      <c r="K284" s="31">
        <f>IF($A284="","",IF($H284="TBA-001",IF($D284="Evet",ROUND($C284*tba_oranBesPuan,2),0),IF($H284="TBA-002",IF($E284="Evet",ROUND($C284*tba_oranIlave,2),0),IF($H284="TBA-004",IF($F284="Evet",ROUND($C284*tba_oranKadinGenc,2),0),IF($H284="TBA-ENG",IF($G284="Evet",ROUND($C284*tba_isverenOran,2),0),0)))))</f>
        <v/>
      </c>
      <c r="L284" s="31">
        <f>IF($A284="","",MAX(0,$J284-$K284))</f>
        <v/>
      </c>
    </row>
    <row r="285">
      <c r="I285" s="31">
        <f>IF($A285="","",IF($J285=0,"YOK",IF(AND($E285="Evet",ROUND($C285*tba_oranIlave,2)=$J285),"TBA-002",IF(AND($D285="Evet",ROUND($C285*tba_oranBesPuan,2)=$J285),"TBA-001",IF(AND($F285="Evet",ROUND($C285*tba_oranKadinGenc,2)=$J285),"TBA-004","TBA-ENG")))))</f>
        <v/>
      </c>
      <c r="J285" s="31">
        <f>IF($A285="","",MAX(IF($D285="Evet",ROUND($C285*tba_oranBesPuan,2),0),IF($E285="Evet",ROUND($C285*tba_oranIlave,2),0),IF($F285="Evet",ROUND($C285*tba_oranKadinGenc,2),0),IF($G285="Evet",ROUND($C285*tba_isverenOran,2),0)))</f>
        <v/>
      </c>
      <c r="K285" s="31">
        <f>IF($A285="","",IF($H285="TBA-001",IF($D285="Evet",ROUND($C285*tba_oranBesPuan,2),0),IF($H285="TBA-002",IF($E285="Evet",ROUND($C285*tba_oranIlave,2),0),IF($H285="TBA-004",IF($F285="Evet",ROUND($C285*tba_oranKadinGenc,2),0),IF($H285="TBA-ENG",IF($G285="Evet",ROUND($C285*tba_isverenOran,2),0),0)))))</f>
        <v/>
      </c>
      <c r="L285" s="31">
        <f>IF($A285="","",MAX(0,$J285-$K285))</f>
        <v/>
      </c>
    </row>
    <row r="286">
      <c r="I286" s="31">
        <f>IF($A286="","",IF($J286=0,"YOK",IF(AND($E286="Evet",ROUND($C286*tba_oranIlave,2)=$J286),"TBA-002",IF(AND($D286="Evet",ROUND($C286*tba_oranBesPuan,2)=$J286),"TBA-001",IF(AND($F286="Evet",ROUND($C286*tba_oranKadinGenc,2)=$J286),"TBA-004","TBA-ENG")))))</f>
        <v/>
      </c>
      <c r="J286" s="31">
        <f>IF($A286="","",MAX(IF($D286="Evet",ROUND($C286*tba_oranBesPuan,2),0),IF($E286="Evet",ROUND($C286*tba_oranIlave,2),0),IF($F286="Evet",ROUND($C286*tba_oranKadinGenc,2),0),IF($G286="Evet",ROUND($C286*tba_isverenOran,2),0)))</f>
        <v/>
      </c>
      <c r="K286" s="31">
        <f>IF($A286="","",IF($H286="TBA-001",IF($D286="Evet",ROUND($C286*tba_oranBesPuan,2),0),IF($H286="TBA-002",IF($E286="Evet",ROUND($C286*tba_oranIlave,2),0),IF($H286="TBA-004",IF($F286="Evet",ROUND($C286*tba_oranKadinGenc,2),0),IF($H286="TBA-ENG",IF($G286="Evet",ROUND($C286*tba_isverenOran,2),0),0)))))</f>
        <v/>
      </c>
      <c r="L286" s="31">
        <f>IF($A286="","",MAX(0,$J286-$K286))</f>
        <v/>
      </c>
    </row>
    <row r="287">
      <c r="I287" s="31">
        <f>IF($A287="","",IF($J287=0,"YOK",IF(AND($E287="Evet",ROUND($C287*tba_oranIlave,2)=$J287),"TBA-002",IF(AND($D287="Evet",ROUND($C287*tba_oranBesPuan,2)=$J287),"TBA-001",IF(AND($F287="Evet",ROUND($C287*tba_oranKadinGenc,2)=$J287),"TBA-004","TBA-ENG")))))</f>
        <v/>
      </c>
      <c r="J287" s="31">
        <f>IF($A287="","",MAX(IF($D287="Evet",ROUND($C287*tba_oranBesPuan,2),0),IF($E287="Evet",ROUND($C287*tba_oranIlave,2),0),IF($F287="Evet",ROUND($C287*tba_oranKadinGenc,2),0),IF($G287="Evet",ROUND($C287*tba_isverenOran,2),0)))</f>
        <v/>
      </c>
      <c r="K287" s="31">
        <f>IF($A287="","",IF($H287="TBA-001",IF($D287="Evet",ROUND($C287*tba_oranBesPuan,2),0),IF($H287="TBA-002",IF($E287="Evet",ROUND($C287*tba_oranIlave,2),0),IF($H287="TBA-004",IF($F287="Evet",ROUND($C287*tba_oranKadinGenc,2),0),IF($H287="TBA-ENG",IF($G287="Evet",ROUND($C287*tba_isverenOran,2),0),0)))))</f>
        <v/>
      </c>
      <c r="L287" s="31">
        <f>IF($A287="","",MAX(0,$J287-$K287))</f>
        <v/>
      </c>
    </row>
    <row r="288">
      <c r="I288" s="31">
        <f>IF($A288="","",IF($J288=0,"YOK",IF(AND($E288="Evet",ROUND($C288*tba_oranIlave,2)=$J288),"TBA-002",IF(AND($D288="Evet",ROUND($C288*tba_oranBesPuan,2)=$J288),"TBA-001",IF(AND($F288="Evet",ROUND($C288*tba_oranKadinGenc,2)=$J288),"TBA-004","TBA-ENG")))))</f>
        <v/>
      </c>
      <c r="J288" s="31">
        <f>IF($A288="","",MAX(IF($D288="Evet",ROUND($C288*tba_oranBesPuan,2),0),IF($E288="Evet",ROUND($C288*tba_oranIlave,2),0),IF($F288="Evet",ROUND($C288*tba_oranKadinGenc,2),0),IF($G288="Evet",ROUND($C288*tba_isverenOran,2),0)))</f>
        <v/>
      </c>
      <c r="K288" s="31">
        <f>IF($A288="","",IF($H288="TBA-001",IF($D288="Evet",ROUND($C288*tba_oranBesPuan,2),0),IF($H288="TBA-002",IF($E288="Evet",ROUND($C288*tba_oranIlave,2),0),IF($H288="TBA-004",IF($F288="Evet",ROUND($C288*tba_oranKadinGenc,2),0),IF($H288="TBA-ENG",IF($G288="Evet",ROUND($C288*tba_isverenOran,2),0),0)))))</f>
        <v/>
      </c>
      <c r="L288" s="31">
        <f>IF($A288="","",MAX(0,$J288-$K288))</f>
        <v/>
      </c>
    </row>
    <row r="289">
      <c r="I289" s="31">
        <f>IF($A289="","",IF($J289=0,"YOK",IF(AND($E289="Evet",ROUND($C289*tba_oranIlave,2)=$J289),"TBA-002",IF(AND($D289="Evet",ROUND($C289*tba_oranBesPuan,2)=$J289),"TBA-001",IF(AND($F289="Evet",ROUND($C289*tba_oranKadinGenc,2)=$J289),"TBA-004","TBA-ENG")))))</f>
        <v/>
      </c>
      <c r="J289" s="31">
        <f>IF($A289="","",MAX(IF($D289="Evet",ROUND($C289*tba_oranBesPuan,2),0),IF($E289="Evet",ROUND($C289*tba_oranIlave,2),0),IF($F289="Evet",ROUND($C289*tba_oranKadinGenc,2),0),IF($G289="Evet",ROUND($C289*tba_isverenOran,2),0)))</f>
        <v/>
      </c>
      <c r="K289" s="31">
        <f>IF($A289="","",IF($H289="TBA-001",IF($D289="Evet",ROUND($C289*tba_oranBesPuan,2),0),IF($H289="TBA-002",IF($E289="Evet",ROUND($C289*tba_oranIlave,2),0),IF($H289="TBA-004",IF($F289="Evet",ROUND($C289*tba_oranKadinGenc,2),0),IF($H289="TBA-ENG",IF($G289="Evet",ROUND($C289*tba_isverenOran,2),0),0)))))</f>
        <v/>
      </c>
      <c r="L289" s="31">
        <f>IF($A289="","",MAX(0,$J289-$K289))</f>
        <v/>
      </c>
    </row>
    <row r="290">
      <c r="I290" s="31">
        <f>IF($A290="","",IF($J290=0,"YOK",IF(AND($E290="Evet",ROUND($C290*tba_oranIlave,2)=$J290),"TBA-002",IF(AND($D290="Evet",ROUND($C290*tba_oranBesPuan,2)=$J290),"TBA-001",IF(AND($F290="Evet",ROUND($C290*tba_oranKadinGenc,2)=$J290),"TBA-004","TBA-ENG")))))</f>
        <v/>
      </c>
      <c r="J290" s="31">
        <f>IF($A290="","",MAX(IF($D290="Evet",ROUND($C290*tba_oranBesPuan,2),0),IF($E290="Evet",ROUND($C290*tba_oranIlave,2),0),IF($F290="Evet",ROUND($C290*tba_oranKadinGenc,2),0),IF($G290="Evet",ROUND($C290*tba_isverenOran,2),0)))</f>
        <v/>
      </c>
      <c r="K290" s="31">
        <f>IF($A290="","",IF($H290="TBA-001",IF($D290="Evet",ROUND($C290*tba_oranBesPuan,2),0),IF($H290="TBA-002",IF($E290="Evet",ROUND($C290*tba_oranIlave,2),0),IF($H290="TBA-004",IF($F290="Evet",ROUND($C290*tba_oranKadinGenc,2),0),IF($H290="TBA-ENG",IF($G290="Evet",ROUND($C290*tba_isverenOran,2),0),0)))))</f>
        <v/>
      </c>
      <c r="L290" s="31">
        <f>IF($A290="","",MAX(0,$J290-$K290))</f>
        <v/>
      </c>
    </row>
    <row r="291">
      <c r="I291" s="31">
        <f>IF($A291="","",IF($J291=0,"YOK",IF(AND($E291="Evet",ROUND($C291*tba_oranIlave,2)=$J291),"TBA-002",IF(AND($D291="Evet",ROUND($C291*tba_oranBesPuan,2)=$J291),"TBA-001",IF(AND($F291="Evet",ROUND($C291*tba_oranKadinGenc,2)=$J291),"TBA-004","TBA-ENG")))))</f>
        <v/>
      </c>
      <c r="J291" s="31">
        <f>IF($A291="","",MAX(IF($D291="Evet",ROUND($C291*tba_oranBesPuan,2),0),IF($E291="Evet",ROUND($C291*tba_oranIlave,2),0),IF($F291="Evet",ROUND($C291*tba_oranKadinGenc,2),0),IF($G291="Evet",ROUND($C291*tba_isverenOran,2),0)))</f>
        <v/>
      </c>
      <c r="K291" s="31">
        <f>IF($A291="","",IF($H291="TBA-001",IF($D291="Evet",ROUND($C291*tba_oranBesPuan,2),0),IF($H291="TBA-002",IF($E291="Evet",ROUND($C291*tba_oranIlave,2),0),IF($H291="TBA-004",IF($F291="Evet",ROUND($C291*tba_oranKadinGenc,2),0),IF($H291="TBA-ENG",IF($G291="Evet",ROUND($C291*tba_isverenOran,2),0),0)))))</f>
        <v/>
      </c>
      <c r="L291" s="31">
        <f>IF($A291="","",MAX(0,$J291-$K291))</f>
        <v/>
      </c>
    </row>
    <row r="292">
      <c r="I292" s="31">
        <f>IF($A292="","",IF($J292=0,"YOK",IF(AND($E292="Evet",ROUND($C292*tba_oranIlave,2)=$J292),"TBA-002",IF(AND($D292="Evet",ROUND($C292*tba_oranBesPuan,2)=$J292),"TBA-001",IF(AND($F292="Evet",ROUND($C292*tba_oranKadinGenc,2)=$J292),"TBA-004","TBA-ENG")))))</f>
        <v/>
      </c>
      <c r="J292" s="31">
        <f>IF($A292="","",MAX(IF($D292="Evet",ROUND($C292*tba_oranBesPuan,2),0),IF($E292="Evet",ROUND($C292*tba_oranIlave,2),0),IF($F292="Evet",ROUND($C292*tba_oranKadinGenc,2),0),IF($G292="Evet",ROUND($C292*tba_isverenOran,2),0)))</f>
        <v/>
      </c>
      <c r="K292" s="31">
        <f>IF($A292="","",IF($H292="TBA-001",IF($D292="Evet",ROUND($C292*tba_oranBesPuan,2),0),IF($H292="TBA-002",IF($E292="Evet",ROUND($C292*tba_oranIlave,2),0),IF($H292="TBA-004",IF($F292="Evet",ROUND($C292*tba_oranKadinGenc,2),0),IF($H292="TBA-ENG",IF($G292="Evet",ROUND($C292*tba_isverenOran,2),0),0)))))</f>
        <v/>
      </c>
      <c r="L292" s="31">
        <f>IF($A292="","",MAX(0,$J292-$K292))</f>
        <v/>
      </c>
    </row>
    <row r="293">
      <c r="I293" s="31">
        <f>IF($A293="","",IF($J293=0,"YOK",IF(AND($E293="Evet",ROUND($C293*tba_oranIlave,2)=$J293),"TBA-002",IF(AND($D293="Evet",ROUND($C293*tba_oranBesPuan,2)=$J293),"TBA-001",IF(AND($F293="Evet",ROUND($C293*tba_oranKadinGenc,2)=$J293),"TBA-004","TBA-ENG")))))</f>
        <v/>
      </c>
      <c r="J293" s="31">
        <f>IF($A293="","",MAX(IF($D293="Evet",ROUND($C293*tba_oranBesPuan,2),0),IF($E293="Evet",ROUND($C293*tba_oranIlave,2),0),IF($F293="Evet",ROUND($C293*tba_oranKadinGenc,2),0),IF($G293="Evet",ROUND($C293*tba_isverenOran,2),0)))</f>
        <v/>
      </c>
      <c r="K293" s="31">
        <f>IF($A293="","",IF($H293="TBA-001",IF($D293="Evet",ROUND($C293*tba_oranBesPuan,2),0),IF($H293="TBA-002",IF($E293="Evet",ROUND($C293*tba_oranIlave,2),0),IF($H293="TBA-004",IF($F293="Evet",ROUND($C293*tba_oranKadinGenc,2),0),IF($H293="TBA-ENG",IF($G293="Evet",ROUND($C293*tba_isverenOran,2),0),0)))))</f>
        <v/>
      </c>
      <c r="L293" s="31">
        <f>IF($A293="","",MAX(0,$J293-$K293))</f>
        <v/>
      </c>
    </row>
    <row r="294">
      <c r="I294" s="31">
        <f>IF($A294="","",IF($J294=0,"YOK",IF(AND($E294="Evet",ROUND($C294*tba_oranIlave,2)=$J294),"TBA-002",IF(AND($D294="Evet",ROUND($C294*tba_oranBesPuan,2)=$J294),"TBA-001",IF(AND($F294="Evet",ROUND($C294*tba_oranKadinGenc,2)=$J294),"TBA-004","TBA-ENG")))))</f>
        <v/>
      </c>
      <c r="J294" s="31">
        <f>IF($A294="","",MAX(IF($D294="Evet",ROUND($C294*tba_oranBesPuan,2),0),IF($E294="Evet",ROUND($C294*tba_oranIlave,2),0),IF($F294="Evet",ROUND($C294*tba_oranKadinGenc,2),0),IF($G294="Evet",ROUND($C294*tba_isverenOran,2),0)))</f>
        <v/>
      </c>
      <c r="K294" s="31">
        <f>IF($A294="","",IF($H294="TBA-001",IF($D294="Evet",ROUND($C294*tba_oranBesPuan,2),0),IF($H294="TBA-002",IF($E294="Evet",ROUND($C294*tba_oranIlave,2),0),IF($H294="TBA-004",IF($F294="Evet",ROUND($C294*tba_oranKadinGenc,2),0),IF($H294="TBA-ENG",IF($G294="Evet",ROUND($C294*tba_isverenOran,2),0),0)))))</f>
        <v/>
      </c>
      <c r="L294" s="31">
        <f>IF($A294="","",MAX(0,$J294-$K294))</f>
        <v/>
      </c>
    </row>
    <row r="295">
      <c r="I295" s="31">
        <f>IF($A295="","",IF($J295=0,"YOK",IF(AND($E295="Evet",ROUND($C295*tba_oranIlave,2)=$J295),"TBA-002",IF(AND($D295="Evet",ROUND($C295*tba_oranBesPuan,2)=$J295),"TBA-001",IF(AND($F295="Evet",ROUND($C295*tba_oranKadinGenc,2)=$J295),"TBA-004","TBA-ENG")))))</f>
        <v/>
      </c>
      <c r="J295" s="31">
        <f>IF($A295="","",MAX(IF($D295="Evet",ROUND($C295*tba_oranBesPuan,2),0),IF($E295="Evet",ROUND($C295*tba_oranIlave,2),0),IF($F295="Evet",ROUND($C295*tba_oranKadinGenc,2),0),IF($G295="Evet",ROUND($C295*tba_isverenOran,2),0)))</f>
        <v/>
      </c>
      <c r="K295" s="31">
        <f>IF($A295="","",IF($H295="TBA-001",IF($D295="Evet",ROUND($C295*tba_oranBesPuan,2),0),IF($H295="TBA-002",IF($E295="Evet",ROUND($C295*tba_oranIlave,2),0),IF($H295="TBA-004",IF($F295="Evet",ROUND($C295*tba_oranKadinGenc,2),0),IF($H295="TBA-ENG",IF($G295="Evet",ROUND($C295*tba_isverenOran,2),0),0)))))</f>
        <v/>
      </c>
      <c r="L295" s="31">
        <f>IF($A295="","",MAX(0,$J295-$K295))</f>
        <v/>
      </c>
    </row>
    <row r="296">
      <c r="I296" s="31">
        <f>IF($A296="","",IF($J296=0,"YOK",IF(AND($E296="Evet",ROUND($C296*tba_oranIlave,2)=$J296),"TBA-002",IF(AND($D296="Evet",ROUND($C296*tba_oranBesPuan,2)=$J296),"TBA-001",IF(AND($F296="Evet",ROUND($C296*tba_oranKadinGenc,2)=$J296),"TBA-004","TBA-ENG")))))</f>
        <v/>
      </c>
      <c r="J296" s="31">
        <f>IF($A296="","",MAX(IF($D296="Evet",ROUND($C296*tba_oranBesPuan,2),0),IF($E296="Evet",ROUND($C296*tba_oranIlave,2),0),IF($F296="Evet",ROUND($C296*tba_oranKadinGenc,2),0),IF($G296="Evet",ROUND($C296*tba_isverenOran,2),0)))</f>
        <v/>
      </c>
      <c r="K296" s="31">
        <f>IF($A296="","",IF($H296="TBA-001",IF($D296="Evet",ROUND($C296*tba_oranBesPuan,2),0),IF($H296="TBA-002",IF($E296="Evet",ROUND($C296*tba_oranIlave,2),0),IF($H296="TBA-004",IF($F296="Evet",ROUND($C296*tba_oranKadinGenc,2),0),IF($H296="TBA-ENG",IF($G296="Evet",ROUND($C296*tba_isverenOran,2),0),0)))))</f>
        <v/>
      </c>
      <c r="L296" s="31">
        <f>IF($A296="","",MAX(0,$J296-$K296))</f>
        <v/>
      </c>
    </row>
    <row r="297">
      <c r="I297" s="31">
        <f>IF($A297="","",IF($J297=0,"YOK",IF(AND($E297="Evet",ROUND($C297*tba_oranIlave,2)=$J297),"TBA-002",IF(AND($D297="Evet",ROUND($C297*tba_oranBesPuan,2)=$J297),"TBA-001",IF(AND($F297="Evet",ROUND($C297*tba_oranKadinGenc,2)=$J297),"TBA-004","TBA-ENG")))))</f>
        <v/>
      </c>
      <c r="J297" s="31">
        <f>IF($A297="","",MAX(IF($D297="Evet",ROUND($C297*tba_oranBesPuan,2),0),IF($E297="Evet",ROUND($C297*tba_oranIlave,2),0),IF($F297="Evet",ROUND($C297*tba_oranKadinGenc,2),0),IF($G297="Evet",ROUND($C297*tba_isverenOran,2),0)))</f>
        <v/>
      </c>
      <c r="K297" s="31">
        <f>IF($A297="","",IF($H297="TBA-001",IF($D297="Evet",ROUND($C297*tba_oranBesPuan,2),0),IF($H297="TBA-002",IF($E297="Evet",ROUND($C297*tba_oranIlave,2),0),IF($H297="TBA-004",IF($F297="Evet",ROUND($C297*tba_oranKadinGenc,2),0),IF($H297="TBA-ENG",IF($G297="Evet",ROUND($C297*tba_isverenOran,2),0),0)))))</f>
        <v/>
      </c>
      <c r="L297" s="31">
        <f>IF($A297="","",MAX(0,$J297-$K297))</f>
        <v/>
      </c>
    </row>
    <row r="298">
      <c r="I298" s="31">
        <f>IF($A298="","",IF($J298=0,"YOK",IF(AND($E298="Evet",ROUND($C298*tba_oranIlave,2)=$J298),"TBA-002",IF(AND($D298="Evet",ROUND($C298*tba_oranBesPuan,2)=$J298),"TBA-001",IF(AND($F298="Evet",ROUND($C298*tba_oranKadinGenc,2)=$J298),"TBA-004","TBA-ENG")))))</f>
        <v/>
      </c>
      <c r="J298" s="31">
        <f>IF($A298="","",MAX(IF($D298="Evet",ROUND($C298*tba_oranBesPuan,2),0),IF($E298="Evet",ROUND($C298*tba_oranIlave,2),0),IF($F298="Evet",ROUND($C298*tba_oranKadinGenc,2),0),IF($G298="Evet",ROUND($C298*tba_isverenOran,2),0)))</f>
        <v/>
      </c>
      <c r="K298" s="31">
        <f>IF($A298="","",IF($H298="TBA-001",IF($D298="Evet",ROUND($C298*tba_oranBesPuan,2),0),IF($H298="TBA-002",IF($E298="Evet",ROUND($C298*tba_oranIlave,2),0),IF($H298="TBA-004",IF($F298="Evet",ROUND($C298*tba_oranKadinGenc,2),0),IF($H298="TBA-ENG",IF($G298="Evet",ROUND($C298*tba_isverenOran,2),0),0)))))</f>
        <v/>
      </c>
      <c r="L298" s="31">
        <f>IF($A298="","",MAX(0,$J298-$K298))</f>
        <v/>
      </c>
    </row>
    <row r="299">
      <c r="I299" s="31">
        <f>IF($A299="","",IF($J299=0,"YOK",IF(AND($E299="Evet",ROUND($C299*tba_oranIlave,2)=$J299),"TBA-002",IF(AND($D299="Evet",ROUND($C299*tba_oranBesPuan,2)=$J299),"TBA-001",IF(AND($F299="Evet",ROUND($C299*tba_oranKadinGenc,2)=$J299),"TBA-004","TBA-ENG")))))</f>
        <v/>
      </c>
      <c r="J299" s="31">
        <f>IF($A299="","",MAX(IF($D299="Evet",ROUND($C299*tba_oranBesPuan,2),0),IF($E299="Evet",ROUND($C299*tba_oranIlave,2),0),IF($F299="Evet",ROUND($C299*tba_oranKadinGenc,2),0),IF($G299="Evet",ROUND($C299*tba_isverenOran,2),0)))</f>
        <v/>
      </c>
      <c r="K299" s="31">
        <f>IF($A299="","",IF($H299="TBA-001",IF($D299="Evet",ROUND($C299*tba_oranBesPuan,2),0),IF($H299="TBA-002",IF($E299="Evet",ROUND($C299*tba_oranIlave,2),0),IF($H299="TBA-004",IF($F299="Evet",ROUND($C299*tba_oranKadinGenc,2),0),IF($H299="TBA-ENG",IF($G299="Evet",ROUND($C299*tba_isverenOran,2),0),0)))))</f>
        <v/>
      </c>
      <c r="L299" s="31">
        <f>IF($A299="","",MAX(0,$J299-$K299))</f>
        <v/>
      </c>
    </row>
    <row r="300">
      <c r="I300" s="31">
        <f>IF($A300="","",IF($J300=0,"YOK",IF(AND($E300="Evet",ROUND($C300*tba_oranIlave,2)=$J300),"TBA-002",IF(AND($D300="Evet",ROUND($C300*tba_oranBesPuan,2)=$J300),"TBA-001",IF(AND($F300="Evet",ROUND($C300*tba_oranKadinGenc,2)=$J300),"TBA-004","TBA-ENG")))))</f>
        <v/>
      </c>
      <c r="J300" s="31">
        <f>IF($A300="","",MAX(IF($D300="Evet",ROUND($C300*tba_oranBesPuan,2),0),IF($E300="Evet",ROUND($C300*tba_oranIlave,2),0),IF($F300="Evet",ROUND($C300*tba_oranKadinGenc,2),0),IF($G300="Evet",ROUND($C300*tba_isverenOran,2),0)))</f>
        <v/>
      </c>
      <c r="K300" s="31">
        <f>IF($A300="","",IF($H300="TBA-001",IF($D300="Evet",ROUND($C300*tba_oranBesPuan,2),0),IF($H300="TBA-002",IF($E300="Evet",ROUND($C300*tba_oranIlave,2),0),IF($H300="TBA-004",IF($F300="Evet",ROUND($C300*tba_oranKadinGenc,2),0),IF($H300="TBA-ENG",IF($G300="Evet",ROUND($C300*tba_isverenOran,2),0),0)))))</f>
        <v/>
      </c>
      <c r="L300" s="31">
        <f>IF($A300="","",MAX(0,$J300-$K300))</f>
        <v/>
      </c>
    </row>
    <row r="301">
      <c r="I301" s="31">
        <f>IF($A301="","",IF($J301=0,"YOK",IF(AND($E301="Evet",ROUND($C301*tba_oranIlave,2)=$J301),"TBA-002",IF(AND($D301="Evet",ROUND($C301*tba_oranBesPuan,2)=$J301),"TBA-001",IF(AND($F301="Evet",ROUND($C301*tba_oranKadinGenc,2)=$J301),"TBA-004","TBA-ENG")))))</f>
        <v/>
      </c>
      <c r="J301" s="31">
        <f>IF($A301="","",MAX(IF($D301="Evet",ROUND($C301*tba_oranBesPuan,2),0),IF($E301="Evet",ROUND($C301*tba_oranIlave,2),0),IF($F301="Evet",ROUND($C301*tba_oranKadinGenc,2),0),IF($G301="Evet",ROUND($C301*tba_isverenOran,2),0)))</f>
        <v/>
      </c>
      <c r="K301" s="31">
        <f>IF($A301="","",IF($H301="TBA-001",IF($D301="Evet",ROUND($C301*tba_oranBesPuan,2),0),IF($H301="TBA-002",IF($E301="Evet",ROUND($C301*tba_oranIlave,2),0),IF($H301="TBA-004",IF($F301="Evet",ROUND($C301*tba_oranKadinGenc,2),0),IF($H301="TBA-ENG",IF($G301="Evet",ROUND($C301*tba_isverenOran,2),0),0)))))</f>
        <v/>
      </c>
      <c r="L301" s="31">
        <f>IF($A301="","",MAX(0,$J301-$K301))</f>
        <v/>
      </c>
    </row>
    <row r="302">
      <c r="I302" s="31">
        <f>IF($A302="","",IF($J302=0,"YOK",IF(AND($E302="Evet",ROUND($C302*tba_oranIlave,2)=$J302),"TBA-002",IF(AND($D302="Evet",ROUND($C302*tba_oranBesPuan,2)=$J302),"TBA-001",IF(AND($F302="Evet",ROUND($C302*tba_oranKadinGenc,2)=$J302),"TBA-004","TBA-ENG")))))</f>
        <v/>
      </c>
      <c r="J302" s="31">
        <f>IF($A302="","",MAX(IF($D302="Evet",ROUND($C302*tba_oranBesPuan,2),0),IF($E302="Evet",ROUND($C302*tba_oranIlave,2),0),IF($F302="Evet",ROUND($C302*tba_oranKadinGenc,2),0),IF($G302="Evet",ROUND($C302*tba_isverenOran,2),0)))</f>
        <v/>
      </c>
      <c r="K302" s="31">
        <f>IF($A302="","",IF($H302="TBA-001",IF($D302="Evet",ROUND($C302*tba_oranBesPuan,2),0),IF($H302="TBA-002",IF($E302="Evet",ROUND($C302*tba_oranIlave,2),0),IF($H302="TBA-004",IF($F302="Evet",ROUND($C302*tba_oranKadinGenc,2),0),IF($H302="TBA-ENG",IF($G302="Evet",ROUND($C302*tba_isverenOran,2),0),0)))))</f>
        <v/>
      </c>
      <c r="L302" s="31">
        <f>IF($A302="","",MAX(0,$J302-$K302))</f>
        <v/>
      </c>
    </row>
    <row r="303">
      <c r="I303" s="31">
        <f>IF($A303="","",IF($J303=0,"YOK",IF(AND($E303="Evet",ROUND($C303*tba_oranIlave,2)=$J303),"TBA-002",IF(AND($D303="Evet",ROUND($C303*tba_oranBesPuan,2)=$J303),"TBA-001",IF(AND($F303="Evet",ROUND($C303*tba_oranKadinGenc,2)=$J303),"TBA-004","TBA-ENG")))))</f>
        <v/>
      </c>
      <c r="J303" s="31">
        <f>IF($A303="","",MAX(IF($D303="Evet",ROUND($C303*tba_oranBesPuan,2),0),IF($E303="Evet",ROUND($C303*tba_oranIlave,2),0),IF($F303="Evet",ROUND($C303*tba_oranKadinGenc,2),0),IF($G303="Evet",ROUND($C303*tba_isverenOran,2),0)))</f>
        <v/>
      </c>
      <c r="K303" s="31">
        <f>IF($A303="","",IF($H303="TBA-001",IF($D303="Evet",ROUND($C303*tba_oranBesPuan,2),0),IF($H303="TBA-002",IF($E303="Evet",ROUND($C303*tba_oranIlave,2),0),IF($H303="TBA-004",IF($F303="Evet",ROUND($C303*tba_oranKadinGenc,2),0),IF($H303="TBA-ENG",IF($G303="Evet",ROUND($C303*tba_isverenOran,2),0),0)))))</f>
        <v/>
      </c>
      <c r="L303" s="31">
        <f>IF($A303="","",MAX(0,$J303-$K303))</f>
        <v/>
      </c>
    </row>
    <row r="304">
      <c r="I304" s="31">
        <f>IF($A304="","",IF($J304=0,"YOK",IF(AND($E304="Evet",ROUND($C304*tba_oranIlave,2)=$J304),"TBA-002",IF(AND($D304="Evet",ROUND($C304*tba_oranBesPuan,2)=$J304),"TBA-001",IF(AND($F304="Evet",ROUND($C304*tba_oranKadinGenc,2)=$J304),"TBA-004","TBA-ENG")))))</f>
        <v/>
      </c>
      <c r="J304" s="31">
        <f>IF($A304="","",MAX(IF($D304="Evet",ROUND($C304*tba_oranBesPuan,2),0),IF($E304="Evet",ROUND($C304*tba_oranIlave,2),0),IF($F304="Evet",ROUND($C304*tba_oranKadinGenc,2),0),IF($G304="Evet",ROUND($C304*tba_isverenOran,2),0)))</f>
        <v/>
      </c>
      <c r="K304" s="31">
        <f>IF($A304="","",IF($H304="TBA-001",IF($D304="Evet",ROUND($C304*tba_oranBesPuan,2),0),IF($H304="TBA-002",IF($E304="Evet",ROUND($C304*tba_oranIlave,2),0),IF($H304="TBA-004",IF($F304="Evet",ROUND($C304*tba_oranKadinGenc,2),0),IF($H304="TBA-ENG",IF($G304="Evet",ROUND($C304*tba_isverenOran,2),0),0)))))</f>
        <v/>
      </c>
      <c r="L304" s="31">
        <f>IF($A304="","",MAX(0,$J304-$K304))</f>
        <v/>
      </c>
    </row>
    <row r="305">
      <c r="I305" s="31">
        <f>IF($A305="","",IF($J305=0,"YOK",IF(AND($E305="Evet",ROUND($C305*tba_oranIlave,2)=$J305),"TBA-002",IF(AND($D305="Evet",ROUND($C305*tba_oranBesPuan,2)=$J305),"TBA-001",IF(AND($F305="Evet",ROUND($C305*tba_oranKadinGenc,2)=$J305),"TBA-004","TBA-ENG")))))</f>
        <v/>
      </c>
      <c r="J305" s="31">
        <f>IF($A305="","",MAX(IF($D305="Evet",ROUND($C305*tba_oranBesPuan,2),0),IF($E305="Evet",ROUND($C305*tba_oranIlave,2),0),IF($F305="Evet",ROUND($C305*tba_oranKadinGenc,2),0),IF($G305="Evet",ROUND($C305*tba_isverenOran,2),0)))</f>
        <v/>
      </c>
      <c r="K305" s="31">
        <f>IF($A305="","",IF($H305="TBA-001",IF($D305="Evet",ROUND($C305*tba_oranBesPuan,2),0),IF($H305="TBA-002",IF($E305="Evet",ROUND($C305*tba_oranIlave,2),0),IF($H305="TBA-004",IF($F305="Evet",ROUND($C305*tba_oranKadinGenc,2),0),IF($H305="TBA-ENG",IF($G305="Evet",ROUND($C305*tba_isverenOran,2),0),0)))))</f>
        <v/>
      </c>
      <c r="L305" s="31">
        <f>IF($A305="","",MAX(0,$J305-$K305))</f>
        <v/>
      </c>
    </row>
    <row r="306">
      <c r="I306" s="31">
        <f>IF($A306="","",IF($J306=0,"YOK",IF(AND($E306="Evet",ROUND($C306*tba_oranIlave,2)=$J306),"TBA-002",IF(AND($D306="Evet",ROUND($C306*tba_oranBesPuan,2)=$J306),"TBA-001",IF(AND($F306="Evet",ROUND($C306*tba_oranKadinGenc,2)=$J306),"TBA-004","TBA-ENG")))))</f>
        <v/>
      </c>
      <c r="J306" s="31">
        <f>IF($A306="","",MAX(IF($D306="Evet",ROUND($C306*tba_oranBesPuan,2),0),IF($E306="Evet",ROUND($C306*tba_oranIlave,2),0),IF($F306="Evet",ROUND($C306*tba_oranKadinGenc,2),0),IF($G306="Evet",ROUND($C306*tba_isverenOran,2),0)))</f>
        <v/>
      </c>
      <c r="K306" s="31">
        <f>IF($A306="","",IF($H306="TBA-001",IF($D306="Evet",ROUND($C306*tba_oranBesPuan,2),0),IF($H306="TBA-002",IF($E306="Evet",ROUND($C306*tba_oranIlave,2),0),IF($H306="TBA-004",IF($F306="Evet",ROUND($C306*tba_oranKadinGenc,2),0),IF($H306="TBA-ENG",IF($G306="Evet",ROUND($C306*tba_isverenOran,2),0),0)))))</f>
        <v/>
      </c>
      <c r="L306" s="31">
        <f>IF($A306="","",MAX(0,$J306-$K306))</f>
        <v/>
      </c>
    </row>
    <row r="307">
      <c r="I307" s="31">
        <f>IF($A307="","",IF($J307=0,"YOK",IF(AND($E307="Evet",ROUND($C307*tba_oranIlave,2)=$J307),"TBA-002",IF(AND($D307="Evet",ROUND($C307*tba_oranBesPuan,2)=$J307),"TBA-001",IF(AND($F307="Evet",ROUND($C307*tba_oranKadinGenc,2)=$J307),"TBA-004","TBA-ENG")))))</f>
        <v/>
      </c>
      <c r="J307" s="31">
        <f>IF($A307="","",MAX(IF($D307="Evet",ROUND($C307*tba_oranBesPuan,2),0),IF($E307="Evet",ROUND($C307*tba_oranIlave,2),0),IF($F307="Evet",ROUND($C307*tba_oranKadinGenc,2),0),IF($G307="Evet",ROUND($C307*tba_isverenOran,2),0)))</f>
        <v/>
      </c>
      <c r="K307" s="31">
        <f>IF($A307="","",IF($H307="TBA-001",IF($D307="Evet",ROUND($C307*tba_oranBesPuan,2),0),IF($H307="TBA-002",IF($E307="Evet",ROUND($C307*tba_oranIlave,2),0),IF($H307="TBA-004",IF($F307="Evet",ROUND($C307*tba_oranKadinGenc,2),0),IF($H307="TBA-ENG",IF($G307="Evet",ROUND($C307*tba_isverenOran,2),0),0)))))</f>
        <v/>
      </c>
      <c r="L307" s="31">
        <f>IF($A307="","",MAX(0,$J307-$K307))</f>
        <v/>
      </c>
    </row>
    <row r="308">
      <c r="I308" s="31">
        <f>IF($A308="","",IF($J308=0,"YOK",IF(AND($E308="Evet",ROUND($C308*tba_oranIlave,2)=$J308),"TBA-002",IF(AND($D308="Evet",ROUND($C308*tba_oranBesPuan,2)=$J308),"TBA-001",IF(AND($F308="Evet",ROUND($C308*tba_oranKadinGenc,2)=$J308),"TBA-004","TBA-ENG")))))</f>
        <v/>
      </c>
      <c r="J308" s="31">
        <f>IF($A308="","",MAX(IF($D308="Evet",ROUND($C308*tba_oranBesPuan,2),0),IF($E308="Evet",ROUND($C308*tba_oranIlave,2),0),IF($F308="Evet",ROUND($C308*tba_oranKadinGenc,2),0),IF($G308="Evet",ROUND($C308*tba_isverenOran,2),0)))</f>
        <v/>
      </c>
      <c r="K308" s="31">
        <f>IF($A308="","",IF($H308="TBA-001",IF($D308="Evet",ROUND($C308*tba_oranBesPuan,2),0),IF($H308="TBA-002",IF($E308="Evet",ROUND($C308*tba_oranIlave,2),0),IF($H308="TBA-004",IF($F308="Evet",ROUND($C308*tba_oranKadinGenc,2),0),IF($H308="TBA-ENG",IF($G308="Evet",ROUND($C308*tba_isverenOran,2),0),0)))))</f>
        <v/>
      </c>
      <c r="L308" s="31">
        <f>IF($A308="","",MAX(0,$J308-$K308))</f>
        <v/>
      </c>
    </row>
    <row r="309">
      <c r="I309" s="31">
        <f>IF($A309="","",IF($J309=0,"YOK",IF(AND($E309="Evet",ROUND($C309*tba_oranIlave,2)=$J309),"TBA-002",IF(AND($D309="Evet",ROUND($C309*tba_oranBesPuan,2)=$J309),"TBA-001",IF(AND($F309="Evet",ROUND($C309*tba_oranKadinGenc,2)=$J309),"TBA-004","TBA-ENG")))))</f>
        <v/>
      </c>
      <c r="J309" s="31">
        <f>IF($A309="","",MAX(IF($D309="Evet",ROUND($C309*tba_oranBesPuan,2),0),IF($E309="Evet",ROUND($C309*tba_oranIlave,2),0),IF($F309="Evet",ROUND($C309*tba_oranKadinGenc,2),0),IF($G309="Evet",ROUND($C309*tba_isverenOran,2),0)))</f>
        <v/>
      </c>
      <c r="K309" s="31">
        <f>IF($A309="","",IF($H309="TBA-001",IF($D309="Evet",ROUND($C309*tba_oranBesPuan,2),0),IF($H309="TBA-002",IF($E309="Evet",ROUND($C309*tba_oranIlave,2),0),IF($H309="TBA-004",IF($F309="Evet",ROUND($C309*tba_oranKadinGenc,2),0),IF($H309="TBA-ENG",IF($G309="Evet",ROUND($C309*tba_isverenOran,2),0),0)))))</f>
        <v/>
      </c>
      <c r="L309" s="31">
        <f>IF($A309="","",MAX(0,$J309-$K309))</f>
        <v/>
      </c>
    </row>
    <row r="310">
      <c r="I310" s="31">
        <f>IF($A310="","",IF($J310=0,"YOK",IF(AND($E310="Evet",ROUND($C310*tba_oranIlave,2)=$J310),"TBA-002",IF(AND($D310="Evet",ROUND($C310*tba_oranBesPuan,2)=$J310),"TBA-001",IF(AND($F310="Evet",ROUND($C310*tba_oranKadinGenc,2)=$J310),"TBA-004","TBA-ENG")))))</f>
        <v/>
      </c>
      <c r="J310" s="31">
        <f>IF($A310="","",MAX(IF($D310="Evet",ROUND($C310*tba_oranBesPuan,2),0),IF($E310="Evet",ROUND($C310*tba_oranIlave,2),0),IF($F310="Evet",ROUND($C310*tba_oranKadinGenc,2),0),IF($G310="Evet",ROUND($C310*tba_isverenOran,2),0)))</f>
        <v/>
      </c>
      <c r="K310" s="31">
        <f>IF($A310="","",IF($H310="TBA-001",IF($D310="Evet",ROUND($C310*tba_oranBesPuan,2),0),IF($H310="TBA-002",IF($E310="Evet",ROUND($C310*tba_oranIlave,2),0),IF($H310="TBA-004",IF($F310="Evet",ROUND($C310*tba_oranKadinGenc,2),0),IF($H310="TBA-ENG",IF($G310="Evet",ROUND($C310*tba_isverenOran,2),0),0)))))</f>
        <v/>
      </c>
      <c r="L310" s="31">
        <f>IF($A310="","",MAX(0,$J310-$K310))</f>
        <v/>
      </c>
    </row>
    <row r="311">
      <c r="I311" s="31">
        <f>IF($A311="","",IF($J311=0,"YOK",IF(AND($E311="Evet",ROUND($C311*tba_oranIlave,2)=$J311),"TBA-002",IF(AND($D311="Evet",ROUND($C311*tba_oranBesPuan,2)=$J311),"TBA-001",IF(AND($F311="Evet",ROUND($C311*tba_oranKadinGenc,2)=$J311),"TBA-004","TBA-ENG")))))</f>
        <v/>
      </c>
      <c r="J311" s="31">
        <f>IF($A311="","",MAX(IF($D311="Evet",ROUND($C311*tba_oranBesPuan,2),0),IF($E311="Evet",ROUND($C311*tba_oranIlave,2),0),IF($F311="Evet",ROUND($C311*tba_oranKadinGenc,2),0),IF($G311="Evet",ROUND($C311*tba_isverenOran,2),0)))</f>
        <v/>
      </c>
      <c r="K311" s="31">
        <f>IF($A311="","",IF($H311="TBA-001",IF($D311="Evet",ROUND($C311*tba_oranBesPuan,2),0),IF($H311="TBA-002",IF($E311="Evet",ROUND($C311*tba_oranIlave,2),0),IF($H311="TBA-004",IF($F311="Evet",ROUND($C311*tba_oranKadinGenc,2),0),IF($H311="TBA-ENG",IF($G311="Evet",ROUND($C311*tba_isverenOran,2),0),0)))))</f>
        <v/>
      </c>
      <c r="L311" s="31">
        <f>IF($A311="","",MAX(0,$J311-$K311))</f>
        <v/>
      </c>
    </row>
    <row r="312">
      <c r="I312" s="31">
        <f>IF($A312="","",IF($J312=0,"YOK",IF(AND($E312="Evet",ROUND($C312*tba_oranIlave,2)=$J312),"TBA-002",IF(AND($D312="Evet",ROUND($C312*tba_oranBesPuan,2)=$J312),"TBA-001",IF(AND($F312="Evet",ROUND($C312*tba_oranKadinGenc,2)=$J312),"TBA-004","TBA-ENG")))))</f>
        <v/>
      </c>
      <c r="J312" s="31">
        <f>IF($A312="","",MAX(IF($D312="Evet",ROUND($C312*tba_oranBesPuan,2),0),IF($E312="Evet",ROUND($C312*tba_oranIlave,2),0),IF($F312="Evet",ROUND($C312*tba_oranKadinGenc,2),0),IF($G312="Evet",ROUND($C312*tba_isverenOran,2),0)))</f>
        <v/>
      </c>
      <c r="K312" s="31">
        <f>IF($A312="","",IF($H312="TBA-001",IF($D312="Evet",ROUND($C312*tba_oranBesPuan,2),0),IF($H312="TBA-002",IF($E312="Evet",ROUND($C312*tba_oranIlave,2),0),IF($H312="TBA-004",IF($F312="Evet",ROUND($C312*tba_oranKadinGenc,2),0),IF($H312="TBA-ENG",IF($G312="Evet",ROUND($C312*tba_isverenOran,2),0),0)))))</f>
        <v/>
      </c>
      <c r="L312" s="31">
        <f>IF($A312="","",MAX(0,$J312-$K312))</f>
        <v/>
      </c>
    </row>
    <row r="313">
      <c r="I313" s="31">
        <f>IF($A313="","",IF($J313=0,"YOK",IF(AND($E313="Evet",ROUND($C313*tba_oranIlave,2)=$J313),"TBA-002",IF(AND($D313="Evet",ROUND($C313*tba_oranBesPuan,2)=$J313),"TBA-001",IF(AND($F313="Evet",ROUND($C313*tba_oranKadinGenc,2)=$J313),"TBA-004","TBA-ENG")))))</f>
        <v/>
      </c>
      <c r="J313" s="31">
        <f>IF($A313="","",MAX(IF($D313="Evet",ROUND($C313*tba_oranBesPuan,2),0),IF($E313="Evet",ROUND($C313*tba_oranIlave,2),0),IF($F313="Evet",ROUND($C313*tba_oranKadinGenc,2),0),IF($G313="Evet",ROUND($C313*tba_isverenOran,2),0)))</f>
        <v/>
      </c>
      <c r="K313" s="31">
        <f>IF($A313="","",IF($H313="TBA-001",IF($D313="Evet",ROUND($C313*tba_oranBesPuan,2),0),IF($H313="TBA-002",IF($E313="Evet",ROUND($C313*tba_oranIlave,2),0),IF($H313="TBA-004",IF($F313="Evet",ROUND($C313*tba_oranKadinGenc,2),0),IF($H313="TBA-ENG",IF($G313="Evet",ROUND($C313*tba_isverenOran,2),0),0)))))</f>
        <v/>
      </c>
      <c r="L313" s="31">
        <f>IF($A313="","",MAX(0,$J313-$K313))</f>
        <v/>
      </c>
    </row>
    <row r="314">
      <c r="I314" s="31">
        <f>IF($A314="","",IF($J314=0,"YOK",IF(AND($E314="Evet",ROUND($C314*tba_oranIlave,2)=$J314),"TBA-002",IF(AND($D314="Evet",ROUND($C314*tba_oranBesPuan,2)=$J314),"TBA-001",IF(AND($F314="Evet",ROUND($C314*tba_oranKadinGenc,2)=$J314),"TBA-004","TBA-ENG")))))</f>
        <v/>
      </c>
      <c r="J314" s="31">
        <f>IF($A314="","",MAX(IF($D314="Evet",ROUND($C314*tba_oranBesPuan,2),0),IF($E314="Evet",ROUND($C314*tba_oranIlave,2),0),IF($F314="Evet",ROUND($C314*tba_oranKadinGenc,2),0),IF($G314="Evet",ROUND($C314*tba_isverenOran,2),0)))</f>
        <v/>
      </c>
      <c r="K314" s="31">
        <f>IF($A314="","",IF($H314="TBA-001",IF($D314="Evet",ROUND($C314*tba_oranBesPuan,2),0),IF($H314="TBA-002",IF($E314="Evet",ROUND($C314*tba_oranIlave,2),0),IF($H314="TBA-004",IF($F314="Evet",ROUND($C314*tba_oranKadinGenc,2),0),IF($H314="TBA-ENG",IF($G314="Evet",ROUND($C314*tba_isverenOran,2),0),0)))))</f>
        <v/>
      </c>
      <c r="L314" s="31">
        <f>IF($A314="","",MAX(0,$J314-$K314))</f>
        <v/>
      </c>
    </row>
    <row r="315">
      <c r="I315" s="31">
        <f>IF($A315="","",IF($J315=0,"YOK",IF(AND($E315="Evet",ROUND($C315*tba_oranIlave,2)=$J315),"TBA-002",IF(AND($D315="Evet",ROUND($C315*tba_oranBesPuan,2)=$J315),"TBA-001",IF(AND($F315="Evet",ROUND($C315*tba_oranKadinGenc,2)=$J315),"TBA-004","TBA-ENG")))))</f>
        <v/>
      </c>
      <c r="J315" s="31">
        <f>IF($A315="","",MAX(IF($D315="Evet",ROUND($C315*tba_oranBesPuan,2),0),IF($E315="Evet",ROUND($C315*tba_oranIlave,2),0),IF($F315="Evet",ROUND($C315*tba_oranKadinGenc,2),0),IF($G315="Evet",ROUND($C315*tba_isverenOran,2),0)))</f>
        <v/>
      </c>
      <c r="K315" s="31">
        <f>IF($A315="","",IF($H315="TBA-001",IF($D315="Evet",ROUND($C315*tba_oranBesPuan,2),0),IF($H315="TBA-002",IF($E315="Evet",ROUND($C315*tba_oranIlave,2),0),IF($H315="TBA-004",IF($F315="Evet",ROUND($C315*tba_oranKadinGenc,2),0),IF($H315="TBA-ENG",IF($G315="Evet",ROUND($C315*tba_isverenOran,2),0),0)))))</f>
        <v/>
      </c>
      <c r="L315" s="31">
        <f>IF($A315="","",MAX(0,$J315-$K315))</f>
        <v/>
      </c>
    </row>
    <row r="316">
      <c r="I316" s="31">
        <f>IF($A316="","",IF($J316=0,"YOK",IF(AND($E316="Evet",ROUND($C316*tba_oranIlave,2)=$J316),"TBA-002",IF(AND($D316="Evet",ROUND($C316*tba_oranBesPuan,2)=$J316),"TBA-001",IF(AND($F316="Evet",ROUND($C316*tba_oranKadinGenc,2)=$J316),"TBA-004","TBA-ENG")))))</f>
        <v/>
      </c>
      <c r="J316" s="31">
        <f>IF($A316="","",MAX(IF($D316="Evet",ROUND($C316*tba_oranBesPuan,2),0),IF($E316="Evet",ROUND($C316*tba_oranIlave,2),0),IF($F316="Evet",ROUND($C316*tba_oranKadinGenc,2),0),IF($G316="Evet",ROUND($C316*tba_isverenOran,2),0)))</f>
        <v/>
      </c>
      <c r="K316" s="31">
        <f>IF($A316="","",IF($H316="TBA-001",IF($D316="Evet",ROUND($C316*tba_oranBesPuan,2),0),IF($H316="TBA-002",IF($E316="Evet",ROUND($C316*tba_oranIlave,2),0),IF($H316="TBA-004",IF($F316="Evet",ROUND($C316*tba_oranKadinGenc,2),0),IF($H316="TBA-ENG",IF($G316="Evet",ROUND($C316*tba_isverenOran,2),0),0)))))</f>
        <v/>
      </c>
      <c r="L316" s="31">
        <f>IF($A316="","",MAX(0,$J316-$K316))</f>
        <v/>
      </c>
    </row>
    <row r="317">
      <c r="I317" s="31">
        <f>IF($A317="","",IF($J317=0,"YOK",IF(AND($E317="Evet",ROUND($C317*tba_oranIlave,2)=$J317),"TBA-002",IF(AND($D317="Evet",ROUND($C317*tba_oranBesPuan,2)=$J317),"TBA-001",IF(AND($F317="Evet",ROUND($C317*tba_oranKadinGenc,2)=$J317),"TBA-004","TBA-ENG")))))</f>
        <v/>
      </c>
      <c r="J317" s="31">
        <f>IF($A317="","",MAX(IF($D317="Evet",ROUND($C317*tba_oranBesPuan,2),0),IF($E317="Evet",ROUND($C317*tba_oranIlave,2),0),IF($F317="Evet",ROUND($C317*tba_oranKadinGenc,2),0),IF($G317="Evet",ROUND($C317*tba_isverenOran,2),0)))</f>
        <v/>
      </c>
      <c r="K317" s="31">
        <f>IF($A317="","",IF($H317="TBA-001",IF($D317="Evet",ROUND($C317*tba_oranBesPuan,2),0),IF($H317="TBA-002",IF($E317="Evet",ROUND($C317*tba_oranIlave,2),0),IF($H317="TBA-004",IF($F317="Evet",ROUND($C317*tba_oranKadinGenc,2),0),IF($H317="TBA-ENG",IF($G317="Evet",ROUND($C317*tba_isverenOran,2),0),0)))))</f>
        <v/>
      </c>
      <c r="L317" s="31">
        <f>IF($A317="","",MAX(0,$J317-$K317))</f>
        <v/>
      </c>
    </row>
    <row r="318">
      <c r="I318" s="31">
        <f>IF($A318="","",IF($J318=0,"YOK",IF(AND($E318="Evet",ROUND($C318*tba_oranIlave,2)=$J318),"TBA-002",IF(AND($D318="Evet",ROUND($C318*tba_oranBesPuan,2)=$J318),"TBA-001",IF(AND($F318="Evet",ROUND($C318*tba_oranKadinGenc,2)=$J318),"TBA-004","TBA-ENG")))))</f>
        <v/>
      </c>
      <c r="J318" s="31">
        <f>IF($A318="","",MAX(IF($D318="Evet",ROUND($C318*tba_oranBesPuan,2),0),IF($E318="Evet",ROUND($C318*tba_oranIlave,2),0),IF($F318="Evet",ROUND($C318*tba_oranKadinGenc,2),0),IF($G318="Evet",ROUND($C318*tba_isverenOran,2),0)))</f>
        <v/>
      </c>
      <c r="K318" s="31">
        <f>IF($A318="","",IF($H318="TBA-001",IF($D318="Evet",ROUND($C318*tba_oranBesPuan,2),0),IF($H318="TBA-002",IF($E318="Evet",ROUND($C318*tba_oranIlave,2),0),IF($H318="TBA-004",IF($F318="Evet",ROUND($C318*tba_oranKadinGenc,2),0),IF($H318="TBA-ENG",IF($G318="Evet",ROUND($C318*tba_isverenOran,2),0),0)))))</f>
        <v/>
      </c>
      <c r="L318" s="31">
        <f>IF($A318="","",MAX(0,$J318-$K318))</f>
        <v/>
      </c>
    </row>
    <row r="319">
      <c r="I319" s="31">
        <f>IF($A319="","",IF($J319=0,"YOK",IF(AND($E319="Evet",ROUND($C319*tba_oranIlave,2)=$J319),"TBA-002",IF(AND($D319="Evet",ROUND($C319*tba_oranBesPuan,2)=$J319),"TBA-001",IF(AND($F319="Evet",ROUND($C319*tba_oranKadinGenc,2)=$J319),"TBA-004","TBA-ENG")))))</f>
        <v/>
      </c>
      <c r="J319" s="31">
        <f>IF($A319="","",MAX(IF($D319="Evet",ROUND($C319*tba_oranBesPuan,2),0),IF($E319="Evet",ROUND($C319*tba_oranIlave,2),0),IF($F319="Evet",ROUND($C319*tba_oranKadinGenc,2),0),IF($G319="Evet",ROUND($C319*tba_isverenOran,2),0)))</f>
        <v/>
      </c>
      <c r="K319" s="31">
        <f>IF($A319="","",IF($H319="TBA-001",IF($D319="Evet",ROUND($C319*tba_oranBesPuan,2),0),IF($H319="TBA-002",IF($E319="Evet",ROUND($C319*tba_oranIlave,2),0),IF($H319="TBA-004",IF($F319="Evet",ROUND($C319*tba_oranKadinGenc,2),0),IF($H319="TBA-ENG",IF($G319="Evet",ROUND($C319*tba_isverenOran,2),0),0)))))</f>
        <v/>
      </c>
      <c r="L319" s="31">
        <f>IF($A319="","",MAX(0,$J319-$K319))</f>
        <v/>
      </c>
    </row>
    <row r="320">
      <c r="I320" s="31">
        <f>IF($A320="","",IF($J320=0,"YOK",IF(AND($E320="Evet",ROUND($C320*tba_oranIlave,2)=$J320),"TBA-002",IF(AND($D320="Evet",ROUND($C320*tba_oranBesPuan,2)=$J320),"TBA-001",IF(AND($F320="Evet",ROUND($C320*tba_oranKadinGenc,2)=$J320),"TBA-004","TBA-ENG")))))</f>
        <v/>
      </c>
      <c r="J320" s="31">
        <f>IF($A320="","",MAX(IF($D320="Evet",ROUND($C320*tba_oranBesPuan,2),0),IF($E320="Evet",ROUND($C320*tba_oranIlave,2),0),IF($F320="Evet",ROUND($C320*tba_oranKadinGenc,2),0),IF($G320="Evet",ROUND($C320*tba_isverenOran,2),0)))</f>
        <v/>
      </c>
      <c r="K320" s="31">
        <f>IF($A320="","",IF($H320="TBA-001",IF($D320="Evet",ROUND($C320*tba_oranBesPuan,2),0),IF($H320="TBA-002",IF($E320="Evet",ROUND($C320*tba_oranIlave,2),0),IF($H320="TBA-004",IF($F320="Evet",ROUND($C320*tba_oranKadinGenc,2),0),IF($H320="TBA-ENG",IF($G320="Evet",ROUND($C320*tba_isverenOran,2),0),0)))))</f>
        <v/>
      </c>
      <c r="L320" s="31">
        <f>IF($A320="","",MAX(0,$J320-$K320))</f>
        <v/>
      </c>
    </row>
    <row r="321">
      <c r="I321" s="31">
        <f>IF($A321="","",IF($J321=0,"YOK",IF(AND($E321="Evet",ROUND($C321*tba_oranIlave,2)=$J321),"TBA-002",IF(AND($D321="Evet",ROUND($C321*tba_oranBesPuan,2)=$J321),"TBA-001",IF(AND($F321="Evet",ROUND($C321*tba_oranKadinGenc,2)=$J321),"TBA-004","TBA-ENG")))))</f>
        <v/>
      </c>
      <c r="J321" s="31">
        <f>IF($A321="","",MAX(IF($D321="Evet",ROUND($C321*tba_oranBesPuan,2),0),IF($E321="Evet",ROUND($C321*tba_oranIlave,2),0),IF($F321="Evet",ROUND($C321*tba_oranKadinGenc,2),0),IF($G321="Evet",ROUND($C321*tba_isverenOran,2),0)))</f>
        <v/>
      </c>
      <c r="K321" s="31">
        <f>IF($A321="","",IF($H321="TBA-001",IF($D321="Evet",ROUND($C321*tba_oranBesPuan,2),0),IF($H321="TBA-002",IF($E321="Evet",ROUND($C321*tba_oranIlave,2),0),IF($H321="TBA-004",IF($F321="Evet",ROUND($C321*tba_oranKadinGenc,2),0),IF($H321="TBA-ENG",IF($G321="Evet",ROUND($C321*tba_isverenOran,2),0),0)))))</f>
        <v/>
      </c>
      <c r="L321" s="31">
        <f>IF($A321="","",MAX(0,$J321-$K321))</f>
        <v/>
      </c>
    </row>
    <row r="322">
      <c r="I322" s="31">
        <f>IF($A322="","",IF($J322=0,"YOK",IF(AND($E322="Evet",ROUND($C322*tba_oranIlave,2)=$J322),"TBA-002",IF(AND($D322="Evet",ROUND($C322*tba_oranBesPuan,2)=$J322),"TBA-001",IF(AND($F322="Evet",ROUND($C322*tba_oranKadinGenc,2)=$J322),"TBA-004","TBA-ENG")))))</f>
        <v/>
      </c>
      <c r="J322" s="31">
        <f>IF($A322="","",MAX(IF($D322="Evet",ROUND($C322*tba_oranBesPuan,2),0),IF($E322="Evet",ROUND($C322*tba_oranIlave,2),0),IF($F322="Evet",ROUND($C322*tba_oranKadinGenc,2),0),IF($G322="Evet",ROUND($C322*tba_isverenOran,2),0)))</f>
        <v/>
      </c>
      <c r="K322" s="31">
        <f>IF($A322="","",IF($H322="TBA-001",IF($D322="Evet",ROUND($C322*tba_oranBesPuan,2),0),IF($H322="TBA-002",IF($E322="Evet",ROUND($C322*tba_oranIlave,2),0),IF($H322="TBA-004",IF($F322="Evet",ROUND($C322*tba_oranKadinGenc,2),0),IF($H322="TBA-ENG",IF($G322="Evet",ROUND($C322*tba_isverenOran,2),0),0)))))</f>
        <v/>
      </c>
      <c r="L322" s="31">
        <f>IF($A322="","",MAX(0,$J322-$K322))</f>
        <v/>
      </c>
    </row>
    <row r="323">
      <c r="I323" s="31">
        <f>IF($A323="","",IF($J323=0,"YOK",IF(AND($E323="Evet",ROUND($C323*tba_oranIlave,2)=$J323),"TBA-002",IF(AND($D323="Evet",ROUND($C323*tba_oranBesPuan,2)=$J323),"TBA-001",IF(AND($F323="Evet",ROUND($C323*tba_oranKadinGenc,2)=$J323),"TBA-004","TBA-ENG")))))</f>
        <v/>
      </c>
      <c r="J323" s="31">
        <f>IF($A323="","",MAX(IF($D323="Evet",ROUND($C323*tba_oranBesPuan,2),0),IF($E323="Evet",ROUND($C323*tba_oranIlave,2),0),IF($F323="Evet",ROUND($C323*tba_oranKadinGenc,2),0),IF($G323="Evet",ROUND($C323*tba_isverenOran,2),0)))</f>
        <v/>
      </c>
      <c r="K323" s="31">
        <f>IF($A323="","",IF($H323="TBA-001",IF($D323="Evet",ROUND($C323*tba_oranBesPuan,2),0),IF($H323="TBA-002",IF($E323="Evet",ROUND($C323*tba_oranIlave,2),0),IF($H323="TBA-004",IF($F323="Evet",ROUND($C323*tba_oranKadinGenc,2),0),IF($H323="TBA-ENG",IF($G323="Evet",ROUND($C323*tba_isverenOran,2),0),0)))))</f>
        <v/>
      </c>
      <c r="L323" s="31">
        <f>IF($A323="","",MAX(0,$J323-$K323))</f>
        <v/>
      </c>
    </row>
    <row r="324">
      <c r="I324" s="31">
        <f>IF($A324="","",IF($J324=0,"YOK",IF(AND($E324="Evet",ROUND($C324*tba_oranIlave,2)=$J324),"TBA-002",IF(AND($D324="Evet",ROUND($C324*tba_oranBesPuan,2)=$J324),"TBA-001",IF(AND($F324="Evet",ROUND($C324*tba_oranKadinGenc,2)=$J324),"TBA-004","TBA-ENG")))))</f>
        <v/>
      </c>
      <c r="J324" s="31">
        <f>IF($A324="","",MAX(IF($D324="Evet",ROUND($C324*tba_oranBesPuan,2),0),IF($E324="Evet",ROUND($C324*tba_oranIlave,2),0),IF($F324="Evet",ROUND($C324*tba_oranKadinGenc,2),0),IF($G324="Evet",ROUND($C324*tba_isverenOran,2),0)))</f>
        <v/>
      </c>
      <c r="K324" s="31">
        <f>IF($A324="","",IF($H324="TBA-001",IF($D324="Evet",ROUND($C324*tba_oranBesPuan,2),0),IF($H324="TBA-002",IF($E324="Evet",ROUND($C324*tba_oranIlave,2),0),IF($H324="TBA-004",IF($F324="Evet",ROUND($C324*tba_oranKadinGenc,2),0),IF($H324="TBA-ENG",IF($G324="Evet",ROUND($C324*tba_isverenOran,2),0),0)))))</f>
        <v/>
      </c>
      <c r="L324" s="31">
        <f>IF($A324="","",MAX(0,$J324-$K324))</f>
        <v/>
      </c>
    </row>
    <row r="325">
      <c r="I325" s="31">
        <f>IF($A325="","",IF($J325=0,"YOK",IF(AND($E325="Evet",ROUND($C325*tba_oranIlave,2)=$J325),"TBA-002",IF(AND($D325="Evet",ROUND($C325*tba_oranBesPuan,2)=$J325),"TBA-001",IF(AND($F325="Evet",ROUND($C325*tba_oranKadinGenc,2)=$J325),"TBA-004","TBA-ENG")))))</f>
        <v/>
      </c>
      <c r="J325" s="31">
        <f>IF($A325="","",MAX(IF($D325="Evet",ROUND($C325*tba_oranBesPuan,2),0),IF($E325="Evet",ROUND($C325*tba_oranIlave,2),0),IF($F325="Evet",ROUND($C325*tba_oranKadinGenc,2),0),IF($G325="Evet",ROUND($C325*tba_isverenOran,2),0)))</f>
        <v/>
      </c>
      <c r="K325" s="31">
        <f>IF($A325="","",IF($H325="TBA-001",IF($D325="Evet",ROUND($C325*tba_oranBesPuan,2),0),IF($H325="TBA-002",IF($E325="Evet",ROUND($C325*tba_oranIlave,2),0),IF($H325="TBA-004",IF($F325="Evet",ROUND($C325*tba_oranKadinGenc,2),0),IF($H325="TBA-ENG",IF($G325="Evet",ROUND($C325*tba_isverenOran,2),0),0)))))</f>
        <v/>
      </c>
      <c r="L325" s="31">
        <f>IF($A325="","",MAX(0,$J325-$K325))</f>
        <v/>
      </c>
    </row>
    <row r="326">
      <c r="I326" s="31">
        <f>IF($A326="","",IF($J326=0,"YOK",IF(AND($E326="Evet",ROUND($C326*tba_oranIlave,2)=$J326),"TBA-002",IF(AND($D326="Evet",ROUND($C326*tba_oranBesPuan,2)=$J326),"TBA-001",IF(AND($F326="Evet",ROUND($C326*tba_oranKadinGenc,2)=$J326),"TBA-004","TBA-ENG")))))</f>
        <v/>
      </c>
      <c r="J326" s="31">
        <f>IF($A326="","",MAX(IF($D326="Evet",ROUND($C326*tba_oranBesPuan,2),0),IF($E326="Evet",ROUND($C326*tba_oranIlave,2),0),IF($F326="Evet",ROUND($C326*tba_oranKadinGenc,2),0),IF($G326="Evet",ROUND($C326*tba_isverenOran,2),0)))</f>
        <v/>
      </c>
      <c r="K326" s="31">
        <f>IF($A326="","",IF($H326="TBA-001",IF($D326="Evet",ROUND($C326*tba_oranBesPuan,2),0),IF($H326="TBA-002",IF($E326="Evet",ROUND($C326*tba_oranIlave,2),0),IF($H326="TBA-004",IF($F326="Evet",ROUND($C326*tba_oranKadinGenc,2),0),IF($H326="TBA-ENG",IF($G326="Evet",ROUND($C326*tba_isverenOran,2),0),0)))))</f>
        <v/>
      </c>
      <c r="L326" s="31">
        <f>IF($A326="","",MAX(0,$J326-$K326))</f>
        <v/>
      </c>
    </row>
    <row r="327">
      <c r="I327" s="31">
        <f>IF($A327="","",IF($J327=0,"YOK",IF(AND($E327="Evet",ROUND($C327*tba_oranIlave,2)=$J327),"TBA-002",IF(AND($D327="Evet",ROUND($C327*tba_oranBesPuan,2)=$J327),"TBA-001",IF(AND($F327="Evet",ROUND($C327*tba_oranKadinGenc,2)=$J327),"TBA-004","TBA-ENG")))))</f>
        <v/>
      </c>
      <c r="J327" s="31">
        <f>IF($A327="","",MAX(IF($D327="Evet",ROUND($C327*tba_oranBesPuan,2),0),IF($E327="Evet",ROUND($C327*tba_oranIlave,2),0),IF($F327="Evet",ROUND($C327*tba_oranKadinGenc,2),0),IF($G327="Evet",ROUND($C327*tba_isverenOran,2),0)))</f>
        <v/>
      </c>
      <c r="K327" s="31">
        <f>IF($A327="","",IF($H327="TBA-001",IF($D327="Evet",ROUND($C327*tba_oranBesPuan,2),0),IF($H327="TBA-002",IF($E327="Evet",ROUND($C327*tba_oranIlave,2),0),IF($H327="TBA-004",IF($F327="Evet",ROUND($C327*tba_oranKadinGenc,2),0),IF($H327="TBA-ENG",IF($G327="Evet",ROUND($C327*tba_isverenOran,2),0),0)))))</f>
        <v/>
      </c>
      <c r="L327" s="31">
        <f>IF($A327="","",MAX(0,$J327-$K327))</f>
        <v/>
      </c>
    </row>
    <row r="328">
      <c r="I328" s="31">
        <f>IF($A328="","",IF($J328=0,"YOK",IF(AND($E328="Evet",ROUND($C328*tba_oranIlave,2)=$J328),"TBA-002",IF(AND($D328="Evet",ROUND($C328*tba_oranBesPuan,2)=$J328),"TBA-001",IF(AND($F328="Evet",ROUND($C328*tba_oranKadinGenc,2)=$J328),"TBA-004","TBA-ENG")))))</f>
        <v/>
      </c>
      <c r="J328" s="31">
        <f>IF($A328="","",MAX(IF($D328="Evet",ROUND($C328*tba_oranBesPuan,2),0),IF($E328="Evet",ROUND($C328*tba_oranIlave,2),0),IF($F328="Evet",ROUND($C328*tba_oranKadinGenc,2),0),IF($G328="Evet",ROUND($C328*tba_isverenOran,2),0)))</f>
        <v/>
      </c>
      <c r="K328" s="31">
        <f>IF($A328="","",IF($H328="TBA-001",IF($D328="Evet",ROUND($C328*tba_oranBesPuan,2),0),IF($H328="TBA-002",IF($E328="Evet",ROUND($C328*tba_oranIlave,2),0),IF($H328="TBA-004",IF($F328="Evet",ROUND($C328*tba_oranKadinGenc,2),0),IF($H328="TBA-ENG",IF($G328="Evet",ROUND($C328*tba_isverenOran,2),0),0)))))</f>
        <v/>
      </c>
      <c r="L328" s="31">
        <f>IF($A328="","",MAX(0,$J328-$K328))</f>
        <v/>
      </c>
    </row>
    <row r="329">
      <c r="I329" s="31">
        <f>IF($A329="","",IF($J329=0,"YOK",IF(AND($E329="Evet",ROUND($C329*tba_oranIlave,2)=$J329),"TBA-002",IF(AND($D329="Evet",ROUND($C329*tba_oranBesPuan,2)=$J329),"TBA-001",IF(AND($F329="Evet",ROUND($C329*tba_oranKadinGenc,2)=$J329),"TBA-004","TBA-ENG")))))</f>
        <v/>
      </c>
      <c r="J329" s="31">
        <f>IF($A329="","",MAX(IF($D329="Evet",ROUND($C329*tba_oranBesPuan,2),0),IF($E329="Evet",ROUND($C329*tba_oranIlave,2),0),IF($F329="Evet",ROUND($C329*tba_oranKadinGenc,2),0),IF($G329="Evet",ROUND($C329*tba_isverenOran,2),0)))</f>
        <v/>
      </c>
      <c r="K329" s="31">
        <f>IF($A329="","",IF($H329="TBA-001",IF($D329="Evet",ROUND($C329*tba_oranBesPuan,2),0),IF($H329="TBA-002",IF($E329="Evet",ROUND($C329*tba_oranIlave,2),0),IF($H329="TBA-004",IF($F329="Evet",ROUND($C329*tba_oranKadinGenc,2),0),IF($H329="TBA-ENG",IF($G329="Evet",ROUND($C329*tba_isverenOran,2),0),0)))))</f>
        <v/>
      </c>
      <c r="L329" s="31">
        <f>IF($A329="","",MAX(0,$J329-$K329))</f>
        <v/>
      </c>
    </row>
    <row r="330">
      <c r="I330" s="31">
        <f>IF($A330="","",IF($J330=0,"YOK",IF(AND($E330="Evet",ROUND($C330*tba_oranIlave,2)=$J330),"TBA-002",IF(AND($D330="Evet",ROUND($C330*tba_oranBesPuan,2)=$J330),"TBA-001",IF(AND($F330="Evet",ROUND($C330*tba_oranKadinGenc,2)=$J330),"TBA-004","TBA-ENG")))))</f>
        <v/>
      </c>
      <c r="J330" s="31">
        <f>IF($A330="","",MAX(IF($D330="Evet",ROUND($C330*tba_oranBesPuan,2),0),IF($E330="Evet",ROUND($C330*tba_oranIlave,2),0),IF($F330="Evet",ROUND($C330*tba_oranKadinGenc,2),0),IF($G330="Evet",ROUND($C330*tba_isverenOran,2),0)))</f>
        <v/>
      </c>
      <c r="K330" s="31">
        <f>IF($A330="","",IF($H330="TBA-001",IF($D330="Evet",ROUND($C330*tba_oranBesPuan,2),0),IF($H330="TBA-002",IF($E330="Evet",ROUND($C330*tba_oranIlave,2),0),IF($H330="TBA-004",IF($F330="Evet",ROUND($C330*tba_oranKadinGenc,2),0),IF($H330="TBA-ENG",IF($G330="Evet",ROUND($C330*tba_isverenOran,2),0),0)))))</f>
        <v/>
      </c>
      <c r="L330" s="31">
        <f>IF($A330="","",MAX(0,$J330-$K330))</f>
        <v/>
      </c>
    </row>
    <row r="331">
      <c r="I331" s="31">
        <f>IF($A331="","",IF($J331=0,"YOK",IF(AND($E331="Evet",ROUND($C331*tba_oranIlave,2)=$J331),"TBA-002",IF(AND($D331="Evet",ROUND($C331*tba_oranBesPuan,2)=$J331),"TBA-001",IF(AND($F331="Evet",ROUND($C331*tba_oranKadinGenc,2)=$J331),"TBA-004","TBA-ENG")))))</f>
        <v/>
      </c>
      <c r="J331" s="31">
        <f>IF($A331="","",MAX(IF($D331="Evet",ROUND($C331*tba_oranBesPuan,2),0),IF($E331="Evet",ROUND($C331*tba_oranIlave,2),0),IF($F331="Evet",ROUND($C331*tba_oranKadinGenc,2),0),IF($G331="Evet",ROUND($C331*tba_isverenOran,2),0)))</f>
        <v/>
      </c>
      <c r="K331" s="31">
        <f>IF($A331="","",IF($H331="TBA-001",IF($D331="Evet",ROUND($C331*tba_oranBesPuan,2),0),IF($H331="TBA-002",IF($E331="Evet",ROUND($C331*tba_oranIlave,2),0),IF($H331="TBA-004",IF($F331="Evet",ROUND($C331*tba_oranKadinGenc,2),0),IF($H331="TBA-ENG",IF($G331="Evet",ROUND($C331*tba_isverenOran,2),0),0)))))</f>
        <v/>
      </c>
      <c r="L331" s="31">
        <f>IF($A331="","",MAX(0,$J331-$K331))</f>
        <v/>
      </c>
    </row>
    <row r="332">
      <c r="I332" s="31">
        <f>IF($A332="","",IF($J332=0,"YOK",IF(AND($E332="Evet",ROUND($C332*tba_oranIlave,2)=$J332),"TBA-002",IF(AND($D332="Evet",ROUND($C332*tba_oranBesPuan,2)=$J332),"TBA-001",IF(AND($F332="Evet",ROUND($C332*tba_oranKadinGenc,2)=$J332),"TBA-004","TBA-ENG")))))</f>
        <v/>
      </c>
      <c r="J332" s="31">
        <f>IF($A332="","",MAX(IF($D332="Evet",ROUND($C332*tba_oranBesPuan,2),0),IF($E332="Evet",ROUND($C332*tba_oranIlave,2),0),IF($F332="Evet",ROUND($C332*tba_oranKadinGenc,2),0),IF($G332="Evet",ROUND($C332*tba_isverenOran,2),0)))</f>
        <v/>
      </c>
      <c r="K332" s="31">
        <f>IF($A332="","",IF($H332="TBA-001",IF($D332="Evet",ROUND($C332*tba_oranBesPuan,2),0),IF($H332="TBA-002",IF($E332="Evet",ROUND($C332*tba_oranIlave,2),0),IF($H332="TBA-004",IF($F332="Evet",ROUND($C332*tba_oranKadinGenc,2),0),IF($H332="TBA-ENG",IF($G332="Evet",ROUND($C332*tba_isverenOran,2),0),0)))))</f>
        <v/>
      </c>
      <c r="L332" s="31">
        <f>IF($A332="","",MAX(0,$J332-$K332))</f>
        <v/>
      </c>
    </row>
    <row r="333">
      <c r="I333" s="31">
        <f>IF($A333="","",IF($J333=0,"YOK",IF(AND($E333="Evet",ROUND($C333*tba_oranIlave,2)=$J333),"TBA-002",IF(AND($D333="Evet",ROUND($C333*tba_oranBesPuan,2)=$J333),"TBA-001",IF(AND($F333="Evet",ROUND($C333*tba_oranKadinGenc,2)=$J333),"TBA-004","TBA-ENG")))))</f>
        <v/>
      </c>
      <c r="J333" s="31">
        <f>IF($A333="","",MAX(IF($D333="Evet",ROUND($C333*tba_oranBesPuan,2),0),IF($E333="Evet",ROUND($C333*tba_oranIlave,2),0),IF($F333="Evet",ROUND($C333*tba_oranKadinGenc,2),0),IF($G333="Evet",ROUND($C333*tba_isverenOran,2),0)))</f>
        <v/>
      </c>
      <c r="K333" s="31">
        <f>IF($A333="","",IF($H333="TBA-001",IF($D333="Evet",ROUND($C333*tba_oranBesPuan,2),0),IF($H333="TBA-002",IF($E333="Evet",ROUND($C333*tba_oranIlave,2),0),IF($H333="TBA-004",IF($F333="Evet",ROUND($C333*tba_oranKadinGenc,2),0),IF($H333="TBA-ENG",IF($G333="Evet",ROUND($C333*tba_isverenOran,2),0),0)))))</f>
        <v/>
      </c>
      <c r="L333" s="31">
        <f>IF($A333="","",MAX(0,$J333-$K333))</f>
        <v/>
      </c>
    </row>
    <row r="334">
      <c r="I334" s="31">
        <f>IF($A334="","",IF($J334=0,"YOK",IF(AND($E334="Evet",ROUND($C334*tba_oranIlave,2)=$J334),"TBA-002",IF(AND($D334="Evet",ROUND($C334*tba_oranBesPuan,2)=$J334),"TBA-001",IF(AND($F334="Evet",ROUND($C334*tba_oranKadinGenc,2)=$J334),"TBA-004","TBA-ENG")))))</f>
        <v/>
      </c>
      <c r="J334" s="31">
        <f>IF($A334="","",MAX(IF($D334="Evet",ROUND($C334*tba_oranBesPuan,2),0),IF($E334="Evet",ROUND($C334*tba_oranIlave,2),0),IF($F334="Evet",ROUND($C334*tba_oranKadinGenc,2),0),IF($G334="Evet",ROUND($C334*tba_isverenOran,2),0)))</f>
        <v/>
      </c>
      <c r="K334" s="31">
        <f>IF($A334="","",IF($H334="TBA-001",IF($D334="Evet",ROUND($C334*tba_oranBesPuan,2),0),IF($H334="TBA-002",IF($E334="Evet",ROUND($C334*tba_oranIlave,2),0),IF($H334="TBA-004",IF($F334="Evet",ROUND($C334*tba_oranKadinGenc,2),0),IF($H334="TBA-ENG",IF($G334="Evet",ROUND($C334*tba_isverenOran,2),0),0)))))</f>
        <v/>
      </c>
      <c r="L334" s="31">
        <f>IF($A334="","",MAX(0,$J334-$K334))</f>
        <v/>
      </c>
    </row>
    <row r="335">
      <c r="I335" s="31">
        <f>IF($A335="","",IF($J335=0,"YOK",IF(AND($E335="Evet",ROUND($C335*tba_oranIlave,2)=$J335),"TBA-002",IF(AND($D335="Evet",ROUND($C335*tba_oranBesPuan,2)=$J335),"TBA-001",IF(AND($F335="Evet",ROUND($C335*tba_oranKadinGenc,2)=$J335),"TBA-004","TBA-ENG")))))</f>
        <v/>
      </c>
      <c r="J335" s="31">
        <f>IF($A335="","",MAX(IF($D335="Evet",ROUND($C335*tba_oranBesPuan,2),0),IF($E335="Evet",ROUND($C335*tba_oranIlave,2),0),IF($F335="Evet",ROUND($C335*tba_oranKadinGenc,2),0),IF($G335="Evet",ROUND($C335*tba_isverenOran,2),0)))</f>
        <v/>
      </c>
      <c r="K335" s="31">
        <f>IF($A335="","",IF($H335="TBA-001",IF($D335="Evet",ROUND($C335*tba_oranBesPuan,2),0),IF($H335="TBA-002",IF($E335="Evet",ROUND($C335*tba_oranIlave,2),0),IF($H335="TBA-004",IF($F335="Evet",ROUND($C335*tba_oranKadinGenc,2),0),IF($H335="TBA-ENG",IF($G335="Evet",ROUND($C335*tba_isverenOran,2),0),0)))))</f>
        <v/>
      </c>
      <c r="L335" s="31">
        <f>IF($A335="","",MAX(0,$J335-$K335))</f>
        <v/>
      </c>
    </row>
    <row r="336">
      <c r="I336" s="31">
        <f>IF($A336="","",IF($J336=0,"YOK",IF(AND($E336="Evet",ROUND($C336*tba_oranIlave,2)=$J336),"TBA-002",IF(AND($D336="Evet",ROUND($C336*tba_oranBesPuan,2)=$J336),"TBA-001",IF(AND($F336="Evet",ROUND($C336*tba_oranKadinGenc,2)=$J336),"TBA-004","TBA-ENG")))))</f>
        <v/>
      </c>
      <c r="J336" s="31">
        <f>IF($A336="","",MAX(IF($D336="Evet",ROUND($C336*tba_oranBesPuan,2),0),IF($E336="Evet",ROUND($C336*tba_oranIlave,2),0),IF($F336="Evet",ROUND($C336*tba_oranKadinGenc,2),0),IF($G336="Evet",ROUND($C336*tba_isverenOran,2),0)))</f>
        <v/>
      </c>
      <c r="K336" s="31">
        <f>IF($A336="","",IF($H336="TBA-001",IF($D336="Evet",ROUND($C336*tba_oranBesPuan,2),0),IF($H336="TBA-002",IF($E336="Evet",ROUND($C336*tba_oranIlave,2),0),IF($H336="TBA-004",IF($F336="Evet",ROUND($C336*tba_oranKadinGenc,2),0),IF($H336="TBA-ENG",IF($G336="Evet",ROUND($C336*tba_isverenOran,2),0),0)))))</f>
        <v/>
      </c>
      <c r="L336" s="31">
        <f>IF($A336="","",MAX(0,$J336-$K336))</f>
        <v/>
      </c>
    </row>
    <row r="337">
      <c r="I337" s="31">
        <f>IF($A337="","",IF($J337=0,"YOK",IF(AND($E337="Evet",ROUND($C337*tba_oranIlave,2)=$J337),"TBA-002",IF(AND($D337="Evet",ROUND($C337*tba_oranBesPuan,2)=$J337),"TBA-001",IF(AND($F337="Evet",ROUND($C337*tba_oranKadinGenc,2)=$J337),"TBA-004","TBA-ENG")))))</f>
        <v/>
      </c>
      <c r="J337" s="31">
        <f>IF($A337="","",MAX(IF($D337="Evet",ROUND($C337*tba_oranBesPuan,2),0),IF($E337="Evet",ROUND($C337*tba_oranIlave,2),0),IF($F337="Evet",ROUND($C337*tba_oranKadinGenc,2),0),IF($G337="Evet",ROUND($C337*tba_isverenOran,2),0)))</f>
        <v/>
      </c>
      <c r="K337" s="31">
        <f>IF($A337="","",IF($H337="TBA-001",IF($D337="Evet",ROUND($C337*tba_oranBesPuan,2),0),IF($H337="TBA-002",IF($E337="Evet",ROUND($C337*tba_oranIlave,2),0),IF($H337="TBA-004",IF($F337="Evet",ROUND($C337*tba_oranKadinGenc,2),0),IF($H337="TBA-ENG",IF($G337="Evet",ROUND($C337*tba_isverenOran,2),0),0)))))</f>
        <v/>
      </c>
      <c r="L337" s="31">
        <f>IF($A337="","",MAX(0,$J337-$K337))</f>
        <v/>
      </c>
    </row>
    <row r="338">
      <c r="I338" s="31">
        <f>IF($A338="","",IF($J338=0,"YOK",IF(AND($E338="Evet",ROUND($C338*tba_oranIlave,2)=$J338),"TBA-002",IF(AND($D338="Evet",ROUND($C338*tba_oranBesPuan,2)=$J338),"TBA-001",IF(AND($F338="Evet",ROUND($C338*tba_oranKadinGenc,2)=$J338),"TBA-004","TBA-ENG")))))</f>
        <v/>
      </c>
      <c r="J338" s="31">
        <f>IF($A338="","",MAX(IF($D338="Evet",ROUND($C338*tba_oranBesPuan,2),0),IF($E338="Evet",ROUND($C338*tba_oranIlave,2),0),IF($F338="Evet",ROUND($C338*tba_oranKadinGenc,2),0),IF($G338="Evet",ROUND($C338*tba_isverenOran,2),0)))</f>
        <v/>
      </c>
      <c r="K338" s="31">
        <f>IF($A338="","",IF($H338="TBA-001",IF($D338="Evet",ROUND($C338*tba_oranBesPuan,2),0),IF($H338="TBA-002",IF($E338="Evet",ROUND($C338*tba_oranIlave,2),0),IF($H338="TBA-004",IF($F338="Evet",ROUND($C338*tba_oranKadinGenc,2),0),IF($H338="TBA-ENG",IF($G338="Evet",ROUND($C338*tba_isverenOran,2),0),0)))))</f>
        <v/>
      </c>
      <c r="L338" s="31">
        <f>IF($A338="","",MAX(0,$J338-$K338))</f>
        <v/>
      </c>
    </row>
    <row r="339">
      <c r="I339" s="31">
        <f>IF($A339="","",IF($J339=0,"YOK",IF(AND($E339="Evet",ROUND($C339*tba_oranIlave,2)=$J339),"TBA-002",IF(AND($D339="Evet",ROUND($C339*tba_oranBesPuan,2)=$J339),"TBA-001",IF(AND($F339="Evet",ROUND($C339*tba_oranKadinGenc,2)=$J339),"TBA-004","TBA-ENG")))))</f>
        <v/>
      </c>
      <c r="J339" s="31">
        <f>IF($A339="","",MAX(IF($D339="Evet",ROUND($C339*tba_oranBesPuan,2),0),IF($E339="Evet",ROUND($C339*tba_oranIlave,2),0),IF($F339="Evet",ROUND($C339*tba_oranKadinGenc,2),0),IF($G339="Evet",ROUND($C339*tba_isverenOran,2),0)))</f>
        <v/>
      </c>
      <c r="K339" s="31">
        <f>IF($A339="","",IF($H339="TBA-001",IF($D339="Evet",ROUND($C339*tba_oranBesPuan,2),0),IF($H339="TBA-002",IF($E339="Evet",ROUND($C339*tba_oranIlave,2),0),IF($H339="TBA-004",IF($F339="Evet",ROUND($C339*tba_oranKadinGenc,2),0),IF($H339="TBA-ENG",IF($G339="Evet",ROUND($C339*tba_isverenOran,2),0),0)))))</f>
        <v/>
      </c>
      <c r="L339" s="31">
        <f>IF($A339="","",MAX(0,$J339-$K339))</f>
        <v/>
      </c>
    </row>
    <row r="340">
      <c r="I340" s="31">
        <f>IF($A340="","",IF($J340=0,"YOK",IF(AND($E340="Evet",ROUND($C340*tba_oranIlave,2)=$J340),"TBA-002",IF(AND($D340="Evet",ROUND($C340*tba_oranBesPuan,2)=$J340),"TBA-001",IF(AND($F340="Evet",ROUND($C340*tba_oranKadinGenc,2)=$J340),"TBA-004","TBA-ENG")))))</f>
        <v/>
      </c>
      <c r="J340" s="31">
        <f>IF($A340="","",MAX(IF($D340="Evet",ROUND($C340*tba_oranBesPuan,2),0),IF($E340="Evet",ROUND($C340*tba_oranIlave,2),0),IF($F340="Evet",ROUND($C340*tba_oranKadinGenc,2),0),IF($G340="Evet",ROUND($C340*tba_isverenOran,2),0)))</f>
        <v/>
      </c>
      <c r="K340" s="31">
        <f>IF($A340="","",IF($H340="TBA-001",IF($D340="Evet",ROUND($C340*tba_oranBesPuan,2),0),IF($H340="TBA-002",IF($E340="Evet",ROUND($C340*tba_oranIlave,2),0),IF($H340="TBA-004",IF($F340="Evet",ROUND($C340*tba_oranKadinGenc,2),0),IF($H340="TBA-ENG",IF($G340="Evet",ROUND($C340*tba_isverenOran,2),0),0)))))</f>
        <v/>
      </c>
      <c r="L340" s="31">
        <f>IF($A340="","",MAX(0,$J340-$K340))</f>
        <v/>
      </c>
    </row>
    <row r="341">
      <c r="I341" s="31">
        <f>IF($A341="","",IF($J341=0,"YOK",IF(AND($E341="Evet",ROUND($C341*tba_oranIlave,2)=$J341),"TBA-002",IF(AND($D341="Evet",ROUND($C341*tba_oranBesPuan,2)=$J341),"TBA-001",IF(AND($F341="Evet",ROUND($C341*tba_oranKadinGenc,2)=$J341),"TBA-004","TBA-ENG")))))</f>
        <v/>
      </c>
      <c r="J341" s="31">
        <f>IF($A341="","",MAX(IF($D341="Evet",ROUND($C341*tba_oranBesPuan,2),0),IF($E341="Evet",ROUND($C341*tba_oranIlave,2),0),IF($F341="Evet",ROUND($C341*tba_oranKadinGenc,2),0),IF($G341="Evet",ROUND($C341*tba_isverenOran,2),0)))</f>
        <v/>
      </c>
      <c r="K341" s="31">
        <f>IF($A341="","",IF($H341="TBA-001",IF($D341="Evet",ROUND($C341*tba_oranBesPuan,2),0),IF($H341="TBA-002",IF($E341="Evet",ROUND($C341*tba_oranIlave,2),0),IF($H341="TBA-004",IF($F341="Evet",ROUND($C341*tba_oranKadinGenc,2),0),IF($H341="TBA-ENG",IF($G341="Evet",ROUND($C341*tba_isverenOran,2),0),0)))))</f>
        <v/>
      </c>
      <c r="L341" s="31">
        <f>IF($A341="","",MAX(0,$J341-$K341))</f>
        <v/>
      </c>
    </row>
    <row r="342">
      <c r="I342" s="31">
        <f>IF($A342="","",IF($J342=0,"YOK",IF(AND($E342="Evet",ROUND($C342*tba_oranIlave,2)=$J342),"TBA-002",IF(AND($D342="Evet",ROUND($C342*tba_oranBesPuan,2)=$J342),"TBA-001",IF(AND($F342="Evet",ROUND($C342*tba_oranKadinGenc,2)=$J342),"TBA-004","TBA-ENG")))))</f>
        <v/>
      </c>
      <c r="J342" s="31">
        <f>IF($A342="","",MAX(IF($D342="Evet",ROUND($C342*tba_oranBesPuan,2),0),IF($E342="Evet",ROUND($C342*tba_oranIlave,2),0),IF($F342="Evet",ROUND($C342*tba_oranKadinGenc,2),0),IF($G342="Evet",ROUND($C342*tba_isverenOran,2),0)))</f>
        <v/>
      </c>
      <c r="K342" s="31">
        <f>IF($A342="","",IF($H342="TBA-001",IF($D342="Evet",ROUND($C342*tba_oranBesPuan,2),0),IF($H342="TBA-002",IF($E342="Evet",ROUND($C342*tba_oranIlave,2),0),IF($H342="TBA-004",IF($F342="Evet",ROUND($C342*tba_oranKadinGenc,2),0),IF($H342="TBA-ENG",IF($G342="Evet",ROUND($C342*tba_isverenOran,2),0),0)))))</f>
        <v/>
      </c>
      <c r="L342" s="31">
        <f>IF($A342="","",MAX(0,$J342-$K342))</f>
        <v/>
      </c>
    </row>
    <row r="343">
      <c r="I343" s="31">
        <f>IF($A343="","",IF($J343=0,"YOK",IF(AND($E343="Evet",ROUND($C343*tba_oranIlave,2)=$J343),"TBA-002",IF(AND($D343="Evet",ROUND($C343*tba_oranBesPuan,2)=$J343),"TBA-001",IF(AND($F343="Evet",ROUND($C343*tba_oranKadinGenc,2)=$J343),"TBA-004","TBA-ENG")))))</f>
        <v/>
      </c>
      <c r="J343" s="31">
        <f>IF($A343="","",MAX(IF($D343="Evet",ROUND($C343*tba_oranBesPuan,2),0),IF($E343="Evet",ROUND($C343*tba_oranIlave,2),0),IF($F343="Evet",ROUND($C343*tba_oranKadinGenc,2),0),IF($G343="Evet",ROUND($C343*tba_isverenOran,2),0)))</f>
        <v/>
      </c>
      <c r="K343" s="31">
        <f>IF($A343="","",IF($H343="TBA-001",IF($D343="Evet",ROUND($C343*tba_oranBesPuan,2),0),IF($H343="TBA-002",IF($E343="Evet",ROUND($C343*tba_oranIlave,2),0),IF($H343="TBA-004",IF($F343="Evet",ROUND($C343*tba_oranKadinGenc,2),0),IF($H343="TBA-ENG",IF($G343="Evet",ROUND($C343*tba_isverenOran,2),0),0)))))</f>
        <v/>
      </c>
      <c r="L343" s="31">
        <f>IF($A343="","",MAX(0,$J343-$K343))</f>
        <v/>
      </c>
    </row>
    <row r="344">
      <c r="I344" s="31">
        <f>IF($A344="","",IF($J344=0,"YOK",IF(AND($E344="Evet",ROUND($C344*tba_oranIlave,2)=$J344),"TBA-002",IF(AND($D344="Evet",ROUND($C344*tba_oranBesPuan,2)=$J344),"TBA-001",IF(AND($F344="Evet",ROUND($C344*tba_oranKadinGenc,2)=$J344),"TBA-004","TBA-ENG")))))</f>
        <v/>
      </c>
      <c r="J344" s="31">
        <f>IF($A344="","",MAX(IF($D344="Evet",ROUND($C344*tba_oranBesPuan,2),0),IF($E344="Evet",ROUND($C344*tba_oranIlave,2),0),IF($F344="Evet",ROUND($C344*tba_oranKadinGenc,2),0),IF($G344="Evet",ROUND($C344*tba_isverenOran,2),0)))</f>
        <v/>
      </c>
      <c r="K344" s="31">
        <f>IF($A344="","",IF($H344="TBA-001",IF($D344="Evet",ROUND($C344*tba_oranBesPuan,2),0),IF($H344="TBA-002",IF($E344="Evet",ROUND($C344*tba_oranIlave,2),0),IF($H344="TBA-004",IF($F344="Evet",ROUND($C344*tba_oranKadinGenc,2),0),IF($H344="TBA-ENG",IF($G344="Evet",ROUND($C344*tba_isverenOran,2),0),0)))))</f>
        <v/>
      </c>
      <c r="L344" s="31">
        <f>IF($A344="","",MAX(0,$J344-$K344))</f>
        <v/>
      </c>
    </row>
    <row r="345">
      <c r="I345" s="31">
        <f>IF($A345="","",IF($J345=0,"YOK",IF(AND($E345="Evet",ROUND($C345*tba_oranIlave,2)=$J345),"TBA-002",IF(AND($D345="Evet",ROUND($C345*tba_oranBesPuan,2)=$J345),"TBA-001",IF(AND($F345="Evet",ROUND($C345*tba_oranKadinGenc,2)=$J345),"TBA-004","TBA-ENG")))))</f>
        <v/>
      </c>
      <c r="J345" s="31">
        <f>IF($A345="","",MAX(IF($D345="Evet",ROUND($C345*tba_oranBesPuan,2),0),IF($E345="Evet",ROUND($C345*tba_oranIlave,2),0),IF($F345="Evet",ROUND($C345*tba_oranKadinGenc,2),0),IF($G345="Evet",ROUND($C345*tba_isverenOran,2),0)))</f>
        <v/>
      </c>
      <c r="K345" s="31">
        <f>IF($A345="","",IF($H345="TBA-001",IF($D345="Evet",ROUND($C345*tba_oranBesPuan,2),0),IF($H345="TBA-002",IF($E345="Evet",ROUND($C345*tba_oranIlave,2),0),IF($H345="TBA-004",IF($F345="Evet",ROUND($C345*tba_oranKadinGenc,2),0),IF($H345="TBA-ENG",IF($G345="Evet",ROUND($C345*tba_isverenOran,2),0),0)))))</f>
        <v/>
      </c>
      <c r="L345" s="31">
        <f>IF($A345="","",MAX(0,$J345-$K345))</f>
        <v/>
      </c>
    </row>
    <row r="346">
      <c r="I346" s="31">
        <f>IF($A346="","",IF($J346=0,"YOK",IF(AND($E346="Evet",ROUND($C346*tba_oranIlave,2)=$J346),"TBA-002",IF(AND($D346="Evet",ROUND($C346*tba_oranBesPuan,2)=$J346),"TBA-001",IF(AND($F346="Evet",ROUND($C346*tba_oranKadinGenc,2)=$J346),"TBA-004","TBA-ENG")))))</f>
        <v/>
      </c>
      <c r="J346" s="31">
        <f>IF($A346="","",MAX(IF($D346="Evet",ROUND($C346*tba_oranBesPuan,2),0),IF($E346="Evet",ROUND($C346*tba_oranIlave,2),0),IF($F346="Evet",ROUND($C346*tba_oranKadinGenc,2),0),IF($G346="Evet",ROUND($C346*tba_isverenOran,2),0)))</f>
        <v/>
      </c>
      <c r="K346" s="31">
        <f>IF($A346="","",IF($H346="TBA-001",IF($D346="Evet",ROUND($C346*tba_oranBesPuan,2),0),IF($H346="TBA-002",IF($E346="Evet",ROUND($C346*tba_oranIlave,2),0),IF($H346="TBA-004",IF($F346="Evet",ROUND($C346*tba_oranKadinGenc,2),0),IF($H346="TBA-ENG",IF($G346="Evet",ROUND($C346*tba_isverenOran,2),0),0)))))</f>
        <v/>
      </c>
      <c r="L346" s="31">
        <f>IF($A346="","",MAX(0,$J346-$K346))</f>
        <v/>
      </c>
    </row>
    <row r="347">
      <c r="I347" s="31">
        <f>IF($A347="","",IF($J347=0,"YOK",IF(AND($E347="Evet",ROUND($C347*tba_oranIlave,2)=$J347),"TBA-002",IF(AND($D347="Evet",ROUND($C347*tba_oranBesPuan,2)=$J347),"TBA-001",IF(AND($F347="Evet",ROUND($C347*tba_oranKadinGenc,2)=$J347),"TBA-004","TBA-ENG")))))</f>
        <v/>
      </c>
      <c r="J347" s="31">
        <f>IF($A347="","",MAX(IF($D347="Evet",ROUND($C347*tba_oranBesPuan,2),0),IF($E347="Evet",ROUND($C347*tba_oranIlave,2),0),IF($F347="Evet",ROUND($C347*tba_oranKadinGenc,2),0),IF($G347="Evet",ROUND($C347*tba_isverenOran,2),0)))</f>
        <v/>
      </c>
      <c r="K347" s="31">
        <f>IF($A347="","",IF($H347="TBA-001",IF($D347="Evet",ROUND($C347*tba_oranBesPuan,2),0),IF($H347="TBA-002",IF($E347="Evet",ROUND($C347*tba_oranIlave,2),0),IF($H347="TBA-004",IF($F347="Evet",ROUND($C347*tba_oranKadinGenc,2),0),IF($H347="TBA-ENG",IF($G347="Evet",ROUND($C347*tba_isverenOran,2),0),0)))))</f>
        <v/>
      </c>
      <c r="L347" s="31">
        <f>IF($A347="","",MAX(0,$J347-$K347))</f>
        <v/>
      </c>
    </row>
    <row r="348">
      <c r="I348" s="31">
        <f>IF($A348="","",IF($J348=0,"YOK",IF(AND($E348="Evet",ROUND($C348*tba_oranIlave,2)=$J348),"TBA-002",IF(AND($D348="Evet",ROUND($C348*tba_oranBesPuan,2)=$J348),"TBA-001",IF(AND($F348="Evet",ROUND($C348*tba_oranKadinGenc,2)=$J348),"TBA-004","TBA-ENG")))))</f>
        <v/>
      </c>
      <c r="J348" s="31">
        <f>IF($A348="","",MAX(IF($D348="Evet",ROUND($C348*tba_oranBesPuan,2),0),IF($E348="Evet",ROUND($C348*tba_oranIlave,2),0),IF($F348="Evet",ROUND($C348*tba_oranKadinGenc,2),0),IF($G348="Evet",ROUND($C348*tba_isverenOran,2),0)))</f>
        <v/>
      </c>
      <c r="K348" s="31">
        <f>IF($A348="","",IF($H348="TBA-001",IF($D348="Evet",ROUND($C348*tba_oranBesPuan,2),0),IF($H348="TBA-002",IF($E348="Evet",ROUND($C348*tba_oranIlave,2),0),IF($H348="TBA-004",IF($F348="Evet",ROUND($C348*tba_oranKadinGenc,2),0),IF($H348="TBA-ENG",IF($G348="Evet",ROUND($C348*tba_isverenOran,2),0),0)))))</f>
        <v/>
      </c>
      <c r="L348" s="31">
        <f>IF($A348="","",MAX(0,$J348-$K348))</f>
        <v/>
      </c>
    </row>
    <row r="349">
      <c r="I349" s="31">
        <f>IF($A349="","",IF($J349=0,"YOK",IF(AND($E349="Evet",ROUND($C349*tba_oranIlave,2)=$J349),"TBA-002",IF(AND($D349="Evet",ROUND($C349*tba_oranBesPuan,2)=$J349),"TBA-001",IF(AND($F349="Evet",ROUND($C349*tba_oranKadinGenc,2)=$J349),"TBA-004","TBA-ENG")))))</f>
        <v/>
      </c>
      <c r="J349" s="31">
        <f>IF($A349="","",MAX(IF($D349="Evet",ROUND($C349*tba_oranBesPuan,2),0),IF($E349="Evet",ROUND($C349*tba_oranIlave,2),0),IF($F349="Evet",ROUND($C349*tba_oranKadinGenc,2),0),IF($G349="Evet",ROUND($C349*tba_isverenOran,2),0)))</f>
        <v/>
      </c>
      <c r="K349" s="31">
        <f>IF($A349="","",IF($H349="TBA-001",IF($D349="Evet",ROUND($C349*tba_oranBesPuan,2),0),IF($H349="TBA-002",IF($E349="Evet",ROUND($C349*tba_oranIlave,2),0),IF($H349="TBA-004",IF($F349="Evet",ROUND($C349*tba_oranKadinGenc,2),0),IF($H349="TBA-ENG",IF($G349="Evet",ROUND($C349*tba_isverenOran,2),0),0)))))</f>
        <v/>
      </c>
      <c r="L349" s="31">
        <f>IF($A349="","",MAX(0,$J349-$K349))</f>
        <v/>
      </c>
    </row>
    <row r="350">
      <c r="I350" s="31">
        <f>IF($A350="","",IF($J350=0,"YOK",IF(AND($E350="Evet",ROUND($C350*tba_oranIlave,2)=$J350),"TBA-002",IF(AND($D350="Evet",ROUND($C350*tba_oranBesPuan,2)=$J350),"TBA-001",IF(AND($F350="Evet",ROUND($C350*tba_oranKadinGenc,2)=$J350),"TBA-004","TBA-ENG")))))</f>
        <v/>
      </c>
      <c r="J350" s="31">
        <f>IF($A350="","",MAX(IF($D350="Evet",ROUND($C350*tba_oranBesPuan,2),0),IF($E350="Evet",ROUND($C350*tba_oranIlave,2),0),IF($F350="Evet",ROUND($C350*tba_oranKadinGenc,2),0),IF($G350="Evet",ROUND($C350*tba_isverenOran,2),0)))</f>
        <v/>
      </c>
      <c r="K350" s="31">
        <f>IF($A350="","",IF($H350="TBA-001",IF($D350="Evet",ROUND($C350*tba_oranBesPuan,2),0),IF($H350="TBA-002",IF($E350="Evet",ROUND($C350*tba_oranIlave,2),0),IF($H350="TBA-004",IF($F350="Evet",ROUND($C350*tba_oranKadinGenc,2),0),IF($H350="TBA-ENG",IF($G350="Evet",ROUND($C350*tba_isverenOran,2),0),0)))))</f>
        <v/>
      </c>
      <c r="L350" s="31">
        <f>IF($A350="","",MAX(0,$J350-$K350))</f>
        <v/>
      </c>
    </row>
    <row r="351">
      <c r="I351" s="31">
        <f>IF($A351="","",IF($J351=0,"YOK",IF(AND($E351="Evet",ROUND($C351*tba_oranIlave,2)=$J351),"TBA-002",IF(AND($D351="Evet",ROUND($C351*tba_oranBesPuan,2)=$J351),"TBA-001",IF(AND($F351="Evet",ROUND($C351*tba_oranKadinGenc,2)=$J351),"TBA-004","TBA-ENG")))))</f>
        <v/>
      </c>
      <c r="J351" s="31">
        <f>IF($A351="","",MAX(IF($D351="Evet",ROUND($C351*tba_oranBesPuan,2),0),IF($E351="Evet",ROUND($C351*tba_oranIlave,2),0),IF($F351="Evet",ROUND($C351*tba_oranKadinGenc,2),0),IF($G351="Evet",ROUND($C351*tba_isverenOran,2),0)))</f>
        <v/>
      </c>
      <c r="K351" s="31">
        <f>IF($A351="","",IF($H351="TBA-001",IF($D351="Evet",ROUND($C351*tba_oranBesPuan,2),0),IF($H351="TBA-002",IF($E351="Evet",ROUND($C351*tba_oranIlave,2),0),IF($H351="TBA-004",IF($F351="Evet",ROUND($C351*tba_oranKadinGenc,2),0),IF($H351="TBA-ENG",IF($G351="Evet",ROUND($C351*tba_isverenOran,2),0),0)))))</f>
        <v/>
      </c>
      <c r="L351" s="31">
        <f>IF($A351="","",MAX(0,$J351-$K351))</f>
        <v/>
      </c>
    </row>
    <row r="352">
      <c r="I352" s="31">
        <f>IF($A352="","",IF($J352=0,"YOK",IF(AND($E352="Evet",ROUND($C352*tba_oranIlave,2)=$J352),"TBA-002",IF(AND($D352="Evet",ROUND($C352*tba_oranBesPuan,2)=$J352),"TBA-001",IF(AND($F352="Evet",ROUND($C352*tba_oranKadinGenc,2)=$J352),"TBA-004","TBA-ENG")))))</f>
        <v/>
      </c>
      <c r="J352" s="31">
        <f>IF($A352="","",MAX(IF($D352="Evet",ROUND($C352*tba_oranBesPuan,2),0),IF($E352="Evet",ROUND($C352*tba_oranIlave,2),0),IF($F352="Evet",ROUND($C352*tba_oranKadinGenc,2),0),IF($G352="Evet",ROUND($C352*tba_isverenOran,2),0)))</f>
        <v/>
      </c>
      <c r="K352" s="31">
        <f>IF($A352="","",IF($H352="TBA-001",IF($D352="Evet",ROUND($C352*tba_oranBesPuan,2),0),IF($H352="TBA-002",IF($E352="Evet",ROUND($C352*tba_oranIlave,2),0),IF($H352="TBA-004",IF($F352="Evet",ROUND($C352*tba_oranKadinGenc,2),0),IF($H352="TBA-ENG",IF($G352="Evet",ROUND($C352*tba_isverenOran,2),0),0)))))</f>
        <v/>
      </c>
      <c r="L352" s="31">
        <f>IF($A352="","",MAX(0,$J352-$K352))</f>
        <v/>
      </c>
    </row>
    <row r="353">
      <c r="I353" s="31">
        <f>IF($A353="","",IF($J353=0,"YOK",IF(AND($E353="Evet",ROUND($C353*tba_oranIlave,2)=$J353),"TBA-002",IF(AND($D353="Evet",ROUND($C353*tba_oranBesPuan,2)=$J353),"TBA-001",IF(AND($F353="Evet",ROUND($C353*tba_oranKadinGenc,2)=$J353),"TBA-004","TBA-ENG")))))</f>
        <v/>
      </c>
      <c r="J353" s="31">
        <f>IF($A353="","",MAX(IF($D353="Evet",ROUND($C353*tba_oranBesPuan,2),0),IF($E353="Evet",ROUND($C353*tba_oranIlave,2),0),IF($F353="Evet",ROUND($C353*tba_oranKadinGenc,2),0),IF($G353="Evet",ROUND($C353*tba_isverenOran,2),0)))</f>
        <v/>
      </c>
      <c r="K353" s="31">
        <f>IF($A353="","",IF($H353="TBA-001",IF($D353="Evet",ROUND($C353*tba_oranBesPuan,2),0),IF($H353="TBA-002",IF($E353="Evet",ROUND($C353*tba_oranIlave,2),0),IF($H353="TBA-004",IF($F353="Evet",ROUND($C353*tba_oranKadinGenc,2),0),IF($H353="TBA-ENG",IF($G353="Evet",ROUND($C353*tba_isverenOran,2),0),0)))))</f>
        <v/>
      </c>
      <c r="L353" s="31">
        <f>IF($A353="","",MAX(0,$J353-$K353))</f>
        <v/>
      </c>
    </row>
    <row r="354">
      <c r="I354" s="31">
        <f>IF($A354="","",IF($J354=0,"YOK",IF(AND($E354="Evet",ROUND($C354*tba_oranIlave,2)=$J354),"TBA-002",IF(AND($D354="Evet",ROUND($C354*tba_oranBesPuan,2)=$J354),"TBA-001",IF(AND($F354="Evet",ROUND($C354*tba_oranKadinGenc,2)=$J354),"TBA-004","TBA-ENG")))))</f>
        <v/>
      </c>
      <c r="J354" s="31">
        <f>IF($A354="","",MAX(IF($D354="Evet",ROUND($C354*tba_oranBesPuan,2),0),IF($E354="Evet",ROUND($C354*tba_oranIlave,2),0),IF($F354="Evet",ROUND($C354*tba_oranKadinGenc,2),0),IF($G354="Evet",ROUND($C354*tba_isverenOran,2),0)))</f>
        <v/>
      </c>
      <c r="K354" s="31">
        <f>IF($A354="","",IF($H354="TBA-001",IF($D354="Evet",ROUND($C354*tba_oranBesPuan,2),0),IF($H354="TBA-002",IF($E354="Evet",ROUND($C354*tba_oranIlave,2),0),IF($H354="TBA-004",IF($F354="Evet",ROUND($C354*tba_oranKadinGenc,2),0),IF($H354="TBA-ENG",IF($G354="Evet",ROUND($C354*tba_isverenOran,2),0),0)))))</f>
        <v/>
      </c>
      <c r="L354" s="31">
        <f>IF($A354="","",MAX(0,$J354-$K354))</f>
        <v/>
      </c>
    </row>
    <row r="355">
      <c r="I355" s="31">
        <f>IF($A355="","",IF($J355=0,"YOK",IF(AND($E355="Evet",ROUND($C355*tba_oranIlave,2)=$J355),"TBA-002",IF(AND($D355="Evet",ROUND($C355*tba_oranBesPuan,2)=$J355),"TBA-001",IF(AND($F355="Evet",ROUND($C355*tba_oranKadinGenc,2)=$J355),"TBA-004","TBA-ENG")))))</f>
        <v/>
      </c>
      <c r="J355" s="31">
        <f>IF($A355="","",MAX(IF($D355="Evet",ROUND($C355*tba_oranBesPuan,2),0),IF($E355="Evet",ROUND($C355*tba_oranIlave,2),0),IF($F355="Evet",ROUND($C355*tba_oranKadinGenc,2),0),IF($G355="Evet",ROUND($C355*tba_isverenOran,2),0)))</f>
        <v/>
      </c>
      <c r="K355" s="31">
        <f>IF($A355="","",IF($H355="TBA-001",IF($D355="Evet",ROUND($C355*tba_oranBesPuan,2),0),IF($H355="TBA-002",IF($E355="Evet",ROUND($C355*tba_oranIlave,2),0),IF($H355="TBA-004",IF($F355="Evet",ROUND($C355*tba_oranKadinGenc,2),0),IF($H355="TBA-ENG",IF($G355="Evet",ROUND($C355*tba_isverenOran,2),0),0)))))</f>
        <v/>
      </c>
      <c r="L355" s="31">
        <f>IF($A355="","",MAX(0,$J355-$K355))</f>
        <v/>
      </c>
    </row>
    <row r="356">
      <c r="I356" s="31">
        <f>IF($A356="","",IF($J356=0,"YOK",IF(AND($E356="Evet",ROUND($C356*tba_oranIlave,2)=$J356),"TBA-002",IF(AND($D356="Evet",ROUND($C356*tba_oranBesPuan,2)=$J356),"TBA-001",IF(AND($F356="Evet",ROUND($C356*tba_oranKadinGenc,2)=$J356),"TBA-004","TBA-ENG")))))</f>
        <v/>
      </c>
      <c r="J356" s="31">
        <f>IF($A356="","",MAX(IF($D356="Evet",ROUND($C356*tba_oranBesPuan,2),0),IF($E356="Evet",ROUND($C356*tba_oranIlave,2),0),IF($F356="Evet",ROUND($C356*tba_oranKadinGenc,2),0),IF($G356="Evet",ROUND($C356*tba_isverenOran,2),0)))</f>
        <v/>
      </c>
      <c r="K356" s="31">
        <f>IF($A356="","",IF($H356="TBA-001",IF($D356="Evet",ROUND($C356*tba_oranBesPuan,2),0),IF($H356="TBA-002",IF($E356="Evet",ROUND($C356*tba_oranIlave,2),0),IF($H356="TBA-004",IF($F356="Evet",ROUND($C356*tba_oranKadinGenc,2),0),IF($H356="TBA-ENG",IF($G356="Evet",ROUND($C356*tba_isverenOran,2),0),0)))))</f>
        <v/>
      </c>
      <c r="L356" s="31">
        <f>IF($A356="","",MAX(0,$J356-$K356))</f>
        <v/>
      </c>
    </row>
    <row r="357">
      <c r="I357" s="31">
        <f>IF($A357="","",IF($J357=0,"YOK",IF(AND($E357="Evet",ROUND($C357*tba_oranIlave,2)=$J357),"TBA-002",IF(AND($D357="Evet",ROUND($C357*tba_oranBesPuan,2)=$J357),"TBA-001",IF(AND($F357="Evet",ROUND($C357*tba_oranKadinGenc,2)=$J357),"TBA-004","TBA-ENG")))))</f>
        <v/>
      </c>
      <c r="J357" s="31">
        <f>IF($A357="","",MAX(IF($D357="Evet",ROUND($C357*tba_oranBesPuan,2),0),IF($E357="Evet",ROUND($C357*tba_oranIlave,2),0),IF($F357="Evet",ROUND($C357*tba_oranKadinGenc,2),0),IF($G357="Evet",ROUND($C357*tba_isverenOran,2),0)))</f>
        <v/>
      </c>
      <c r="K357" s="31">
        <f>IF($A357="","",IF($H357="TBA-001",IF($D357="Evet",ROUND($C357*tba_oranBesPuan,2),0),IF($H357="TBA-002",IF($E357="Evet",ROUND($C357*tba_oranIlave,2),0),IF($H357="TBA-004",IF($F357="Evet",ROUND($C357*tba_oranKadinGenc,2),0),IF($H357="TBA-ENG",IF($G357="Evet",ROUND($C357*tba_isverenOran,2),0),0)))))</f>
        <v/>
      </c>
      <c r="L357" s="31">
        <f>IF($A357="","",MAX(0,$J357-$K357))</f>
        <v/>
      </c>
    </row>
    <row r="358">
      <c r="I358" s="31">
        <f>IF($A358="","",IF($J358=0,"YOK",IF(AND($E358="Evet",ROUND($C358*tba_oranIlave,2)=$J358),"TBA-002",IF(AND($D358="Evet",ROUND($C358*tba_oranBesPuan,2)=$J358),"TBA-001",IF(AND($F358="Evet",ROUND($C358*tba_oranKadinGenc,2)=$J358),"TBA-004","TBA-ENG")))))</f>
        <v/>
      </c>
      <c r="J358" s="31">
        <f>IF($A358="","",MAX(IF($D358="Evet",ROUND($C358*tba_oranBesPuan,2),0),IF($E358="Evet",ROUND($C358*tba_oranIlave,2),0),IF($F358="Evet",ROUND($C358*tba_oranKadinGenc,2),0),IF($G358="Evet",ROUND($C358*tba_isverenOran,2),0)))</f>
        <v/>
      </c>
      <c r="K358" s="31">
        <f>IF($A358="","",IF($H358="TBA-001",IF($D358="Evet",ROUND($C358*tba_oranBesPuan,2),0),IF($H358="TBA-002",IF($E358="Evet",ROUND($C358*tba_oranIlave,2),0),IF($H358="TBA-004",IF($F358="Evet",ROUND($C358*tba_oranKadinGenc,2),0),IF($H358="TBA-ENG",IF($G358="Evet",ROUND($C358*tba_isverenOran,2),0),0)))))</f>
        <v/>
      </c>
      <c r="L358" s="31">
        <f>IF($A358="","",MAX(0,$J358-$K358))</f>
        <v/>
      </c>
    </row>
    <row r="359">
      <c r="I359" s="31">
        <f>IF($A359="","",IF($J359=0,"YOK",IF(AND($E359="Evet",ROUND($C359*tba_oranIlave,2)=$J359),"TBA-002",IF(AND($D359="Evet",ROUND($C359*tba_oranBesPuan,2)=$J359),"TBA-001",IF(AND($F359="Evet",ROUND($C359*tba_oranKadinGenc,2)=$J359),"TBA-004","TBA-ENG")))))</f>
        <v/>
      </c>
      <c r="J359" s="31">
        <f>IF($A359="","",MAX(IF($D359="Evet",ROUND($C359*tba_oranBesPuan,2),0),IF($E359="Evet",ROUND($C359*tba_oranIlave,2),0),IF($F359="Evet",ROUND($C359*tba_oranKadinGenc,2),0),IF($G359="Evet",ROUND($C359*tba_isverenOran,2),0)))</f>
        <v/>
      </c>
      <c r="K359" s="31">
        <f>IF($A359="","",IF($H359="TBA-001",IF($D359="Evet",ROUND($C359*tba_oranBesPuan,2),0),IF($H359="TBA-002",IF($E359="Evet",ROUND($C359*tba_oranIlave,2),0),IF($H359="TBA-004",IF($F359="Evet",ROUND($C359*tba_oranKadinGenc,2),0),IF($H359="TBA-ENG",IF($G359="Evet",ROUND($C359*tba_isverenOran,2),0),0)))))</f>
        <v/>
      </c>
      <c r="L359" s="31">
        <f>IF($A359="","",MAX(0,$J359-$K359))</f>
        <v/>
      </c>
    </row>
    <row r="360">
      <c r="I360" s="31">
        <f>IF($A360="","",IF($J360=0,"YOK",IF(AND($E360="Evet",ROUND($C360*tba_oranIlave,2)=$J360),"TBA-002",IF(AND($D360="Evet",ROUND($C360*tba_oranBesPuan,2)=$J360),"TBA-001",IF(AND($F360="Evet",ROUND($C360*tba_oranKadinGenc,2)=$J360),"TBA-004","TBA-ENG")))))</f>
        <v/>
      </c>
      <c r="J360" s="31">
        <f>IF($A360="","",MAX(IF($D360="Evet",ROUND($C360*tba_oranBesPuan,2),0),IF($E360="Evet",ROUND($C360*tba_oranIlave,2),0),IF($F360="Evet",ROUND($C360*tba_oranKadinGenc,2),0),IF($G360="Evet",ROUND($C360*tba_isverenOran,2),0)))</f>
        <v/>
      </c>
      <c r="K360" s="31">
        <f>IF($A360="","",IF($H360="TBA-001",IF($D360="Evet",ROUND($C360*tba_oranBesPuan,2),0),IF($H360="TBA-002",IF($E360="Evet",ROUND($C360*tba_oranIlave,2),0),IF($H360="TBA-004",IF($F360="Evet",ROUND($C360*tba_oranKadinGenc,2),0),IF($H360="TBA-ENG",IF($G360="Evet",ROUND($C360*tba_isverenOran,2),0),0)))))</f>
        <v/>
      </c>
      <c r="L360" s="31">
        <f>IF($A360="","",MAX(0,$J360-$K360))</f>
        <v/>
      </c>
    </row>
    <row r="361">
      <c r="I361" s="31">
        <f>IF($A361="","",IF($J361=0,"YOK",IF(AND($E361="Evet",ROUND($C361*tba_oranIlave,2)=$J361),"TBA-002",IF(AND($D361="Evet",ROUND($C361*tba_oranBesPuan,2)=$J361),"TBA-001",IF(AND($F361="Evet",ROUND($C361*tba_oranKadinGenc,2)=$J361),"TBA-004","TBA-ENG")))))</f>
        <v/>
      </c>
      <c r="J361" s="31">
        <f>IF($A361="","",MAX(IF($D361="Evet",ROUND($C361*tba_oranBesPuan,2),0),IF($E361="Evet",ROUND($C361*tba_oranIlave,2),0),IF($F361="Evet",ROUND($C361*tba_oranKadinGenc,2),0),IF($G361="Evet",ROUND($C361*tba_isverenOran,2),0)))</f>
        <v/>
      </c>
      <c r="K361" s="31">
        <f>IF($A361="","",IF($H361="TBA-001",IF($D361="Evet",ROUND($C361*tba_oranBesPuan,2),0),IF($H361="TBA-002",IF($E361="Evet",ROUND($C361*tba_oranIlave,2),0),IF($H361="TBA-004",IF($F361="Evet",ROUND($C361*tba_oranKadinGenc,2),0),IF($H361="TBA-ENG",IF($G361="Evet",ROUND($C361*tba_isverenOran,2),0),0)))))</f>
        <v/>
      </c>
      <c r="L361" s="31">
        <f>IF($A361="","",MAX(0,$J361-$K361))</f>
        <v/>
      </c>
    </row>
    <row r="362">
      <c r="I362" s="31">
        <f>IF($A362="","",IF($J362=0,"YOK",IF(AND($E362="Evet",ROUND($C362*tba_oranIlave,2)=$J362),"TBA-002",IF(AND($D362="Evet",ROUND($C362*tba_oranBesPuan,2)=$J362),"TBA-001",IF(AND($F362="Evet",ROUND($C362*tba_oranKadinGenc,2)=$J362),"TBA-004","TBA-ENG")))))</f>
        <v/>
      </c>
      <c r="J362" s="31">
        <f>IF($A362="","",MAX(IF($D362="Evet",ROUND($C362*tba_oranBesPuan,2),0),IF($E362="Evet",ROUND($C362*tba_oranIlave,2),0),IF($F362="Evet",ROUND($C362*tba_oranKadinGenc,2),0),IF($G362="Evet",ROUND($C362*tba_isverenOran,2),0)))</f>
        <v/>
      </c>
      <c r="K362" s="31">
        <f>IF($A362="","",IF($H362="TBA-001",IF($D362="Evet",ROUND($C362*tba_oranBesPuan,2),0),IF($H362="TBA-002",IF($E362="Evet",ROUND($C362*tba_oranIlave,2),0),IF($H362="TBA-004",IF($F362="Evet",ROUND($C362*tba_oranKadinGenc,2),0),IF($H362="TBA-ENG",IF($G362="Evet",ROUND($C362*tba_isverenOran,2),0),0)))))</f>
        <v/>
      </c>
      <c r="L362" s="31">
        <f>IF($A362="","",MAX(0,$J362-$K362))</f>
        <v/>
      </c>
    </row>
    <row r="363">
      <c r="I363" s="31">
        <f>IF($A363="","",IF($J363=0,"YOK",IF(AND($E363="Evet",ROUND($C363*tba_oranIlave,2)=$J363),"TBA-002",IF(AND($D363="Evet",ROUND($C363*tba_oranBesPuan,2)=$J363),"TBA-001",IF(AND($F363="Evet",ROUND($C363*tba_oranKadinGenc,2)=$J363),"TBA-004","TBA-ENG")))))</f>
        <v/>
      </c>
      <c r="J363" s="31">
        <f>IF($A363="","",MAX(IF($D363="Evet",ROUND($C363*tba_oranBesPuan,2),0),IF($E363="Evet",ROUND($C363*tba_oranIlave,2),0),IF($F363="Evet",ROUND($C363*tba_oranKadinGenc,2),0),IF($G363="Evet",ROUND($C363*tba_isverenOran,2),0)))</f>
        <v/>
      </c>
      <c r="K363" s="31">
        <f>IF($A363="","",IF($H363="TBA-001",IF($D363="Evet",ROUND($C363*tba_oranBesPuan,2),0),IF($H363="TBA-002",IF($E363="Evet",ROUND($C363*tba_oranIlave,2),0),IF($H363="TBA-004",IF($F363="Evet",ROUND($C363*tba_oranKadinGenc,2),0),IF($H363="TBA-ENG",IF($G363="Evet",ROUND($C363*tba_isverenOran,2),0),0)))))</f>
        <v/>
      </c>
      <c r="L363" s="31">
        <f>IF($A363="","",MAX(0,$J363-$K363))</f>
        <v/>
      </c>
    </row>
    <row r="364">
      <c r="I364" s="31">
        <f>IF($A364="","",IF($J364=0,"YOK",IF(AND($E364="Evet",ROUND($C364*tba_oranIlave,2)=$J364),"TBA-002",IF(AND($D364="Evet",ROUND($C364*tba_oranBesPuan,2)=$J364),"TBA-001",IF(AND($F364="Evet",ROUND($C364*tba_oranKadinGenc,2)=$J364),"TBA-004","TBA-ENG")))))</f>
        <v/>
      </c>
      <c r="J364" s="31">
        <f>IF($A364="","",MAX(IF($D364="Evet",ROUND($C364*tba_oranBesPuan,2),0),IF($E364="Evet",ROUND($C364*tba_oranIlave,2),0),IF($F364="Evet",ROUND($C364*tba_oranKadinGenc,2),0),IF($G364="Evet",ROUND($C364*tba_isverenOran,2),0)))</f>
        <v/>
      </c>
      <c r="K364" s="31">
        <f>IF($A364="","",IF($H364="TBA-001",IF($D364="Evet",ROUND($C364*tba_oranBesPuan,2),0),IF($H364="TBA-002",IF($E364="Evet",ROUND($C364*tba_oranIlave,2),0),IF($H364="TBA-004",IF($F364="Evet",ROUND($C364*tba_oranKadinGenc,2),0),IF($H364="TBA-ENG",IF($G364="Evet",ROUND($C364*tba_isverenOran,2),0),0)))))</f>
        <v/>
      </c>
      <c r="L364" s="31">
        <f>IF($A364="","",MAX(0,$J364-$K364))</f>
        <v/>
      </c>
    </row>
    <row r="365">
      <c r="I365" s="31">
        <f>IF($A365="","",IF($J365=0,"YOK",IF(AND($E365="Evet",ROUND($C365*tba_oranIlave,2)=$J365),"TBA-002",IF(AND($D365="Evet",ROUND($C365*tba_oranBesPuan,2)=$J365),"TBA-001",IF(AND($F365="Evet",ROUND($C365*tba_oranKadinGenc,2)=$J365),"TBA-004","TBA-ENG")))))</f>
        <v/>
      </c>
      <c r="J365" s="31">
        <f>IF($A365="","",MAX(IF($D365="Evet",ROUND($C365*tba_oranBesPuan,2),0),IF($E365="Evet",ROUND($C365*tba_oranIlave,2),0),IF($F365="Evet",ROUND($C365*tba_oranKadinGenc,2),0),IF($G365="Evet",ROUND($C365*tba_isverenOran,2),0)))</f>
        <v/>
      </c>
      <c r="K365" s="31">
        <f>IF($A365="","",IF($H365="TBA-001",IF($D365="Evet",ROUND($C365*tba_oranBesPuan,2),0),IF($H365="TBA-002",IF($E365="Evet",ROUND($C365*tba_oranIlave,2),0),IF($H365="TBA-004",IF($F365="Evet",ROUND($C365*tba_oranKadinGenc,2),0),IF($H365="TBA-ENG",IF($G365="Evet",ROUND($C365*tba_isverenOran,2),0),0)))))</f>
        <v/>
      </c>
      <c r="L365" s="31">
        <f>IF($A365="","",MAX(0,$J365-$K365))</f>
        <v/>
      </c>
    </row>
    <row r="366">
      <c r="I366" s="31">
        <f>IF($A366="","",IF($J366=0,"YOK",IF(AND($E366="Evet",ROUND($C366*tba_oranIlave,2)=$J366),"TBA-002",IF(AND($D366="Evet",ROUND($C366*tba_oranBesPuan,2)=$J366),"TBA-001",IF(AND($F366="Evet",ROUND($C366*tba_oranKadinGenc,2)=$J366),"TBA-004","TBA-ENG")))))</f>
        <v/>
      </c>
      <c r="J366" s="31">
        <f>IF($A366="","",MAX(IF($D366="Evet",ROUND($C366*tba_oranBesPuan,2),0),IF($E366="Evet",ROUND($C366*tba_oranIlave,2),0),IF($F366="Evet",ROUND($C366*tba_oranKadinGenc,2),0),IF($G366="Evet",ROUND($C366*tba_isverenOran,2),0)))</f>
        <v/>
      </c>
      <c r="K366" s="31">
        <f>IF($A366="","",IF($H366="TBA-001",IF($D366="Evet",ROUND($C366*tba_oranBesPuan,2),0),IF($H366="TBA-002",IF($E366="Evet",ROUND($C366*tba_oranIlave,2),0),IF($H366="TBA-004",IF($F366="Evet",ROUND($C366*tba_oranKadinGenc,2),0),IF($H366="TBA-ENG",IF($G366="Evet",ROUND($C366*tba_isverenOran,2),0),0)))))</f>
        <v/>
      </c>
      <c r="L366" s="31">
        <f>IF($A366="","",MAX(0,$J366-$K366))</f>
        <v/>
      </c>
    </row>
    <row r="367">
      <c r="I367" s="31">
        <f>IF($A367="","",IF($J367=0,"YOK",IF(AND($E367="Evet",ROUND($C367*tba_oranIlave,2)=$J367),"TBA-002",IF(AND($D367="Evet",ROUND($C367*tba_oranBesPuan,2)=$J367),"TBA-001",IF(AND($F367="Evet",ROUND($C367*tba_oranKadinGenc,2)=$J367),"TBA-004","TBA-ENG")))))</f>
        <v/>
      </c>
      <c r="J367" s="31">
        <f>IF($A367="","",MAX(IF($D367="Evet",ROUND($C367*tba_oranBesPuan,2),0),IF($E367="Evet",ROUND($C367*tba_oranIlave,2),0),IF($F367="Evet",ROUND($C367*tba_oranKadinGenc,2),0),IF($G367="Evet",ROUND($C367*tba_isverenOran,2),0)))</f>
        <v/>
      </c>
      <c r="K367" s="31">
        <f>IF($A367="","",IF($H367="TBA-001",IF($D367="Evet",ROUND($C367*tba_oranBesPuan,2),0),IF($H367="TBA-002",IF($E367="Evet",ROUND($C367*tba_oranIlave,2),0),IF($H367="TBA-004",IF($F367="Evet",ROUND($C367*tba_oranKadinGenc,2),0),IF($H367="TBA-ENG",IF($G367="Evet",ROUND($C367*tba_isverenOran,2),0),0)))))</f>
        <v/>
      </c>
      <c r="L367" s="31">
        <f>IF($A367="","",MAX(0,$J367-$K367))</f>
        <v/>
      </c>
    </row>
    <row r="368">
      <c r="I368" s="31">
        <f>IF($A368="","",IF($J368=0,"YOK",IF(AND($E368="Evet",ROUND($C368*tba_oranIlave,2)=$J368),"TBA-002",IF(AND($D368="Evet",ROUND($C368*tba_oranBesPuan,2)=$J368),"TBA-001",IF(AND($F368="Evet",ROUND($C368*tba_oranKadinGenc,2)=$J368),"TBA-004","TBA-ENG")))))</f>
        <v/>
      </c>
      <c r="J368" s="31">
        <f>IF($A368="","",MAX(IF($D368="Evet",ROUND($C368*tba_oranBesPuan,2),0),IF($E368="Evet",ROUND($C368*tba_oranIlave,2),0),IF($F368="Evet",ROUND($C368*tba_oranKadinGenc,2),0),IF($G368="Evet",ROUND($C368*tba_isverenOran,2),0)))</f>
        <v/>
      </c>
      <c r="K368" s="31">
        <f>IF($A368="","",IF($H368="TBA-001",IF($D368="Evet",ROUND($C368*tba_oranBesPuan,2),0),IF($H368="TBA-002",IF($E368="Evet",ROUND($C368*tba_oranIlave,2),0),IF($H368="TBA-004",IF($F368="Evet",ROUND($C368*tba_oranKadinGenc,2),0),IF($H368="TBA-ENG",IF($G368="Evet",ROUND($C368*tba_isverenOran,2),0),0)))))</f>
        <v/>
      </c>
      <c r="L368" s="31">
        <f>IF($A368="","",MAX(0,$J368-$K368))</f>
        <v/>
      </c>
    </row>
    <row r="369">
      <c r="I369" s="31">
        <f>IF($A369="","",IF($J369=0,"YOK",IF(AND($E369="Evet",ROUND($C369*tba_oranIlave,2)=$J369),"TBA-002",IF(AND($D369="Evet",ROUND($C369*tba_oranBesPuan,2)=$J369),"TBA-001",IF(AND($F369="Evet",ROUND($C369*tba_oranKadinGenc,2)=$J369),"TBA-004","TBA-ENG")))))</f>
        <v/>
      </c>
      <c r="J369" s="31">
        <f>IF($A369="","",MAX(IF($D369="Evet",ROUND($C369*tba_oranBesPuan,2),0),IF($E369="Evet",ROUND($C369*tba_oranIlave,2),0),IF($F369="Evet",ROUND($C369*tba_oranKadinGenc,2),0),IF($G369="Evet",ROUND($C369*tba_isverenOran,2),0)))</f>
        <v/>
      </c>
      <c r="K369" s="31">
        <f>IF($A369="","",IF($H369="TBA-001",IF($D369="Evet",ROUND($C369*tba_oranBesPuan,2),0),IF($H369="TBA-002",IF($E369="Evet",ROUND($C369*tba_oranIlave,2),0),IF($H369="TBA-004",IF($F369="Evet",ROUND($C369*tba_oranKadinGenc,2),0),IF($H369="TBA-ENG",IF($G369="Evet",ROUND($C369*tba_isverenOran,2),0),0)))))</f>
        <v/>
      </c>
      <c r="L369" s="31">
        <f>IF($A369="","",MAX(0,$J369-$K369))</f>
        <v/>
      </c>
    </row>
    <row r="370">
      <c r="I370" s="31">
        <f>IF($A370="","",IF($J370=0,"YOK",IF(AND($E370="Evet",ROUND($C370*tba_oranIlave,2)=$J370),"TBA-002",IF(AND($D370="Evet",ROUND($C370*tba_oranBesPuan,2)=$J370),"TBA-001",IF(AND($F370="Evet",ROUND($C370*tba_oranKadinGenc,2)=$J370),"TBA-004","TBA-ENG")))))</f>
        <v/>
      </c>
      <c r="J370" s="31">
        <f>IF($A370="","",MAX(IF($D370="Evet",ROUND($C370*tba_oranBesPuan,2),0),IF($E370="Evet",ROUND($C370*tba_oranIlave,2),0),IF($F370="Evet",ROUND($C370*tba_oranKadinGenc,2),0),IF($G370="Evet",ROUND($C370*tba_isverenOran,2),0)))</f>
        <v/>
      </c>
      <c r="K370" s="31">
        <f>IF($A370="","",IF($H370="TBA-001",IF($D370="Evet",ROUND($C370*tba_oranBesPuan,2),0),IF($H370="TBA-002",IF($E370="Evet",ROUND($C370*tba_oranIlave,2),0),IF($H370="TBA-004",IF($F370="Evet",ROUND($C370*tba_oranKadinGenc,2),0),IF($H370="TBA-ENG",IF($G370="Evet",ROUND($C370*tba_isverenOran,2),0),0)))))</f>
        <v/>
      </c>
      <c r="L370" s="31">
        <f>IF($A370="","",MAX(0,$J370-$K370))</f>
        <v/>
      </c>
    </row>
    <row r="371">
      <c r="I371" s="31">
        <f>IF($A371="","",IF($J371=0,"YOK",IF(AND($E371="Evet",ROUND($C371*tba_oranIlave,2)=$J371),"TBA-002",IF(AND($D371="Evet",ROUND($C371*tba_oranBesPuan,2)=$J371),"TBA-001",IF(AND($F371="Evet",ROUND($C371*tba_oranKadinGenc,2)=$J371),"TBA-004","TBA-ENG")))))</f>
        <v/>
      </c>
      <c r="J371" s="31">
        <f>IF($A371="","",MAX(IF($D371="Evet",ROUND($C371*tba_oranBesPuan,2),0),IF($E371="Evet",ROUND($C371*tba_oranIlave,2),0),IF($F371="Evet",ROUND($C371*tba_oranKadinGenc,2),0),IF($G371="Evet",ROUND($C371*tba_isverenOran,2),0)))</f>
        <v/>
      </c>
      <c r="K371" s="31">
        <f>IF($A371="","",IF($H371="TBA-001",IF($D371="Evet",ROUND($C371*tba_oranBesPuan,2),0),IF($H371="TBA-002",IF($E371="Evet",ROUND($C371*tba_oranIlave,2),0),IF($H371="TBA-004",IF($F371="Evet",ROUND($C371*tba_oranKadinGenc,2),0),IF($H371="TBA-ENG",IF($G371="Evet",ROUND($C371*tba_isverenOran,2),0),0)))))</f>
        <v/>
      </c>
      <c r="L371" s="31">
        <f>IF($A371="","",MAX(0,$J371-$K371))</f>
        <v/>
      </c>
    </row>
    <row r="372">
      <c r="I372" s="31">
        <f>IF($A372="","",IF($J372=0,"YOK",IF(AND($E372="Evet",ROUND($C372*tba_oranIlave,2)=$J372),"TBA-002",IF(AND($D372="Evet",ROUND($C372*tba_oranBesPuan,2)=$J372),"TBA-001",IF(AND($F372="Evet",ROUND($C372*tba_oranKadinGenc,2)=$J372),"TBA-004","TBA-ENG")))))</f>
        <v/>
      </c>
      <c r="J372" s="31">
        <f>IF($A372="","",MAX(IF($D372="Evet",ROUND($C372*tba_oranBesPuan,2),0),IF($E372="Evet",ROUND($C372*tba_oranIlave,2),0),IF($F372="Evet",ROUND($C372*tba_oranKadinGenc,2),0),IF($G372="Evet",ROUND($C372*tba_isverenOran,2),0)))</f>
        <v/>
      </c>
      <c r="K372" s="31">
        <f>IF($A372="","",IF($H372="TBA-001",IF($D372="Evet",ROUND($C372*tba_oranBesPuan,2),0),IF($H372="TBA-002",IF($E372="Evet",ROUND($C372*tba_oranIlave,2),0),IF($H372="TBA-004",IF($F372="Evet",ROUND($C372*tba_oranKadinGenc,2),0),IF($H372="TBA-ENG",IF($G372="Evet",ROUND($C372*tba_isverenOran,2),0),0)))))</f>
        <v/>
      </c>
      <c r="L372" s="31">
        <f>IF($A372="","",MAX(0,$J372-$K372))</f>
        <v/>
      </c>
    </row>
    <row r="373">
      <c r="I373" s="31">
        <f>IF($A373="","",IF($J373=0,"YOK",IF(AND($E373="Evet",ROUND($C373*tba_oranIlave,2)=$J373),"TBA-002",IF(AND($D373="Evet",ROUND($C373*tba_oranBesPuan,2)=$J373),"TBA-001",IF(AND($F373="Evet",ROUND($C373*tba_oranKadinGenc,2)=$J373),"TBA-004","TBA-ENG")))))</f>
        <v/>
      </c>
      <c r="J373" s="31">
        <f>IF($A373="","",MAX(IF($D373="Evet",ROUND($C373*tba_oranBesPuan,2),0),IF($E373="Evet",ROUND($C373*tba_oranIlave,2),0),IF($F373="Evet",ROUND($C373*tba_oranKadinGenc,2),0),IF($G373="Evet",ROUND($C373*tba_isverenOran,2),0)))</f>
        <v/>
      </c>
      <c r="K373" s="31">
        <f>IF($A373="","",IF($H373="TBA-001",IF($D373="Evet",ROUND($C373*tba_oranBesPuan,2),0),IF($H373="TBA-002",IF($E373="Evet",ROUND($C373*tba_oranIlave,2),0),IF($H373="TBA-004",IF($F373="Evet",ROUND($C373*tba_oranKadinGenc,2),0),IF($H373="TBA-ENG",IF($G373="Evet",ROUND($C373*tba_isverenOran,2),0),0)))))</f>
        <v/>
      </c>
      <c r="L373" s="31">
        <f>IF($A373="","",MAX(0,$J373-$K373))</f>
        <v/>
      </c>
    </row>
    <row r="374">
      <c r="I374" s="31">
        <f>IF($A374="","",IF($J374=0,"YOK",IF(AND($E374="Evet",ROUND($C374*tba_oranIlave,2)=$J374),"TBA-002",IF(AND($D374="Evet",ROUND($C374*tba_oranBesPuan,2)=$J374),"TBA-001",IF(AND($F374="Evet",ROUND($C374*tba_oranKadinGenc,2)=$J374),"TBA-004","TBA-ENG")))))</f>
        <v/>
      </c>
      <c r="J374" s="31">
        <f>IF($A374="","",MAX(IF($D374="Evet",ROUND($C374*tba_oranBesPuan,2),0),IF($E374="Evet",ROUND($C374*tba_oranIlave,2),0),IF($F374="Evet",ROUND($C374*tba_oranKadinGenc,2),0),IF($G374="Evet",ROUND($C374*tba_isverenOran,2),0)))</f>
        <v/>
      </c>
      <c r="K374" s="31">
        <f>IF($A374="","",IF($H374="TBA-001",IF($D374="Evet",ROUND($C374*tba_oranBesPuan,2),0),IF($H374="TBA-002",IF($E374="Evet",ROUND($C374*tba_oranIlave,2),0),IF($H374="TBA-004",IF($F374="Evet",ROUND($C374*tba_oranKadinGenc,2),0),IF($H374="TBA-ENG",IF($G374="Evet",ROUND($C374*tba_isverenOran,2),0),0)))))</f>
        <v/>
      </c>
      <c r="L374" s="31">
        <f>IF($A374="","",MAX(0,$J374-$K374))</f>
        <v/>
      </c>
    </row>
    <row r="375">
      <c r="I375" s="31">
        <f>IF($A375="","",IF($J375=0,"YOK",IF(AND($E375="Evet",ROUND($C375*tba_oranIlave,2)=$J375),"TBA-002",IF(AND($D375="Evet",ROUND($C375*tba_oranBesPuan,2)=$J375),"TBA-001",IF(AND($F375="Evet",ROUND($C375*tba_oranKadinGenc,2)=$J375),"TBA-004","TBA-ENG")))))</f>
        <v/>
      </c>
      <c r="J375" s="31">
        <f>IF($A375="","",MAX(IF($D375="Evet",ROUND($C375*tba_oranBesPuan,2),0),IF($E375="Evet",ROUND($C375*tba_oranIlave,2),0),IF($F375="Evet",ROUND($C375*tba_oranKadinGenc,2),0),IF($G375="Evet",ROUND($C375*tba_isverenOran,2),0)))</f>
        <v/>
      </c>
      <c r="K375" s="31">
        <f>IF($A375="","",IF($H375="TBA-001",IF($D375="Evet",ROUND($C375*tba_oranBesPuan,2),0),IF($H375="TBA-002",IF($E375="Evet",ROUND($C375*tba_oranIlave,2),0),IF($H375="TBA-004",IF($F375="Evet",ROUND($C375*tba_oranKadinGenc,2),0),IF($H375="TBA-ENG",IF($G375="Evet",ROUND($C375*tba_isverenOran,2),0),0)))))</f>
        <v/>
      </c>
      <c r="L375" s="31">
        <f>IF($A375="","",MAX(0,$J375-$K375))</f>
        <v/>
      </c>
    </row>
    <row r="376">
      <c r="I376" s="31">
        <f>IF($A376="","",IF($J376=0,"YOK",IF(AND($E376="Evet",ROUND($C376*tba_oranIlave,2)=$J376),"TBA-002",IF(AND($D376="Evet",ROUND($C376*tba_oranBesPuan,2)=$J376),"TBA-001",IF(AND($F376="Evet",ROUND($C376*tba_oranKadinGenc,2)=$J376),"TBA-004","TBA-ENG")))))</f>
        <v/>
      </c>
      <c r="J376" s="31">
        <f>IF($A376="","",MAX(IF($D376="Evet",ROUND($C376*tba_oranBesPuan,2),0),IF($E376="Evet",ROUND($C376*tba_oranIlave,2),0),IF($F376="Evet",ROUND($C376*tba_oranKadinGenc,2),0),IF($G376="Evet",ROUND($C376*tba_isverenOran,2),0)))</f>
        <v/>
      </c>
      <c r="K376" s="31">
        <f>IF($A376="","",IF($H376="TBA-001",IF($D376="Evet",ROUND($C376*tba_oranBesPuan,2),0),IF($H376="TBA-002",IF($E376="Evet",ROUND($C376*tba_oranIlave,2),0),IF($H376="TBA-004",IF($F376="Evet",ROUND($C376*tba_oranKadinGenc,2),0),IF($H376="TBA-ENG",IF($G376="Evet",ROUND($C376*tba_isverenOran,2),0),0)))))</f>
        <v/>
      </c>
      <c r="L376" s="31">
        <f>IF($A376="","",MAX(0,$J376-$K376))</f>
        <v/>
      </c>
    </row>
    <row r="377">
      <c r="I377" s="31">
        <f>IF($A377="","",IF($J377=0,"YOK",IF(AND($E377="Evet",ROUND($C377*tba_oranIlave,2)=$J377),"TBA-002",IF(AND($D377="Evet",ROUND($C377*tba_oranBesPuan,2)=$J377),"TBA-001",IF(AND($F377="Evet",ROUND($C377*tba_oranKadinGenc,2)=$J377),"TBA-004","TBA-ENG")))))</f>
        <v/>
      </c>
      <c r="J377" s="31">
        <f>IF($A377="","",MAX(IF($D377="Evet",ROUND($C377*tba_oranBesPuan,2),0),IF($E377="Evet",ROUND($C377*tba_oranIlave,2),0),IF($F377="Evet",ROUND($C377*tba_oranKadinGenc,2),0),IF($G377="Evet",ROUND($C377*tba_isverenOran,2),0)))</f>
        <v/>
      </c>
      <c r="K377" s="31">
        <f>IF($A377="","",IF($H377="TBA-001",IF($D377="Evet",ROUND($C377*tba_oranBesPuan,2),0),IF($H377="TBA-002",IF($E377="Evet",ROUND($C377*tba_oranIlave,2),0),IF($H377="TBA-004",IF($F377="Evet",ROUND($C377*tba_oranKadinGenc,2),0),IF($H377="TBA-ENG",IF($G377="Evet",ROUND($C377*tba_isverenOran,2),0),0)))))</f>
        <v/>
      </c>
      <c r="L377" s="31">
        <f>IF($A377="","",MAX(0,$J377-$K377))</f>
        <v/>
      </c>
    </row>
    <row r="378">
      <c r="I378" s="31">
        <f>IF($A378="","",IF($J378=0,"YOK",IF(AND($E378="Evet",ROUND($C378*tba_oranIlave,2)=$J378),"TBA-002",IF(AND($D378="Evet",ROUND($C378*tba_oranBesPuan,2)=$J378),"TBA-001",IF(AND($F378="Evet",ROUND($C378*tba_oranKadinGenc,2)=$J378),"TBA-004","TBA-ENG")))))</f>
        <v/>
      </c>
      <c r="J378" s="31">
        <f>IF($A378="","",MAX(IF($D378="Evet",ROUND($C378*tba_oranBesPuan,2),0),IF($E378="Evet",ROUND($C378*tba_oranIlave,2),0),IF($F378="Evet",ROUND($C378*tba_oranKadinGenc,2),0),IF($G378="Evet",ROUND($C378*tba_isverenOran,2),0)))</f>
        <v/>
      </c>
      <c r="K378" s="31">
        <f>IF($A378="","",IF($H378="TBA-001",IF($D378="Evet",ROUND($C378*tba_oranBesPuan,2),0),IF($H378="TBA-002",IF($E378="Evet",ROUND($C378*tba_oranIlave,2),0),IF($H378="TBA-004",IF($F378="Evet",ROUND($C378*tba_oranKadinGenc,2),0),IF($H378="TBA-ENG",IF($G378="Evet",ROUND($C378*tba_isverenOran,2),0),0)))))</f>
        <v/>
      </c>
      <c r="L378" s="31">
        <f>IF($A378="","",MAX(0,$J378-$K378))</f>
        <v/>
      </c>
    </row>
    <row r="379">
      <c r="I379" s="31">
        <f>IF($A379="","",IF($J379=0,"YOK",IF(AND($E379="Evet",ROUND($C379*tba_oranIlave,2)=$J379),"TBA-002",IF(AND($D379="Evet",ROUND($C379*tba_oranBesPuan,2)=$J379),"TBA-001",IF(AND($F379="Evet",ROUND($C379*tba_oranKadinGenc,2)=$J379),"TBA-004","TBA-ENG")))))</f>
        <v/>
      </c>
      <c r="J379" s="31">
        <f>IF($A379="","",MAX(IF($D379="Evet",ROUND($C379*tba_oranBesPuan,2),0),IF($E379="Evet",ROUND($C379*tba_oranIlave,2),0),IF($F379="Evet",ROUND($C379*tba_oranKadinGenc,2),0),IF($G379="Evet",ROUND($C379*tba_isverenOran,2),0)))</f>
        <v/>
      </c>
      <c r="K379" s="31">
        <f>IF($A379="","",IF($H379="TBA-001",IF($D379="Evet",ROUND($C379*tba_oranBesPuan,2),0),IF($H379="TBA-002",IF($E379="Evet",ROUND($C379*tba_oranIlave,2),0),IF($H379="TBA-004",IF($F379="Evet",ROUND($C379*tba_oranKadinGenc,2),0),IF($H379="TBA-ENG",IF($G379="Evet",ROUND($C379*tba_isverenOran,2),0),0)))))</f>
        <v/>
      </c>
      <c r="L379" s="31">
        <f>IF($A379="","",MAX(0,$J379-$K379))</f>
        <v/>
      </c>
    </row>
    <row r="380">
      <c r="I380" s="31">
        <f>IF($A380="","",IF($J380=0,"YOK",IF(AND($E380="Evet",ROUND($C380*tba_oranIlave,2)=$J380),"TBA-002",IF(AND($D380="Evet",ROUND($C380*tba_oranBesPuan,2)=$J380),"TBA-001",IF(AND($F380="Evet",ROUND($C380*tba_oranKadinGenc,2)=$J380),"TBA-004","TBA-ENG")))))</f>
        <v/>
      </c>
      <c r="J380" s="31">
        <f>IF($A380="","",MAX(IF($D380="Evet",ROUND($C380*tba_oranBesPuan,2),0),IF($E380="Evet",ROUND($C380*tba_oranIlave,2),0),IF($F380="Evet",ROUND($C380*tba_oranKadinGenc,2),0),IF($G380="Evet",ROUND($C380*tba_isverenOran,2),0)))</f>
        <v/>
      </c>
      <c r="K380" s="31">
        <f>IF($A380="","",IF($H380="TBA-001",IF($D380="Evet",ROUND($C380*tba_oranBesPuan,2),0),IF($H380="TBA-002",IF($E380="Evet",ROUND($C380*tba_oranIlave,2),0),IF($H380="TBA-004",IF($F380="Evet",ROUND($C380*tba_oranKadinGenc,2),0),IF($H380="TBA-ENG",IF($G380="Evet",ROUND($C380*tba_isverenOran,2),0),0)))))</f>
        <v/>
      </c>
      <c r="L380" s="31">
        <f>IF($A380="","",MAX(0,$J380-$K380))</f>
        <v/>
      </c>
    </row>
    <row r="381">
      <c r="I381" s="31">
        <f>IF($A381="","",IF($J381=0,"YOK",IF(AND($E381="Evet",ROUND($C381*tba_oranIlave,2)=$J381),"TBA-002",IF(AND($D381="Evet",ROUND($C381*tba_oranBesPuan,2)=$J381),"TBA-001",IF(AND($F381="Evet",ROUND($C381*tba_oranKadinGenc,2)=$J381),"TBA-004","TBA-ENG")))))</f>
        <v/>
      </c>
      <c r="J381" s="31">
        <f>IF($A381="","",MAX(IF($D381="Evet",ROUND($C381*tba_oranBesPuan,2),0),IF($E381="Evet",ROUND($C381*tba_oranIlave,2),0),IF($F381="Evet",ROUND($C381*tba_oranKadinGenc,2),0),IF($G381="Evet",ROUND($C381*tba_isverenOran,2),0)))</f>
        <v/>
      </c>
      <c r="K381" s="31">
        <f>IF($A381="","",IF($H381="TBA-001",IF($D381="Evet",ROUND($C381*tba_oranBesPuan,2),0),IF($H381="TBA-002",IF($E381="Evet",ROUND($C381*tba_oranIlave,2),0),IF($H381="TBA-004",IF($F381="Evet",ROUND($C381*tba_oranKadinGenc,2),0),IF($H381="TBA-ENG",IF($G381="Evet",ROUND($C381*tba_isverenOran,2),0),0)))))</f>
        <v/>
      </c>
      <c r="L381" s="31">
        <f>IF($A381="","",MAX(0,$J381-$K381))</f>
        <v/>
      </c>
    </row>
    <row r="382">
      <c r="I382" s="31">
        <f>IF($A382="","",IF($J382=0,"YOK",IF(AND($E382="Evet",ROUND($C382*tba_oranIlave,2)=$J382),"TBA-002",IF(AND($D382="Evet",ROUND($C382*tba_oranBesPuan,2)=$J382),"TBA-001",IF(AND($F382="Evet",ROUND($C382*tba_oranKadinGenc,2)=$J382),"TBA-004","TBA-ENG")))))</f>
        <v/>
      </c>
      <c r="J382" s="31">
        <f>IF($A382="","",MAX(IF($D382="Evet",ROUND($C382*tba_oranBesPuan,2),0),IF($E382="Evet",ROUND($C382*tba_oranIlave,2),0),IF($F382="Evet",ROUND($C382*tba_oranKadinGenc,2),0),IF($G382="Evet",ROUND($C382*tba_isverenOran,2),0)))</f>
        <v/>
      </c>
      <c r="K382" s="31">
        <f>IF($A382="","",IF($H382="TBA-001",IF($D382="Evet",ROUND($C382*tba_oranBesPuan,2),0),IF($H382="TBA-002",IF($E382="Evet",ROUND($C382*tba_oranIlave,2),0),IF($H382="TBA-004",IF($F382="Evet",ROUND($C382*tba_oranKadinGenc,2),0),IF($H382="TBA-ENG",IF($G382="Evet",ROUND($C382*tba_isverenOran,2),0),0)))))</f>
        <v/>
      </c>
      <c r="L382" s="31">
        <f>IF($A382="","",MAX(0,$J382-$K382))</f>
        <v/>
      </c>
    </row>
    <row r="383">
      <c r="I383" s="31">
        <f>IF($A383="","",IF($J383=0,"YOK",IF(AND($E383="Evet",ROUND($C383*tba_oranIlave,2)=$J383),"TBA-002",IF(AND($D383="Evet",ROUND($C383*tba_oranBesPuan,2)=$J383),"TBA-001",IF(AND($F383="Evet",ROUND($C383*tba_oranKadinGenc,2)=$J383),"TBA-004","TBA-ENG")))))</f>
        <v/>
      </c>
      <c r="J383" s="31">
        <f>IF($A383="","",MAX(IF($D383="Evet",ROUND($C383*tba_oranBesPuan,2),0),IF($E383="Evet",ROUND($C383*tba_oranIlave,2),0),IF($F383="Evet",ROUND($C383*tba_oranKadinGenc,2),0),IF($G383="Evet",ROUND($C383*tba_isverenOran,2),0)))</f>
        <v/>
      </c>
      <c r="K383" s="31">
        <f>IF($A383="","",IF($H383="TBA-001",IF($D383="Evet",ROUND($C383*tba_oranBesPuan,2),0),IF($H383="TBA-002",IF($E383="Evet",ROUND($C383*tba_oranIlave,2),0),IF($H383="TBA-004",IF($F383="Evet",ROUND($C383*tba_oranKadinGenc,2),0),IF($H383="TBA-ENG",IF($G383="Evet",ROUND($C383*tba_isverenOran,2),0),0)))))</f>
        <v/>
      </c>
      <c r="L383" s="31">
        <f>IF($A383="","",MAX(0,$J383-$K383))</f>
        <v/>
      </c>
    </row>
    <row r="384">
      <c r="I384" s="31">
        <f>IF($A384="","",IF($J384=0,"YOK",IF(AND($E384="Evet",ROUND($C384*tba_oranIlave,2)=$J384),"TBA-002",IF(AND($D384="Evet",ROUND($C384*tba_oranBesPuan,2)=$J384),"TBA-001",IF(AND($F384="Evet",ROUND($C384*tba_oranKadinGenc,2)=$J384),"TBA-004","TBA-ENG")))))</f>
        <v/>
      </c>
      <c r="J384" s="31">
        <f>IF($A384="","",MAX(IF($D384="Evet",ROUND($C384*tba_oranBesPuan,2),0),IF($E384="Evet",ROUND($C384*tba_oranIlave,2),0),IF($F384="Evet",ROUND($C384*tba_oranKadinGenc,2),0),IF($G384="Evet",ROUND($C384*tba_isverenOran,2),0)))</f>
        <v/>
      </c>
      <c r="K384" s="31">
        <f>IF($A384="","",IF($H384="TBA-001",IF($D384="Evet",ROUND($C384*tba_oranBesPuan,2),0),IF($H384="TBA-002",IF($E384="Evet",ROUND($C384*tba_oranIlave,2),0),IF($H384="TBA-004",IF($F384="Evet",ROUND($C384*tba_oranKadinGenc,2),0),IF($H384="TBA-ENG",IF($G384="Evet",ROUND($C384*tba_isverenOran,2),0),0)))))</f>
        <v/>
      </c>
      <c r="L384" s="31">
        <f>IF($A384="","",MAX(0,$J384-$K384))</f>
        <v/>
      </c>
    </row>
    <row r="385">
      <c r="I385" s="31">
        <f>IF($A385="","",IF($J385=0,"YOK",IF(AND($E385="Evet",ROUND($C385*tba_oranIlave,2)=$J385),"TBA-002",IF(AND($D385="Evet",ROUND($C385*tba_oranBesPuan,2)=$J385),"TBA-001",IF(AND($F385="Evet",ROUND($C385*tba_oranKadinGenc,2)=$J385),"TBA-004","TBA-ENG")))))</f>
        <v/>
      </c>
      <c r="J385" s="31">
        <f>IF($A385="","",MAX(IF($D385="Evet",ROUND($C385*tba_oranBesPuan,2),0),IF($E385="Evet",ROUND($C385*tba_oranIlave,2),0),IF($F385="Evet",ROUND($C385*tba_oranKadinGenc,2),0),IF($G385="Evet",ROUND($C385*tba_isverenOran,2),0)))</f>
        <v/>
      </c>
      <c r="K385" s="31">
        <f>IF($A385="","",IF($H385="TBA-001",IF($D385="Evet",ROUND($C385*tba_oranBesPuan,2),0),IF($H385="TBA-002",IF($E385="Evet",ROUND($C385*tba_oranIlave,2),0),IF($H385="TBA-004",IF($F385="Evet",ROUND($C385*tba_oranKadinGenc,2),0),IF($H385="TBA-ENG",IF($G385="Evet",ROUND($C385*tba_isverenOran,2),0),0)))))</f>
        <v/>
      </c>
      <c r="L385" s="31">
        <f>IF($A385="","",MAX(0,$J385-$K385))</f>
        <v/>
      </c>
    </row>
    <row r="386">
      <c r="I386" s="31">
        <f>IF($A386="","",IF($J386=0,"YOK",IF(AND($E386="Evet",ROUND($C386*tba_oranIlave,2)=$J386),"TBA-002",IF(AND($D386="Evet",ROUND($C386*tba_oranBesPuan,2)=$J386),"TBA-001",IF(AND($F386="Evet",ROUND($C386*tba_oranKadinGenc,2)=$J386),"TBA-004","TBA-ENG")))))</f>
        <v/>
      </c>
      <c r="J386" s="31">
        <f>IF($A386="","",MAX(IF($D386="Evet",ROUND($C386*tba_oranBesPuan,2),0),IF($E386="Evet",ROUND($C386*tba_oranIlave,2),0),IF($F386="Evet",ROUND($C386*tba_oranKadinGenc,2),0),IF($G386="Evet",ROUND($C386*tba_isverenOran,2),0)))</f>
        <v/>
      </c>
      <c r="K386" s="31">
        <f>IF($A386="","",IF($H386="TBA-001",IF($D386="Evet",ROUND($C386*tba_oranBesPuan,2),0),IF($H386="TBA-002",IF($E386="Evet",ROUND($C386*tba_oranIlave,2),0),IF($H386="TBA-004",IF($F386="Evet",ROUND($C386*tba_oranKadinGenc,2),0),IF($H386="TBA-ENG",IF($G386="Evet",ROUND($C386*tba_isverenOran,2),0),0)))))</f>
        <v/>
      </c>
      <c r="L386" s="31">
        <f>IF($A386="","",MAX(0,$J386-$K386))</f>
        <v/>
      </c>
    </row>
    <row r="387">
      <c r="I387" s="31">
        <f>IF($A387="","",IF($J387=0,"YOK",IF(AND($E387="Evet",ROUND($C387*tba_oranIlave,2)=$J387),"TBA-002",IF(AND($D387="Evet",ROUND($C387*tba_oranBesPuan,2)=$J387),"TBA-001",IF(AND($F387="Evet",ROUND($C387*tba_oranKadinGenc,2)=$J387),"TBA-004","TBA-ENG")))))</f>
        <v/>
      </c>
      <c r="J387" s="31">
        <f>IF($A387="","",MAX(IF($D387="Evet",ROUND($C387*tba_oranBesPuan,2),0),IF($E387="Evet",ROUND($C387*tba_oranIlave,2),0),IF($F387="Evet",ROUND($C387*tba_oranKadinGenc,2),0),IF($G387="Evet",ROUND($C387*tba_isverenOran,2),0)))</f>
        <v/>
      </c>
      <c r="K387" s="31">
        <f>IF($A387="","",IF($H387="TBA-001",IF($D387="Evet",ROUND($C387*tba_oranBesPuan,2),0),IF($H387="TBA-002",IF($E387="Evet",ROUND($C387*tba_oranIlave,2),0),IF($H387="TBA-004",IF($F387="Evet",ROUND($C387*tba_oranKadinGenc,2),0),IF($H387="TBA-ENG",IF($G387="Evet",ROUND($C387*tba_isverenOran,2),0),0)))))</f>
        <v/>
      </c>
      <c r="L387" s="31">
        <f>IF($A387="","",MAX(0,$J387-$K387))</f>
        <v/>
      </c>
    </row>
    <row r="388">
      <c r="I388" s="31">
        <f>IF($A388="","",IF($J388=0,"YOK",IF(AND($E388="Evet",ROUND($C388*tba_oranIlave,2)=$J388),"TBA-002",IF(AND($D388="Evet",ROUND($C388*tba_oranBesPuan,2)=$J388),"TBA-001",IF(AND($F388="Evet",ROUND($C388*tba_oranKadinGenc,2)=$J388),"TBA-004","TBA-ENG")))))</f>
        <v/>
      </c>
      <c r="J388" s="31">
        <f>IF($A388="","",MAX(IF($D388="Evet",ROUND($C388*tba_oranBesPuan,2),0),IF($E388="Evet",ROUND($C388*tba_oranIlave,2),0),IF($F388="Evet",ROUND($C388*tba_oranKadinGenc,2),0),IF($G388="Evet",ROUND($C388*tba_isverenOran,2),0)))</f>
        <v/>
      </c>
      <c r="K388" s="31">
        <f>IF($A388="","",IF($H388="TBA-001",IF($D388="Evet",ROUND($C388*tba_oranBesPuan,2),0),IF($H388="TBA-002",IF($E388="Evet",ROUND($C388*tba_oranIlave,2),0),IF($H388="TBA-004",IF($F388="Evet",ROUND($C388*tba_oranKadinGenc,2),0),IF($H388="TBA-ENG",IF($G388="Evet",ROUND($C388*tba_isverenOran,2),0),0)))))</f>
        <v/>
      </c>
      <c r="L388" s="31">
        <f>IF($A388="","",MAX(0,$J388-$K388))</f>
        <v/>
      </c>
    </row>
    <row r="389">
      <c r="I389" s="31">
        <f>IF($A389="","",IF($J389=0,"YOK",IF(AND($E389="Evet",ROUND($C389*tba_oranIlave,2)=$J389),"TBA-002",IF(AND($D389="Evet",ROUND($C389*tba_oranBesPuan,2)=$J389),"TBA-001",IF(AND($F389="Evet",ROUND($C389*tba_oranKadinGenc,2)=$J389),"TBA-004","TBA-ENG")))))</f>
        <v/>
      </c>
      <c r="J389" s="31">
        <f>IF($A389="","",MAX(IF($D389="Evet",ROUND($C389*tba_oranBesPuan,2),0),IF($E389="Evet",ROUND($C389*tba_oranIlave,2),0),IF($F389="Evet",ROUND($C389*tba_oranKadinGenc,2),0),IF($G389="Evet",ROUND($C389*tba_isverenOran,2),0)))</f>
        <v/>
      </c>
      <c r="K389" s="31">
        <f>IF($A389="","",IF($H389="TBA-001",IF($D389="Evet",ROUND($C389*tba_oranBesPuan,2),0),IF($H389="TBA-002",IF($E389="Evet",ROUND($C389*tba_oranIlave,2),0),IF($H389="TBA-004",IF($F389="Evet",ROUND($C389*tba_oranKadinGenc,2),0),IF($H389="TBA-ENG",IF($G389="Evet",ROUND($C389*tba_isverenOran,2),0),0)))))</f>
        <v/>
      </c>
      <c r="L389" s="31">
        <f>IF($A389="","",MAX(0,$J389-$K389))</f>
        <v/>
      </c>
    </row>
    <row r="390">
      <c r="I390" s="31">
        <f>IF($A390="","",IF($J390=0,"YOK",IF(AND($E390="Evet",ROUND($C390*tba_oranIlave,2)=$J390),"TBA-002",IF(AND($D390="Evet",ROUND($C390*tba_oranBesPuan,2)=$J390),"TBA-001",IF(AND($F390="Evet",ROUND($C390*tba_oranKadinGenc,2)=$J390),"TBA-004","TBA-ENG")))))</f>
        <v/>
      </c>
      <c r="J390" s="31">
        <f>IF($A390="","",MAX(IF($D390="Evet",ROUND($C390*tba_oranBesPuan,2),0),IF($E390="Evet",ROUND($C390*tba_oranIlave,2),0),IF($F390="Evet",ROUND($C390*tba_oranKadinGenc,2),0),IF($G390="Evet",ROUND($C390*tba_isverenOran,2),0)))</f>
        <v/>
      </c>
      <c r="K390" s="31">
        <f>IF($A390="","",IF($H390="TBA-001",IF($D390="Evet",ROUND($C390*tba_oranBesPuan,2),0),IF($H390="TBA-002",IF($E390="Evet",ROUND($C390*tba_oranIlave,2),0),IF($H390="TBA-004",IF($F390="Evet",ROUND($C390*tba_oranKadinGenc,2),0),IF($H390="TBA-ENG",IF($G390="Evet",ROUND($C390*tba_isverenOran,2),0),0)))))</f>
        <v/>
      </c>
      <c r="L390" s="31">
        <f>IF($A390="","",MAX(0,$J390-$K390))</f>
        <v/>
      </c>
    </row>
    <row r="391">
      <c r="I391" s="31">
        <f>IF($A391="","",IF($J391=0,"YOK",IF(AND($E391="Evet",ROUND($C391*tba_oranIlave,2)=$J391),"TBA-002",IF(AND($D391="Evet",ROUND($C391*tba_oranBesPuan,2)=$J391),"TBA-001",IF(AND($F391="Evet",ROUND($C391*tba_oranKadinGenc,2)=$J391),"TBA-004","TBA-ENG")))))</f>
        <v/>
      </c>
      <c r="J391" s="31">
        <f>IF($A391="","",MAX(IF($D391="Evet",ROUND($C391*tba_oranBesPuan,2),0),IF($E391="Evet",ROUND($C391*tba_oranIlave,2),0),IF($F391="Evet",ROUND($C391*tba_oranKadinGenc,2),0),IF($G391="Evet",ROUND($C391*tba_isverenOran,2),0)))</f>
        <v/>
      </c>
      <c r="K391" s="31">
        <f>IF($A391="","",IF($H391="TBA-001",IF($D391="Evet",ROUND($C391*tba_oranBesPuan,2),0),IF($H391="TBA-002",IF($E391="Evet",ROUND($C391*tba_oranIlave,2),0),IF($H391="TBA-004",IF($F391="Evet",ROUND($C391*tba_oranKadinGenc,2),0),IF($H391="TBA-ENG",IF($G391="Evet",ROUND($C391*tba_isverenOran,2),0),0)))))</f>
        <v/>
      </c>
      <c r="L391" s="31">
        <f>IF($A391="","",MAX(0,$J391-$K391))</f>
        <v/>
      </c>
    </row>
    <row r="392">
      <c r="I392" s="31">
        <f>IF($A392="","",IF($J392=0,"YOK",IF(AND($E392="Evet",ROUND($C392*tba_oranIlave,2)=$J392),"TBA-002",IF(AND($D392="Evet",ROUND($C392*tba_oranBesPuan,2)=$J392),"TBA-001",IF(AND($F392="Evet",ROUND($C392*tba_oranKadinGenc,2)=$J392),"TBA-004","TBA-ENG")))))</f>
        <v/>
      </c>
      <c r="J392" s="31">
        <f>IF($A392="","",MAX(IF($D392="Evet",ROUND($C392*tba_oranBesPuan,2),0),IF($E392="Evet",ROUND($C392*tba_oranIlave,2),0),IF($F392="Evet",ROUND($C392*tba_oranKadinGenc,2),0),IF($G392="Evet",ROUND($C392*tba_isverenOran,2),0)))</f>
        <v/>
      </c>
      <c r="K392" s="31">
        <f>IF($A392="","",IF($H392="TBA-001",IF($D392="Evet",ROUND($C392*tba_oranBesPuan,2),0),IF($H392="TBA-002",IF($E392="Evet",ROUND($C392*tba_oranIlave,2),0),IF($H392="TBA-004",IF($F392="Evet",ROUND($C392*tba_oranKadinGenc,2),0),IF($H392="TBA-ENG",IF($G392="Evet",ROUND($C392*tba_isverenOran,2),0),0)))))</f>
        <v/>
      </c>
      <c r="L392" s="31">
        <f>IF($A392="","",MAX(0,$J392-$K392))</f>
        <v/>
      </c>
    </row>
    <row r="393">
      <c r="I393" s="31">
        <f>IF($A393="","",IF($J393=0,"YOK",IF(AND($E393="Evet",ROUND($C393*tba_oranIlave,2)=$J393),"TBA-002",IF(AND($D393="Evet",ROUND($C393*tba_oranBesPuan,2)=$J393),"TBA-001",IF(AND($F393="Evet",ROUND($C393*tba_oranKadinGenc,2)=$J393),"TBA-004","TBA-ENG")))))</f>
        <v/>
      </c>
      <c r="J393" s="31">
        <f>IF($A393="","",MAX(IF($D393="Evet",ROUND($C393*tba_oranBesPuan,2),0),IF($E393="Evet",ROUND($C393*tba_oranIlave,2),0),IF($F393="Evet",ROUND($C393*tba_oranKadinGenc,2),0),IF($G393="Evet",ROUND($C393*tba_isverenOran,2),0)))</f>
        <v/>
      </c>
      <c r="K393" s="31">
        <f>IF($A393="","",IF($H393="TBA-001",IF($D393="Evet",ROUND($C393*tba_oranBesPuan,2),0),IF($H393="TBA-002",IF($E393="Evet",ROUND($C393*tba_oranIlave,2),0),IF($H393="TBA-004",IF($F393="Evet",ROUND($C393*tba_oranKadinGenc,2),0),IF($H393="TBA-ENG",IF($G393="Evet",ROUND($C393*tba_isverenOran,2),0),0)))))</f>
        <v/>
      </c>
      <c r="L393" s="31">
        <f>IF($A393="","",MAX(0,$J393-$K393))</f>
        <v/>
      </c>
    </row>
    <row r="394">
      <c r="I394" s="31">
        <f>IF($A394="","",IF($J394=0,"YOK",IF(AND($E394="Evet",ROUND($C394*tba_oranIlave,2)=$J394),"TBA-002",IF(AND($D394="Evet",ROUND($C394*tba_oranBesPuan,2)=$J394),"TBA-001",IF(AND($F394="Evet",ROUND($C394*tba_oranKadinGenc,2)=$J394),"TBA-004","TBA-ENG")))))</f>
        <v/>
      </c>
      <c r="J394" s="31">
        <f>IF($A394="","",MAX(IF($D394="Evet",ROUND($C394*tba_oranBesPuan,2),0),IF($E394="Evet",ROUND($C394*tba_oranIlave,2),0),IF($F394="Evet",ROUND($C394*tba_oranKadinGenc,2),0),IF($G394="Evet",ROUND($C394*tba_isverenOran,2),0)))</f>
        <v/>
      </c>
      <c r="K394" s="31">
        <f>IF($A394="","",IF($H394="TBA-001",IF($D394="Evet",ROUND($C394*tba_oranBesPuan,2),0),IF($H394="TBA-002",IF($E394="Evet",ROUND($C394*tba_oranIlave,2),0),IF($H394="TBA-004",IF($F394="Evet",ROUND($C394*tba_oranKadinGenc,2),0),IF($H394="TBA-ENG",IF($G394="Evet",ROUND($C394*tba_isverenOran,2),0),0)))))</f>
        <v/>
      </c>
      <c r="L394" s="31">
        <f>IF($A394="","",MAX(0,$J394-$K394))</f>
        <v/>
      </c>
    </row>
    <row r="395">
      <c r="I395" s="31">
        <f>IF($A395="","",IF($J395=0,"YOK",IF(AND($E395="Evet",ROUND($C395*tba_oranIlave,2)=$J395),"TBA-002",IF(AND($D395="Evet",ROUND($C395*tba_oranBesPuan,2)=$J395),"TBA-001",IF(AND($F395="Evet",ROUND($C395*tba_oranKadinGenc,2)=$J395),"TBA-004","TBA-ENG")))))</f>
        <v/>
      </c>
      <c r="J395" s="31">
        <f>IF($A395="","",MAX(IF($D395="Evet",ROUND($C395*tba_oranBesPuan,2),0),IF($E395="Evet",ROUND($C395*tba_oranIlave,2),0),IF($F395="Evet",ROUND($C395*tba_oranKadinGenc,2),0),IF($G395="Evet",ROUND($C395*tba_isverenOran,2),0)))</f>
        <v/>
      </c>
      <c r="K395" s="31">
        <f>IF($A395="","",IF($H395="TBA-001",IF($D395="Evet",ROUND($C395*tba_oranBesPuan,2),0),IF($H395="TBA-002",IF($E395="Evet",ROUND($C395*tba_oranIlave,2),0),IF($H395="TBA-004",IF($F395="Evet",ROUND($C395*tba_oranKadinGenc,2),0),IF($H395="TBA-ENG",IF($G395="Evet",ROUND($C395*tba_isverenOran,2),0),0)))))</f>
        <v/>
      </c>
      <c r="L395" s="31">
        <f>IF($A395="","",MAX(0,$J395-$K395))</f>
        <v/>
      </c>
    </row>
    <row r="396">
      <c r="I396" s="31">
        <f>IF($A396="","",IF($J396=0,"YOK",IF(AND($E396="Evet",ROUND($C396*tba_oranIlave,2)=$J396),"TBA-002",IF(AND($D396="Evet",ROUND($C396*tba_oranBesPuan,2)=$J396),"TBA-001",IF(AND($F396="Evet",ROUND($C396*tba_oranKadinGenc,2)=$J396),"TBA-004","TBA-ENG")))))</f>
        <v/>
      </c>
      <c r="J396" s="31">
        <f>IF($A396="","",MAX(IF($D396="Evet",ROUND($C396*tba_oranBesPuan,2),0),IF($E396="Evet",ROUND($C396*tba_oranIlave,2),0),IF($F396="Evet",ROUND($C396*tba_oranKadinGenc,2),0),IF($G396="Evet",ROUND($C396*tba_isverenOran,2),0)))</f>
        <v/>
      </c>
      <c r="K396" s="31">
        <f>IF($A396="","",IF($H396="TBA-001",IF($D396="Evet",ROUND($C396*tba_oranBesPuan,2),0),IF($H396="TBA-002",IF($E396="Evet",ROUND($C396*tba_oranIlave,2),0),IF($H396="TBA-004",IF($F396="Evet",ROUND($C396*tba_oranKadinGenc,2),0),IF($H396="TBA-ENG",IF($G396="Evet",ROUND($C396*tba_isverenOran,2),0),0)))))</f>
        <v/>
      </c>
      <c r="L396" s="31">
        <f>IF($A396="","",MAX(0,$J396-$K396))</f>
        <v/>
      </c>
    </row>
    <row r="397">
      <c r="I397" s="31">
        <f>IF($A397="","",IF($J397=0,"YOK",IF(AND($E397="Evet",ROUND($C397*tba_oranIlave,2)=$J397),"TBA-002",IF(AND($D397="Evet",ROUND($C397*tba_oranBesPuan,2)=$J397),"TBA-001",IF(AND($F397="Evet",ROUND($C397*tba_oranKadinGenc,2)=$J397),"TBA-004","TBA-ENG")))))</f>
        <v/>
      </c>
      <c r="J397" s="31">
        <f>IF($A397="","",MAX(IF($D397="Evet",ROUND($C397*tba_oranBesPuan,2),0),IF($E397="Evet",ROUND($C397*tba_oranIlave,2),0),IF($F397="Evet",ROUND($C397*tba_oranKadinGenc,2),0),IF($G397="Evet",ROUND($C397*tba_isverenOran,2),0)))</f>
        <v/>
      </c>
      <c r="K397" s="31">
        <f>IF($A397="","",IF($H397="TBA-001",IF($D397="Evet",ROUND($C397*tba_oranBesPuan,2),0),IF($H397="TBA-002",IF($E397="Evet",ROUND($C397*tba_oranIlave,2),0),IF($H397="TBA-004",IF($F397="Evet",ROUND($C397*tba_oranKadinGenc,2),0),IF($H397="TBA-ENG",IF($G397="Evet",ROUND($C397*tba_isverenOran,2),0),0)))))</f>
        <v/>
      </c>
      <c r="L397" s="31">
        <f>IF($A397="","",MAX(0,$J397-$K397))</f>
        <v/>
      </c>
    </row>
    <row r="398">
      <c r="I398" s="31">
        <f>IF($A398="","",IF($J398=0,"YOK",IF(AND($E398="Evet",ROUND($C398*tba_oranIlave,2)=$J398),"TBA-002",IF(AND($D398="Evet",ROUND($C398*tba_oranBesPuan,2)=$J398),"TBA-001",IF(AND($F398="Evet",ROUND($C398*tba_oranKadinGenc,2)=$J398),"TBA-004","TBA-ENG")))))</f>
        <v/>
      </c>
      <c r="J398" s="31">
        <f>IF($A398="","",MAX(IF($D398="Evet",ROUND($C398*tba_oranBesPuan,2),0),IF($E398="Evet",ROUND($C398*tba_oranIlave,2),0),IF($F398="Evet",ROUND($C398*tba_oranKadinGenc,2),0),IF($G398="Evet",ROUND($C398*tba_isverenOran,2),0)))</f>
        <v/>
      </c>
      <c r="K398" s="31">
        <f>IF($A398="","",IF($H398="TBA-001",IF($D398="Evet",ROUND($C398*tba_oranBesPuan,2),0),IF($H398="TBA-002",IF($E398="Evet",ROUND($C398*tba_oranIlave,2),0),IF($H398="TBA-004",IF($F398="Evet",ROUND($C398*tba_oranKadinGenc,2),0),IF($H398="TBA-ENG",IF($G398="Evet",ROUND($C398*tba_isverenOran,2),0),0)))))</f>
        <v/>
      </c>
      <c r="L398" s="31">
        <f>IF($A398="","",MAX(0,$J398-$K398))</f>
        <v/>
      </c>
    </row>
    <row r="399">
      <c r="I399" s="31">
        <f>IF($A399="","",IF($J399=0,"YOK",IF(AND($E399="Evet",ROUND($C399*tba_oranIlave,2)=$J399),"TBA-002",IF(AND($D399="Evet",ROUND($C399*tba_oranBesPuan,2)=$J399),"TBA-001",IF(AND($F399="Evet",ROUND($C399*tba_oranKadinGenc,2)=$J399),"TBA-004","TBA-ENG")))))</f>
        <v/>
      </c>
      <c r="J399" s="31">
        <f>IF($A399="","",MAX(IF($D399="Evet",ROUND($C399*tba_oranBesPuan,2),0),IF($E399="Evet",ROUND($C399*tba_oranIlave,2),0),IF($F399="Evet",ROUND($C399*tba_oranKadinGenc,2),0),IF($G399="Evet",ROUND($C399*tba_isverenOran,2),0)))</f>
        <v/>
      </c>
      <c r="K399" s="31">
        <f>IF($A399="","",IF($H399="TBA-001",IF($D399="Evet",ROUND($C399*tba_oranBesPuan,2),0),IF($H399="TBA-002",IF($E399="Evet",ROUND($C399*tba_oranIlave,2),0),IF($H399="TBA-004",IF($F399="Evet",ROUND($C399*tba_oranKadinGenc,2),0),IF($H399="TBA-ENG",IF($G399="Evet",ROUND($C399*tba_isverenOran,2),0),0)))))</f>
        <v/>
      </c>
      <c r="L399" s="31">
        <f>IF($A399="","",MAX(0,$J399-$K399))</f>
        <v/>
      </c>
    </row>
    <row r="400">
      <c r="I400" s="31">
        <f>IF($A400="","",IF($J400=0,"YOK",IF(AND($E400="Evet",ROUND($C400*tba_oranIlave,2)=$J400),"TBA-002",IF(AND($D400="Evet",ROUND($C400*tba_oranBesPuan,2)=$J400),"TBA-001",IF(AND($F400="Evet",ROUND($C400*tba_oranKadinGenc,2)=$J400),"TBA-004","TBA-ENG")))))</f>
        <v/>
      </c>
      <c r="J400" s="31">
        <f>IF($A400="","",MAX(IF($D400="Evet",ROUND($C400*tba_oranBesPuan,2),0),IF($E400="Evet",ROUND($C400*tba_oranIlave,2),0),IF($F400="Evet",ROUND($C400*tba_oranKadinGenc,2),0),IF($G400="Evet",ROUND($C400*tba_isverenOran,2),0)))</f>
        <v/>
      </c>
      <c r="K400" s="31">
        <f>IF($A400="","",IF($H400="TBA-001",IF($D400="Evet",ROUND($C400*tba_oranBesPuan,2),0),IF($H400="TBA-002",IF($E400="Evet",ROUND($C400*tba_oranIlave,2),0),IF($H400="TBA-004",IF($F400="Evet",ROUND($C400*tba_oranKadinGenc,2),0),IF($H400="TBA-ENG",IF($G400="Evet",ROUND($C400*tba_isverenOran,2),0),0)))))</f>
        <v/>
      </c>
      <c r="L400" s="31">
        <f>IF($A400="","",MAX(0,$J400-$K400))</f>
        <v/>
      </c>
    </row>
    <row r="401">
      <c r="I401" s="31">
        <f>IF($A401="","",IF($J401=0,"YOK",IF(AND($E401="Evet",ROUND($C401*tba_oranIlave,2)=$J401),"TBA-002",IF(AND($D401="Evet",ROUND($C401*tba_oranBesPuan,2)=$J401),"TBA-001",IF(AND($F401="Evet",ROUND($C401*tba_oranKadinGenc,2)=$J401),"TBA-004","TBA-ENG")))))</f>
        <v/>
      </c>
      <c r="J401" s="31">
        <f>IF($A401="","",MAX(IF($D401="Evet",ROUND($C401*tba_oranBesPuan,2),0),IF($E401="Evet",ROUND($C401*tba_oranIlave,2),0),IF($F401="Evet",ROUND($C401*tba_oranKadinGenc,2),0),IF($G401="Evet",ROUND($C401*tba_isverenOran,2),0)))</f>
        <v/>
      </c>
      <c r="K401" s="31">
        <f>IF($A401="","",IF($H401="TBA-001",IF($D401="Evet",ROUND($C401*tba_oranBesPuan,2),0),IF($H401="TBA-002",IF($E401="Evet",ROUND($C401*tba_oranIlave,2),0),IF($H401="TBA-004",IF($F401="Evet",ROUND($C401*tba_oranKadinGenc,2),0),IF($H401="TBA-ENG",IF($G401="Evet",ROUND($C401*tba_isverenOran,2),0),0)))))</f>
        <v/>
      </c>
      <c r="L401" s="31">
        <f>IF($A401="","",MAX(0,$J401-$K401))</f>
        <v/>
      </c>
    </row>
    <row r="402">
      <c r="I402" s="31">
        <f>IF($A402="","",IF($J402=0,"YOK",IF(AND($E402="Evet",ROUND($C402*tba_oranIlave,2)=$J402),"TBA-002",IF(AND($D402="Evet",ROUND($C402*tba_oranBesPuan,2)=$J402),"TBA-001",IF(AND($F402="Evet",ROUND($C402*tba_oranKadinGenc,2)=$J402),"TBA-004","TBA-ENG")))))</f>
        <v/>
      </c>
      <c r="J402" s="31">
        <f>IF($A402="","",MAX(IF($D402="Evet",ROUND($C402*tba_oranBesPuan,2),0),IF($E402="Evet",ROUND($C402*tba_oranIlave,2),0),IF($F402="Evet",ROUND($C402*tba_oranKadinGenc,2),0),IF($G402="Evet",ROUND($C402*tba_isverenOran,2),0)))</f>
        <v/>
      </c>
      <c r="K402" s="31">
        <f>IF($A402="","",IF($H402="TBA-001",IF($D402="Evet",ROUND($C402*tba_oranBesPuan,2),0),IF($H402="TBA-002",IF($E402="Evet",ROUND($C402*tba_oranIlave,2),0),IF($H402="TBA-004",IF($F402="Evet",ROUND($C402*tba_oranKadinGenc,2),0),IF($H402="TBA-ENG",IF($G402="Evet",ROUND($C402*tba_isverenOran,2),0),0)))))</f>
        <v/>
      </c>
      <c r="L402" s="31">
        <f>IF($A402="","",MAX(0,$J402-$K402))</f>
        <v/>
      </c>
    </row>
    <row r="403">
      <c r="I403" s="31">
        <f>IF($A403="","",IF($J403=0,"YOK",IF(AND($E403="Evet",ROUND($C403*tba_oranIlave,2)=$J403),"TBA-002",IF(AND($D403="Evet",ROUND($C403*tba_oranBesPuan,2)=$J403),"TBA-001",IF(AND($F403="Evet",ROUND($C403*tba_oranKadinGenc,2)=$J403),"TBA-004","TBA-ENG")))))</f>
        <v/>
      </c>
      <c r="J403" s="31">
        <f>IF($A403="","",MAX(IF($D403="Evet",ROUND($C403*tba_oranBesPuan,2),0),IF($E403="Evet",ROUND($C403*tba_oranIlave,2),0),IF($F403="Evet",ROUND($C403*tba_oranKadinGenc,2),0),IF($G403="Evet",ROUND($C403*tba_isverenOran,2),0)))</f>
        <v/>
      </c>
      <c r="K403" s="31">
        <f>IF($A403="","",IF($H403="TBA-001",IF($D403="Evet",ROUND($C403*tba_oranBesPuan,2),0),IF($H403="TBA-002",IF($E403="Evet",ROUND($C403*tba_oranIlave,2),0),IF($H403="TBA-004",IF($F403="Evet",ROUND($C403*tba_oranKadinGenc,2),0),IF($H403="TBA-ENG",IF($G403="Evet",ROUND($C403*tba_isverenOran,2),0),0)))))</f>
        <v/>
      </c>
      <c r="L403" s="31">
        <f>IF($A403="","",MAX(0,$J403-$K403))</f>
        <v/>
      </c>
    </row>
    <row r="404">
      <c r="I404" s="31">
        <f>IF($A404="","",IF($J404=0,"YOK",IF(AND($E404="Evet",ROUND($C404*tba_oranIlave,2)=$J404),"TBA-002",IF(AND($D404="Evet",ROUND($C404*tba_oranBesPuan,2)=$J404),"TBA-001",IF(AND($F404="Evet",ROUND($C404*tba_oranKadinGenc,2)=$J404),"TBA-004","TBA-ENG")))))</f>
        <v/>
      </c>
      <c r="J404" s="31">
        <f>IF($A404="","",MAX(IF($D404="Evet",ROUND($C404*tba_oranBesPuan,2),0),IF($E404="Evet",ROUND($C404*tba_oranIlave,2),0),IF($F404="Evet",ROUND($C404*tba_oranKadinGenc,2),0),IF($G404="Evet",ROUND($C404*tba_isverenOran,2),0)))</f>
        <v/>
      </c>
      <c r="K404" s="31">
        <f>IF($A404="","",IF($H404="TBA-001",IF($D404="Evet",ROUND($C404*tba_oranBesPuan,2),0),IF($H404="TBA-002",IF($E404="Evet",ROUND($C404*tba_oranIlave,2),0),IF($H404="TBA-004",IF($F404="Evet",ROUND($C404*tba_oranKadinGenc,2),0),IF($H404="TBA-ENG",IF($G404="Evet",ROUND($C404*tba_isverenOran,2),0),0)))))</f>
        <v/>
      </c>
      <c r="L404" s="31">
        <f>IF($A404="","",MAX(0,$J404-$K404))</f>
        <v/>
      </c>
    </row>
    <row r="405">
      <c r="I405" s="31">
        <f>IF($A405="","",IF($J405=0,"YOK",IF(AND($E405="Evet",ROUND($C405*tba_oranIlave,2)=$J405),"TBA-002",IF(AND($D405="Evet",ROUND($C405*tba_oranBesPuan,2)=$J405),"TBA-001",IF(AND($F405="Evet",ROUND($C405*tba_oranKadinGenc,2)=$J405),"TBA-004","TBA-ENG")))))</f>
        <v/>
      </c>
      <c r="J405" s="31">
        <f>IF($A405="","",MAX(IF($D405="Evet",ROUND($C405*tba_oranBesPuan,2),0),IF($E405="Evet",ROUND($C405*tba_oranIlave,2),0),IF($F405="Evet",ROUND($C405*tba_oranKadinGenc,2),0),IF($G405="Evet",ROUND($C405*tba_isverenOran,2),0)))</f>
        <v/>
      </c>
      <c r="K405" s="31">
        <f>IF($A405="","",IF($H405="TBA-001",IF($D405="Evet",ROUND($C405*tba_oranBesPuan,2),0),IF($H405="TBA-002",IF($E405="Evet",ROUND($C405*tba_oranIlave,2),0),IF($H405="TBA-004",IF($F405="Evet",ROUND($C405*tba_oranKadinGenc,2),0),IF($H405="TBA-ENG",IF($G405="Evet",ROUND($C405*tba_isverenOran,2),0),0)))))</f>
        <v/>
      </c>
      <c r="L405" s="31">
        <f>IF($A405="","",MAX(0,$J405-$K405))</f>
        <v/>
      </c>
    </row>
    <row r="406">
      <c r="I406" s="31">
        <f>IF($A406="","",IF($J406=0,"YOK",IF(AND($E406="Evet",ROUND($C406*tba_oranIlave,2)=$J406),"TBA-002",IF(AND($D406="Evet",ROUND($C406*tba_oranBesPuan,2)=$J406),"TBA-001",IF(AND($F406="Evet",ROUND($C406*tba_oranKadinGenc,2)=$J406),"TBA-004","TBA-ENG")))))</f>
        <v/>
      </c>
      <c r="J406" s="31">
        <f>IF($A406="","",MAX(IF($D406="Evet",ROUND($C406*tba_oranBesPuan,2),0),IF($E406="Evet",ROUND($C406*tba_oranIlave,2),0),IF($F406="Evet",ROUND($C406*tba_oranKadinGenc,2),0),IF($G406="Evet",ROUND($C406*tba_isverenOran,2),0)))</f>
        <v/>
      </c>
      <c r="K406" s="31">
        <f>IF($A406="","",IF($H406="TBA-001",IF($D406="Evet",ROUND($C406*tba_oranBesPuan,2),0),IF($H406="TBA-002",IF($E406="Evet",ROUND($C406*tba_oranIlave,2),0),IF($H406="TBA-004",IF($F406="Evet",ROUND($C406*tba_oranKadinGenc,2),0),IF($H406="TBA-ENG",IF($G406="Evet",ROUND($C406*tba_isverenOran,2),0),0)))))</f>
        <v/>
      </c>
      <c r="L406" s="31">
        <f>IF($A406="","",MAX(0,$J406-$K406))</f>
        <v/>
      </c>
    </row>
    <row r="407">
      <c r="I407" s="31">
        <f>IF($A407="","",IF($J407=0,"YOK",IF(AND($E407="Evet",ROUND($C407*tba_oranIlave,2)=$J407),"TBA-002",IF(AND($D407="Evet",ROUND($C407*tba_oranBesPuan,2)=$J407),"TBA-001",IF(AND($F407="Evet",ROUND($C407*tba_oranKadinGenc,2)=$J407),"TBA-004","TBA-ENG")))))</f>
        <v/>
      </c>
      <c r="J407" s="31">
        <f>IF($A407="","",MAX(IF($D407="Evet",ROUND($C407*tba_oranBesPuan,2),0),IF($E407="Evet",ROUND($C407*tba_oranIlave,2),0),IF($F407="Evet",ROUND($C407*tba_oranKadinGenc,2),0),IF($G407="Evet",ROUND($C407*tba_isverenOran,2),0)))</f>
        <v/>
      </c>
      <c r="K407" s="31">
        <f>IF($A407="","",IF($H407="TBA-001",IF($D407="Evet",ROUND($C407*tba_oranBesPuan,2),0),IF($H407="TBA-002",IF($E407="Evet",ROUND($C407*tba_oranIlave,2),0),IF($H407="TBA-004",IF($F407="Evet",ROUND($C407*tba_oranKadinGenc,2),0),IF($H407="TBA-ENG",IF($G407="Evet",ROUND($C407*tba_isverenOran,2),0),0)))))</f>
        <v/>
      </c>
      <c r="L407" s="31">
        <f>IF($A407="","",MAX(0,$J407-$K407))</f>
        <v/>
      </c>
    </row>
    <row r="408">
      <c r="I408" s="31">
        <f>IF($A408="","",IF($J408=0,"YOK",IF(AND($E408="Evet",ROUND($C408*tba_oranIlave,2)=$J408),"TBA-002",IF(AND($D408="Evet",ROUND($C408*tba_oranBesPuan,2)=$J408),"TBA-001",IF(AND($F408="Evet",ROUND($C408*tba_oranKadinGenc,2)=$J408),"TBA-004","TBA-ENG")))))</f>
        <v/>
      </c>
      <c r="J408" s="31">
        <f>IF($A408="","",MAX(IF($D408="Evet",ROUND($C408*tba_oranBesPuan,2),0),IF($E408="Evet",ROUND($C408*tba_oranIlave,2),0),IF($F408="Evet",ROUND($C408*tba_oranKadinGenc,2),0),IF($G408="Evet",ROUND($C408*tba_isverenOran,2),0)))</f>
        <v/>
      </c>
      <c r="K408" s="31">
        <f>IF($A408="","",IF($H408="TBA-001",IF($D408="Evet",ROUND($C408*tba_oranBesPuan,2),0),IF($H408="TBA-002",IF($E408="Evet",ROUND($C408*tba_oranIlave,2),0),IF($H408="TBA-004",IF($F408="Evet",ROUND($C408*tba_oranKadinGenc,2),0),IF($H408="TBA-ENG",IF($G408="Evet",ROUND($C408*tba_isverenOran,2),0),0)))))</f>
        <v/>
      </c>
      <c r="L408" s="31">
        <f>IF($A408="","",MAX(0,$J408-$K408))</f>
        <v/>
      </c>
    </row>
    <row r="409">
      <c r="I409" s="31">
        <f>IF($A409="","",IF($J409=0,"YOK",IF(AND($E409="Evet",ROUND($C409*tba_oranIlave,2)=$J409),"TBA-002",IF(AND($D409="Evet",ROUND($C409*tba_oranBesPuan,2)=$J409),"TBA-001",IF(AND($F409="Evet",ROUND($C409*tba_oranKadinGenc,2)=$J409),"TBA-004","TBA-ENG")))))</f>
        <v/>
      </c>
      <c r="J409" s="31">
        <f>IF($A409="","",MAX(IF($D409="Evet",ROUND($C409*tba_oranBesPuan,2),0),IF($E409="Evet",ROUND($C409*tba_oranIlave,2),0),IF($F409="Evet",ROUND($C409*tba_oranKadinGenc,2),0),IF($G409="Evet",ROUND($C409*tba_isverenOran,2),0)))</f>
        <v/>
      </c>
      <c r="K409" s="31">
        <f>IF($A409="","",IF($H409="TBA-001",IF($D409="Evet",ROUND($C409*tba_oranBesPuan,2),0),IF($H409="TBA-002",IF($E409="Evet",ROUND($C409*tba_oranIlave,2),0),IF($H409="TBA-004",IF($F409="Evet",ROUND($C409*tba_oranKadinGenc,2),0),IF($H409="TBA-ENG",IF($G409="Evet",ROUND($C409*tba_isverenOran,2),0),0)))))</f>
        <v/>
      </c>
      <c r="L409" s="31">
        <f>IF($A409="","",MAX(0,$J409-$K409))</f>
        <v/>
      </c>
    </row>
    <row r="410">
      <c r="I410" s="31">
        <f>IF($A410="","",IF($J410=0,"YOK",IF(AND($E410="Evet",ROUND($C410*tba_oranIlave,2)=$J410),"TBA-002",IF(AND($D410="Evet",ROUND($C410*tba_oranBesPuan,2)=$J410),"TBA-001",IF(AND($F410="Evet",ROUND($C410*tba_oranKadinGenc,2)=$J410),"TBA-004","TBA-ENG")))))</f>
        <v/>
      </c>
      <c r="J410" s="31">
        <f>IF($A410="","",MAX(IF($D410="Evet",ROUND($C410*tba_oranBesPuan,2),0),IF($E410="Evet",ROUND($C410*tba_oranIlave,2),0),IF($F410="Evet",ROUND($C410*tba_oranKadinGenc,2),0),IF($G410="Evet",ROUND($C410*tba_isverenOran,2),0)))</f>
        <v/>
      </c>
      <c r="K410" s="31">
        <f>IF($A410="","",IF($H410="TBA-001",IF($D410="Evet",ROUND($C410*tba_oranBesPuan,2),0),IF($H410="TBA-002",IF($E410="Evet",ROUND($C410*tba_oranIlave,2),0),IF($H410="TBA-004",IF($F410="Evet",ROUND($C410*tba_oranKadinGenc,2),0),IF($H410="TBA-ENG",IF($G410="Evet",ROUND($C410*tba_isverenOran,2),0),0)))))</f>
        <v/>
      </c>
      <c r="L410" s="31">
        <f>IF($A410="","",MAX(0,$J410-$K410))</f>
        <v/>
      </c>
    </row>
    <row r="411">
      <c r="I411" s="31">
        <f>IF($A411="","",IF($J411=0,"YOK",IF(AND($E411="Evet",ROUND($C411*tba_oranIlave,2)=$J411),"TBA-002",IF(AND($D411="Evet",ROUND($C411*tba_oranBesPuan,2)=$J411),"TBA-001",IF(AND($F411="Evet",ROUND($C411*tba_oranKadinGenc,2)=$J411),"TBA-004","TBA-ENG")))))</f>
        <v/>
      </c>
      <c r="J411" s="31">
        <f>IF($A411="","",MAX(IF($D411="Evet",ROUND($C411*tba_oranBesPuan,2),0),IF($E411="Evet",ROUND($C411*tba_oranIlave,2),0),IF($F411="Evet",ROUND($C411*tba_oranKadinGenc,2),0),IF($G411="Evet",ROUND($C411*tba_isverenOran,2),0)))</f>
        <v/>
      </c>
      <c r="K411" s="31">
        <f>IF($A411="","",IF($H411="TBA-001",IF($D411="Evet",ROUND($C411*tba_oranBesPuan,2),0),IF($H411="TBA-002",IF($E411="Evet",ROUND($C411*tba_oranIlave,2),0),IF($H411="TBA-004",IF($F411="Evet",ROUND($C411*tba_oranKadinGenc,2),0),IF($H411="TBA-ENG",IF($G411="Evet",ROUND($C411*tba_isverenOran,2),0),0)))))</f>
        <v/>
      </c>
      <c r="L411" s="31">
        <f>IF($A411="","",MAX(0,$J411-$K411))</f>
        <v/>
      </c>
    </row>
    <row r="412">
      <c r="I412" s="31">
        <f>IF($A412="","",IF($J412=0,"YOK",IF(AND($E412="Evet",ROUND($C412*tba_oranIlave,2)=$J412),"TBA-002",IF(AND($D412="Evet",ROUND($C412*tba_oranBesPuan,2)=$J412),"TBA-001",IF(AND($F412="Evet",ROUND($C412*tba_oranKadinGenc,2)=$J412),"TBA-004","TBA-ENG")))))</f>
        <v/>
      </c>
      <c r="J412" s="31">
        <f>IF($A412="","",MAX(IF($D412="Evet",ROUND($C412*tba_oranBesPuan,2),0),IF($E412="Evet",ROUND($C412*tba_oranIlave,2),0),IF($F412="Evet",ROUND($C412*tba_oranKadinGenc,2),0),IF($G412="Evet",ROUND($C412*tba_isverenOran,2),0)))</f>
        <v/>
      </c>
      <c r="K412" s="31">
        <f>IF($A412="","",IF($H412="TBA-001",IF($D412="Evet",ROUND($C412*tba_oranBesPuan,2),0),IF($H412="TBA-002",IF($E412="Evet",ROUND($C412*tba_oranIlave,2),0),IF($H412="TBA-004",IF($F412="Evet",ROUND($C412*tba_oranKadinGenc,2),0),IF($H412="TBA-ENG",IF($G412="Evet",ROUND($C412*tba_isverenOran,2),0),0)))))</f>
        <v/>
      </c>
      <c r="L412" s="31">
        <f>IF($A412="","",MAX(0,$J412-$K412))</f>
        <v/>
      </c>
    </row>
    <row r="413">
      <c r="I413" s="31">
        <f>IF($A413="","",IF($J413=0,"YOK",IF(AND($E413="Evet",ROUND($C413*tba_oranIlave,2)=$J413),"TBA-002",IF(AND($D413="Evet",ROUND($C413*tba_oranBesPuan,2)=$J413),"TBA-001",IF(AND($F413="Evet",ROUND($C413*tba_oranKadinGenc,2)=$J413),"TBA-004","TBA-ENG")))))</f>
        <v/>
      </c>
      <c r="J413" s="31">
        <f>IF($A413="","",MAX(IF($D413="Evet",ROUND($C413*tba_oranBesPuan,2),0),IF($E413="Evet",ROUND($C413*tba_oranIlave,2),0),IF($F413="Evet",ROUND($C413*tba_oranKadinGenc,2),0),IF($G413="Evet",ROUND($C413*tba_isverenOran,2),0)))</f>
        <v/>
      </c>
      <c r="K413" s="31">
        <f>IF($A413="","",IF($H413="TBA-001",IF($D413="Evet",ROUND($C413*tba_oranBesPuan,2),0),IF($H413="TBA-002",IF($E413="Evet",ROUND($C413*tba_oranIlave,2),0),IF($H413="TBA-004",IF($F413="Evet",ROUND($C413*tba_oranKadinGenc,2),0),IF($H413="TBA-ENG",IF($G413="Evet",ROUND($C413*tba_isverenOran,2),0),0)))))</f>
        <v/>
      </c>
      <c r="L413" s="31">
        <f>IF($A413="","",MAX(0,$J413-$K413))</f>
        <v/>
      </c>
    </row>
    <row r="414">
      <c r="I414" s="31">
        <f>IF($A414="","",IF($J414=0,"YOK",IF(AND($E414="Evet",ROUND($C414*tba_oranIlave,2)=$J414),"TBA-002",IF(AND($D414="Evet",ROUND($C414*tba_oranBesPuan,2)=$J414),"TBA-001",IF(AND($F414="Evet",ROUND($C414*tba_oranKadinGenc,2)=$J414),"TBA-004","TBA-ENG")))))</f>
        <v/>
      </c>
      <c r="J414" s="31">
        <f>IF($A414="","",MAX(IF($D414="Evet",ROUND($C414*tba_oranBesPuan,2),0),IF($E414="Evet",ROUND($C414*tba_oranIlave,2),0),IF($F414="Evet",ROUND($C414*tba_oranKadinGenc,2),0),IF($G414="Evet",ROUND($C414*tba_isverenOran,2),0)))</f>
        <v/>
      </c>
      <c r="K414" s="31">
        <f>IF($A414="","",IF($H414="TBA-001",IF($D414="Evet",ROUND($C414*tba_oranBesPuan,2),0),IF($H414="TBA-002",IF($E414="Evet",ROUND($C414*tba_oranIlave,2),0),IF($H414="TBA-004",IF($F414="Evet",ROUND($C414*tba_oranKadinGenc,2),0),IF($H414="TBA-ENG",IF($G414="Evet",ROUND($C414*tba_isverenOran,2),0),0)))))</f>
        <v/>
      </c>
      <c r="L414" s="31">
        <f>IF($A414="","",MAX(0,$J414-$K414))</f>
        <v/>
      </c>
    </row>
    <row r="415">
      <c r="I415" s="31">
        <f>IF($A415="","",IF($J415=0,"YOK",IF(AND($E415="Evet",ROUND($C415*tba_oranIlave,2)=$J415),"TBA-002",IF(AND($D415="Evet",ROUND($C415*tba_oranBesPuan,2)=$J415),"TBA-001",IF(AND($F415="Evet",ROUND($C415*tba_oranKadinGenc,2)=$J415),"TBA-004","TBA-ENG")))))</f>
        <v/>
      </c>
      <c r="J415" s="31">
        <f>IF($A415="","",MAX(IF($D415="Evet",ROUND($C415*tba_oranBesPuan,2),0),IF($E415="Evet",ROUND($C415*tba_oranIlave,2),0),IF($F415="Evet",ROUND($C415*tba_oranKadinGenc,2),0),IF($G415="Evet",ROUND($C415*tba_isverenOran,2),0)))</f>
        <v/>
      </c>
      <c r="K415" s="31">
        <f>IF($A415="","",IF($H415="TBA-001",IF($D415="Evet",ROUND($C415*tba_oranBesPuan,2),0),IF($H415="TBA-002",IF($E415="Evet",ROUND($C415*tba_oranIlave,2),0),IF($H415="TBA-004",IF($F415="Evet",ROUND($C415*tba_oranKadinGenc,2),0),IF($H415="TBA-ENG",IF($G415="Evet",ROUND($C415*tba_isverenOran,2),0),0)))))</f>
        <v/>
      </c>
      <c r="L415" s="31">
        <f>IF($A415="","",MAX(0,$J415-$K415))</f>
        <v/>
      </c>
    </row>
    <row r="416">
      <c r="I416" s="31">
        <f>IF($A416="","",IF($J416=0,"YOK",IF(AND($E416="Evet",ROUND($C416*tba_oranIlave,2)=$J416),"TBA-002",IF(AND($D416="Evet",ROUND($C416*tba_oranBesPuan,2)=$J416),"TBA-001",IF(AND($F416="Evet",ROUND($C416*tba_oranKadinGenc,2)=$J416),"TBA-004","TBA-ENG")))))</f>
        <v/>
      </c>
      <c r="J416" s="31">
        <f>IF($A416="","",MAX(IF($D416="Evet",ROUND($C416*tba_oranBesPuan,2),0),IF($E416="Evet",ROUND($C416*tba_oranIlave,2),0),IF($F416="Evet",ROUND($C416*tba_oranKadinGenc,2),0),IF($G416="Evet",ROUND($C416*tba_isverenOran,2),0)))</f>
        <v/>
      </c>
      <c r="K416" s="31">
        <f>IF($A416="","",IF($H416="TBA-001",IF($D416="Evet",ROUND($C416*tba_oranBesPuan,2),0),IF($H416="TBA-002",IF($E416="Evet",ROUND($C416*tba_oranIlave,2),0),IF($H416="TBA-004",IF($F416="Evet",ROUND($C416*tba_oranKadinGenc,2),0),IF($H416="TBA-ENG",IF($G416="Evet",ROUND($C416*tba_isverenOran,2),0),0)))))</f>
        <v/>
      </c>
      <c r="L416" s="31">
        <f>IF($A416="","",MAX(0,$J416-$K416))</f>
        <v/>
      </c>
    </row>
    <row r="417">
      <c r="I417" s="31">
        <f>IF($A417="","",IF($J417=0,"YOK",IF(AND($E417="Evet",ROUND($C417*tba_oranIlave,2)=$J417),"TBA-002",IF(AND($D417="Evet",ROUND($C417*tba_oranBesPuan,2)=$J417),"TBA-001",IF(AND($F417="Evet",ROUND($C417*tba_oranKadinGenc,2)=$J417),"TBA-004","TBA-ENG")))))</f>
        <v/>
      </c>
      <c r="J417" s="31">
        <f>IF($A417="","",MAX(IF($D417="Evet",ROUND($C417*tba_oranBesPuan,2),0),IF($E417="Evet",ROUND($C417*tba_oranIlave,2),0),IF($F417="Evet",ROUND($C417*tba_oranKadinGenc,2),0),IF($G417="Evet",ROUND($C417*tba_isverenOran,2),0)))</f>
        <v/>
      </c>
      <c r="K417" s="31">
        <f>IF($A417="","",IF($H417="TBA-001",IF($D417="Evet",ROUND($C417*tba_oranBesPuan,2),0),IF($H417="TBA-002",IF($E417="Evet",ROUND($C417*tba_oranIlave,2),0),IF($H417="TBA-004",IF($F417="Evet",ROUND($C417*tba_oranKadinGenc,2),0),IF($H417="TBA-ENG",IF($G417="Evet",ROUND($C417*tba_isverenOran,2),0),0)))))</f>
        <v/>
      </c>
      <c r="L417" s="31">
        <f>IF($A417="","",MAX(0,$J417-$K417))</f>
        <v/>
      </c>
    </row>
    <row r="418">
      <c r="I418" s="31">
        <f>IF($A418="","",IF($J418=0,"YOK",IF(AND($E418="Evet",ROUND($C418*tba_oranIlave,2)=$J418),"TBA-002",IF(AND($D418="Evet",ROUND($C418*tba_oranBesPuan,2)=$J418),"TBA-001",IF(AND($F418="Evet",ROUND($C418*tba_oranKadinGenc,2)=$J418),"TBA-004","TBA-ENG")))))</f>
        <v/>
      </c>
      <c r="J418" s="31">
        <f>IF($A418="","",MAX(IF($D418="Evet",ROUND($C418*tba_oranBesPuan,2),0),IF($E418="Evet",ROUND($C418*tba_oranIlave,2),0),IF($F418="Evet",ROUND($C418*tba_oranKadinGenc,2),0),IF($G418="Evet",ROUND($C418*tba_isverenOran,2),0)))</f>
        <v/>
      </c>
      <c r="K418" s="31">
        <f>IF($A418="","",IF($H418="TBA-001",IF($D418="Evet",ROUND($C418*tba_oranBesPuan,2),0),IF($H418="TBA-002",IF($E418="Evet",ROUND($C418*tba_oranIlave,2),0),IF($H418="TBA-004",IF($F418="Evet",ROUND($C418*tba_oranKadinGenc,2),0),IF($H418="TBA-ENG",IF($G418="Evet",ROUND($C418*tba_isverenOran,2),0),0)))))</f>
        <v/>
      </c>
      <c r="L418" s="31">
        <f>IF($A418="","",MAX(0,$J418-$K418))</f>
        <v/>
      </c>
    </row>
    <row r="419">
      <c r="I419" s="31">
        <f>IF($A419="","",IF($J419=0,"YOK",IF(AND($E419="Evet",ROUND($C419*tba_oranIlave,2)=$J419),"TBA-002",IF(AND($D419="Evet",ROUND($C419*tba_oranBesPuan,2)=$J419),"TBA-001",IF(AND($F419="Evet",ROUND($C419*tba_oranKadinGenc,2)=$J419),"TBA-004","TBA-ENG")))))</f>
        <v/>
      </c>
      <c r="J419" s="31">
        <f>IF($A419="","",MAX(IF($D419="Evet",ROUND($C419*tba_oranBesPuan,2),0),IF($E419="Evet",ROUND($C419*tba_oranIlave,2),0),IF($F419="Evet",ROUND($C419*tba_oranKadinGenc,2),0),IF($G419="Evet",ROUND($C419*tba_isverenOran,2),0)))</f>
        <v/>
      </c>
      <c r="K419" s="31">
        <f>IF($A419="","",IF($H419="TBA-001",IF($D419="Evet",ROUND($C419*tba_oranBesPuan,2),0),IF($H419="TBA-002",IF($E419="Evet",ROUND($C419*tba_oranIlave,2),0),IF($H419="TBA-004",IF($F419="Evet",ROUND($C419*tba_oranKadinGenc,2),0),IF($H419="TBA-ENG",IF($G419="Evet",ROUND($C419*tba_isverenOran,2),0),0)))))</f>
        <v/>
      </c>
      <c r="L419" s="31">
        <f>IF($A419="","",MAX(0,$J419-$K419))</f>
        <v/>
      </c>
    </row>
    <row r="420">
      <c r="I420" s="31">
        <f>IF($A420="","",IF($J420=0,"YOK",IF(AND($E420="Evet",ROUND($C420*tba_oranIlave,2)=$J420),"TBA-002",IF(AND($D420="Evet",ROUND($C420*tba_oranBesPuan,2)=$J420),"TBA-001",IF(AND($F420="Evet",ROUND($C420*tba_oranKadinGenc,2)=$J420),"TBA-004","TBA-ENG")))))</f>
        <v/>
      </c>
      <c r="J420" s="31">
        <f>IF($A420="","",MAX(IF($D420="Evet",ROUND($C420*tba_oranBesPuan,2),0),IF($E420="Evet",ROUND($C420*tba_oranIlave,2),0),IF($F420="Evet",ROUND($C420*tba_oranKadinGenc,2),0),IF($G420="Evet",ROUND($C420*tba_isverenOran,2),0)))</f>
        <v/>
      </c>
      <c r="K420" s="31">
        <f>IF($A420="","",IF($H420="TBA-001",IF($D420="Evet",ROUND($C420*tba_oranBesPuan,2),0),IF($H420="TBA-002",IF($E420="Evet",ROUND($C420*tba_oranIlave,2),0),IF($H420="TBA-004",IF($F420="Evet",ROUND($C420*tba_oranKadinGenc,2),0),IF($H420="TBA-ENG",IF($G420="Evet",ROUND($C420*tba_isverenOran,2),0),0)))))</f>
        <v/>
      </c>
      <c r="L420" s="31">
        <f>IF($A420="","",MAX(0,$J420-$K420))</f>
        <v/>
      </c>
    </row>
    <row r="421">
      <c r="I421" s="31">
        <f>IF($A421="","",IF($J421=0,"YOK",IF(AND($E421="Evet",ROUND($C421*tba_oranIlave,2)=$J421),"TBA-002",IF(AND($D421="Evet",ROUND($C421*tba_oranBesPuan,2)=$J421),"TBA-001",IF(AND($F421="Evet",ROUND($C421*tba_oranKadinGenc,2)=$J421),"TBA-004","TBA-ENG")))))</f>
        <v/>
      </c>
      <c r="J421" s="31">
        <f>IF($A421="","",MAX(IF($D421="Evet",ROUND($C421*tba_oranBesPuan,2),0),IF($E421="Evet",ROUND($C421*tba_oranIlave,2),0),IF($F421="Evet",ROUND($C421*tba_oranKadinGenc,2),0),IF($G421="Evet",ROUND($C421*tba_isverenOran,2),0)))</f>
        <v/>
      </c>
      <c r="K421" s="31">
        <f>IF($A421="","",IF($H421="TBA-001",IF($D421="Evet",ROUND($C421*tba_oranBesPuan,2),0),IF($H421="TBA-002",IF($E421="Evet",ROUND($C421*tba_oranIlave,2),0),IF($H421="TBA-004",IF($F421="Evet",ROUND($C421*tba_oranKadinGenc,2),0),IF($H421="TBA-ENG",IF($G421="Evet",ROUND($C421*tba_isverenOran,2),0),0)))))</f>
        <v/>
      </c>
      <c r="L421" s="31">
        <f>IF($A421="","",MAX(0,$J421-$K421))</f>
        <v/>
      </c>
    </row>
    <row r="422">
      <c r="I422" s="31">
        <f>IF($A422="","",IF($J422=0,"YOK",IF(AND($E422="Evet",ROUND($C422*tba_oranIlave,2)=$J422),"TBA-002",IF(AND($D422="Evet",ROUND($C422*tba_oranBesPuan,2)=$J422),"TBA-001",IF(AND($F422="Evet",ROUND($C422*tba_oranKadinGenc,2)=$J422),"TBA-004","TBA-ENG")))))</f>
        <v/>
      </c>
      <c r="J422" s="31">
        <f>IF($A422="","",MAX(IF($D422="Evet",ROUND($C422*tba_oranBesPuan,2),0),IF($E422="Evet",ROUND($C422*tba_oranIlave,2),0),IF($F422="Evet",ROUND($C422*tba_oranKadinGenc,2),0),IF($G422="Evet",ROUND($C422*tba_isverenOran,2),0)))</f>
        <v/>
      </c>
      <c r="K422" s="31">
        <f>IF($A422="","",IF($H422="TBA-001",IF($D422="Evet",ROUND($C422*tba_oranBesPuan,2),0),IF($H422="TBA-002",IF($E422="Evet",ROUND($C422*tba_oranIlave,2),0),IF($H422="TBA-004",IF($F422="Evet",ROUND($C422*tba_oranKadinGenc,2),0),IF($H422="TBA-ENG",IF($G422="Evet",ROUND($C422*tba_isverenOran,2),0),0)))))</f>
        <v/>
      </c>
      <c r="L422" s="31">
        <f>IF($A422="","",MAX(0,$J422-$K422))</f>
        <v/>
      </c>
    </row>
    <row r="423">
      <c r="I423" s="31">
        <f>IF($A423="","",IF($J423=0,"YOK",IF(AND($E423="Evet",ROUND($C423*tba_oranIlave,2)=$J423),"TBA-002",IF(AND($D423="Evet",ROUND($C423*tba_oranBesPuan,2)=$J423),"TBA-001",IF(AND($F423="Evet",ROUND($C423*tba_oranKadinGenc,2)=$J423),"TBA-004","TBA-ENG")))))</f>
        <v/>
      </c>
      <c r="J423" s="31">
        <f>IF($A423="","",MAX(IF($D423="Evet",ROUND($C423*tba_oranBesPuan,2),0),IF($E423="Evet",ROUND($C423*tba_oranIlave,2),0),IF($F423="Evet",ROUND($C423*tba_oranKadinGenc,2),0),IF($G423="Evet",ROUND($C423*tba_isverenOran,2),0)))</f>
        <v/>
      </c>
      <c r="K423" s="31">
        <f>IF($A423="","",IF($H423="TBA-001",IF($D423="Evet",ROUND($C423*tba_oranBesPuan,2),0),IF($H423="TBA-002",IF($E423="Evet",ROUND($C423*tba_oranIlave,2),0),IF($H423="TBA-004",IF($F423="Evet",ROUND($C423*tba_oranKadinGenc,2),0),IF($H423="TBA-ENG",IF($G423="Evet",ROUND($C423*tba_isverenOran,2),0),0)))))</f>
        <v/>
      </c>
      <c r="L423" s="31">
        <f>IF($A423="","",MAX(0,$J423-$K423))</f>
        <v/>
      </c>
    </row>
    <row r="424">
      <c r="I424" s="31">
        <f>IF($A424="","",IF($J424=0,"YOK",IF(AND($E424="Evet",ROUND($C424*tba_oranIlave,2)=$J424),"TBA-002",IF(AND($D424="Evet",ROUND($C424*tba_oranBesPuan,2)=$J424),"TBA-001",IF(AND($F424="Evet",ROUND($C424*tba_oranKadinGenc,2)=$J424),"TBA-004","TBA-ENG")))))</f>
        <v/>
      </c>
      <c r="J424" s="31">
        <f>IF($A424="","",MAX(IF($D424="Evet",ROUND($C424*tba_oranBesPuan,2),0),IF($E424="Evet",ROUND($C424*tba_oranIlave,2),0),IF($F424="Evet",ROUND($C424*tba_oranKadinGenc,2),0),IF($G424="Evet",ROUND($C424*tba_isverenOran,2),0)))</f>
        <v/>
      </c>
      <c r="K424" s="31">
        <f>IF($A424="","",IF($H424="TBA-001",IF($D424="Evet",ROUND($C424*tba_oranBesPuan,2),0),IF($H424="TBA-002",IF($E424="Evet",ROUND($C424*tba_oranIlave,2),0),IF($H424="TBA-004",IF($F424="Evet",ROUND($C424*tba_oranKadinGenc,2),0),IF($H424="TBA-ENG",IF($G424="Evet",ROUND($C424*tba_isverenOran,2),0),0)))))</f>
        <v/>
      </c>
      <c r="L424" s="31">
        <f>IF($A424="","",MAX(0,$J424-$K424))</f>
        <v/>
      </c>
    </row>
    <row r="425">
      <c r="I425" s="31">
        <f>IF($A425="","",IF($J425=0,"YOK",IF(AND($E425="Evet",ROUND($C425*tba_oranIlave,2)=$J425),"TBA-002",IF(AND($D425="Evet",ROUND($C425*tba_oranBesPuan,2)=$J425),"TBA-001",IF(AND($F425="Evet",ROUND($C425*tba_oranKadinGenc,2)=$J425),"TBA-004","TBA-ENG")))))</f>
        <v/>
      </c>
      <c r="J425" s="31">
        <f>IF($A425="","",MAX(IF($D425="Evet",ROUND($C425*tba_oranBesPuan,2),0),IF($E425="Evet",ROUND($C425*tba_oranIlave,2),0),IF($F425="Evet",ROUND($C425*tba_oranKadinGenc,2),0),IF($G425="Evet",ROUND($C425*tba_isverenOran,2),0)))</f>
        <v/>
      </c>
      <c r="K425" s="31">
        <f>IF($A425="","",IF($H425="TBA-001",IF($D425="Evet",ROUND($C425*tba_oranBesPuan,2),0),IF($H425="TBA-002",IF($E425="Evet",ROUND($C425*tba_oranIlave,2),0),IF($H425="TBA-004",IF($F425="Evet",ROUND($C425*tba_oranKadinGenc,2),0),IF($H425="TBA-ENG",IF($G425="Evet",ROUND($C425*tba_isverenOran,2),0),0)))))</f>
        <v/>
      </c>
      <c r="L425" s="31">
        <f>IF($A425="","",MAX(0,$J425-$K425))</f>
        <v/>
      </c>
    </row>
    <row r="426">
      <c r="I426" s="31">
        <f>IF($A426="","",IF($J426=0,"YOK",IF(AND($E426="Evet",ROUND($C426*tba_oranIlave,2)=$J426),"TBA-002",IF(AND($D426="Evet",ROUND($C426*tba_oranBesPuan,2)=$J426),"TBA-001",IF(AND($F426="Evet",ROUND($C426*tba_oranKadinGenc,2)=$J426),"TBA-004","TBA-ENG")))))</f>
        <v/>
      </c>
      <c r="J426" s="31">
        <f>IF($A426="","",MAX(IF($D426="Evet",ROUND($C426*tba_oranBesPuan,2),0),IF($E426="Evet",ROUND($C426*tba_oranIlave,2),0),IF($F426="Evet",ROUND($C426*tba_oranKadinGenc,2),0),IF($G426="Evet",ROUND($C426*tba_isverenOran,2),0)))</f>
        <v/>
      </c>
      <c r="K426" s="31">
        <f>IF($A426="","",IF($H426="TBA-001",IF($D426="Evet",ROUND($C426*tba_oranBesPuan,2),0),IF($H426="TBA-002",IF($E426="Evet",ROUND($C426*tba_oranIlave,2),0),IF($H426="TBA-004",IF($F426="Evet",ROUND($C426*tba_oranKadinGenc,2),0),IF($H426="TBA-ENG",IF($G426="Evet",ROUND($C426*tba_isverenOran,2),0),0)))))</f>
        <v/>
      </c>
      <c r="L426" s="31">
        <f>IF($A426="","",MAX(0,$J426-$K426))</f>
        <v/>
      </c>
    </row>
    <row r="427">
      <c r="I427" s="31">
        <f>IF($A427="","",IF($J427=0,"YOK",IF(AND($E427="Evet",ROUND($C427*tba_oranIlave,2)=$J427),"TBA-002",IF(AND($D427="Evet",ROUND($C427*tba_oranBesPuan,2)=$J427),"TBA-001",IF(AND($F427="Evet",ROUND($C427*tba_oranKadinGenc,2)=$J427),"TBA-004","TBA-ENG")))))</f>
        <v/>
      </c>
      <c r="J427" s="31">
        <f>IF($A427="","",MAX(IF($D427="Evet",ROUND($C427*tba_oranBesPuan,2),0),IF($E427="Evet",ROUND($C427*tba_oranIlave,2),0),IF($F427="Evet",ROUND($C427*tba_oranKadinGenc,2),0),IF($G427="Evet",ROUND($C427*tba_isverenOran,2),0)))</f>
        <v/>
      </c>
      <c r="K427" s="31">
        <f>IF($A427="","",IF($H427="TBA-001",IF($D427="Evet",ROUND($C427*tba_oranBesPuan,2),0),IF($H427="TBA-002",IF($E427="Evet",ROUND($C427*tba_oranIlave,2),0),IF($H427="TBA-004",IF($F427="Evet",ROUND($C427*tba_oranKadinGenc,2),0),IF($H427="TBA-ENG",IF($G427="Evet",ROUND($C427*tba_isverenOran,2),0),0)))))</f>
        <v/>
      </c>
      <c r="L427" s="31">
        <f>IF($A427="","",MAX(0,$J427-$K427))</f>
        <v/>
      </c>
    </row>
    <row r="428">
      <c r="I428" s="31">
        <f>IF($A428="","",IF($J428=0,"YOK",IF(AND($E428="Evet",ROUND($C428*tba_oranIlave,2)=$J428),"TBA-002",IF(AND($D428="Evet",ROUND($C428*tba_oranBesPuan,2)=$J428),"TBA-001",IF(AND($F428="Evet",ROUND($C428*tba_oranKadinGenc,2)=$J428),"TBA-004","TBA-ENG")))))</f>
        <v/>
      </c>
      <c r="J428" s="31">
        <f>IF($A428="","",MAX(IF($D428="Evet",ROUND($C428*tba_oranBesPuan,2),0),IF($E428="Evet",ROUND($C428*tba_oranIlave,2),0),IF($F428="Evet",ROUND($C428*tba_oranKadinGenc,2),0),IF($G428="Evet",ROUND($C428*tba_isverenOran,2),0)))</f>
        <v/>
      </c>
      <c r="K428" s="31">
        <f>IF($A428="","",IF($H428="TBA-001",IF($D428="Evet",ROUND($C428*tba_oranBesPuan,2),0),IF($H428="TBA-002",IF($E428="Evet",ROUND($C428*tba_oranIlave,2),0),IF($H428="TBA-004",IF($F428="Evet",ROUND($C428*tba_oranKadinGenc,2),0),IF($H428="TBA-ENG",IF($G428="Evet",ROUND($C428*tba_isverenOran,2),0),0)))))</f>
        <v/>
      </c>
      <c r="L428" s="31">
        <f>IF($A428="","",MAX(0,$J428-$K428))</f>
        <v/>
      </c>
    </row>
    <row r="429">
      <c r="I429" s="31">
        <f>IF($A429="","",IF($J429=0,"YOK",IF(AND($E429="Evet",ROUND($C429*tba_oranIlave,2)=$J429),"TBA-002",IF(AND($D429="Evet",ROUND($C429*tba_oranBesPuan,2)=$J429),"TBA-001",IF(AND($F429="Evet",ROUND($C429*tba_oranKadinGenc,2)=$J429),"TBA-004","TBA-ENG")))))</f>
        <v/>
      </c>
      <c r="J429" s="31">
        <f>IF($A429="","",MAX(IF($D429="Evet",ROUND($C429*tba_oranBesPuan,2),0),IF($E429="Evet",ROUND($C429*tba_oranIlave,2),0),IF($F429="Evet",ROUND($C429*tba_oranKadinGenc,2),0),IF($G429="Evet",ROUND($C429*tba_isverenOran,2),0)))</f>
        <v/>
      </c>
      <c r="K429" s="31">
        <f>IF($A429="","",IF($H429="TBA-001",IF($D429="Evet",ROUND($C429*tba_oranBesPuan,2),0),IF($H429="TBA-002",IF($E429="Evet",ROUND($C429*tba_oranIlave,2),0),IF($H429="TBA-004",IF($F429="Evet",ROUND($C429*tba_oranKadinGenc,2),0),IF($H429="TBA-ENG",IF($G429="Evet",ROUND($C429*tba_isverenOran,2),0),0)))))</f>
        <v/>
      </c>
      <c r="L429" s="31">
        <f>IF($A429="","",MAX(0,$J429-$K429))</f>
        <v/>
      </c>
    </row>
    <row r="430">
      <c r="I430" s="31">
        <f>IF($A430="","",IF($J430=0,"YOK",IF(AND($E430="Evet",ROUND($C430*tba_oranIlave,2)=$J430),"TBA-002",IF(AND($D430="Evet",ROUND($C430*tba_oranBesPuan,2)=$J430),"TBA-001",IF(AND($F430="Evet",ROUND($C430*tba_oranKadinGenc,2)=$J430),"TBA-004","TBA-ENG")))))</f>
        <v/>
      </c>
      <c r="J430" s="31">
        <f>IF($A430="","",MAX(IF($D430="Evet",ROUND($C430*tba_oranBesPuan,2),0),IF($E430="Evet",ROUND($C430*tba_oranIlave,2),0),IF($F430="Evet",ROUND($C430*tba_oranKadinGenc,2),0),IF($G430="Evet",ROUND($C430*tba_isverenOran,2),0)))</f>
        <v/>
      </c>
      <c r="K430" s="31">
        <f>IF($A430="","",IF($H430="TBA-001",IF($D430="Evet",ROUND($C430*tba_oranBesPuan,2),0),IF($H430="TBA-002",IF($E430="Evet",ROUND($C430*tba_oranIlave,2),0),IF($H430="TBA-004",IF($F430="Evet",ROUND($C430*tba_oranKadinGenc,2),0),IF($H430="TBA-ENG",IF($G430="Evet",ROUND($C430*tba_isverenOran,2),0),0)))))</f>
        <v/>
      </c>
      <c r="L430" s="31">
        <f>IF($A430="","",MAX(0,$J430-$K430))</f>
        <v/>
      </c>
    </row>
    <row r="431">
      <c r="I431" s="31">
        <f>IF($A431="","",IF($J431=0,"YOK",IF(AND($E431="Evet",ROUND($C431*tba_oranIlave,2)=$J431),"TBA-002",IF(AND($D431="Evet",ROUND($C431*tba_oranBesPuan,2)=$J431),"TBA-001",IF(AND($F431="Evet",ROUND($C431*tba_oranKadinGenc,2)=$J431),"TBA-004","TBA-ENG")))))</f>
        <v/>
      </c>
      <c r="J431" s="31">
        <f>IF($A431="","",MAX(IF($D431="Evet",ROUND($C431*tba_oranBesPuan,2),0),IF($E431="Evet",ROUND($C431*tba_oranIlave,2),0),IF($F431="Evet",ROUND($C431*tba_oranKadinGenc,2),0),IF($G431="Evet",ROUND($C431*tba_isverenOran,2),0)))</f>
        <v/>
      </c>
      <c r="K431" s="31">
        <f>IF($A431="","",IF($H431="TBA-001",IF($D431="Evet",ROUND($C431*tba_oranBesPuan,2),0),IF($H431="TBA-002",IF($E431="Evet",ROUND($C431*tba_oranIlave,2),0),IF($H431="TBA-004",IF($F431="Evet",ROUND($C431*tba_oranKadinGenc,2),0),IF($H431="TBA-ENG",IF($G431="Evet",ROUND($C431*tba_isverenOran,2),0),0)))))</f>
        <v/>
      </c>
      <c r="L431" s="31">
        <f>IF($A431="","",MAX(0,$J431-$K431))</f>
        <v/>
      </c>
    </row>
    <row r="432">
      <c r="I432" s="31">
        <f>IF($A432="","",IF($J432=0,"YOK",IF(AND($E432="Evet",ROUND($C432*tba_oranIlave,2)=$J432),"TBA-002",IF(AND($D432="Evet",ROUND($C432*tba_oranBesPuan,2)=$J432),"TBA-001",IF(AND($F432="Evet",ROUND($C432*tba_oranKadinGenc,2)=$J432),"TBA-004","TBA-ENG")))))</f>
        <v/>
      </c>
      <c r="J432" s="31">
        <f>IF($A432="","",MAX(IF($D432="Evet",ROUND($C432*tba_oranBesPuan,2),0),IF($E432="Evet",ROUND($C432*tba_oranIlave,2),0),IF($F432="Evet",ROUND($C432*tba_oranKadinGenc,2),0),IF($G432="Evet",ROUND($C432*tba_isverenOran,2),0)))</f>
        <v/>
      </c>
      <c r="K432" s="31">
        <f>IF($A432="","",IF($H432="TBA-001",IF($D432="Evet",ROUND($C432*tba_oranBesPuan,2),0),IF($H432="TBA-002",IF($E432="Evet",ROUND($C432*tba_oranIlave,2),0),IF($H432="TBA-004",IF($F432="Evet",ROUND($C432*tba_oranKadinGenc,2),0),IF($H432="TBA-ENG",IF($G432="Evet",ROUND($C432*tba_isverenOran,2),0),0)))))</f>
        <v/>
      </c>
      <c r="L432" s="31">
        <f>IF($A432="","",MAX(0,$J432-$K432))</f>
        <v/>
      </c>
    </row>
    <row r="433">
      <c r="I433" s="31">
        <f>IF($A433="","",IF($J433=0,"YOK",IF(AND($E433="Evet",ROUND($C433*tba_oranIlave,2)=$J433),"TBA-002",IF(AND($D433="Evet",ROUND($C433*tba_oranBesPuan,2)=$J433),"TBA-001",IF(AND($F433="Evet",ROUND($C433*tba_oranKadinGenc,2)=$J433),"TBA-004","TBA-ENG")))))</f>
        <v/>
      </c>
      <c r="J433" s="31">
        <f>IF($A433="","",MAX(IF($D433="Evet",ROUND($C433*tba_oranBesPuan,2),0),IF($E433="Evet",ROUND($C433*tba_oranIlave,2),0),IF($F433="Evet",ROUND($C433*tba_oranKadinGenc,2),0),IF($G433="Evet",ROUND($C433*tba_isverenOran,2),0)))</f>
        <v/>
      </c>
      <c r="K433" s="31">
        <f>IF($A433="","",IF($H433="TBA-001",IF($D433="Evet",ROUND($C433*tba_oranBesPuan,2),0),IF($H433="TBA-002",IF($E433="Evet",ROUND($C433*tba_oranIlave,2),0),IF($H433="TBA-004",IF($F433="Evet",ROUND($C433*tba_oranKadinGenc,2),0),IF($H433="TBA-ENG",IF($G433="Evet",ROUND($C433*tba_isverenOran,2),0),0)))))</f>
        <v/>
      </c>
      <c r="L433" s="31">
        <f>IF($A433="","",MAX(0,$J433-$K433))</f>
        <v/>
      </c>
    </row>
    <row r="434">
      <c r="I434" s="31">
        <f>IF($A434="","",IF($J434=0,"YOK",IF(AND($E434="Evet",ROUND($C434*tba_oranIlave,2)=$J434),"TBA-002",IF(AND($D434="Evet",ROUND($C434*tba_oranBesPuan,2)=$J434),"TBA-001",IF(AND($F434="Evet",ROUND($C434*tba_oranKadinGenc,2)=$J434),"TBA-004","TBA-ENG")))))</f>
        <v/>
      </c>
      <c r="J434" s="31">
        <f>IF($A434="","",MAX(IF($D434="Evet",ROUND($C434*tba_oranBesPuan,2),0),IF($E434="Evet",ROUND($C434*tba_oranIlave,2),0),IF($F434="Evet",ROUND($C434*tba_oranKadinGenc,2),0),IF($G434="Evet",ROUND($C434*tba_isverenOran,2),0)))</f>
        <v/>
      </c>
      <c r="K434" s="31">
        <f>IF($A434="","",IF($H434="TBA-001",IF($D434="Evet",ROUND($C434*tba_oranBesPuan,2),0),IF($H434="TBA-002",IF($E434="Evet",ROUND($C434*tba_oranIlave,2),0),IF($H434="TBA-004",IF($F434="Evet",ROUND($C434*tba_oranKadinGenc,2),0),IF($H434="TBA-ENG",IF($G434="Evet",ROUND($C434*tba_isverenOran,2),0),0)))))</f>
        <v/>
      </c>
      <c r="L434" s="31">
        <f>IF($A434="","",MAX(0,$J434-$K434))</f>
        <v/>
      </c>
    </row>
    <row r="435">
      <c r="I435" s="31">
        <f>IF($A435="","",IF($J435=0,"YOK",IF(AND($E435="Evet",ROUND($C435*tba_oranIlave,2)=$J435),"TBA-002",IF(AND($D435="Evet",ROUND($C435*tba_oranBesPuan,2)=$J435),"TBA-001",IF(AND($F435="Evet",ROUND($C435*tba_oranKadinGenc,2)=$J435),"TBA-004","TBA-ENG")))))</f>
        <v/>
      </c>
      <c r="J435" s="31">
        <f>IF($A435="","",MAX(IF($D435="Evet",ROUND($C435*tba_oranBesPuan,2),0),IF($E435="Evet",ROUND($C435*tba_oranIlave,2),0),IF($F435="Evet",ROUND($C435*tba_oranKadinGenc,2),0),IF($G435="Evet",ROUND($C435*tba_isverenOran,2),0)))</f>
        <v/>
      </c>
      <c r="K435" s="31">
        <f>IF($A435="","",IF($H435="TBA-001",IF($D435="Evet",ROUND($C435*tba_oranBesPuan,2),0),IF($H435="TBA-002",IF($E435="Evet",ROUND($C435*tba_oranIlave,2),0),IF($H435="TBA-004",IF($F435="Evet",ROUND($C435*tba_oranKadinGenc,2),0),IF($H435="TBA-ENG",IF($G435="Evet",ROUND($C435*tba_isverenOran,2),0),0)))))</f>
        <v/>
      </c>
      <c r="L435" s="31">
        <f>IF($A435="","",MAX(0,$J435-$K435))</f>
        <v/>
      </c>
    </row>
    <row r="436">
      <c r="I436" s="31">
        <f>IF($A436="","",IF($J436=0,"YOK",IF(AND($E436="Evet",ROUND($C436*tba_oranIlave,2)=$J436),"TBA-002",IF(AND($D436="Evet",ROUND($C436*tba_oranBesPuan,2)=$J436),"TBA-001",IF(AND($F436="Evet",ROUND($C436*tba_oranKadinGenc,2)=$J436),"TBA-004","TBA-ENG")))))</f>
        <v/>
      </c>
      <c r="J436" s="31">
        <f>IF($A436="","",MAX(IF($D436="Evet",ROUND($C436*tba_oranBesPuan,2),0),IF($E436="Evet",ROUND($C436*tba_oranIlave,2),0),IF($F436="Evet",ROUND($C436*tba_oranKadinGenc,2),0),IF($G436="Evet",ROUND($C436*tba_isverenOran,2),0)))</f>
        <v/>
      </c>
      <c r="K436" s="31">
        <f>IF($A436="","",IF($H436="TBA-001",IF($D436="Evet",ROUND($C436*tba_oranBesPuan,2),0),IF($H436="TBA-002",IF($E436="Evet",ROUND($C436*tba_oranIlave,2),0),IF($H436="TBA-004",IF($F436="Evet",ROUND($C436*tba_oranKadinGenc,2),0),IF($H436="TBA-ENG",IF($G436="Evet",ROUND($C436*tba_isverenOran,2),0),0)))))</f>
        <v/>
      </c>
      <c r="L436" s="31">
        <f>IF($A436="","",MAX(0,$J436-$K436))</f>
        <v/>
      </c>
    </row>
    <row r="437">
      <c r="I437" s="31">
        <f>IF($A437="","",IF($J437=0,"YOK",IF(AND($E437="Evet",ROUND($C437*tba_oranIlave,2)=$J437),"TBA-002",IF(AND($D437="Evet",ROUND($C437*tba_oranBesPuan,2)=$J437),"TBA-001",IF(AND($F437="Evet",ROUND($C437*tba_oranKadinGenc,2)=$J437),"TBA-004","TBA-ENG")))))</f>
        <v/>
      </c>
      <c r="J437" s="31">
        <f>IF($A437="","",MAX(IF($D437="Evet",ROUND($C437*tba_oranBesPuan,2),0),IF($E437="Evet",ROUND($C437*tba_oranIlave,2),0),IF($F437="Evet",ROUND($C437*tba_oranKadinGenc,2),0),IF($G437="Evet",ROUND($C437*tba_isverenOran,2),0)))</f>
        <v/>
      </c>
      <c r="K437" s="31">
        <f>IF($A437="","",IF($H437="TBA-001",IF($D437="Evet",ROUND($C437*tba_oranBesPuan,2),0),IF($H437="TBA-002",IF($E437="Evet",ROUND($C437*tba_oranIlave,2),0),IF($H437="TBA-004",IF($F437="Evet",ROUND($C437*tba_oranKadinGenc,2),0),IF($H437="TBA-ENG",IF($G437="Evet",ROUND($C437*tba_isverenOran,2),0),0)))))</f>
        <v/>
      </c>
      <c r="L437" s="31">
        <f>IF($A437="","",MAX(0,$J437-$K437))</f>
        <v/>
      </c>
    </row>
    <row r="438">
      <c r="I438" s="31">
        <f>IF($A438="","",IF($J438=0,"YOK",IF(AND($E438="Evet",ROUND($C438*tba_oranIlave,2)=$J438),"TBA-002",IF(AND($D438="Evet",ROUND($C438*tba_oranBesPuan,2)=$J438),"TBA-001",IF(AND($F438="Evet",ROUND($C438*tba_oranKadinGenc,2)=$J438),"TBA-004","TBA-ENG")))))</f>
        <v/>
      </c>
      <c r="J438" s="31">
        <f>IF($A438="","",MAX(IF($D438="Evet",ROUND($C438*tba_oranBesPuan,2),0),IF($E438="Evet",ROUND($C438*tba_oranIlave,2),0),IF($F438="Evet",ROUND($C438*tba_oranKadinGenc,2),0),IF($G438="Evet",ROUND($C438*tba_isverenOran,2),0)))</f>
        <v/>
      </c>
      <c r="K438" s="31">
        <f>IF($A438="","",IF($H438="TBA-001",IF($D438="Evet",ROUND($C438*tba_oranBesPuan,2),0),IF($H438="TBA-002",IF($E438="Evet",ROUND($C438*tba_oranIlave,2),0),IF($H438="TBA-004",IF($F438="Evet",ROUND($C438*tba_oranKadinGenc,2),0),IF($H438="TBA-ENG",IF($G438="Evet",ROUND($C438*tba_isverenOran,2),0),0)))))</f>
        <v/>
      </c>
      <c r="L438" s="31">
        <f>IF($A438="","",MAX(0,$J438-$K438))</f>
        <v/>
      </c>
    </row>
    <row r="439">
      <c r="I439" s="31">
        <f>IF($A439="","",IF($J439=0,"YOK",IF(AND($E439="Evet",ROUND($C439*tba_oranIlave,2)=$J439),"TBA-002",IF(AND($D439="Evet",ROUND($C439*tba_oranBesPuan,2)=$J439),"TBA-001",IF(AND($F439="Evet",ROUND($C439*tba_oranKadinGenc,2)=$J439),"TBA-004","TBA-ENG")))))</f>
        <v/>
      </c>
      <c r="J439" s="31">
        <f>IF($A439="","",MAX(IF($D439="Evet",ROUND($C439*tba_oranBesPuan,2),0),IF($E439="Evet",ROUND($C439*tba_oranIlave,2),0),IF($F439="Evet",ROUND($C439*tba_oranKadinGenc,2),0),IF($G439="Evet",ROUND($C439*tba_isverenOran,2),0)))</f>
        <v/>
      </c>
      <c r="K439" s="31">
        <f>IF($A439="","",IF($H439="TBA-001",IF($D439="Evet",ROUND($C439*tba_oranBesPuan,2),0),IF($H439="TBA-002",IF($E439="Evet",ROUND($C439*tba_oranIlave,2),0),IF($H439="TBA-004",IF($F439="Evet",ROUND($C439*tba_oranKadinGenc,2),0),IF($H439="TBA-ENG",IF($G439="Evet",ROUND($C439*tba_isverenOran,2),0),0)))))</f>
        <v/>
      </c>
      <c r="L439" s="31">
        <f>IF($A439="","",MAX(0,$J439-$K439))</f>
        <v/>
      </c>
    </row>
    <row r="440">
      <c r="I440" s="31">
        <f>IF($A440="","",IF($J440=0,"YOK",IF(AND($E440="Evet",ROUND($C440*tba_oranIlave,2)=$J440),"TBA-002",IF(AND($D440="Evet",ROUND($C440*tba_oranBesPuan,2)=$J440),"TBA-001",IF(AND($F440="Evet",ROUND($C440*tba_oranKadinGenc,2)=$J440),"TBA-004","TBA-ENG")))))</f>
        <v/>
      </c>
      <c r="J440" s="31">
        <f>IF($A440="","",MAX(IF($D440="Evet",ROUND($C440*tba_oranBesPuan,2),0),IF($E440="Evet",ROUND($C440*tba_oranIlave,2),0),IF($F440="Evet",ROUND($C440*tba_oranKadinGenc,2),0),IF($G440="Evet",ROUND($C440*tba_isverenOran,2),0)))</f>
        <v/>
      </c>
      <c r="K440" s="31">
        <f>IF($A440="","",IF($H440="TBA-001",IF($D440="Evet",ROUND($C440*tba_oranBesPuan,2),0),IF($H440="TBA-002",IF($E440="Evet",ROUND($C440*tba_oranIlave,2),0),IF($H440="TBA-004",IF($F440="Evet",ROUND($C440*tba_oranKadinGenc,2),0),IF($H440="TBA-ENG",IF($G440="Evet",ROUND($C440*tba_isverenOran,2),0),0)))))</f>
        <v/>
      </c>
      <c r="L440" s="31">
        <f>IF($A440="","",MAX(0,$J440-$K440))</f>
        <v/>
      </c>
    </row>
    <row r="441">
      <c r="I441" s="31">
        <f>IF($A441="","",IF($J441=0,"YOK",IF(AND($E441="Evet",ROUND($C441*tba_oranIlave,2)=$J441),"TBA-002",IF(AND($D441="Evet",ROUND($C441*tba_oranBesPuan,2)=$J441),"TBA-001",IF(AND($F441="Evet",ROUND($C441*tba_oranKadinGenc,2)=$J441),"TBA-004","TBA-ENG")))))</f>
        <v/>
      </c>
      <c r="J441" s="31">
        <f>IF($A441="","",MAX(IF($D441="Evet",ROUND($C441*tba_oranBesPuan,2),0),IF($E441="Evet",ROUND($C441*tba_oranIlave,2),0),IF($F441="Evet",ROUND($C441*tba_oranKadinGenc,2),0),IF($G441="Evet",ROUND($C441*tba_isverenOran,2),0)))</f>
        <v/>
      </c>
      <c r="K441" s="31">
        <f>IF($A441="","",IF($H441="TBA-001",IF($D441="Evet",ROUND($C441*tba_oranBesPuan,2),0),IF($H441="TBA-002",IF($E441="Evet",ROUND($C441*tba_oranIlave,2),0),IF($H441="TBA-004",IF($F441="Evet",ROUND($C441*tba_oranKadinGenc,2),0),IF($H441="TBA-ENG",IF($G441="Evet",ROUND($C441*tba_isverenOran,2),0),0)))))</f>
        <v/>
      </c>
      <c r="L441" s="31">
        <f>IF($A441="","",MAX(0,$J441-$K441))</f>
        <v/>
      </c>
    </row>
    <row r="442">
      <c r="I442" s="31">
        <f>IF($A442="","",IF($J442=0,"YOK",IF(AND($E442="Evet",ROUND($C442*tba_oranIlave,2)=$J442),"TBA-002",IF(AND($D442="Evet",ROUND($C442*tba_oranBesPuan,2)=$J442),"TBA-001",IF(AND($F442="Evet",ROUND($C442*tba_oranKadinGenc,2)=$J442),"TBA-004","TBA-ENG")))))</f>
        <v/>
      </c>
      <c r="J442" s="31">
        <f>IF($A442="","",MAX(IF($D442="Evet",ROUND($C442*tba_oranBesPuan,2),0),IF($E442="Evet",ROUND($C442*tba_oranIlave,2),0),IF($F442="Evet",ROUND($C442*tba_oranKadinGenc,2),0),IF($G442="Evet",ROUND($C442*tba_isverenOran,2),0)))</f>
        <v/>
      </c>
      <c r="K442" s="31">
        <f>IF($A442="","",IF($H442="TBA-001",IF($D442="Evet",ROUND($C442*tba_oranBesPuan,2),0),IF($H442="TBA-002",IF($E442="Evet",ROUND($C442*tba_oranIlave,2),0),IF($H442="TBA-004",IF($F442="Evet",ROUND($C442*tba_oranKadinGenc,2),0),IF($H442="TBA-ENG",IF($G442="Evet",ROUND($C442*tba_isverenOran,2),0),0)))))</f>
        <v/>
      </c>
      <c r="L442" s="31">
        <f>IF($A442="","",MAX(0,$J442-$K442))</f>
        <v/>
      </c>
    </row>
    <row r="443">
      <c r="I443" s="31">
        <f>IF($A443="","",IF($J443=0,"YOK",IF(AND($E443="Evet",ROUND($C443*tba_oranIlave,2)=$J443),"TBA-002",IF(AND($D443="Evet",ROUND($C443*tba_oranBesPuan,2)=$J443),"TBA-001",IF(AND($F443="Evet",ROUND($C443*tba_oranKadinGenc,2)=$J443),"TBA-004","TBA-ENG")))))</f>
        <v/>
      </c>
      <c r="J443" s="31">
        <f>IF($A443="","",MAX(IF($D443="Evet",ROUND($C443*tba_oranBesPuan,2),0),IF($E443="Evet",ROUND($C443*tba_oranIlave,2),0),IF($F443="Evet",ROUND($C443*tba_oranKadinGenc,2),0),IF($G443="Evet",ROUND($C443*tba_isverenOran,2),0)))</f>
        <v/>
      </c>
      <c r="K443" s="31">
        <f>IF($A443="","",IF($H443="TBA-001",IF($D443="Evet",ROUND($C443*tba_oranBesPuan,2),0),IF($H443="TBA-002",IF($E443="Evet",ROUND($C443*tba_oranIlave,2),0),IF($H443="TBA-004",IF($F443="Evet",ROUND($C443*tba_oranKadinGenc,2),0),IF($H443="TBA-ENG",IF($G443="Evet",ROUND($C443*tba_isverenOran,2),0),0)))))</f>
        <v/>
      </c>
      <c r="L443" s="31">
        <f>IF($A443="","",MAX(0,$J443-$K443))</f>
        <v/>
      </c>
    </row>
    <row r="444">
      <c r="I444" s="31">
        <f>IF($A444="","",IF($J444=0,"YOK",IF(AND($E444="Evet",ROUND($C444*tba_oranIlave,2)=$J444),"TBA-002",IF(AND($D444="Evet",ROUND($C444*tba_oranBesPuan,2)=$J444),"TBA-001",IF(AND($F444="Evet",ROUND($C444*tba_oranKadinGenc,2)=$J444),"TBA-004","TBA-ENG")))))</f>
        <v/>
      </c>
      <c r="J444" s="31">
        <f>IF($A444="","",MAX(IF($D444="Evet",ROUND($C444*tba_oranBesPuan,2),0),IF($E444="Evet",ROUND($C444*tba_oranIlave,2),0),IF($F444="Evet",ROUND($C444*tba_oranKadinGenc,2),0),IF($G444="Evet",ROUND($C444*tba_isverenOran,2),0)))</f>
        <v/>
      </c>
      <c r="K444" s="31">
        <f>IF($A444="","",IF($H444="TBA-001",IF($D444="Evet",ROUND($C444*tba_oranBesPuan,2),0),IF($H444="TBA-002",IF($E444="Evet",ROUND($C444*tba_oranIlave,2),0),IF($H444="TBA-004",IF($F444="Evet",ROUND($C444*tba_oranKadinGenc,2),0),IF($H444="TBA-ENG",IF($G444="Evet",ROUND($C444*tba_isverenOran,2),0),0)))))</f>
        <v/>
      </c>
      <c r="L444" s="31">
        <f>IF($A444="","",MAX(0,$J444-$K444))</f>
        <v/>
      </c>
    </row>
    <row r="445">
      <c r="I445" s="31">
        <f>IF($A445="","",IF($J445=0,"YOK",IF(AND($E445="Evet",ROUND($C445*tba_oranIlave,2)=$J445),"TBA-002",IF(AND($D445="Evet",ROUND($C445*tba_oranBesPuan,2)=$J445),"TBA-001",IF(AND($F445="Evet",ROUND($C445*tba_oranKadinGenc,2)=$J445),"TBA-004","TBA-ENG")))))</f>
        <v/>
      </c>
      <c r="J445" s="31">
        <f>IF($A445="","",MAX(IF($D445="Evet",ROUND($C445*tba_oranBesPuan,2),0),IF($E445="Evet",ROUND($C445*tba_oranIlave,2),0),IF($F445="Evet",ROUND($C445*tba_oranKadinGenc,2),0),IF($G445="Evet",ROUND($C445*tba_isverenOran,2),0)))</f>
        <v/>
      </c>
      <c r="K445" s="31">
        <f>IF($A445="","",IF($H445="TBA-001",IF($D445="Evet",ROUND($C445*tba_oranBesPuan,2),0),IF($H445="TBA-002",IF($E445="Evet",ROUND($C445*tba_oranIlave,2),0),IF($H445="TBA-004",IF($F445="Evet",ROUND($C445*tba_oranKadinGenc,2),0),IF($H445="TBA-ENG",IF($G445="Evet",ROUND($C445*tba_isverenOran,2),0),0)))))</f>
        <v/>
      </c>
      <c r="L445" s="31">
        <f>IF($A445="","",MAX(0,$J445-$K445))</f>
        <v/>
      </c>
    </row>
    <row r="446">
      <c r="I446" s="31">
        <f>IF($A446="","",IF($J446=0,"YOK",IF(AND($E446="Evet",ROUND($C446*tba_oranIlave,2)=$J446),"TBA-002",IF(AND($D446="Evet",ROUND($C446*tba_oranBesPuan,2)=$J446),"TBA-001",IF(AND($F446="Evet",ROUND($C446*tba_oranKadinGenc,2)=$J446),"TBA-004","TBA-ENG")))))</f>
        <v/>
      </c>
      <c r="J446" s="31">
        <f>IF($A446="","",MAX(IF($D446="Evet",ROUND($C446*tba_oranBesPuan,2),0),IF($E446="Evet",ROUND($C446*tba_oranIlave,2),0),IF($F446="Evet",ROUND($C446*tba_oranKadinGenc,2),0),IF($G446="Evet",ROUND($C446*tba_isverenOran,2),0)))</f>
        <v/>
      </c>
      <c r="K446" s="31">
        <f>IF($A446="","",IF($H446="TBA-001",IF($D446="Evet",ROUND($C446*tba_oranBesPuan,2),0),IF($H446="TBA-002",IF($E446="Evet",ROUND($C446*tba_oranIlave,2),0),IF($H446="TBA-004",IF($F446="Evet",ROUND($C446*tba_oranKadinGenc,2),0),IF($H446="TBA-ENG",IF($G446="Evet",ROUND($C446*tba_isverenOran,2),0),0)))))</f>
        <v/>
      </c>
      <c r="L446" s="31">
        <f>IF($A446="","",MAX(0,$J446-$K446))</f>
        <v/>
      </c>
    </row>
    <row r="447">
      <c r="I447" s="31">
        <f>IF($A447="","",IF($J447=0,"YOK",IF(AND($E447="Evet",ROUND($C447*tba_oranIlave,2)=$J447),"TBA-002",IF(AND($D447="Evet",ROUND($C447*tba_oranBesPuan,2)=$J447),"TBA-001",IF(AND($F447="Evet",ROUND($C447*tba_oranKadinGenc,2)=$J447),"TBA-004","TBA-ENG")))))</f>
        <v/>
      </c>
      <c r="J447" s="31">
        <f>IF($A447="","",MAX(IF($D447="Evet",ROUND($C447*tba_oranBesPuan,2),0),IF($E447="Evet",ROUND($C447*tba_oranIlave,2),0),IF($F447="Evet",ROUND($C447*tba_oranKadinGenc,2),0),IF($G447="Evet",ROUND($C447*tba_isverenOran,2),0)))</f>
        <v/>
      </c>
      <c r="K447" s="31">
        <f>IF($A447="","",IF($H447="TBA-001",IF($D447="Evet",ROUND($C447*tba_oranBesPuan,2),0),IF($H447="TBA-002",IF($E447="Evet",ROUND($C447*tba_oranIlave,2),0),IF($H447="TBA-004",IF($F447="Evet",ROUND($C447*tba_oranKadinGenc,2),0),IF($H447="TBA-ENG",IF($G447="Evet",ROUND($C447*tba_isverenOran,2),0),0)))))</f>
        <v/>
      </c>
      <c r="L447" s="31">
        <f>IF($A447="","",MAX(0,$J447-$K447))</f>
        <v/>
      </c>
    </row>
    <row r="448">
      <c r="I448" s="31">
        <f>IF($A448="","",IF($J448=0,"YOK",IF(AND($E448="Evet",ROUND($C448*tba_oranIlave,2)=$J448),"TBA-002",IF(AND($D448="Evet",ROUND($C448*tba_oranBesPuan,2)=$J448),"TBA-001",IF(AND($F448="Evet",ROUND($C448*tba_oranKadinGenc,2)=$J448),"TBA-004","TBA-ENG")))))</f>
        <v/>
      </c>
      <c r="J448" s="31">
        <f>IF($A448="","",MAX(IF($D448="Evet",ROUND($C448*tba_oranBesPuan,2),0),IF($E448="Evet",ROUND($C448*tba_oranIlave,2),0),IF($F448="Evet",ROUND($C448*tba_oranKadinGenc,2),0),IF($G448="Evet",ROUND($C448*tba_isverenOran,2),0)))</f>
        <v/>
      </c>
      <c r="K448" s="31">
        <f>IF($A448="","",IF($H448="TBA-001",IF($D448="Evet",ROUND($C448*tba_oranBesPuan,2),0),IF($H448="TBA-002",IF($E448="Evet",ROUND($C448*tba_oranIlave,2),0),IF($H448="TBA-004",IF($F448="Evet",ROUND($C448*tba_oranKadinGenc,2),0),IF($H448="TBA-ENG",IF($G448="Evet",ROUND($C448*tba_isverenOran,2),0),0)))))</f>
        <v/>
      </c>
      <c r="L448" s="31">
        <f>IF($A448="","",MAX(0,$J448-$K448))</f>
        <v/>
      </c>
    </row>
    <row r="449">
      <c r="I449" s="31">
        <f>IF($A449="","",IF($J449=0,"YOK",IF(AND($E449="Evet",ROUND($C449*tba_oranIlave,2)=$J449),"TBA-002",IF(AND($D449="Evet",ROUND($C449*tba_oranBesPuan,2)=$J449),"TBA-001",IF(AND($F449="Evet",ROUND($C449*tba_oranKadinGenc,2)=$J449),"TBA-004","TBA-ENG")))))</f>
        <v/>
      </c>
      <c r="J449" s="31">
        <f>IF($A449="","",MAX(IF($D449="Evet",ROUND($C449*tba_oranBesPuan,2),0),IF($E449="Evet",ROUND($C449*tba_oranIlave,2),0),IF($F449="Evet",ROUND($C449*tba_oranKadinGenc,2),0),IF($G449="Evet",ROUND($C449*tba_isverenOran,2),0)))</f>
        <v/>
      </c>
      <c r="K449" s="31">
        <f>IF($A449="","",IF($H449="TBA-001",IF($D449="Evet",ROUND($C449*tba_oranBesPuan,2),0),IF($H449="TBA-002",IF($E449="Evet",ROUND($C449*tba_oranIlave,2),0),IF($H449="TBA-004",IF($F449="Evet",ROUND($C449*tba_oranKadinGenc,2),0),IF($H449="TBA-ENG",IF($G449="Evet",ROUND($C449*tba_isverenOran,2),0),0)))))</f>
        <v/>
      </c>
      <c r="L449" s="31">
        <f>IF($A449="","",MAX(0,$J449-$K449))</f>
        <v/>
      </c>
    </row>
    <row r="450">
      <c r="I450" s="31">
        <f>IF($A450="","",IF($J450=0,"YOK",IF(AND($E450="Evet",ROUND($C450*tba_oranIlave,2)=$J450),"TBA-002",IF(AND($D450="Evet",ROUND($C450*tba_oranBesPuan,2)=$J450),"TBA-001",IF(AND($F450="Evet",ROUND($C450*tba_oranKadinGenc,2)=$J450),"TBA-004","TBA-ENG")))))</f>
        <v/>
      </c>
      <c r="J450" s="31">
        <f>IF($A450="","",MAX(IF($D450="Evet",ROUND($C450*tba_oranBesPuan,2),0),IF($E450="Evet",ROUND($C450*tba_oranIlave,2),0),IF($F450="Evet",ROUND($C450*tba_oranKadinGenc,2),0),IF($G450="Evet",ROUND($C450*tba_isverenOran,2),0)))</f>
        <v/>
      </c>
      <c r="K450" s="31">
        <f>IF($A450="","",IF($H450="TBA-001",IF($D450="Evet",ROUND($C450*tba_oranBesPuan,2),0),IF($H450="TBA-002",IF($E450="Evet",ROUND($C450*tba_oranIlave,2),0),IF($H450="TBA-004",IF($F450="Evet",ROUND($C450*tba_oranKadinGenc,2),0),IF($H450="TBA-ENG",IF($G450="Evet",ROUND($C450*tba_isverenOran,2),0),0)))))</f>
        <v/>
      </c>
      <c r="L450" s="31">
        <f>IF($A450="","",MAX(0,$J450-$K450))</f>
        <v/>
      </c>
    </row>
    <row r="451">
      <c r="I451" s="31">
        <f>IF($A451="","",IF($J451=0,"YOK",IF(AND($E451="Evet",ROUND($C451*tba_oranIlave,2)=$J451),"TBA-002",IF(AND($D451="Evet",ROUND($C451*tba_oranBesPuan,2)=$J451),"TBA-001",IF(AND($F451="Evet",ROUND($C451*tba_oranKadinGenc,2)=$J451),"TBA-004","TBA-ENG")))))</f>
        <v/>
      </c>
      <c r="J451" s="31">
        <f>IF($A451="","",MAX(IF($D451="Evet",ROUND($C451*tba_oranBesPuan,2),0),IF($E451="Evet",ROUND($C451*tba_oranIlave,2),0),IF($F451="Evet",ROUND($C451*tba_oranKadinGenc,2),0),IF($G451="Evet",ROUND($C451*tba_isverenOran,2),0)))</f>
        <v/>
      </c>
      <c r="K451" s="31">
        <f>IF($A451="","",IF($H451="TBA-001",IF($D451="Evet",ROUND($C451*tba_oranBesPuan,2),0),IF($H451="TBA-002",IF($E451="Evet",ROUND($C451*tba_oranIlave,2),0),IF($H451="TBA-004",IF($F451="Evet",ROUND($C451*tba_oranKadinGenc,2),0),IF($H451="TBA-ENG",IF($G451="Evet",ROUND($C451*tba_isverenOran,2),0),0)))))</f>
        <v/>
      </c>
      <c r="L451" s="31">
        <f>IF($A451="","",MAX(0,$J451-$K451))</f>
        <v/>
      </c>
    </row>
    <row r="452">
      <c r="I452" s="31">
        <f>IF($A452="","",IF($J452=0,"YOK",IF(AND($E452="Evet",ROUND($C452*tba_oranIlave,2)=$J452),"TBA-002",IF(AND($D452="Evet",ROUND($C452*tba_oranBesPuan,2)=$J452),"TBA-001",IF(AND($F452="Evet",ROUND($C452*tba_oranKadinGenc,2)=$J452),"TBA-004","TBA-ENG")))))</f>
        <v/>
      </c>
      <c r="J452" s="31">
        <f>IF($A452="","",MAX(IF($D452="Evet",ROUND($C452*tba_oranBesPuan,2),0),IF($E452="Evet",ROUND($C452*tba_oranIlave,2),0),IF($F452="Evet",ROUND($C452*tba_oranKadinGenc,2),0),IF($G452="Evet",ROUND($C452*tba_isverenOran,2),0)))</f>
        <v/>
      </c>
      <c r="K452" s="31">
        <f>IF($A452="","",IF($H452="TBA-001",IF($D452="Evet",ROUND($C452*tba_oranBesPuan,2),0),IF($H452="TBA-002",IF($E452="Evet",ROUND($C452*tba_oranIlave,2),0),IF($H452="TBA-004",IF($F452="Evet",ROUND($C452*tba_oranKadinGenc,2),0),IF($H452="TBA-ENG",IF($G452="Evet",ROUND($C452*tba_isverenOran,2),0),0)))))</f>
        <v/>
      </c>
      <c r="L452" s="31">
        <f>IF($A452="","",MAX(0,$J452-$K452))</f>
        <v/>
      </c>
    </row>
    <row r="453">
      <c r="I453" s="31">
        <f>IF($A453="","",IF($J453=0,"YOK",IF(AND($E453="Evet",ROUND($C453*tba_oranIlave,2)=$J453),"TBA-002",IF(AND($D453="Evet",ROUND($C453*tba_oranBesPuan,2)=$J453),"TBA-001",IF(AND($F453="Evet",ROUND($C453*tba_oranKadinGenc,2)=$J453),"TBA-004","TBA-ENG")))))</f>
        <v/>
      </c>
      <c r="J453" s="31">
        <f>IF($A453="","",MAX(IF($D453="Evet",ROUND($C453*tba_oranBesPuan,2),0),IF($E453="Evet",ROUND($C453*tba_oranIlave,2),0),IF($F453="Evet",ROUND($C453*tba_oranKadinGenc,2),0),IF($G453="Evet",ROUND($C453*tba_isverenOran,2),0)))</f>
        <v/>
      </c>
      <c r="K453" s="31">
        <f>IF($A453="","",IF($H453="TBA-001",IF($D453="Evet",ROUND($C453*tba_oranBesPuan,2),0),IF($H453="TBA-002",IF($E453="Evet",ROUND($C453*tba_oranIlave,2),0),IF($H453="TBA-004",IF($F453="Evet",ROUND($C453*tba_oranKadinGenc,2),0),IF($H453="TBA-ENG",IF($G453="Evet",ROUND($C453*tba_isverenOran,2),0),0)))))</f>
        <v/>
      </c>
      <c r="L453" s="31">
        <f>IF($A453="","",MAX(0,$J453-$K453))</f>
        <v/>
      </c>
    </row>
    <row r="454">
      <c r="I454" s="31">
        <f>IF($A454="","",IF($J454=0,"YOK",IF(AND($E454="Evet",ROUND($C454*tba_oranIlave,2)=$J454),"TBA-002",IF(AND($D454="Evet",ROUND($C454*tba_oranBesPuan,2)=$J454),"TBA-001",IF(AND($F454="Evet",ROUND($C454*tba_oranKadinGenc,2)=$J454),"TBA-004","TBA-ENG")))))</f>
        <v/>
      </c>
      <c r="J454" s="31">
        <f>IF($A454="","",MAX(IF($D454="Evet",ROUND($C454*tba_oranBesPuan,2),0),IF($E454="Evet",ROUND($C454*tba_oranIlave,2),0),IF($F454="Evet",ROUND($C454*tba_oranKadinGenc,2),0),IF($G454="Evet",ROUND($C454*tba_isverenOran,2),0)))</f>
        <v/>
      </c>
      <c r="K454" s="31">
        <f>IF($A454="","",IF($H454="TBA-001",IF($D454="Evet",ROUND($C454*tba_oranBesPuan,2),0),IF($H454="TBA-002",IF($E454="Evet",ROUND($C454*tba_oranIlave,2),0),IF($H454="TBA-004",IF($F454="Evet",ROUND($C454*tba_oranKadinGenc,2),0),IF($H454="TBA-ENG",IF($G454="Evet",ROUND($C454*tba_isverenOran,2),0),0)))))</f>
        <v/>
      </c>
      <c r="L454" s="31">
        <f>IF($A454="","",MAX(0,$J454-$K454))</f>
        <v/>
      </c>
    </row>
    <row r="455">
      <c r="I455" s="31">
        <f>IF($A455="","",IF($J455=0,"YOK",IF(AND($E455="Evet",ROUND($C455*tba_oranIlave,2)=$J455),"TBA-002",IF(AND($D455="Evet",ROUND($C455*tba_oranBesPuan,2)=$J455),"TBA-001",IF(AND($F455="Evet",ROUND($C455*tba_oranKadinGenc,2)=$J455),"TBA-004","TBA-ENG")))))</f>
        <v/>
      </c>
      <c r="J455" s="31">
        <f>IF($A455="","",MAX(IF($D455="Evet",ROUND($C455*tba_oranBesPuan,2),0),IF($E455="Evet",ROUND($C455*tba_oranIlave,2),0),IF($F455="Evet",ROUND($C455*tba_oranKadinGenc,2),0),IF($G455="Evet",ROUND($C455*tba_isverenOran,2),0)))</f>
        <v/>
      </c>
      <c r="K455" s="31">
        <f>IF($A455="","",IF($H455="TBA-001",IF($D455="Evet",ROUND($C455*tba_oranBesPuan,2),0),IF($H455="TBA-002",IF($E455="Evet",ROUND($C455*tba_oranIlave,2),0),IF($H455="TBA-004",IF($F455="Evet",ROUND($C455*tba_oranKadinGenc,2),0),IF($H455="TBA-ENG",IF($G455="Evet",ROUND($C455*tba_isverenOran,2),0),0)))))</f>
        <v/>
      </c>
      <c r="L455" s="31">
        <f>IF($A455="","",MAX(0,$J455-$K455))</f>
        <v/>
      </c>
    </row>
    <row r="456">
      <c r="I456" s="31">
        <f>IF($A456="","",IF($J456=0,"YOK",IF(AND($E456="Evet",ROUND($C456*tba_oranIlave,2)=$J456),"TBA-002",IF(AND($D456="Evet",ROUND($C456*tba_oranBesPuan,2)=$J456),"TBA-001",IF(AND($F456="Evet",ROUND($C456*tba_oranKadinGenc,2)=$J456),"TBA-004","TBA-ENG")))))</f>
        <v/>
      </c>
      <c r="J456" s="31">
        <f>IF($A456="","",MAX(IF($D456="Evet",ROUND($C456*tba_oranBesPuan,2),0),IF($E456="Evet",ROUND($C456*tba_oranIlave,2),0),IF($F456="Evet",ROUND($C456*tba_oranKadinGenc,2),0),IF($G456="Evet",ROUND($C456*tba_isverenOran,2),0)))</f>
        <v/>
      </c>
      <c r="K456" s="31">
        <f>IF($A456="","",IF($H456="TBA-001",IF($D456="Evet",ROUND($C456*tba_oranBesPuan,2),0),IF($H456="TBA-002",IF($E456="Evet",ROUND($C456*tba_oranIlave,2),0),IF($H456="TBA-004",IF($F456="Evet",ROUND($C456*tba_oranKadinGenc,2),0),IF($H456="TBA-ENG",IF($G456="Evet",ROUND($C456*tba_isverenOran,2),0),0)))))</f>
        <v/>
      </c>
      <c r="L456" s="31">
        <f>IF($A456="","",MAX(0,$J456-$K456))</f>
        <v/>
      </c>
    </row>
    <row r="457">
      <c r="I457" s="31">
        <f>IF($A457="","",IF($J457=0,"YOK",IF(AND($E457="Evet",ROUND($C457*tba_oranIlave,2)=$J457),"TBA-002",IF(AND($D457="Evet",ROUND($C457*tba_oranBesPuan,2)=$J457),"TBA-001",IF(AND($F457="Evet",ROUND($C457*tba_oranKadinGenc,2)=$J457),"TBA-004","TBA-ENG")))))</f>
        <v/>
      </c>
      <c r="J457" s="31">
        <f>IF($A457="","",MAX(IF($D457="Evet",ROUND($C457*tba_oranBesPuan,2),0),IF($E457="Evet",ROUND($C457*tba_oranIlave,2),0),IF($F457="Evet",ROUND($C457*tba_oranKadinGenc,2),0),IF($G457="Evet",ROUND($C457*tba_isverenOran,2),0)))</f>
        <v/>
      </c>
      <c r="K457" s="31">
        <f>IF($A457="","",IF($H457="TBA-001",IF($D457="Evet",ROUND($C457*tba_oranBesPuan,2),0),IF($H457="TBA-002",IF($E457="Evet",ROUND($C457*tba_oranIlave,2),0),IF($H457="TBA-004",IF($F457="Evet",ROUND($C457*tba_oranKadinGenc,2),0),IF($H457="TBA-ENG",IF($G457="Evet",ROUND($C457*tba_isverenOran,2),0),0)))))</f>
        <v/>
      </c>
      <c r="L457" s="31">
        <f>IF($A457="","",MAX(0,$J457-$K457))</f>
        <v/>
      </c>
    </row>
    <row r="458">
      <c r="I458" s="31">
        <f>IF($A458="","",IF($J458=0,"YOK",IF(AND($E458="Evet",ROUND($C458*tba_oranIlave,2)=$J458),"TBA-002",IF(AND($D458="Evet",ROUND($C458*tba_oranBesPuan,2)=$J458),"TBA-001",IF(AND($F458="Evet",ROUND($C458*tba_oranKadinGenc,2)=$J458),"TBA-004","TBA-ENG")))))</f>
        <v/>
      </c>
      <c r="J458" s="31">
        <f>IF($A458="","",MAX(IF($D458="Evet",ROUND($C458*tba_oranBesPuan,2),0),IF($E458="Evet",ROUND($C458*tba_oranIlave,2),0),IF($F458="Evet",ROUND($C458*tba_oranKadinGenc,2),0),IF($G458="Evet",ROUND($C458*tba_isverenOran,2),0)))</f>
        <v/>
      </c>
      <c r="K458" s="31">
        <f>IF($A458="","",IF($H458="TBA-001",IF($D458="Evet",ROUND($C458*tba_oranBesPuan,2),0),IF($H458="TBA-002",IF($E458="Evet",ROUND($C458*tba_oranIlave,2),0),IF($H458="TBA-004",IF($F458="Evet",ROUND($C458*tba_oranKadinGenc,2),0),IF($H458="TBA-ENG",IF($G458="Evet",ROUND($C458*tba_isverenOran,2),0),0)))))</f>
        <v/>
      </c>
      <c r="L458" s="31">
        <f>IF($A458="","",MAX(0,$J458-$K458))</f>
        <v/>
      </c>
    </row>
    <row r="459">
      <c r="I459" s="31">
        <f>IF($A459="","",IF($J459=0,"YOK",IF(AND($E459="Evet",ROUND($C459*tba_oranIlave,2)=$J459),"TBA-002",IF(AND($D459="Evet",ROUND($C459*tba_oranBesPuan,2)=$J459),"TBA-001",IF(AND($F459="Evet",ROUND($C459*tba_oranKadinGenc,2)=$J459),"TBA-004","TBA-ENG")))))</f>
        <v/>
      </c>
      <c r="J459" s="31">
        <f>IF($A459="","",MAX(IF($D459="Evet",ROUND($C459*tba_oranBesPuan,2),0),IF($E459="Evet",ROUND($C459*tba_oranIlave,2),0),IF($F459="Evet",ROUND($C459*tba_oranKadinGenc,2),0),IF($G459="Evet",ROUND($C459*tba_isverenOran,2),0)))</f>
        <v/>
      </c>
      <c r="K459" s="31">
        <f>IF($A459="","",IF($H459="TBA-001",IF($D459="Evet",ROUND($C459*tba_oranBesPuan,2),0),IF($H459="TBA-002",IF($E459="Evet",ROUND($C459*tba_oranIlave,2),0),IF($H459="TBA-004",IF($F459="Evet",ROUND($C459*tba_oranKadinGenc,2),0),IF($H459="TBA-ENG",IF($G459="Evet",ROUND($C459*tba_isverenOran,2),0),0)))))</f>
        <v/>
      </c>
      <c r="L459" s="31">
        <f>IF($A459="","",MAX(0,$J459-$K459))</f>
        <v/>
      </c>
    </row>
    <row r="460">
      <c r="I460" s="31">
        <f>IF($A460="","",IF($J460=0,"YOK",IF(AND($E460="Evet",ROUND($C460*tba_oranIlave,2)=$J460),"TBA-002",IF(AND($D460="Evet",ROUND($C460*tba_oranBesPuan,2)=$J460),"TBA-001",IF(AND($F460="Evet",ROUND($C460*tba_oranKadinGenc,2)=$J460),"TBA-004","TBA-ENG")))))</f>
        <v/>
      </c>
      <c r="J460" s="31">
        <f>IF($A460="","",MAX(IF($D460="Evet",ROUND($C460*tba_oranBesPuan,2),0),IF($E460="Evet",ROUND($C460*tba_oranIlave,2),0),IF($F460="Evet",ROUND($C460*tba_oranKadinGenc,2),0),IF($G460="Evet",ROUND($C460*tba_isverenOran,2),0)))</f>
        <v/>
      </c>
      <c r="K460" s="31">
        <f>IF($A460="","",IF($H460="TBA-001",IF($D460="Evet",ROUND($C460*tba_oranBesPuan,2),0),IF($H460="TBA-002",IF($E460="Evet",ROUND($C460*tba_oranIlave,2),0),IF($H460="TBA-004",IF($F460="Evet",ROUND($C460*tba_oranKadinGenc,2),0),IF($H460="TBA-ENG",IF($G460="Evet",ROUND($C460*tba_isverenOran,2),0),0)))))</f>
        <v/>
      </c>
      <c r="L460" s="31">
        <f>IF($A460="","",MAX(0,$J460-$K460))</f>
        <v/>
      </c>
    </row>
    <row r="461">
      <c r="I461" s="31">
        <f>IF($A461="","",IF($J461=0,"YOK",IF(AND($E461="Evet",ROUND($C461*tba_oranIlave,2)=$J461),"TBA-002",IF(AND($D461="Evet",ROUND($C461*tba_oranBesPuan,2)=$J461),"TBA-001",IF(AND($F461="Evet",ROUND($C461*tba_oranKadinGenc,2)=$J461),"TBA-004","TBA-ENG")))))</f>
        <v/>
      </c>
      <c r="J461" s="31">
        <f>IF($A461="","",MAX(IF($D461="Evet",ROUND($C461*tba_oranBesPuan,2),0),IF($E461="Evet",ROUND($C461*tba_oranIlave,2),0),IF($F461="Evet",ROUND($C461*tba_oranKadinGenc,2),0),IF($G461="Evet",ROUND($C461*tba_isverenOran,2),0)))</f>
        <v/>
      </c>
      <c r="K461" s="31">
        <f>IF($A461="","",IF($H461="TBA-001",IF($D461="Evet",ROUND($C461*tba_oranBesPuan,2),0),IF($H461="TBA-002",IF($E461="Evet",ROUND($C461*tba_oranIlave,2),0),IF($H461="TBA-004",IF($F461="Evet",ROUND($C461*tba_oranKadinGenc,2),0),IF($H461="TBA-ENG",IF($G461="Evet",ROUND($C461*tba_isverenOran,2),0),0)))))</f>
        <v/>
      </c>
      <c r="L461" s="31">
        <f>IF($A461="","",MAX(0,$J461-$K461))</f>
        <v/>
      </c>
    </row>
    <row r="462">
      <c r="I462" s="31">
        <f>IF($A462="","",IF($J462=0,"YOK",IF(AND($E462="Evet",ROUND($C462*tba_oranIlave,2)=$J462),"TBA-002",IF(AND($D462="Evet",ROUND($C462*tba_oranBesPuan,2)=$J462),"TBA-001",IF(AND($F462="Evet",ROUND($C462*tba_oranKadinGenc,2)=$J462),"TBA-004","TBA-ENG")))))</f>
        <v/>
      </c>
      <c r="J462" s="31">
        <f>IF($A462="","",MAX(IF($D462="Evet",ROUND($C462*tba_oranBesPuan,2),0),IF($E462="Evet",ROUND($C462*tba_oranIlave,2),0),IF($F462="Evet",ROUND($C462*tba_oranKadinGenc,2),0),IF($G462="Evet",ROUND($C462*tba_isverenOran,2),0)))</f>
        <v/>
      </c>
      <c r="K462" s="31">
        <f>IF($A462="","",IF($H462="TBA-001",IF($D462="Evet",ROUND($C462*tba_oranBesPuan,2),0),IF($H462="TBA-002",IF($E462="Evet",ROUND($C462*tba_oranIlave,2),0),IF($H462="TBA-004",IF($F462="Evet",ROUND($C462*tba_oranKadinGenc,2),0),IF($H462="TBA-ENG",IF($G462="Evet",ROUND($C462*tba_isverenOran,2),0),0)))))</f>
        <v/>
      </c>
      <c r="L462" s="31">
        <f>IF($A462="","",MAX(0,$J462-$K462))</f>
        <v/>
      </c>
    </row>
    <row r="463">
      <c r="I463" s="31">
        <f>IF($A463="","",IF($J463=0,"YOK",IF(AND($E463="Evet",ROUND($C463*tba_oranIlave,2)=$J463),"TBA-002",IF(AND($D463="Evet",ROUND($C463*tba_oranBesPuan,2)=$J463),"TBA-001",IF(AND($F463="Evet",ROUND($C463*tba_oranKadinGenc,2)=$J463),"TBA-004","TBA-ENG")))))</f>
        <v/>
      </c>
      <c r="J463" s="31">
        <f>IF($A463="","",MAX(IF($D463="Evet",ROUND($C463*tba_oranBesPuan,2),0),IF($E463="Evet",ROUND($C463*tba_oranIlave,2),0),IF($F463="Evet",ROUND($C463*tba_oranKadinGenc,2),0),IF($G463="Evet",ROUND($C463*tba_isverenOran,2),0)))</f>
        <v/>
      </c>
      <c r="K463" s="31">
        <f>IF($A463="","",IF($H463="TBA-001",IF($D463="Evet",ROUND($C463*tba_oranBesPuan,2),0),IF($H463="TBA-002",IF($E463="Evet",ROUND($C463*tba_oranIlave,2),0),IF($H463="TBA-004",IF($F463="Evet",ROUND($C463*tba_oranKadinGenc,2),0),IF($H463="TBA-ENG",IF($G463="Evet",ROUND($C463*tba_isverenOran,2),0),0)))))</f>
        <v/>
      </c>
      <c r="L463" s="31">
        <f>IF($A463="","",MAX(0,$J463-$K463))</f>
        <v/>
      </c>
    </row>
    <row r="464">
      <c r="I464" s="31">
        <f>IF($A464="","",IF($J464=0,"YOK",IF(AND($E464="Evet",ROUND($C464*tba_oranIlave,2)=$J464),"TBA-002",IF(AND($D464="Evet",ROUND($C464*tba_oranBesPuan,2)=$J464),"TBA-001",IF(AND($F464="Evet",ROUND($C464*tba_oranKadinGenc,2)=$J464),"TBA-004","TBA-ENG")))))</f>
        <v/>
      </c>
      <c r="J464" s="31">
        <f>IF($A464="","",MAX(IF($D464="Evet",ROUND($C464*tba_oranBesPuan,2),0),IF($E464="Evet",ROUND($C464*tba_oranIlave,2),0),IF($F464="Evet",ROUND($C464*tba_oranKadinGenc,2),0),IF($G464="Evet",ROUND($C464*tba_isverenOran,2),0)))</f>
        <v/>
      </c>
      <c r="K464" s="31">
        <f>IF($A464="","",IF($H464="TBA-001",IF($D464="Evet",ROUND($C464*tba_oranBesPuan,2),0),IF($H464="TBA-002",IF($E464="Evet",ROUND($C464*tba_oranIlave,2),0),IF($H464="TBA-004",IF($F464="Evet",ROUND($C464*tba_oranKadinGenc,2),0),IF($H464="TBA-ENG",IF($G464="Evet",ROUND($C464*tba_isverenOran,2),0),0)))))</f>
        <v/>
      </c>
      <c r="L464" s="31">
        <f>IF($A464="","",MAX(0,$J464-$K464))</f>
        <v/>
      </c>
    </row>
    <row r="465">
      <c r="I465" s="31">
        <f>IF($A465="","",IF($J465=0,"YOK",IF(AND($E465="Evet",ROUND($C465*tba_oranIlave,2)=$J465),"TBA-002",IF(AND($D465="Evet",ROUND($C465*tba_oranBesPuan,2)=$J465),"TBA-001",IF(AND($F465="Evet",ROUND($C465*tba_oranKadinGenc,2)=$J465),"TBA-004","TBA-ENG")))))</f>
        <v/>
      </c>
      <c r="J465" s="31">
        <f>IF($A465="","",MAX(IF($D465="Evet",ROUND($C465*tba_oranBesPuan,2),0),IF($E465="Evet",ROUND($C465*tba_oranIlave,2),0),IF($F465="Evet",ROUND($C465*tba_oranKadinGenc,2),0),IF($G465="Evet",ROUND($C465*tba_isverenOran,2),0)))</f>
        <v/>
      </c>
      <c r="K465" s="31">
        <f>IF($A465="","",IF($H465="TBA-001",IF($D465="Evet",ROUND($C465*tba_oranBesPuan,2),0),IF($H465="TBA-002",IF($E465="Evet",ROUND($C465*tba_oranIlave,2),0),IF($H465="TBA-004",IF($F465="Evet",ROUND($C465*tba_oranKadinGenc,2),0),IF($H465="TBA-ENG",IF($G465="Evet",ROUND($C465*tba_isverenOran,2),0),0)))))</f>
        <v/>
      </c>
      <c r="L465" s="31">
        <f>IF($A465="","",MAX(0,$J465-$K465))</f>
        <v/>
      </c>
    </row>
    <row r="466">
      <c r="I466" s="31">
        <f>IF($A466="","",IF($J466=0,"YOK",IF(AND($E466="Evet",ROUND($C466*tba_oranIlave,2)=$J466),"TBA-002",IF(AND($D466="Evet",ROUND($C466*tba_oranBesPuan,2)=$J466),"TBA-001",IF(AND($F466="Evet",ROUND($C466*tba_oranKadinGenc,2)=$J466),"TBA-004","TBA-ENG")))))</f>
        <v/>
      </c>
      <c r="J466" s="31">
        <f>IF($A466="","",MAX(IF($D466="Evet",ROUND($C466*tba_oranBesPuan,2),0),IF($E466="Evet",ROUND($C466*tba_oranIlave,2),0),IF($F466="Evet",ROUND($C466*tba_oranKadinGenc,2),0),IF($G466="Evet",ROUND($C466*tba_isverenOran,2),0)))</f>
        <v/>
      </c>
      <c r="K466" s="31">
        <f>IF($A466="","",IF($H466="TBA-001",IF($D466="Evet",ROUND($C466*tba_oranBesPuan,2),0),IF($H466="TBA-002",IF($E466="Evet",ROUND($C466*tba_oranIlave,2),0),IF($H466="TBA-004",IF($F466="Evet",ROUND($C466*tba_oranKadinGenc,2),0),IF($H466="TBA-ENG",IF($G466="Evet",ROUND($C466*tba_isverenOran,2),0),0)))))</f>
        <v/>
      </c>
      <c r="L466" s="31">
        <f>IF($A466="","",MAX(0,$J466-$K466))</f>
        <v/>
      </c>
    </row>
    <row r="467">
      <c r="I467" s="31">
        <f>IF($A467="","",IF($J467=0,"YOK",IF(AND($E467="Evet",ROUND($C467*tba_oranIlave,2)=$J467),"TBA-002",IF(AND($D467="Evet",ROUND($C467*tba_oranBesPuan,2)=$J467),"TBA-001",IF(AND($F467="Evet",ROUND($C467*tba_oranKadinGenc,2)=$J467),"TBA-004","TBA-ENG")))))</f>
        <v/>
      </c>
      <c r="J467" s="31">
        <f>IF($A467="","",MAX(IF($D467="Evet",ROUND($C467*tba_oranBesPuan,2),0),IF($E467="Evet",ROUND($C467*tba_oranIlave,2),0),IF($F467="Evet",ROUND($C467*tba_oranKadinGenc,2),0),IF($G467="Evet",ROUND($C467*tba_isverenOran,2),0)))</f>
        <v/>
      </c>
      <c r="K467" s="31">
        <f>IF($A467="","",IF($H467="TBA-001",IF($D467="Evet",ROUND($C467*tba_oranBesPuan,2),0),IF($H467="TBA-002",IF($E467="Evet",ROUND($C467*tba_oranIlave,2),0),IF($H467="TBA-004",IF($F467="Evet",ROUND($C467*tba_oranKadinGenc,2),0),IF($H467="TBA-ENG",IF($G467="Evet",ROUND($C467*tba_isverenOran,2),0),0)))))</f>
        <v/>
      </c>
      <c r="L467" s="31">
        <f>IF($A467="","",MAX(0,$J467-$K467))</f>
        <v/>
      </c>
    </row>
    <row r="468">
      <c r="I468" s="31">
        <f>IF($A468="","",IF($J468=0,"YOK",IF(AND($E468="Evet",ROUND($C468*tba_oranIlave,2)=$J468),"TBA-002",IF(AND($D468="Evet",ROUND($C468*tba_oranBesPuan,2)=$J468),"TBA-001",IF(AND($F468="Evet",ROUND($C468*tba_oranKadinGenc,2)=$J468),"TBA-004","TBA-ENG")))))</f>
        <v/>
      </c>
      <c r="J468" s="31">
        <f>IF($A468="","",MAX(IF($D468="Evet",ROUND($C468*tba_oranBesPuan,2),0),IF($E468="Evet",ROUND($C468*tba_oranIlave,2),0),IF($F468="Evet",ROUND($C468*tba_oranKadinGenc,2),0),IF($G468="Evet",ROUND($C468*tba_isverenOran,2),0)))</f>
        <v/>
      </c>
      <c r="K468" s="31">
        <f>IF($A468="","",IF($H468="TBA-001",IF($D468="Evet",ROUND($C468*tba_oranBesPuan,2),0),IF($H468="TBA-002",IF($E468="Evet",ROUND($C468*tba_oranIlave,2),0),IF($H468="TBA-004",IF($F468="Evet",ROUND($C468*tba_oranKadinGenc,2),0),IF($H468="TBA-ENG",IF($G468="Evet",ROUND($C468*tba_isverenOran,2),0),0)))))</f>
        <v/>
      </c>
      <c r="L468" s="31">
        <f>IF($A468="","",MAX(0,$J468-$K468))</f>
        <v/>
      </c>
    </row>
    <row r="469">
      <c r="I469" s="31">
        <f>IF($A469="","",IF($J469=0,"YOK",IF(AND($E469="Evet",ROUND($C469*tba_oranIlave,2)=$J469),"TBA-002",IF(AND($D469="Evet",ROUND($C469*tba_oranBesPuan,2)=$J469),"TBA-001",IF(AND($F469="Evet",ROUND($C469*tba_oranKadinGenc,2)=$J469),"TBA-004","TBA-ENG")))))</f>
        <v/>
      </c>
      <c r="J469" s="31">
        <f>IF($A469="","",MAX(IF($D469="Evet",ROUND($C469*tba_oranBesPuan,2),0),IF($E469="Evet",ROUND($C469*tba_oranIlave,2),0),IF($F469="Evet",ROUND($C469*tba_oranKadinGenc,2),0),IF($G469="Evet",ROUND($C469*tba_isverenOran,2),0)))</f>
        <v/>
      </c>
      <c r="K469" s="31">
        <f>IF($A469="","",IF($H469="TBA-001",IF($D469="Evet",ROUND($C469*tba_oranBesPuan,2),0),IF($H469="TBA-002",IF($E469="Evet",ROUND($C469*tba_oranIlave,2),0),IF($H469="TBA-004",IF($F469="Evet",ROUND($C469*tba_oranKadinGenc,2),0),IF($H469="TBA-ENG",IF($G469="Evet",ROUND($C469*tba_isverenOran,2),0),0)))))</f>
        <v/>
      </c>
      <c r="L469" s="31">
        <f>IF($A469="","",MAX(0,$J469-$K469))</f>
        <v/>
      </c>
    </row>
    <row r="470">
      <c r="I470" s="31">
        <f>IF($A470="","",IF($J470=0,"YOK",IF(AND($E470="Evet",ROUND($C470*tba_oranIlave,2)=$J470),"TBA-002",IF(AND($D470="Evet",ROUND($C470*tba_oranBesPuan,2)=$J470),"TBA-001",IF(AND($F470="Evet",ROUND($C470*tba_oranKadinGenc,2)=$J470),"TBA-004","TBA-ENG")))))</f>
        <v/>
      </c>
      <c r="J470" s="31">
        <f>IF($A470="","",MAX(IF($D470="Evet",ROUND($C470*tba_oranBesPuan,2),0),IF($E470="Evet",ROUND($C470*tba_oranIlave,2),0),IF($F470="Evet",ROUND($C470*tba_oranKadinGenc,2),0),IF($G470="Evet",ROUND($C470*tba_isverenOran,2),0)))</f>
        <v/>
      </c>
      <c r="K470" s="31">
        <f>IF($A470="","",IF($H470="TBA-001",IF($D470="Evet",ROUND($C470*tba_oranBesPuan,2),0),IF($H470="TBA-002",IF($E470="Evet",ROUND($C470*tba_oranIlave,2),0),IF($H470="TBA-004",IF($F470="Evet",ROUND($C470*tba_oranKadinGenc,2),0),IF($H470="TBA-ENG",IF($G470="Evet",ROUND($C470*tba_isverenOran,2),0),0)))))</f>
        <v/>
      </c>
      <c r="L470" s="31">
        <f>IF($A470="","",MAX(0,$J470-$K470))</f>
        <v/>
      </c>
    </row>
    <row r="471">
      <c r="I471" s="31">
        <f>IF($A471="","",IF($J471=0,"YOK",IF(AND($E471="Evet",ROUND($C471*tba_oranIlave,2)=$J471),"TBA-002",IF(AND($D471="Evet",ROUND($C471*tba_oranBesPuan,2)=$J471),"TBA-001",IF(AND($F471="Evet",ROUND($C471*tba_oranKadinGenc,2)=$J471),"TBA-004","TBA-ENG")))))</f>
        <v/>
      </c>
      <c r="J471" s="31">
        <f>IF($A471="","",MAX(IF($D471="Evet",ROUND($C471*tba_oranBesPuan,2),0),IF($E471="Evet",ROUND($C471*tba_oranIlave,2),0),IF($F471="Evet",ROUND($C471*tba_oranKadinGenc,2),0),IF($G471="Evet",ROUND($C471*tba_isverenOran,2),0)))</f>
        <v/>
      </c>
      <c r="K471" s="31">
        <f>IF($A471="","",IF($H471="TBA-001",IF($D471="Evet",ROUND($C471*tba_oranBesPuan,2),0),IF($H471="TBA-002",IF($E471="Evet",ROUND($C471*tba_oranIlave,2),0),IF($H471="TBA-004",IF($F471="Evet",ROUND($C471*tba_oranKadinGenc,2),0),IF($H471="TBA-ENG",IF($G471="Evet",ROUND($C471*tba_isverenOran,2),0),0)))))</f>
        <v/>
      </c>
      <c r="L471" s="31">
        <f>IF($A471="","",MAX(0,$J471-$K471))</f>
        <v/>
      </c>
    </row>
    <row r="472">
      <c r="I472" s="31">
        <f>IF($A472="","",IF($J472=0,"YOK",IF(AND($E472="Evet",ROUND($C472*tba_oranIlave,2)=$J472),"TBA-002",IF(AND($D472="Evet",ROUND($C472*tba_oranBesPuan,2)=$J472),"TBA-001",IF(AND($F472="Evet",ROUND($C472*tba_oranKadinGenc,2)=$J472),"TBA-004","TBA-ENG")))))</f>
        <v/>
      </c>
      <c r="J472" s="31">
        <f>IF($A472="","",MAX(IF($D472="Evet",ROUND($C472*tba_oranBesPuan,2),0),IF($E472="Evet",ROUND($C472*tba_oranIlave,2),0),IF($F472="Evet",ROUND($C472*tba_oranKadinGenc,2),0),IF($G472="Evet",ROUND($C472*tba_isverenOran,2),0)))</f>
        <v/>
      </c>
      <c r="K472" s="31">
        <f>IF($A472="","",IF($H472="TBA-001",IF($D472="Evet",ROUND($C472*tba_oranBesPuan,2),0),IF($H472="TBA-002",IF($E472="Evet",ROUND($C472*tba_oranIlave,2),0),IF($H472="TBA-004",IF($F472="Evet",ROUND($C472*tba_oranKadinGenc,2),0),IF($H472="TBA-ENG",IF($G472="Evet",ROUND($C472*tba_isverenOran,2),0),0)))))</f>
        <v/>
      </c>
      <c r="L472" s="31">
        <f>IF($A472="","",MAX(0,$J472-$K472))</f>
        <v/>
      </c>
    </row>
    <row r="473">
      <c r="I473" s="31">
        <f>IF($A473="","",IF($J473=0,"YOK",IF(AND($E473="Evet",ROUND($C473*tba_oranIlave,2)=$J473),"TBA-002",IF(AND($D473="Evet",ROUND($C473*tba_oranBesPuan,2)=$J473),"TBA-001",IF(AND($F473="Evet",ROUND($C473*tba_oranKadinGenc,2)=$J473),"TBA-004","TBA-ENG")))))</f>
        <v/>
      </c>
      <c r="J473" s="31">
        <f>IF($A473="","",MAX(IF($D473="Evet",ROUND($C473*tba_oranBesPuan,2),0),IF($E473="Evet",ROUND($C473*tba_oranIlave,2),0),IF($F473="Evet",ROUND($C473*tba_oranKadinGenc,2),0),IF($G473="Evet",ROUND($C473*tba_isverenOran,2),0)))</f>
        <v/>
      </c>
      <c r="K473" s="31">
        <f>IF($A473="","",IF($H473="TBA-001",IF($D473="Evet",ROUND($C473*tba_oranBesPuan,2),0),IF($H473="TBA-002",IF($E473="Evet",ROUND($C473*tba_oranIlave,2),0),IF($H473="TBA-004",IF($F473="Evet",ROUND($C473*tba_oranKadinGenc,2),0),IF($H473="TBA-ENG",IF($G473="Evet",ROUND($C473*tba_isverenOran,2),0),0)))))</f>
        <v/>
      </c>
      <c r="L473" s="31">
        <f>IF($A473="","",MAX(0,$J473-$K473))</f>
        <v/>
      </c>
    </row>
    <row r="474">
      <c r="I474" s="31">
        <f>IF($A474="","",IF($J474=0,"YOK",IF(AND($E474="Evet",ROUND($C474*tba_oranIlave,2)=$J474),"TBA-002",IF(AND($D474="Evet",ROUND($C474*tba_oranBesPuan,2)=$J474),"TBA-001",IF(AND($F474="Evet",ROUND($C474*tba_oranKadinGenc,2)=$J474),"TBA-004","TBA-ENG")))))</f>
        <v/>
      </c>
      <c r="J474" s="31">
        <f>IF($A474="","",MAX(IF($D474="Evet",ROUND($C474*tba_oranBesPuan,2),0),IF($E474="Evet",ROUND($C474*tba_oranIlave,2),0),IF($F474="Evet",ROUND($C474*tba_oranKadinGenc,2),0),IF($G474="Evet",ROUND($C474*tba_isverenOran,2),0)))</f>
        <v/>
      </c>
      <c r="K474" s="31">
        <f>IF($A474="","",IF($H474="TBA-001",IF($D474="Evet",ROUND($C474*tba_oranBesPuan,2),0),IF($H474="TBA-002",IF($E474="Evet",ROUND($C474*tba_oranIlave,2),0),IF($H474="TBA-004",IF($F474="Evet",ROUND($C474*tba_oranKadinGenc,2),0),IF($H474="TBA-ENG",IF($G474="Evet",ROUND($C474*tba_isverenOran,2),0),0)))))</f>
        <v/>
      </c>
      <c r="L474" s="31">
        <f>IF($A474="","",MAX(0,$J474-$K474))</f>
        <v/>
      </c>
    </row>
    <row r="475">
      <c r="I475" s="31">
        <f>IF($A475="","",IF($J475=0,"YOK",IF(AND($E475="Evet",ROUND($C475*tba_oranIlave,2)=$J475),"TBA-002",IF(AND($D475="Evet",ROUND($C475*tba_oranBesPuan,2)=$J475),"TBA-001",IF(AND($F475="Evet",ROUND($C475*tba_oranKadinGenc,2)=$J475),"TBA-004","TBA-ENG")))))</f>
        <v/>
      </c>
      <c r="J475" s="31">
        <f>IF($A475="","",MAX(IF($D475="Evet",ROUND($C475*tba_oranBesPuan,2),0),IF($E475="Evet",ROUND($C475*tba_oranIlave,2),0),IF($F475="Evet",ROUND($C475*tba_oranKadinGenc,2),0),IF($G475="Evet",ROUND($C475*tba_isverenOran,2),0)))</f>
        <v/>
      </c>
      <c r="K475" s="31">
        <f>IF($A475="","",IF($H475="TBA-001",IF($D475="Evet",ROUND($C475*tba_oranBesPuan,2),0),IF($H475="TBA-002",IF($E475="Evet",ROUND($C475*tba_oranIlave,2),0),IF($H475="TBA-004",IF($F475="Evet",ROUND($C475*tba_oranKadinGenc,2),0),IF($H475="TBA-ENG",IF($G475="Evet",ROUND($C475*tba_isverenOran,2),0),0)))))</f>
        <v/>
      </c>
      <c r="L475" s="31">
        <f>IF($A475="","",MAX(0,$J475-$K475))</f>
        <v/>
      </c>
    </row>
    <row r="476">
      <c r="I476" s="31">
        <f>IF($A476="","",IF($J476=0,"YOK",IF(AND($E476="Evet",ROUND($C476*tba_oranIlave,2)=$J476),"TBA-002",IF(AND($D476="Evet",ROUND($C476*tba_oranBesPuan,2)=$J476),"TBA-001",IF(AND($F476="Evet",ROUND($C476*tba_oranKadinGenc,2)=$J476),"TBA-004","TBA-ENG")))))</f>
        <v/>
      </c>
      <c r="J476" s="31">
        <f>IF($A476="","",MAX(IF($D476="Evet",ROUND($C476*tba_oranBesPuan,2),0),IF($E476="Evet",ROUND($C476*tba_oranIlave,2),0),IF($F476="Evet",ROUND($C476*tba_oranKadinGenc,2),0),IF($G476="Evet",ROUND($C476*tba_isverenOran,2),0)))</f>
        <v/>
      </c>
      <c r="K476" s="31">
        <f>IF($A476="","",IF($H476="TBA-001",IF($D476="Evet",ROUND($C476*tba_oranBesPuan,2),0),IF($H476="TBA-002",IF($E476="Evet",ROUND($C476*tba_oranIlave,2),0),IF($H476="TBA-004",IF($F476="Evet",ROUND($C476*tba_oranKadinGenc,2),0),IF($H476="TBA-ENG",IF($G476="Evet",ROUND($C476*tba_isverenOran,2),0),0)))))</f>
        <v/>
      </c>
      <c r="L476" s="31">
        <f>IF($A476="","",MAX(0,$J476-$K476))</f>
        <v/>
      </c>
    </row>
    <row r="477">
      <c r="I477" s="31">
        <f>IF($A477="","",IF($J477=0,"YOK",IF(AND($E477="Evet",ROUND($C477*tba_oranIlave,2)=$J477),"TBA-002",IF(AND($D477="Evet",ROUND($C477*tba_oranBesPuan,2)=$J477),"TBA-001",IF(AND($F477="Evet",ROUND($C477*tba_oranKadinGenc,2)=$J477),"TBA-004","TBA-ENG")))))</f>
        <v/>
      </c>
      <c r="J477" s="31">
        <f>IF($A477="","",MAX(IF($D477="Evet",ROUND($C477*tba_oranBesPuan,2),0),IF($E477="Evet",ROUND($C477*tba_oranIlave,2),0),IF($F477="Evet",ROUND($C477*tba_oranKadinGenc,2),0),IF($G477="Evet",ROUND($C477*tba_isverenOran,2),0)))</f>
        <v/>
      </c>
      <c r="K477" s="31">
        <f>IF($A477="","",IF($H477="TBA-001",IF($D477="Evet",ROUND($C477*tba_oranBesPuan,2),0),IF($H477="TBA-002",IF($E477="Evet",ROUND($C477*tba_oranIlave,2),0),IF($H477="TBA-004",IF($F477="Evet",ROUND($C477*tba_oranKadinGenc,2),0),IF($H477="TBA-ENG",IF($G477="Evet",ROUND($C477*tba_isverenOran,2),0),0)))))</f>
        <v/>
      </c>
      <c r="L477" s="31">
        <f>IF($A477="","",MAX(0,$J477-$K477))</f>
        <v/>
      </c>
    </row>
    <row r="478">
      <c r="I478" s="31">
        <f>IF($A478="","",IF($J478=0,"YOK",IF(AND($E478="Evet",ROUND($C478*tba_oranIlave,2)=$J478),"TBA-002",IF(AND($D478="Evet",ROUND($C478*tba_oranBesPuan,2)=$J478),"TBA-001",IF(AND($F478="Evet",ROUND($C478*tba_oranKadinGenc,2)=$J478),"TBA-004","TBA-ENG")))))</f>
        <v/>
      </c>
      <c r="J478" s="31">
        <f>IF($A478="","",MAX(IF($D478="Evet",ROUND($C478*tba_oranBesPuan,2),0),IF($E478="Evet",ROUND($C478*tba_oranIlave,2),0),IF($F478="Evet",ROUND($C478*tba_oranKadinGenc,2),0),IF($G478="Evet",ROUND($C478*tba_isverenOran,2),0)))</f>
        <v/>
      </c>
      <c r="K478" s="31">
        <f>IF($A478="","",IF($H478="TBA-001",IF($D478="Evet",ROUND($C478*tba_oranBesPuan,2),0),IF($H478="TBA-002",IF($E478="Evet",ROUND($C478*tba_oranIlave,2),0),IF($H478="TBA-004",IF($F478="Evet",ROUND($C478*tba_oranKadinGenc,2),0),IF($H478="TBA-ENG",IF($G478="Evet",ROUND($C478*tba_isverenOran,2),0),0)))))</f>
        <v/>
      </c>
      <c r="L478" s="31">
        <f>IF($A478="","",MAX(0,$J478-$K478))</f>
        <v/>
      </c>
    </row>
    <row r="479">
      <c r="I479" s="31">
        <f>IF($A479="","",IF($J479=0,"YOK",IF(AND($E479="Evet",ROUND($C479*tba_oranIlave,2)=$J479),"TBA-002",IF(AND($D479="Evet",ROUND($C479*tba_oranBesPuan,2)=$J479),"TBA-001",IF(AND($F479="Evet",ROUND($C479*tba_oranKadinGenc,2)=$J479),"TBA-004","TBA-ENG")))))</f>
        <v/>
      </c>
      <c r="J479" s="31">
        <f>IF($A479="","",MAX(IF($D479="Evet",ROUND($C479*tba_oranBesPuan,2),0),IF($E479="Evet",ROUND($C479*tba_oranIlave,2),0),IF($F479="Evet",ROUND($C479*tba_oranKadinGenc,2),0),IF($G479="Evet",ROUND($C479*tba_isverenOran,2),0)))</f>
        <v/>
      </c>
      <c r="K479" s="31">
        <f>IF($A479="","",IF($H479="TBA-001",IF($D479="Evet",ROUND($C479*tba_oranBesPuan,2),0),IF($H479="TBA-002",IF($E479="Evet",ROUND($C479*tba_oranIlave,2),0),IF($H479="TBA-004",IF($F479="Evet",ROUND($C479*tba_oranKadinGenc,2),0),IF($H479="TBA-ENG",IF($G479="Evet",ROUND($C479*tba_isverenOran,2),0),0)))))</f>
        <v/>
      </c>
      <c r="L479" s="31">
        <f>IF($A479="","",MAX(0,$J479-$K479))</f>
        <v/>
      </c>
    </row>
    <row r="480">
      <c r="I480" s="31">
        <f>IF($A480="","",IF($J480=0,"YOK",IF(AND($E480="Evet",ROUND($C480*tba_oranIlave,2)=$J480),"TBA-002",IF(AND($D480="Evet",ROUND($C480*tba_oranBesPuan,2)=$J480),"TBA-001",IF(AND($F480="Evet",ROUND($C480*tba_oranKadinGenc,2)=$J480),"TBA-004","TBA-ENG")))))</f>
        <v/>
      </c>
      <c r="J480" s="31">
        <f>IF($A480="","",MAX(IF($D480="Evet",ROUND($C480*tba_oranBesPuan,2),0),IF($E480="Evet",ROUND($C480*tba_oranIlave,2),0),IF($F480="Evet",ROUND($C480*tba_oranKadinGenc,2),0),IF($G480="Evet",ROUND($C480*tba_isverenOran,2),0)))</f>
        <v/>
      </c>
      <c r="K480" s="31">
        <f>IF($A480="","",IF($H480="TBA-001",IF($D480="Evet",ROUND($C480*tba_oranBesPuan,2),0),IF($H480="TBA-002",IF($E480="Evet",ROUND($C480*tba_oranIlave,2),0),IF($H480="TBA-004",IF($F480="Evet",ROUND($C480*tba_oranKadinGenc,2),0),IF($H480="TBA-ENG",IF($G480="Evet",ROUND($C480*tba_isverenOran,2),0),0)))))</f>
        <v/>
      </c>
      <c r="L480" s="31">
        <f>IF($A480="","",MAX(0,$J480-$K480))</f>
        <v/>
      </c>
    </row>
    <row r="481">
      <c r="I481" s="31">
        <f>IF($A481="","",IF($J481=0,"YOK",IF(AND($E481="Evet",ROUND($C481*tba_oranIlave,2)=$J481),"TBA-002",IF(AND($D481="Evet",ROUND($C481*tba_oranBesPuan,2)=$J481),"TBA-001",IF(AND($F481="Evet",ROUND($C481*tba_oranKadinGenc,2)=$J481),"TBA-004","TBA-ENG")))))</f>
        <v/>
      </c>
      <c r="J481" s="31">
        <f>IF($A481="","",MAX(IF($D481="Evet",ROUND($C481*tba_oranBesPuan,2),0),IF($E481="Evet",ROUND($C481*tba_oranIlave,2),0),IF($F481="Evet",ROUND($C481*tba_oranKadinGenc,2),0),IF($G481="Evet",ROUND($C481*tba_isverenOran,2),0)))</f>
        <v/>
      </c>
      <c r="K481" s="31">
        <f>IF($A481="","",IF($H481="TBA-001",IF($D481="Evet",ROUND($C481*tba_oranBesPuan,2),0),IF($H481="TBA-002",IF($E481="Evet",ROUND($C481*tba_oranIlave,2),0),IF($H481="TBA-004",IF($F481="Evet",ROUND($C481*tba_oranKadinGenc,2),0),IF($H481="TBA-ENG",IF($G481="Evet",ROUND($C481*tba_isverenOran,2),0),0)))))</f>
        <v/>
      </c>
      <c r="L481" s="31">
        <f>IF($A481="","",MAX(0,$J481-$K481))</f>
        <v/>
      </c>
    </row>
    <row r="482">
      <c r="I482" s="31">
        <f>IF($A482="","",IF($J482=0,"YOK",IF(AND($E482="Evet",ROUND($C482*tba_oranIlave,2)=$J482),"TBA-002",IF(AND($D482="Evet",ROUND($C482*tba_oranBesPuan,2)=$J482),"TBA-001",IF(AND($F482="Evet",ROUND($C482*tba_oranKadinGenc,2)=$J482),"TBA-004","TBA-ENG")))))</f>
        <v/>
      </c>
      <c r="J482" s="31">
        <f>IF($A482="","",MAX(IF($D482="Evet",ROUND($C482*tba_oranBesPuan,2),0),IF($E482="Evet",ROUND($C482*tba_oranIlave,2),0),IF($F482="Evet",ROUND($C482*tba_oranKadinGenc,2),0),IF($G482="Evet",ROUND($C482*tba_isverenOran,2),0)))</f>
        <v/>
      </c>
      <c r="K482" s="31">
        <f>IF($A482="","",IF($H482="TBA-001",IF($D482="Evet",ROUND($C482*tba_oranBesPuan,2),0),IF($H482="TBA-002",IF($E482="Evet",ROUND($C482*tba_oranIlave,2),0),IF($H482="TBA-004",IF($F482="Evet",ROUND($C482*tba_oranKadinGenc,2),0),IF($H482="TBA-ENG",IF($G482="Evet",ROUND($C482*tba_isverenOran,2),0),0)))))</f>
        <v/>
      </c>
      <c r="L482" s="31">
        <f>IF($A482="","",MAX(0,$J482-$K482))</f>
        <v/>
      </c>
    </row>
    <row r="483">
      <c r="I483" s="31">
        <f>IF($A483="","",IF($J483=0,"YOK",IF(AND($E483="Evet",ROUND($C483*tba_oranIlave,2)=$J483),"TBA-002",IF(AND($D483="Evet",ROUND($C483*tba_oranBesPuan,2)=$J483),"TBA-001",IF(AND($F483="Evet",ROUND($C483*tba_oranKadinGenc,2)=$J483),"TBA-004","TBA-ENG")))))</f>
        <v/>
      </c>
      <c r="J483" s="31">
        <f>IF($A483="","",MAX(IF($D483="Evet",ROUND($C483*tba_oranBesPuan,2),0),IF($E483="Evet",ROUND($C483*tba_oranIlave,2),0),IF($F483="Evet",ROUND($C483*tba_oranKadinGenc,2),0),IF($G483="Evet",ROUND($C483*tba_isverenOran,2),0)))</f>
        <v/>
      </c>
      <c r="K483" s="31">
        <f>IF($A483="","",IF($H483="TBA-001",IF($D483="Evet",ROUND($C483*tba_oranBesPuan,2),0),IF($H483="TBA-002",IF($E483="Evet",ROUND($C483*tba_oranIlave,2),0),IF($H483="TBA-004",IF($F483="Evet",ROUND($C483*tba_oranKadinGenc,2),0),IF($H483="TBA-ENG",IF($G483="Evet",ROUND($C483*tba_isverenOran,2),0),0)))))</f>
        <v/>
      </c>
      <c r="L483" s="31">
        <f>IF($A483="","",MAX(0,$J483-$K483))</f>
        <v/>
      </c>
    </row>
    <row r="484">
      <c r="I484" s="31">
        <f>IF($A484="","",IF($J484=0,"YOK",IF(AND($E484="Evet",ROUND($C484*tba_oranIlave,2)=$J484),"TBA-002",IF(AND($D484="Evet",ROUND($C484*tba_oranBesPuan,2)=$J484),"TBA-001",IF(AND($F484="Evet",ROUND($C484*tba_oranKadinGenc,2)=$J484),"TBA-004","TBA-ENG")))))</f>
        <v/>
      </c>
      <c r="J484" s="31">
        <f>IF($A484="","",MAX(IF($D484="Evet",ROUND($C484*tba_oranBesPuan,2),0),IF($E484="Evet",ROUND($C484*tba_oranIlave,2),0),IF($F484="Evet",ROUND($C484*tba_oranKadinGenc,2),0),IF($G484="Evet",ROUND($C484*tba_isverenOran,2),0)))</f>
        <v/>
      </c>
      <c r="K484" s="31">
        <f>IF($A484="","",IF($H484="TBA-001",IF($D484="Evet",ROUND($C484*tba_oranBesPuan,2),0),IF($H484="TBA-002",IF($E484="Evet",ROUND($C484*tba_oranIlave,2),0),IF($H484="TBA-004",IF($F484="Evet",ROUND($C484*tba_oranKadinGenc,2),0),IF($H484="TBA-ENG",IF($G484="Evet",ROUND($C484*tba_isverenOran,2),0),0)))))</f>
        <v/>
      </c>
      <c r="L484" s="31">
        <f>IF($A484="","",MAX(0,$J484-$K484))</f>
        <v/>
      </c>
    </row>
    <row r="485">
      <c r="I485" s="31">
        <f>IF($A485="","",IF($J485=0,"YOK",IF(AND($E485="Evet",ROUND($C485*tba_oranIlave,2)=$J485),"TBA-002",IF(AND($D485="Evet",ROUND($C485*tba_oranBesPuan,2)=$J485),"TBA-001",IF(AND($F485="Evet",ROUND($C485*tba_oranKadinGenc,2)=$J485),"TBA-004","TBA-ENG")))))</f>
        <v/>
      </c>
      <c r="J485" s="31">
        <f>IF($A485="","",MAX(IF($D485="Evet",ROUND($C485*tba_oranBesPuan,2),0),IF($E485="Evet",ROUND($C485*tba_oranIlave,2),0),IF($F485="Evet",ROUND($C485*tba_oranKadinGenc,2),0),IF($G485="Evet",ROUND($C485*tba_isverenOran,2),0)))</f>
        <v/>
      </c>
      <c r="K485" s="31">
        <f>IF($A485="","",IF($H485="TBA-001",IF($D485="Evet",ROUND($C485*tba_oranBesPuan,2),0),IF($H485="TBA-002",IF($E485="Evet",ROUND($C485*tba_oranIlave,2),0),IF($H485="TBA-004",IF($F485="Evet",ROUND($C485*tba_oranKadinGenc,2),0),IF($H485="TBA-ENG",IF($G485="Evet",ROUND($C485*tba_isverenOran,2),0),0)))))</f>
        <v/>
      </c>
      <c r="L485" s="31">
        <f>IF($A485="","",MAX(0,$J485-$K485))</f>
        <v/>
      </c>
    </row>
    <row r="486">
      <c r="I486" s="31">
        <f>IF($A486="","",IF($J486=0,"YOK",IF(AND($E486="Evet",ROUND($C486*tba_oranIlave,2)=$J486),"TBA-002",IF(AND($D486="Evet",ROUND($C486*tba_oranBesPuan,2)=$J486),"TBA-001",IF(AND($F486="Evet",ROUND($C486*tba_oranKadinGenc,2)=$J486),"TBA-004","TBA-ENG")))))</f>
        <v/>
      </c>
      <c r="J486" s="31">
        <f>IF($A486="","",MAX(IF($D486="Evet",ROUND($C486*tba_oranBesPuan,2),0),IF($E486="Evet",ROUND($C486*tba_oranIlave,2),0),IF($F486="Evet",ROUND($C486*tba_oranKadinGenc,2),0),IF($G486="Evet",ROUND($C486*tba_isverenOran,2),0)))</f>
        <v/>
      </c>
      <c r="K486" s="31">
        <f>IF($A486="","",IF($H486="TBA-001",IF($D486="Evet",ROUND($C486*tba_oranBesPuan,2),0),IF($H486="TBA-002",IF($E486="Evet",ROUND($C486*tba_oranIlave,2),0),IF($H486="TBA-004",IF($F486="Evet",ROUND($C486*tba_oranKadinGenc,2),0),IF($H486="TBA-ENG",IF($G486="Evet",ROUND($C486*tba_isverenOran,2),0),0)))))</f>
        <v/>
      </c>
      <c r="L486" s="31">
        <f>IF($A486="","",MAX(0,$J486-$K486))</f>
        <v/>
      </c>
    </row>
    <row r="487">
      <c r="I487" s="31">
        <f>IF($A487="","",IF($J487=0,"YOK",IF(AND($E487="Evet",ROUND($C487*tba_oranIlave,2)=$J487),"TBA-002",IF(AND($D487="Evet",ROUND($C487*tba_oranBesPuan,2)=$J487),"TBA-001",IF(AND($F487="Evet",ROUND($C487*tba_oranKadinGenc,2)=$J487),"TBA-004","TBA-ENG")))))</f>
        <v/>
      </c>
      <c r="J487" s="31">
        <f>IF($A487="","",MAX(IF($D487="Evet",ROUND($C487*tba_oranBesPuan,2),0),IF($E487="Evet",ROUND($C487*tba_oranIlave,2),0),IF($F487="Evet",ROUND($C487*tba_oranKadinGenc,2),0),IF($G487="Evet",ROUND($C487*tba_isverenOran,2),0)))</f>
        <v/>
      </c>
      <c r="K487" s="31">
        <f>IF($A487="","",IF($H487="TBA-001",IF($D487="Evet",ROUND($C487*tba_oranBesPuan,2),0),IF($H487="TBA-002",IF($E487="Evet",ROUND($C487*tba_oranIlave,2),0),IF($H487="TBA-004",IF($F487="Evet",ROUND($C487*tba_oranKadinGenc,2),0),IF($H487="TBA-ENG",IF($G487="Evet",ROUND($C487*tba_isverenOran,2),0),0)))))</f>
        <v/>
      </c>
      <c r="L487" s="31">
        <f>IF($A487="","",MAX(0,$J487-$K487))</f>
        <v/>
      </c>
    </row>
    <row r="488">
      <c r="I488" s="31">
        <f>IF($A488="","",IF($J488=0,"YOK",IF(AND($E488="Evet",ROUND($C488*tba_oranIlave,2)=$J488),"TBA-002",IF(AND($D488="Evet",ROUND($C488*tba_oranBesPuan,2)=$J488),"TBA-001",IF(AND($F488="Evet",ROUND($C488*tba_oranKadinGenc,2)=$J488),"TBA-004","TBA-ENG")))))</f>
        <v/>
      </c>
      <c r="J488" s="31">
        <f>IF($A488="","",MAX(IF($D488="Evet",ROUND($C488*tba_oranBesPuan,2),0),IF($E488="Evet",ROUND($C488*tba_oranIlave,2),0),IF($F488="Evet",ROUND($C488*tba_oranKadinGenc,2),0),IF($G488="Evet",ROUND($C488*tba_isverenOran,2),0)))</f>
        <v/>
      </c>
      <c r="K488" s="31">
        <f>IF($A488="","",IF($H488="TBA-001",IF($D488="Evet",ROUND($C488*tba_oranBesPuan,2),0),IF($H488="TBA-002",IF($E488="Evet",ROUND($C488*tba_oranIlave,2),0),IF($H488="TBA-004",IF($F488="Evet",ROUND($C488*tba_oranKadinGenc,2),0),IF($H488="TBA-ENG",IF($G488="Evet",ROUND($C488*tba_isverenOran,2),0),0)))))</f>
        <v/>
      </c>
      <c r="L488" s="31">
        <f>IF($A488="","",MAX(0,$J488-$K488))</f>
        <v/>
      </c>
    </row>
    <row r="489">
      <c r="I489" s="31">
        <f>IF($A489="","",IF($J489=0,"YOK",IF(AND($E489="Evet",ROUND($C489*tba_oranIlave,2)=$J489),"TBA-002",IF(AND($D489="Evet",ROUND($C489*tba_oranBesPuan,2)=$J489),"TBA-001",IF(AND($F489="Evet",ROUND($C489*tba_oranKadinGenc,2)=$J489),"TBA-004","TBA-ENG")))))</f>
        <v/>
      </c>
      <c r="J489" s="31">
        <f>IF($A489="","",MAX(IF($D489="Evet",ROUND($C489*tba_oranBesPuan,2),0),IF($E489="Evet",ROUND($C489*tba_oranIlave,2),0),IF($F489="Evet",ROUND($C489*tba_oranKadinGenc,2),0),IF($G489="Evet",ROUND($C489*tba_isverenOran,2),0)))</f>
        <v/>
      </c>
      <c r="K489" s="31">
        <f>IF($A489="","",IF($H489="TBA-001",IF($D489="Evet",ROUND($C489*tba_oranBesPuan,2),0),IF($H489="TBA-002",IF($E489="Evet",ROUND($C489*tba_oranIlave,2),0),IF($H489="TBA-004",IF($F489="Evet",ROUND($C489*tba_oranKadinGenc,2),0),IF($H489="TBA-ENG",IF($G489="Evet",ROUND($C489*tba_isverenOran,2),0),0)))))</f>
        <v/>
      </c>
      <c r="L489" s="31">
        <f>IF($A489="","",MAX(0,$J489-$K489))</f>
        <v/>
      </c>
    </row>
    <row r="490">
      <c r="I490" s="31">
        <f>IF($A490="","",IF($J490=0,"YOK",IF(AND($E490="Evet",ROUND($C490*tba_oranIlave,2)=$J490),"TBA-002",IF(AND($D490="Evet",ROUND($C490*tba_oranBesPuan,2)=$J490),"TBA-001",IF(AND($F490="Evet",ROUND($C490*tba_oranKadinGenc,2)=$J490),"TBA-004","TBA-ENG")))))</f>
        <v/>
      </c>
      <c r="J490" s="31">
        <f>IF($A490="","",MAX(IF($D490="Evet",ROUND($C490*tba_oranBesPuan,2),0),IF($E490="Evet",ROUND($C490*tba_oranIlave,2),0),IF($F490="Evet",ROUND($C490*tba_oranKadinGenc,2),0),IF($G490="Evet",ROUND($C490*tba_isverenOran,2),0)))</f>
        <v/>
      </c>
      <c r="K490" s="31">
        <f>IF($A490="","",IF($H490="TBA-001",IF($D490="Evet",ROUND($C490*tba_oranBesPuan,2),0),IF($H490="TBA-002",IF($E490="Evet",ROUND($C490*tba_oranIlave,2),0),IF($H490="TBA-004",IF($F490="Evet",ROUND($C490*tba_oranKadinGenc,2),0),IF($H490="TBA-ENG",IF($G490="Evet",ROUND($C490*tba_isverenOran,2),0),0)))))</f>
        <v/>
      </c>
      <c r="L490" s="31">
        <f>IF($A490="","",MAX(0,$J490-$K490))</f>
        <v/>
      </c>
    </row>
    <row r="491">
      <c r="I491" s="31">
        <f>IF($A491="","",IF($J491=0,"YOK",IF(AND($E491="Evet",ROUND($C491*tba_oranIlave,2)=$J491),"TBA-002",IF(AND($D491="Evet",ROUND($C491*tba_oranBesPuan,2)=$J491),"TBA-001",IF(AND($F491="Evet",ROUND($C491*tba_oranKadinGenc,2)=$J491),"TBA-004","TBA-ENG")))))</f>
        <v/>
      </c>
      <c r="J491" s="31">
        <f>IF($A491="","",MAX(IF($D491="Evet",ROUND($C491*tba_oranBesPuan,2),0),IF($E491="Evet",ROUND($C491*tba_oranIlave,2),0),IF($F491="Evet",ROUND($C491*tba_oranKadinGenc,2),0),IF($G491="Evet",ROUND($C491*tba_isverenOran,2),0)))</f>
        <v/>
      </c>
      <c r="K491" s="31">
        <f>IF($A491="","",IF($H491="TBA-001",IF($D491="Evet",ROUND($C491*tba_oranBesPuan,2),0),IF($H491="TBA-002",IF($E491="Evet",ROUND($C491*tba_oranIlave,2),0),IF($H491="TBA-004",IF($F491="Evet",ROUND($C491*tba_oranKadinGenc,2),0),IF($H491="TBA-ENG",IF($G491="Evet",ROUND($C491*tba_isverenOran,2),0),0)))))</f>
        <v/>
      </c>
      <c r="L491" s="31">
        <f>IF($A491="","",MAX(0,$J491-$K491))</f>
        <v/>
      </c>
    </row>
    <row r="492">
      <c r="I492" s="31">
        <f>IF($A492="","",IF($J492=0,"YOK",IF(AND($E492="Evet",ROUND($C492*tba_oranIlave,2)=$J492),"TBA-002",IF(AND($D492="Evet",ROUND($C492*tba_oranBesPuan,2)=$J492),"TBA-001",IF(AND($F492="Evet",ROUND($C492*tba_oranKadinGenc,2)=$J492),"TBA-004","TBA-ENG")))))</f>
        <v/>
      </c>
      <c r="J492" s="31">
        <f>IF($A492="","",MAX(IF($D492="Evet",ROUND($C492*tba_oranBesPuan,2),0),IF($E492="Evet",ROUND($C492*tba_oranIlave,2),0),IF($F492="Evet",ROUND($C492*tba_oranKadinGenc,2),0),IF($G492="Evet",ROUND($C492*tba_isverenOran,2),0)))</f>
        <v/>
      </c>
      <c r="K492" s="31">
        <f>IF($A492="","",IF($H492="TBA-001",IF($D492="Evet",ROUND($C492*tba_oranBesPuan,2),0),IF($H492="TBA-002",IF($E492="Evet",ROUND($C492*tba_oranIlave,2),0),IF($H492="TBA-004",IF($F492="Evet",ROUND($C492*tba_oranKadinGenc,2),0),IF($H492="TBA-ENG",IF($G492="Evet",ROUND($C492*tba_isverenOran,2),0),0)))))</f>
        <v/>
      </c>
      <c r="L492" s="31">
        <f>IF($A492="","",MAX(0,$J492-$K492))</f>
        <v/>
      </c>
    </row>
    <row r="493">
      <c r="I493" s="31">
        <f>IF($A493="","",IF($J493=0,"YOK",IF(AND($E493="Evet",ROUND($C493*tba_oranIlave,2)=$J493),"TBA-002",IF(AND($D493="Evet",ROUND($C493*tba_oranBesPuan,2)=$J493),"TBA-001",IF(AND($F493="Evet",ROUND($C493*tba_oranKadinGenc,2)=$J493),"TBA-004","TBA-ENG")))))</f>
        <v/>
      </c>
      <c r="J493" s="31">
        <f>IF($A493="","",MAX(IF($D493="Evet",ROUND($C493*tba_oranBesPuan,2),0),IF($E493="Evet",ROUND($C493*tba_oranIlave,2),0),IF($F493="Evet",ROUND($C493*tba_oranKadinGenc,2),0),IF($G493="Evet",ROUND($C493*tba_isverenOran,2),0)))</f>
        <v/>
      </c>
      <c r="K493" s="31">
        <f>IF($A493="","",IF($H493="TBA-001",IF($D493="Evet",ROUND($C493*tba_oranBesPuan,2),0),IF($H493="TBA-002",IF($E493="Evet",ROUND($C493*tba_oranIlave,2),0),IF($H493="TBA-004",IF($F493="Evet",ROUND($C493*tba_oranKadinGenc,2),0),IF($H493="TBA-ENG",IF($G493="Evet",ROUND($C493*tba_isverenOran,2),0),0)))))</f>
        <v/>
      </c>
      <c r="L493" s="31">
        <f>IF($A493="","",MAX(0,$J493-$K493))</f>
        <v/>
      </c>
    </row>
    <row r="494">
      <c r="I494" s="31">
        <f>IF($A494="","",IF($J494=0,"YOK",IF(AND($E494="Evet",ROUND($C494*tba_oranIlave,2)=$J494),"TBA-002",IF(AND($D494="Evet",ROUND($C494*tba_oranBesPuan,2)=$J494),"TBA-001",IF(AND($F494="Evet",ROUND($C494*tba_oranKadinGenc,2)=$J494),"TBA-004","TBA-ENG")))))</f>
        <v/>
      </c>
      <c r="J494" s="31">
        <f>IF($A494="","",MAX(IF($D494="Evet",ROUND($C494*tba_oranBesPuan,2),0),IF($E494="Evet",ROUND($C494*tba_oranIlave,2),0),IF($F494="Evet",ROUND($C494*tba_oranKadinGenc,2),0),IF($G494="Evet",ROUND($C494*tba_isverenOran,2),0)))</f>
        <v/>
      </c>
      <c r="K494" s="31">
        <f>IF($A494="","",IF($H494="TBA-001",IF($D494="Evet",ROUND($C494*tba_oranBesPuan,2),0),IF($H494="TBA-002",IF($E494="Evet",ROUND($C494*tba_oranIlave,2),0),IF($H494="TBA-004",IF($F494="Evet",ROUND($C494*tba_oranKadinGenc,2),0),IF($H494="TBA-ENG",IF($G494="Evet",ROUND($C494*tba_isverenOran,2),0),0)))))</f>
        <v/>
      </c>
      <c r="L494" s="31">
        <f>IF($A494="","",MAX(0,$J494-$K494))</f>
        <v/>
      </c>
    </row>
    <row r="495">
      <c r="I495" s="31">
        <f>IF($A495="","",IF($J495=0,"YOK",IF(AND($E495="Evet",ROUND($C495*tba_oranIlave,2)=$J495),"TBA-002",IF(AND($D495="Evet",ROUND($C495*tba_oranBesPuan,2)=$J495),"TBA-001",IF(AND($F495="Evet",ROUND($C495*tba_oranKadinGenc,2)=$J495),"TBA-004","TBA-ENG")))))</f>
        <v/>
      </c>
      <c r="J495" s="31">
        <f>IF($A495="","",MAX(IF($D495="Evet",ROUND($C495*tba_oranBesPuan,2),0),IF($E495="Evet",ROUND($C495*tba_oranIlave,2),0),IF($F495="Evet",ROUND($C495*tba_oranKadinGenc,2),0),IF($G495="Evet",ROUND($C495*tba_isverenOran,2),0)))</f>
        <v/>
      </c>
      <c r="K495" s="31">
        <f>IF($A495="","",IF($H495="TBA-001",IF($D495="Evet",ROUND($C495*tba_oranBesPuan,2),0),IF($H495="TBA-002",IF($E495="Evet",ROUND($C495*tba_oranIlave,2),0),IF($H495="TBA-004",IF($F495="Evet",ROUND($C495*tba_oranKadinGenc,2),0),IF($H495="TBA-ENG",IF($G495="Evet",ROUND($C495*tba_isverenOran,2),0),0)))))</f>
        <v/>
      </c>
      <c r="L495" s="31">
        <f>IF($A495="","",MAX(0,$J495-$K495))</f>
        <v/>
      </c>
    </row>
    <row r="496">
      <c r="I496" s="31">
        <f>IF($A496="","",IF($J496=0,"YOK",IF(AND($E496="Evet",ROUND($C496*tba_oranIlave,2)=$J496),"TBA-002",IF(AND($D496="Evet",ROUND($C496*tba_oranBesPuan,2)=$J496),"TBA-001",IF(AND($F496="Evet",ROUND($C496*tba_oranKadinGenc,2)=$J496),"TBA-004","TBA-ENG")))))</f>
        <v/>
      </c>
      <c r="J496" s="31">
        <f>IF($A496="","",MAX(IF($D496="Evet",ROUND($C496*tba_oranBesPuan,2),0),IF($E496="Evet",ROUND($C496*tba_oranIlave,2),0),IF($F496="Evet",ROUND($C496*tba_oranKadinGenc,2),0),IF($G496="Evet",ROUND($C496*tba_isverenOran,2),0)))</f>
        <v/>
      </c>
      <c r="K496" s="31">
        <f>IF($A496="","",IF($H496="TBA-001",IF($D496="Evet",ROUND($C496*tba_oranBesPuan,2),0),IF($H496="TBA-002",IF($E496="Evet",ROUND($C496*tba_oranIlave,2),0),IF($H496="TBA-004",IF($F496="Evet",ROUND($C496*tba_oranKadinGenc,2),0),IF($H496="TBA-ENG",IF($G496="Evet",ROUND($C496*tba_isverenOran,2),0),0)))))</f>
        <v/>
      </c>
      <c r="L496" s="31">
        <f>IF($A496="","",MAX(0,$J496-$K496))</f>
        <v/>
      </c>
    </row>
    <row r="497">
      <c r="I497" s="31">
        <f>IF($A497="","",IF($J497=0,"YOK",IF(AND($E497="Evet",ROUND($C497*tba_oranIlave,2)=$J497),"TBA-002",IF(AND($D497="Evet",ROUND($C497*tba_oranBesPuan,2)=$J497),"TBA-001",IF(AND($F497="Evet",ROUND($C497*tba_oranKadinGenc,2)=$J497),"TBA-004","TBA-ENG")))))</f>
        <v/>
      </c>
      <c r="J497" s="31">
        <f>IF($A497="","",MAX(IF($D497="Evet",ROUND($C497*tba_oranBesPuan,2),0),IF($E497="Evet",ROUND($C497*tba_oranIlave,2),0),IF($F497="Evet",ROUND($C497*tba_oranKadinGenc,2),0),IF($G497="Evet",ROUND($C497*tba_isverenOran,2),0)))</f>
        <v/>
      </c>
      <c r="K497" s="31">
        <f>IF($A497="","",IF($H497="TBA-001",IF($D497="Evet",ROUND($C497*tba_oranBesPuan,2),0),IF($H497="TBA-002",IF($E497="Evet",ROUND($C497*tba_oranIlave,2),0),IF($H497="TBA-004",IF($F497="Evet",ROUND($C497*tba_oranKadinGenc,2),0),IF($H497="TBA-ENG",IF($G497="Evet",ROUND($C497*tba_isverenOran,2),0),0)))))</f>
        <v/>
      </c>
      <c r="L497" s="31">
        <f>IF($A497="","",MAX(0,$J497-$K497))</f>
        <v/>
      </c>
    </row>
    <row r="498">
      <c r="I498" s="31">
        <f>IF($A498="","",IF($J498=0,"YOK",IF(AND($E498="Evet",ROUND($C498*tba_oranIlave,2)=$J498),"TBA-002",IF(AND($D498="Evet",ROUND($C498*tba_oranBesPuan,2)=$J498),"TBA-001",IF(AND($F498="Evet",ROUND($C498*tba_oranKadinGenc,2)=$J498),"TBA-004","TBA-ENG")))))</f>
        <v/>
      </c>
      <c r="J498" s="31">
        <f>IF($A498="","",MAX(IF($D498="Evet",ROUND($C498*tba_oranBesPuan,2),0),IF($E498="Evet",ROUND($C498*tba_oranIlave,2),0),IF($F498="Evet",ROUND($C498*tba_oranKadinGenc,2),0),IF($G498="Evet",ROUND($C498*tba_isverenOran,2),0)))</f>
        <v/>
      </c>
      <c r="K498" s="31">
        <f>IF($A498="","",IF($H498="TBA-001",IF($D498="Evet",ROUND($C498*tba_oranBesPuan,2),0),IF($H498="TBA-002",IF($E498="Evet",ROUND($C498*tba_oranIlave,2),0),IF($H498="TBA-004",IF($F498="Evet",ROUND($C498*tba_oranKadinGenc,2),0),IF($H498="TBA-ENG",IF($G498="Evet",ROUND($C498*tba_isverenOran,2),0),0)))))</f>
        <v/>
      </c>
      <c r="L498" s="31">
        <f>IF($A498="","",MAX(0,$J498-$K498))</f>
        <v/>
      </c>
    </row>
    <row r="499">
      <c r="I499" s="31">
        <f>IF($A499="","",IF($J499=0,"YOK",IF(AND($E499="Evet",ROUND($C499*tba_oranIlave,2)=$J499),"TBA-002",IF(AND($D499="Evet",ROUND($C499*tba_oranBesPuan,2)=$J499),"TBA-001",IF(AND($F499="Evet",ROUND($C499*tba_oranKadinGenc,2)=$J499),"TBA-004","TBA-ENG")))))</f>
        <v/>
      </c>
      <c r="J499" s="31">
        <f>IF($A499="","",MAX(IF($D499="Evet",ROUND($C499*tba_oranBesPuan,2),0),IF($E499="Evet",ROUND($C499*tba_oranIlave,2),0),IF($F499="Evet",ROUND($C499*tba_oranKadinGenc,2),0),IF($G499="Evet",ROUND($C499*tba_isverenOran,2),0)))</f>
        <v/>
      </c>
      <c r="K499" s="31">
        <f>IF($A499="","",IF($H499="TBA-001",IF($D499="Evet",ROUND($C499*tba_oranBesPuan,2),0),IF($H499="TBA-002",IF($E499="Evet",ROUND($C499*tba_oranIlave,2),0),IF($H499="TBA-004",IF($F499="Evet",ROUND($C499*tba_oranKadinGenc,2),0),IF($H499="TBA-ENG",IF($G499="Evet",ROUND($C499*tba_isverenOran,2),0),0)))))</f>
        <v/>
      </c>
      <c r="L499" s="31">
        <f>IF($A499="","",MAX(0,$J499-$K499))</f>
        <v/>
      </c>
    </row>
    <row r="500">
      <c r="I500" s="31">
        <f>IF($A500="","",IF($J500=0,"YOK",IF(AND($E500="Evet",ROUND($C500*tba_oranIlave,2)=$J500),"TBA-002",IF(AND($D500="Evet",ROUND($C500*tba_oranBesPuan,2)=$J500),"TBA-001",IF(AND($F500="Evet",ROUND($C500*tba_oranKadinGenc,2)=$J500),"TBA-004","TBA-ENG")))))</f>
        <v/>
      </c>
      <c r="J500" s="31">
        <f>IF($A500="","",MAX(IF($D500="Evet",ROUND($C500*tba_oranBesPuan,2),0),IF($E500="Evet",ROUND($C500*tba_oranIlave,2),0),IF($F500="Evet",ROUND($C500*tba_oranKadinGenc,2),0),IF($G500="Evet",ROUND($C500*tba_isverenOran,2),0)))</f>
        <v/>
      </c>
      <c r="K500" s="31">
        <f>IF($A500="","",IF($H500="TBA-001",IF($D500="Evet",ROUND($C500*tba_oranBesPuan,2),0),IF($H500="TBA-002",IF($E500="Evet",ROUND($C500*tba_oranIlave,2),0),IF($H500="TBA-004",IF($F500="Evet",ROUND($C500*tba_oranKadinGenc,2),0),IF($H500="TBA-ENG",IF($G500="Evet",ROUND($C500*tba_isverenOran,2),0),0)))))</f>
        <v/>
      </c>
      <c r="L500" s="31">
        <f>IF($A500="","",MAX(0,$J500-$K500))</f>
        <v/>
      </c>
    </row>
    <row r="501">
      <c r="I501" s="31">
        <f>IF($A501="","",IF($J501=0,"YOK",IF(AND($E501="Evet",ROUND($C501*tba_oranIlave,2)=$J501),"TBA-002",IF(AND($D501="Evet",ROUND($C501*tba_oranBesPuan,2)=$J501),"TBA-001",IF(AND($F501="Evet",ROUND($C501*tba_oranKadinGenc,2)=$J501),"TBA-004","TBA-ENG")))))</f>
        <v/>
      </c>
      <c r="J501" s="31">
        <f>IF($A501="","",MAX(IF($D501="Evet",ROUND($C501*tba_oranBesPuan,2),0),IF($E501="Evet",ROUND($C501*tba_oranIlave,2),0),IF($F501="Evet",ROUND($C501*tba_oranKadinGenc,2),0),IF($G501="Evet",ROUND($C501*tba_isverenOran,2),0)))</f>
        <v/>
      </c>
      <c r="K501" s="31">
        <f>IF($A501="","",IF($H501="TBA-001",IF($D501="Evet",ROUND($C501*tba_oranBesPuan,2),0),IF($H501="TBA-002",IF($E501="Evet",ROUND($C501*tba_oranIlave,2),0),IF($H501="TBA-004",IF($F501="Evet",ROUND($C501*tba_oranKadinGenc,2),0),IF($H501="TBA-ENG",IF($G501="Evet",ROUND($C501*tba_isverenOran,2),0),0)))))</f>
        <v/>
      </c>
      <c r="L501" s="31">
        <f>IF($A501="","",MAX(0,$J501-$K501))</f>
        <v/>
      </c>
    </row>
    <row r="502">
      <c r="I502" s="31">
        <f>IF($A502="","",IF($J502=0,"YOK",IF(AND($E502="Evet",ROUND($C502*tba_oranIlave,2)=$J502),"TBA-002",IF(AND($D502="Evet",ROUND($C502*tba_oranBesPuan,2)=$J502),"TBA-001",IF(AND($F502="Evet",ROUND($C502*tba_oranKadinGenc,2)=$J502),"TBA-004","TBA-ENG")))))</f>
        <v/>
      </c>
      <c r="J502" s="31">
        <f>IF($A502="","",MAX(IF($D502="Evet",ROUND($C502*tba_oranBesPuan,2),0),IF($E502="Evet",ROUND($C502*tba_oranIlave,2),0),IF($F502="Evet",ROUND($C502*tba_oranKadinGenc,2),0),IF($G502="Evet",ROUND($C502*tba_isverenOran,2),0)))</f>
        <v/>
      </c>
      <c r="K502" s="31">
        <f>IF($A502="","",IF($H502="TBA-001",IF($D502="Evet",ROUND($C502*tba_oranBesPuan,2),0),IF($H502="TBA-002",IF($E502="Evet",ROUND($C502*tba_oranIlave,2),0),IF($H502="TBA-004",IF($F502="Evet",ROUND($C502*tba_oranKadinGenc,2),0),IF($H502="TBA-ENG",IF($G502="Evet",ROUND($C502*tba_isverenOran,2),0),0)))))</f>
        <v/>
      </c>
      <c r="L502" s="31">
        <f>IF($A502="","",MAX(0,$J502-$K502))</f>
        <v/>
      </c>
    </row>
    <row r="503">
      <c r="I503" s="31">
        <f>IF($A503="","",IF($J503=0,"YOK",IF(AND($E503="Evet",ROUND($C503*tba_oranIlave,2)=$J503),"TBA-002",IF(AND($D503="Evet",ROUND($C503*tba_oranBesPuan,2)=$J503),"TBA-001",IF(AND($F503="Evet",ROUND($C503*tba_oranKadinGenc,2)=$J503),"TBA-004","TBA-ENG")))))</f>
        <v/>
      </c>
      <c r="J503" s="31">
        <f>IF($A503="","",MAX(IF($D503="Evet",ROUND($C503*tba_oranBesPuan,2),0),IF($E503="Evet",ROUND($C503*tba_oranIlave,2),0),IF($F503="Evet",ROUND($C503*tba_oranKadinGenc,2),0),IF($G503="Evet",ROUND($C503*tba_isverenOran,2),0)))</f>
        <v/>
      </c>
      <c r="K503" s="31">
        <f>IF($A503="","",IF($H503="TBA-001",IF($D503="Evet",ROUND($C503*tba_oranBesPuan,2),0),IF($H503="TBA-002",IF($E503="Evet",ROUND($C503*tba_oranIlave,2),0),IF($H503="TBA-004",IF($F503="Evet",ROUND($C503*tba_oranKadinGenc,2),0),IF($H503="TBA-ENG",IF($G503="Evet",ROUND($C503*tba_isverenOran,2),0),0)))))</f>
        <v/>
      </c>
      <c r="L503" s="31">
        <f>IF($A503="","",MAX(0,$J503-$K503))</f>
        <v/>
      </c>
    </row>
    <row r="504">
      <c r="I504" s="31">
        <f>IF($A504="","",IF($J504=0,"YOK",IF(AND($E504="Evet",ROUND($C504*tba_oranIlave,2)=$J504),"TBA-002",IF(AND($D504="Evet",ROUND($C504*tba_oranBesPuan,2)=$J504),"TBA-001",IF(AND($F504="Evet",ROUND($C504*tba_oranKadinGenc,2)=$J504),"TBA-004","TBA-ENG")))))</f>
        <v/>
      </c>
      <c r="J504" s="31">
        <f>IF($A504="","",MAX(IF($D504="Evet",ROUND($C504*tba_oranBesPuan,2),0),IF($E504="Evet",ROUND($C504*tba_oranIlave,2),0),IF($F504="Evet",ROUND($C504*tba_oranKadinGenc,2),0),IF($G504="Evet",ROUND($C504*tba_isverenOran,2),0)))</f>
        <v/>
      </c>
      <c r="K504" s="31">
        <f>IF($A504="","",IF($H504="TBA-001",IF($D504="Evet",ROUND($C504*tba_oranBesPuan,2),0),IF($H504="TBA-002",IF($E504="Evet",ROUND($C504*tba_oranIlave,2),0),IF($H504="TBA-004",IF($F504="Evet",ROUND($C504*tba_oranKadinGenc,2),0),IF($H504="TBA-ENG",IF($G504="Evet",ROUND($C504*tba_isverenOran,2),0),0)))))</f>
        <v/>
      </c>
      <c r="L504" s="31">
        <f>IF($A504="","",MAX(0,$J504-$K504))</f>
        <v/>
      </c>
    </row>
    <row r="505">
      <c r="I505" s="31">
        <f>IF($A505="","",IF($J505=0,"YOK",IF(AND($E505="Evet",ROUND($C505*tba_oranIlave,2)=$J505),"TBA-002",IF(AND($D505="Evet",ROUND($C505*tba_oranBesPuan,2)=$J505),"TBA-001",IF(AND($F505="Evet",ROUND($C505*tba_oranKadinGenc,2)=$J505),"TBA-004","TBA-ENG")))))</f>
        <v/>
      </c>
      <c r="J505" s="31">
        <f>IF($A505="","",MAX(IF($D505="Evet",ROUND($C505*tba_oranBesPuan,2),0),IF($E505="Evet",ROUND($C505*tba_oranIlave,2),0),IF($F505="Evet",ROUND($C505*tba_oranKadinGenc,2),0),IF($G505="Evet",ROUND($C505*tba_isverenOran,2),0)))</f>
        <v/>
      </c>
      <c r="K505" s="31">
        <f>IF($A505="","",IF($H505="TBA-001",IF($D505="Evet",ROUND($C505*tba_oranBesPuan,2),0),IF($H505="TBA-002",IF($E505="Evet",ROUND($C505*tba_oranIlave,2),0),IF($H505="TBA-004",IF($F505="Evet",ROUND($C505*tba_oranKadinGenc,2),0),IF($H505="TBA-ENG",IF($G505="Evet",ROUND($C505*tba_isverenOran,2),0),0)))))</f>
        <v/>
      </c>
      <c r="L505" s="31">
        <f>IF($A505="","",MAX(0,$J505-$K505))</f>
        <v/>
      </c>
    </row>
    <row r="506">
      <c r="I506" s="31">
        <f>IF($A506="","",IF($J506=0,"YOK",IF(AND($E506="Evet",ROUND($C506*tba_oranIlave,2)=$J506),"TBA-002",IF(AND($D506="Evet",ROUND($C506*tba_oranBesPuan,2)=$J506),"TBA-001",IF(AND($F506="Evet",ROUND($C506*tba_oranKadinGenc,2)=$J506),"TBA-004","TBA-ENG")))))</f>
        <v/>
      </c>
      <c r="J506" s="31">
        <f>IF($A506="","",MAX(IF($D506="Evet",ROUND($C506*tba_oranBesPuan,2),0),IF($E506="Evet",ROUND($C506*tba_oranIlave,2),0),IF($F506="Evet",ROUND($C506*tba_oranKadinGenc,2),0),IF($G506="Evet",ROUND($C506*tba_isverenOran,2),0)))</f>
        <v/>
      </c>
      <c r="K506" s="31">
        <f>IF($A506="","",IF($H506="TBA-001",IF($D506="Evet",ROUND($C506*tba_oranBesPuan,2),0),IF($H506="TBA-002",IF($E506="Evet",ROUND($C506*tba_oranIlave,2),0),IF($H506="TBA-004",IF($F506="Evet",ROUND($C506*tba_oranKadinGenc,2),0),IF($H506="TBA-ENG",IF($G506="Evet",ROUND($C506*tba_isverenOran,2),0),0)))))</f>
        <v/>
      </c>
      <c r="L506" s="31">
        <f>IF($A506="","",MAX(0,$J506-$K506))</f>
        <v/>
      </c>
    </row>
    <row r="507">
      <c r="I507" s="31">
        <f>IF($A507="","",IF($J507=0,"YOK",IF(AND($E507="Evet",ROUND($C507*tba_oranIlave,2)=$J507),"TBA-002",IF(AND($D507="Evet",ROUND($C507*tba_oranBesPuan,2)=$J507),"TBA-001",IF(AND($F507="Evet",ROUND($C507*tba_oranKadinGenc,2)=$J507),"TBA-004","TBA-ENG")))))</f>
        <v/>
      </c>
      <c r="J507" s="31">
        <f>IF($A507="","",MAX(IF($D507="Evet",ROUND($C507*tba_oranBesPuan,2),0),IF($E507="Evet",ROUND($C507*tba_oranIlave,2),0),IF($F507="Evet",ROUND($C507*tba_oranKadinGenc,2),0),IF($G507="Evet",ROUND($C507*tba_isverenOran,2),0)))</f>
        <v/>
      </c>
      <c r="K507" s="31">
        <f>IF($A507="","",IF($H507="TBA-001",IF($D507="Evet",ROUND($C507*tba_oranBesPuan,2),0),IF($H507="TBA-002",IF($E507="Evet",ROUND($C507*tba_oranIlave,2),0),IF($H507="TBA-004",IF($F507="Evet",ROUND($C507*tba_oranKadinGenc,2),0),IF($H507="TBA-ENG",IF($G507="Evet",ROUND($C507*tba_isverenOran,2),0),0)))))</f>
        <v/>
      </c>
      <c r="L507" s="31">
        <f>IF($A507="","",MAX(0,$J507-$K507))</f>
        <v/>
      </c>
    </row>
    <row r="508">
      <c r="I508" s="31">
        <f>IF($A508="","",IF($J508=0,"YOK",IF(AND($E508="Evet",ROUND($C508*tba_oranIlave,2)=$J508),"TBA-002",IF(AND($D508="Evet",ROUND($C508*tba_oranBesPuan,2)=$J508),"TBA-001",IF(AND($F508="Evet",ROUND($C508*tba_oranKadinGenc,2)=$J508),"TBA-004","TBA-ENG")))))</f>
        <v/>
      </c>
      <c r="J508" s="31">
        <f>IF($A508="","",MAX(IF($D508="Evet",ROUND($C508*tba_oranBesPuan,2),0),IF($E508="Evet",ROUND($C508*tba_oranIlave,2),0),IF($F508="Evet",ROUND($C508*tba_oranKadinGenc,2),0),IF($G508="Evet",ROUND($C508*tba_isverenOran,2),0)))</f>
        <v/>
      </c>
      <c r="K508" s="31">
        <f>IF($A508="","",IF($H508="TBA-001",IF($D508="Evet",ROUND($C508*tba_oranBesPuan,2),0),IF($H508="TBA-002",IF($E508="Evet",ROUND($C508*tba_oranIlave,2),0),IF($H508="TBA-004",IF($F508="Evet",ROUND($C508*tba_oranKadinGenc,2),0),IF($H508="TBA-ENG",IF($G508="Evet",ROUND($C508*tba_isverenOran,2),0),0)))))</f>
        <v/>
      </c>
      <c r="L508" s="31">
        <f>IF($A508="","",MAX(0,$J508-$K508))</f>
        <v/>
      </c>
    </row>
    <row r="509">
      <c r="I509" s="31">
        <f>IF($A509="","",IF($J509=0,"YOK",IF(AND($E509="Evet",ROUND($C509*tba_oranIlave,2)=$J509),"TBA-002",IF(AND($D509="Evet",ROUND($C509*tba_oranBesPuan,2)=$J509),"TBA-001",IF(AND($F509="Evet",ROUND($C509*tba_oranKadinGenc,2)=$J509),"TBA-004","TBA-ENG")))))</f>
        <v/>
      </c>
      <c r="J509" s="31">
        <f>IF($A509="","",MAX(IF($D509="Evet",ROUND($C509*tba_oranBesPuan,2),0),IF($E509="Evet",ROUND($C509*tba_oranIlave,2),0),IF($F509="Evet",ROUND($C509*tba_oranKadinGenc,2),0),IF($G509="Evet",ROUND($C509*tba_isverenOran,2),0)))</f>
        <v/>
      </c>
      <c r="K509" s="31">
        <f>IF($A509="","",IF($H509="TBA-001",IF($D509="Evet",ROUND($C509*tba_oranBesPuan,2),0),IF($H509="TBA-002",IF($E509="Evet",ROUND($C509*tba_oranIlave,2),0),IF($H509="TBA-004",IF($F509="Evet",ROUND($C509*tba_oranKadinGenc,2),0),IF($H509="TBA-ENG",IF($G509="Evet",ROUND($C509*tba_isverenOran,2),0),0)))))</f>
        <v/>
      </c>
      <c r="L509" s="31">
        <f>IF($A509="","",MAX(0,$J509-$K509))</f>
        <v/>
      </c>
    </row>
    <row r="510">
      <c r="I510" s="31">
        <f>IF($A510="","",IF($J510=0,"YOK",IF(AND($E510="Evet",ROUND($C510*tba_oranIlave,2)=$J510),"TBA-002",IF(AND($D510="Evet",ROUND($C510*tba_oranBesPuan,2)=$J510),"TBA-001",IF(AND($F510="Evet",ROUND($C510*tba_oranKadinGenc,2)=$J510),"TBA-004","TBA-ENG")))))</f>
        <v/>
      </c>
      <c r="J510" s="31">
        <f>IF($A510="","",MAX(IF($D510="Evet",ROUND($C510*tba_oranBesPuan,2),0),IF($E510="Evet",ROUND($C510*tba_oranIlave,2),0),IF($F510="Evet",ROUND($C510*tba_oranKadinGenc,2),0),IF($G510="Evet",ROUND($C510*tba_isverenOran,2),0)))</f>
        <v/>
      </c>
      <c r="K510" s="31">
        <f>IF($A510="","",IF($H510="TBA-001",IF($D510="Evet",ROUND($C510*tba_oranBesPuan,2),0),IF($H510="TBA-002",IF($E510="Evet",ROUND($C510*tba_oranIlave,2),0),IF($H510="TBA-004",IF($F510="Evet",ROUND($C510*tba_oranKadinGenc,2),0),IF($H510="TBA-ENG",IF($G510="Evet",ROUND($C510*tba_isverenOran,2),0),0)))))</f>
        <v/>
      </c>
      <c r="L510" s="31">
        <f>IF($A510="","",MAX(0,$J510-$K510))</f>
        <v/>
      </c>
    </row>
    <row r="511">
      <c r="I511" s="31">
        <f>IF($A511="","",IF($J511=0,"YOK",IF(AND($E511="Evet",ROUND($C511*tba_oranIlave,2)=$J511),"TBA-002",IF(AND($D511="Evet",ROUND($C511*tba_oranBesPuan,2)=$J511),"TBA-001",IF(AND($F511="Evet",ROUND($C511*tba_oranKadinGenc,2)=$J511),"TBA-004","TBA-ENG")))))</f>
        <v/>
      </c>
      <c r="J511" s="31">
        <f>IF($A511="","",MAX(IF($D511="Evet",ROUND($C511*tba_oranBesPuan,2),0),IF($E511="Evet",ROUND($C511*tba_oranIlave,2),0),IF($F511="Evet",ROUND($C511*tba_oranKadinGenc,2),0),IF($G511="Evet",ROUND($C511*tba_isverenOran,2),0)))</f>
        <v/>
      </c>
      <c r="K511" s="31">
        <f>IF($A511="","",IF($H511="TBA-001",IF($D511="Evet",ROUND($C511*tba_oranBesPuan,2),0),IF($H511="TBA-002",IF($E511="Evet",ROUND($C511*tba_oranIlave,2),0),IF($H511="TBA-004",IF($F511="Evet",ROUND($C511*tba_oranKadinGenc,2),0),IF($H511="TBA-ENG",IF($G511="Evet",ROUND($C511*tba_isverenOran,2),0),0)))))</f>
        <v/>
      </c>
      <c r="L511" s="31">
        <f>IF($A511="","",MAX(0,$J511-$K511))</f>
        <v/>
      </c>
    </row>
    <row r="512">
      <c r="I512" s="31">
        <f>IF($A512="","",IF($J512=0,"YOK",IF(AND($E512="Evet",ROUND($C512*tba_oranIlave,2)=$J512),"TBA-002",IF(AND($D512="Evet",ROUND($C512*tba_oranBesPuan,2)=$J512),"TBA-001",IF(AND($F512="Evet",ROUND($C512*tba_oranKadinGenc,2)=$J512),"TBA-004","TBA-ENG")))))</f>
        <v/>
      </c>
      <c r="J512" s="31">
        <f>IF($A512="","",MAX(IF($D512="Evet",ROUND($C512*tba_oranBesPuan,2),0),IF($E512="Evet",ROUND($C512*tba_oranIlave,2),0),IF($F512="Evet",ROUND($C512*tba_oranKadinGenc,2),0),IF($G512="Evet",ROUND($C512*tba_isverenOran,2),0)))</f>
        <v/>
      </c>
      <c r="K512" s="31">
        <f>IF($A512="","",IF($H512="TBA-001",IF($D512="Evet",ROUND($C512*tba_oranBesPuan,2),0),IF($H512="TBA-002",IF($E512="Evet",ROUND($C512*tba_oranIlave,2),0),IF($H512="TBA-004",IF($F512="Evet",ROUND($C512*tba_oranKadinGenc,2),0),IF($H512="TBA-ENG",IF($G512="Evet",ROUND($C512*tba_isverenOran,2),0),0)))))</f>
        <v/>
      </c>
      <c r="L512" s="31">
        <f>IF($A512="","",MAX(0,$J512-$K512))</f>
        <v/>
      </c>
    </row>
    <row r="513">
      <c r="I513" s="31">
        <f>IF($A513="","",IF($J513=0,"YOK",IF(AND($E513="Evet",ROUND($C513*tba_oranIlave,2)=$J513),"TBA-002",IF(AND($D513="Evet",ROUND($C513*tba_oranBesPuan,2)=$J513),"TBA-001",IF(AND($F513="Evet",ROUND($C513*tba_oranKadinGenc,2)=$J513),"TBA-004","TBA-ENG")))))</f>
        <v/>
      </c>
      <c r="J513" s="31">
        <f>IF($A513="","",MAX(IF($D513="Evet",ROUND($C513*tba_oranBesPuan,2),0),IF($E513="Evet",ROUND($C513*tba_oranIlave,2),0),IF($F513="Evet",ROUND($C513*tba_oranKadinGenc,2),0),IF($G513="Evet",ROUND($C513*tba_isverenOran,2),0)))</f>
        <v/>
      </c>
      <c r="K513" s="31">
        <f>IF($A513="","",IF($H513="TBA-001",IF($D513="Evet",ROUND($C513*tba_oranBesPuan,2),0),IF($H513="TBA-002",IF($E513="Evet",ROUND($C513*tba_oranIlave,2),0),IF($H513="TBA-004",IF($F513="Evet",ROUND($C513*tba_oranKadinGenc,2),0),IF($H513="TBA-ENG",IF($G513="Evet",ROUND($C513*tba_isverenOran,2),0),0)))))</f>
        <v/>
      </c>
      <c r="L513" s="31">
        <f>IF($A513="","",MAX(0,$J513-$K513))</f>
        <v/>
      </c>
    </row>
    <row r="514">
      <c r="I514" s="31">
        <f>IF($A514="","",IF($J514=0,"YOK",IF(AND($E514="Evet",ROUND($C514*tba_oranIlave,2)=$J514),"TBA-002",IF(AND($D514="Evet",ROUND($C514*tba_oranBesPuan,2)=$J514),"TBA-001",IF(AND($F514="Evet",ROUND($C514*tba_oranKadinGenc,2)=$J514),"TBA-004","TBA-ENG")))))</f>
        <v/>
      </c>
      <c r="J514" s="31">
        <f>IF($A514="","",MAX(IF($D514="Evet",ROUND($C514*tba_oranBesPuan,2),0),IF($E514="Evet",ROUND($C514*tba_oranIlave,2),0),IF($F514="Evet",ROUND($C514*tba_oranKadinGenc,2),0),IF($G514="Evet",ROUND($C514*tba_isverenOran,2),0)))</f>
        <v/>
      </c>
      <c r="K514" s="31">
        <f>IF($A514="","",IF($H514="TBA-001",IF($D514="Evet",ROUND($C514*tba_oranBesPuan,2),0),IF($H514="TBA-002",IF($E514="Evet",ROUND($C514*tba_oranIlave,2),0),IF($H514="TBA-004",IF($F514="Evet",ROUND($C514*tba_oranKadinGenc,2),0),IF($H514="TBA-ENG",IF($G514="Evet",ROUND($C514*tba_isverenOran,2),0),0)))))</f>
        <v/>
      </c>
      <c r="L514" s="31">
        <f>IF($A514="","",MAX(0,$J514-$K514))</f>
        <v/>
      </c>
    </row>
    <row r="515">
      <c r="I515" s="31">
        <f>IF($A515="","",IF($J515=0,"YOK",IF(AND($E515="Evet",ROUND($C515*tba_oranIlave,2)=$J515),"TBA-002",IF(AND($D515="Evet",ROUND($C515*tba_oranBesPuan,2)=$J515),"TBA-001",IF(AND($F515="Evet",ROUND($C515*tba_oranKadinGenc,2)=$J515),"TBA-004","TBA-ENG")))))</f>
        <v/>
      </c>
      <c r="J515" s="31">
        <f>IF($A515="","",MAX(IF($D515="Evet",ROUND($C515*tba_oranBesPuan,2),0),IF($E515="Evet",ROUND($C515*tba_oranIlave,2),0),IF($F515="Evet",ROUND($C515*tba_oranKadinGenc,2),0),IF($G515="Evet",ROUND($C515*tba_isverenOran,2),0)))</f>
        <v/>
      </c>
      <c r="K515" s="31">
        <f>IF($A515="","",IF($H515="TBA-001",IF($D515="Evet",ROUND($C515*tba_oranBesPuan,2),0),IF($H515="TBA-002",IF($E515="Evet",ROUND($C515*tba_oranIlave,2),0),IF($H515="TBA-004",IF($F515="Evet",ROUND($C515*tba_oranKadinGenc,2),0),IF($H515="TBA-ENG",IF($G515="Evet",ROUND($C515*tba_isverenOran,2),0),0)))))</f>
        <v/>
      </c>
      <c r="L515" s="31">
        <f>IF($A515="","",MAX(0,$J515-$K515))</f>
        <v/>
      </c>
    </row>
    <row r="516">
      <c r="I516" s="31">
        <f>IF($A516="","",IF($J516=0,"YOK",IF(AND($E516="Evet",ROUND($C516*tba_oranIlave,2)=$J516),"TBA-002",IF(AND($D516="Evet",ROUND($C516*tba_oranBesPuan,2)=$J516),"TBA-001",IF(AND($F516="Evet",ROUND($C516*tba_oranKadinGenc,2)=$J516),"TBA-004","TBA-ENG")))))</f>
        <v/>
      </c>
      <c r="J516" s="31">
        <f>IF($A516="","",MAX(IF($D516="Evet",ROUND($C516*tba_oranBesPuan,2),0),IF($E516="Evet",ROUND($C516*tba_oranIlave,2),0),IF($F516="Evet",ROUND($C516*tba_oranKadinGenc,2),0),IF($G516="Evet",ROUND($C516*tba_isverenOran,2),0)))</f>
        <v/>
      </c>
      <c r="K516" s="31">
        <f>IF($A516="","",IF($H516="TBA-001",IF($D516="Evet",ROUND($C516*tba_oranBesPuan,2),0),IF($H516="TBA-002",IF($E516="Evet",ROUND($C516*tba_oranIlave,2),0),IF($H516="TBA-004",IF($F516="Evet",ROUND($C516*tba_oranKadinGenc,2),0),IF($H516="TBA-ENG",IF($G516="Evet",ROUND($C516*tba_isverenOran,2),0),0)))))</f>
        <v/>
      </c>
      <c r="L516" s="31">
        <f>IF($A516="","",MAX(0,$J516-$K516))</f>
        <v/>
      </c>
    </row>
    <row r="517">
      <c r="I517" s="31">
        <f>IF($A517="","",IF($J517=0,"YOK",IF(AND($E517="Evet",ROUND($C517*tba_oranIlave,2)=$J517),"TBA-002",IF(AND($D517="Evet",ROUND($C517*tba_oranBesPuan,2)=$J517),"TBA-001",IF(AND($F517="Evet",ROUND($C517*tba_oranKadinGenc,2)=$J517),"TBA-004","TBA-ENG")))))</f>
        <v/>
      </c>
      <c r="J517" s="31">
        <f>IF($A517="","",MAX(IF($D517="Evet",ROUND($C517*tba_oranBesPuan,2),0),IF($E517="Evet",ROUND($C517*tba_oranIlave,2),0),IF($F517="Evet",ROUND($C517*tba_oranKadinGenc,2),0),IF($G517="Evet",ROUND($C517*tba_isverenOran,2),0)))</f>
        <v/>
      </c>
      <c r="K517" s="31">
        <f>IF($A517="","",IF($H517="TBA-001",IF($D517="Evet",ROUND($C517*tba_oranBesPuan,2),0),IF($H517="TBA-002",IF($E517="Evet",ROUND($C517*tba_oranIlave,2),0),IF($H517="TBA-004",IF($F517="Evet",ROUND($C517*tba_oranKadinGenc,2),0),IF($H517="TBA-ENG",IF($G517="Evet",ROUND($C517*tba_isverenOran,2),0),0)))))</f>
        <v/>
      </c>
      <c r="L517" s="31">
        <f>IF($A517="","",MAX(0,$J517-$K517))</f>
        <v/>
      </c>
    </row>
    <row r="518">
      <c r="I518" s="31">
        <f>IF($A518="","",IF($J518=0,"YOK",IF(AND($E518="Evet",ROUND($C518*tba_oranIlave,2)=$J518),"TBA-002",IF(AND($D518="Evet",ROUND($C518*tba_oranBesPuan,2)=$J518),"TBA-001",IF(AND($F518="Evet",ROUND($C518*tba_oranKadinGenc,2)=$J518),"TBA-004","TBA-ENG")))))</f>
        <v/>
      </c>
      <c r="J518" s="31">
        <f>IF($A518="","",MAX(IF($D518="Evet",ROUND($C518*tba_oranBesPuan,2),0),IF($E518="Evet",ROUND($C518*tba_oranIlave,2),0),IF($F518="Evet",ROUND($C518*tba_oranKadinGenc,2),0),IF($G518="Evet",ROUND($C518*tba_isverenOran,2),0)))</f>
        <v/>
      </c>
      <c r="K518" s="31">
        <f>IF($A518="","",IF($H518="TBA-001",IF($D518="Evet",ROUND($C518*tba_oranBesPuan,2),0),IF($H518="TBA-002",IF($E518="Evet",ROUND($C518*tba_oranIlave,2),0),IF($H518="TBA-004",IF($F518="Evet",ROUND($C518*tba_oranKadinGenc,2),0),IF($H518="TBA-ENG",IF($G518="Evet",ROUND($C518*tba_isverenOran,2),0),0)))))</f>
        <v/>
      </c>
      <c r="L518" s="31">
        <f>IF($A518="","",MAX(0,$J518-$K518))</f>
        <v/>
      </c>
    </row>
    <row r="519">
      <c r="I519" s="31">
        <f>IF($A519="","",IF($J519=0,"YOK",IF(AND($E519="Evet",ROUND($C519*tba_oranIlave,2)=$J519),"TBA-002",IF(AND($D519="Evet",ROUND($C519*tba_oranBesPuan,2)=$J519),"TBA-001",IF(AND($F519="Evet",ROUND($C519*tba_oranKadinGenc,2)=$J519),"TBA-004","TBA-ENG")))))</f>
        <v/>
      </c>
      <c r="J519" s="31">
        <f>IF($A519="","",MAX(IF($D519="Evet",ROUND($C519*tba_oranBesPuan,2),0),IF($E519="Evet",ROUND($C519*tba_oranIlave,2),0),IF($F519="Evet",ROUND($C519*tba_oranKadinGenc,2),0),IF($G519="Evet",ROUND($C519*tba_isverenOran,2),0)))</f>
        <v/>
      </c>
      <c r="K519" s="31">
        <f>IF($A519="","",IF($H519="TBA-001",IF($D519="Evet",ROUND($C519*tba_oranBesPuan,2),0),IF($H519="TBA-002",IF($E519="Evet",ROUND($C519*tba_oranIlave,2),0),IF($H519="TBA-004",IF($F519="Evet",ROUND($C519*tba_oranKadinGenc,2),0),IF($H519="TBA-ENG",IF($G519="Evet",ROUND($C519*tba_isverenOran,2),0),0)))))</f>
        <v/>
      </c>
      <c r="L519" s="31">
        <f>IF($A519="","",MAX(0,$J519-$K519))</f>
        <v/>
      </c>
    </row>
    <row r="520">
      <c r="I520" s="31">
        <f>IF($A520="","",IF($J520=0,"YOK",IF(AND($E520="Evet",ROUND($C520*tba_oranIlave,2)=$J520),"TBA-002",IF(AND($D520="Evet",ROUND($C520*tba_oranBesPuan,2)=$J520),"TBA-001",IF(AND($F520="Evet",ROUND($C520*tba_oranKadinGenc,2)=$J520),"TBA-004","TBA-ENG")))))</f>
        <v/>
      </c>
      <c r="J520" s="31">
        <f>IF($A520="","",MAX(IF($D520="Evet",ROUND($C520*tba_oranBesPuan,2),0),IF($E520="Evet",ROUND($C520*tba_oranIlave,2),0),IF($F520="Evet",ROUND($C520*tba_oranKadinGenc,2),0),IF($G520="Evet",ROUND($C520*tba_isverenOran,2),0)))</f>
        <v/>
      </c>
      <c r="K520" s="31">
        <f>IF($A520="","",IF($H520="TBA-001",IF($D520="Evet",ROUND($C520*tba_oranBesPuan,2),0),IF($H520="TBA-002",IF($E520="Evet",ROUND($C520*tba_oranIlave,2),0),IF($H520="TBA-004",IF($F520="Evet",ROUND($C520*tba_oranKadinGenc,2),0),IF($H520="TBA-ENG",IF($G520="Evet",ROUND($C520*tba_isverenOran,2),0),0)))))</f>
        <v/>
      </c>
      <c r="L520" s="31">
        <f>IF($A520="","",MAX(0,$J520-$K520))</f>
        <v/>
      </c>
    </row>
    <row r="521">
      <c r="I521" s="31">
        <f>IF($A521="","",IF($J521=0,"YOK",IF(AND($E521="Evet",ROUND($C521*tba_oranIlave,2)=$J521),"TBA-002",IF(AND($D521="Evet",ROUND($C521*tba_oranBesPuan,2)=$J521),"TBA-001",IF(AND($F521="Evet",ROUND($C521*tba_oranKadinGenc,2)=$J521),"TBA-004","TBA-ENG")))))</f>
        <v/>
      </c>
      <c r="J521" s="31">
        <f>IF($A521="","",MAX(IF($D521="Evet",ROUND($C521*tba_oranBesPuan,2),0),IF($E521="Evet",ROUND($C521*tba_oranIlave,2),0),IF($F521="Evet",ROUND($C521*tba_oranKadinGenc,2),0),IF($G521="Evet",ROUND($C521*tba_isverenOran,2),0)))</f>
        <v/>
      </c>
      <c r="K521" s="31">
        <f>IF($A521="","",IF($H521="TBA-001",IF($D521="Evet",ROUND($C521*tba_oranBesPuan,2),0),IF($H521="TBA-002",IF($E521="Evet",ROUND($C521*tba_oranIlave,2),0),IF($H521="TBA-004",IF($F521="Evet",ROUND($C521*tba_oranKadinGenc,2),0),IF($H521="TBA-ENG",IF($G521="Evet",ROUND($C521*tba_isverenOran,2),0),0)))))</f>
        <v/>
      </c>
      <c r="L521" s="31">
        <f>IF($A521="","",MAX(0,$J521-$K521))</f>
        <v/>
      </c>
    </row>
    <row r="522">
      <c r="I522" s="31">
        <f>IF($A522="","",IF($J522=0,"YOK",IF(AND($E522="Evet",ROUND($C522*tba_oranIlave,2)=$J522),"TBA-002",IF(AND($D522="Evet",ROUND($C522*tba_oranBesPuan,2)=$J522),"TBA-001",IF(AND($F522="Evet",ROUND($C522*tba_oranKadinGenc,2)=$J522),"TBA-004","TBA-ENG")))))</f>
        <v/>
      </c>
      <c r="J522" s="31">
        <f>IF($A522="","",MAX(IF($D522="Evet",ROUND($C522*tba_oranBesPuan,2),0),IF($E522="Evet",ROUND($C522*tba_oranIlave,2),0),IF($F522="Evet",ROUND($C522*tba_oranKadinGenc,2),0),IF($G522="Evet",ROUND($C522*tba_isverenOran,2),0)))</f>
        <v/>
      </c>
      <c r="K522" s="31">
        <f>IF($A522="","",IF($H522="TBA-001",IF($D522="Evet",ROUND($C522*tba_oranBesPuan,2),0),IF($H522="TBA-002",IF($E522="Evet",ROUND($C522*tba_oranIlave,2),0),IF($H522="TBA-004",IF($F522="Evet",ROUND($C522*tba_oranKadinGenc,2),0),IF($H522="TBA-ENG",IF($G522="Evet",ROUND($C522*tba_isverenOran,2),0),0)))))</f>
        <v/>
      </c>
      <c r="L522" s="31">
        <f>IF($A522="","",MAX(0,$J522-$K522))</f>
        <v/>
      </c>
    </row>
    <row r="523">
      <c r="I523" s="31">
        <f>IF($A523="","",IF($J523=0,"YOK",IF(AND($E523="Evet",ROUND($C523*tba_oranIlave,2)=$J523),"TBA-002",IF(AND($D523="Evet",ROUND($C523*tba_oranBesPuan,2)=$J523),"TBA-001",IF(AND($F523="Evet",ROUND($C523*tba_oranKadinGenc,2)=$J523),"TBA-004","TBA-ENG")))))</f>
        <v/>
      </c>
      <c r="J523" s="31">
        <f>IF($A523="","",MAX(IF($D523="Evet",ROUND($C523*tba_oranBesPuan,2),0),IF($E523="Evet",ROUND($C523*tba_oranIlave,2),0),IF($F523="Evet",ROUND($C523*tba_oranKadinGenc,2),0),IF($G523="Evet",ROUND($C523*tba_isverenOran,2),0)))</f>
        <v/>
      </c>
      <c r="K523" s="31">
        <f>IF($A523="","",IF($H523="TBA-001",IF($D523="Evet",ROUND($C523*tba_oranBesPuan,2),0),IF($H523="TBA-002",IF($E523="Evet",ROUND($C523*tba_oranIlave,2),0),IF($H523="TBA-004",IF($F523="Evet",ROUND($C523*tba_oranKadinGenc,2),0),IF($H523="TBA-ENG",IF($G523="Evet",ROUND($C523*tba_isverenOran,2),0),0)))))</f>
        <v/>
      </c>
      <c r="L523" s="31">
        <f>IF($A523="","",MAX(0,$J523-$K523))</f>
        <v/>
      </c>
    </row>
    <row r="524">
      <c r="I524" s="31">
        <f>IF($A524="","",IF($J524=0,"YOK",IF(AND($E524="Evet",ROUND($C524*tba_oranIlave,2)=$J524),"TBA-002",IF(AND($D524="Evet",ROUND($C524*tba_oranBesPuan,2)=$J524),"TBA-001",IF(AND($F524="Evet",ROUND($C524*tba_oranKadinGenc,2)=$J524),"TBA-004","TBA-ENG")))))</f>
        <v/>
      </c>
      <c r="J524" s="31">
        <f>IF($A524="","",MAX(IF($D524="Evet",ROUND($C524*tba_oranBesPuan,2),0),IF($E524="Evet",ROUND($C524*tba_oranIlave,2),0),IF($F524="Evet",ROUND($C524*tba_oranKadinGenc,2),0),IF($G524="Evet",ROUND($C524*tba_isverenOran,2),0)))</f>
        <v/>
      </c>
      <c r="K524" s="31">
        <f>IF($A524="","",IF($H524="TBA-001",IF($D524="Evet",ROUND($C524*tba_oranBesPuan,2),0),IF($H524="TBA-002",IF($E524="Evet",ROUND($C524*tba_oranIlave,2),0),IF($H524="TBA-004",IF($F524="Evet",ROUND($C524*tba_oranKadinGenc,2),0),IF($H524="TBA-ENG",IF($G524="Evet",ROUND($C524*tba_isverenOran,2),0),0)))))</f>
        <v/>
      </c>
      <c r="L524" s="31">
        <f>IF($A524="","",MAX(0,$J524-$K524))</f>
        <v/>
      </c>
    </row>
    <row r="525">
      <c r="I525" s="31">
        <f>IF($A525="","",IF($J525=0,"YOK",IF(AND($E525="Evet",ROUND($C525*tba_oranIlave,2)=$J525),"TBA-002",IF(AND($D525="Evet",ROUND($C525*tba_oranBesPuan,2)=$J525),"TBA-001",IF(AND($F525="Evet",ROUND($C525*tba_oranKadinGenc,2)=$J525),"TBA-004","TBA-ENG")))))</f>
        <v/>
      </c>
      <c r="J525" s="31">
        <f>IF($A525="","",MAX(IF($D525="Evet",ROUND($C525*tba_oranBesPuan,2),0),IF($E525="Evet",ROUND($C525*tba_oranIlave,2),0),IF($F525="Evet",ROUND($C525*tba_oranKadinGenc,2),0),IF($G525="Evet",ROUND($C525*tba_isverenOran,2),0)))</f>
        <v/>
      </c>
      <c r="K525" s="31">
        <f>IF($A525="","",IF($H525="TBA-001",IF($D525="Evet",ROUND($C525*tba_oranBesPuan,2),0),IF($H525="TBA-002",IF($E525="Evet",ROUND($C525*tba_oranIlave,2),0),IF($H525="TBA-004",IF($F525="Evet",ROUND($C525*tba_oranKadinGenc,2),0),IF($H525="TBA-ENG",IF($G525="Evet",ROUND($C525*tba_isverenOran,2),0),0)))))</f>
        <v/>
      </c>
      <c r="L525" s="31">
        <f>IF($A525="","",MAX(0,$J525-$K525))</f>
        <v/>
      </c>
    </row>
    <row r="526">
      <c r="I526" s="31">
        <f>IF($A526="","",IF($J526=0,"YOK",IF(AND($E526="Evet",ROUND($C526*tba_oranIlave,2)=$J526),"TBA-002",IF(AND($D526="Evet",ROUND($C526*tba_oranBesPuan,2)=$J526),"TBA-001",IF(AND($F526="Evet",ROUND($C526*tba_oranKadinGenc,2)=$J526),"TBA-004","TBA-ENG")))))</f>
        <v/>
      </c>
      <c r="J526" s="31">
        <f>IF($A526="","",MAX(IF($D526="Evet",ROUND($C526*tba_oranBesPuan,2),0),IF($E526="Evet",ROUND($C526*tba_oranIlave,2),0),IF($F526="Evet",ROUND($C526*tba_oranKadinGenc,2),0),IF($G526="Evet",ROUND($C526*tba_isverenOran,2),0)))</f>
        <v/>
      </c>
      <c r="K526" s="31">
        <f>IF($A526="","",IF($H526="TBA-001",IF($D526="Evet",ROUND($C526*tba_oranBesPuan,2),0),IF($H526="TBA-002",IF($E526="Evet",ROUND($C526*tba_oranIlave,2),0),IF($H526="TBA-004",IF($F526="Evet",ROUND($C526*tba_oranKadinGenc,2),0),IF($H526="TBA-ENG",IF($G526="Evet",ROUND($C526*tba_isverenOran,2),0),0)))))</f>
        <v/>
      </c>
      <c r="L526" s="31">
        <f>IF($A526="","",MAX(0,$J526-$K526))</f>
        <v/>
      </c>
    </row>
    <row r="527">
      <c r="I527" s="31">
        <f>IF($A527="","",IF($J527=0,"YOK",IF(AND($E527="Evet",ROUND($C527*tba_oranIlave,2)=$J527),"TBA-002",IF(AND($D527="Evet",ROUND($C527*tba_oranBesPuan,2)=$J527),"TBA-001",IF(AND($F527="Evet",ROUND($C527*tba_oranKadinGenc,2)=$J527),"TBA-004","TBA-ENG")))))</f>
        <v/>
      </c>
      <c r="J527" s="31">
        <f>IF($A527="","",MAX(IF($D527="Evet",ROUND($C527*tba_oranBesPuan,2),0),IF($E527="Evet",ROUND($C527*tba_oranIlave,2),0),IF($F527="Evet",ROUND($C527*tba_oranKadinGenc,2),0),IF($G527="Evet",ROUND($C527*tba_isverenOran,2),0)))</f>
        <v/>
      </c>
      <c r="K527" s="31">
        <f>IF($A527="","",IF($H527="TBA-001",IF($D527="Evet",ROUND($C527*tba_oranBesPuan,2),0),IF($H527="TBA-002",IF($E527="Evet",ROUND($C527*tba_oranIlave,2),0),IF($H527="TBA-004",IF($F527="Evet",ROUND($C527*tba_oranKadinGenc,2),0),IF($H527="TBA-ENG",IF($G527="Evet",ROUND($C527*tba_isverenOran,2),0),0)))))</f>
        <v/>
      </c>
      <c r="L527" s="31">
        <f>IF($A527="","",MAX(0,$J527-$K527))</f>
        <v/>
      </c>
    </row>
    <row r="528">
      <c r="I528" s="31">
        <f>IF($A528="","",IF($J528=0,"YOK",IF(AND($E528="Evet",ROUND($C528*tba_oranIlave,2)=$J528),"TBA-002",IF(AND($D528="Evet",ROUND($C528*tba_oranBesPuan,2)=$J528),"TBA-001",IF(AND($F528="Evet",ROUND($C528*tba_oranKadinGenc,2)=$J528),"TBA-004","TBA-ENG")))))</f>
        <v/>
      </c>
      <c r="J528" s="31">
        <f>IF($A528="","",MAX(IF($D528="Evet",ROUND($C528*tba_oranBesPuan,2),0),IF($E528="Evet",ROUND($C528*tba_oranIlave,2),0),IF($F528="Evet",ROUND($C528*tba_oranKadinGenc,2),0),IF($G528="Evet",ROUND($C528*tba_isverenOran,2),0)))</f>
        <v/>
      </c>
      <c r="K528" s="31">
        <f>IF($A528="","",IF($H528="TBA-001",IF($D528="Evet",ROUND($C528*tba_oranBesPuan,2),0),IF($H528="TBA-002",IF($E528="Evet",ROUND($C528*tba_oranIlave,2),0),IF($H528="TBA-004",IF($F528="Evet",ROUND($C528*tba_oranKadinGenc,2),0),IF($H528="TBA-ENG",IF($G528="Evet",ROUND($C528*tba_isverenOran,2),0),0)))))</f>
        <v/>
      </c>
      <c r="L528" s="31">
        <f>IF($A528="","",MAX(0,$J528-$K528))</f>
        <v/>
      </c>
    </row>
    <row r="529">
      <c r="I529" s="31">
        <f>IF($A529="","",IF($J529=0,"YOK",IF(AND($E529="Evet",ROUND($C529*tba_oranIlave,2)=$J529),"TBA-002",IF(AND($D529="Evet",ROUND($C529*tba_oranBesPuan,2)=$J529),"TBA-001",IF(AND($F529="Evet",ROUND($C529*tba_oranKadinGenc,2)=$J529),"TBA-004","TBA-ENG")))))</f>
        <v/>
      </c>
      <c r="J529" s="31">
        <f>IF($A529="","",MAX(IF($D529="Evet",ROUND($C529*tba_oranBesPuan,2),0),IF($E529="Evet",ROUND($C529*tba_oranIlave,2),0),IF($F529="Evet",ROUND($C529*tba_oranKadinGenc,2),0),IF($G529="Evet",ROUND($C529*tba_isverenOran,2),0)))</f>
        <v/>
      </c>
      <c r="K529" s="31">
        <f>IF($A529="","",IF($H529="TBA-001",IF($D529="Evet",ROUND($C529*tba_oranBesPuan,2),0),IF($H529="TBA-002",IF($E529="Evet",ROUND($C529*tba_oranIlave,2),0),IF($H529="TBA-004",IF($F529="Evet",ROUND($C529*tba_oranKadinGenc,2),0),IF($H529="TBA-ENG",IF($G529="Evet",ROUND($C529*tba_isverenOran,2),0),0)))))</f>
        <v/>
      </c>
      <c r="L529" s="31">
        <f>IF($A529="","",MAX(0,$J529-$K529))</f>
        <v/>
      </c>
    </row>
    <row r="530">
      <c r="I530" s="31">
        <f>IF($A530="","",IF($J530=0,"YOK",IF(AND($E530="Evet",ROUND($C530*tba_oranIlave,2)=$J530),"TBA-002",IF(AND($D530="Evet",ROUND($C530*tba_oranBesPuan,2)=$J530),"TBA-001",IF(AND($F530="Evet",ROUND($C530*tba_oranKadinGenc,2)=$J530),"TBA-004","TBA-ENG")))))</f>
        <v/>
      </c>
      <c r="J530" s="31">
        <f>IF($A530="","",MAX(IF($D530="Evet",ROUND($C530*tba_oranBesPuan,2),0),IF($E530="Evet",ROUND($C530*tba_oranIlave,2),0),IF($F530="Evet",ROUND($C530*tba_oranKadinGenc,2),0),IF($G530="Evet",ROUND($C530*tba_isverenOran,2),0)))</f>
        <v/>
      </c>
      <c r="K530" s="31">
        <f>IF($A530="","",IF($H530="TBA-001",IF($D530="Evet",ROUND($C530*tba_oranBesPuan,2),0),IF($H530="TBA-002",IF($E530="Evet",ROUND($C530*tba_oranIlave,2),0),IF($H530="TBA-004",IF($F530="Evet",ROUND($C530*tba_oranKadinGenc,2),0),IF($H530="TBA-ENG",IF($G530="Evet",ROUND($C530*tba_isverenOran,2),0),0)))))</f>
        <v/>
      </c>
      <c r="L530" s="31">
        <f>IF($A530="","",MAX(0,$J530-$K530))</f>
        <v/>
      </c>
    </row>
    <row r="531">
      <c r="I531" s="31">
        <f>IF($A531="","",IF($J531=0,"YOK",IF(AND($E531="Evet",ROUND($C531*tba_oranIlave,2)=$J531),"TBA-002",IF(AND($D531="Evet",ROUND($C531*tba_oranBesPuan,2)=$J531),"TBA-001",IF(AND($F531="Evet",ROUND($C531*tba_oranKadinGenc,2)=$J531),"TBA-004","TBA-ENG")))))</f>
        <v/>
      </c>
      <c r="J531" s="31">
        <f>IF($A531="","",MAX(IF($D531="Evet",ROUND($C531*tba_oranBesPuan,2),0),IF($E531="Evet",ROUND($C531*tba_oranIlave,2),0),IF($F531="Evet",ROUND($C531*tba_oranKadinGenc,2),0),IF($G531="Evet",ROUND($C531*tba_isverenOran,2),0)))</f>
        <v/>
      </c>
      <c r="K531" s="31">
        <f>IF($A531="","",IF($H531="TBA-001",IF($D531="Evet",ROUND($C531*tba_oranBesPuan,2),0),IF($H531="TBA-002",IF($E531="Evet",ROUND($C531*tba_oranIlave,2),0),IF($H531="TBA-004",IF($F531="Evet",ROUND($C531*tba_oranKadinGenc,2),0),IF($H531="TBA-ENG",IF($G531="Evet",ROUND($C531*tba_isverenOran,2),0),0)))))</f>
        <v/>
      </c>
      <c r="L531" s="31">
        <f>IF($A531="","",MAX(0,$J531-$K531))</f>
        <v/>
      </c>
    </row>
    <row r="532">
      <c r="I532" s="31">
        <f>IF($A532="","",IF($J532=0,"YOK",IF(AND($E532="Evet",ROUND($C532*tba_oranIlave,2)=$J532),"TBA-002",IF(AND($D532="Evet",ROUND($C532*tba_oranBesPuan,2)=$J532),"TBA-001",IF(AND($F532="Evet",ROUND($C532*tba_oranKadinGenc,2)=$J532),"TBA-004","TBA-ENG")))))</f>
        <v/>
      </c>
      <c r="J532" s="31">
        <f>IF($A532="","",MAX(IF($D532="Evet",ROUND($C532*tba_oranBesPuan,2),0),IF($E532="Evet",ROUND($C532*tba_oranIlave,2),0),IF($F532="Evet",ROUND($C532*tba_oranKadinGenc,2),0),IF($G532="Evet",ROUND($C532*tba_isverenOran,2),0)))</f>
        <v/>
      </c>
      <c r="K532" s="31">
        <f>IF($A532="","",IF($H532="TBA-001",IF($D532="Evet",ROUND($C532*tba_oranBesPuan,2),0),IF($H532="TBA-002",IF($E532="Evet",ROUND($C532*tba_oranIlave,2),0),IF($H532="TBA-004",IF($F532="Evet",ROUND($C532*tba_oranKadinGenc,2),0),IF($H532="TBA-ENG",IF($G532="Evet",ROUND($C532*tba_isverenOran,2),0),0)))))</f>
        <v/>
      </c>
      <c r="L532" s="31">
        <f>IF($A532="","",MAX(0,$J532-$K532))</f>
        <v/>
      </c>
    </row>
    <row r="533">
      <c r="I533" s="31">
        <f>IF($A533="","",IF($J533=0,"YOK",IF(AND($E533="Evet",ROUND($C533*tba_oranIlave,2)=$J533),"TBA-002",IF(AND($D533="Evet",ROUND($C533*tba_oranBesPuan,2)=$J533),"TBA-001",IF(AND($F533="Evet",ROUND($C533*tba_oranKadinGenc,2)=$J533),"TBA-004","TBA-ENG")))))</f>
        <v/>
      </c>
      <c r="J533" s="31">
        <f>IF($A533="","",MAX(IF($D533="Evet",ROUND($C533*tba_oranBesPuan,2),0),IF($E533="Evet",ROUND($C533*tba_oranIlave,2),0),IF($F533="Evet",ROUND($C533*tba_oranKadinGenc,2),0),IF($G533="Evet",ROUND($C533*tba_isverenOran,2),0)))</f>
        <v/>
      </c>
      <c r="K533" s="31">
        <f>IF($A533="","",IF($H533="TBA-001",IF($D533="Evet",ROUND($C533*tba_oranBesPuan,2),0),IF($H533="TBA-002",IF($E533="Evet",ROUND($C533*tba_oranIlave,2),0),IF($H533="TBA-004",IF($F533="Evet",ROUND($C533*tba_oranKadinGenc,2),0),IF($H533="TBA-ENG",IF($G533="Evet",ROUND($C533*tba_isverenOran,2),0),0)))))</f>
        <v/>
      </c>
      <c r="L533" s="31">
        <f>IF($A533="","",MAX(0,$J533-$K533))</f>
        <v/>
      </c>
    </row>
    <row r="534">
      <c r="I534" s="31">
        <f>IF($A534="","",IF($J534=0,"YOK",IF(AND($E534="Evet",ROUND($C534*tba_oranIlave,2)=$J534),"TBA-002",IF(AND($D534="Evet",ROUND($C534*tba_oranBesPuan,2)=$J534),"TBA-001",IF(AND($F534="Evet",ROUND($C534*tba_oranKadinGenc,2)=$J534),"TBA-004","TBA-ENG")))))</f>
        <v/>
      </c>
      <c r="J534" s="31">
        <f>IF($A534="","",MAX(IF($D534="Evet",ROUND($C534*tba_oranBesPuan,2),0),IF($E534="Evet",ROUND($C534*tba_oranIlave,2),0),IF($F534="Evet",ROUND($C534*tba_oranKadinGenc,2),0),IF($G534="Evet",ROUND($C534*tba_isverenOran,2),0)))</f>
        <v/>
      </c>
      <c r="K534" s="31">
        <f>IF($A534="","",IF($H534="TBA-001",IF($D534="Evet",ROUND($C534*tba_oranBesPuan,2),0),IF($H534="TBA-002",IF($E534="Evet",ROUND($C534*tba_oranIlave,2),0),IF($H534="TBA-004",IF($F534="Evet",ROUND($C534*tba_oranKadinGenc,2),0),IF($H534="TBA-ENG",IF($G534="Evet",ROUND($C534*tba_isverenOran,2),0),0)))))</f>
        <v/>
      </c>
      <c r="L534" s="31">
        <f>IF($A534="","",MAX(0,$J534-$K534))</f>
        <v/>
      </c>
    </row>
    <row r="535">
      <c r="I535" s="31">
        <f>IF($A535="","",IF($J535=0,"YOK",IF(AND($E535="Evet",ROUND($C535*tba_oranIlave,2)=$J535),"TBA-002",IF(AND($D535="Evet",ROUND($C535*tba_oranBesPuan,2)=$J535),"TBA-001",IF(AND($F535="Evet",ROUND($C535*tba_oranKadinGenc,2)=$J535),"TBA-004","TBA-ENG")))))</f>
        <v/>
      </c>
      <c r="J535" s="31">
        <f>IF($A535="","",MAX(IF($D535="Evet",ROUND($C535*tba_oranBesPuan,2),0),IF($E535="Evet",ROUND($C535*tba_oranIlave,2),0),IF($F535="Evet",ROUND($C535*tba_oranKadinGenc,2),0),IF($G535="Evet",ROUND($C535*tba_isverenOran,2),0)))</f>
        <v/>
      </c>
      <c r="K535" s="31">
        <f>IF($A535="","",IF($H535="TBA-001",IF($D535="Evet",ROUND($C535*tba_oranBesPuan,2),0),IF($H535="TBA-002",IF($E535="Evet",ROUND($C535*tba_oranIlave,2),0),IF($H535="TBA-004",IF($F535="Evet",ROUND($C535*tba_oranKadinGenc,2),0),IF($H535="TBA-ENG",IF($G535="Evet",ROUND($C535*tba_isverenOran,2),0),0)))))</f>
        <v/>
      </c>
      <c r="L535" s="31">
        <f>IF($A535="","",MAX(0,$J535-$K535))</f>
        <v/>
      </c>
    </row>
    <row r="536">
      <c r="I536" s="31">
        <f>IF($A536="","",IF($J536=0,"YOK",IF(AND($E536="Evet",ROUND($C536*tba_oranIlave,2)=$J536),"TBA-002",IF(AND($D536="Evet",ROUND($C536*tba_oranBesPuan,2)=$J536),"TBA-001",IF(AND($F536="Evet",ROUND($C536*tba_oranKadinGenc,2)=$J536),"TBA-004","TBA-ENG")))))</f>
        <v/>
      </c>
      <c r="J536" s="31">
        <f>IF($A536="","",MAX(IF($D536="Evet",ROUND($C536*tba_oranBesPuan,2),0),IF($E536="Evet",ROUND($C536*tba_oranIlave,2),0),IF($F536="Evet",ROUND($C536*tba_oranKadinGenc,2),0),IF($G536="Evet",ROUND($C536*tba_isverenOran,2),0)))</f>
        <v/>
      </c>
      <c r="K536" s="31">
        <f>IF($A536="","",IF($H536="TBA-001",IF($D536="Evet",ROUND($C536*tba_oranBesPuan,2),0),IF($H536="TBA-002",IF($E536="Evet",ROUND($C536*tba_oranIlave,2),0),IF($H536="TBA-004",IF($F536="Evet",ROUND($C536*tba_oranKadinGenc,2),0),IF($H536="TBA-ENG",IF($G536="Evet",ROUND($C536*tba_isverenOran,2),0),0)))))</f>
        <v/>
      </c>
      <c r="L536" s="31">
        <f>IF($A536="","",MAX(0,$J536-$K536))</f>
        <v/>
      </c>
    </row>
    <row r="537">
      <c r="I537" s="31">
        <f>IF($A537="","",IF($J537=0,"YOK",IF(AND($E537="Evet",ROUND($C537*tba_oranIlave,2)=$J537),"TBA-002",IF(AND($D537="Evet",ROUND($C537*tba_oranBesPuan,2)=$J537),"TBA-001",IF(AND($F537="Evet",ROUND($C537*tba_oranKadinGenc,2)=$J537),"TBA-004","TBA-ENG")))))</f>
        <v/>
      </c>
      <c r="J537" s="31">
        <f>IF($A537="","",MAX(IF($D537="Evet",ROUND($C537*tba_oranBesPuan,2),0),IF($E537="Evet",ROUND($C537*tba_oranIlave,2),0),IF($F537="Evet",ROUND($C537*tba_oranKadinGenc,2),0),IF($G537="Evet",ROUND($C537*tba_isverenOran,2),0)))</f>
        <v/>
      </c>
      <c r="K537" s="31">
        <f>IF($A537="","",IF($H537="TBA-001",IF($D537="Evet",ROUND($C537*tba_oranBesPuan,2),0),IF($H537="TBA-002",IF($E537="Evet",ROUND($C537*tba_oranIlave,2),0),IF($H537="TBA-004",IF($F537="Evet",ROUND($C537*tba_oranKadinGenc,2),0),IF($H537="TBA-ENG",IF($G537="Evet",ROUND($C537*tba_isverenOran,2),0),0)))))</f>
        <v/>
      </c>
      <c r="L537" s="31">
        <f>IF($A537="","",MAX(0,$J537-$K537))</f>
        <v/>
      </c>
    </row>
    <row r="538">
      <c r="I538" s="31">
        <f>IF($A538="","",IF($J538=0,"YOK",IF(AND($E538="Evet",ROUND($C538*tba_oranIlave,2)=$J538),"TBA-002",IF(AND($D538="Evet",ROUND($C538*tba_oranBesPuan,2)=$J538),"TBA-001",IF(AND($F538="Evet",ROUND($C538*tba_oranKadinGenc,2)=$J538),"TBA-004","TBA-ENG")))))</f>
        <v/>
      </c>
      <c r="J538" s="31">
        <f>IF($A538="","",MAX(IF($D538="Evet",ROUND($C538*tba_oranBesPuan,2),0),IF($E538="Evet",ROUND($C538*tba_oranIlave,2),0),IF($F538="Evet",ROUND($C538*tba_oranKadinGenc,2),0),IF($G538="Evet",ROUND($C538*tba_isverenOran,2),0)))</f>
        <v/>
      </c>
      <c r="K538" s="31">
        <f>IF($A538="","",IF($H538="TBA-001",IF($D538="Evet",ROUND($C538*tba_oranBesPuan,2),0),IF($H538="TBA-002",IF($E538="Evet",ROUND($C538*tba_oranIlave,2),0),IF($H538="TBA-004",IF($F538="Evet",ROUND($C538*tba_oranKadinGenc,2),0),IF($H538="TBA-ENG",IF($G538="Evet",ROUND($C538*tba_isverenOran,2),0),0)))))</f>
        <v/>
      </c>
      <c r="L538" s="31">
        <f>IF($A538="","",MAX(0,$J538-$K538))</f>
        <v/>
      </c>
    </row>
    <row r="539">
      <c r="I539" s="31">
        <f>IF($A539="","",IF($J539=0,"YOK",IF(AND($E539="Evet",ROUND($C539*tba_oranIlave,2)=$J539),"TBA-002",IF(AND($D539="Evet",ROUND($C539*tba_oranBesPuan,2)=$J539),"TBA-001",IF(AND($F539="Evet",ROUND($C539*tba_oranKadinGenc,2)=$J539),"TBA-004","TBA-ENG")))))</f>
        <v/>
      </c>
      <c r="J539" s="31">
        <f>IF($A539="","",MAX(IF($D539="Evet",ROUND($C539*tba_oranBesPuan,2),0),IF($E539="Evet",ROUND($C539*tba_oranIlave,2),0),IF($F539="Evet",ROUND($C539*tba_oranKadinGenc,2),0),IF($G539="Evet",ROUND($C539*tba_isverenOran,2),0)))</f>
        <v/>
      </c>
      <c r="K539" s="31">
        <f>IF($A539="","",IF($H539="TBA-001",IF($D539="Evet",ROUND($C539*tba_oranBesPuan,2),0),IF($H539="TBA-002",IF($E539="Evet",ROUND($C539*tba_oranIlave,2),0),IF($H539="TBA-004",IF($F539="Evet",ROUND($C539*tba_oranKadinGenc,2),0),IF($H539="TBA-ENG",IF($G539="Evet",ROUND($C539*tba_isverenOran,2),0),0)))))</f>
        <v/>
      </c>
      <c r="L539" s="31">
        <f>IF($A539="","",MAX(0,$J539-$K539))</f>
        <v/>
      </c>
    </row>
    <row r="540">
      <c r="I540" s="31">
        <f>IF($A540="","",IF($J540=0,"YOK",IF(AND($E540="Evet",ROUND($C540*tba_oranIlave,2)=$J540),"TBA-002",IF(AND($D540="Evet",ROUND($C540*tba_oranBesPuan,2)=$J540),"TBA-001",IF(AND($F540="Evet",ROUND($C540*tba_oranKadinGenc,2)=$J540),"TBA-004","TBA-ENG")))))</f>
        <v/>
      </c>
      <c r="J540" s="31">
        <f>IF($A540="","",MAX(IF($D540="Evet",ROUND($C540*tba_oranBesPuan,2),0),IF($E540="Evet",ROUND($C540*tba_oranIlave,2),0),IF($F540="Evet",ROUND($C540*tba_oranKadinGenc,2),0),IF($G540="Evet",ROUND($C540*tba_isverenOran,2),0)))</f>
        <v/>
      </c>
      <c r="K540" s="31">
        <f>IF($A540="","",IF($H540="TBA-001",IF($D540="Evet",ROUND($C540*tba_oranBesPuan,2),0),IF($H540="TBA-002",IF($E540="Evet",ROUND($C540*tba_oranIlave,2),0),IF($H540="TBA-004",IF($F540="Evet",ROUND($C540*tba_oranKadinGenc,2),0),IF($H540="TBA-ENG",IF($G540="Evet",ROUND($C540*tba_isverenOran,2),0),0)))))</f>
        <v/>
      </c>
      <c r="L540" s="31">
        <f>IF($A540="","",MAX(0,$J540-$K540))</f>
        <v/>
      </c>
    </row>
    <row r="541">
      <c r="I541" s="31">
        <f>IF($A541="","",IF($J541=0,"YOK",IF(AND($E541="Evet",ROUND($C541*tba_oranIlave,2)=$J541),"TBA-002",IF(AND($D541="Evet",ROUND($C541*tba_oranBesPuan,2)=$J541),"TBA-001",IF(AND($F541="Evet",ROUND($C541*tba_oranKadinGenc,2)=$J541),"TBA-004","TBA-ENG")))))</f>
        <v/>
      </c>
      <c r="J541" s="31">
        <f>IF($A541="","",MAX(IF($D541="Evet",ROUND($C541*tba_oranBesPuan,2),0),IF($E541="Evet",ROUND($C541*tba_oranIlave,2),0),IF($F541="Evet",ROUND($C541*tba_oranKadinGenc,2),0),IF($G541="Evet",ROUND($C541*tba_isverenOran,2),0)))</f>
        <v/>
      </c>
      <c r="K541" s="31">
        <f>IF($A541="","",IF($H541="TBA-001",IF($D541="Evet",ROUND($C541*tba_oranBesPuan,2),0),IF($H541="TBA-002",IF($E541="Evet",ROUND($C541*tba_oranIlave,2),0),IF($H541="TBA-004",IF($F541="Evet",ROUND($C541*tba_oranKadinGenc,2),0),IF($H541="TBA-ENG",IF($G541="Evet",ROUND($C541*tba_isverenOran,2),0),0)))))</f>
        <v/>
      </c>
      <c r="L541" s="31">
        <f>IF($A541="","",MAX(0,$J541-$K541))</f>
        <v/>
      </c>
    </row>
    <row r="542">
      <c r="I542" s="31">
        <f>IF($A542="","",IF($J542=0,"YOK",IF(AND($E542="Evet",ROUND($C542*tba_oranIlave,2)=$J542),"TBA-002",IF(AND($D542="Evet",ROUND($C542*tba_oranBesPuan,2)=$J542),"TBA-001",IF(AND($F542="Evet",ROUND($C542*tba_oranKadinGenc,2)=$J542),"TBA-004","TBA-ENG")))))</f>
        <v/>
      </c>
      <c r="J542" s="31">
        <f>IF($A542="","",MAX(IF($D542="Evet",ROUND($C542*tba_oranBesPuan,2),0),IF($E542="Evet",ROUND($C542*tba_oranIlave,2),0),IF($F542="Evet",ROUND($C542*tba_oranKadinGenc,2),0),IF($G542="Evet",ROUND($C542*tba_isverenOran,2),0)))</f>
        <v/>
      </c>
      <c r="K542" s="31">
        <f>IF($A542="","",IF($H542="TBA-001",IF($D542="Evet",ROUND($C542*tba_oranBesPuan,2),0),IF($H542="TBA-002",IF($E542="Evet",ROUND($C542*tba_oranIlave,2),0),IF($H542="TBA-004",IF($F542="Evet",ROUND($C542*tba_oranKadinGenc,2),0),IF($H542="TBA-ENG",IF($G542="Evet",ROUND($C542*tba_isverenOran,2),0),0)))))</f>
        <v/>
      </c>
      <c r="L542" s="31">
        <f>IF($A542="","",MAX(0,$J542-$K542))</f>
        <v/>
      </c>
    </row>
    <row r="543">
      <c r="I543" s="31">
        <f>IF($A543="","",IF($J543=0,"YOK",IF(AND($E543="Evet",ROUND($C543*tba_oranIlave,2)=$J543),"TBA-002",IF(AND($D543="Evet",ROUND($C543*tba_oranBesPuan,2)=$J543),"TBA-001",IF(AND($F543="Evet",ROUND($C543*tba_oranKadinGenc,2)=$J543),"TBA-004","TBA-ENG")))))</f>
        <v/>
      </c>
      <c r="J543" s="31">
        <f>IF($A543="","",MAX(IF($D543="Evet",ROUND($C543*tba_oranBesPuan,2),0),IF($E543="Evet",ROUND($C543*tba_oranIlave,2),0),IF($F543="Evet",ROUND($C543*tba_oranKadinGenc,2),0),IF($G543="Evet",ROUND($C543*tba_isverenOran,2),0)))</f>
        <v/>
      </c>
      <c r="K543" s="31">
        <f>IF($A543="","",IF($H543="TBA-001",IF($D543="Evet",ROUND($C543*tba_oranBesPuan,2),0),IF($H543="TBA-002",IF($E543="Evet",ROUND($C543*tba_oranIlave,2),0),IF($H543="TBA-004",IF($F543="Evet",ROUND($C543*tba_oranKadinGenc,2),0),IF($H543="TBA-ENG",IF($G543="Evet",ROUND($C543*tba_isverenOran,2),0),0)))))</f>
        <v/>
      </c>
      <c r="L543" s="31">
        <f>IF($A543="","",MAX(0,$J543-$K543))</f>
        <v/>
      </c>
    </row>
    <row r="544">
      <c r="I544" s="31">
        <f>IF($A544="","",IF($J544=0,"YOK",IF(AND($E544="Evet",ROUND($C544*tba_oranIlave,2)=$J544),"TBA-002",IF(AND($D544="Evet",ROUND($C544*tba_oranBesPuan,2)=$J544),"TBA-001",IF(AND($F544="Evet",ROUND($C544*tba_oranKadinGenc,2)=$J544),"TBA-004","TBA-ENG")))))</f>
        <v/>
      </c>
      <c r="J544" s="31">
        <f>IF($A544="","",MAX(IF($D544="Evet",ROUND($C544*tba_oranBesPuan,2),0),IF($E544="Evet",ROUND($C544*tba_oranIlave,2),0),IF($F544="Evet",ROUND($C544*tba_oranKadinGenc,2),0),IF($G544="Evet",ROUND($C544*tba_isverenOran,2),0)))</f>
        <v/>
      </c>
      <c r="K544" s="31">
        <f>IF($A544="","",IF($H544="TBA-001",IF($D544="Evet",ROUND($C544*tba_oranBesPuan,2),0),IF($H544="TBA-002",IF($E544="Evet",ROUND($C544*tba_oranIlave,2),0),IF($H544="TBA-004",IF($F544="Evet",ROUND($C544*tba_oranKadinGenc,2),0),IF($H544="TBA-ENG",IF($G544="Evet",ROUND($C544*tba_isverenOran,2),0),0)))))</f>
        <v/>
      </c>
      <c r="L544" s="31">
        <f>IF($A544="","",MAX(0,$J544-$K544))</f>
        <v/>
      </c>
    </row>
    <row r="545">
      <c r="I545" s="31">
        <f>IF($A545="","",IF($J545=0,"YOK",IF(AND($E545="Evet",ROUND($C545*tba_oranIlave,2)=$J545),"TBA-002",IF(AND($D545="Evet",ROUND($C545*tba_oranBesPuan,2)=$J545),"TBA-001",IF(AND($F545="Evet",ROUND($C545*tba_oranKadinGenc,2)=$J545),"TBA-004","TBA-ENG")))))</f>
        <v/>
      </c>
      <c r="J545" s="31">
        <f>IF($A545="","",MAX(IF($D545="Evet",ROUND($C545*tba_oranBesPuan,2),0),IF($E545="Evet",ROUND($C545*tba_oranIlave,2),0),IF($F545="Evet",ROUND($C545*tba_oranKadinGenc,2),0),IF($G545="Evet",ROUND($C545*tba_isverenOran,2),0)))</f>
        <v/>
      </c>
      <c r="K545" s="31">
        <f>IF($A545="","",IF($H545="TBA-001",IF($D545="Evet",ROUND($C545*tba_oranBesPuan,2),0),IF($H545="TBA-002",IF($E545="Evet",ROUND($C545*tba_oranIlave,2),0),IF($H545="TBA-004",IF($F545="Evet",ROUND($C545*tba_oranKadinGenc,2),0),IF($H545="TBA-ENG",IF($G545="Evet",ROUND($C545*tba_isverenOran,2),0),0)))))</f>
        <v/>
      </c>
      <c r="L545" s="31">
        <f>IF($A545="","",MAX(0,$J545-$K545))</f>
        <v/>
      </c>
    </row>
    <row r="546">
      <c r="I546" s="31">
        <f>IF($A546="","",IF($J546=0,"YOK",IF(AND($E546="Evet",ROUND($C546*tba_oranIlave,2)=$J546),"TBA-002",IF(AND($D546="Evet",ROUND($C546*tba_oranBesPuan,2)=$J546),"TBA-001",IF(AND($F546="Evet",ROUND($C546*tba_oranKadinGenc,2)=$J546),"TBA-004","TBA-ENG")))))</f>
        <v/>
      </c>
      <c r="J546" s="31">
        <f>IF($A546="","",MAX(IF($D546="Evet",ROUND($C546*tba_oranBesPuan,2),0),IF($E546="Evet",ROUND($C546*tba_oranIlave,2),0),IF($F546="Evet",ROUND($C546*tba_oranKadinGenc,2),0),IF($G546="Evet",ROUND($C546*tba_isverenOran,2),0)))</f>
        <v/>
      </c>
      <c r="K546" s="31">
        <f>IF($A546="","",IF($H546="TBA-001",IF($D546="Evet",ROUND($C546*tba_oranBesPuan,2),0),IF($H546="TBA-002",IF($E546="Evet",ROUND($C546*tba_oranIlave,2),0),IF($H546="TBA-004",IF($F546="Evet",ROUND($C546*tba_oranKadinGenc,2),0),IF($H546="TBA-ENG",IF($G546="Evet",ROUND($C546*tba_isverenOran,2),0),0)))))</f>
        <v/>
      </c>
      <c r="L546" s="31">
        <f>IF($A546="","",MAX(0,$J546-$K546))</f>
        <v/>
      </c>
    </row>
    <row r="547">
      <c r="I547" s="31">
        <f>IF($A547="","",IF($J547=0,"YOK",IF(AND($E547="Evet",ROUND($C547*tba_oranIlave,2)=$J547),"TBA-002",IF(AND($D547="Evet",ROUND($C547*tba_oranBesPuan,2)=$J547),"TBA-001",IF(AND($F547="Evet",ROUND($C547*tba_oranKadinGenc,2)=$J547),"TBA-004","TBA-ENG")))))</f>
        <v/>
      </c>
      <c r="J547" s="31">
        <f>IF($A547="","",MAX(IF($D547="Evet",ROUND($C547*tba_oranBesPuan,2),0),IF($E547="Evet",ROUND($C547*tba_oranIlave,2),0),IF($F547="Evet",ROUND($C547*tba_oranKadinGenc,2),0),IF($G547="Evet",ROUND($C547*tba_isverenOran,2),0)))</f>
        <v/>
      </c>
      <c r="K547" s="31">
        <f>IF($A547="","",IF($H547="TBA-001",IF($D547="Evet",ROUND($C547*tba_oranBesPuan,2),0),IF($H547="TBA-002",IF($E547="Evet",ROUND($C547*tba_oranIlave,2),0),IF($H547="TBA-004",IF($F547="Evet",ROUND($C547*tba_oranKadinGenc,2),0),IF($H547="TBA-ENG",IF($G547="Evet",ROUND($C547*tba_isverenOran,2),0),0)))))</f>
        <v/>
      </c>
      <c r="L547" s="31">
        <f>IF($A547="","",MAX(0,$J547-$K547))</f>
        <v/>
      </c>
    </row>
    <row r="548">
      <c r="I548" s="31">
        <f>IF($A548="","",IF($J548=0,"YOK",IF(AND($E548="Evet",ROUND($C548*tba_oranIlave,2)=$J548),"TBA-002",IF(AND($D548="Evet",ROUND($C548*tba_oranBesPuan,2)=$J548),"TBA-001",IF(AND($F548="Evet",ROUND($C548*tba_oranKadinGenc,2)=$J548),"TBA-004","TBA-ENG")))))</f>
        <v/>
      </c>
      <c r="J548" s="31">
        <f>IF($A548="","",MAX(IF($D548="Evet",ROUND($C548*tba_oranBesPuan,2),0),IF($E548="Evet",ROUND($C548*tba_oranIlave,2),0),IF($F548="Evet",ROUND($C548*tba_oranKadinGenc,2),0),IF($G548="Evet",ROUND($C548*tba_isverenOran,2),0)))</f>
        <v/>
      </c>
      <c r="K548" s="31">
        <f>IF($A548="","",IF($H548="TBA-001",IF($D548="Evet",ROUND($C548*tba_oranBesPuan,2),0),IF($H548="TBA-002",IF($E548="Evet",ROUND($C548*tba_oranIlave,2),0),IF($H548="TBA-004",IF($F548="Evet",ROUND($C548*tba_oranKadinGenc,2),0),IF($H548="TBA-ENG",IF($G548="Evet",ROUND($C548*tba_isverenOran,2),0),0)))))</f>
        <v/>
      </c>
      <c r="L548" s="31">
        <f>IF($A548="","",MAX(0,$J548-$K548))</f>
        <v/>
      </c>
    </row>
    <row r="549">
      <c r="I549" s="31">
        <f>IF($A549="","",IF($J549=0,"YOK",IF(AND($E549="Evet",ROUND($C549*tba_oranIlave,2)=$J549),"TBA-002",IF(AND($D549="Evet",ROUND($C549*tba_oranBesPuan,2)=$J549),"TBA-001",IF(AND($F549="Evet",ROUND($C549*tba_oranKadinGenc,2)=$J549),"TBA-004","TBA-ENG")))))</f>
        <v/>
      </c>
      <c r="J549" s="31">
        <f>IF($A549="","",MAX(IF($D549="Evet",ROUND($C549*tba_oranBesPuan,2),0),IF($E549="Evet",ROUND($C549*tba_oranIlave,2),0),IF($F549="Evet",ROUND($C549*tba_oranKadinGenc,2),0),IF($G549="Evet",ROUND($C549*tba_isverenOran,2),0)))</f>
        <v/>
      </c>
      <c r="K549" s="31">
        <f>IF($A549="","",IF($H549="TBA-001",IF($D549="Evet",ROUND($C549*tba_oranBesPuan,2),0),IF($H549="TBA-002",IF($E549="Evet",ROUND($C549*tba_oranIlave,2),0),IF($H549="TBA-004",IF($F549="Evet",ROUND($C549*tba_oranKadinGenc,2),0),IF($H549="TBA-ENG",IF($G549="Evet",ROUND($C549*tba_isverenOran,2),0),0)))))</f>
        <v/>
      </c>
      <c r="L549" s="31">
        <f>IF($A549="","",MAX(0,$J549-$K549))</f>
        <v/>
      </c>
    </row>
    <row r="550">
      <c r="I550" s="31">
        <f>IF($A550="","",IF($J550=0,"YOK",IF(AND($E550="Evet",ROUND($C550*tba_oranIlave,2)=$J550),"TBA-002",IF(AND($D550="Evet",ROUND($C550*tba_oranBesPuan,2)=$J550),"TBA-001",IF(AND($F550="Evet",ROUND($C550*tba_oranKadinGenc,2)=$J550),"TBA-004","TBA-ENG")))))</f>
        <v/>
      </c>
      <c r="J550" s="31">
        <f>IF($A550="","",MAX(IF($D550="Evet",ROUND($C550*tba_oranBesPuan,2),0),IF($E550="Evet",ROUND($C550*tba_oranIlave,2),0),IF($F550="Evet",ROUND($C550*tba_oranKadinGenc,2),0),IF($G550="Evet",ROUND($C550*tba_isverenOran,2),0)))</f>
        <v/>
      </c>
      <c r="K550" s="31">
        <f>IF($A550="","",IF($H550="TBA-001",IF($D550="Evet",ROUND($C550*tba_oranBesPuan,2),0),IF($H550="TBA-002",IF($E550="Evet",ROUND($C550*tba_oranIlave,2),0),IF($H550="TBA-004",IF($F550="Evet",ROUND($C550*tba_oranKadinGenc,2),0),IF($H550="TBA-ENG",IF($G550="Evet",ROUND($C550*tba_isverenOran,2),0),0)))))</f>
        <v/>
      </c>
      <c r="L550" s="31">
        <f>IF($A550="","",MAX(0,$J550-$K550))</f>
        <v/>
      </c>
    </row>
    <row r="551">
      <c r="I551" s="31">
        <f>IF($A551="","",IF($J551=0,"YOK",IF(AND($E551="Evet",ROUND($C551*tba_oranIlave,2)=$J551),"TBA-002",IF(AND($D551="Evet",ROUND($C551*tba_oranBesPuan,2)=$J551),"TBA-001",IF(AND($F551="Evet",ROUND($C551*tba_oranKadinGenc,2)=$J551),"TBA-004","TBA-ENG")))))</f>
        <v/>
      </c>
      <c r="J551" s="31">
        <f>IF($A551="","",MAX(IF($D551="Evet",ROUND($C551*tba_oranBesPuan,2),0),IF($E551="Evet",ROUND($C551*tba_oranIlave,2),0),IF($F551="Evet",ROUND($C551*tba_oranKadinGenc,2),0),IF($G551="Evet",ROUND($C551*tba_isverenOran,2),0)))</f>
        <v/>
      </c>
      <c r="K551" s="31">
        <f>IF($A551="","",IF($H551="TBA-001",IF($D551="Evet",ROUND($C551*tba_oranBesPuan,2),0),IF($H551="TBA-002",IF($E551="Evet",ROUND($C551*tba_oranIlave,2),0),IF($H551="TBA-004",IF($F551="Evet",ROUND($C551*tba_oranKadinGenc,2),0),IF($H551="TBA-ENG",IF($G551="Evet",ROUND($C551*tba_isverenOran,2),0),0)))))</f>
        <v/>
      </c>
      <c r="L551" s="31">
        <f>IF($A551="","",MAX(0,$J551-$K551))</f>
        <v/>
      </c>
    </row>
    <row r="552">
      <c r="I552" s="31">
        <f>IF($A552="","",IF($J552=0,"YOK",IF(AND($E552="Evet",ROUND($C552*tba_oranIlave,2)=$J552),"TBA-002",IF(AND($D552="Evet",ROUND($C552*tba_oranBesPuan,2)=$J552),"TBA-001",IF(AND($F552="Evet",ROUND($C552*tba_oranKadinGenc,2)=$J552),"TBA-004","TBA-ENG")))))</f>
        <v/>
      </c>
      <c r="J552" s="31">
        <f>IF($A552="","",MAX(IF($D552="Evet",ROUND($C552*tba_oranBesPuan,2),0),IF($E552="Evet",ROUND($C552*tba_oranIlave,2),0),IF($F552="Evet",ROUND($C552*tba_oranKadinGenc,2),0),IF($G552="Evet",ROUND($C552*tba_isverenOran,2),0)))</f>
        <v/>
      </c>
      <c r="K552" s="31">
        <f>IF($A552="","",IF($H552="TBA-001",IF($D552="Evet",ROUND($C552*tba_oranBesPuan,2),0),IF($H552="TBA-002",IF($E552="Evet",ROUND($C552*tba_oranIlave,2),0),IF($H552="TBA-004",IF($F552="Evet",ROUND($C552*tba_oranKadinGenc,2),0),IF($H552="TBA-ENG",IF($G552="Evet",ROUND($C552*tba_isverenOran,2),0),0)))))</f>
        <v/>
      </c>
      <c r="L552" s="31">
        <f>IF($A552="","",MAX(0,$J552-$K552))</f>
        <v/>
      </c>
    </row>
    <row r="553">
      <c r="I553" s="31">
        <f>IF($A553="","",IF($J553=0,"YOK",IF(AND($E553="Evet",ROUND($C553*tba_oranIlave,2)=$J553),"TBA-002",IF(AND($D553="Evet",ROUND($C553*tba_oranBesPuan,2)=$J553),"TBA-001",IF(AND($F553="Evet",ROUND($C553*tba_oranKadinGenc,2)=$J553),"TBA-004","TBA-ENG")))))</f>
        <v/>
      </c>
      <c r="J553" s="31">
        <f>IF($A553="","",MAX(IF($D553="Evet",ROUND($C553*tba_oranBesPuan,2),0),IF($E553="Evet",ROUND($C553*tba_oranIlave,2),0),IF($F553="Evet",ROUND($C553*tba_oranKadinGenc,2),0),IF($G553="Evet",ROUND($C553*tba_isverenOran,2),0)))</f>
        <v/>
      </c>
      <c r="K553" s="31">
        <f>IF($A553="","",IF($H553="TBA-001",IF($D553="Evet",ROUND($C553*tba_oranBesPuan,2),0),IF($H553="TBA-002",IF($E553="Evet",ROUND($C553*tba_oranIlave,2),0),IF($H553="TBA-004",IF($F553="Evet",ROUND($C553*tba_oranKadinGenc,2),0),IF($H553="TBA-ENG",IF($G553="Evet",ROUND($C553*tba_isverenOran,2),0),0)))))</f>
        <v/>
      </c>
      <c r="L553" s="31">
        <f>IF($A553="","",MAX(0,$J553-$K553))</f>
        <v/>
      </c>
    </row>
    <row r="554">
      <c r="I554" s="31">
        <f>IF($A554="","",IF($J554=0,"YOK",IF(AND($E554="Evet",ROUND($C554*tba_oranIlave,2)=$J554),"TBA-002",IF(AND($D554="Evet",ROUND($C554*tba_oranBesPuan,2)=$J554),"TBA-001",IF(AND($F554="Evet",ROUND($C554*tba_oranKadinGenc,2)=$J554),"TBA-004","TBA-ENG")))))</f>
        <v/>
      </c>
      <c r="J554" s="31">
        <f>IF($A554="","",MAX(IF($D554="Evet",ROUND($C554*tba_oranBesPuan,2),0),IF($E554="Evet",ROUND($C554*tba_oranIlave,2),0),IF($F554="Evet",ROUND($C554*tba_oranKadinGenc,2),0),IF($G554="Evet",ROUND($C554*tba_isverenOran,2),0)))</f>
        <v/>
      </c>
      <c r="K554" s="31">
        <f>IF($A554="","",IF($H554="TBA-001",IF($D554="Evet",ROUND($C554*tba_oranBesPuan,2),0),IF($H554="TBA-002",IF($E554="Evet",ROUND($C554*tba_oranIlave,2),0),IF($H554="TBA-004",IF($F554="Evet",ROUND($C554*tba_oranKadinGenc,2),0),IF($H554="TBA-ENG",IF($G554="Evet",ROUND($C554*tba_isverenOran,2),0),0)))))</f>
        <v/>
      </c>
      <c r="L554" s="31">
        <f>IF($A554="","",MAX(0,$J554-$K554))</f>
        <v/>
      </c>
    </row>
    <row r="555">
      <c r="I555" s="31">
        <f>IF($A555="","",IF($J555=0,"YOK",IF(AND($E555="Evet",ROUND($C555*tba_oranIlave,2)=$J555),"TBA-002",IF(AND($D555="Evet",ROUND($C555*tba_oranBesPuan,2)=$J555),"TBA-001",IF(AND($F555="Evet",ROUND($C555*tba_oranKadinGenc,2)=$J555),"TBA-004","TBA-ENG")))))</f>
        <v/>
      </c>
      <c r="J555" s="31">
        <f>IF($A555="","",MAX(IF($D555="Evet",ROUND($C555*tba_oranBesPuan,2),0),IF($E555="Evet",ROUND($C555*tba_oranIlave,2),0),IF($F555="Evet",ROUND($C555*tba_oranKadinGenc,2),0),IF($G555="Evet",ROUND($C555*tba_isverenOran,2),0)))</f>
        <v/>
      </c>
      <c r="K555" s="31">
        <f>IF($A555="","",IF($H555="TBA-001",IF($D555="Evet",ROUND($C555*tba_oranBesPuan,2),0),IF($H555="TBA-002",IF($E555="Evet",ROUND($C555*tba_oranIlave,2),0),IF($H555="TBA-004",IF($F555="Evet",ROUND($C555*tba_oranKadinGenc,2),0),IF($H555="TBA-ENG",IF($G555="Evet",ROUND($C555*tba_isverenOran,2),0),0)))))</f>
        <v/>
      </c>
      <c r="L555" s="31">
        <f>IF($A555="","",MAX(0,$J555-$K555))</f>
        <v/>
      </c>
    </row>
    <row r="556">
      <c r="I556" s="31">
        <f>IF($A556="","",IF($J556=0,"YOK",IF(AND($E556="Evet",ROUND($C556*tba_oranIlave,2)=$J556),"TBA-002",IF(AND($D556="Evet",ROUND($C556*tba_oranBesPuan,2)=$J556),"TBA-001",IF(AND($F556="Evet",ROUND($C556*tba_oranKadinGenc,2)=$J556),"TBA-004","TBA-ENG")))))</f>
        <v/>
      </c>
      <c r="J556" s="31">
        <f>IF($A556="","",MAX(IF($D556="Evet",ROUND($C556*tba_oranBesPuan,2),0),IF($E556="Evet",ROUND($C556*tba_oranIlave,2),0),IF($F556="Evet",ROUND($C556*tba_oranKadinGenc,2),0),IF($G556="Evet",ROUND($C556*tba_isverenOran,2),0)))</f>
        <v/>
      </c>
      <c r="K556" s="31">
        <f>IF($A556="","",IF($H556="TBA-001",IF($D556="Evet",ROUND($C556*tba_oranBesPuan,2),0),IF($H556="TBA-002",IF($E556="Evet",ROUND($C556*tba_oranIlave,2),0),IF($H556="TBA-004",IF($F556="Evet",ROUND($C556*tba_oranKadinGenc,2),0),IF($H556="TBA-ENG",IF($G556="Evet",ROUND($C556*tba_isverenOran,2),0),0)))))</f>
        <v/>
      </c>
      <c r="L556" s="31">
        <f>IF($A556="","",MAX(0,$J556-$K556))</f>
        <v/>
      </c>
    </row>
    <row r="557">
      <c r="I557" s="31">
        <f>IF($A557="","",IF($J557=0,"YOK",IF(AND($E557="Evet",ROUND($C557*tba_oranIlave,2)=$J557),"TBA-002",IF(AND($D557="Evet",ROUND($C557*tba_oranBesPuan,2)=$J557),"TBA-001",IF(AND($F557="Evet",ROUND($C557*tba_oranKadinGenc,2)=$J557),"TBA-004","TBA-ENG")))))</f>
        <v/>
      </c>
      <c r="J557" s="31">
        <f>IF($A557="","",MAX(IF($D557="Evet",ROUND($C557*tba_oranBesPuan,2),0),IF($E557="Evet",ROUND($C557*tba_oranIlave,2),0),IF($F557="Evet",ROUND($C557*tba_oranKadinGenc,2),0),IF($G557="Evet",ROUND($C557*tba_isverenOran,2),0)))</f>
        <v/>
      </c>
      <c r="K557" s="31">
        <f>IF($A557="","",IF($H557="TBA-001",IF($D557="Evet",ROUND($C557*tba_oranBesPuan,2),0),IF($H557="TBA-002",IF($E557="Evet",ROUND($C557*tba_oranIlave,2),0),IF($H557="TBA-004",IF($F557="Evet",ROUND($C557*tba_oranKadinGenc,2),0),IF($H557="TBA-ENG",IF($G557="Evet",ROUND($C557*tba_isverenOran,2),0),0)))))</f>
        <v/>
      </c>
      <c r="L557" s="31">
        <f>IF($A557="","",MAX(0,$J557-$K557))</f>
        <v/>
      </c>
    </row>
    <row r="558">
      <c r="I558" s="31">
        <f>IF($A558="","",IF($J558=0,"YOK",IF(AND($E558="Evet",ROUND($C558*tba_oranIlave,2)=$J558),"TBA-002",IF(AND($D558="Evet",ROUND($C558*tba_oranBesPuan,2)=$J558),"TBA-001",IF(AND($F558="Evet",ROUND($C558*tba_oranKadinGenc,2)=$J558),"TBA-004","TBA-ENG")))))</f>
        <v/>
      </c>
      <c r="J558" s="31">
        <f>IF($A558="","",MAX(IF($D558="Evet",ROUND($C558*tba_oranBesPuan,2),0),IF($E558="Evet",ROUND($C558*tba_oranIlave,2),0),IF($F558="Evet",ROUND($C558*tba_oranKadinGenc,2),0),IF($G558="Evet",ROUND($C558*tba_isverenOran,2),0)))</f>
        <v/>
      </c>
      <c r="K558" s="31">
        <f>IF($A558="","",IF($H558="TBA-001",IF($D558="Evet",ROUND($C558*tba_oranBesPuan,2),0),IF($H558="TBA-002",IF($E558="Evet",ROUND($C558*tba_oranIlave,2),0),IF($H558="TBA-004",IF($F558="Evet",ROUND($C558*tba_oranKadinGenc,2),0),IF($H558="TBA-ENG",IF($G558="Evet",ROUND($C558*tba_isverenOran,2),0),0)))))</f>
        <v/>
      </c>
      <c r="L558" s="31">
        <f>IF($A558="","",MAX(0,$J558-$K558))</f>
        <v/>
      </c>
    </row>
    <row r="559">
      <c r="I559" s="31">
        <f>IF($A559="","",IF($J559=0,"YOK",IF(AND($E559="Evet",ROUND($C559*tba_oranIlave,2)=$J559),"TBA-002",IF(AND($D559="Evet",ROUND($C559*tba_oranBesPuan,2)=$J559),"TBA-001",IF(AND($F559="Evet",ROUND($C559*tba_oranKadinGenc,2)=$J559),"TBA-004","TBA-ENG")))))</f>
        <v/>
      </c>
      <c r="J559" s="31">
        <f>IF($A559="","",MAX(IF($D559="Evet",ROUND($C559*tba_oranBesPuan,2),0),IF($E559="Evet",ROUND($C559*tba_oranIlave,2),0),IF($F559="Evet",ROUND($C559*tba_oranKadinGenc,2),0),IF($G559="Evet",ROUND($C559*tba_isverenOran,2),0)))</f>
        <v/>
      </c>
      <c r="K559" s="31">
        <f>IF($A559="","",IF($H559="TBA-001",IF($D559="Evet",ROUND($C559*tba_oranBesPuan,2),0),IF($H559="TBA-002",IF($E559="Evet",ROUND($C559*tba_oranIlave,2),0),IF($H559="TBA-004",IF($F559="Evet",ROUND($C559*tba_oranKadinGenc,2),0),IF($H559="TBA-ENG",IF($G559="Evet",ROUND($C559*tba_isverenOran,2),0),0)))))</f>
        <v/>
      </c>
      <c r="L559" s="31">
        <f>IF($A559="","",MAX(0,$J559-$K559))</f>
        <v/>
      </c>
    </row>
    <row r="560">
      <c r="I560" s="31">
        <f>IF($A560="","",IF($J560=0,"YOK",IF(AND($E560="Evet",ROUND($C560*tba_oranIlave,2)=$J560),"TBA-002",IF(AND($D560="Evet",ROUND($C560*tba_oranBesPuan,2)=$J560),"TBA-001",IF(AND($F560="Evet",ROUND($C560*tba_oranKadinGenc,2)=$J560),"TBA-004","TBA-ENG")))))</f>
        <v/>
      </c>
      <c r="J560" s="31">
        <f>IF($A560="","",MAX(IF($D560="Evet",ROUND($C560*tba_oranBesPuan,2),0),IF($E560="Evet",ROUND($C560*tba_oranIlave,2),0),IF($F560="Evet",ROUND($C560*tba_oranKadinGenc,2),0),IF($G560="Evet",ROUND($C560*tba_isverenOran,2),0)))</f>
        <v/>
      </c>
      <c r="K560" s="31">
        <f>IF($A560="","",IF($H560="TBA-001",IF($D560="Evet",ROUND($C560*tba_oranBesPuan,2),0),IF($H560="TBA-002",IF($E560="Evet",ROUND($C560*tba_oranIlave,2),0),IF($H560="TBA-004",IF($F560="Evet",ROUND($C560*tba_oranKadinGenc,2),0),IF($H560="TBA-ENG",IF($G560="Evet",ROUND($C560*tba_isverenOran,2),0),0)))))</f>
        <v/>
      </c>
      <c r="L560" s="31">
        <f>IF($A560="","",MAX(0,$J560-$K560))</f>
        <v/>
      </c>
    </row>
    <row r="561">
      <c r="I561" s="31">
        <f>IF($A561="","",IF($J561=0,"YOK",IF(AND($E561="Evet",ROUND($C561*tba_oranIlave,2)=$J561),"TBA-002",IF(AND($D561="Evet",ROUND($C561*tba_oranBesPuan,2)=$J561),"TBA-001",IF(AND($F561="Evet",ROUND($C561*tba_oranKadinGenc,2)=$J561),"TBA-004","TBA-ENG")))))</f>
        <v/>
      </c>
      <c r="J561" s="31">
        <f>IF($A561="","",MAX(IF($D561="Evet",ROUND($C561*tba_oranBesPuan,2),0),IF($E561="Evet",ROUND($C561*tba_oranIlave,2),0),IF($F561="Evet",ROUND($C561*tba_oranKadinGenc,2),0),IF($G561="Evet",ROUND($C561*tba_isverenOran,2),0)))</f>
        <v/>
      </c>
      <c r="K561" s="31">
        <f>IF($A561="","",IF($H561="TBA-001",IF($D561="Evet",ROUND($C561*tba_oranBesPuan,2),0),IF($H561="TBA-002",IF($E561="Evet",ROUND($C561*tba_oranIlave,2),0),IF($H561="TBA-004",IF($F561="Evet",ROUND($C561*tba_oranKadinGenc,2),0),IF($H561="TBA-ENG",IF($G561="Evet",ROUND($C561*tba_isverenOran,2),0),0)))))</f>
        <v/>
      </c>
      <c r="L561" s="31">
        <f>IF($A561="","",MAX(0,$J561-$K561))</f>
        <v/>
      </c>
    </row>
    <row r="562">
      <c r="I562" s="31">
        <f>IF($A562="","",IF($J562=0,"YOK",IF(AND($E562="Evet",ROUND($C562*tba_oranIlave,2)=$J562),"TBA-002",IF(AND($D562="Evet",ROUND($C562*tba_oranBesPuan,2)=$J562),"TBA-001",IF(AND($F562="Evet",ROUND($C562*tba_oranKadinGenc,2)=$J562),"TBA-004","TBA-ENG")))))</f>
        <v/>
      </c>
      <c r="J562" s="31">
        <f>IF($A562="","",MAX(IF($D562="Evet",ROUND($C562*tba_oranBesPuan,2),0),IF($E562="Evet",ROUND($C562*tba_oranIlave,2),0),IF($F562="Evet",ROUND($C562*tba_oranKadinGenc,2),0),IF($G562="Evet",ROUND($C562*tba_isverenOran,2),0)))</f>
        <v/>
      </c>
      <c r="K562" s="31">
        <f>IF($A562="","",IF($H562="TBA-001",IF($D562="Evet",ROUND($C562*tba_oranBesPuan,2),0),IF($H562="TBA-002",IF($E562="Evet",ROUND($C562*tba_oranIlave,2),0),IF($H562="TBA-004",IF($F562="Evet",ROUND($C562*tba_oranKadinGenc,2),0),IF($H562="TBA-ENG",IF($G562="Evet",ROUND($C562*tba_isverenOran,2),0),0)))))</f>
        <v/>
      </c>
      <c r="L562" s="31">
        <f>IF($A562="","",MAX(0,$J562-$K562))</f>
        <v/>
      </c>
    </row>
    <row r="563">
      <c r="I563" s="31">
        <f>IF($A563="","",IF($J563=0,"YOK",IF(AND($E563="Evet",ROUND($C563*tba_oranIlave,2)=$J563),"TBA-002",IF(AND($D563="Evet",ROUND($C563*tba_oranBesPuan,2)=$J563),"TBA-001",IF(AND($F563="Evet",ROUND($C563*tba_oranKadinGenc,2)=$J563),"TBA-004","TBA-ENG")))))</f>
        <v/>
      </c>
      <c r="J563" s="31">
        <f>IF($A563="","",MAX(IF($D563="Evet",ROUND($C563*tba_oranBesPuan,2),0),IF($E563="Evet",ROUND($C563*tba_oranIlave,2),0),IF($F563="Evet",ROUND($C563*tba_oranKadinGenc,2),0),IF($G563="Evet",ROUND($C563*tba_isverenOran,2),0)))</f>
        <v/>
      </c>
      <c r="K563" s="31">
        <f>IF($A563="","",IF($H563="TBA-001",IF($D563="Evet",ROUND($C563*tba_oranBesPuan,2),0),IF($H563="TBA-002",IF($E563="Evet",ROUND($C563*tba_oranIlave,2),0),IF($H563="TBA-004",IF($F563="Evet",ROUND($C563*tba_oranKadinGenc,2),0),IF($H563="TBA-ENG",IF($G563="Evet",ROUND($C563*tba_isverenOran,2),0),0)))))</f>
        <v/>
      </c>
      <c r="L563" s="31">
        <f>IF($A563="","",MAX(0,$J563-$K563))</f>
        <v/>
      </c>
    </row>
    <row r="564">
      <c r="I564" s="31">
        <f>IF($A564="","",IF($J564=0,"YOK",IF(AND($E564="Evet",ROUND($C564*tba_oranIlave,2)=$J564),"TBA-002",IF(AND($D564="Evet",ROUND($C564*tba_oranBesPuan,2)=$J564),"TBA-001",IF(AND($F564="Evet",ROUND($C564*tba_oranKadinGenc,2)=$J564),"TBA-004","TBA-ENG")))))</f>
        <v/>
      </c>
      <c r="J564" s="31">
        <f>IF($A564="","",MAX(IF($D564="Evet",ROUND($C564*tba_oranBesPuan,2),0),IF($E564="Evet",ROUND($C564*tba_oranIlave,2),0),IF($F564="Evet",ROUND($C564*tba_oranKadinGenc,2),0),IF($G564="Evet",ROUND($C564*tba_isverenOran,2),0)))</f>
        <v/>
      </c>
      <c r="K564" s="31">
        <f>IF($A564="","",IF($H564="TBA-001",IF($D564="Evet",ROUND($C564*tba_oranBesPuan,2),0),IF($H564="TBA-002",IF($E564="Evet",ROUND($C564*tba_oranIlave,2),0),IF($H564="TBA-004",IF($F564="Evet",ROUND($C564*tba_oranKadinGenc,2),0),IF($H564="TBA-ENG",IF($G564="Evet",ROUND($C564*tba_isverenOran,2),0),0)))))</f>
        <v/>
      </c>
      <c r="L564" s="31">
        <f>IF($A564="","",MAX(0,$J564-$K564))</f>
        <v/>
      </c>
    </row>
    <row r="565">
      <c r="I565" s="31">
        <f>IF($A565="","",IF($J565=0,"YOK",IF(AND($E565="Evet",ROUND($C565*tba_oranIlave,2)=$J565),"TBA-002",IF(AND($D565="Evet",ROUND($C565*tba_oranBesPuan,2)=$J565),"TBA-001",IF(AND($F565="Evet",ROUND($C565*tba_oranKadinGenc,2)=$J565),"TBA-004","TBA-ENG")))))</f>
        <v/>
      </c>
      <c r="J565" s="31">
        <f>IF($A565="","",MAX(IF($D565="Evet",ROUND($C565*tba_oranBesPuan,2),0),IF($E565="Evet",ROUND($C565*tba_oranIlave,2),0),IF($F565="Evet",ROUND($C565*tba_oranKadinGenc,2),0),IF($G565="Evet",ROUND($C565*tba_isverenOran,2),0)))</f>
        <v/>
      </c>
      <c r="K565" s="31">
        <f>IF($A565="","",IF($H565="TBA-001",IF($D565="Evet",ROUND($C565*tba_oranBesPuan,2),0),IF($H565="TBA-002",IF($E565="Evet",ROUND($C565*tba_oranIlave,2),0),IF($H565="TBA-004",IF($F565="Evet",ROUND($C565*tba_oranKadinGenc,2),0),IF($H565="TBA-ENG",IF($G565="Evet",ROUND($C565*tba_isverenOran,2),0),0)))))</f>
        <v/>
      </c>
      <c r="L565" s="31">
        <f>IF($A565="","",MAX(0,$J565-$K565))</f>
        <v/>
      </c>
    </row>
    <row r="566">
      <c r="I566" s="31">
        <f>IF($A566="","",IF($J566=0,"YOK",IF(AND($E566="Evet",ROUND($C566*tba_oranIlave,2)=$J566),"TBA-002",IF(AND($D566="Evet",ROUND($C566*tba_oranBesPuan,2)=$J566),"TBA-001",IF(AND($F566="Evet",ROUND($C566*tba_oranKadinGenc,2)=$J566),"TBA-004","TBA-ENG")))))</f>
        <v/>
      </c>
      <c r="J566" s="31">
        <f>IF($A566="","",MAX(IF($D566="Evet",ROUND($C566*tba_oranBesPuan,2),0),IF($E566="Evet",ROUND($C566*tba_oranIlave,2),0),IF($F566="Evet",ROUND($C566*tba_oranKadinGenc,2),0),IF($G566="Evet",ROUND($C566*tba_isverenOran,2),0)))</f>
        <v/>
      </c>
      <c r="K566" s="31">
        <f>IF($A566="","",IF($H566="TBA-001",IF($D566="Evet",ROUND($C566*tba_oranBesPuan,2),0),IF($H566="TBA-002",IF($E566="Evet",ROUND($C566*tba_oranIlave,2),0),IF($H566="TBA-004",IF($F566="Evet",ROUND($C566*tba_oranKadinGenc,2),0),IF($H566="TBA-ENG",IF($G566="Evet",ROUND($C566*tba_isverenOran,2),0),0)))))</f>
        <v/>
      </c>
      <c r="L566" s="31">
        <f>IF($A566="","",MAX(0,$J566-$K566))</f>
        <v/>
      </c>
    </row>
    <row r="567">
      <c r="I567" s="31">
        <f>IF($A567="","",IF($J567=0,"YOK",IF(AND($E567="Evet",ROUND($C567*tba_oranIlave,2)=$J567),"TBA-002",IF(AND($D567="Evet",ROUND($C567*tba_oranBesPuan,2)=$J567),"TBA-001",IF(AND($F567="Evet",ROUND($C567*tba_oranKadinGenc,2)=$J567),"TBA-004","TBA-ENG")))))</f>
        <v/>
      </c>
      <c r="J567" s="31">
        <f>IF($A567="","",MAX(IF($D567="Evet",ROUND($C567*tba_oranBesPuan,2),0),IF($E567="Evet",ROUND($C567*tba_oranIlave,2),0),IF($F567="Evet",ROUND($C567*tba_oranKadinGenc,2),0),IF($G567="Evet",ROUND($C567*tba_isverenOran,2),0)))</f>
        <v/>
      </c>
      <c r="K567" s="31">
        <f>IF($A567="","",IF($H567="TBA-001",IF($D567="Evet",ROUND($C567*tba_oranBesPuan,2),0),IF($H567="TBA-002",IF($E567="Evet",ROUND($C567*tba_oranIlave,2),0),IF($H567="TBA-004",IF($F567="Evet",ROUND($C567*tba_oranKadinGenc,2),0),IF($H567="TBA-ENG",IF($G567="Evet",ROUND($C567*tba_isverenOran,2),0),0)))))</f>
        <v/>
      </c>
      <c r="L567" s="31">
        <f>IF($A567="","",MAX(0,$J567-$K567))</f>
        <v/>
      </c>
    </row>
    <row r="568">
      <c r="I568" s="31">
        <f>IF($A568="","",IF($J568=0,"YOK",IF(AND($E568="Evet",ROUND($C568*tba_oranIlave,2)=$J568),"TBA-002",IF(AND($D568="Evet",ROUND($C568*tba_oranBesPuan,2)=$J568),"TBA-001",IF(AND($F568="Evet",ROUND($C568*tba_oranKadinGenc,2)=$J568),"TBA-004","TBA-ENG")))))</f>
        <v/>
      </c>
      <c r="J568" s="31">
        <f>IF($A568="","",MAX(IF($D568="Evet",ROUND($C568*tba_oranBesPuan,2),0),IF($E568="Evet",ROUND($C568*tba_oranIlave,2),0),IF($F568="Evet",ROUND($C568*tba_oranKadinGenc,2),0),IF($G568="Evet",ROUND($C568*tba_isverenOran,2),0)))</f>
        <v/>
      </c>
      <c r="K568" s="31">
        <f>IF($A568="","",IF($H568="TBA-001",IF($D568="Evet",ROUND($C568*tba_oranBesPuan,2),0),IF($H568="TBA-002",IF($E568="Evet",ROUND($C568*tba_oranIlave,2),0),IF($H568="TBA-004",IF($F568="Evet",ROUND($C568*tba_oranKadinGenc,2),0),IF($H568="TBA-ENG",IF($G568="Evet",ROUND($C568*tba_isverenOran,2),0),0)))))</f>
        <v/>
      </c>
      <c r="L568" s="31">
        <f>IF($A568="","",MAX(0,$J568-$K568))</f>
        <v/>
      </c>
    </row>
    <row r="569">
      <c r="I569" s="31">
        <f>IF($A569="","",IF($J569=0,"YOK",IF(AND($E569="Evet",ROUND($C569*tba_oranIlave,2)=$J569),"TBA-002",IF(AND($D569="Evet",ROUND($C569*tba_oranBesPuan,2)=$J569),"TBA-001",IF(AND($F569="Evet",ROUND($C569*tba_oranKadinGenc,2)=$J569),"TBA-004","TBA-ENG")))))</f>
        <v/>
      </c>
      <c r="J569" s="31">
        <f>IF($A569="","",MAX(IF($D569="Evet",ROUND($C569*tba_oranBesPuan,2),0),IF($E569="Evet",ROUND($C569*tba_oranIlave,2),0),IF($F569="Evet",ROUND($C569*tba_oranKadinGenc,2),0),IF($G569="Evet",ROUND($C569*tba_isverenOran,2),0)))</f>
        <v/>
      </c>
      <c r="K569" s="31">
        <f>IF($A569="","",IF($H569="TBA-001",IF($D569="Evet",ROUND($C569*tba_oranBesPuan,2),0),IF($H569="TBA-002",IF($E569="Evet",ROUND($C569*tba_oranIlave,2),0),IF($H569="TBA-004",IF($F569="Evet",ROUND($C569*tba_oranKadinGenc,2),0),IF($H569="TBA-ENG",IF($G569="Evet",ROUND($C569*tba_isverenOran,2),0),0)))))</f>
        <v/>
      </c>
      <c r="L569" s="31">
        <f>IF($A569="","",MAX(0,$J569-$K569))</f>
        <v/>
      </c>
    </row>
    <row r="570">
      <c r="I570" s="31">
        <f>IF($A570="","",IF($J570=0,"YOK",IF(AND($E570="Evet",ROUND($C570*tba_oranIlave,2)=$J570),"TBA-002",IF(AND($D570="Evet",ROUND($C570*tba_oranBesPuan,2)=$J570),"TBA-001",IF(AND($F570="Evet",ROUND($C570*tba_oranKadinGenc,2)=$J570),"TBA-004","TBA-ENG")))))</f>
        <v/>
      </c>
      <c r="J570" s="31">
        <f>IF($A570="","",MAX(IF($D570="Evet",ROUND($C570*tba_oranBesPuan,2),0),IF($E570="Evet",ROUND($C570*tba_oranIlave,2),0),IF($F570="Evet",ROUND($C570*tba_oranKadinGenc,2),0),IF($G570="Evet",ROUND($C570*tba_isverenOran,2),0)))</f>
        <v/>
      </c>
      <c r="K570" s="31">
        <f>IF($A570="","",IF($H570="TBA-001",IF($D570="Evet",ROUND($C570*tba_oranBesPuan,2),0),IF($H570="TBA-002",IF($E570="Evet",ROUND($C570*tba_oranIlave,2),0),IF($H570="TBA-004",IF($F570="Evet",ROUND($C570*tba_oranKadinGenc,2),0),IF($H570="TBA-ENG",IF($G570="Evet",ROUND($C570*tba_isverenOran,2),0),0)))))</f>
        <v/>
      </c>
      <c r="L570" s="31">
        <f>IF($A570="","",MAX(0,$J570-$K570))</f>
        <v/>
      </c>
    </row>
    <row r="571">
      <c r="I571" s="31">
        <f>IF($A571="","",IF($J571=0,"YOK",IF(AND($E571="Evet",ROUND($C571*tba_oranIlave,2)=$J571),"TBA-002",IF(AND($D571="Evet",ROUND($C571*tba_oranBesPuan,2)=$J571),"TBA-001",IF(AND($F571="Evet",ROUND($C571*tba_oranKadinGenc,2)=$J571),"TBA-004","TBA-ENG")))))</f>
        <v/>
      </c>
      <c r="J571" s="31">
        <f>IF($A571="","",MAX(IF($D571="Evet",ROUND($C571*tba_oranBesPuan,2),0),IF($E571="Evet",ROUND($C571*tba_oranIlave,2),0),IF($F571="Evet",ROUND($C571*tba_oranKadinGenc,2),0),IF($G571="Evet",ROUND($C571*tba_isverenOran,2),0)))</f>
        <v/>
      </c>
      <c r="K571" s="31">
        <f>IF($A571="","",IF($H571="TBA-001",IF($D571="Evet",ROUND($C571*tba_oranBesPuan,2),0),IF($H571="TBA-002",IF($E571="Evet",ROUND($C571*tba_oranIlave,2),0),IF($H571="TBA-004",IF($F571="Evet",ROUND($C571*tba_oranKadinGenc,2),0),IF($H571="TBA-ENG",IF($G571="Evet",ROUND($C571*tba_isverenOran,2),0),0)))))</f>
        <v/>
      </c>
      <c r="L571" s="31">
        <f>IF($A571="","",MAX(0,$J571-$K571))</f>
        <v/>
      </c>
    </row>
    <row r="572">
      <c r="I572" s="31">
        <f>IF($A572="","",IF($J572=0,"YOK",IF(AND($E572="Evet",ROUND($C572*tba_oranIlave,2)=$J572),"TBA-002",IF(AND($D572="Evet",ROUND($C572*tba_oranBesPuan,2)=$J572),"TBA-001",IF(AND($F572="Evet",ROUND($C572*tba_oranKadinGenc,2)=$J572),"TBA-004","TBA-ENG")))))</f>
        <v/>
      </c>
      <c r="J572" s="31">
        <f>IF($A572="","",MAX(IF($D572="Evet",ROUND($C572*tba_oranBesPuan,2),0),IF($E572="Evet",ROUND($C572*tba_oranIlave,2),0),IF($F572="Evet",ROUND($C572*tba_oranKadinGenc,2),0),IF($G572="Evet",ROUND($C572*tba_isverenOran,2),0)))</f>
        <v/>
      </c>
      <c r="K572" s="31">
        <f>IF($A572="","",IF($H572="TBA-001",IF($D572="Evet",ROUND($C572*tba_oranBesPuan,2),0),IF($H572="TBA-002",IF($E572="Evet",ROUND($C572*tba_oranIlave,2),0),IF($H572="TBA-004",IF($F572="Evet",ROUND($C572*tba_oranKadinGenc,2),0),IF($H572="TBA-ENG",IF($G572="Evet",ROUND($C572*tba_isverenOran,2),0),0)))))</f>
        <v/>
      </c>
      <c r="L572" s="31">
        <f>IF($A572="","",MAX(0,$J572-$K572))</f>
        <v/>
      </c>
    </row>
    <row r="573">
      <c r="I573" s="31">
        <f>IF($A573="","",IF($J573=0,"YOK",IF(AND($E573="Evet",ROUND($C573*tba_oranIlave,2)=$J573),"TBA-002",IF(AND($D573="Evet",ROUND($C573*tba_oranBesPuan,2)=$J573),"TBA-001",IF(AND($F573="Evet",ROUND($C573*tba_oranKadinGenc,2)=$J573),"TBA-004","TBA-ENG")))))</f>
        <v/>
      </c>
      <c r="J573" s="31">
        <f>IF($A573="","",MAX(IF($D573="Evet",ROUND($C573*tba_oranBesPuan,2),0),IF($E573="Evet",ROUND($C573*tba_oranIlave,2),0),IF($F573="Evet",ROUND($C573*tba_oranKadinGenc,2),0),IF($G573="Evet",ROUND($C573*tba_isverenOran,2),0)))</f>
        <v/>
      </c>
      <c r="K573" s="31">
        <f>IF($A573="","",IF($H573="TBA-001",IF($D573="Evet",ROUND($C573*tba_oranBesPuan,2),0),IF($H573="TBA-002",IF($E573="Evet",ROUND($C573*tba_oranIlave,2),0),IF($H573="TBA-004",IF($F573="Evet",ROUND($C573*tba_oranKadinGenc,2),0),IF($H573="TBA-ENG",IF($G573="Evet",ROUND($C573*tba_isverenOran,2),0),0)))))</f>
        <v/>
      </c>
      <c r="L573" s="31">
        <f>IF($A573="","",MAX(0,$J573-$K573))</f>
        <v/>
      </c>
    </row>
    <row r="574">
      <c r="I574" s="31">
        <f>IF($A574="","",IF($J574=0,"YOK",IF(AND($E574="Evet",ROUND($C574*tba_oranIlave,2)=$J574),"TBA-002",IF(AND($D574="Evet",ROUND($C574*tba_oranBesPuan,2)=$J574),"TBA-001",IF(AND($F574="Evet",ROUND($C574*tba_oranKadinGenc,2)=$J574),"TBA-004","TBA-ENG")))))</f>
        <v/>
      </c>
      <c r="J574" s="31">
        <f>IF($A574="","",MAX(IF($D574="Evet",ROUND($C574*tba_oranBesPuan,2),0),IF($E574="Evet",ROUND($C574*tba_oranIlave,2),0),IF($F574="Evet",ROUND($C574*tba_oranKadinGenc,2),0),IF($G574="Evet",ROUND($C574*tba_isverenOran,2),0)))</f>
        <v/>
      </c>
      <c r="K574" s="31">
        <f>IF($A574="","",IF($H574="TBA-001",IF($D574="Evet",ROUND($C574*tba_oranBesPuan,2),0),IF($H574="TBA-002",IF($E574="Evet",ROUND($C574*tba_oranIlave,2),0),IF($H574="TBA-004",IF($F574="Evet",ROUND($C574*tba_oranKadinGenc,2),0),IF($H574="TBA-ENG",IF($G574="Evet",ROUND($C574*tba_isverenOran,2),0),0)))))</f>
        <v/>
      </c>
      <c r="L574" s="31">
        <f>IF($A574="","",MAX(0,$J574-$K574))</f>
        <v/>
      </c>
    </row>
    <row r="575">
      <c r="I575" s="31">
        <f>IF($A575="","",IF($J575=0,"YOK",IF(AND($E575="Evet",ROUND($C575*tba_oranIlave,2)=$J575),"TBA-002",IF(AND($D575="Evet",ROUND($C575*tba_oranBesPuan,2)=$J575),"TBA-001",IF(AND($F575="Evet",ROUND($C575*tba_oranKadinGenc,2)=$J575),"TBA-004","TBA-ENG")))))</f>
        <v/>
      </c>
      <c r="J575" s="31">
        <f>IF($A575="","",MAX(IF($D575="Evet",ROUND($C575*tba_oranBesPuan,2),0),IF($E575="Evet",ROUND($C575*tba_oranIlave,2),0),IF($F575="Evet",ROUND($C575*tba_oranKadinGenc,2),0),IF($G575="Evet",ROUND($C575*tba_isverenOran,2),0)))</f>
        <v/>
      </c>
      <c r="K575" s="31">
        <f>IF($A575="","",IF($H575="TBA-001",IF($D575="Evet",ROUND($C575*tba_oranBesPuan,2),0),IF($H575="TBA-002",IF($E575="Evet",ROUND($C575*tba_oranIlave,2),0),IF($H575="TBA-004",IF($F575="Evet",ROUND($C575*tba_oranKadinGenc,2),0),IF($H575="TBA-ENG",IF($G575="Evet",ROUND($C575*tba_isverenOran,2),0),0)))))</f>
        <v/>
      </c>
      <c r="L575" s="31">
        <f>IF($A575="","",MAX(0,$J575-$K575))</f>
        <v/>
      </c>
    </row>
    <row r="576">
      <c r="I576" s="31">
        <f>IF($A576="","",IF($J576=0,"YOK",IF(AND($E576="Evet",ROUND($C576*tba_oranIlave,2)=$J576),"TBA-002",IF(AND($D576="Evet",ROUND($C576*tba_oranBesPuan,2)=$J576),"TBA-001",IF(AND($F576="Evet",ROUND($C576*tba_oranKadinGenc,2)=$J576),"TBA-004","TBA-ENG")))))</f>
        <v/>
      </c>
      <c r="J576" s="31">
        <f>IF($A576="","",MAX(IF($D576="Evet",ROUND($C576*tba_oranBesPuan,2),0),IF($E576="Evet",ROUND($C576*tba_oranIlave,2),0),IF($F576="Evet",ROUND($C576*tba_oranKadinGenc,2),0),IF($G576="Evet",ROUND($C576*tba_isverenOran,2),0)))</f>
        <v/>
      </c>
      <c r="K576" s="31">
        <f>IF($A576="","",IF($H576="TBA-001",IF($D576="Evet",ROUND($C576*tba_oranBesPuan,2),0),IF($H576="TBA-002",IF($E576="Evet",ROUND($C576*tba_oranIlave,2),0),IF($H576="TBA-004",IF($F576="Evet",ROUND($C576*tba_oranKadinGenc,2),0),IF($H576="TBA-ENG",IF($G576="Evet",ROUND($C576*tba_isverenOran,2),0),0)))))</f>
        <v/>
      </c>
      <c r="L576" s="31">
        <f>IF($A576="","",MAX(0,$J576-$K576))</f>
        <v/>
      </c>
    </row>
    <row r="577">
      <c r="I577" s="31">
        <f>IF($A577="","",IF($J577=0,"YOK",IF(AND($E577="Evet",ROUND($C577*tba_oranIlave,2)=$J577),"TBA-002",IF(AND($D577="Evet",ROUND($C577*tba_oranBesPuan,2)=$J577),"TBA-001",IF(AND($F577="Evet",ROUND($C577*tba_oranKadinGenc,2)=$J577),"TBA-004","TBA-ENG")))))</f>
        <v/>
      </c>
      <c r="J577" s="31">
        <f>IF($A577="","",MAX(IF($D577="Evet",ROUND($C577*tba_oranBesPuan,2),0),IF($E577="Evet",ROUND($C577*tba_oranIlave,2),0),IF($F577="Evet",ROUND($C577*tba_oranKadinGenc,2),0),IF($G577="Evet",ROUND($C577*tba_isverenOran,2),0)))</f>
        <v/>
      </c>
      <c r="K577" s="31">
        <f>IF($A577="","",IF($H577="TBA-001",IF($D577="Evet",ROUND($C577*tba_oranBesPuan,2),0),IF($H577="TBA-002",IF($E577="Evet",ROUND($C577*tba_oranIlave,2),0),IF($H577="TBA-004",IF($F577="Evet",ROUND($C577*tba_oranKadinGenc,2),0),IF($H577="TBA-ENG",IF($G577="Evet",ROUND($C577*tba_isverenOran,2),0),0)))))</f>
        <v/>
      </c>
      <c r="L577" s="31">
        <f>IF($A577="","",MAX(0,$J577-$K577))</f>
        <v/>
      </c>
    </row>
    <row r="578">
      <c r="I578" s="31">
        <f>IF($A578="","",IF($J578=0,"YOK",IF(AND($E578="Evet",ROUND($C578*tba_oranIlave,2)=$J578),"TBA-002",IF(AND($D578="Evet",ROUND($C578*tba_oranBesPuan,2)=$J578),"TBA-001",IF(AND($F578="Evet",ROUND($C578*tba_oranKadinGenc,2)=$J578),"TBA-004","TBA-ENG")))))</f>
        <v/>
      </c>
      <c r="J578" s="31">
        <f>IF($A578="","",MAX(IF($D578="Evet",ROUND($C578*tba_oranBesPuan,2),0),IF($E578="Evet",ROUND($C578*tba_oranIlave,2),0),IF($F578="Evet",ROUND($C578*tba_oranKadinGenc,2),0),IF($G578="Evet",ROUND($C578*tba_isverenOran,2),0)))</f>
        <v/>
      </c>
      <c r="K578" s="31">
        <f>IF($A578="","",IF($H578="TBA-001",IF($D578="Evet",ROUND($C578*tba_oranBesPuan,2),0),IF($H578="TBA-002",IF($E578="Evet",ROUND($C578*tba_oranIlave,2),0),IF($H578="TBA-004",IF($F578="Evet",ROUND($C578*tba_oranKadinGenc,2),0),IF($H578="TBA-ENG",IF($G578="Evet",ROUND($C578*tba_isverenOran,2),0),0)))))</f>
        <v/>
      </c>
      <c r="L578" s="31">
        <f>IF($A578="","",MAX(0,$J578-$K578))</f>
        <v/>
      </c>
    </row>
    <row r="579">
      <c r="I579" s="31">
        <f>IF($A579="","",IF($J579=0,"YOK",IF(AND($E579="Evet",ROUND($C579*tba_oranIlave,2)=$J579),"TBA-002",IF(AND($D579="Evet",ROUND($C579*tba_oranBesPuan,2)=$J579),"TBA-001",IF(AND($F579="Evet",ROUND($C579*tba_oranKadinGenc,2)=$J579),"TBA-004","TBA-ENG")))))</f>
        <v/>
      </c>
      <c r="J579" s="31">
        <f>IF($A579="","",MAX(IF($D579="Evet",ROUND($C579*tba_oranBesPuan,2),0),IF($E579="Evet",ROUND($C579*tba_oranIlave,2),0),IF($F579="Evet",ROUND($C579*tba_oranKadinGenc,2),0),IF($G579="Evet",ROUND($C579*tba_isverenOran,2),0)))</f>
        <v/>
      </c>
      <c r="K579" s="31">
        <f>IF($A579="","",IF($H579="TBA-001",IF($D579="Evet",ROUND($C579*tba_oranBesPuan,2),0),IF($H579="TBA-002",IF($E579="Evet",ROUND($C579*tba_oranIlave,2),0),IF($H579="TBA-004",IF($F579="Evet",ROUND($C579*tba_oranKadinGenc,2),0),IF($H579="TBA-ENG",IF($G579="Evet",ROUND($C579*tba_isverenOran,2),0),0)))))</f>
        <v/>
      </c>
      <c r="L579" s="31">
        <f>IF($A579="","",MAX(0,$J579-$K579))</f>
        <v/>
      </c>
    </row>
    <row r="580">
      <c r="I580" s="31">
        <f>IF($A580="","",IF($J580=0,"YOK",IF(AND($E580="Evet",ROUND($C580*tba_oranIlave,2)=$J580),"TBA-002",IF(AND($D580="Evet",ROUND($C580*tba_oranBesPuan,2)=$J580),"TBA-001",IF(AND($F580="Evet",ROUND($C580*tba_oranKadinGenc,2)=$J580),"TBA-004","TBA-ENG")))))</f>
        <v/>
      </c>
      <c r="J580" s="31">
        <f>IF($A580="","",MAX(IF($D580="Evet",ROUND($C580*tba_oranBesPuan,2),0),IF($E580="Evet",ROUND($C580*tba_oranIlave,2),0),IF($F580="Evet",ROUND($C580*tba_oranKadinGenc,2),0),IF($G580="Evet",ROUND($C580*tba_isverenOran,2),0)))</f>
        <v/>
      </c>
      <c r="K580" s="31">
        <f>IF($A580="","",IF($H580="TBA-001",IF($D580="Evet",ROUND($C580*tba_oranBesPuan,2),0),IF($H580="TBA-002",IF($E580="Evet",ROUND($C580*tba_oranIlave,2),0),IF($H580="TBA-004",IF($F580="Evet",ROUND($C580*tba_oranKadinGenc,2),0),IF($H580="TBA-ENG",IF($G580="Evet",ROUND($C580*tba_isverenOran,2),0),0)))))</f>
        <v/>
      </c>
      <c r="L580" s="31">
        <f>IF($A580="","",MAX(0,$J580-$K580))</f>
        <v/>
      </c>
    </row>
    <row r="581">
      <c r="I581" s="31">
        <f>IF($A581="","",IF($J581=0,"YOK",IF(AND($E581="Evet",ROUND($C581*tba_oranIlave,2)=$J581),"TBA-002",IF(AND($D581="Evet",ROUND($C581*tba_oranBesPuan,2)=$J581),"TBA-001",IF(AND($F581="Evet",ROUND($C581*tba_oranKadinGenc,2)=$J581),"TBA-004","TBA-ENG")))))</f>
        <v/>
      </c>
      <c r="J581" s="31">
        <f>IF($A581="","",MAX(IF($D581="Evet",ROUND($C581*tba_oranBesPuan,2),0),IF($E581="Evet",ROUND($C581*tba_oranIlave,2),0),IF($F581="Evet",ROUND($C581*tba_oranKadinGenc,2),0),IF($G581="Evet",ROUND($C581*tba_isverenOran,2),0)))</f>
        <v/>
      </c>
      <c r="K581" s="31">
        <f>IF($A581="","",IF($H581="TBA-001",IF($D581="Evet",ROUND($C581*tba_oranBesPuan,2),0),IF($H581="TBA-002",IF($E581="Evet",ROUND($C581*tba_oranIlave,2),0),IF($H581="TBA-004",IF($F581="Evet",ROUND($C581*tba_oranKadinGenc,2),0),IF($H581="TBA-ENG",IF($G581="Evet",ROUND($C581*tba_isverenOran,2),0),0)))))</f>
        <v/>
      </c>
      <c r="L581" s="31">
        <f>IF($A581="","",MAX(0,$J581-$K581))</f>
        <v/>
      </c>
    </row>
    <row r="582">
      <c r="I582" s="31">
        <f>IF($A582="","",IF($J582=0,"YOK",IF(AND($E582="Evet",ROUND($C582*tba_oranIlave,2)=$J582),"TBA-002",IF(AND($D582="Evet",ROUND($C582*tba_oranBesPuan,2)=$J582),"TBA-001",IF(AND($F582="Evet",ROUND($C582*tba_oranKadinGenc,2)=$J582),"TBA-004","TBA-ENG")))))</f>
        <v/>
      </c>
      <c r="J582" s="31">
        <f>IF($A582="","",MAX(IF($D582="Evet",ROUND($C582*tba_oranBesPuan,2),0),IF($E582="Evet",ROUND($C582*tba_oranIlave,2),0),IF($F582="Evet",ROUND($C582*tba_oranKadinGenc,2),0),IF($G582="Evet",ROUND($C582*tba_isverenOran,2),0)))</f>
        <v/>
      </c>
      <c r="K582" s="31">
        <f>IF($A582="","",IF($H582="TBA-001",IF($D582="Evet",ROUND($C582*tba_oranBesPuan,2),0),IF($H582="TBA-002",IF($E582="Evet",ROUND($C582*tba_oranIlave,2),0),IF($H582="TBA-004",IF($F582="Evet",ROUND($C582*tba_oranKadinGenc,2),0),IF($H582="TBA-ENG",IF($G582="Evet",ROUND($C582*tba_isverenOran,2),0),0)))))</f>
        <v/>
      </c>
      <c r="L582" s="31">
        <f>IF($A582="","",MAX(0,$J582-$K582))</f>
        <v/>
      </c>
    </row>
    <row r="583">
      <c r="I583" s="31">
        <f>IF($A583="","",IF($J583=0,"YOK",IF(AND($E583="Evet",ROUND($C583*tba_oranIlave,2)=$J583),"TBA-002",IF(AND($D583="Evet",ROUND($C583*tba_oranBesPuan,2)=$J583),"TBA-001",IF(AND($F583="Evet",ROUND($C583*tba_oranKadinGenc,2)=$J583),"TBA-004","TBA-ENG")))))</f>
        <v/>
      </c>
      <c r="J583" s="31">
        <f>IF($A583="","",MAX(IF($D583="Evet",ROUND($C583*tba_oranBesPuan,2),0),IF($E583="Evet",ROUND($C583*tba_oranIlave,2),0),IF($F583="Evet",ROUND($C583*tba_oranKadinGenc,2),0),IF($G583="Evet",ROUND($C583*tba_isverenOran,2),0)))</f>
        <v/>
      </c>
      <c r="K583" s="31">
        <f>IF($A583="","",IF($H583="TBA-001",IF($D583="Evet",ROUND($C583*tba_oranBesPuan,2),0),IF($H583="TBA-002",IF($E583="Evet",ROUND($C583*tba_oranIlave,2),0),IF($H583="TBA-004",IF($F583="Evet",ROUND($C583*tba_oranKadinGenc,2),0),IF($H583="TBA-ENG",IF($G583="Evet",ROUND($C583*tba_isverenOran,2),0),0)))))</f>
        <v/>
      </c>
      <c r="L583" s="31">
        <f>IF($A583="","",MAX(0,$J583-$K583))</f>
        <v/>
      </c>
    </row>
    <row r="584">
      <c r="I584" s="31">
        <f>IF($A584="","",IF($J584=0,"YOK",IF(AND($E584="Evet",ROUND($C584*tba_oranIlave,2)=$J584),"TBA-002",IF(AND($D584="Evet",ROUND($C584*tba_oranBesPuan,2)=$J584),"TBA-001",IF(AND($F584="Evet",ROUND($C584*tba_oranKadinGenc,2)=$J584),"TBA-004","TBA-ENG")))))</f>
        <v/>
      </c>
      <c r="J584" s="31">
        <f>IF($A584="","",MAX(IF($D584="Evet",ROUND($C584*tba_oranBesPuan,2),0),IF($E584="Evet",ROUND($C584*tba_oranIlave,2),0),IF($F584="Evet",ROUND($C584*tba_oranKadinGenc,2),0),IF($G584="Evet",ROUND($C584*tba_isverenOran,2),0)))</f>
        <v/>
      </c>
      <c r="K584" s="31">
        <f>IF($A584="","",IF($H584="TBA-001",IF($D584="Evet",ROUND($C584*tba_oranBesPuan,2),0),IF($H584="TBA-002",IF($E584="Evet",ROUND($C584*tba_oranIlave,2),0),IF($H584="TBA-004",IF($F584="Evet",ROUND($C584*tba_oranKadinGenc,2),0),IF($H584="TBA-ENG",IF($G584="Evet",ROUND($C584*tba_isverenOran,2),0),0)))))</f>
        <v/>
      </c>
      <c r="L584" s="31">
        <f>IF($A584="","",MAX(0,$J584-$K584))</f>
        <v/>
      </c>
    </row>
    <row r="585">
      <c r="I585" s="31">
        <f>IF($A585="","",IF($J585=0,"YOK",IF(AND($E585="Evet",ROUND($C585*tba_oranIlave,2)=$J585),"TBA-002",IF(AND($D585="Evet",ROUND($C585*tba_oranBesPuan,2)=$J585),"TBA-001",IF(AND($F585="Evet",ROUND($C585*tba_oranKadinGenc,2)=$J585),"TBA-004","TBA-ENG")))))</f>
        <v/>
      </c>
      <c r="J585" s="31">
        <f>IF($A585="","",MAX(IF($D585="Evet",ROUND($C585*tba_oranBesPuan,2),0),IF($E585="Evet",ROUND($C585*tba_oranIlave,2),0),IF($F585="Evet",ROUND($C585*tba_oranKadinGenc,2),0),IF($G585="Evet",ROUND($C585*tba_isverenOran,2),0)))</f>
        <v/>
      </c>
      <c r="K585" s="31">
        <f>IF($A585="","",IF($H585="TBA-001",IF($D585="Evet",ROUND($C585*tba_oranBesPuan,2),0),IF($H585="TBA-002",IF($E585="Evet",ROUND($C585*tba_oranIlave,2),0),IF($H585="TBA-004",IF($F585="Evet",ROUND($C585*tba_oranKadinGenc,2),0),IF($H585="TBA-ENG",IF($G585="Evet",ROUND($C585*tba_isverenOran,2),0),0)))))</f>
        <v/>
      </c>
      <c r="L585" s="31">
        <f>IF($A585="","",MAX(0,$J585-$K585))</f>
        <v/>
      </c>
    </row>
    <row r="586">
      <c r="I586" s="31">
        <f>IF($A586="","",IF($J586=0,"YOK",IF(AND($E586="Evet",ROUND($C586*tba_oranIlave,2)=$J586),"TBA-002",IF(AND($D586="Evet",ROUND($C586*tba_oranBesPuan,2)=$J586),"TBA-001",IF(AND($F586="Evet",ROUND($C586*tba_oranKadinGenc,2)=$J586),"TBA-004","TBA-ENG")))))</f>
        <v/>
      </c>
      <c r="J586" s="31">
        <f>IF($A586="","",MAX(IF($D586="Evet",ROUND($C586*tba_oranBesPuan,2),0),IF($E586="Evet",ROUND($C586*tba_oranIlave,2),0),IF($F586="Evet",ROUND($C586*tba_oranKadinGenc,2),0),IF($G586="Evet",ROUND($C586*tba_isverenOran,2),0)))</f>
        <v/>
      </c>
      <c r="K586" s="31">
        <f>IF($A586="","",IF($H586="TBA-001",IF($D586="Evet",ROUND($C586*tba_oranBesPuan,2),0),IF($H586="TBA-002",IF($E586="Evet",ROUND($C586*tba_oranIlave,2),0),IF($H586="TBA-004",IF($F586="Evet",ROUND($C586*tba_oranKadinGenc,2),0),IF($H586="TBA-ENG",IF($G586="Evet",ROUND($C586*tba_isverenOran,2),0),0)))))</f>
        <v/>
      </c>
      <c r="L586" s="31">
        <f>IF($A586="","",MAX(0,$J586-$K586))</f>
        <v/>
      </c>
    </row>
    <row r="587">
      <c r="I587" s="31">
        <f>IF($A587="","",IF($J587=0,"YOK",IF(AND($E587="Evet",ROUND($C587*tba_oranIlave,2)=$J587),"TBA-002",IF(AND($D587="Evet",ROUND($C587*tba_oranBesPuan,2)=$J587),"TBA-001",IF(AND($F587="Evet",ROUND($C587*tba_oranKadinGenc,2)=$J587),"TBA-004","TBA-ENG")))))</f>
        <v/>
      </c>
      <c r="J587" s="31">
        <f>IF($A587="","",MAX(IF($D587="Evet",ROUND($C587*tba_oranBesPuan,2),0),IF($E587="Evet",ROUND($C587*tba_oranIlave,2),0),IF($F587="Evet",ROUND($C587*tba_oranKadinGenc,2),0),IF($G587="Evet",ROUND($C587*tba_isverenOran,2),0)))</f>
        <v/>
      </c>
      <c r="K587" s="31">
        <f>IF($A587="","",IF($H587="TBA-001",IF($D587="Evet",ROUND($C587*tba_oranBesPuan,2),0),IF($H587="TBA-002",IF($E587="Evet",ROUND($C587*tba_oranIlave,2),0),IF($H587="TBA-004",IF($F587="Evet",ROUND($C587*tba_oranKadinGenc,2),0),IF($H587="TBA-ENG",IF($G587="Evet",ROUND($C587*tba_isverenOran,2),0),0)))))</f>
        <v/>
      </c>
      <c r="L587" s="31">
        <f>IF($A587="","",MAX(0,$J587-$K587))</f>
        <v/>
      </c>
    </row>
    <row r="588">
      <c r="I588" s="31">
        <f>IF($A588="","",IF($J588=0,"YOK",IF(AND($E588="Evet",ROUND($C588*tba_oranIlave,2)=$J588),"TBA-002",IF(AND($D588="Evet",ROUND($C588*tba_oranBesPuan,2)=$J588),"TBA-001",IF(AND($F588="Evet",ROUND($C588*tba_oranKadinGenc,2)=$J588),"TBA-004","TBA-ENG")))))</f>
        <v/>
      </c>
      <c r="J588" s="31">
        <f>IF($A588="","",MAX(IF($D588="Evet",ROUND($C588*tba_oranBesPuan,2),0),IF($E588="Evet",ROUND($C588*tba_oranIlave,2),0),IF($F588="Evet",ROUND($C588*tba_oranKadinGenc,2),0),IF($G588="Evet",ROUND($C588*tba_isverenOran,2),0)))</f>
        <v/>
      </c>
      <c r="K588" s="31">
        <f>IF($A588="","",IF($H588="TBA-001",IF($D588="Evet",ROUND($C588*tba_oranBesPuan,2),0),IF($H588="TBA-002",IF($E588="Evet",ROUND($C588*tba_oranIlave,2),0),IF($H588="TBA-004",IF($F588="Evet",ROUND($C588*tba_oranKadinGenc,2),0),IF($H588="TBA-ENG",IF($G588="Evet",ROUND($C588*tba_isverenOran,2),0),0)))))</f>
        <v/>
      </c>
      <c r="L588" s="31">
        <f>IF($A588="","",MAX(0,$J588-$K588))</f>
        <v/>
      </c>
    </row>
    <row r="589">
      <c r="I589" s="31">
        <f>IF($A589="","",IF($J589=0,"YOK",IF(AND($E589="Evet",ROUND($C589*tba_oranIlave,2)=$J589),"TBA-002",IF(AND($D589="Evet",ROUND($C589*tba_oranBesPuan,2)=$J589),"TBA-001",IF(AND($F589="Evet",ROUND($C589*tba_oranKadinGenc,2)=$J589),"TBA-004","TBA-ENG")))))</f>
        <v/>
      </c>
      <c r="J589" s="31">
        <f>IF($A589="","",MAX(IF($D589="Evet",ROUND($C589*tba_oranBesPuan,2),0),IF($E589="Evet",ROUND($C589*tba_oranIlave,2),0),IF($F589="Evet",ROUND($C589*tba_oranKadinGenc,2),0),IF($G589="Evet",ROUND($C589*tba_isverenOran,2),0)))</f>
        <v/>
      </c>
      <c r="K589" s="31">
        <f>IF($A589="","",IF($H589="TBA-001",IF($D589="Evet",ROUND($C589*tba_oranBesPuan,2),0),IF($H589="TBA-002",IF($E589="Evet",ROUND($C589*tba_oranIlave,2),0),IF($H589="TBA-004",IF($F589="Evet",ROUND($C589*tba_oranKadinGenc,2),0),IF($H589="TBA-ENG",IF($G589="Evet",ROUND($C589*tba_isverenOran,2),0),0)))))</f>
        <v/>
      </c>
      <c r="L589" s="31">
        <f>IF($A589="","",MAX(0,$J589-$K589))</f>
        <v/>
      </c>
    </row>
    <row r="590">
      <c r="I590" s="31">
        <f>IF($A590="","",IF($J590=0,"YOK",IF(AND($E590="Evet",ROUND($C590*tba_oranIlave,2)=$J590),"TBA-002",IF(AND($D590="Evet",ROUND($C590*tba_oranBesPuan,2)=$J590),"TBA-001",IF(AND($F590="Evet",ROUND($C590*tba_oranKadinGenc,2)=$J590),"TBA-004","TBA-ENG")))))</f>
        <v/>
      </c>
      <c r="J590" s="31">
        <f>IF($A590="","",MAX(IF($D590="Evet",ROUND($C590*tba_oranBesPuan,2),0),IF($E590="Evet",ROUND($C590*tba_oranIlave,2),0),IF($F590="Evet",ROUND($C590*tba_oranKadinGenc,2),0),IF($G590="Evet",ROUND($C590*tba_isverenOran,2),0)))</f>
        <v/>
      </c>
      <c r="K590" s="31">
        <f>IF($A590="","",IF($H590="TBA-001",IF($D590="Evet",ROUND($C590*tba_oranBesPuan,2),0),IF($H590="TBA-002",IF($E590="Evet",ROUND($C590*tba_oranIlave,2),0),IF($H590="TBA-004",IF($F590="Evet",ROUND($C590*tba_oranKadinGenc,2),0),IF($H590="TBA-ENG",IF($G590="Evet",ROUND($C590*tba_isverenOran,2),0),0)))))</f>
        <v/>
      </c>
      <c r="L590" s="31">
        <f>IF($A590="","",MAX(0,$J590-$K590))</f>
        <v/>
      </c>
    </row>
    <row r="591">
      <c r="I591" s="31">
        <f>IF($A591="","",IF($J591=0,"YOK",IF(AND($E591="Evet",ROUND($C591*tba_oranIlave,2)=$J591),"TBA-002",IF(AND($D591="Evet",ROUND($C591*tba_oranBesPuan,2)=$J591),"TBA-001",IF(AND($F591="Evet",ROUND($C591*tba_oranKadinGenc,2)=$J591),"TBA-004","TBA-ENG")))))</f>
        <v/>
      </c>
      <c r="J591" s="31">
        <f>IF($A591="","",MAX(IF($D591="Evet",ROUND($C591*tba_oranBesPuan,2),0),IF($E591="Evet",ROUND($C591*tba_oranIlave,2),0),IF($F591="Evet",ROUND($C591*tba_oranKadinGenc,2),0),IF($G591="Evet",ROUND($C591*tba_isverenOran,2),0)))</f>
        <v/>
      </c>
      <c r="K591" s="31">
        <f>IF($A591="","",IF($H591="TBA-001",IF($D591="Evet",ROUND($C591*tba_oranBesPuan,2),0),IF($H591="TBA-002",IF($E591="Evet",ROUND($C591*tba_oranIlave,2),0),IF($H591="TBA-004",IF($F591="Evet",ROUND($C591*tba_oranKadinGenc,2),0),IF($H591="TBA-ENG",IF($G591="Evet",ROUND($C591*tba_isverenOran,2),0),0)))))</f>
        <v/>
      </c>
      <c r="L591" s="31">
        <f>IF($A591="","",MAX(0,$J591-$K591))</f>
        <v/>
      </c>
    </row>
    <row r="592">
      <c r="I592" s="31">
        <f>IF($A592="","",IF($J592=0,"YOK",IF(AND($E592="Evet",ROUND($C592*tba_oranIlave,2)=$J592),"TBA-002",IF(AND($D592="Evet",ROUND($C592*tba_oranBesPuan,2)=$J592),"TBA-001",IF(AND($F592="Evet",ROUND($C592*tba_oranKadinGenc,2)=$J592),"TBA-004","TBA-ENG")))))</f>
        <v/>
      </c>
      <c r="J592" s="31">
        <f>IF($A592="","",MAX(IF($D592="Evet",ROUND($C592*tba_oranBesPuan,2),0),IF($E592="Evet",ROUND($C592*tba_oranIlave,2),0),IF($F592="Evet",ROUND($C592*tba_oranKadinGenc,2),0),IF($G592="Evet",ROUND($C592*tba_isverenOran,2),0)))</f>
        <v/>
      </c>
      <c r="K592" s="31">
        <f>IF($A592="","",IF($H592="TBA-001",IF($D592="Evet",ROUND($C592*tba_oranBesPuan,2),0),IF($H592="TBA-002",IF($E592="Evet",ROUND($C592*tba_oranIlave,2),0),IF($H592="TBA-004",IF($F592="Evet",ROUND($C592*tba_oranKadinGenc,2),0),IF($H592="TBA-ENG",IF($G592="Evet",ROUND($C592*tba_isverenOran,2),0),0)))))</f>
        <v/>
      </c>
      <c r="L592" s="31">
        <f>IF($A592="","",MAX(0,$J592-$K592))</f>
        <v/>
      </c>
    </row>
    <row r="593">
      <c r="I593" s="31">
        <f>IF($A593="","",IF($J593=0,"YOK",IF(AND($E593="Evet",ROUND($C593*tba_oranIlave,2)=$J593),"TBA-002",IF(AND($D593="Evet",ROUND($C593*tba_oranBesPuan,2)=$J593),"TBA-001",IF(AND($F593="Evet",ROUND($C593*tba_oranKadinGenc,2)=$J593),"TBA-004","TBA-ENG")))))</f>
        <v/>
      </c>
      <c r="J593" s="31">
        <f>IF($A593="","",MAX(IF($D593="Evet",ROUND($C593*tba_oranBesPuan,2),0),IF($E593="Evet",ROUND($C593*tba_oranIlave,2),0),IF($F593="Evet",ROUND($C593*tba_oranKadinGenc,2),0),IF($G593="Evet",ROUND($C593*tba_isverenOran,2),0)))</f>
        <v/>
      </c>
      <c r="K593" s="31">
        <f>IF($A593="","",IF($H593="TBA-001",IF($D593="Evet",ROUND($C593*tba_oranBesPuan,2),0),IF($H593="TBA-002",IF($E593="Evet",ROUND($C593*tba_oranIlave,2),0),IF($H593="TBA-004",IF($F593="Evet",ROUND($C593*tba_oranKadinGenc,2),0),IF($H593="TBA-ENG",IF($G593="Evet",ROUND($C593*tba_isverenOran,2),0),0)))))</f>
        <v/>
      </c>
      <c r="L593" s="31">
        <f>IF($A593="","",MAX(0,$J593-$K593))</f>
        <v/>
      </c>
    </row>
    <row r="594">
      <c r="I594" s="31">
        <f>IF($A594="","",IF($J594=0,"YOK",IF(AND($E594="Evet",ROUND($C594*tba_oranIlave,2)=$J594),"TBA-002",IF(AND($D594="Evet",ROUND($C594*tba_oranBesPuan,2)=$J594),"TBA-001",IF(AND($F594="Evet",ROUND($C594*tba_oranKadinGenc,2)=$J594),"TBA-004","TBA-ENG")))))</f>
        <v/>
      </c>
      <c r="J594" s="31">
        <f>IF($A594="","",MAX(IF($D594="Evet",ROUND($C594*tba_oranBesPuan,2),0),IF($E594="Evet",ROUND($C594*tba_oranIlave,2),0),IF($F594="Evet",ROUND($C594*tba_oranKadinGenc,2),0),IF($G594="Evet",ROUND($C594*tba_isverenOran,2),0)))</f>
        <v/>
      </c>
      <c r="K594" s="31">
        <f>IF($A594="","",IF($H594="TBA-001",IF($D594="Evet",ROUND($C594*tba_oranBesPuan,2),0),IF($H594="TBA-002",IF($E594="Evet",ROUND($C594*tba_oranIlave,2),0),IF($H594="TBA-004",IF($F594="Evet",ROUND($C594*tba_oranKadinGenc,2),0),IF($H594="TBA-ENG",IF($G594="Evet",ROUND($C594*tba_isverenOran,2),0),0)))))</f>
        <v/>
      </c>
      <c r="L594" s="31">
        <f>IF($A594="","",MAX(0,$J594-$K594))</f>
        <v/>
      </c>
    </row>
    <row r="595">
      <c r="I595" s="31">
        <f>IF($A595="","",IF($J595=0,"YOK",IF(AND($E595="Evet",ROUND($C595*tba_oranIlave,2)=$J595),"TBA-002",IF(AND($D595="Evet",ROUND($C595*tba_oranBesPuan,2)=$J595),"TBA-001",IF(AND($F595="Evet",ROUND($C595*tba_oranKadinGenc,2)=$J595),"TBA-004","TBA-ENG")))))</f>
        <v/>
      </c>
      <c r="J595" s="31">
        <f>IF($A595="","",MAX(IF($D595="Evet",ROUND($C595*tba_oranBesPuan,2),0),IF($E595="Evet",ROUND($C595*tba_oranIlave,2),0),IF($F595="Evet",ROUND($C595*tba_oranKadinGenc,2),0),IF($G595="Evet",ROUND($C595*tba_isverenOran,2),0)))</f>
        <v/>
      </c>
      <c r="K595" s="31">
        <f>IF($A595="","",IF($H595="TBA-001",IF($D595="Evet",ROUND($C595*tba_oranBesPuan,2),0),IF($H595="TBA-002",IF($E595="Evet",ROUND($C595*tba_oranIlave,2),0),IF($H595="TBA-004",IF($F595="Evet",ROUND($C595*tba_oranKadinGenc,2),0),IF($H595="TBA-ENG",IF($G595="Evet",ROUND($C595*tba_isverenOran,2),0),0)))))</f>
        <v/>
      </c>
      <c r="L595" s="31">
        <f>IF($A595="","",MAX(0,$J595-$K595))</f>
        <v/>
      </c>
    </row>
    <row r="596">
      <c r="I596" s="31">
        <f>IF($A596="","",IF($J596=0,"YOK",IF(AND($E596="Evet",ROUND($C596*tba_oranIlave,2)=$J596),"TBA-002",IF(AND($D596="Evet",ROUND($C596*tba_oranBesPuan,2)=$J596),"TBA-001",IF(AND($F596="Evet",ROUND($C596*tba_oranKadinGenc,2)=$J596),"TBA-004","TBA-ENG")))))</f>
        <v/>
      </c>
      <c r="J596" s="31">
        <f>IF($A596="","",MAX(IF($D596="Evet",ROUND($C596*tba_oranBesPuan,2),0),IF($E596="Evet",ROUND($C596*tba_oranIlave,2),0),IF($F596="Evet",ROUND($C596*tba_oranKadinGenc,2),0),IF($G596="Evet",ROUND($C596*tba_isverenOran,2),0)))</f>
        <v/>
      </c>
      <c r="K596" s="31">
        <f>IF($A596="","",IF($H596="TBA-001",IF($D596="Evet",ROUND($C596*tba_oranBesPuan,2),0),IF($H596="TBA-002",IF($E596="Evet",ROUND($C596*tba_oranIlave,2),0),IF($H596="TBA-004",IF($F596="Evet",ROUND($C596*tba_oranKadinGenc,2),0),IF($H596="TBA-ENG",IF($G596="Evet",ROUND($C596*tba_isverenOran,2),0),0)))))</f>
        <v/>
      </c>
      <c r="L596" s="31">
        <f>IF($A596="","",MAX(0,$J596-$K596))</f>
        <v/>
      </c>
    </row>
    <row r="597">
      <c r="I597" s="31">
        <f>IF($A597="","",IF($J597=0,"YOK",IF(AND($E597="Evet",ROUND($C597*tba_oranIlave,2)=$J597),"TBA-002",IF(AND($D597="Evet",ROUND($C597*tba_oranBesPuan,2)=$J597),"TBA-001",IF(AND($F597="Evet",ROUND($C597*tba_oranKadinGenc,2)=$J597),"TBA-004","TBA-ENG")))))</f>
        <v/>
      </c>
      <c r="J597" s="31">
        <f>IF($A597="","",MAX(IF($D597="Evet",ROUND($C597*tba_oranBesPuan,2),0),IF($E597="Evet",ROUND($C597*tba_oranIlave,2),0),IF($F597="Evet",ROUND($C597*tba_oranKadinGenc,2),0),IF($G597="Evet",ROUND($C597*tba_isverenOran,2),0)))</f>
        <v/>
      </c>
      <c r="K597" s="31">
        <f>IF($A597="","",IF($H597="TBA-001",IF($D597="Evet",ROUND($C597*tba_oranBesPuan,2),0),IF($H597="TBA-002",IF($E597="Evet",ROUND($C597*tba_oranIlave,2),0),IF($H597="TBA-004",IF($F597="Evet",ROUND($C597*tba_oranKadinGenc,2),0),IF($H597="TBA-ENG",IF($G597="Evet",ROUND($C597*tba_isverenOran,2),0),0)))))</f>
        <v/>
      </c>
      <c r="L597" s="31">
        <f>IF($A597="","",MAX(0,$J597-$K597))</f>
        <v/>
      </c>
    </row>
    <row r="598">
      <c r="I598" s="31">
        <f>IF($A598="","",IF($J598=0,"YOK",IF(AND($E598="Evet",ROUND($C598*tba_oranIlave,2)=$J598),"TBA-002",IF(AND($D598="Evet",ROUND($C598*tba_oranBesPuan,2)=$J598),"TBA-001",IF(AND($F598="Evet",ROUND($C598*tba_oranKadinGenc,2)=$J598),"TBA-004","TBA-ENG")))))</f>
        <v/>
      </c>
      <c r="J598" s="31">
        <f>IF($A598="","",MAX(IF($D598="Evet",ROUND($C598*tba_oranBesPuan,2),0),IF($E598="Evet",ROUND($C598*tba_oranIlave,2),0),IF($F598="Evet",ROUND($C598*tba_oranKadinGenc,2),0),IF($G598="Evet",ROUND($C598*tba_isverenOran,2),0)))</f>
        <v/>
      </c>
      <c r="K598" s="31">
        <f>IF($A598="","",IF($H598="TBA-001",IF($D598="Evet",ROUND($C598*tba_oranBesPuan,2),0),IF($H598="TBA-002",IF($E598="Evet",ROUND($C598*tba_oranIlave,2),0),IF($H598="TBA-004",IF($F598="Evet",ROUND($C598*tba_oranKadinGenc,2),0),IF($H598="TBA-ENG",IF($G598="Evet",ROUND($C598*tba_isverenOran,2),0),0)))))</f>
        <v/>
      </c>
      <c r="L598" s="31">
        <f>IF($A598="","",MAX(0,$J598-$K598))</f>
        <v/>
      </c>
    </row>
    <row r="599">
      <c r="I599" s="31">
        <f>IF($A599="","",IF($J599=0,"YOK",IF(AND($E599="Evet",ROUND($C599*tba_oranIlave,2)=$J599),"TBA-002",IF(AND($D599="Evet",ROUND($C599*tba_oranBesPuan,2)=$J599),"TBA-001",IF(AND($F599="Evet",ROUND($C599*tba_oranKadinGenc,2)=$J599),"TBA-004","TBA-ENG")))))</f>
        <v/>
      </c>
      <c r="J599" s="31">
        <f>IF($A599="","",MAX(IF($D599="Evet",ROUND($C599*tba_oranBesPuan,2),0),IF($E599="Evet",ROUND($C599*tba_oranIlave,2),0),IF($F599="Evet",ROUND($C599*tba_oranKadinGenc,2),0),IF($G599="Evet",ROUND($C599*tba_isverenOran,2),0)))</f>
        <v/>
      </c>
      <c r="K599" s="31">
        <f>IF($A599="","",IF($H599="TBA-001",IF($D599="Evet",ROUND($C599*tba_oranBesPuan,2),0),IF($H599="TBA-002",IF($E599="Evet",ROUND($C599*tba_oranIlave,2),0),IF($H599="TBA-004",IF($F599="Evet",ROUND($C599*tba_oranKadinGenc,2),0),IF($H599="TBA-ENG",IF($G599="Evet",ROUND($C599*tba_isverenOran,2),0),0)))))</f>
        <v/>
      </c>
      <c r="L599" s="31">
        <f>IF($A599="","",MAX(0,$J599-$K599))</f>
        <v/>
      </c>
    </row>
    <row r="600">
      <c r="I600" s="31">
        <f>IF($A600="","",IF($J600=0,"YOK",IF(AND($E600="Evet",ROUND($C600*tba_oranIlave,2)=$J600),"TBA-002",IF(AND($D600="Evet",ROUND($C600*tba_oranBesPuan,2)=$J600),"TBA-001",IF(AND($F600="Evet",ROUND($C600*tba_oranKadinGenc,2)=$J600),"TBA-004","TBA-ENG")))))</f>
        <v/>
      </c>
      <c r="J600" s="31">
        <f>IF($A600="","",MAX(IF($D600="Evet",ROUND($C600*tba_oranBesPuan,2),0),IF($E600="Evet",ROUND($C600*tba_oranIlave,2),0),IF($F600="Evet",ROUND($C600*tba_oranKadinGenc,2),0),IF($G600="Evet",ROUND($C600*tba_isverenOran,2),0)))</f>
        <v/>
      </c>
      <c r="K600" s="31">
        <f>IF($A600="","",IF($H600="TBA-001",IF($D600="Evet",ROUND($C600*tba_oranBesPuan,2),0),IF($H600="TBA-002",IF($E600="Evet",ROUND($C600*tba_oranIlave,2),0),IF($H600="TBA-004",IF($F600="Evet",ROUND($C600*tba_oranKadinGenc,2),0),IF($H600="TBA-ENG",IF($G600="Evet",ROUND($C600*tba_isverenOran,2),0),0)))))</f>
        <v/>
      </c>
      <c r="L600" s="31">
        <f>IF($A600="","",MAX(0,$J600-$K600))</f>
        <v/>
      </c>
    </row>
    <row r="601">
      <c r="I601" s="31">
        <f>IF($A601="","",IF($J601=0,"YOK",IF(AND($E601="Evet",ROUND($C601*tba_oranIlave,2)=$J601),"TBA-002",IF(AND($D601="Evet",ROUND($C601*tba_oranBesPuan,2)=$J601),"TBA-001",IF(AND($F601="Evet",ROUND($C601*tba_oranKadinGenc,2)=$J601),"TBA-004","TBA-ENG")))))</f>
        <v/>
      </c>
      <c r="J601" s="31">
        <f>IF($A601="","",MAX(IF($D601="Evet",ROUND($C601*tba_oranBesPuan,2),0),IF($E601="Evet",ROUND($C601*tba_oranIlave,2),0),IF($F601="Evet",ROUND($C601*tba_oranKadinGenc,2),0),IF($G601="Evet",ROUND($C601*tba_isverenOran,2),0)))</f>
        <v/>
      </c>
      <c r="K601" s="31">
        <f>IF($A601="","",IF($H601="TBA-001",IF($D601="Evet",ROUND($C601*tba_oranBesPuan,2),0),IF($H601="TBA-002",IF($E601="Evet",ROUND($C601*tba_oranIlave,2),0),IF($H601="TBA-004",IF($F601="Evet",ROUND($C601*tba_oranKadinGenc,2),0),IF($H601="TBA-ENG",IF($G601="Evet",ROUND($C601*tba_isverenOran,2),0),0)))))</f>
        <v/>
      </c>
      <c r="L601" s="31">
        <f>IF($A601="","",MAX(0,$J601-$K601))</f>
        <v/>
      </c>
    </row>
    <row r="602">
      <c r="I602" s="31">
        <f>IF($A602="","",IF($J602=0,"YOK",IF(AND($E602="Evet",ROUND($C602*tba_oranIlave,2)=$J602),"TBA-002",IF(AND($D602="Evet",ROUND($C602*tba_oranBesPuan,2)=$J602),"TBA-001",IF(AND($F602="Evet",ROUND($C602*tba_oranKadinGenc,2)=$J602),"TBA-004","TBA-ENG")))))</f>
        <v/>
      </c>
      <c r="J602" s="31">
        <f>IF($A602="","",MAX(IF($D602="Evet",ROUND($C602*tba_oranBesPuan,2),0),IF($E602="Evet",ROUND($C602*tba_oranIlave,2),0),IF($F602="Evet",ROUND($C602*tba_oranKadinGenc,2),0),IF($G602="Evet",ROUND($C602*tba_isverenOran,2),0)))</f>
        <v/>
      </c>
      <c r="K602" s="31">
        <f>IF($A602="","",IF($H602="TBA-001",IF($D602="Evet",ROUND($C602*tba_oranBesPuan,2),0),IF($H602="TBA-002",IF($E602="Evet",ROUND($C602*tba_oranIlave,2),0),IF($H602="TBA-004",IF($F602="Evet",ROUND($C602*tba_oranKadinGenc,2),0),IF($H602="TBA-ENG",IF($G602="Evet",ROUND($C602*tba_isverenOran,2),0),0)))))</f>
        <v/>
      </c>
      <c r="L602" s="31">
        <f>IF($A602="","",MAX(0,$J602-$K602))</f>
        <v/>
      </c>
    </row>
    <row r="603">
      <c r="I603" s="31">
        <f>IF($A603="","",IF($J603=0,"YOK",IF(AND($E603="Evet",ROUND($C603*tba_oranIlave,2)=$J603),"TBA-002",IF(AND($D603="Evet",ROUND($C603*tba_oranBesPuan,2)=$J603),"TBA-001",IF(AND($F603="Evet",ROUND($C603*tba_oranKadinGenc,2)=$J603),"TBA-004","TBA-ENG")))))</f>
        <v/>
      </c>
      <c r="J603" s="31">
        <f>IF($A603="","",MAX(IF($D603="Evet",ROUND($C603*tba_oranBesPuan,2),0),IF($E603="Evet",ROUND($C603*tba_oranIlave,2),0),IF($F603="Evet",ROUND($C603*tba_oranKadinGenc,2),0),IF($G603="Evet",ROUND($C603*tba_isverenOran,2),0)))</f>
        <v/>
      </c>
      <c r="K603" s="31">
        <f>IF($A603="","",IF($H603="TBA-001",IF($D603="Evet",ROUND($C603*tba_oranBesPuan,2),0),IF($H603="TBA-002",IF($E603="Evet",ROUND($C603*tba_oranIlave,2),0),IF($H603="TBA-004",IF($F603="Evet",ROUND($C603*tba_oranKadinGenc,2),0),IF($H603="TBA-ENG",IF($G603="Evet",ROUND($C603*tba_isverenOran,2),0),0)))))</f>
        <v/>
      </c>
      <c r="L603" s="31">
        <f>IF($A603="","",MAX(0,$J603-$K603))</f>
        <v/>
      </c>
    </row>
    <row r="604">
      <c r="I604" s="31">
        <f>IF($A604="","",IF($J604=0,"YOK",IF(AND($E604="Evet",ROUND($C604*tba_oranIlave,2)=$J604),"TBA-002",IF(AND($D604="Evet",ROUND($C604*tba_oranBesPuan,2)=$J604),"TBA-001",IF(AND($F604="Evet",ROUND($C604*tba_oranKadinGenc,2)=$J604),"TBA-004","TBA-ENG")))))</f>
        <v/>
      </c>
      <c r="J604" s="31">
        <f>IF($A604="","",MAX(IF($D604="Evet",ROUND($C604*tba_oranBesPuan,2),0),IF($E604="Evet",ROUND($C604*tba_oranIlave,2),0),IF($F604="Evet",ROUND($C604*tba_oranKadinGenc,2),0),IF($G604="Evet",ROUND($C604*tba_isverenOran,2),0)))</f>
        <v/>
      </c>
      <c r="K604" s="31">
        <f>IF($A604="","",IF($H604="TBA-001",IF($D604="Evet",ROUND($C604*tba_oranBesPuan,2),0),IF($H604="TBA-002",IF($E604="Evet",ROUND($C604*tba_oranIlave,2),0),IF($H604="TBA-004",IF($F604="Evet",ROUND($C604*tba_oranKadinGenc,2),0),IF($H604="TBA-ENG",IF($G604="Evet",ROUND($C604*tba_isverenOran,2),0),0)))))</f>
        <v/>
      </c>
      <c r="L604" s="31">
        <f>IF($A604="","",MAX(0,$J604-$K604))</f>
        <v/>
      </c>
    </row>
    <row r="605">
      <c r="I605" s="31">
        <f>IF($A605="","",IF($J605=0,"YOK",IF(AND($E605="Evet",ROUND($C605*tba_oranIlave,2)=$J605),"TBA-002",IF(AND($D605="Evet",ROUND($C605*tba_oranBesPuan,2)=$J605),"TBA-001",IF(AND($F605="Evet",ROUND($C605*tba_oranKadinGenc,2)=$J605),"TBA-004","TBA-ENG")))))</f>
        <v/>
      </c>
      <c r="J605" s="31">
        <f>IF($A605="","",MAX(IF($D605="Evet",ROUND($C605*tba_oranBesPuan,2),0),IF($E605="Evet",ROUND($C605*tba_oranIlave,2),0),IF($F605="Evet",ROUND($C605*tba_oranKadinGenc,2),0),IF($G605="Evet",ROUND($C605*tba_isverenOran,2),0)))</f>
        <v/>
      </c>
      <c r="K605" s="31">
        <f>IF($A605="","",IF($H605="TBA-001",IF($D605="Evet",ROUND($C605*tba_oranBesPuan,2),0),IF($H605="TBA-002",IF($E605="Evet",ROUND($C605*tba_oranIlave,2),0),IF($H605="TBA-004",IF($F605="Evet",ROUND($C605*tba_oranKadinGenc,2),0),IF($H605="TBA-ENG",IF($G605="Evet",ROUND($C605*tba_isverenOran,2),0),0)))))</f>
        <v/>
      </c>
      <c r="L605" s="31">
        <f>IF($A605="","",MAX(0,$J605-$K605))</f>
        <v/>
      </c>
    </row>
    <row r="606">
      <c r="I606" s="31">
        <f>IF($A606="","",IF($J606=0,"YOK",IF(AND($E606="Evet",ROUND($C606*tba_oranIlave,2)=$J606),"TBA-002",IF(AND($D606="Evet",ROUND($C606*tba_oranBesPuan,2)=$J606),"TBA-001",IF(AND($F606="Evet",ROUND($C606*tba_oranKadinGenc,2)=$J606),"TBA-004","TBA-ENG")))))</f>
        <v/>
      </c>
      <c r="J606" s="31">
        <f>IF($A606="","",MAX(IF($D606="Evet",ROUND($C606*tba_oranBesPuan,2),0),IF($E606="Evet",ROUND($C606*tba_oranIlave,2),0),IF($F606="Evet",ROUND($C606*tba_oranKadinGenc,2),0),IF($G606="Evet",ROUND($C606*tba_isverenOran,2),0)))</f>
        <v/>
      </c>
      <c r="K606" s="31">
        <f>IF($A606="","",IF($H606="TBA-001",IF($D606="Evet",ROUND($C606*tba_oranBesPuan,2),0),IF($H606="TBA-002",IF($E606="Evet",ROUND($C606*tba_oranIlave,2),0),IF($H606="TBA-004",IF($F606="Evet",ROUND($C606*tba_oranKadinGenc,2),0),IF($H606="TBA-ENG",IF($G606="Evet",ROUND($C606*tba_isverenOran,2),0),0)))))</f>
        <v/>
      </c>
      <c r="L606" s="31">
        <f>IF($A606="","",MAX(0,$J606-$K606))</f>
        <v/>
      </c>
    </row>
    <row r="607">
      <c r="I607" s="31">
        <f>IF($A607="","",IF($J607=0,"YOK",IF(AND($E607="Evet",ROUND($C607*tba_oranIlave,2)=$J607),"TBA-002",IF(AND($D607="Evet",ROUND($C607*tba_oranBesPuan,2)=$J607),"TBA-001",IF(AND($F607="Evet",ROUND($C607*tba_oranKadinGenc,2)=$J607),"TBA-004","TBA-ENG")))))</f>
        <v/>
      </c>
      <c r="J607" s="31">
        <f>IF($A607="","",MAX(IF($D607="Evet",ROUND($C607*tba_oranBesPuan,2),0),IF($E607="Evet",ROUND($C607*tba_oranIlave,2),0),IF($F607="Evet",ROUND($C607*tba_oranKadinGenc,2),0),IF($G607="Evet",ROUND($C607*tba_isverenOran,2),0)))</f>
        <v/>
      </c>
      <c r="K607" s="31">
        <f>IF($A607="","",IF($H607="TBA-001",IF($D607="Evet",ROUND($C607*tba_oranBesPuan,2),0),IF($H607="TBA-002",IF($E607="Evet",ROUND($C607*tba_oranIlave,2),0),IF($H607="TBA-004",IF($F607="Evet",ROUND($C607*tba_oranKadinGenc,2),0),IF($H607="TBA-ENG",IF($G607="Evet",ROUND($C607*tba_isverenOran,2),0),0)))))</f>
        <v/>
      </c>
      <c r="L607" s="31">
        <f>IF($A607="","",MAX(0,$J607-$K607))</f>
        <v/>
      </c>
    </row>
    <row r="608">
      <c r="I608" s="31">
        <f>IF($A608="","",IF($J608=0,"YOK",IF(AND($E608="Evet",ROUND($C608*tba_oranIlave,2)=$J608),"TBA-002",IF(AND($D608="Evet",ROUND($C608*tba_oranBesPuan,2)=$J608),"TBA-001",IF(AND($F608="Evet",ROUND($C608*tba_oranKadinGenc,2)=$J608),"TBA-004","TBA-ENG")))))</f>
        <v/>
      </c>
      <c r="J608" s="31">
        <f>IF($A608="","",MAX(IF($D608="Evet",ROUND($C608*tba_oranBesPuan,2),0),IF($E608="Evet",ROUND($C608*tba_oranIlave,2),0),IF($F608="Evet",ROUND($C608*tba_oranKadinGenc,2),0),IF($G608="Evet",ROUND($C608*tba_isverenOran,2),0)))</f>
        <v/>
      </c>
      <c r="K608" s="31">
        <f>IF($A608="","",IF($H608="TBA-001",IF($D608="Evet",ROUND($C608*tba_oranBesPuan,2),0),IF($H608="TBA-002",IF($E608="Evet",ROUND($C608*tba_oranIlave,2),0),IF($H608="TBA-004",IF($F608="Evet",ROUND($C608*tba_oranKadinGenc,2),0),IF($H608="TBA-ENG",IF($G608="Evet",ROUND($C608*tba_isverenOran,2),0),0)))))</f>
        <v/>
      </c>
      <c r="L608" s="31">
        <f>IF($A608="","",MAX(0,$J608-$K608))</f>
        <v/>
      </c>
    </row>
    <row r="609">
      <c r="I609" s="31">
        <f>IF($A609="","",IF($J609=0,"YOK",IF(AND($E609="Evet",ROUND($C609*tba_oranIlave,2)=$J609),"TBA-002",IF(AND($D609="Evet",ROUND($C609*tba_oranBesPuan,2)=$J609),"TBA-001",IF(AND($F609="Evet",ROUND($C609*tba_oranKadinGenc,2)=$J609),"TBA-004","TBA-ENG")))))</f>
        <v/>
      </c>
      <c r="J609" s="31">
        <f>IF($A609="","",MAX(IF($D609="Evet",ROUND($C609*tba_oranBesPuan,2),0),IF($E609="Evet",ROUND($C609*tba_oranIlave,2),0),IF($F609="Evet",ROUND($C609*tba_oranKadinGenc,2),0),IF($G609="Evet",ROUND($C609*tba_isverenOran,2),0)))</f>
        <v/>
      </c>
      <c r="K609" s="31">
        <f>IF($A609="","",IF($H609="TBA-001",IF($D609="Evet",ROUND($C609*tba_oranBesPuan,2),0),IF($H609="TBA-002",IF($E609="Evet",ROUND($C609*tba_oranIlave,2),0),IF($H609="TBA-004",IF($F609="Evet",ROUND($C609*tba_oranKadinGenc,2),0),IF($H609="TBA-ENG",IF($G609="Evet",ROUND($C609*tba_isverenOran,2),0),0)))))</f>
        <v/>
      </c>
      <c r="L609" s="31">
        <f>IF($A609="","",MAX(0,$J609-$K609))</f>
        <v/>
      </c>
    </row>
    <row r="610">
      <c r="I610" s="31">
        <f>IF($A610="","",IF($J610=0,"YOK",IF(AND($E610="Evet",ROUND($C610*tba_oranIlave,2)=$J610),"TBA-002",IF(AND($D610="Evet",ROUND($C610*tba_oranBesPuan,2)=$J610),"TBA-001",IF(AND($F610="Evet",ROUND($C610*tba_oranKadinGenc,2)=$J610),"TBA-004","TBA-ENG")))))</f>
        <v/>
      </c>
      <c r="J610" s="31">
        <f>IF($A610="","",MAX(IF($D610="Evet",ROUND($C610*tba_oranBesPuan,2),0),IF($E610="Evet",ROUND($C610*tba_oranIlave,2),0),IF($F610="Evet",ROUND($C610*tba_oranKadinGenc,2),0),IF($G610="Evet",ROUND($C610*tba_isverenOran,2),0)))</f>
        <v/>
      </c>
      <c r="K610" s="31">
        <f>IF($A610="","",IF($H610="TBA-001",IF($D610="Evet",ROUND($C610*tba_oranBesPuan,2),0),IF($H610="TBA-002",IF($E610="Evet",ROUND($C610*tba_oranIlave,2),0),IF($H610="TBA-004",IF($F610="Evet",ROUND($C610*tba_oranKadinGenc,2),0),IF($H610="TBA-ENG",IF($G610="Evet",ROUND($C610*tba_isverenOran,2),0),0)))))</f>
        <v/>
      </c>
      <c r="L610" s="31">
        <f>IF($A610="","",MAX(0,$J610-$K610))</f>
        <v/>
      </c>
    </row>
    <row r="611">
      <c r="I611" s="31">
        <f>IF($A611="","",IF($J611=0,"YOK",IF(AND($E611="Evet",ROUND($C611*tba_oranIlave,2)=$J611),"TBA-002",IF(AND($D611="Evet",ROUND($C611*tba_oranBesPuan,2)=$J611),"TBA-001",IF(AND($F611="Evet",ROUND($C611*tba_oranKadinGenc,2)=$J611),"TBA-004","TBA-ENG")))))</f>
        <v/>
      </c>
      <c r="J611" s="31">
        <f>IF($A611="","",MAX(IF($D611="Evet",ROUND($C611*tba_oranBesPuan,2),0),IF($E611="Evet",ROUND($C611*tba_oranIlave,2),0),IF($F611="Evet",ROUND($C611*tba_oranKadinGenc,2),0),IF($G611="Evet",ROUND($C611*tba_isverenOran,2),0)))</f>
        <v/>
      </c>
      <c r="K611" s="31">
        <f>IF($A611="","",IF($H611="TBA-001",IF($D611="Evet",ROUND($C611*tba_oranBesPuan,2),0),IF($H611="TBA-002",IF($E611="Evet",ROUND($C611*tba_oranIlave,2),0),IF($H611="TBA-004",IF($F611="Evet",ROUND($C611*tba_oranKadinGenc,2),0),IF($H611="TBA-ENG",IF($G611="Evet",ROUND($C611*tba_isverenOran,2),0),0)))))</f>
        <v/>
      </c>
      <c r="L611" s="31">
        <f>IF($A611="","",MAX(0,$J611-$K611))</f>
        <v/>
      </c>
    </row>
    <row r="612">
      <c r="I612" s="31">
        <f>IF($A612="","",IF($J612=0,"YOK",IF(AND($E612="Evet",ROUND($C612*tba_oranIlave,2)=$J612),"TBA-002",IF(AND($D612="Evet",ROUND($C612*tba_oranBesPuan,2)=$J612),"TBA-001",IF(AND($F612="Evet",ROUND($C612*tba_oranKadinGenc,2)=$J612),"TBA-004","TBA-ENG")))))</f>
        <v/>
      </c>
      <c r="J612" s="31">
        <f>IF($A612="","",MAX(IF($D612="Evet",ROUND($C612*tba_oranBesPuan,2),0),IF($E612="Evet",ROUND($C612*tba_oranIlave,2),0),IF($F612="Evet",ROUND($C612*tba_oranKadinGenc,2),0),IF($G612="Evet",ROUND($C612*tba_isverenOran,2),0)))</f>
        <v/>
      </c>
      <c r="K612" s="31">
        <f>IF($A612="","",IF($H612="TBA-001",IF($D612="Evet",ROUND($C612*tba_oranBesPuan,2),0),IF($H612="TBA-002",IF($E612="Evet",ROUND($C612*tba_oranIlave,2),0),IF($H612="TBA-004",IF($F612="Evet",ROUND($C612*tba_oranKadinGenc,2),0),IF($H612="TBA-ENG",IF($G612="Evet",ROUND($C612*tba_isverenOran,2),0),0)))))</f>
        <v/>
      </c>
      <c r="L612" s="31">
        <f>IF($A612="","",MAX(0,$J612-$K612))</f>
        <v/>
      </c>
    </row>
    <row r="613">
      <c r="I613" s="31">
        <f>IF($A613="","",IF($J613=0,"YOK",IF(AND($E613="Evet",ROUND($C613*tba_oranIlave,2)=$J613),"TBA-002",IF(AND($D613="Evet",ROUND($C613*tba_oranBesPuan,2)=$J613),"TBA-001",IF(AND($F613="Evet",ROUND($C613*tba_oranKadinGenc,2)=$J613),"TBA-004","TBA-ENG")))))</f>
        <v/>
      </c>
      <c r="J613" s="31">
        <f>IF($A613="","",MAX(IF($D613="Evet",ROUND($C613*tba_oranBesPuan,2),0),IF($E613="Evet",ROUND($C613*tba_oranIlave,2),0),IF($F613="Evet",ROUND($C613*tba_oranKadinGenc,2),0),IF($G613="Evet",ROUND($C613*tba_isverenOran,2),0)))</f>
        <v/>
      </c>
      <c r="K613" s="31">
        <f>IF($A613="","",IF($H613="TBA-001",IF($D613="Evet",ROUND($C613*tba_oranBesPuan,2),0),IF($H613="TBA-002",IF($E613="Evet",ROUND($C613*tba_oranIlave,2),0),IF($H613="TBA-004",IF($F613="Evet",ROUND($C613*tba_oranKadinGenc,2),0),IF($H613="TBA-ENG",IF($G613="Evet",ROUND($C613*tba_isverenOran,2),0),0)))))</f>
        <v/>
      </c>
      <c r="L613" s="31">
        <f>IF($A613="","",MAX(0,$J613-$K613))</f>
        <v/>
      </c>
    </row>
    <row r="614">
      <c r="I614" s="31">
        <f>IF($A614="","",IF($J614=0,"YOK",IF(AND($E614="Evet",ROUND($C614*tba_oranIlave,2)=$J614),"TBA-002",IF(AND($D614="Evet",ROUND($C614*tba_oranBesPuan,2)=$J614),"TBA-001",IF(AND($F614="Evet",ROUND($C614*tba_oranKadinGenc,2)=$J614),"TBA-004","TBA-ENG")))))</f>
        <v/>
      </c>
      <c r="J614" s="31">
        <f>IF($A614="","",MAX(IF($D614="Evet",ROUND($C614*tba_oranBesPuan,2),0),IF($E614="Evet",ROUND($C614*tba_oranIlave,2),0),IF($F614="Evet",ROUND($C614*tba_oranKadinGenc,2),0),IF($G614="Evet",ROUND($C614*tba_isverenOran,2),0)))</f>
        <v/>
      </c>
      <c r="K614" s="31">
        <f>IF($A614="","",IF($H614="TBA-001",IF($D614="Evet",ROUND($C614*tba_oranBesPuan,2),0),IF($H614="TBA-002",IF($E614="Evet",ROUND($C614*tba_oranIlave,2),0),IF($H614="TBA-004",IF($F614="Evet",ROUND($C614*tba_oranKadinGenc,2),0),IF($H614="TBA-ENG",IF($G614="Evet",ROUND($C614*tba_isverenOran,2),0),0)))))</f>
        <v/>
      </c>
      <c r="L614" s="31">
        <f>IF($A614="","",MAX(0,$J614-$K614))</f>
        <v/>
      </c>
    </row>
    <row r="615">
      <c r="I615" s="31">
        <f>IF($A615="","",IF($J615=0,"YOK",IF(AND($E615="Evet",ROUND($C615*tba_oranIlave,2)=$J615),"TBA-002",IF(AND($D615="Evet",ROUND($C615*tba_oranBesPuan,2)=$J615),"TBA-001",IF(AND($F615="Evet",ROUND($C615*tba_oranKadinGenc,2)=$J615),"TBA-004","TBA-ENG")))))</f>
        <v/>
      </c>
      <c r="J615" s="31">
        <f>IF($A615="","",MAX(IF($D615="Evet",ROUND($C615*tba_oranBesPuan,2),0),IF($E615="Evet",ROUND($C615*tba_oranIlave,2),0),IF($F615="Evet",ROUND($C615*tba_oranKadinGenc,2),0),IF($G615="Evet",ROUND($C615*tba_isverenOran,2),0)))</f>
        <v/>
      </c>
      <c r="K615" s="31">
        <f>IF($A615="","",IF($H615="TBA-001",IF($D615="Evet",ROUND($C615*tba_oranBesPuan,2),0),IF($H615="TBA-002",IF($E615="Evet",ROUND($C615*tba_oranIlave,2),0),IF($H615="TBA-004",IF($F615="Evet",ROUND($C615*tba_oranKadinGenc,2),0),IF($H615="TBA-ENG",IF($G615="Evet",ROUND($C615*tba_isverenOran,2),0),0)))))</f>
        <v/>
      </c>
      <c r="L615" s="31">
        <f>IF($A615="","",MAX(0,$J615-$K615))</f>
        <v/>
      </c>
    </row>
    <row r="616">
      <c r="I616" s="31">
        <f>IF($A616="","",IF($J616=0,"YOK",IF(AND($E616="Evet",ROUND($C616*tba_oranIlave,2)=$J616),"TBA-002",IF(AND($D616="Evet",ROUND($C616*tba_oranBesPuan,2)=$J616),"TBA-001",IF(AND($F616="Evet",ROUND($C616*tba_oranKadinGenc,2)=$J616),"TBA-004","TBA-ENG")))))</f>
        <v/>
      </c>
      <c r="J616" s="31">
        <f>IF($A616="","",MAX(IF($D616="Evet",ROUND($C616*tba_oranBesPuan,2),0),IF($E616="Evet",ROUND($C616*tba_oranIlave,2),0),IF($F616="Evet",ROUND($C616*tba_oranKadinGenc,2),0),IF($G616="Evet",ROUND($C616*tba_isverenOran,2),0)))</f>
        <v/>
      </c>
      <c r="K616" s="31">
        <f>IF($A616="","",IF($H616="TBA-001",IF($D616="Evet",ROUND($C616*tba_oranBesPuan,2),0),IF($H616="TBA-002",IF($E616="Evet",ROUND($C616*tba_oranIlave,2),0),IF($H616="TBA-004",IF($F616="Evet",ROUND($C616*tba_oranKadinGenc,2),0),IF($H616="TBA-ENG",IF($G616="Evet",ROUND($C616*tba_isverenOran,2),0),0)))))</f>
        <v/>
      </c>
      <c r="L616" s="31">
        <f>IF($A616="","",MAX(0,$J616-$K616))</f>
        <v/>
      </c>
    </row>
    <row r="617">
      <c r="I617" s="31">
        <f>IF($A617="","",IF($J617=0,"YOK",IF(AND($E617="Evet",ROUND($C617*tba_oranIlave,2)=$J617),"TBA-002",IF(AND($D617="Evet",ROUND($C617*tba_oranBesPuan,2)=$J617),"TBA-001",IF(AND($F617="Evet",ROUND($C617*tba_oranKadinGenc,2)=$J617),"TBA-004","TBA-ENG")))))</f>
        <v/>
      </c>
      <c r="J617" s="31">
        <f>IF($A617="","",MAX(IF($D617="Evet",ROUND($C617*tba_oranBesPuan,2),0),IF($E617="Evet",ROUND($C617*tba_oranIlave,2),0),IF($F617="Evet",ROUND($C617*tba_oranKadinGenc,2),0),IF($G617="Evet",ROUND($C617*tba_isverenOran,2),0)))</f>
        <v/>
      </c>
      <c r="K617" s="31">
        <f>IF($A617="","",IF($H617="TBA-001",IF($D617="Evet",ROUND($C617*tba_oranBesPuan,2),0),IF($H617="TBA-002",IF($E617="Evet",ROUND($C617*tba_oranIlave,2),0),IF($H617="TBA-004",IF($F617="Evet",ROUND($C617*tba_oranKadinGenc,2),0),IF($H617="TBA-ENG",IF($G617="Evet",ROUND($C617*tba_isverenOran,2),0),0)))))</f>
        <v/>
      </c>
      <c r="L617" s="31">
        <f>IF($A617="","",MAX(0,$J617-$K617))</f>
        <v/>
      </c>
    </row>
    <row r="618">
      <c r="I618" s="31">
        <f>IF($A618="","",IF($J618=0,"YOK",IF(AND($E618="Evet",ROUND($C618*tba_oranIlave,2)=$J618),"TBA-002",IF(AND($D618="Evet",ROUND($C618*tba_oranBesPuan,2)=$J618),"TBA-001",IF(AND($F618="Evet",ROUND($C618*tba_oranKadinGenc,2)=$J618),"TBA-004","TBA-ENG")))))</f>
        <v/>
      </c>
      <c r="J618" s="31">
        <f>IF($A618="","",MAX(IF($D618="Evet",ROUND($C618*tba_oranBesPuan,2),0),IF($E618="Evet",ROUND($C618*tba_oranIlave,2),0),IF($F618="Evet",ROUND($C618*tba_oranKadinGenc,2),0),IF($G618="Evet",ROUND($C618*tba_isverenOran,2),0)))</f>
        <v/>
      </c>
      <c r="K618" s="31">
        <f>IF($A618="","",IF($H618="TBA-001",IF($D618="Evet",ROUND($C618*tba_oranBesPuan,2),0),IF($H618="TBA-002",IF($E618="Evet",ROUND($C618*tba_oranIlave,2),0),IF($H618="TBA-004",IF($F618="Evet",ROUND($C618*tba_oranKadinGenc,2),0),IF($H618="TBA-ENG",IF($G618="Evet",ROUND($C618*tba_isverenOran,2),0),0)))))</f>
        <v/>
      </c>
      <c r="L618" s="31">
        <f>IF($A618="","",MAX(0,$J618-$K618))</f>
        <v/>
      </c>
    </row>
    <row r="619">
      <c r="I619" s="31">
        <f>IF($A619="","",IF($J619=0,"YOK",IF(AND($E619="Evet",ROUND($C619*tba_oranIlave,2)=$J619),"TBA-002",IF(AND($D619="Evet",ROUND($C619*tba_oranBesPuan,2)=$J619),"TBA-001",IF(AND($F619="Evet",ROUND($C619*tba_oranKadinGenc,2)=$J619),"TBA-004","TBA-ENG")))))</f>
        <v/>
      </c>
      <c r="J619" s="31">
        <f>IF($A619="","",MAX(IF($D619="Evet",ROUND($C619*tba_oranBesPuan,2),0),IF($E619="Evet",ROUND($C619*tba_oranIlave,2),0),IF($F619="Evet",ROUND($C619*tba_oranKadinGenc,2),0),IF($G619="Evet",ROUND($C619*tba_isverenOran,2),0)))</f>
        <v/>
      </c>
      <c r="K619" s="31">
        <f>IF($A619="","",IF($H619="TBA-001",IF($D619="Evet",ROUND($C619*tba_oranBesPuan,2),0),IF($H619="TBA-002",IF($E619="Evet",ROUND($C619*tba_oranIlave,2),0),IF($H619="TBA-004",IF($F619="Evet",ROUND($C619*tba_oranKadinGenc,2),0),IF($H619="TBA-ENG",IF($G619="Evet",ROUND($C619*tba_isverenOran,2),0),0)))))</f>
        <v/>
      </c>
      <c r="L619" s="31">
        <f>IF($A619="","",MAX(0,$J619-$K619))</f>
        <v/>
      </c>
    </row>
    <row r="620">
      <c r="I620" s="31">
        <f>IF($A620="","",IF($J620=0,"YOK",IF(AND($E620="Evet",ROUND($C620*tba_oranIlave,2)=$J620),"TBA-002",IF(AND($D620="Evet",ROUND($C620*tba_oranBesPuan,2)=$J620),"TBA-001",IF(AND($F620="Evet",ROUND($C620*tba_oranKadinGenc,2)=$J620),"TBA-004","TBA-ENG")))))</f>
        <v/>
      </c>
      <c r="J620" s="31">
        <f>IF($A620="","",MAX(IF($D620="Evet",ROUND($C620*tba_oranBesPuan,2),0),IF($E620="Evet",ROUND($C620*tba_oranIlave,2),0),IF($F620="Evet",ROUND($C620*tba_oranKadinGenc,2),0),IF($G620="Evet",ROUND($C620*tba_isverenOran,2),0)))</f>
        <v/>
      </c>
      <c r="K620" s="31">
        <f>IF($A620="","",IF($H620="TBA-001",IF($D620="Evet",ROUND($C620*tba_oranBesPuan,2),0),IF($H620="TBA-002",IF($E620="Evet",ROUND($C620*tba_oranIlave,2),0),IF($H620="TBA-004",IF($F620="Evet",ROUND($C620*tba_oranKadinGenc,2),0),IF($H620="TBA-ENG",IF($G620="Evet",ROUND($C620*tba_isverenOran,2),0),0)))))</f>
        <v/>
      </c>
      <c r="L620" s="31">
        <f>IF($A620="","",MAX(0,$J620-$K620))</f>
        <v/>
      </c>
    </row>
    <row r="621">
      <c r="I621" s="31">
        <f>IF($A621="","",IF($J621=0,"YOK",IF(AND($E621="Evet",ROUND($C621*tba_oranIlave,2)=$J621),"TBA-002",IF(AND($D621="Evet",ROUND($C621*tba_oranBesPuan,2)=$J621),"TBA-001",IF(AND($F621="Evet",ROUND($C621*tba_oranKadinGenc,2)=$J621),"TBA-004","TBA-ENG")))))</f>
        <v/>
      </c>
      <c r="J621" s="31">
        <f>IF($A621="","",MAX(IF($D621="Evet",ROUND($C621*tba_oranBesPuan,2),0),IF($E621="Evet",ROUND($C621*tba_oranIlave,2),0),IF($F621="Evet",ROUND($C621*tba_oranKadinGenc,2),0),IF($G621="Evet",ROUND($C621*tba_isverenOran,2),0)))</f>
        <v/>
      </c>
      <c r="K621" s="31">
        <f>IF($A621="","",IF($H621="TBA-001",IF($D621="Evet",ROUND($C621*tba_oranBesPuan,2),0),IF($H621="TBA-002",IF($E621="Evet",ROUND($C621*tba_oranIlave,2),0),IF($H621="TBA-004",IF($F621="Evet",ROUND($C621*tba_oranKadinGenc,2),0),IF($H621="TBA-ENG",IF($G621="Evet",ROUND($C621*tba_isverenOran,2),0),0)))))</f>
        <v/>
      </c>
      <c r="L621" s="31">
        <f>IF($A621="","",MAX(0,$J621-$K621))</f>
        <v/>
      </c>
    </row>
    <row r="622">
      <c r="I622" s="31">
        <f>IF($A622="","",IF($J622=0,"YOK",IF(AND($E622="Evet",ROUND($C622*tba_oranIlave,2)=$J622),"TBA-002",IF(AND($D622="Evet",ROUND($C622*tba_oranBesPuan,2)=$J622),"TBA-001",IF(AND($F622="Evet",ROUND($C622*tba_oranKadinGenc,2)=$J622),"TBA-004","TBA-ENG")))))</f>
        <v/>
      </c>
      <c r="J622" s="31">
        <f>IF($A622="","",MAX(IF($D622="Evet",ROUND($C622*tba_oranBesPuan,2),0),IF($E622="Evet",ROUND($C622*tba_oranIlave,2),0),IF($F622="Evet",ROUND($C622*tba_oranKadinGenc,2),0),IF($G622="Evet",ROUND($C622*tba_isverenOran,2),0)))</f>
        <v/>
      </c>
      <c r="K622" s="31">
        <f>IF($A622="","",IF($H622="TBA-001",IF($D622="Evet",ROUND($C622*tba_oranBesPuan,2),0),IF($H622="TBA-002",IF($E622="Evet",ROUND($C622*tba_oranIlave,2),0),IF($H622="TBA-004",IF($F622="Evet",ROUND($C622*tba_oranKadinGenc,2),0),IF($H622="TBA-ENG",IF($G622="Evet",ROUND($C622*tba_isverenOran,2),0),0)))))</f>
        <v/>
      </c>
      <c r="L622" s="31">
        <f>IF($A622="","",MAX(0,$J622-$K622))</f>
        <v/>
      </c>
    </row>
    <row r="623">
      <c r="I623" s="31">
        <f>IF($A623="","",IF($J623=0,"YOK",IF(AND($E623="Evet",ROUND($C623*tba_oranIlave,2)=$J623),"TBA-002",IF(AND($D623="Evet",ROUND($C623*tba_oranBesPuan,2)=$J623),"TBA-001",IF(AND($F623="Evet",ROUND($C623*tba_oranKadinGenc,2)=$J623),"TBA-004","TBA-ENG")))))</f>
        <v/>
      </c>
      <c r="J623" s="31">
        <f>IF($A623="","",MAX(IF($D623="Evet",ROUND($C623*tba_oranBesPuan,2),0),IF($E623="Evet",ROUND($C623*tba_oranIlave,2),0),IF($F623="Evet",ROUND($C623*tba_oranKadinGenc,2),0),IF($G623="Evet",ROUND($C623*tba_isverenOran,2),0)))</f>
        <v/>
      </c>
      <c r="K623" s="31">
        <f>IF($A623="","",IF($H623="TBA-001",IF($D623="Evet",ROUND($C623*tba_oranBesPuan,2),0),IF($H623="TBA-002",IF($E623="Evet",ROUND($C623*tba_oranIlave,2),0),IF($H623="TBA-004",IF($F623="Evet",ROUND($C623*tba_oranKadinGenc,2),0),IF($H623="TBA-ENG",IF($G623="Evet",ROUND($C623*tba_isverenOran,2),0),0)))))</f>
        <v/>
      </c>
      <c r="L623" s="31">
        <f>IF($A623="","",MAX(0,$J623-$K623))</f>
        <v/>
      </c>
    </row>
    <row r="624">
      <c r="I624" s="31">
        <f>IF($A624="","",IF($J624=0,"YOK",IF(AND($E624="Evet",ROUND($C624*tba_oranIlave,2)=$J624),"TBA-002",IF(AND($D624="Evet",ROUND($C624*tba_oranBesPuan,2)=$J624),"TBA-001",IF(AND($F624="Evet",ROUND($C624*tba_oranKadinGenc,2)=$J624),"TBA-004","TBA-ENG")))))</f>
        <v/>
      </c>
      <c r="J624" s="31">
        <f>IF($A624="","",MAX(IF($D624="Evet",ROUND($C624*tba_oranBesPuan,2),0),IF($E624="Evet",ROUND($C624*tba_oranIlave,2),0),IF($F624="Evet",ROUND($C624*tba_oranKadinGenc,2),0),IF($G624="Evet",ROUND($C624*tba_isverenOran,2),0)))</f>
        <v/>
      </c>
      <c r="K624" s="31">
        <f>IF($A624="","",IF($H624="TBA-001",IF($D624="Evet",ROUND($C624*tba_oranBesPuan,2),0),IF($H624="TBA-002",IF($E624="Evet",ROUND($C624*tba_oranIlave,2),0),IF($H624="TBA-004",IF($F624="Evet",ROUND($C624*tba_oranKadinGenc,2),0),IF($H624="TBA-ENG",IF($G624="Evet",ROUND($C624*tba_isverenOran,2),0),0)))))</f>
        <v/>
      </c>
      <c r="L624" s="31">
        <f>IF($A624="","",MAX(0,$J624-$K624))</f>
        <v/>
      </c>
    </row>
    <row r="625">
      <c r="I625" s="31">
        <f>IF($A625="","",IF($J625=0,"YOK",IF(AND($E625="Evet",ROUND($C625*tba_oranIlave,2)=$J625),"TBA-002",IF(AND($D625="Evet",ROUND($C625*tba_oranBesPuan,2)=$J625),"TBA-001",IF(AND($F625="Evet",ROUND($C625*tba_oranKadinGenc,2)=$J625),"TBA-004","TBA-ENG")))))</f>
        <v/>
      </c>
      <c r="J625" s="31">
        <f>IF($A625="","",MAX(IF($D625="Evet",ROUND($C625*tba_oranBesPuan,2),0),IF($E625="Evet",ROUND($C625*tba_oranIlave,2),0),IF($F625="Evet",ROUND($C625*tba_oranKadinGenc,2),0),IF($G625="Evet",ROUND($C625*tba_isverenOran,2),0)))</f>
        <v/>
      </c>
      <c r="K625" s="31">
        <f>IF($A625="","",IF($H625="TBA-001",IF($D625="Evet",ROUND($C625*tba_oranBesPuan,2),0),IF($H625="TBA-002",IF($E625="Evet",ROUND($C625*tba_oranIlave,2),0),IF($H625="TBA-004",IF($F625="Evet",ROUND($C625*tba_oranKadinGenc,2),0),IF($H625="TBA-ENG",IF($G625="Evet",ROUND($C625*tba_isverenOran,2),0),0)))))</f>
        <v/>
      </c>
      <c r="L625" s="31">
        <f>IF($A625="","",MAX(0,$J625-$K625))</f>
        <v/>
      </c>
    </row>
    <row r="626">
      <c r="I626" s="31">
        <f>IF($A626="","",IF($J626=0,"YOK",IF(AND($E626="Evet",ROUND($C626*tba_oranIlave,2)=$J626),"TBA-002",IF(AND($D626="Evet",ROUND($C626*tba_oranBesPuan,2)=$J626),"TBA-001",IF(AND($F626="Evet",ROUND($C626*tba_oranKadinGenc,2)=$J626),"TBA-004","TBA-ENG")))))</f>
        <v/>
      </c>
      <c r="J626" s="31">
        <f>IF($A626="","",MAX(IF($D626="Evet",ROUND($C626*tba_oranBesPuan,2),0),IF($E626="Evet",ROUND($C626*tba_oranIlave,2),0),IF($F626="Evet",ROUND($C626*tba_oranKadinGenc,2),0),IF($G626="Evet",ROUND($C626*tba_isverenOran,2),0)))</f>
        <v/>
      </c>
      <c r="K626" s="31">
        <f>IF($A626="","",IF($H626="TBA-001",IF($D626="Evet",ROUND($C626*tba_oranBesPuan,2),0),IF($H626="TBA-002",IF($E626="Evet",ROUND($C626*tba_oranIlave,2),0),IF($H626="TBA-004",IF($F626="Evet",ROUND($C626*tba_oranKadinGenc,2),0),IF($H626="TBA-ENG",IF($G626="Evet",ROUND($C626*tba_isverenOran,2),0),0)))))</f>
        <v/>
      </c>
      <c r="L626" s="31">
        <f>IF($A626="","",MAX(0,$J626-$K626))</f>
        <v/>
      </c>
    </row>
    <row r="627">
      <c r="I627" s="31">
        <f>IF($A627="","",IF($J627=0,"YOK",IF(AND($E627="Evet",ROUND($C627*tba_oranIlave,2)=$J627),"TBA-002",IF(AND($D627="Evet",ROUND($C627*tba_oranBesPuan,2)=$J627),"TBA-001",IF(AND($F627="Evet",ROUND($C627*tba_oranKadinGenc,2)=$J627),"TBA-004","TBA-ENG")))))</f>
        <v/>
      </c>
      <c r="J627" s="31">
        <f>IF($A627="","",MAX(IF($D627="Evet",ROUND($C627*tba_oranBesPuan,2),0),IF($E627="Evet",ROUND($C627*tba_oranIlave,2),0),IF($F627="Evet",ROUND($C627*tba_oranKadinGenc,2),0),IF($G627="Evet",ROUND($C627*tba_isverenOran,2),0)))</f>
        <v/>
      </c>
      <c r="K627" s="31">
        <f>IF($A627="","",IF($H627="TBA-001",IF($D627="Evet",ROUND($C627*tba_oranBesPuan,2),0),IF($H627="TBA-002",IF($E627="Evet",ROUND($C627*tba_oranIlave,2),0),IF($H627="TBA-004",IF($F627="Evet",ROUND($C627*tba_oranKadinGenc,2),0),IF($H627="TBA-ENG",IF($G627="Evet",ROUND($C627*tba_isverenOran,2),0),0)))))</f>
        <v/>
      </c>
      <c r="L627" s="31">
        <f>IF($A627="","",MAX(0,$J627-$K627))</f>
        <v/>
      </c>
    </row>
    <row r="628">
      <c r="I628" s="31">
        <f>IF($A628="","",IF($J628=0,"YOK",IF(AND($E628="Evet",ROUND($C628*tba_oranIlave,2)=$J628),"TBA-002",IF(AND($D628="Evet",ROUND($C628*tba_oranBesPuan,2)=$J628),"TBA-001",IF(AND($F628="Evet",ROUND($C628*tba_oranKadinGenc,2)=$J628),"TBA-004","TBA-ENG")))))</f>
        <v/>
      </c>
      <c r="J628" s="31">
        <f>IF($A628="","",MAX(IF($D628="Evet",ROUND($C628*tba_oranBesPuan,2),0),IF($E628="Evet",ROUND($C628*tba_oranIlave,2),0),IF($F628="Evet",ROUND($C628*tba_oranKadinGenc,2),0),IF($G628="Evet",ROUND($C628*tba_isverenOran,2),0)))</f>
        <v/>
      </c>
      <c r="K628" s="31">
        <f>IF($A628="","",IF($H628="TBA-001",IF($D628="Evet",ROUND($C628*tba_oranBesPuan,2),0),IF($H628="TBA-002",IF($E628="Evet",ROUND($C628*tba_oranIlave,2),0),IF($H628="TBA-004",IF($F628="Evet",ROUND($C628*tba_oranKadinGenc,2),0),IF($H628="TBA-ENG",IF($G628="Evet",ROUND($C628*tba_isverenOran,2),0),0)))))</f>
        <v/>
      </c>
      <c r="L628" s="31">
        <f>IF($A628="","",MAX(0,$J628-$K628))</f>
        <v/>
      </c>
    </row>
    <row r="629">
      <c r="I629" s="31">
        <f>IF($A629="","",IF($J629=0,"YOK",IF(AND($E629="Evet",ROUND($C629*tba_oranIlave,2)=$J629),"TBA-002",IF(AND($D629="Evet",ROUND($C629*tba_oranBesPuan,2)=$J629),"TBA-001",IF(AND($F629="Evet",ROUND($C629*tba_oranKadinGenc,2)=$J629),"TBA-004","TBA-ENG")))))</f>
        <v/>
      </c>
      <c r="J629" s="31">
        <f>IF($A629="","",MAX(IF($D629="Evet",ROUND($C629*tba_oranBesPuan,2),0),IF($E629="Evet",ROUND($C629*tba_oranIlave,2),0),IF($F629="Evet",ROUND($C629*tba_oranKadinGenc,2),0),IF($G629="Evet",ROUND($C629*tba_isverenOran,2),0)))</f>
        <v/>
      </c>
      <c r="K629" s="31">
        <f>IF($A629="","",IF($H629="TBA-001",IF($D629="Evet",ROUND($C629*tba_oranBesPuan,2),0),IF($H629="TBA-002",IF($E629="Evet",ROUND($C629*tba_oranIlave,2),0),IF($H629="TBA-004",IF($F629="Evet",ROUND($C629*tba_oranKadinGenc,2),0),IF($H629="TBA-ENG",IF($G629="Evet",ROUND($C629*tba_isverenOran,2),0),0)))))</f>
        <v/>
      </c>
      <c r="L629" s="31">
        <f>IF($A629="","",MAX(0,$J629-$K629))</f>
        <v/>
      </c>
    </row>
    <row r="630">
      <c r="I630" s="31">
        <f>IF($A630="","",IF($J630=0,"YOK",IF(AND($E630="Evet",ROUND($C630*tba_oranIlave,2)=$J630),"TBA-002",IF(AND($D630="Evet",ROUND($C630*tba_oranBesPuan,2)=$J630),"TBA-001",IF(AND($F630="Evet",ROUND($C630*tba_oranKadinGenc,2)=$J630),"TBA-004","TBA-ENG")))))</f>
        <v/>
      </c>
      <c r="J630" s="31">
        <f>IF($A630="","",MAX(IF($D630="Evet",ROUND($C630*tba_oranBesPuan,2),0),IF($E630="Evet",ROUND($C630*tba_oranIlave,2),0),IF($F630="Evet",ROUND($C630*tba_oranKadinGenc,2),0),IF($G630="Evet",ROUND($C630*tba_isverenOran,2),0)))</f>
        <v/>
      </c>
      <c r="K630" s="31">
        <f>IF($A630="","",IF($H630="TBA-001",IF($D630="Evet",ROUND($C630*tba_oranBesPuan,2),0),IF($H630="TBA-002",IF($E630="Evet",ROUND($C630*tba_oranIlave,2),0),IF($H630="TBA-004",IF($F630="Evet",ROUND($C630*tba_oranKadinGenc,2),0),IF($H630="TBA-ENG",IF($G630="Evet",ROUND($C630*tba_isverenOran,2),0),0)))))</f>
        <v/>
      </c>
      <c r="L630" s="31">
        <f>IF($A630="","",MAX(0,$J630-$K630))</f>
        <v/>
      </c>
    </row>
    <row r="631">
      <c r="I631" s="31">
        <f>IF($A631="","",IF($J631=0,"YOK",IF(AND($E631="Evet",ROUND($C631*tba_oranIlave,2)=$J631),"TBA-002",IF(AND($D631="Evet",ROUND($C631*tba_oranBesPuan,2)=$J631),"TBA-001",IF(AND($F631="Evet",ROUND($C631*tba_oranKadinGenc,2)=$J631),"TBA-004","TBA-ENG")))))</f>
        <v/>
      </c>
      <c r="J631" s="31">
        <f>IF($A631="","",MAX(IF($D631="Evet",ROUND($C631*tba_oranBesPuan,2),0),IF($E631="Evet",ROUND($C631*tba_oranIlave,2),0),IF($F631="Evet",ROUND($C631*tba_oranKadinGenc,2),0),IF($G631="Evet",ROUND($C631*tba_isverenOran,2),0)))</f>
        <v/>
      </c>
      <c r="K631" s="31">
        <f>IF($A631="","",IF($H631="TBA-001",IF($D631="Evet",ROUND($C631*tba_oranBesPuan,2),0),IF($H631="TBA-002",IF($E631="Evet",ROUND($C631*tba_oranIlave,2),0),IF($H631="TBA-004",IF($F631="Evet",ROUND($C631*tba_oranKadinGenc,2),0),IF($H631="TBA-ENG",IF($G631="Evet",ROUND($C631*tba_isverenOran,2),0),0)))))</f>
        <v/>
      </c>
      <c r="L631" s="31">
        <f>IF($A631="","",MAX(0,$J631-$K631))</f>
        <v/>
      </c>
    </row>
    <row r="632">
      <c r="I632" s="31">
        <f>IF($A632="","",IF($J632=0,"YOK",IF(AND($E632="Evet",ROUND($C632*tba_oranIlave,2)=$J632),"TBA-002",IF(AND($D632="Evet",ROUND($C632*tba_oranBesPuan,2)=$J632),"TBA-001",IF(AND($F632="Evet",ROUND($C632*tba_oranKadinGenc,2)=$J632),"TBA-004","TBA-ENG")))))</f>
        <v/>
      </c>
      <c r="J632" s="31">
        <f>IF($A632="","",MAX(IF($D632="Evet",ROUND($C632*tba_oranBesPuan,2),0),IF($E632="Evet",ROUND($C632*tba_oranIlave,2),0),IF($F632="Evet",ROUND($C632*tba_oranKadinGenc,2),0),IF($G632="Evet",ROUND($C632*tba_isverenOran,2),0)))</f>
        <v/>
      </c>
      <c r="K632" s="31">
        <f>IF($A632="","",IF($H632="TBA-001",IF($D632="Evet",ROUND($C632*tba_oranBesPuan,2),0),IF($H632="TBA-002",IF($E632="Evet",ROUND($C632*tba_oranIlave,2),0),IF($H632="TBA-004",IF($F632="Evet",ROUND($C632*tba_oranKadinGenc,2),0),IF($H632="TBA-ENG",IF($G632="Evet",ROUND($C632*tba_isverenOran,2),0),0)))))</f>
        <v/>
      </c>
      <c r="L632" s="31">
        <f>IF($A632="","",MAX(0,$J632-$K632))</f>
        <v/>
      </c>
    </row>
    <row r="633">
      <c r="I633" s="31">
        <f>IF($A633="","",IF($J633=0,"YOK",IF(AND($E633="Evet",ROUND($C633*tba_oranIlave,2)=$J633),"TBA-002",IF(AND($D633="Evet",ROUND($C633*tba_oranBesPuan,2)=$J633),"TBA-001",IF(AND($F633="Evet",ROUND($C633*tba_oranKadinGenc,2)=$J633),"TBA-004","TBA-ENG")))))</f>
        <v/>
      </c>
      <c r="J633" s="31">
        <f>IF($A633="","",MAX(IF($D633="Evet",ROUND($C633*tba_oranBesPuan,2),0),IF($E633="Evet",ROUND($C633*tba_oranIlave,2),0),IF($F633="Evet",ROUND($C633*tba_oranKadinGenc,2),0),IF($G633="Evet",ROUND($C633*tba_isverenOran,2),0)))</f>
        <v/>
      </c>
      <c r="K633" s="31">
        <f>IF($A633="","",IF($H633="TBA-001",IF($D633="Evet",ROUND($C633*tba_oranBesPuan,2),0),IF($H633="TBA-002",IF($E633="Evet",ROUND($C633*tba_oranIlave,2),0),IF($H633="TBA-004",IF($F633="Evet",ROUND($C633*tba_oranKadinGenc,2),0),IF($H633="TBA-ENG",IF($G633="Evet",ROUND($C633*tba_isverenOran,2),0),0)))))</f>
        <v/>
      </c>
      <c r="L633" s="31">
        <f>IF($A633="","",MAX(0,$J633-$K633))</f>
        <v/>
      </c>
    </row>
    <row r="634">
      <c r="I634" s="31">
        <f>IF($A634="","",IF($J634=0,"YOK",IF(AND($E634="Evet",ROUND($C634*tba_oranIlave,2)=$J634),"TBA-002",IF(AND($D634="Evet",ROUND($C634*tba_oranBesPuan,2)=$J634),"TBA-001",IF(AND($F634="Evet",ROUND($C634*tba_oranKadinGenc,2)=$J634),"TBA-004","TBA-ENG")))))</f>
        <v/>
      </c>
      <c r="J634" s="31">
        <f>IF($A634="","",MAX(IF($D634="Evet",ROUND($C634*tba_oranBesPuan,2),0),IF($E634="Evet",ROUND($C634*tba_oranIlave,2),0),IF($F634="Evet",ROUND($C634*tba_oranKadinGenc,2),0),IF($G634="Evet",ROUND($C634*tba_isverenOran,2),0)))</f>
        <v/>
      </c>
      <c r="K634" s="31">
        <f>IF($A634="","",IF($H634="TBA-001",IF($D634="Evet",ROUND($C634*tba_oranBesPuan,2),0),IF($H634="TBA-002",IF($E634="Evet",ROUND($C634*tba_oranIlave,2),0),IF($H634="TBA-004",IF($F634="Evet",ROUND($C634*tba_oranKadinGenc,2),0),IF($H634="TBA-ENG",IF($G634="Evet",ROUND($C634*tba_isverenOran,2),0),0)))))</f>
        <v/>
      </c>
      <c r="L634" s="31">
        <f>IF($A634="","",MAX(0,$J634-$K634))</f>
        <v/>
      </c>
    </row>
    <row r="635">
      <c r="I635" s="31">
        <f>IF($A635="","",IF($J635=0,"YOK",IF(AND($E635="Evet",ROUND($C635*tba_oranIlave,2)=$J635),"TBA-002",IF(AND($D635="Evet",ROUND($C635*tba_oranBesPuan,2)=$J635),"TBA-001",IF(AND($F635="Evet",ROUND($C635*tba_oranKadinGenc,2)=$J635),"TBA-004","TBA-ENG")))))</f>
        <v/>
      </c>
      <c r="J635" s="31">
        <f>IF($A635="","",MAX(IF($D635="Evet",ROUND($C635*tba_oranBesPuan,2),0),IF($E635="Evet",ROUND($C635*tba_oranIlave,2),0),IF($F635="Evet",ROUND($C635*tba_oranKadinGenc,2),0),IF($G635="Evet",ROUND($C635*tba_isverenOran,2),0)))</f>
        <v/>
      </c>
      <c r="K635" s="31">
        <f>IF($A635="","",IF($H635="TBA-001",IF($D635="Evet",ROUND($C635*tba_oranBesPuan,2),0),IF($H635="TBA-002",IF($E635="Evet",ROUND($C635*tba_oranIlave,2),0),IF($H635="TBA-004",IF($F635="Evet",ROUND($C635*tba_oranKadinGenc,2),0),IF($H635="TBA-ENG",IF($G635="Evet",ROUND($C635*tba_isverenOran,2),0),0)))))</f>
        <v/>
      </c>
      <c r="L635" s="31">
        <f>IF($A635="","",MAX(0,$J635-$K635))</f>
        <v/>
      </c>
    </row>
    <row r="636">
      <c r="I636" s="31">
        <f>IF($A636="","",IF($J636=0,"YOK",IF(AND($E636="Evet",ROUND($C636*tba_oranIlave,2)=$J636),"TBA-002",IF(AND($D636="Evet",ROUND($C636*tba_oranBesPuan,2)=$J636),"TBA-001",IF(AND($F636="Evet",ROUND($C636*tba_oranKadinGenc,2)=$J636),"TBA-004","TBA-ENG")))))</f>
        <v/>
      </c>
      <c r="J636" s="31">
        <f>IF($A636="","",MAX(IF($D636="Evet",ROUND($C636*tba_oranBesPuan,2),0),IF($E636="Evet",ROUND($C636*tba_oranIlave,2),0),IF($F636="Evet",ROUND($C636*tba_oranKadinGenc,2),0),IF($G636="Evet",ROUND($C636*tba_isverenOran,2),0)))</f>
        <v/>
      </c>
      <c r="K636" s="31">
        <f>IF($A636="","",IF($H636="TBA-001",IF($D636="Evet",ROUND($C636*tba_oranBesPuan,2),0),IF($H636="TBA-002",IF($E636="Evet",ROUND($C636*tba_oranIlave,2),0),IF($H636="TBA-004",IF($F636="Evet",ROUND($C636*tba_oranKadinGenc,2),0),IF($H636="TBA-ENG",IF($G636="Evet",ROUND($C636*tba_isverenOran,2),0),0)))))</f>
        <v/>
      </c>
      <c r="L636" s="31">
        <f>IF($A636="","",MAX(0,$J636-$K636))</f>
        <v/>
      </c>
    </row>
    <row r="637">
      <c r="I637" s="31">
        <f>IF($A637="","",IF($J637=0,"YOK",IF(AND($E637="Evet",ROUND($C637*tba_oranIlave,2)=$J637),"TBA-002",IF(AND($D637="Evet",ROUND($C637*tba_oranBesPuan,2)=$J637),"TBA-001",IF(AND($F637="Evet",ROUND($C637*tba_oranKadinGenc,2)=$J637),"TBA-004","TBA-ENG")))))</f>
        <v/>
      </c>
      <c r="J637" s="31">
        <f>IF($A637="","",MAX(IF($D637="Evet",ROUND($C637*tba_oranBesPuan,2),0),IF($E637="Evet",ROUND($C637*tba_oranIlave,2),0),IF($F637="Evet",ROUND($C637*tba_oranKadinGenc,2),0),IF($G637="Evet",ROUND($C637*tba_isverenOran,2),0)))</f>
        <v/>
      </c>
      <c r="K637" s="31">
        <f>IF($A637="","",IF($H637="TBA-001",IF($D637="Evet",ROUND($C637*tba_oranBesPuan,2),0),IF($H637="TBA-002",IF($E637="Evet",ROUND($C637*tba_oranIlave,2),0),IF($H637="TBA-004",IF($F637="Evet",ROUND($C637*tba_oranKadinGenc,2),0),IF($H637="TBA-ENG",IF($G637="Evet",ROUND($C637*tba_isverenOran,2),0),0)))))</f>
        <v/>
      </c>
      <c r="L637" s="31">
        <f>IF($A637="","",MAX(0,$J637-$K637))</f>
        <v/>
      </c>
    </row>
    <row r="638">
      <c r="I638" s="31">
        <f>IF($A638="","",IF($J638=0,"YOK",IF(AND($E638="Evet",ROUND($C638*tba_oranIlave,2)=$J638),"TBA-002",IF(AND($D638="Evet",ROUND($C638*tba_oranBesPuan,2)=$J638),"TBA-001",IF(AND($F638="Evet",ROUND($C638*tba_oranKadinGenc,2)=$J638),"TBA-004","TBA-ENG")))))</f>
        <v/>
      </c>
      <c r="J638" s="31">
        <f>IF($A638="","",MAX(IF($D638="Evet",ROUND($C638*tba_oranBesPuan,2),0),IF($E638="Evet",ROUND($C638*tba_oranIlave,2),0),IF($F638="Evet",ROUND($C638*tba_oranKadinGenc,2),0),IF($G638="Evet",ROUND($C638*tba_isverenOran,2),0)))</f>
        <v/>
      </c>
      <c r="K638" s="31">
        <f>IF($A638="","",IF($H638="TBA-001",IF($D638="Evet",ROUND($C638*tba_oranBesPuan,2),0),IF($H638="TBA-002",IF($E638="Evet",ROUND($C638*tba_oranIlave,2),0),IF($H638="TBA-004",IF($F638="Evet",ROUND($C638*tba_oranKadinGenc,2),0),IF($H638="TBA-ENG",IF($G638="Evet",ROUND($C638*tba_isverenOran,2),0),0)))))</f>
        <v/>
      </c>
      <c r="L638" s="31">
        <f>IF($A638="","",MAX(0,$J638-$K638))</f>
        <v/>
      </c>
    </row>
    <row r="639">
      <c r="I639" s="31">
        <f>IF($A639="","",IF($J639=0,"YOK",IF(AND($E639="Evet",ROUND($C639*tba_oranIlave,2)=$J639),"TBA-002",IF(AND($D639="Evet",ROUND($C639*tba_oranBesPuan,2)=$J639),"TBA-001",IF(AND($F639="Evet",ROUND($C639*tba_oranKadinGenc,2)=$J639),"TBA-004","TBA-ENG")))))</f>
        <v/>
      </c>
      <c r="J639" s="31">
        <f>IF($A639="","",MAX(IF($D639="Evet",ROUND($C639*tba_oranBesPuan,2),0),IF($E639="Evet",ROUND($C639*tba_oranIlave,2),0),IF($F639="Evet",ROUND($C639*tba_oranKadinGenc,2),0),IF($G639="Evet",ROUND($C639*tba_isverenOran,2),0)))</f>
        <v/>
      </c>
      <c r="K639" s="31">
        <f>IF($A639="","",IF($H639="TBA-001",IF($D639="Evet",ROUND($C639*tba_oranBesPuan,2),0),IF($H639="TBA-002",IF($E639="Evet",ROUND($C639*tba_oranIlave,2),0),IF($H639="TBA-004",IF($F639="Evet",ROUND($C639*tba_oranKadinGenc,2),0),IF($H639="TBA-ENG",IF($G639="Evet",ROUND($C639*tba_isverenOran,2),0),0)))))</f>
        <v/>
      </c>
      <c r="L639" s="31">
        <f>IF($A639="","",MAX(0,$J639-$K639))</f>
        <v/>
      </c>
    </row>
    <row r="640">
      <c r="I640" s="31">
        <f>IF($A640="","",IF($J640=0,"YOK",IF(AND($E640="Evet",ROUND($C640*tba_oranIlave,2)=$J640),"TBA-002",IF(AND($D640="Evet",ROUND($C640*tba_oranBesPuan,2)=$J640),"TBA-001",IF(AND($F640="Evet",ROUND($C640*tba_oranKadinGenc,2)=$J640),"TBA-004","TBA-ENG")))))</f>
        <v/>
      </c>
      <c r="J640" s="31">
        <f>IF($A640="","",MAX(IF($D640="Evet",ROUND($C640*tba_oranBesPuan,2),0),IF($E640="Evet",ROUND($C640*tba_oranIlave,2),0),IF($F640="Evet",ROUND($C640*tba_oranKadinGenc,2),0),IF($G640="Evet",ROUND($C640*tba_isverenOran,2),0)))</f>
        <v/>
      </c>
      <c r="K640" s="31">
        <f>IF($A640="","",IF($H640="TBA-001",IF($D640="Evet",ROUND($C640*tba_oranBesPuan,2),0),IF($H640="TBA-002",IF($E640="Evet",ROUND($C640*tba_oranIlave,2),0),IF($H640="TBA-004",IF($F640="Evet",ROUND($C640*tba_oranKadinGenc,2),0),IF($H640="TBA-ENG",IF($G640="Evet",ROUND($C640*tba_isverenOran,2),0),0)))))</f>
        <v/>
      </c>
      <c r="L640" s="31">
        <f>IF($A640="","",MAX(0,$J640-$K640))</f>
        <v/>
      </c>
    </row>
    <row r="641">
      <c r="I641" s="31">
        <f>IF($A641="","",IF($J641=0,"YOK",IF(AND($E641="Evet",ROUND($C641*tba_oranIlave,2)=$J641),"TBA-002",IF(AND($D641="Evet",ROUND($C641*tba_oranBesPuan,2)=$J641),"TBA-001",IF(AND($F641="Evet",ROUND($C641*tba_oranKadinGenc,2)=$J641),"TBA-004","TBA-ENG")))))</f>
        <v/>
      </c>
      <c r="J641" s="31">
        <f>IF($A641="","",MAX(IF($D641="Evet",ROUND($C641*tba_oranBesPuan,2),0),IF($E641="Evet",ROUND($C641*tba_oranIlave,2),0),IF($F641="Evet",ROUND($C641*tba_oranKadinGenc,2),0),IF($G641="Evet",ROUND($C641*tba_isverenOran,2),0)))</f>
        <v/>
      </c>
      <c r="K641" s="31">
        <f>IF($A641="","",IF($H641="TBA-001",IF($D641="Evet",ROUND($C641*tba_oranBesPuan,2),0),IF($H641="TBA-002",IF($E641="Evet",ROUND($C641*tba_oranIlave,2),0),IF($H641="TBA-004",IF($F641="Evet",ROUND($C641*tba_oranKadinGenc,2),0),IF($H641="TBA-ENG",IF($G641="Evet",ROUND($C641*tba_isverenOran,2),0),0)))))</f>
        <v/>
      </c>
      <c r="L641" s="31">
        <f>IF($A641="","",MAX(0,$J641-$K641))</f>
        <v/>
      </c>
    </row>
    <row r="642">
      <c r="I642" s="31">
        <f>IF($A642="","",IF($J642=0,"YOK",IF(AND($E642="Evet",ROUND($C642*tba_oranIlave,2)=$J642),"TBA-002",IF(AND($D642="Evet",ROUND($C642*tba_oranBesPuan,2)=$J642),"TBA-001",IF(AND($F642="Evet",ROUND($C642*tba_oranKadinGenc,2)=$J642),"TBA-004","TBA-ENG")))))</f>
        <v/>
      </c>
      <c r="J642" s="31">
        <f>IF($A642="","",MAX(IF($D642="Evet",ROUND($C642*tba_oranBesPuan,2),0),IF($E642="Evet",ROUND($C642*tba_oranIlave,2),0),IF($F642="Evet",ROUND($C642*tba_oranKadinGenc,2),0),IF($G642="Evet",ROUND($C642*tba_isverenOran,2),0)))</f>
        <v/>
      </c>
      <c r="K642" s="31">
        <f>IF($A642="","",IF($H642="TBA-001",IF($D642="Evet",ROUND($C642*tba_oranBesPuan,2),0),IF($H642="TBA-002",IF($E642="Evet",ROUND($C642*tba_oranIlave,2),0),IF($H642="TBA-004",IF($F642="Evet",ROUND($C642*tba_oranKadinGenc,2),0),IF($H642="TBA-ENG",IF($G642="Evet",ROUND($C642*tba_isverenOran,2),0),0)))))</f>
        <v/>
      </c>
      <c r="L642" s="31">
        <f>IF($A642="","",MAX(0,$J642-$K642))</f>
        <v/>
      </c>
    </row>
    <row r="643">
      <c r="I643" s="31">
        <f>IF($A643="","",IF($J643=0,"YOK",IF(AND($E643="Evet",ROUND($C643*tba_oranIlave,2)=$J643),"TBA-002",IF(AND($D643="Evet",ROUND($C643*tba_oranBesPuan,2)=$J643),"TBA-001",IF(AND($F643="Evet",ROUND($C643*tba_oranKadinGenc,2)=$J643),"TBA-004","TBA-ENG")))))</f>
        <v/>
      </c>
      <c r="J643" s="31">
        <f>IF($A643="","",MAX(IF($D643="Evet",ROUND($C643*tba_oranBesPuan,2),0),IF($E643="Evet",ROUND($C643*tba_oranIlave,2),0),IF($F643="Evet",ROUND($C643*tba_oranKadinGenc,2),0),IF($G643="Evet",ROUND($C643*tba_isverenOran,2),0)))</f>
        <v/>
      </c>
      <c r="K643" s="31">
        <f>IF($A643="","",IF($H643="TBA-001",IF($D643="Evet",ROUND($C643*tba_oranBesPuan,2),0),IF($H643="TBA-002",IF($E643="Evet",ROUND($C643*tba_oranIlave,2),0),IF($H643="TBA-004",IF($F643="Evet",ROUND($C643*tba_oranKadinGenc,2),0),IF($H643="TBA-ENG",IF($G643="Evet",ROUND($C643*tba_isverenOran,2),0),0)))))</f>
        <v/>
      </c>
      <c r="L643" s="31">
        <f>IF($A643="","",MAX(0,$J643-$K643))</f>
        <v/>
      </c>
    </row>
    <row r="644">
      <c r="I644" s="31">
        <f>IF($A644="","",IF($J644=0,"YOK",IF(AND($E644="Evet",ROUND($C644*tba_oranIlave,2)=$J644),"TBA-002",IF(AND($D644="Evet",ROUND($C644*tba_oranBesPuan,2)=$J644),"TBA-001",IF(AND($F644="Evet",ROUND($C644*tba_oranKadinGenc,2)=$J644),"TBA-004","TBA-ENG")))))</f>
        <v/>
      </c>
      <c r="J644" s="31">
        <f>IF($A644="","",MAX(IF($D644="Evet",ROUND($C644*tba_oranBesPuan,2),0),IF($E644="Evet",ROUND($C644*tba_oranIlave,2),0),IF($F644="Evet",ROUND($C644*tba_oranKadinGenc,2),0),IF($G644="Evet",ROUND($C644*tba_isverenOran,2),0)))</f>
        <v/>
      </c>
      <c r="K644" s="31">
        <f>IF($A644="","",IF($H644="TBA-001",IF($D644="Evet",ROUND($C644*tba_oranBesPuan,2),0),IF($H644="TBA-002",IF($E644="Evet",ROUND($C644*tba_oranIlave,2),0),IF($H644="TBA-004",IF($F644="Evet",ROUND($C644*tba_oranKadinGenc,2),0),IF($H644="TBA-ENG",IF($G644="Evet",ROUND($C644*tba_isverenOran,2),0),0)))))</f>
        <v/>
      </c>
      <c r="L644" s="31">
        <f>IF($A644="","",MAX(0,$J644-$K644))</f>
        <v/>
      </c>
    </row>
    <row r="645">
      <c r="I645" s="31">
        <f>IF($A645="","",IF($J645=0,"YOK",IF(AND($E645="Evet",ROUND($C645*tba_oranIlave,2)=$J645),"TBA-002",IF(AND($D645="Evet",ROUND($C645*tba_oranBesPuan,2)=$J645),"TBA-001",IF(AND($F645="Evet",ROUND($C645*tba_oranKadinGenc,2)=$J645),"TBA-004","TBA-ENG")))))</f>
        <v/>
      </c>
      <c r="J645" s="31">
        <f>IF($A645="","",MAX(IF($D645="Evet",ROUND($C645*tba_oranBesPuan,2),0),IF($E645="Evet",ROUND($C645*tba_oranIlave,2),0),IF($F645="Evet",ROUND($C645*tba_oranKadinGenc,2),0),IF($G645="Evet",ROUND($C645*tba_isverenOran,2),0)))</f>
        <v/>
      </c>
      <c r="K645" s="31">
        <f>IF($A645="","",IF($H645="TBA-001",IF($D645="Evet",ROUND($C645*tba_oranBesPuan,2),0),IF($H645="TBA-002",IF($E645="Evet",ROUND($C645*tba_oranIlave,2),0),IF($H645="TBA-004",IF($F645="Evet",ROUND($C645*tba_oranKadinGenc,2),0),IF($H645="TBA-ENG",IF($G645="Evet",ROUND($C645*tba_isverenOran,2),0),0)))))</f>
        <v/>
      </c>
      <c r="L645" s="31">
        <f>IF($A645="","",MAX(0,$J645-$K645))</f>
        <v/>
      </c>
    </row>
    <row r="646">
      <c r="I646" s="31">
        <f>IF($A646="","",IF($J646=0,"YOK",IF(AND($E646="Evet",ROUND($C646*tba_oranIlave,2)=$J646),"TBA-002",IF(AND($D646="Evet",ROUND($C646*tba_oranBesPuan,2)=$J646),"TBA-001",IF(AND($F646="Evet",ROUND($C646*tba_oranKadinGenc,2)=$J646),"TBA-004","TBA-ENG")))))</f>
        <v/>
      </c>
      <c r="J646" s="31">
        <f>IF($A646="","",MAX(IF($D646="Evet",ROUND($C646*tba_oranBesPuan,2),0),IF($E646="Evet",ROUND($C646*tba_oranIlave,2),0),IF($F646="Evet",ROUND($C646*tba_oranKadinGenc,2),0),IF($G646="Evet",ROUND($C646*tba_isverenOran,2),0)))</f>
        <v/>
      </c>
      <c r="K646" s="31">
        <f>IF($A646="","",IF($H646="TBA-001",IF($D646="Evet",ROUND($C646*tba_oranBesPuan,2),0),IF($H646="TBA-002",IF($E646="Evet",ROUND($C646*tba_oranIlave,2),0),IF($H646="TBA-004",IF($F646="Evet",ROUND($C646*tba_oranKadinGenc,2),0),IF($H646="TBA-ENG",IF($G646="Evet",ROUND($C646*tba_isverenOran,2),0),0)))))</f>
        <v/>
      </c>
      <c r="L646" s="31">
        <f>IF($A646="","",MAX(0,$J646-$K646))</f>
        <v/>
      </c>
    </row>
    <row r="647">
      <c r="I647" s="31">
        <f>IF($A647="","",IF($J647=0,"YOK",IF(AND($E647="Evet",ROUND($C647*tba_oranIlave,2)=$J647),"TBA-002",IF(AND($D647="Evet",ROUND($C647*tba_oranBesPuan,2)=$J647),"TBA-001",IF(AND($F647="Evet",ROUND($C647*tba_oranKadinGenc,2)=$J647),"TBA-004","TBA-ENG")))))</f>
        <v/>
      </c>
      <c r="J647" s="31">
        <f>IF($A647="","",MAX(IF($D647="Evet",ROUND($C647*tba_oranBesPuan,2),0),IF($E647="Evet",ROUND($C647*tba_oranIlave,2),0),IF($F647="Evet",ROUND($C647*tba_oranKadinGenc,2),0),IF($G647="Evet",ROUND($C647*tba_isverenOran,2),0)))</f>
        <v/>
      </c>
      <c r="K647" s="31">
        <f>IF($A647="","",IF($H647="TBA-001",IF($D647="Evet",ROUND($C647*tba_oranBesPuan,2),0),IF($H647="TBA-002",IF($E647="Evet",ROUND($C647*tba_oranIlave,2),0),IF($H647="TBA-004",IF($F647="Evet",ROUND($C647*tba_oranKadinGenc,2),0),IF($H647="TBA-ENG",IF($G647="Evet",ROUND($C647*tba_isverenOran,2),0),0)))))</f>
        <v/>
      </c>
      <c r="L647" s="31">
        <f>IF($A647="","",MAX(0,$J647-$K647))</f>
        <v/>
      </c>
    </row>
    <row r="648">
      <c r="I648" s="31">
        <f>IF($A648="","",IF($J648=0,"YOK",IF(AND($E648="Evet",ROUND($C648*tba_oranIlave,2)=$J648),"TBA-002",IF(AND($D648="Evet",ROUND($C648*tba_oranBesPuan,2)=$J648),"TBA-001",IF(AND($F648="Evet",ROUND($C648*tba_oranKadinGenc,2)=$J648),"TBA-004","TBA-ENG")))))</f>
        <v/>
      </c>
      <c r="J648" s="31">
        <f>IF($A648="","",MAX(IF($D648="Evet",ROUND($C648*tba_oranBesPuan,2),0),IF($E648="Evet",ROUND($C648*tba_oranIlave,2),0),IF($F648="Evet",ROUND($C648*tba_oranKadinGenc,2),0),IF($G648="Evet",ROUND($C648*tba_isverenOran,2),0)))</f>
        <v/>
      </c>
      <c r="K648" s="31">
        <f>IF($A648="","",IF($H648="TBA-001",IF($D648="Evet",ROUND($C648*tba_oranBesPuan,2),0),IF($H648="TBA-002",IF($E648="Evet",ROUND($C648*tba_oranIlave,2),0),IF($H648="TBA-004",IF($F648="Evet",ROUND($C648*tba_oranKadinGenc,2),0),IF($H648="TBA-ENG",IF($G648="Evet",ROUND($C648*tba_isverenOran,2),0),0)))))</f>
        <v/>
      </c>
      <c r="L648" s="31">
        <f>IF($A648="","",MAX(0,$J648-$K648))</f>
        <v/>
      </c>
    </row>
    <row r="649">
      <c r="I649" s="31">
        <f>IF($A649="","",IF($J649=0,"YOK",IF(AND($E649="Evet",ROUND($C649*tba_oranIlave,2)=$J649),"TBA-002",IF(AND($D649="Evet",ROUND($C649*tba_oranBesPuan,2)=$J649),"TBA-001",IF(AND($F649="Evet",ROUND($C649*tba_oranKadinGenc,2)=$J649),"TBA-004","TBA-ENG")))))</f>
        <v/>
      </c>
      <c r="J649" s="31">
        <f>IF($A649="","",MAX(IF($D649="Evet",ROUND($C649*tba_oranBesPuan,2),0),IF($E649="Evet",ROUND($C649*tba_oranIlave,2),0),IF($F649="Evet",ROUND($C649*tba_oranKadinGenc,2),0),IF($G649="Evet",ROUND($C649*tba_isverenOran,2),0)))</f>
        <v/>
      </c>
      <c r="K649" s="31">
        <f>IF($A649="","",IF($H649="TBA-001",IF($D649="Evet",ROUND($C649*tba_oranBesPuan,2),0),IF($H649="TBA-002",IF($E649="Evet",ROUND($C649*tba_oranIlave,2),0),IF($H649="TBA-004",IF($F649="Evet",ROUND($C649*tba_oranKadinGenc,2),0),IF($H649="TBA-ENG",IF($G649="Evet",ROUND($C649*tba_isverenOran,2),0),0)))))</f>
        <v/>
      </c>
      <c r="L649" s="31">
        <f>IF($A649="","",MAX(0,$J649-$K649))</f>
        <v/>
      </c>
    </row>
    <row r="650">
      <c r="I650" s="31">
        <f>IF($A650="","",IF($J650=0,"YOK",IF(AND($E650="Evet",ROUND($C650*tba_oranIlave,2)=$J650),"TBA-002",IF(AND($D650="Evet",ROUND($C650*tba_oranBesPuan,2)=$J650),"TBA-001",IF(AND($F650="Evet",ROUND($C650*tba_oranKadinGenc,2)=$J650),"TBA-004","TBA-ENG")))))</f>
        <v/>
      </c>
      <c r="J650" s="31">
        <f>IF($A650="","",MAX(IF($D650="Evet",ROUND($C650*tba_oranBesPuan,2),0),IF($E650="Evet",ROUND($C650*tba_oranIlave,2),0),IF($F650="Evet",ROUND($C650*tba_oranKadinGenc,2),0),IF($G650="Evet",ROUND($C650*tba_isverenOran,2),0)))</f>
        <v/>
      </c>
      <c r="K650" s="31">
        <f>IF($A650="","",IF($H650="TBA-001",IF($D650="Evet",ROUND($C650*tba_oranBesPuan,2),0),IF($H650="TBA-002",IF($E650="Evet",ROUND($C650*tba_oranIlave,2),0),IF($H650="TBA-004",IF($F650="Evet",ROUND($C650*tba_oranKadinGenc,2),0),IF($H650="TBA-ENG",IF($G650="Evet",ROUND($C650*tba_isverenOran,2),0),0)))))</f>
        <v/>
      </c>
      <c r="L650" s="31">
        <f>IF($A650="","",MAX(0,$J650-$K650))</f>
        <v/>
      </c>
    </row>
    <row r="651">
      <c r="I651" s="31">
        <f>IF($A651="","",IF($J651=0,"YOK",IF(AND($E651="Evet",ROUND($C651*tba_oranIlave,2)=$J651),"TBA-002",IF(AND($D651="Evet",ROUND($C651*tba_oranBesPuan,2)=$J651),"TBA-001",IF(AND($F651="Evet",ROUND($C651*tba_oranKadinGenc,2)=$J651),"TBA-004","TBA-ENG")))))</f>
        <v/>
      </c>
      <c r="J651" s="31">
        <f>IF($A651="","",MAX(IF($D651="Evet",ROUND($C651*tba_oranBesPuan,2),0),IF($E651="Evet",ROUND($C651*tba_oranIlave,2),0),IF($F651="Evet",ROUND($C651*tba_oranKadinGenc,2),0),IF($G651="Evet",ROUND($C651*tba_isverenOran,2),0)))</f>
        <v/>
      </c>
      <c r="K651" s="31">
        <f>IF($A651="","",IF($H651="TBA-001",IF($D651="Evet",ROUND($C651*tba_oranBesPuan,2),0),IF($H651="TBA-002",IF($E651="Evet",ROUND($C651*tba_oranIlave,2),0),IF($H651="TBA-004",IF($F651="Evet",ROUND($C651*tba_oranKadinGenc,2),0),IF($H651="TBA-ENG",IF($G651="Evet",ROUND($C651*tba_isverenOran,2),0),0)))))</f>
        <v/>
      </c>
      <c r="L651" s="31">
        <f>IF($A651="","",MAX(0,$J651-$K651))</f>
        <v/>
      </c>
    </row>
    <row r="652">
      <c r="I652" s="31">
        <f>IF($A652="","",IF($J652=0,"YOK",IF(AND($E652="Evet",ROUND($C652*tba_oranIlave,2)=$J652),"TBA-002",IF(AND($D652="Evet",ROUND($C652*tba_oranBesPuan,2)=$J652),"TBA-001",IF(AND($F652="Evet",ROUND($C652*tba_oranKadinGenc,2)=$J652),"TBA-004","TBA-ENG")))))</f>
        <v/>
      </c>
      <c r="J652" s="31">
        <f>IF($A652="","",MAX(IF($D652="Evet",ROUND($C652*tba_oranBesPuan,2),0),IF($E652="Evet",ROUND($C652*tba_oranIlave,2),0),IF($F652="Evet",ROUND($C652*tba_oranKadinGenc,2),0),IF($G652="Evet",ROUND($C652*tba_isverenOran,2),0)))</f>
        <v/>
      </c>
      <c r="K652" s="31">
        <f>IF($A652="","",IF($H652="TBA-001",IF($D652="Evet",ROUND($C652*tba_oranBesPuan,2),0),IF($H652="TBA-002",IF($E652="Evet",ROUND($C652*tba_oranIlave,2),0),IF($H652="TBA-004",IF($F652="Evet",ROUND($C652*tba_oranKadinGenc,2),0),IF($H652="TBA-ENG",IF($G652="Evet",ROUND($C652*tba_isverenOran,2),0),0)))))</f>
        <v/>
      </c>
      <c r="L652" s="31">
        <f>IF($A652="","",MAX(0,$J652-$K652))</f>
        <v/>
      </c>
    </row>
    <row r="653">
      <c r="I653" s="31">
        <f>IF($A653="","",IF($J653=0,"YOK",IF(AND($E653="Evet",ROUND($C653*tba_oranIlave,2)=$J653),"TBA-002",IF(AND($D653="Evet",ROUND($C653*tba_oranBesPuan,2)=$J653),"TBA-001",IF(AND($F653="Evet",ROUND($C653*tba_oranKadinGenc,2)=$J653),"TBA-004","TBA-ENG")))))</f>
        <v/>
      </c>
      <c r="J653" s="31">
        <f>IF($A653="","",MAX(IF($D653="Evet",ROUND($C653*tba_oranBesPuan,2),0),IF($E653="Evet",ROUND($C653*tba_oranIlave,2),0),IF($F653="Evet",ROUND($C653*tba_oranKadinGenc,2),0),IF($G653="Evet",ROUND($C653*tba_isverenOran,2),0)))</f>
        <v/>
      </c>
      <c r="K653" s="31">
        <f>IF($A653="","",IF($H653="TBA-001",IF($D653="Evet",ROUND($C653*tba_oranBesPuan,2),0),IF($H653="TBA-002",IF($E653="Evet",ROUND($C653*tba_oranIlave,2),0),IF($H653="TBA-004",IF($F653="Evet",ROUND($C653*tba_oranKadinGenc,2),0),IF($H653="TBA-ENG",IF($G653="Evet",ROUND($C653*tba_isverenOran,2),0),0)))))</f>
        <v/>
      </c>
      <c r="L653" s="31">
        <f>IF($A653="","",MAX(0,$J653-$K653))</f>
        <v/>
      </c>
    </row>
    <row r="654">
      <c r="I654" s="31">
        <f>IF($A654="","",IF($J654=0,"YOK",IF(AND($E654="Evet",ROUND($C654*tba_oranIlave,2)=$J654),"TBA-002",IF(AND($D654="Evet",ROUND($C654*tba_oranBesPuan,2)=$J654),"TBA-001",IF(AND($F654="Evet",ROUND($C654*tba_oranKadinGenc,2)=$J654),"TBA-004","TBA-ENG")))))</f>
        <v/>
      </c>
      <c r="J654" s="31">
        <f>IF($A654="","",MAX(IF($D654="Evet",ROUND($C654*tba_oranBesPuan,2),0),IF($E654="Evet",ROUND($C654*tba_oranIlave,2),0),IF($F654="Evet",ROUND($C654*tba_oranKadinGenc,2),0),IF($G654="Evet",ROUND($C654*tba_isverenOran,2),0)))</f>
        <v/>
      </c>
      <c r="K654" s="31">
        <f>IF($A654="","",IF($H654="TBA-001",IF($D654="Evet",ROUND($C654*tba_oranBesPuan,2),0),IF($H654="TBA-002",IF($E654="Evet",ROUND($C654*tba_oranIlave,2),0),IF($H654="TBA-004",IF($F654="Evet",ROUND($C654*tba_oranKadinGenc,2),0),IF($H654="TBA-ENG",IF($G654="Evet",ROUND($C654*tba_isverenOran,2),0),0)))))</f>
        <v/>
      </c>
      <c r="L654" s="31">
        <f>IF($A654="","",MAX(0,$J654-$K654))</f>
        <v/>
      </c>
    </row>
    <row r="655">
      <c r="I655" s="31">
        <f>IF($A655="","",IF($J655=0,"YOK",IF(AND($E655="Evet",ROUND($C655*tba_oranIlave,2)=$J655),"TBA-002",IF(AND($D655="Evet",ROUND($C655*tba_oranBesPuan,2)=$J655),"TBA-001",IF(AND($F655="Evet",ROUND($C655*tba_oranKadinGenc,2)=$J655),"TBA-004","TBA-ENG")))))</f>
        <v/>
      </c>
      <c r="J655" s="31">
        <f>IF($A655="","",MAX(IF($D655="Evet",ROUND($C655*tba_oranBesPuan,2),0),IF($E655="Evet",ROUND($C655*tba_oranIlave,2),0),IF($F655="Evet",ROUND($C655*tba_oranKadinGenc,2),0),IF($G655="Evet",ROUND($C655*tba_isverenOran,2),0)))</f>
        <v/>
      </c>
      <c r="K655" s="31">
        <f>IF($A655="","",IF($H655="TBA-001",IF($D655="Evet",ROUND($C655*tba_oranBesPuan,2),0),IF($H655="TBA-002",IF($E655="Evet",ROUND($C655*tba_oranIlave,2),0),IF($H655="TBA-004",IF($F655="Evet",ROUND($C655*tba_oranKadinGenc,2),0),IF($H655="TBA-ENG",IF($G655="Evet",ROUND($C655*tba_isverenOran,2),0),0)))))</f>
        <v/>
      </c>
      <c r="L655" s="31">
        <f>IF($A655="","",MAX(0,$J655-$K655))</f>
        <v/>
      </c>
    </row>
    <row r="656">
      <c r="I656" s="31">
        <f>IF($A656="","",IF($J656=0,"YOK",IF(AND($E656="Evet",ROUND($C656*tba_oranIlave,2)=$J656),"TBA-002",IF(AND($D656="Evet",ROUND($C656*tba_oranBesPuan,2)=$J656),"TBA-001",IF(AND($F656="Evet",ROUND($C656*tba_oranKadinGenc,2)=$J656),"TBA-004","TBA-ENG")))))</f>
        <v/>
      </c>
      <c r="J656" s="31">
        <f>IF($A656="","",MAX(IF($D656="Evet",ROUND($C656*tba_oranBesPuan,2),0),IF($E656="Evet",ROUND($C656*tba_oranIlave,2),0),IF($F656="Evet",ROUND($C656*tba_oranKadinGenc,2),0),IF($G656="Evet",ROUND($C656*tba_isverenOran,2),0)))</f>
        <v/>
      </c>
      <c r="K656" s="31">
        <f>IF($A656="","",IF($H656="TBA-001",IF($D656="Evet",ROUND($C656*tba_oranBesPuan,2),0),IF($H656="TBA-002",IF($E656="Evet",ROUND($C656*tba_oranIlave,2),0),IF($H656="TBA-004",IF($F656="Evet",ROUND($C656*tba_oranKadinGenc,2),0),IF($H656="TBA-ENG",IF($G656="Evet",ROUND($C656*tba_isverenOran,2),0),0)))))</f>
        <v/>
      </c>
      <c r="L656" s="31">
        <f>IF($A656="","",MAX(0,$J656-$K656))</f>
        <v/>
      </c>
    </row>
    <row r="657">
      <c r="I657" s="31">
        <f>IF($A657="","",IF($J657=0,"YOK",IF(AND($E657="Evet",ROUND($C657*tba_oranIlave,2)=$J657),"TBA-002",IF(AND($D657="Evet",ROUND($C657*tba_oranBesPuan,2)=$J657),"TBA-001",IF(AND($F657="Evet",ROUND($C657*tba_oranKadinGenc,2)=$J657),"TBA-004","TBA-ENG")))))</f>
        <v/>
      </c>
      <c r="J657" s="31">
        <f>IF($A657="","",MAX(IF($D657="Evet",ROUND($C657*tba_oranBesPuan,2),0),IF($E657="Evet",ROUND($C657*tba_oranIlave,2),0),IF($F657="Evet",ROUND($C657*tba_oranKadinGenc,2),0),IF($G657="Evet",ROUND($C657*tba_isverenOran,2),0)))</f>
        <v/>
      </c>
      <c r="K657" s="31">
        <f>IF($A657="","",IF($H657="TBA-001",IF($D657="Evet",ROUND($C657*tba_oranBesPuan,2),0),IF($H657="TBA-002",IF($E657="Evet",ROUND($C657*tba_oranIlave,2),0),IF($H657="TBA-004",IF($F657="Evet",ROUND($C657*tba_oranKadinGenc,2),0),IF($H657="TBA-ENG",IF($G657="Evet",ROUND($C657*tba_isverenOran,2),0),0)))))</f>
        <v/>
      </c>
      <c r="L657" s="31">
        <f>IF($A657="","",MAX(0,$J657-$K657))</f>
        <v/>
      </c>
    </row>
    <row r="658">
      <c r="I658" s="31">
        <f>IF($A658="","",IF($J658=0,"YOK",IF(AND($E658="Evet",ROUND($C658*tba_oranIlave,2)=$J658),"TBA-002",IF(AND($D658="Evet",ROUND($C658*tba_oranBesPuan,2)=$J658),"TBA-001",IF(AND($F658="Evet",ROUND($C658*tba_oranKadinGenc,2)=$J658),"TBA-004","TBA-ENG")))))</f>
        <v/>
      </c>
      <c r="J658" s="31">
        <f>IF($A658="","",MAX(IF($D658="Evet",ROUND($C658*tba_oranBesPuan,2),0),IF($E658="Evet",ROUND($C658*tba_oranIlave,2),0),IF($F658="Evet",ROUND($C658*tba_oranKadinGenc,2),0),IF($G658="Evet",ROUND($C658*tba_isverenOran,2),0)))</f>
        <v/>
      </c>
      <c r="K658" s="31">
        <f>IF($A658="","",IF($H658="TBA-001",IF($D658="Evet",ROUND($C658*tba_oranBesPuan,2),0),IF($H658="TBA-002",IF($E658="Evet",ROUND($C658*tba_oranIlave,2),0),IF($H658="TBA-004",IF($F658="Evet",ROUND($C658*tba_oranKadinGenc,2),0),IF($H658="TBA-ENG",IF($G658="Evet",ROUND($C658*tba_isverenOran,2),0),0)))))</f>
        <v/>
      </c>
      <c r="L658" s="31">
        <f>IF($A658="","",MAX(0,$J658-$K658))</f>
        <v/>
      </c>
    </row>
    <row r="659">
      <c r="I659" s="31">
        <f>IF($A659="","",IF($J659=0,"YOK",IF(AND($E659="Evet",ROUND($C659*tba_oranIlave,2)=$J659),"TBA-002",IF(AND($D659="Evet",ROUND($C659*tba_oranBesPuan,2)=$J659),"TBA-001",IF(AND($F659="Evet",ROUND($C659*tba_oranKadinGenc,2)=$J659),"TBA-004","TBA-ENG")))))</f>
        <v/>
      </c>
      <c r="J659" s="31">
        <f>IF($A659="","",MAX(IF($D659="Evet",ROUND($C659*tba_oranBesPuan,2),0),IF($E659="Evet",ROUND($C659*tba_oranIlave,2),0),IF($F659="Evet",ROUND($C659*tba_oranKadinGenc,2),0),IF($G659="Evet",ROUND($C659*tba_isverenOran,2),0)))</f>
        <v/>
      </c>
      <c r="K659" s="31">
        <f>IF($A659="","",IF($H659="TBA-001",IF($D659="Evet",ROUND($C659*tba_oranBesPuan,2),0),IF($H659="TBA-002",IF($E659="Evet",ROUND($C659*tba_oranIlave,2),0),IF($H659="TBA-004",IF($F659="Evet",ROUND($C659*tba_oranKadinGenc,2),0),IF($H659="TBA-ENG",IF($G659="Evet",ROUND($C659*tba_isverenOran,2),0),0)))))</f>
        <v/>
      </c>
      <c r="L659" s="31">
        <f>IF($A659="","",MAX(0,$J659-$K659))</f>
        <v/>
      </c>
    </row>
    <row r="660">
      <c r="I660" s="31">
        <f>IF($A660="","",IF($J660=0,"YOK",IF(AND($E660="Evet",ROUND($C660*tba_oranIlave,2)=$J660),"TBA-002",IF(AND($D660="Evet",ROUND($C660*tba_oranBesPuan,2)=$J660),"TBA-001",IF(AND($F660="Evet",ROUND($C660*tba_oranKadinGenc,2)=$J660),"TBA-004","TBA-ENG")))))</f>
        <v/>
      </c>
      <c r="J660" s="31">
        <f>IF($A660="","",MAX(IF($D660="Evet",ROUND($C660*tba_oranBesPuan,2),0),IF($E660="Evet",ROUND($C660*tba_oranIlave,2),0),IF($F660="Evet",ROUND($C660*tba_oranKadinGenc,2),0),IF($G660="Evet",ROUND($C660*tba_isverenOran,2),0)))</f>
        <v/>
      </c>
      <c r="K660" s="31">
        <f>IF($A660="","",IF($H660="TBA-001",IF($D660="Evet",ROUND($C660*tba_oranBesPuan,2),0),IF($H660="TBA-002",IF($E660="Evet",ROUND($C660*tba_oranIlave,2),0),IF($H660="TBA-004",IF($F660="Evet",ROUND($C660*tba_oranKadinGenc,2),0),IF($H660="TBA-ENG",IF($G660="Evet",ROUND($C660*tba_isverenOran,2),0),0)))))</f>
        <v/>
      </c>
      <c r="L660" s="31">
        <f>IF($A660="","",MAX(0,$J660-$K660))</f>
        <v/>
      </c>
    </row>
    <row r="661">
      <c r="I661" s="31">
        <f>IF($A661="","",IF($J661=0,"YOK",IF(AND($E661="Evet",ROUND($C661*tba_oranIlave,2)=$J661),"TBA-002",IF(AND($D661="Evet",ROUND($C661*tba_oranBesPuan,2)=$J661),"TBA-001",IF(AND($F661="Evet",ROUND($C661*tba_oranKadinGenc,2)=$J661),"TBA-004","TBA-ENG")))))</f>
        <v/>
      </c>
      <c r="J661" s="31">
        <f>IF($A661="","",MAX(IF($D661="Evet",ROUND($C661*tba_oranBesPuan,2),0),IF($E661="Evet",ROUND($C661*tba_oranIlave,2),0),IF($F661="Evet",ROUND($C661*tba_oranKadinGenc,2),0),IF($G661="Evet",ROUND($C661*tba_isverenOran,2),0)))</f>
        <v/>
      </c>
      <c r="K661" s="31">
        <f>IF($A661="","",IF($H661="TBA-001",IF($D661="Evet",ROUND($C661*tba_oranBesPuan,2),0),IF($H661="TBA-002",IF($E661="Evet",ROUND($C661*tba_oranIlave,2),0),IF($H661="TBA-004",IF($F661="Evet",ROUND($C661*tba_oranKadinGenc,2),0),IF($H661="TBA-ENG",IF($G661="Evet",ROUND($C661*tba_isverenOran,2),0),0)))))</f>
        <v/>
      </c>
      <c r="L661" s="31">
        <f>IF($A661="","",MAX(0,$J661-$K661))</f>
        <v/>
      </c>
    </row>
    <row r="662">
      <c r="I662" s="31">
        <f>IF($A662="","",IF($J662=0,"YOK",IF(AND($E662="Evet",ROUND($C662*tba_oranIlave,2)=$J662),"TBA-002",IF(AND($D662="Evet",ROUND($C662*tba_oranBesPuan,2)=$J662),"TBA-001",IF(AND($F662="Evet",ROUND($C662*tba_oranKadinGenc,2)=$J662),"TBA-004","TBA-ENG")))))</f>
        <v/>
      </c>
      <c r="J662" s="31">
        <f>IF($A662="","",MAX(IF($D662="Evet",ROUND($C662*tba_oranBesPuan,2),0),IF($E662="Evet",ROUND($C662*tba_oranIlave,2),0),IF($F662="Evet",ROUND($C662*tba_oranKadinGenc,2),0),IF($G662="Evet",ROUND($C662*tba_isverenOran,2),0)))</f>
        <v/>
      </c>
      <c r="K662" s="31">
        <f>IF($A662="","",IF($H662="TBA-001",IF($D662="Evet",ROUND($C662*tba_oranBesPuan,2),0),IF($H662="TBA-002",IF($E662="Evet",ROUND($C662*tba_oranIlave,2),0),IF($H662="TBA-004",IF($F662="Evet",ROUND($C662*tba_oranKadinGenc,2),0),IF($H662="TBA-ENG",IF($G662="Evet",ROUND($C662*tba_isverenOran,2),0),0)))))</f>
        <v/>
      </c>
      <c r="L662" s="31">
        <f>IF($A662="","",MAX(0,$J662-$K662))</f>
        <v/>
      </c>
    </row>
    <row r="663">
      <c r="I663" s="31">
        <f>IF($A663="","",IF($J663=0,"YOK",IF(AND($E663="Evet",ROUND($C663*tba_oranIlave,2)=$J663),"TBA-002",IF(AND($D663="Evet",ROUND($C663*tba_oranBesPuan,2)=$J663),"TBA-001",IF(AND($F663="Evet",ROUND($C663*tba_oranKadinGenc,2)=$J663),"TBA-004","TBA-ENG")))))</f>
        <v/>
      </c>
      <c r="J663" s="31">
        <f>IF($A663="","",MAX(IF($D663="Evet",ROUND($C663*tba_oranBesPuan,2),0),IF($E663="Evet",ROUND($C663*tba_oranIlave,2),0),IF($F663="Evet",ROUND($C663*tba_oranKadinGenc,2),0),IF($G663="Evet",ROUND($C663*tba_isverenOran,2),0)))</f>
        <v/>
      </c>
      <c r="K663" s="31">
        <f>IF($A663="","",IF($H663="TBA-001",IF($D663="Evet",ROUND($C663*tba_oranBesPuan,2),0),IF($H663="TBA-002",IF($E663="Evet",ROUND($C663*tba_oranIlave,2),0),IF($H663="TBA-004",IF($F663="Evet",ROUND($C663*tba_oranKadinGenc,2),0),IF($H663="TBA-ENG",IF($G663="Evet",ROUND($C663*tba_isverenOran,2),0),0)))))</f>
        <v/>
      </c>
      <c r="L663" s="31">
        <f>IF($A663="","",MAX(0,$J663-$K663))</f>
        <v/>
      </c>
    </row>
    <row r="664">
      <c r="I664" s="31">
        <f>IF($A664="","",IF($J664=0,"YOK",IF(AND($E664="Evet",ROUND($C664*tba_oranIlave,2)=$J664),"TBA-002",IF(AND($D664="Evet",ROUND($C664*tba_oranBesPuan,2)=$J664),"TBA-001",IF(AND($F664="Evet",ROUND($C664*tba_oranKadinGenc,2)=$J664),"TBA-004","TBA-ENG")))))</f>
        <v/>
      </c>
      <c r="J664" s="31">
        <f>IF($A664="","",MAX(IF($D664="Evet",ROUND($C664*tba_oranBesPuan,2),0),IF($E664="Evet",ROUND($C664*tba_oranIlave,2),0),IF($F664="Evet",ROUND($C664*tba_oranKadinGenc,2),0),IF($G664="Evet",ROUND($C664*tba_isverenOran,2),0)))</f>
        <v/>
      </c>
      <c r="K664" s="31">
        <f>IF($A664="","",IF($H664="TBA-001",IF($D664="Evet",ROUND($C664*tba_oranBesPuan,2),0),IF($H664="TBA-002",IF($E664="Evet",ROUND($C664*tba_oranIlave,2),0),IF($H664="TBA-004",IF($F664="Evet",ROUND($C664*tba_oranKadinGenc,2),0),IF($H664="TBA-ENG",IF($G664="Evet",ROUND($C664*tba_isverenOran,2),0),0)))))</f>
        <v/>
      </c>
      <c r="L664" s="31">
        <f>IF($A664="","",MAX(0,$J664-$K664))</f>
        <v/>
      </c>
    </row>
    <row r="665">
      <c r="I665" s="31">
        <f>IF($A665="","",IF($J665=0,"YOK",IF(AND($E665="Evet",ROUND($C665*tba_oranIlave,2)=$J665),"TBA-002",IF(AND($D665="Evet",ROUND($C665*tba_oranBesPuan,2)=$J665),"TBA-001",IF(AND($F665="Evet",ROUND($C665*tba_oranKadinGenc,2)=$J665),"TBA-004","TBA-ENG")))))</f>
        <v/>
      </c>
      <c r="J665" s="31">
        <f>IF($A665="","",MAX(IF($D665="Evet",ROUND($C665*tba_oranBesPuan,2),0),IF($E665="Evet",ROUND($C665*tba_oranIlave,2),0),IF($F665="Evet",ROUND($C665*tba_oranKadinGenc,2),0),IF($G665="Evet",ROUND($C665*tba_isverenOran,2),0)))</f>
        <v/>
      </c>
      <c r="K665" s="31">
        <f>IF($A665="","",IF($H665="TBA-001",IF($D665="Evet",ROUND($C665*tba_oranBesPuan,2),0),IF($H665="TBA-002",IF($E665="Evet",ROUND($C665*tba_oranIlave,2),0),IF($H665="TBA-004",IF($F665="Evet",ROUND($C665*tba_oranKadinGenc,2),0),IF($H665="TBA-ENG",IF($G665="Evet",ROUND($C665*tba_isverenOran,2),0),0)))))</f>
        <v/>
      </c>
      <c r="L665" s="31">
        <f>IF($A665="","",MAX(0,$J665-$K665))</f>
        <v/>
      </c>
    </row>
    <row r="666">
      <c r="I666" s="31">
        <f>IF($A666="","",IF($J666=0,"YOK",IF(AND($E666="Evet",ROUND($C666*tba_oranIlave,2)=$J666),"TBA-002",IF(AND($D666="Evet",ROUND($C666*tba_oranBesPuan,2)=$J666),"TBA-001",IF(AND($F666="Evet",ROUND($C666*tba_oranKadinGenc,2)=$J666),"TBA-004","TBA-ENG")))))</f>
        <v/>
      </c>
      <c r="J666" s="31">
        <f>IF($A666="","",MAX(IF($D666="Evet",ROUND($C666*tba_oranBesPuan,2),0),IF($E666="Evet",ROUND($C666*tba_oranIlave,2),0),IF($F666="Evet",ROUND($C666*tba_oranKadinGenc,2),0),IF($G666="Evet",ROUND($C666*tba_isverenOran,2),0)))</f>
        <v/>
      </c>
      <c r="K666" s="31">
        <f>IF($A666="","",IF($H666="TBA-001",IF($D666="Evet",ROUND($C666*tba_oranBesPuan,2),0),IF($H666="TBA-002",IF($E666="Evet",ROUND($C666*tba_oranIlave,2),0),IF($H666="TBA-004",IF($F666="Evet",ROUND($C666*tba_oranKadinGenc,2),0),IF($H666="TBA-ENG",IF($G666="Evet",ROUND($C666*tba_isverenOran,2),0),0)))))</f>
        <v/>
      </c>
      <c r="L666" s="31">
        <f>IF($A666="","",MAX(0,$J666-$K666))</f>
        <v/>
      </c>
    </row>
    <row r="667">
      <c r="I667" s="31">
        <f>IF($A667="","",IF($J667=0,"YOK",IF(AND($E667="Evet",ROUND($C667*tba_oranIlave,2)=$J667),"TBA-002",IF(AND($D667="Evet",ROUND($C667*tba_oranBesPuan,2)=$J667),"TBA-001",IF(AND($F667="Evet",ROUND($C667*tba_oranKadinGenc,2)=$J667),"TBA-004","TBA-ENG")))))</f>
        <v/>
      </c>
      <c r="J667" s="31">
        <f>IF($A667="","",MAX(IF($D667="Evet",ROUND($C667*tba_oranBesPuan,2),0),IF($E667="Evet",ROUND($C667*tba_oranIlave,2),0),IF($F667="Evet",ROUND($C667*tba_oranKadinGenc,2),0),IF($G667="Evet",ROUND($C667*tba_isverenOran,2),0)))</f>
        <v/>
      </c>
      <c r="K667" s="31">
        <f>IF($A667="","",IF($H667="TBA-001",IF($D667="Evet",ROUND($C667*tba_oranBesPuan,2),0),IF($H667="TBA-002",IF($E667="Evet",ROUND($C667*tba_oranIlave,2),0),IF($H667="TBA-004",IF($F667="Evet",ROUND($C667*tba_oranKadinGenc,2),0),IF($H667="TBA-ENG",IF($G667="Evet",ROUND($C667*tba_isverenOran,2),0),0)))))</f>
        <v/>
      </c>
      <c r="L667" s="31">
        <f>IF($A667="","",MAX(0,$J667-$K667))</f>
        <v/>
      </c>
    </row>
    <row r="668">
      <c r="I668" s="31">
        <f>IF($A668="","",IF($J668=0,"YOK",IF(AND($E668="Evet",ROUND($C668*tba_oranIlave,2)=$J668),"TBA-002",IF(AND($D668="Evet",ROUND($C668*tba_oranBesPuan,2)=$J668),"TBA-001",IF(AND($F668="Evet",ROUND($C668*tba_oranKadinGenc,2)=$J668),"TBA-004","TBA-ENG")))))</f>
        <v/>
      </c>
      <c r="J668" s="31">
        <f>IF($A668="","",MAX(IF($D668="Evet",ROUND($C668*tba_oranBesPuan,2),0),IF($E668="Evet",ROUND($C668*tba_oranIlave,2),0),IF($F668="Evet",ROUND($C668*tba_oranKadinGenc,2),0),IF($G668="Evet",ROUND($C668*tba_isverenOran,2),0)))</f>
        <v/>
      </c>
      <c r="K668" s="31">
        <f>IF($A668="","",IF($H668="TBA-001",IF($D668="Evet",ROUND($C668*tba_oranBesPuan,2),0),IF($H668="TBA-002",IF($E668="Evet",ROUND($C668*tba_oranIlave,2),0),IF($H668="TBA-004",IF($F668="Evet",ROUND($C668*tba_oranKadinGenc,2),0),IF($H668="TBA-ENG",IF($G668="Evet",ROUND($C668*tba_isverenOran,2),0),0)))))</f>
        <v/>
      </c>
      <c r="L668" s="31">
        <f>IF($A668="","",MAX(0,$J668-$K668))</f>
        <v/>
      </c>
    </row>
    <row r="669">
      <c r="I669" s="31">
        <f>IF($A669="","",IF($J669=0,"YOK",IF(AND($E669="Evet",ROUND($C669*tba_oranIlave,2)=$J669),"TBA-002",IF(AND($D669="Evet",ROUND($C669*tba_oranBesPuan,2)=$J669),"TBA-001",IF(AND($F669="Evet",ROUND($C669*tba_oranKadinGenc,2)=$J669),"TBA-004","TBA-ENG")))))</f>
        <v/>
      </c>
      <c r="J669" s="31">
        <f>IF($A669="","",MAX(IF($D669="Evet",ROUND($C669*tba_oranBesPuan,2),0),IF($E669="Evet",ROUND($C669*tba_oranIlave,2),0),IF($F669="Evet",ROUND($C669*tba_oranKadinGenc,2),0),IF($G669="Evet",ROUND($C669*tba_isverenOran,2),0)))</f>
        <v/>
      </c>
      <c r="K669" s="31">
        <f>IF($A669="","",IF($H669="TBA-001",IF($D669="Evet",ROUND($C669*tba_oranBesPuan,2),0),IF($H669="TBA-002",IF($E669="Evet",ROUND($C669*tba_oranIlave,2),0),IF($H669="TBA-004",IF($F669="Evet",ROUND($C669*tba_oranKadinGenc,2),0),IF($H669="TBA-ENG",IF($G669="Evet",ROUND($C669*tba_isverenOran,2),0),0)))))</f>
        <v/>
      </c>
      <c r="L669" s="31">
        <f>IF($A669="","",MAX(0,$J669-$K669))</f>
        <v/>
      </c>
    </row>
    <row r="670">
      <c r="I670" s="31">
        <f>IF($A670="","",IF($J670=0,"YOK",IF(AND($E670="Evet",ROUND($C670*tba_oranIlave,2)=$J670),"TBA-002",IF(AND($D670="Evet",ROUND($C670*tba_oranBesPuan,2)=$J670),"TBA-001",IF(AND($F670="Evet",ROUND($C670*tba_oranKadinGenc,2)=$J670),"TBA-004","TBA-ENG")))))</f>
        <v/>
      </c>
      <c r="J670" s="31">
        <f>IF($A670="","",MAX(IF($D670="Evet",ROUND($C670*tba_oranBesPuan,2),0),IF($E670="Evet",ROUND($C670*tba_oranIlave,2),0),IF($F670="Evet",ROUND($C670*tba_oranKadinGenc,2),0),IF($G670="Evet",ROUND($C670*tba_isverenOran,2),0)))</f>
        <v/>
      </c>
      <c r="K670" s="31">
        <f>IF($A670="","",IF($H670="TBA-001",IF($D670="Evet",ROUND($C670*tba_oranBesPuan,2),0),IF($H670="TBA-002",IF($E670="Evet",ROUND($C670*tba_oranIlave,2),0),IF($H670="TBA-004",IF($F670="Evet",ROUND($C670*tba_oranKadinGenc,2),0),IF($H670="TBA-ENG",IF($G670="Evet",ROUND($C670*tba_isverenOran,2),0),0)))))</f>
        <v/>
      </c>
      <c r="L670" s="31">
        <f>IF($A670="","",MAX(0,$J670-$K670))</f>
        <v/>
      </c>
    </row>
    <row r="671">
      <c r="I671" s="31">
        <f>IF($A671="","",IF($J671=0,"YOK",IF(AND($E671="Evet",ROUND($C671*tba_oranIlave,2)=$J671),"TBA-002",IF(AND($D671="Evet",ROUND($C671*tba_oranBesPuan,2)=$J671),"TBA-001",IF(AND($F671="Evet",ROUND($C671*tba_oranKadinGenc,2)=$J671),"TBA-004","TBA-ENG")))))</f>
        <v/>
      </c>
      <c r="J671" s="31">
        <f>IF($A671="","",MAX(IF($D671="Evet",ROUND($C671*tba_oranBesPuan,2),0),IF($E671="Evet",ROUND($C671*tba_oranIlave,2),0),IF($F671="Evet",ROUND($C671*tba_oranKadinGenc,2),0),IF($G671="Evet",ROUND($C671*tba_isverenOran,2),0)))</f>
        <v/>
      </c>
      <c r="K671" s="31">
        <f>IF($A671="","",IF($H671="TBA-001",IF($D671="Evet",ROUND($C671*tba_oranBesPuan,2),0),IF($H671="TBA-002",IF($E671="Evet",ROUND($C671*tba_oranIlave,2),0),IF($H671="TBA-004",IF($F671="Evet",ROUND($C671*tba_oranKadinGenc,2),0),IF($H671="TBA-ENG",IF($G671="Evet",ROUND($C671*tba_isverenOran,2),0),0)))))</f>
        <v/>
      </c>
      <c r="L671" s="31">
        <f>IF($A671="","",MAX(0,$J671-$K671))</f>
        <v/>
      </c>
    </row>
    <row r="672">
      <c r="I672" s="31">
        <f>IF($A672="","",IF($J672=0,"YOK",IF(AND($E672="Evet",ROUND($C672*tba_oranIlave,2)=$J672),"TBA-002",IF(AND($D672="Evet",ROUND($C672*tba_oranBesPuan,2)=$J672),"TBA-001",IF(AND($F672="Evet",ROUND($C672*tba_oranKadinGenc,2)=$J672),"TBA-004","TBA-ENG")))))</f>
        <v/>
      </c>
      <c r="J672" s="31">
        <f>IF($A672="","",MAX(IF($D672="Evet",ROUND($C672*tba_oranBesPuan,2),0),IF($E672="Evet",ROUND($C672*tba_oranIlave,2),0),IF($F672="Evet",ROUND($C672*tba_oranKadinGenc,2),0),IF($G672="Evet",ROUND($C672*tba_isverenOran,2),0)))</f>
        <v/>
      </c>
      <c r="K672" s="31">
        <f>IF($A672="","",IF($H672="TBA-001",IF($D672="Evet",ROUND($C672*tba_oranBesPuan,2),0),IF($H672="TBA-002",IF($E672="Evet",ROUND($C672*tba_oranIlave,2),0),IF($H672="TBA-004",IF($F672="Evet",ROUND($C672*tba_oranKadinGenc,2),0),IF($H672="TBA-ENG",IF($G672="Evet",ROUND($C672*tba_isverenOran,2),0),0)))))</f>
        <v/>
      </c>
      <c r="L672" s="31">
        <f>IF($A672="","",MAX(0,$J672-$K672))</f>
        <v/>
      </c>
    </row>
    <row r="673">
      <c r="I673" s="31">
        <f>IF($A673="","",IF($J673=0,"YOK",IF(AND($E673="Evet",ROUND($C673*tba_oranIlave,2)=$J673),"TBA-002",IF(AND($D673="Evet",ROUND($C673*tba_oranBesPuan,2)=$J673),"TBA-001",IF(AND($F673="Evet",ROUND($C673*tba_oranKadinGenc,2)=$J673),"TBA-004","TBA-ENG")))))</f>
        <v/>
      </c>
      <c r="J673" s="31">
        <f>IF($A673="","",MAX(IF($D673="Evet",ROUND($C673*tba_oranBesPuan,2),0),IF($E673="Evet",ROUND($C673*tba_oranIlave,2),0),IF($F673="Evet",ROUND($C673*tba_oranKadinGenc,2),0),IF($G673="Evet",ROUND($C673*tba_isverenOran,2),0)))</f>
        <v/>
      </c>
      <c r="K673" s="31">
        <f>IF($A673="","",IF($H673="TBA-001",IF($D673="Evet",ROUND($C673*tba_oranBesPuan,2),0),IF($H673="TBA-002",IF($E673="Evet",ROUND($C673*tba_oranIlave,2),0),IF($H673="TBA-004",IF($F673="Evet",ROUND($C673*tba_oranKadinGenc,2),0),IF($H673="TBA-ENG",IF($G673="Evet",ROUND($C673*tba_isverenOran,2),0),0)))))</f>
        <v/>
      </c>
      <c r="L673" s="31">
        <f>IF($A673="","",MAX(0,$J673-$K673))</f>
        <v/>
      </c>
    </row>
    <row r="674">
      <c r="I674" s="31">
        <f>IF($A674="","",IF($J674=0,"YOK",IF(AND($E674="Evet",ROUND($C674*tba_oranIlave,2)=$J674),"TBA-002",IF(AND($D674="Evet",ROUND($C674*tba_oranBesPuan,2)=$J674),"TBA-001",IF(AND($F674="Evet",ROUND($C674*tba_oranKadinGenc,2)=$J674),"TBA-004","TBA-ENG")))))</f>
        <v/>
      </c>
      <c r="J674" s="31">
        <f>IF($A674="","",MAX(IF($D674="Evet",ROUND($C674*tba_oranBesPuan,2),0),IF($E674="Evet",ROUND($C674*tba_oranIlave,2),0),IF($F674="Evet",ROUND($C674*tba_oranKadinGenc,2),0),IF($G674="Evet",ROUND($C674*tba_isverenOran,2),0)))</f>
        <v/>
      </c>
      <c r="K674" s="31">
        <f>IF($A674="","",IF($H674="TBA-001",IF($D674="Evet",ROUND($C674*tba_oranBesPuan,2),0),IF($H674="TBA-002",IF($E674="Evet",ROUND($C674*tba_oranIlave,2),0),IF($H674="TBA-004",IF($F674="Evet",ROUND($C674*tba_oranKadinGenc,2),0),IF($H674="TBA-ENG",IF($G674="Evet",ROUND($C674*tba_isverenOran,2),0),0)))))</f>
        <v/>
      </c>
      <c r="L674" s="31">
        <f>IF($A674="","",MAX(0,$J674-$K674))</f>
        <v/>
      </c>
    </row>
    <row r="675">
      <c r="I675" s="31">
        <f>IF($A675="","",IF($J675=0,"YOK",IF(AND($E675="Evet",ROUND($C675*tba_oranIlave,2)=$J675),"TBA-002",IF(AND($D675="Evet",ROUND($C675*tba_oranBesPuan,2)=$J675),"TBA-001",IF(AND($F675="Evet",ROUND($C675*tba_oranKadinGenc,2)=$J675),"TBA-004","TBA-ENG")))))</f>
        <v/>
      </c>
      <c r="J675" s="31">
        <f>IF($A675="","",MAX(IF($D675="Evet",ROUND($C675*tba_oranBesPuan,2),0),IF($E675="Evet",ROUND($C675*tba_oranIlave,2),0),IF($F675="Evet",ROUND($C675*tba_oranKadinGenc,2),0),IF($G675="Evet",ROUND($C675*tba_isverenOran,2),0)))</f>
        <v/>
      </c>
      <c r="K675" s="31">
        <f>IF($A675="","",IF($H675="TBA-001",IF($D675="Evet",ROUND($C675*tba_oranBesPuan,2),0),IF($H675="TBA-002",IF($E675="Evet",ROUND($C675*tba_oranIlave,2),0),IF($H675="TBA-004",IF($F675="Evet",ROUND($C675*tba_oranKadinGenc,2),0),IF($H675="TBA-ENG",IF($G675="Evet",ROUND($C675*tba_isverenOran,2),0),0)))))</f>
        <v/>
      </c>
      <c r="L675" s="31">
        <f>IF($A675="","",MAX(0,$J675-$K675))</f>
        <v/>
      </c>
    </row>
    <row r="676">
      <c r="I676" s="31">
        <f>IF($A676="","",IF($J676=0,"YOK",IF(AND($E676="Evet",ROUND($C676*tba_oranIlave,2)=$J676),"TBA-002",IF(AND($D676="Evet",ROUND($C676*tba_oranBesPuan,2)=$J676),"TBA-001",IF(AND($F676="Evet",ROUND($C676*tba_oranKadinGenc,2)=$J676),"TBA-004","TBA-ENG")))))</f>
        <v/>
      </c>
      <c r="J676" s="31">
        <f>IF($A676="","",MAX(IF($D676="Evet",ROUND($C676*tba_oranBesPuan,2),0),IF($E676="Evet",ROUND($C676*tba_oranIlave,2),0),IF($F676="Evet",ROUND($C676*tba_oranKadinGenc,2),0),IF($G676="Evet",ROUND($C676*tba_isverenOran,2),0)))</f>
        <v/>
      </c>
      <c r="K676" s="31">
        <f>IF($A676="","",IF($H676="TBA-001",IF($D676="Evet",ROUND($C676*tba_oranBesPuan,2),0),IF($H676="TBA-002",IF($E676="Evet",ROUND($C676*tba_oranIlave,2),0),IF($H676="TBA-004",IF($F676="Evet",ROUND($C676*tba_oranKadinGenc,2),0),IF($H676="TBA-ENG",IF($G676="Evet",ROUND($C676*tba_isverenOran,2),0),0)))))</f>
        <v/>
      </c>
      <c r="L676" s="31">
        <f>IF($A676="","",MAX(0,$J676-$K676))</f>
        <v/>
      </c>
    </row>
    <row r="677">
      <c r="I677" s="31">
        <f>IF($A677="","",IF($J677=0,"YOK",IF(AND($E677="Evet",ROUND($C677*tba_oranIlave,2)=$J677),"TBA-002",IF(AND($D677="Evet",ROUND($C677*tba_oranBesPuan,2)=$J677),"TBA-001",IF(AND($F677="Evet",ROUND($C677*tba_oranKadinGenc,2)=$J677),"TBA-004","TBA-ENG")))))</f>
        <v/>
      </c>
      <c r="J677" s="31">
        <f>IF($A677="","",MAX(IF($D677="Evet",ROUND($C677*tba_oranBesPuan,2),0),IF($E677="Evet",ROUND($C677*tba_oranIlave,2),0),IF($F677="Evet",ROUND($C677*tba_oranKadinGenc,2),0),IF($G677="Evet",ROUND($C677*tba_isverenOran,2),0)))</f>
        <v/>
      </c>
      <c r="K677" s="31">
        <f>IF($A677="","",IF($H677="TBA-001",IF($D677="Evet",ROUND($C677*tba_oranBesPuan,2),0),IF($H677="TBA-002",IF($E677="Evet",ROUND($C677*tba_oranIlave,2),0),IF($H677="TBA-004",IF($F677="Evet",ROUND($C677*tba_oranKadinGenc,2),0),IF($H677="TBA-ENG",IF($G677="Evet",ROUND($C677*tba_isverenOran,2),0),0)))))</f>
        <v/>
      </c>
      <c r="L677" s="31">
        <f>IF($A677="","",MAX(0,$J677-$K677))</f>
        <v/>
      </c>
    </row>
    <row r="678">
      <c r="I678" s="31">
        <f>IF($A678="","",IF($J678=0,"YOK",IF(AND($E678="Evet",ROUND($C678*tba_oranIlave,2)=$J678),"TBA-002",IF(AND($D678="Evet",ROUND($C678*tba_oranBesPuan,2)=$J678),"TBA-001",IF(AND($F678="Evet",ROUND($C678*tba_oranKadinGenc,2)=$J678),"TBA-004","TBA-ENG")))))</f>
        <v/>
      </c>
      <c r="J678" s="31">
        <f>IF($A678="","",MAX(IF($D678="Evet",ROUND($C678*tba_oranBesPuan,2),0),IF($E678="Evet",ROUND($C678*tba_oranIlave,2),0),IF($F678="Evet",ROUND($C678*tba_oranKadinGenc,2),0),IF($G678="Evet",ROUND($C678*tba_isverenOran,2),0)))</f>
        <v/>
      </c>
      <c r="K678" s="31">
        <f>IF($A678="","",IF($H678="TBA-001",IF($D678="Evet",ROUND($C678*tba_oranBesPuan,2),0),IF($H678="TBA-002",IF($E678="Evet",ROUND($C678*tba_oranIlave,2),0),IF($H678="TBA-004",IF($F678="Evet",ROUND($C678*tba_oranKadinGenc,2),0),IF($H678="TBA-ENG",IF($G678="Evet",ROUND($C678*tba_isverenOran,2),0),0)))))</f>
        <v/>
      </c>
      <c r="L678" s="31">
        <f>IF($A678="","",MAX(0,$J678-$K678))</f>
        <v/>
      </c>
    </row>
    <row r="679">
      <c r="I679" s="31">
        <f>IF($A679="","",IF($J679=0,"YOK",IF(AND($E679="Evet",ROUND($C679*tba_oranIlave,2)=$J679),"TBA-002",IF(AND($D679="Evet",ROUND($C679*tba_oranBesPuan,2)=$J679),"TBA-001",IF(AND($F679="Evet",ROUND($C679*tba_oranKadinGenc,2)=$J679),"TBA-004","TBA-ENG")))))</f>
        <v/>
      </c>
      <c r="J679" s="31">
        <f>IF($A679="","",MAX(IF($D679="Evet",ROUND($C679*tba_oranBesPuan,2),0),IF($E679="Evet",ROUND($C679*tba_oranIlave,2),0),IF($F679="Evet",ROUND($C679*tba_oranKadinGenc,2),0),IF($G679="Evet",ROUND($C679*tba_isverenOran,2),0)))</f>
        <v/>
      </c>
      <c r="K679" s="31">
        <f>IF($A679="","",IF($H679="TBA-001",IF($D679="Evet",ROUND($C679*tba_oranBesPuan,2),0),IF($H679="TBA-002",IF($E679="Evet",ROUND($C679*tba_oranIlave,2),0),IF($H679="TBA-004",IF($F679="Evet",ROUND($C679*tba_oranKadinGenc,2),0),IF($H679="TBA-ENG",IF($G679="Evet",ROUND($C679*tba_isverenOran,2),0),0)))))</f>
        <v/>
      </c>
      <c r="L679" s="31">
        <f>IF($A679="","",MAX(0,$J679-$K679))</f>
        <v/>
      </c>
    </row>
    <row r="680">
      <c r="I680" s="31">
        <f>IF($A680="","",IF($J680=0,"YOK",IF(AND($E680="Evet",ROUND($C680*tba_oranIlave,2)=$J680),"TBA-002",IF(AND($D680="Evet",ROUND($C680*tba_oranBesPuan,2)=$J680),"TBA-001",IF(AND($F680="Evet",ROUND($C680*tba_oranKadinGenc,2)=$J680),"TBA-004","TBA-ENG")))))</f>
        <v/>
      </c>
      <c r="J680" s="31">
        <f>IF($A680="","",MAX(IF($D680="Evet",ROUND($C680*tba_oranBesPuan,2),0),IF($E680="Evet",ROUND($C680*tba_oranIlave,2),0),IF($F680="Evet",ROUND($C680*tba_oranKadinGenc,2),0),IF($G680="Evet",ROUND($C680*tba_isverenOran,2),0)))</f>
        <v/>
      </c>
      <c r="K680" s="31">
        <f>IF($A680="","",IF($H680="TBA-001",IF($D680="Evet",ROUND($C680*tba_oranBesPuan,2),0),IF($H680="TBA-002",IF($E680="Evet",ROUND($C680*tba_oranIlave,2),0),IF($H680="TBA-004",IF($F680="Evet",ROUND($C680*tba_oranKadinGenc,2),0),IF($H680="TBA-ENG",IF($G680="Evet",ROUND($C680*tba_isverenOran,2),0),0)))))</f>
        <v/>
      </c>
      <c r="L680" s="31">
        <f>IF($A680="","",MAX(0,$J680-$K680))</f>
        <v/>
      </c>
    </row>
    <row r="681">
      <c r="I681" s="31">
        <f>IF($A681="","",IF($J681=0,"YOK",IF(AND($E681="Evet",ROUND($C681*tba_oranIlave,2)=$J681),"TBA-002",IF(AND($D681="Evet",ROUND($C681*tba_oranBesPuan,2)=$J681),"TBA-001",IF(AND($F681="Evet",ROUND($C681*tba_oranKadinGenc,2)=$J681),"TBA-004","TBA-ENG")))))</f>
        <v/>
      </c>
      <c r="J681" s="31">
        <f>IF($A681="","",MAX(IF($D681="Evet",ROUND($C681*tba_oranBesPuan,2),0),IF($E681="Evet",ROUND($C681*tba_oranIlave,2),0),IF($F681="Evet",ROUND($C681*tba_oranKadinGenc,2),0),IF($G681="Evet",ROUND($C681*tba_isverenOran,2),0)))</f>
        <v/>
      </c>
      <c r="K681" s="31">
        <f>IF($A681="","",IF($H681="TBA-001",IF($D681="Evet",ROUND($C681*tba_oranBesPuan,2),0),IF($H681="TBA-002",IF($E681="Evet",ROUND($C681*tba_oranIlave,2),0),IF($H681="TBA-004",IF($F681="Evet",ROUND($C681*tba_oranKadinGenc,2),0),IF($H681="TBA-ENG",IF($G681="Evet",ROUND($C681*tba_isverenOran,2),0),0)))))</f>
        <v/>
      </c>
      <c r="L681" s="31">
        <f>IF($A681="","",MAX(0,$J681-$K681))</f>
        <v/>
      </c>
    </row>
    <row r="682">
      <c r="I682" s="31">
        <f>IF($A682="","",IF($J682=0,"YOK",IF(AND($E682="Evet",ROUND($C682*tba_oranIlave,2)=$J682),"TBA-002",IF(AND($D682="Evet",ROUND($C682*tba_oranBesPuan,2)=$J682),"TBA-001",IF(AND($F682="Evet",ROUND($C682*tba_oranKadinGenc,2)=$J682),"TBA-004","TBA-ENG")))))</f>
        <v/>
      </c>
      <c r="J682" s="31">
        <f>IF($A682="","",MAX(IF($D682="Evet",ROUND($C682*tba_oranBesPuan,2),0),IF($E682="Evet",ROUND($C682*tba_oranIlave,2),0),IF($F682="Evet",ROUND($C682*tba_oranKadinGenc,2),0),IF($G682="Evet",ROUND($C682*tba_isverenOran,2),0)))</f>
        <v/>
      </c>
      <c r="K682" s="31">
        <f>IF($A682="","",IF($H682="TBA-001",IF($D682="Evet",ROUND($C682*tba_oranBesPuan,2),0),IF($H682="TBA-002",IF($E682="Evet",ROUND($C682*tba_oranIlave,2),0),IF($H682="TBA-004",IF($F682="Evet",ROUND($C682*tba_oranKadinGenc,2),0),IF($H682="TBA-ENG",IF($G682="Evet",ROUND($C682*tba_isverenOran,2),0),0)))))</f>
        <v/>
      </c>
      <c r="L682" s="31">
        <f>IF($A682="","",MAX(0,$J682-$K682))</f>
        <v/>
      </c>
    </row>
    <row r="683">
      <c r="I683" s="31">
        <f>IF($A683="","",IF($J683=0,"YOK",IF(AND($E683="Evet",ROUND($C683*tba_oranIlave,2)=$J683),"TBA-002",IF(AND($D683="Evet",ROUND($C683*tba_oranBesPuan,2)=$J683),"TBA-001",IF(AND($F683="Evet",ROUND($C683*tba_oranKadinGenc,2)=$J683),"TBA-004","TBA-ENG")))))</f>
        <v/>
      </c>
      <c r="J683" s="31">
        <f>IF($A683="","",MAX(IF($D683="Evet",ROUND($C683*tba_oranBesPuan,2),0),IF($E683="Evet",ROUND($C683*tba_oranIlave,2),0),IF($F683="Evet",ROUND($C683*tba_oranKadinGenc,2),0),IF($G683="Evet",ROUND($C683*tba_isverenOran,2),0)))</f>
        <v/>
      </c>
      <c r="K683" s="31">
        <f>IF($A683="","",IF($H683="TBA-001",IF($D683="Evet",ROUND($C683*tba_oranBesPuan,2),0),IF($H683="TBA-002",IF($E683="Evet",ROUND($C683*tba_oranIlave,2),0),IF($H683="TBA-004",IF($F683="Evet",ROUND($C683*tba_oranKadinGenc,2),0),IF($H683="TBA-ENG",IF($G683="Evet",ROUND($C683*tba_isverenOran,2),0),0)))))</f>
        <v/>
      </c>
      <c r="L683" s="31">
        <f>IF($A683="","",MAX(0,$J683-$K683))</f>
        <v/>
      </c>
    </row>
    <row r="684">
      <c r="I684" s="31">
        <f>IF($A684="","",IF($J684=0,"YOK",IF(AND($E684="Evet",ROUND($C684*tba_oranIlave,2)=$J684),"TBA-002",IF(AND($D684="Evet",ROUND($C684*tba_oranBesPuan,2)=$J684),"TBA-001",IF(AND($F684="Evet",ROUND($C684*tba_oranKadinGenc,2)=$J684),"TBA-004","TBA-ENG")))))</f>
        <v/>
      </c>
      <c r="J684" s="31">
        <f>IF($A684="","",MAX(IF($D684="Evet",ROUND($C684*tba_oranBesPuan,2),0),IF($E684="Evet",ROUND($C684*tba_oranIlave,2),0),IF($F684="Evet",ROUND($C684*tba_oranKadinGenc,2),0),IF($G684="Evet",ROUND($C684*tba_isverenOran,2),0)))</f>
        <v/>
      </c>
      <c r="K684" s="31">
        <f>IF($A684="","",IF($H684="TBA-001",IF($D684="Evet",ROUND($C684*tba_oranBesPuan,2),0),IF($H684="TBA-002",IF($E684="Evet",ROUND($C684*tba_oranIlave,2),0),IF($H684="TBA-004",IF($F684="Evet",ROUND($C684*tba_oranKadinGenc,2),0),IF($H684="TBA-ENG",IF($G684="Evet",ROUND($C684*tba_isverenOran,2),0),0)))))</f>
        <v/>
      </c>
      <c r="L684" s="31">
        <f>IF($A684="","",MAX(0,$J684-$K684))</f>
        <v/>
      </c>
    </row>
    <row r="685">
      <c r="I685" s="31">
        <f>IF($A685="","",IF($J685=0,"YOK",IF(AND($E685="Evet",ROUND($C685*tba_oranIlave,2)=$J685),"TBA-002",IF(AND($D685="Evet",ROUND($C685*tba_oranBesPuan,2)=$J685),"TBA-001",IF(AND($F685="Evet",ROUND($C685*tba_oranKadinGenc,2)=$J685),"TBA-004","TBA-ENG")))))</f>
        <v/>
      </c>
      <c r="J685" s="31">
        <f>IF($A685="","",MAX(IF($D685="Evet",ROUND($C685*tba_oranBesPuan,2),0),IF($E685="Evet",ROUND($C685*tba_oranIlave,2),0),IF($F685="Evet",ROUND($C685*tba_oranKadinGenc,2),0),IF($G685="Evet",ROUND($C685*tba_isverenOran,2),0)))</f>
        <v/>
      </c>
      <c r="K685" s="31">
        <f>IF($A685="","",IF($H685="TBA-001",IF($D685="Evet",ROUND($C685*tba_oranBesPuan,2),0),IF($H685="TBA-002",IF($E685="Evet",ROUND($C685*tba_oranIlave,2),0),IF($H685="TBA-004",IF($F685="Evet",ROUND($C685*tba_oranKadinGenc,2),0),IF($H685="TBA-ENG",IF($G685="Evet",ROUND($C685*tba_isverenOran,2),0),0)))))</f>
        <v/>
      </c>
      <c r="L685" s="31">
        <f>IF($A685="","",MAX(0,$J685-$K685))</f>
        <v/>
      </c>
    </row>
    <row r="686">
      <c r="I686" s="31">
        <f>IF($A686="","",IF($J686=0,"YOK",IF(AND($E686="Evet",ROUND($C686*tba_oranIlave,2)=$J686),"TBA-002",IF(AND($D686="Evet",ROUND($C686*tba_oranBesPuan,2)=$J686),"TBA-001",IF(AND($F686="Evet",ROUND($C686*tba_oranKadinGenc,2)=$J686),"TBA-004","TBA-ENG")))))</f>
        <v/>
      </c>
      <c r="J686" s="31">
        <f>IF($A686="","",MAX(IF($D686="Evet",ROUND($C686*tba_oranBesPuan,2),0),IF($E686="Evet",ROUND($C686*tba_oranIlave,2),0),IF($F686="Evet",ROUND($C686*tba_oranKadinGenc,2),0),IF($G686="Evet",ROUND($C686*tba_isverenOran,2),0)))</f>
        <v/>
      </c>
      <c r="K686" s="31">
        <f>IF($A686="","",IF($H686="TBA-001",IF($D686="Evet",ROUND($C686*tba_oranBesPuan,2),0),IF($H686="TBA-002",IF($E686="Evet",ROUND($C686*tba_oranIlave,2),0),IF($H686="TBA-004",IF($F686="Evet",ROUND($C686*tba_oranKadinGenc,2),0),IF($H686="TBA-ENG",IF($G686="Evet",ROUND($C686*tba_isverenOran,2),0),0)))))</f>
        <v/>
      </c>
      <c r="L686" s="31">
        <f>IF($A686="","",MAX(0,$J686-$K686))</f>
        <v/>
      </c>
    </row>
    <row r="687">
      <c r="I687" s="31">
        <f>IF($A687="","",IF($J687=0,"YOK",IF(AND($E687="Evet",ROUND($C687*tba_oranIlave,2)=$J687),"TBA-002",IF(AND($D687="Evet",ROUND($C687*tba_oranBesPuan,2)=$J687),"TBA-001",IF(AND($F687="Evet",ROUND($C687*tba_oranKadinGenc,2)=$J687),"TBA-004","TBA-ENG")))))</f>
        <v/>
      </c>
      <c r="J687" s="31">
        <f>IF($A687="","",MAX(IF($D687="Evet",ROUND($C687*tba_oranBesPuan,2),0),IF($E687="Evet",ROUND($C687*tba_oranIlave,2),0),IF($F687="Evet",ROUND($C687*tba_oranKadinGenc,2),0),IF($G687="Evet",ROUND($C687*tba_isverenOran,2),0)))</f>
        <v/>
      </c>
      <c r="K687" s="31">
        <f>IF($A687="","",IF($H687="TBA-001",IF($D687="Evet",ROUND($C687*tba_oranBesPuan,2),0),IF($H687="TBA-002",IF($E687="Evet",ROUND($C687*tba_oranIlave,2),0),IF($H687="TBA-004",IF($F687="Evet",ROUND($C687*tba_oranKadinGenc,2),0),IF($H687="TBA-ENG",IF($G687="Evet",ROUND($C687*tba_isverenOran,2),0),0)))))</f>
        <v/>
      </c>
      <c r="L687" s="31">
        <f>IF($A687="","",MAX(0,$J687-$K687))</f>
        <v/>
      </c>
    </row>
    <row r="688">
      <c r="I688" s="31">
        <f>IF($A688="","",IF($J688=0,"YOK",IF(AND($E688="Evet",ROUND($C688*tba_oranIlave,2)=$J688),"TBA-002",IF(AND($D688="Evet",ROUND($C688*tba_oranBesPuan,2)=$J688),"TBA-001",IF(AND($F688="Evet",ROUND($C688*tba_oranKadinGenc,2)=$J688),"TBA-004","TBA-ENG")))))</f>
        <v/>
      </c>
      <c r="J688" s="31">
        <f>IF($A688="","",MAX(IF($D688="Evet",ROUND($C688*tba_oranBesPuan,2),0),IF($E688="Evet",ROUND($C688*tba_oranIlave,2),0),IF($F688="Evet",ROUND($C688*tba_oranKadinGenc,2),0),IF($G688="Evet",ROUND($C688*tba_isverenOran,2),0)))</f>
        <v/>
      </c>
      <c r="K688" s="31">
        <f>IF($A688="","",IF($H688="TBA-001",IF($D688="Evet",ROUND($C688*tba_oranBesPuan,2),0),IF($H688="TBA-002",IF($E688="Evet",ROUND($C688*tba_oranIlave,2),0),IF($H688="TBA-004",IF($F688="Evet",ROUND($C688*tba_oranKadinGenc,2),0),IF($H688="TBA-ENG",IF($G688="Evet",ROUND($C688*tba_isverenOran,2),0),0)))))</f>
        <v/>
      </c>
      <c r="L688" s="31">
        <f>IF($A688="","",MAX(0,$J688-$K688))</f>
        <v/>
      </c>
    </row>
    <row r="689">
      <c r="I689" s="31">
        <f>IF($A689="","",IF($J689=0,"YOK",IF(AND($E689="Evet",ROUND($C689*tba_oranIlave,2)=$J689),"TBA-002",IF(AND($D689="Evet",ROUND($C689*tba_oranBesPuan,2)=$J689),"TBA-001",IF(AND($F689="Evet",ROUND($C689*tba_oranKadinGenc,2)=$J689),"TBA-004","TBA-ENG")))))</f>
        <v/>
      </c>
      <c r="J689" s="31">
        <f>IF($A689="","",MAX(IF($D689="Evet",ROUND($C689*tba_oranBesPuan,2),0),IF($E689="Evet",ROUND($C689*tba_oranIlave,2),0),IF($F689="Evet",ROUND($C689*tba_oranKadinGenc,2),0),IF($G689="Evet",ROUND($C689*tba_isverenOran,2),0)))</f>
        <v/>
      </c>
      <c r="K689" s="31">
        <f>IF($A689="","",IF($H689="TBA-001",IF($D689="Evet",ROUND($C689*tba_oranBesPuan,2),0),IF($H689="TBA-002",IF($E689="Evet",ROUND($C689*tba_oranIlave,2),0),IF($H689="TBA-004",IF($F689="Evet",ROUND($C689*tba_oranKadinGenc,2),0),IF($H689="TBA-ENG",IF($G689="Evet",ROUND($C689*tba_isverenOran,2),0),0)))))</f>
        <v/>
      </c>
      <c r="L689" s="31">
        <f>IF($A689="","",MAX(0,$J689-$K689))</f>
        <v/>
      </c>
    </row>
    <row r="690">
      <c r="I690" s="31">
        <f>IF($A690="","",IF($J690=0,"YOK",IF(AND($E690="Evet",ROUND($C690*tba_oranIlave,2)=$J690),"TBA-002",IF(AND($D690="Evet",ROUND($C690*tba_oranBesPuan,2)=$J690),"TBA-001",IF(AND($F690="Evet",ROUND($C690*tba_oranKadinGenc,2)=$J690),"TBA-004","TBA-ENG")))))</f>
        <v/>
      </c>
      <c r="J690" s="31">
        <f>IF($A690="","",MAX(IF($D690="Evet",ROUND($C690*tba_oranBesPuan,2),0),IF($E690="Evet",ROUND($C690*tba_oranIlave,2),0),IF($F690="Evet",ROUND($C690*tba_oranKadinGenc,2),0),IF($G690="Evet",ROUND($C690*tba_isverenOran,2),0)))</f>
        <v/>
      </c>
      <c r="K690" s="31">
        <f>IF($A690="","",IF($H690="TBA-001",IF($D690="Evet",ROUND($C690*tba_oranBesPuan,2),0),IF($H690="TBA-002",IF($E690="Evet",ROUND($C690*tba_oranIlave,2),0),IF($H690="TBA-004",IF($F690="Evet",ROUND($C690*tba_oranKadinGenc,2),0),IF($H690="TBA-ENG",IF($G690="Evet",ROUND($C690*tba_isverenOran,2),0),0)))))</f>
        <v/>
      </c>
      <c r="L690" s="31">
        <f>IF($A690="","",MAX(0,$J690-$K690))</f>
        <v/>
      </c>
    </row>
    <row r="691">
      <c r="I691" s="31">
        <f>IF($A691="","",IF($J691=0,"YOK",IF(AND($E691="Evet",ROUND($C691*tba_oranIlave,2)=$J691),"TBA-002",IF(AND($D691="Evet",ROUND($C691*tba_oranBesPuan,2)=$J691),"TBA-001",IF(AND($F691="Evet",ROUND($C691*tba_oranKadinGenc,2)=$J691),"TBA-004","TBA-ENG")))))</f>
        <v/>
      </c>
      <c r="J691" s="31">
        <f>IF($A691="","",MAX(IF($D691="Evet",ROUND($C691*tba_oranBesPuan,2),0),IF($E691="Evet",ROUND($C691*tba_oranIlave,2),0),IF($F691="Evet",ROUND($C691*tba_oranKadinGenc,2),0),IF($G691="Evet",ROUND($C691*tba_isverenOran,2),0)))</f>
        <v/>
      </c>
      <c r="K691" s="31">
        <f>IF($A691="","",IF($H691="TBA-001",IF($D691="Evet",ROUND($C691*tba_oranBesPuan,2),0),IF($H691="TBA-002",IF($E691="Evet",ROUND($C691*tba_oranIlave,2),0),IF($H691="TBA-004",IF($F691="Evet",ROUND($C691*tba_oranKadinGenc,2),0),IF($H691="TBA-ENG",IF($G691="Evet",ROUND($C691*tba_isverenOran,2),0),0)))))</f>
        <v/>
      </c>
      <c r="L691" s="31">
        <f>IF($A691="","",MAX(0,$J691-$K691))</f>
        <v/>
      </c>
    </row>
    <row r="692">
      <c r="I692" s="31">
        <f>IF($A692="","",IF($J692=0,"YOK",IF(AND($E692="Evet",ROUND($C692*tba_oranIlave,2)=$J692),"TBA-002",IF(AND($D692="Evet",ROUND($C692*tba_oranBesPuan,2)=$J692),"TBA-001",IF(AND($F692="Evet",ROUND($C692*tba_oranKadinGenc,2)=$J692),"TBA-004","TBA-ENG")))))</f>
        <v/>
      </c>
      <c r="J692" s="31">
        <f>IF($A692="","",MAX(IF($D692="Evet",ROUND($C692*tba_oranBesPuan,2),0),IF($E692="Evet",ROUND($C692*tba_oranIlave,2),0),IF($F692="Evet",ROUND($C692*tba_oranKadinGenc,2),0),IF($G692="Evet",ROUND($C692*tba_isverenOran,2),0)))</f>
        <v/>
      </c>
      <c r="K692" s="31">
        <f>IF($A692="","",IF($H692="TBA-001",IF($D692="Evet",ROUND($C692*tba_oranBesPuan,2),0),IF($H692="TBA-002",IF($E692="Evet",ROUND($C692*tba_oranIlave,2),0),IF($H692="TBA-004",IF($F692="Evet",ROUND($C692*tba_oranKadinGenc,2),0),IF($H692="TBA-ENG",IF($G692="Evet",ROUND($C692*tba_isverenOran,2),0),0)))))</f>
        <v/>
      </c>
      <c r="L692" s="31">
        <f>IF($A692="","",MAX(0,$J692-$K692))</f>
        <v/>
      </c>
    </row>
    <row r="693">
      <c r="I693" s="31">
        <f>IF($A693="","",IF($J693=0,"YOK",IF(AND($E693="Evet",ROUND($C693*tba_oranIlave,2)=$J693),"TBA-002",IF(AND($D693="Evet",ROUND($C693*tba_oranBesPuan,2)=$J693),"TBA-001",IF(AND($F693="Evet",ROUND($C693*tba_oranKadinGenc,2)=$J693),"TBA-004","TBA-ENG")))))</f>
        <v/>
      </c>
      <c r="J693" s="31">
        <f>IF($A693="","",MAX(IF($D693="Evet",ROUND($C693*tba_oranBesPuan,2),0),IF($E693="Evet",ROUND($C693*tba_oranIlave,2),0),IF($F693="Evet",ROUND($C693*tba_oranKadinGenc,2),0),IF($G693="Evet",ROUND($C693*tba_isverenOran,2),0)))</f>
        <v/>
      </c>
      <c r="K693" s="31">
        <f>IF($A693="","",IF($H693="TBA-001",IF($D693="Evet",ROUND($C693*tba_oranBesPuan,2),0),IF($H693="TBA-002",IF($E693="Evet",ROUND($C693*tba_oranIlave,2),0),IF($H693="TBA-004",IF($F693="Evet",ROUND($C693*tba_oranKadinGenc,2),0),IF($H693="TBA-ENG",IF($G693="Evet",ROUND($C693*tba_isverenOran,2),0),0)))))</f>
        <v/>
      </c>
      <c r="L693" s="31">
        <f>IF($A693="","",MAX(0,$J693-$K693))</f>
        <v/>
      </c>
    </row>
    <row r="694">
      <c r="I694" s="31">
        <f>IF($A694="","",IF($J694=0,"YOK",IF(AND($E694="Evet",ROUND($C694*tba_oranIlave,2)=$J694),"TBA-002",IF(AND($D694="Evet",ROUND($C694*tba_oranBesPuan,2)=$J694),"TBA-001",IF(AND($F694="Evet",ROUND($C694*tba_oranKadinGenc,2)=$J694),"TBA-004","TBA-ENG")))))</f>
        <v/>
      </c>
      <c r="J694" s="31">
        <f>IF($A694="","",MAX(IF($D694="Evet",ROUND($C694*tba_oranBesPuan,2),0),IF($E694="Evet",ROUND($C694*tba_oranIlave,2),0),IF($F694="Evet",ROUND($C694*tba_oranKadinGenc,2),0),IF($G694="Evet",ROUND($C694*tba_isverenOran,2),0)))</f>
        <v/>
      </c>
      <c r="K694" s="31">
        <f>IF($A694="","",IF($H694="TBA-001",IF($D694="Evet",ROUND($C694*tba_oranBesPuan,2),0),IF($H694="TBA-002",IF($E694="Evet",ROUND($C694*tba_oranIlave,2),0),IF($H694="TBA-004",IF($F694="Evet",ROUND($C694*tba_oranKadinGenc,2),0),IF($H694="TBA-ENG",IF($G694="Evet",ROUND($C694*tba_isverenOran,2),0),0)))))</f>
        <v/>
      </c>
      <c r="L694" s="31">
        <f>IF($A694="","",MAX(0,$J694-$K694))</f>
        <v/>
      </c>
    </row>
    <row r="695">
      <c r="I695" s="31">
        <f>IF($A695="","",IF($J695=0,"YOK",IF(AND($E695="Evet",ROUND($C695*tba_oranIlave,2)=$J695),"TBA-002",IF(AND($D695="Evet",ROUND($C695*tba_oranBesPuan,2)=$J695),"TBA-001",IF(AND($F695="Evet",ROUND($C695*tba_oranKadinGenc,2)=$J695),"TBA-004","TBA-ENG")))))</f>
        <v/>
      </c>
      <c r="J695" s="31">
        <f>IF($A695="","",MAX(IF($D695="Evet",ROUND($C695*tba_oranBesPuan,2),0),IF($E695="Evet",ROUND($C695*tba_oranIlave,2),0),IF($F695="Evet",ROUND($C695*tba_oranKadinGenc,2),0),IF($G695="Evet",ROUND($C695*tba_isverenOran,2),0)))</f>
        <v/>
      </c>
      <c r="K695" s="31">
        <f>IF($A695="","",IF($H695="TBA-001",IF($D695="Evet",ROUND($C695*tba_oranBesPuan,2),0),IF($H695="TBA-002",IF($E695="Evet",ROUND($C695*tba_oranIlave,2),0),IF($H695="TBA-004",IF($F695="Evet",ROUND($C695*tba_oranKadinGenc,2),0),IF($H695="TBA-ENG",IF($G695="Evet",ROUND($C695*tba_isverenOran,2),0),0)))))</f>
        <v/>
      </c>
      <c r="L695" s="31">
        <f>IF($A695="","",MAX(0,$J695-$K695))</f>
        <v/>
      </c>
    </row>
    <row r="696">
      <c r="I696" s="31">
        <f>IF($A696="","",IF($J696=0,"YOK",IF(AND($E696="Evet",ROUND($C696*tba_oranIlave,2)=$J696),"TBA-002",IF(AND($D696="Evet",ROUND($C696*tba_oranBesPuan,2)=$J696),"TBA-001",IF(AND($F696="Evet",ROUND($C696*tba_oranKadinGenc,2)=$J696),"TBA-004","TBA-ENG")))))</f>
        <v/>
      </c>
      <c r="J696" s="31">
        <f>IF($A696="","",MAX(IF($D696="Evet",ROUND($C696*tba_oranBesPuan,2),0),IF($E696="Evet",ROUND($C696*tba_oranIlave,2),0),IF($F696="Evet",ROUND($C696*tba_oranKadinGenc,2),0),IF($G696="Evet",ROUND($C696*tba_isverenOran,2),0)))</f>
        <v/>
      </c>
      <c r="K696" s="31">
        <f>IF($A696="","",IF($H696="TBA-001",IF($D696="Evet",ROUND($C696*tba_oranBesPuan,2),0),IF($H696="TBA-002",IF($E696="Evet",ROUND($C696*tba_oranIlave,2),0),IF($H696="TBA-004",IF($F696="Evet",ROUND($C696*tba_oranKadinGenc,2),0),IF($H696="TBA-ENG",IF($G696="Evet",ROUND($C696*tba_isverenOran,2),0),0)))))</f>
        <v/>
      </c>
      <c r="L696" s="31">
        <f>IF($A696="","",MAX(0,$J696-$K696))</f>
        <v/>
      </c>
    </row>
    <row r="697">
      <c r="I697" s="31">
        <f>IF($A697="","",IF($J697=0,"YOK",IF(AND($E697="Evet",ROUND($C697*tba_oranIlave,2)=$J697),"TBA-002",IF(AND($D697="Evet",ROUND($C697*tba_oranBesPuan,2)=$J697),"TBA-001",IF(AND($F697="Evet",ROUND($C697*tba_oranKadinGenc,2)=$J697),"TBA-004","TBA-ENG")))))</f>
        <v/>
      </c>
      <c r="J697" s="31">
        <f>IF($A697="","",MAX(IF($D697="Evet",ROUND($C697*tba_oranBesPuan,2),0),IF($E697="Evet",ROUND($C697*tba_oranIlave,2),0),IF($F697="Evet",ROUND($C697*tba_oranKadinGenc,2),0),IF($G697="Evet",ROUND($C697*tba_isverenOran,2),0)))</f>
        <v/>
      </c>
      <c r="K697" s="31">
        <f>IF($A697="","",IF($H697="TBA-001",IF($D697="Evet",ROUND($C697*tba_oranBesPuan,2),0),IF($H697="TBA-002",IF($E697="Evet",ROUND($C697*tba_oranIlave,2),0),IF($H697="TBA-004",IF($F697="Evet",ROUND($C697*tba_oranKadinGenc,2),0),IF($H697="TBA-ENG",IF($G697="Evet",ROUND($C697*tba_isverenOran,2),0),0)))))</f>
        <v/>
      </c>
      <c r="L697" s="31">
        <f>IF($A697="","",MAX(0,$J697-$K697))</f>
        <v/>
      </c>
    </row>
    <row r="698">
      <c r="I698" s="31">
        <f>IF($A698="","",IF($J698=0,"YOK",IF(AND($E698="Evet",ROUND($C698*tba_oranIlave,2)=$J698),"TBA-002",IF(AND($D698="Evet",ROUND($C698*tba_oranBesPuan,2)=$J698),"TBA-001",IF(AND($F698="Evet",ROUND($C698*tba_oranKadinGenc,2)=$J698),"TBA-004","TBA-ENG")))))</f>
        <v/>
      </c>
      <c r="J698" s="31">
        <f>IF($A698="","",MAX(IF($D698="Evet",ROUND($C698*tba_oranBesPuan,2),0),IF($E698="Evet",ROUND($C698*tba_oranIlave,2),0),IF($F698="Evet",ROUND($C698*tba_oranKadinGenc,2),0),IF($G698="Evet",ROUND($C698*tba_isverenOran,2),0)))</f>
        <v/>
      </c>
      <c r="K698" s="31">
        <f>IF($A698="","",IF($H698="TBA-001",IF($D698="Evet",ROUND($C698*tba_oranBesPuan,2),0),IF($H698="TBA-002",IF($E698="Evet",ROUND($C698*tba_oranIlave,2),0),IF($H698="TBA-004",IF($F698="Evet",ROUND($C698*tba_oranKadinGenc,2),0),IF($H698="TBA-ENG",IF($G698="Evet",ROUND($C698*tba_isverenOran,2),0),0)))))</f>
        <v/>
      </c>
      <c r="L698" s="31">
        <f>IF($A698="","",MAX(0,$J698-$K698))</f>
        <v/>
      </c>
    </row>
    <row r="699">
      <c r="I699" s="31">
        <f>IF($A699="","",IF($J699=0,"YOK",IF(AND($E699="Evet",ROUND($C699*tba_oranIlave,2)=$J699),"TBA-002",IF(AND($D699="Evet",ROUND($C699*tba_oranBesPuan,2)=$J699),"TBA-001",IF(AND($F699="Evet",ROUND($C699*tba_oranKadinGenc,2)=$J699),"TBA-004","TBA-ENG")))))</f>
        <v/>
      </c>
      <c r="J699" s="31">
        <f>IF($A699="","",MAX(IF($D699="Evet",ROUND($C699*tba_oranBesPuan,2),0),IF($E699="Evet",ROUND($C699*tba_oranIlave,2),0),IF($F699="Evet",ROUND($C699*tba_oranKadinGenc,2),0),IF($G699="Evet",ROUND($C699*tba_isverenOran,2),0)))</f>
        <v/>
      </c>
      <c r="K699" s="31">
        <f>IF($A699="","",IF($H699="TBA-001",IF($D699="Evet",ROUND($C699*tba_oranBesPuan,2),0),IF($H699="TBA-002",IF($E699="Evet",ROUND($C699*tba_oranIlave,2),0),IF($H699="TBA-004",IF($F699="Evet",ROUND($C699*tba_oranKadinGenc,2),0),IF($H699="TBA-ENG",IF($G699="Evet",ROUND($C699*tba_isverenOran,2),0),0)))))</f>
        <v/>
      </c>
      <c r="L699" s="31">
        <f>IF($A699="","",MAX(0,$J699-$K699))</f>
        <v/>
      </c>
    </row>
    <row r="700">
      <c r="I700" s="31">
        <f>IF($A700="","",IF($J700=0,"YOK",IF(AND($E700="Evet",ROUND($C700*tba_oranIlave,2)=$J700),"TBA-002",IF(AND($D700="Evet",ROUND($C700*tba_oranBesPuan,2)=$J700),"TBA-001",IF(AND($F700="Evet",ROUND($C700*tba_oranKadinGenc,2)=$J700),"TBA-004","TBA-ENG")))))</f>
        <v/>
      </c>
      <c r="J700" s="31">
        <f>IF($A700="","",MAX(IF($D700="Evet",ROUND($C700*tba_oranBesPuan,2),0),IF($E700="Evet",ROUND($C700*tba_oranIlave,2),0),IF($F700="Evet",ROUND($C700*tba_oranKadinGenc,2),0),IF($G700="Evet",ROUND($C700*tba_isverenOran,2),0)))</f>
        <v/>
      </c>
      <c r="K700" s="31">
        <f>IF($A700="","",IF($H700="TBA-001",IF($D700="Evet",ROUND($C700*tba_oranBesPuan,2),0),IF($H700="TBA-002",IF($E700="Evet",ROUND($C700*tba_oranIlave,2),0),IF($H700="TBA-004",IF($F700="Evet",ROUND($C700*tba_oranKadinGenc,2),0),IF($H700="TBA-ENG",IF($G700="Evet",ROUND($C700*tba_isverenOran,2),0),0)))))</f>
        <v/>
      </c>
      <c r="L700" s="31">
        <f>IF($A700="","",MAX(0,$J700-$K700))</f>
        <v/>
      </c>
    </row>
    <row r="701">
      <c r="I701" s="31">
        <f>IF($A701="","",IF($J701=0,"YOK",IF(AND($E701="Evet",ROUND($C701*tba_oranIlave,2)=$J701),"TBA-002",IF(AND($D701="Evet",ROUND($C701*tba_oranBesPuan,2)=$J701),"TBA-001",IF(AND($F701="Evet",ROUND($C701*tba_oranKadinGenc,2)=$J701),"TBA-004","TBA-ENG")))))</f>
        <v/>
      </c>
      <c r="J701" s="31">
        <f>IF($A701="","",MAX(IF($D701="Evet",ROUND($C701*tba_oranBesPuan,2),0),IF($E701="Evet",ROUND($C701*tba_oranIlave,2),0),IF($F701="Evet",ROUND($C701*tba_oranKadinGenc,2),0),IF($G701="Evet",ROUND($C701*tba_isverenOran,2),0)))</f>
        <v/>
      </c>
      <c r="K701" s="31">
        <f>IF($A701="","",IF($H701="TBA-001",IF($D701="Evet",ROUND($C701*tba_oranBesPuan,2),0),IF($H701="TBA-002",IF($E701="Evet",ROUND($C701*tba_oranIlave,2),0),IF($H701="TBA-004",IF($F701="Evet",ROUND($C701*tba_oranKadinGenc,2),0),IF($H701="TBA-ENG",IF($G701="Evet",ROUND($C701*tba_isverenOran,2),0),0)))))</f>
        <v/>
      </c>
      <c r="L701" s="31">
        <f>IF($A701="","",MAX(0,$J701-$K701))</f>
        <v/>
      </c>
    </row>
    <row r="702">
      <c r="I702" s="31">
        <f>IF($A702="","",IF($J702=0,"YOK",IF(AND($E702="Evet",ROUND($C702*tba_oranIlave,2)=$J702),"TBA-002",IF(AND($D702="Evet",ROUND($C702*tba_oranBesPuan,2)=$J702),"TBA-001",IF(AND($F702="Evet",ROUND($C702*tba_oranKadinGenc,2)=$J702),"TBA-004","TBA-ENG")))))</f>
        <v/>
      </c>
      <c r="J702" s="31">
        <f>IF($A702="","",MAX(IF($D702="Evet",ROUND($C702*tba_oranBesPuan,2),0),IF($E702="Evet",ROUND($C702*tba_oranIlave,2),0),IF($F702="Evet",ROUND($C702*tba_oranKadinGenc,2),0),IF($G702="Evet",ROUND($C702*tba_isverenOran,2),0)))</f>
        <v/>
      </c>
      <c r="K702" s="31">
        <f>IF($A702="","",IF($H702="TBA-001",IF($D702="Evet",ROUND($C702*tba_oranBesPuan,2),0),IF($H702="TBA-002",IF($E702="Evet",ROUND($C702*tba_oranIlave,2),0),IF($H702="TBA-004",IF($F702="Evet",ROUND($C702*tba_oranKadinGenc,2),0),IF($H702="TBA-ENG",IF($G702="Evet",ROUND($C702*tba_isverenOran,2),0),0)))))</f>
        <v/>
      </c>
      <c r="L702" s="31">
        <f>IF($A702="","",MAX(0,$J702-$K702))</f>
        <v/>
      </c>
    </row>
    <row r="703">
      <c r="I703" s="31">
        <f>IF($A703="","",IF($J703=0,"YOK",IF(AND($E703="Evet",ROUND($C703*tba_oranIlave,2)=$J703),"TBA-002",IF(AND($D703="Evet",ROUND($C703*tba_oranBesPuan,2)=$J703),"TBA-001",IF(AND($F703="Evet",ROUND($C703*tba_oranKadinGenc,2)=$J703),"TBA-004","TBA-ENG")))))</f>
        <v/>
      </c>
      <c r="J703" s="31">
        <f>IF($A703="","",MAX(IF($D703="Evet",ROUND($C703*tba_oranBesPuan,2),0),IF($E703="Evet",ROUND($C703*tba_oranIlave,2),0),IF($F703="Evet",ROUND($C703*tba_oranKadinGenc,2),0),IF($G703="Evet",ROUND($C703*tba_isverenOran,2),0)))</f>
        <v/>
      </c>
      <c r="K703" s="31">
        <f>IF($A703="","",IF($H703="TBA-001",IF($D703="Evet",ROUND($C703*tba_oranBesPuan,2),0),IF($H703="TBA-002",IF($E703="Evet",ROUND($C703*tba_oranIlave,2),0),IF($H703="TBA-004",IF($F703="Evet",ROUND($C703*tba_oranKadinGenc,2),0),IF($H703="TBA-ENG",IF($G703="Evet",ROUND($C703*tba_isverenOran,2),0),0)))))</f>
        <v/>
      </c>
      <c r="L703" s="31">
        <f>IF($A703="","",MAX(0,$J703-$K703))</f>
        <v/>
      </c>
    </row>
    <row r="704">
      <c r="I704" s="31">
        <f>IF($A704="","",IF($J704=0,"YOK",IF(AND($E704="Evet",ROUND($C704*tba_oranIlave,2)=$J704),"TBA-002",IF(AND($D704="Evet",ROUND($C704*tba_oranBesPuan,2)=$J704),"TBA-001",IF(AND($F704="Evet",ROUND($C704*tba_oranKadinGenc,2)=$J704),"TBA-004","TBA-ENG")))))</f>
        <v/>
      </c>
      <c r="J704" s="31">
        <f>IF($A704="","",MAX(IF($D704="Evet",ROUND($C704*tba_oranBesPuan,2),0),IF($E704="Evet",ROUND($C704*tba_oranIlave,2),0),IF($F704="Evet",ROUND($C704*tba_oranKadinGenc,2),0),IF($G704="Evet",ROUND($C704*tba_isverenOran,2),0)))</f>
        <v/>
      </c>
      <c r="K704" s="31">
        <f>IF($A704="","",IF($H704="TBA-001",IF($D704="Evet",ROUND($C704*tba_oranBesPuan,2),0),IF($H704="TBA-002",IF($E704="Evet",ROUND($C704*tba_oranIlave,2),0),IF($H704="TBA-004",IF($F704="Evet",ROUND($C704*tba_oranKadinGenc,2),0),IF($H704="TBA-ENG",IF($G704="Evet",ROUND($C704*tba_isverenOran,2),0),0)))))</f>
        <v/>
      </c>
      <c r="L704" s="31">
        <f>IF($A704="","",MAX(0,$J704-$K704))</f>
        <v/>
      </c>
    </row>
    <row r="705">
      <c r="I705" s="31">
        <f>IF($A705="","",IF($J705=0,"YOK",IF(AND($E705="Evet",ROUND($C705*tba_oranIlave,2)=$J705),"TBA-002",IF(AND($D705="Evet",ROUND($C705*tba_oranBesPuan,2)=$J705),"TBA-001",IF(AND($F705="Evet",ROUND($C705*tba_oranKadinGenc,2)=$J705),"TBA-004","TBA-ENG")))))</f>
        <v/>
      </c>
      <c r="J705" s="31">
        <f>IF($A705="","",MAX(IF($D705="Evet",ROUND($C705*tba_oranBesPuan,2),0),IF($E705="Evet",ROUND($C705*tba_oranIlave,2),0),IF($F705="Evet",ROUND($C705*tba_oranKadinGenc,2),0),IF($G705="Evet",ROUND($C705*tba_isverenOran,2),0)))</f>
        <v/>
      </c>
      <c r="K705" s="31">
        <f>IF($A705="","",IF($H705="TBA-001",IF($D705="Evet",ROUND($C705*tba_oranBesPuan,2),0),IF($H705="TBA-002",IF($E705="Evet",ROUND($C705*tba_oranIlave,2),0),IF($H705="TBA-004",IF($F705="Evet",ROUND($C705*tba_oranKadinGenc,2),0),IF($H705="TBA-ENG",IF($G705="Evet",ROUND($C705*tba_isverenOran,2),0),0)))))</f>
        <v/>
      </c>
      <c r="L705" s="31">
        <f>IF($A705="","",MAX(0,$J705-$K705))</f>
        <v/>
      </c>
    </row>
    <row r="706">
      <c r="I706" s="31">
        <f>IF($A706="","",IF($J706=0,"YOK",IF(AND($E706="Evet",ROUND($C706*tba_oranIlave,2)=$J706),"TBA-002",IF(AND($D706="Evet",ROUND($C706*tba_oranBesPuan,2)=$J706),"TBA-001",IF(AND($F706="Evet",ROUND($C706*tba_oranKadinGenc,2)=$J706),"TBA-004","TBA-ENG")))))</f>
        <v/>
      </c>
      <c r="J706" s="31">
        <f>IF($A706="","",MAX(IF($D706="Evet",ROUND($C706*tba_oranBesPuan,2),0),IF($E706="Evet",ROUND($C706*tba_oranIlave,2),0),IF($F706="Evet",ROUND($C706*tba_oranKadinGenc,2),0),IF($G706="Evet",ROUND($C706*tba_isverenOran,2),0)))</f>
        <v/>
      </c>
      <c r="K706" s="31">
        <f>IF($A706="","",IF($H706="TBA-001",IF($D706="Evet",ROUND($C706*tba_oranBesPuan,2),0),IF($H706="TBA-002",IF($E706="Evet",ROUND($C706*tba_oranIlave,2),0),IF($H706="TBA-004",IF($F706="Evet",ROUND($C706*tba_oranKadinGenc,2),0),IF($H706="TBA-ENG",IF($G706="Evet",ROUND($C706*tba_isverenOran,2),0),0)))))</f>
        <v/>
      </c>
      <c r="L706" s="31">
        <f>IF($A706="","",MAX(0,$J706-$K706))</f>
        <v/>
      </c>
    </row>
    <row r="707">
      <c r="I707" s="31">
        <f>IF($A707="","",IF($J707=0,"YOK",IF(AND($E707="Evet",ROUND($C707*tba_oranIlave,2)=$J707),"TBA-002",IF(AND($D707="Evet",ROUND($C707*tba_oranBesPuan,2)=$J707),"TBA-001",IF(AND($F707="Evet",ROUND($C707*tba_oranKadinGenc,2)=$J707),"TBA-004","TBA-ENG")))))</f>
        <v/>
      </c>
      <c r="J707" s="31">
        <f>IF($A707="","",MAX(IF($D707="Evet",ROUND($C707*tba_oranBesPuan,2),0),IF($E707="Evet",ROUND($C707*tba_oranIlave,2),0),IF($F707="Evet",ROUND($C707*tba_oranKadinGenc,2),0),IF($G707="Evet",ROUND($C707*tba_isverenOran,2),0)))</f>
        <v/>
      </c>
      <c r="K707" s="31">
        <f>IF($A707="","",IF($H707="TBA-001",IF($D707="Evet",ROUND($C707*tba_oranBesPuan,2),0),IF($H707="TBA-002",IF($E707="Evet",ROUND($C707*tba_oranIlave,2),0),IF($H707="TBA-004",IF($F707="Evet",ROUND($C707*tba_oranKadinGenc,2),0),IF($H707="TBA-ENG",IF($G707="Evet",ROUND($C707*tba_isverenOran,2),0),0)))))</f>
        <v/>
      </c>
      <c r="L707" s="31">
        <f>IF($A707="","",MAX(0,$J707-$K707))</f>
        <v/>
      </c>
    </row>
    <row r="708">
      <c r="I708" s="31">
        <f>IF($A708="","",IF($J708=0,"YOK",IF(AND($E708="Evet",ROUND($C708*tba_oranIlave,2)=$J708),"TBA-002",IF(AND($D708="Evet",ROUND($C708*tba_oranBesPuan,2)=$J708),"TBA-001",IF(AND($F708="Evet",ROUND($C708*tba_oranKadinGenc,2)=$J708),"TBA-004","TBA-ENG")))))</f>
        <v/>
      </c>
      <c r="J708" s="31">
        <f>IF($A708="","",MAX(IF($D708="Evet",ROUND($C708*tba_oranBesPuan,2),0),IF($E708="Evet",ROUND($C708*tba_oranIlave,2),0),IF($F708="Evet",ROUND($C708*tba_oranKadinGenc,2),0),IF($G708="Evet",ROUND($C708*tba_isverenOran,2),0)))</f>
        <v/>
      </c>
      <c r="K708" s="31">
        <f>IF($A708="","",IF($H708="TBA-001",IF($D708="Evet",ROUND($C708*tba_oranBesPuan,2),0),IF($H708="TBA-002",IF($E708="Evet",ROUND($C708*tba_oranIlave,2),0),IF($H708="TBA-004",IF($F708="Evet",ROUND($C708*tba_oranKadinGenc,2),0),IF($H708="TBA-ENG",IF($G708="Evet",ROUND($C708*tba_isverenOran,2),0),0)))))</f>
        <v/>
      </c>
      <c r="L708" s="31">
        <f>IF($A708="","",MAX(0,$J708-$K708))</f>
        <v/>
      </c>
    </row>
    <row r="709">
      <c r="I709" s="31">
        <f>IF($A709="","",IF($J709=0,"YOK",IF(AND($E709="Evet",ROUND($C709*tba_oranIlave,2)=$J709),"TBA-002",IF(AND($D709="Evet",ROUND($C709*tba_oranBesPuan,2)=$J709),"TBA-001",IF(AND($F709="Evet",ROUND($C709*tba_oranKadinGenc,2)=$J709),"TBA-004","TBA-ENG")))))</f>
        <v/>
      </c>
      <c r="J709" s="31">
        <f>IF($A709="","",MAX(IF($D709="Evet",ROUND($C709*tba_oranBesPuan,2),0),IF($E709="Evet",ROUND($C709*tba_oranIlave,2),0),IF($F709="Evet",ROUND($C709*tba_oranKadinGenc,2),0),IF($G709="Evet",ROUND($C709*tba_isverenOran,2),0)))</f>
        <v/>
      </c>
      <c r="K709" s="31">
        <f>IF($A709="","",IF($H709="TBA-001",IF($D709="Evet",ROUND($C709*tba_oranBesPuan,2),0),IF($H709="TBA-002",IF($E709="Evet",ROUND($C709*tba_oranIlave,2),0),IF($H709="TBA-004",IF($F709="Evet",ROUND($C709*tba_oranKadinGenc,2),0),IF($H709="TBA-ENG",IF($G709="Evet",ROUND($C709*tba_isverenOran,2),0),0)))))</f>
        <v/>
      </c>
      <c r="L709" s="31">
        <f>IF($A709="","",MAX(0,$J709-$K709))</f>
        <v/>
      </c>
    </row>
    <row r="710">
      <c r="I710" s="31">
        <f>IF($A710="","",IF($J710=0,"YOK",IF(AND($E710="Evet",ROUND($C710*tba_oranIlave,2)=$J710),"TBA-002",IF(AND($D710="Evet",ROUND($C710*tba_oranBesPuan,2)=$J710),"TBA-001",IF(AND($F710="Evet",ROUND($C710*tba_oranKadinGenc,2)=$J710),"TBA-004","TBA-ENG")))))</f>
        <v/>
      </c>
      <c r="J710" s="31">
        <f>IF($A710="","",MAX(IF($D710="Evet",ROUND($C710*tba_oranBesPuan,2),0),IF($E710="Evet",ROUND($C710*tba_oranIlave,2),0),IF($F710="Evet",ROUND($C710*tba_oranKadinGenc,2),0),IF($G710="Evet",ROUND($C710*tba_isverenOran,2),0)))</f>
        <v/>
      </c>
      <c r="K710" s="31">
        <f>IF($A710="","",IF($H710="TBA-001",IF($D710="Evet",ROUND($C710*tba_oranBesPuan,2),0),IF($H710="TBA-002",IF($E710="Evet",ROUND($C710*tba_oranIlave,2),0),IF($H710="TBA-004",IF($F710="Evet",ROUND($C710*tba_oranKadinGenc,2),0),IF($H710="TBA-ENG",IF($G710="Evet",ROUND($C710*tba_isverenOran,2),0),0)))))</f>
        <v/>
      </c>
      <c r="L710" s="31">
        <f>IF($A710="","",MAX(0,$J710-$K710))</f>
        <v/>
      </c>
    </row>
    <row r="711">
      <c r="I711" s="31">
        <f>IF($A711="","",IF($J711=0,"YOK",IF(AND($E711="Evet",ROUND($C711*tba_oranIlave,2)=$J711),"TBA-002",IF(AND($D711="Evet",ROUND($C711*tba_oranBesPuan,2)=$J711),"TBA-001",IF(AND($F711="Evet",ROUND($C711*tba_oranKadinGenc,2)=$J711),"TBA-004","TBA-ENG")))))</f>
        <v/>
      </c>
      <c r="J711" s="31">
        <f>IF($A711="","",MAX(IF($D711="Evet",ROUND($C711*tba_oranBesPuan,2),0),IF($E711="Evet",ROUND($C711*tba_oranIlave,2),0),IF($F711="Evet",ROUND($C711*tba_oranKadinGenc,2),0),IF($G711="Evet",ROUND($C711*tba_isverenOran,2),0)))</f>
        <v/>
      </c>
      <c r="K711" s="31">
        <f>IF($A711="","",IF($H711="TBA-001",IF($D711="Evet",ROUND($C711*tba_oranBesPuan,2),0),IF($H711="TBA-002",IF($E711="Evet",ROUND($C711*tba_oranIlave,2),0),IF($H711="TBA-004",IF($F711="Evet",ROUND($C711*tba_oranKadinGenc,2),0),IF($H711="TBA-ENG",IF($G711="Evet",ROUND($C711*tba_isverenOran,2),0),0)))))</f>
        <v/>
      </c>
      <c r="L711" s="31">
        <f>IF($A711="","",MAX(0,$J711-$K711))</f>
        <v/>
      </c>
    </row>
    <row r="712">
      <c r="I712" s="31">
        <f>IF($A712="","",IF($J712=0,"YOK",IF(AND($E712="Evet",ROUND($C712*tba_oranIlave,2)=$J712),"TBA-002",IF(AND($D712="Evet",ROUND($C712*tba_oranBesPuan,2)=$J712),"TBA-001",IF(AND($F712="Evet",ROUND($C712*tba_oranKadinGenc,2)=$J712),"TBA-004","TBA-ENG")))))</f>
        <v/>
      </c>
      <c r="J712" s="31">
        <f>IF($A712="","",MAX(IF($D712="Evet",ROUND($C712*tba_oranBesPuan,2),0),IF($E712="Evet",ROUND($C712*tba_oranIlave,2),0),IF($F712="Evet",ROUND($C712*tba_oranKadinGenc,2),0),IF($G712="Evet",ROUND($C712*tba_isverenOran,2),0)))</f>
        <v/>
      </c>
      <c r="K712" s="31">
        <f>IF($A712="","",IF($H712="TBA-001",IF($D712="Evet",ROUND($C712*tba_oranBesPuan,2),0),IF($H712="TBA-002",IF($E712="Evet",ROUND($C712*tba_oranIlave,2),0),IF($H712="TBA-004",IF($F712="Evet",ROUND($C712*tba_oranKadinGenc,2),0),IF($H712="TBA-ENG",IF($G712="Evet",ROUND($C712*tba_isverenOran,2),0),0)))))</f>
        <v/>
      </c>
      <c r="L712" s="31">
        <f>IF($A712="","",MAX(0,$J712-$K712))</f>
        <v/>
      </c>
    </row>
    <row r="713">
      <c r="I713" s="31">
        <f>IF($A713="","",IF($J713=0,"YOK",IF(AND($E713="Evet",ROUND($C713*tba_oranIlave,2)=$J713),"TBA-002",IF(AND($D713="Evet",ROUND($C713*tba_oranBesPuan,2)=$J713),"TBA-001",IF(AND($F713="Evet",ROUND($C713*tba_oranKadinGenc,2)=$J713),"TBA-004","TBA-ENG")))))</f>
        <v/>
      </c>
      <c r="J713" s="31">
        <f>IF($A713="","",MAX(IF($D713="Evet",ROUND($C713*tba_oranBesPuan,2),0),IF($E713="Evet",ROUND($C713*tba_oranIlave,2),0),IF($F713="Evet",ROUND($C713*tba_oranKadinGenc,2),0),IF($G713="Evet",ROUND($C713*tba_isverenOran,2),0)))</f>
        <v/>
      </c>
      <c r="K713" s="31">
        <f>IF($A713="","",IF($H713="TBA-001",IF($D713="Evet",ROUND($C713*tba_oranBesPuan,2),0),IF($H713="TBA-002",IF($E713="Evet",ROUND($C713*tba_oranIlave,2),0),IF($H713="TBA-004",IF($F713="Evet",ROUND($C713*tba_oranKadinGenc,2),0),IF($H713="TBA-ENG",IF($G713="Evet",ROUND($C713*tba_isverenOran,2),0),0)))))</f>
        <v/>
      </c>
      <c r="L713" s="31">
        <f>IF($A713="","",MAX(0,$J713-$K713))</f>
        <v/>
      </c>
    </row>
    <row r="714">
      <c r="I714" s="31">
        <f>IF($A714="","",IF($J714=0,"YOK",IF(AND($E714="Evet",ROUND($C714*tba_oranIlave,2)=$J714),"TBA-002",IF(AND($D714="Evet",ROUND($C714*tba_oranBesPuan,2)=$J714),"TBA-001",IF(AND($F714="Evet",ROUND($C714*tba_oranKadinGenc,2)=$J714),"TBA-004","TBA-ENG")))))</f>
        <v/>
      </c>
      <c r="J714" s="31">
        <f>IF($A714="","",MAX(IF($D714="Evet",ROUND($C714*tba_oranBesPuan,2),0),IF($E714="Evet",ROUND($C714*tba_oranIlave,2),0),IF($F714="Evet",ROUND($C714*tba_oranKadinGenc,2),0),IF($G714="Evet",ROUND($C714*tba_isverenOran,2),0)))</f>
        <v/>
      </c>
      <c r="K714" s="31">
        <f>IF($A714="","",IF($H714="TBA-001",IF($D714="Evet",ROUND($C714*tba_oranBesPuan,2),0),IF($H714="TBA-002",IF($E714="Evet",ROUND($C714*tba_oranIlave,2),0),IF($H714="TBA-004",IF($F714="Evet",ROUND($C714*tba_oranKadinGenc,2),0),IF($H714="TBA-ENG",IF($G714="Evet",ROUND($C714*tba_isverenOran,2),0),0)))))</f>
        <v/>
      </c>
      <c r="L714" s="31">
        <f>IF($A714="","",MAX(0,$J714-$K714))</f>
        <v/>
      </c>
    </row>
    <row r="715">
      <c r="I715" s="31">
        <f>IF($A715="","",IF($J715=0,"YOK",IF(AND($E715="Evet",ROUND($C715*tba_oranIlave,2)=$J715),"TBA-002",IF(AND($D715="Evet",ROUND($C715*tba_oranBesPuan,2)=$J715),"TBA-001",IF(AND($F715="Evet",ROUND($C715*tba_oranKadinGenc,2)=$J715),"TBA-004","TBA-ENG")))))</f>
        <v/>
      </c>
      <c r="J715" s="31">
        <f>IF($A715="","",MAX(IF($D715="Evet",ROUND($C715*tba_oranBesPuan,2),0),IF($E715="Evet",ROUND($C715*tba_oranIlave,2),0),IF($F715="Evet",ROUND($C715*tba_oranKadinGenc,2),0),IF($G715="Evet",ROUND($C715*tba_isverenOran,2),0)))</f>
        <v/>
      </c>
      <c r="K715" s="31">
        <f>IF($A715="","",IF($H715="TBA-001",IF($D715="Evet",ROUND($C715*tba_oranBesPuan,2),0),IF($H715="TBA-002",IF($E715="Evet",ROUND($C715*tba_oranIlave,2),0),IF($H715="TBA-004",IF($F715="Evet",ROUND($C715*tba_oranKadinGenc,2),0),IF($H715="TBA-ENG",IF($G715="Evet",ROUND($C715*tba_isverenOran,2),0),0)))))</f>
        <v/>
      </c>
      <c r="L715" s="31">
        <f>IF($A715="","",MAX(0,$J715-$K715))</f>
        <v/>
      </c>
    </row>
    <row r="716">
      <c r="I716" s="31">
        <f>IF($A716="","",IF($J716=0,"YOK",IF(AND($E716="Evet",ROUND($C716*tba_oranIlave,2)=$J716),"TBA-002",IF(AND($D716="Evet",ROUND($C716*tba_oranBesPuan,2)=$J716),"TBA-001",IF(AND($F716="Evet",ROUND($C716*tba_oranKadinGenc,2)=$J716),"TBA-004","TBA-ENG")))))</f>
        <v/>
      </c>
      <c r="J716" s="31">
        <f>IF($A716="","",MAX(IF($D716="Evet",ROUND($C716*tba_oranBesPuan,2),0),IF($E716="Evet",ROUND($C716*tba_oranIlave,2),0),IF($F716="Evet",ROUND($C716*tba_oranKadinGenc,2),0),IF($G716="Evet",ROUND($C716*tba_isverenOran,2),0)))</f>
        <v/>
      </c>
      <c r="K716" s="31">
        <f>IF($A716="","",IF($H716="TBA-001",IF($D716="Evet",ROUND($C716*tba_oranBesPuan,2),0),IF($H716="TBA-002",IF($E716="Evet",ROUND($C716*tba_oranIlave,2),0),IF($H716="TBA-004",IF($F716="Evet",ROUND($C716*tba_oranKadinGenc,2),0),IF($H716="TBA-ENG",IF($G716="Evet",ROUND($C716*tba_isverenOran,2),0),0)))))</f>
        <v/>
      </c>
      <c r="L716" s="31">
        <f>IF($A716="","",MAX(0,$J716-$K716))</f>
        <v/>
      </c>
    </row>
    <row r="717">
      <c r="I717" s="31">
        <f>IF($A717="","",IF($J717=0,"YOK",IF(AND($E717="Evet",ROUND($C717*tba_oranIlave,2)=$J717),"TBA-002",IF(AND($D717="Evet",ROUND($C717*tba_oranBesPuan,2)=$J717),"TBA-001",IF(AND($F717="Evet",ROUND($C717*tba_oranKadinGenc,2)=$J717),"TBA-004","TBA-ENG")))))</f>
        <v/>
      </c>
      <c r="J717" s="31">
        <f>IF($A717="","",MAX(IF($D717="Evet",ROUND($C717*tba_oranBesPuan,2),0),IF($E717="Evet",ROUND($C717*tba_oranIlave,2),0),IF($F717="Evet",ROUND($C717*tba_oranKadinGenc,2),0),IF($G717="Evet",ROUND($C717*tba_isverenOran,2),0)))</f>
        <v/>
      </c>
      <c r="K717" s="31">
        <f>IF($A717="","",IF($H717="TBA-001",IF($D717="Evet",ROUND($C717*tba_oranBesPuan,2),0),IF($H717="TBA-002",IF($E717="Evet",ROUND($C717*tba_oranIlave,2),0),IF($H717="TBA-004",IF($F717="Evet",ROUND($C717*tba_oranKadinGenc,2),0),IF($H717="TBA-ENG",IF($G717="Evet",ROUND($C717*tba_isverenOran,2),0),0)))))</f>
        <v/>
      </c>
      <c r="L717" s="31">
        <f>IF($A717="","",MAX(0,$J717-$K717))</f>
        <v/>
      </c>
    </row>
    <row r="718">
      <c r="I718" s="31">
        <f>IF($A718="","",IF($J718=0,"YOK",IF(AND($E718="Evet",ROUND($C718*tba_oranIlave,2)=$J718),"TBA-002",IF(AND($D718="Evet",ROUND($C718*tba_oranBesPuan,2)=$J718),"TBA-001",IF(AND($F718="Evet",ROUND($C718*tba_oranKadinGenc,2)=$J718),"TBA-004","TBA-ENG")))))</f>
        <v/>
      </c>
      <c r="J718" s="31">
        <f>IF($A718="","",MAX(IF($D718="Evet",ROUND($C718*tba_oranBesPuan,2),0),IF($E718="Evet",ROUND($C718*tba_oranIlave,2),0),IF($F718="Evet",ROUND($C718*tba_oranKadinGenc,2),0),IF($G718="Evet",ROUND($C718*tba_isverenOran,2),0)))</f>
        <v/>
      </c>
      <c r="K718" s="31">
        <f>IF($A718="","",IF($H718="TBA-001",IF($D718="Evet",ROUND($C718*tba_oranBesPuan,2),0),IF($H718="TBA-002",IF($E718="Evet",ROUND($C718*tba_oranIlave,2),0),IF($H718="TBA-004",IF($F718="Evet",ROUND($C718*tba_oranKadinGenc,2),0),IF($H718="TBA-ENG",IF($G718="Evet",ROUND($C718*tba_isverenOran,2),0),0)))))</f>
        <v/>
      </c>
      <c r="L718" s="31">
        <f>IF($A718="","",MAX(0,$J718-$K718))</f>
        <v/>
      </c>
    </row>
    <row r="719">
      <c r="I719" s="31">
        <f>IF($A719="","",IF($J719=0,"YOK",IF(AND($E719="Evet",ROUND($C719*tba_oranIlave,2)=$J719),"TBA-002",IF(AND($D719="Evet",ROUND($C719*tba_oranBesPuan,2)=$J719),"TBA-001",IF(AND($F719="Evet",ROUND($C719*tba_oranKadinGenc,2)=$J719),"TBA-004","TBA-ENG")))))</f>
        <v/>
      </c>
      <c r="J719" s="31">
        <f>IF($A719="","",MAX(IF($D719="Evet",ROUND($C719*tba_oranBesPuan,2),0),IF($E719="Evet",ROUND($C719*tba_oranIlave,2),0),IF($F719="Evet",ROUND($C719*tba_oranKadinGenc,2),0),IF($G719="Evet",ROUND($C719*tba_isverenOran,2),0)))</f>
        <v/>
      </c>
      <c r="K719" s="31">
        <f>IF($A719="","",IF($H719="TBA-001",IF($D719="Evet",ROUND($C719*tba_oranBesPuan,2),0),IF($H719="TBA-002",IF($E719="Evet",ROUND($C719*tba_oranIlave,2),0),IF($H719="TBA-004",IF($F719="Evet",ROUND($C719*tba_oranKadinGenc,2),0),IF($H719="TBA-ENG",IF($G719="Evet",ROUND($C719*tba_isverenOran,2),0),0)))))</f>
        <v/>
      </c>
      <c r="L719" s="31">
        <f>IF($A719="","",MAX(0,$J719-$K719))</f>
        <v/>
      </c>
    </row>
    <row r="720">
      <c r="I720" s="31">
        <f>IF($A720="","",IF($J720=0,"YOK",IF(AND($E720="Evet",ROUND($C720*tba_oranIlave,2)=$J720),"TBA-002",IF(AND($D720="Evet",ROUND($C720*tba_oranBesPuan,2)=$J720),"TBA-001",IF(AND($F720="Evet",ROUND($C720*tba_oranKadinGenc,2)=$J720),"TBA-004","TBA-ENG")))))</f>
        <v/>
      </c>
      <c r="J720" s="31">
        <f>IF($A720="","",MAX(IF($D720="Evet",ROUND($C720*tba_oranBesPuan,2),0),IF($E720="Evet",ROUND($C720*tba_oranIlave,2),0),IF($F720="Evet",ROUND($C720*tba_oranKadinGenc,2),0),IF($G720="Evet",ROUND($C720*tba_isverenOran,2),0)))</f>
        <v/>
      </c>
      <c r="K720" s="31">
        <f>IF($A720="","",IF($H720="TBA-001",IF($D720="Evet",ROUND($C720*tba_oranBesPuan,2),0),IF($H720="TBA-002",IF($E720="Evet",ROUND($C720*tba_oranIlave,2),0),IF($H720="TBA-004",IF($F720="Evet",ROUND($C720*tba_oranKadinGenc,2),0),IF($H720="TBA-ENG",IF($G720="Evet",ROUND($C720*tba_isverenOran,2),0),0)))))</f>
        <v/>
      </c>
      <c r="L720" s="31">
        <f>IF($A720="","",MAX(0,$J720-$K720))</f>
        <v/>
      </c>
    </row>
    <row r="721">
      <c r="I721" s="31">
        <f>IF($A721="","",IF($J721=0,"YOK",IF(AND($E721="Evet",ROUND($C721*tba_oranIlave,2)=$J721),"TBA-002",IF(AND($D721="Evet",ROUND($C721*tba_oranBesPuan,2)=$J721),"TBA-001",IF(AND($F721="Evet",ROUND($C721*tba_oranKadinGenc,2)=$J721),"TBA-004","TBA-ENG")))))</f>
        <v/>
      </c>
      <c r="J721" s="31">
        <f>IF($A721="","",MAX(IF($D721="Evet",ROUND($C721*tba_oranBesPuan,2),0),IF($E721="Evet",ROUND($C721*tba_oranIlave,2),0),IF($F721="Evet",ROUND($C721*tba_oranKadinGenc,2),0),IF($G721="Evet",ROUND($C721*tba_isverenOran,2),0)))</f>
        <v/>
      </c>
      <c r="K721" s="31">
        <f>IF($A721="","",IF($H721="TBA-001",IF($D721="Evet",ROUND($C721*tba_oranBesPuan,2),0),IF($H721="TBA-002",IF($E721="Evet",ROUND($C721*tba_oranIlave,2),0),IF($H721="TBA-004",IF($F721="Evet",ROUND($C721*tba_oranKadinGenc,2),0),IF($H721="TBA-ENG",IF($G721="Evet",ROUND($C721*tba_isverenOran,2),0),0)))))</f>
        <v/>
      </c>
      <c r="L721" s="31">
        <f>IF($A721="","",MAX(0,$J721-$K721))</f>
        <v/>
      </c>
    </row>
    <row r="722">
      <c r="I722" s="31">
        <f>IF($A722="","",IF($J722=0,"YOK",IF(AND($E722="Evet",ROUND($C722*tba_oranIlave,2)=$J722),"TBA-002",IF(AND($D722="Evet",ROUND($C722*tba_oranBesPuan,2)=$J722),"TBA-001",IF(AND($F722="Evet",ROUND($C722*tba_oranKadinGenc,2)=$J722),"TBA-004","TBA-ENG")))))</f>
        <v/>
      </c>
      <c r="J722" s="31">
        <f>IF($A722="","",MAX(IF($D722="Evet",ROUND($C722*tba_oranBesPuan,2),0),IF($E722="Evet",ROUND($C722*tba_oranIlave,2),0),IF($F722="Evet",ROUND($C722*tba_oranKadinGenc,2),0),IF($G722="Evet",ROUND($C722*tba_isverenOran,2),0)))</f>
        <v/>
      </c>
      <c r="K722" s="31">
        <f>IF($A722="","",IF($H722="TBA-001",IF($D722="Evet",ROUND($C722*tba_oranBesPuan,2),0),IF($H722="TBA-002",IF($E722="Evet",ROUND($C722*tba_oranIlave,2),0),IF($H722="TBA-004",IF($F722="Evet",ROUND($C722*tba_oranKadinGenc,2),0),IF($H722="TBA-ENG",IF($G722="Evet",ROUND($C722*tba_isverenOran,2),0),0)))))</f>
        <v/>
      </c>
      <c r="L722" s="31">
        <f>IF($A722="","",MAX(0,$J722-$K722))</f>
        <v/>
      </c>
    </row>
    <row r="723">
      <c r="I723" s="31">
        <f>IF($A723="","",IF($J723=0,"YOK",IF(AND($E723="Evet",ROUND($C723*tba_oranIlave,2)=$J723),"TBA-002",IF(AND($D723="Evet",ROUND($C723*tba_oranBesPuan,2)=$J723),"TBA-001",IF(AND($F723="Evet",ROUND($C723*tba_oranKadinGenc,2)=$J723),"TBA-004","TBA-ENG")))))</f>
        <v/>
      </c>
      <c r="J723" s="31">
        <f>IF($A723="","",MAX(IF($D723="Evet",ROUND($C723*tba_oranBesPuan,2),0),IF($E723="Evet",ROUND($C723*tba_oranIlave,2),0),IF($F723="Evet",ROUND($C723*tba_oranKadinGenc,2),0),IF($G723="Evet",ROUND($C723*tba_isverenOran,2),0)))</f>
        <v/>
      </c>
      <c r="K723" s="31">
        <f>IF($A723="","",IF($H723="TBA-001",IF($D723="Evet",ROUND($C723*tba_oranBesPuan,2),0),IF($H723="TBA-002",IF($E723="Evet",ROUND($C723*tba_oranIlave,2),0),IF($H723="TBA-004",IF($F723="Evet",ROUND($C723*tba_oranKadinGenc,2),0),IF($H723="TBA-ENG",IF($G723="Evet",ROUND($C723*tba_isverenOran,2),0),0)))))</f>
        <v/>
      </c>
      <c r="L723" s="31">
        <f>IF($A723="","",MAX(0,$J723-$K723))</f>
        <v/>
      </c>
    </row>
    <row r="724">
      <c r="I724" s="31">
        <f>IF($A724="","",IF($J724=0,"YOK",IF(AND($E724="Evet",ROUND($C724*tba_oranIlave,2)=$J724),"TBA-002",IF(AND($D724="Evet",ROUND($C724*tba_oranBesPuan,2)=$J724),"TBA-001",IF(AND($F724="Evet",ROUND($C724*tba_oranKadinGenc,2)=$J724),"TBA-004","TBA-ENG")))))</f>
        <v/>
      </c>
      <c r="J724" s="31">
        <f>IF($A724="","",MAX(IF($D724="Evet",ROUND($C724*tba_oranBesPuan,2),0),IF($E724="Evet",ROUND($C724*tba_oranIlave,2),0),IF($F724="Evet",ROUND($C724*tba_oranKadinGenc,2),0),IF($G724="Evet",ROUND($C724*tba_isverenOran,2),0)))</f>
        <v/>
      </c>
      <c r="K724" s="31">
        <f>IF($A724="","",IF($H724="TBA-001",IF($D724="Evet",ROUND($C724*tba_oranBesPuan,2),0),IF($H724="TBA-002",IF($E724="Evet",ROUND($C724*tba_oranIlave,2),0),IF($H724="TBA-004",IF($F724="Evet",ROUND($C724*tba_oranKadinGenc,2),0),IF($H724="TBA-ENG",IF($G724="Evet",ROUND($C724*tba_isverenOran,2),0),0)))))</f>
        <v/>
      </c>
      <c r="L724" s="31">
        <f>IF($A724="","",MAX(0,$J724-$K724))</f>
        <v/>
      </c>
    </row>
    <row r="725">
      <c r="I725" s="31">
        <f>IF($A725="","",IF($J725=0,"YOK",IF(AND($E725="Evet",ROUND($C725*tba_oranIlave,2)=$J725),"TBA-002",IF(AND($D725="Evet",ROUND($C725*tba_oranBesPuan,2)=$J725),"TBA-001",IF(AND($F725="Evet",ROUND($C725*tba_oranKadinGenc,2)=$J725),"TBA-004","TBA-ENG")))))</f>
        <v/>
      </c>
      <c r="J725" s="31">
        <f>IF($A725="","",MAX(IF($D725="Evet",ROUND($C725*tba_oranBesPuan,2),0),IF($E725="Evet",ROUND($C725*tba_oranIlave,2),0),IF($F725="Evet",ROUND($C725*tba_oranKadinGenc,2),0),IF($G725="Evet",ROUND($C725*tba_isverenOran,2),0)))</f>
        <v/>
      </c>
      <c r="K725" s="31">
        <f>IF($A725="","",IF($H725="TBA-001",IF($D725="Evet",ROUND($C725*tba_oranBesPuan,2),0),IF($H725="TBA-002",IF($E725="Evet",ROUND($C725*tba_oranIlave,2),0),IF($H725="TBA-004",IF($F725="Evet",ROUND($C725*tba_oranKadinGenc,2),0),IF($H725="TBA-ENG",IF($G725="Evet",ROUND($C725*tba_isverenOran,2),0),0)))))</f>
        <v/>
      </c>
      <c r="L725" s="31">
        <f>IF($A725="","",MAX(0,$J725-$K725))</f>
        <v/>
      </c>
    </row>
    <row r="726">
      <c r="I726" s="31">
        <f>IF($A726="","",IF($J726=0,"YOK",IF(AND($E726="Evet",ROUND($C726*tba_oranIlave,2)=$J726),"TBA-002",IF(AND($D726="Evet",ROUND($C726*tba_oranBesPuan,2)=$J726),"TBA-001",IF(AND($F726="Evet",ROUND($C726*tba_oranKadinGenc,2)=$J726),"TBA-004","TBA-ENG")))))</f>
        <v/>
      </c>
      <c r="J726" s="31">
        <f>IF($A726="","",MAX(IF($D726="Evet",ROUND($C726*tba_oranBesPuan,2),0),IF($E726="Evet",ROUND($C726*tba_oranIlave,2),0),IF($F726="Evet",ROUND($C726*tba_oranKadinGenc,2),0),IF($G726="Evet",ROUND($C726*tba_isverenOran,2),0)))</f>
        <v/>
      </c>
      <c r="K726" s="31">
        <f>IF($A726="","",IF($H726="TBA-001",IF($D726="Evet",ROUND($C726*tba_oranBesPuan,2),0),IF($H726="TBA-002",IF($E726="Evet",ROUND($C726*tba_oranIlave,2),0),IF($H726="TBA-004",IF($F726="Evet",ROUND($C726*tba_oranKadinGenc,2),0),IF($H726="TBA-ENG",IF($G726="Evet",ROUND($C726*tba_isverenOran,2),0),0)))))</f>
        <v/>
      </c>
      <c r="L726" s="31">
        <f>IF($A726="","",MAX(0,$J726-$K726))</f>
        <v/>
      </c>
    </row>
    <row r="727">
      <c r="I727" s="31">
        <f>IF($A727="","",IF($J727=0,"YOK",IF(AND($E727="Evet",ROUND($C727*tba_oranIlave,2)=$J727),"TBA-002",IF(AND($D727="Evet",ROUND($C727*tba_oranBesPuan,2)=$J727),"TBA-001",IF(AND($F727="Evet",ROUND($C727*tba_oranKadinGenc,2)=$J727),"TBA-004","TBA-ENG")))))</f>
        <v/>
      </c>
      <c r="J727" s="31">
        <f>IF($A727="","",MAX(IF($D727="Evet",ROUND($C727*tba_oranBesPuan,2),0),IF($E727="Evet",ROUND($C727*tba_oranIlave,2),0),IF($F727="Evet",ROUND($C727*tba_oranKadinGenc,2),0),IF($G727="Evet",ROUND($C727*tba_isverenOran,2),0)))</f>
        <v/>
      </c>
      <c r="K727" s="31">
        <f>IF($A727="","",IF($H727="TBA-001",IF($D727="Evet",ROUND($C727*tba_oranBesPuan,2),0),IF($H727="TBA-002",IF($E727="Evet",ROUND($C727*tba_oranIlave,2),0),IF($H727="TBA-004",IF($F727="Evet",ROUND($C727*tba_oranKadinGenc,2),0),IF($H727="TBA-ENG",IF($G727="Evet",ROUND($C727*tba_isverenOran,2),0),0)))))</f>
        <v/>
      </c>
      <c r="L727" s="31">
        <f>IF($A727="","",MAX(0,$J727-$K727))</f>
        <v/>
      </c>
    </row>
    <row r="728">
      <c r="I728" s="31">
        <f>IF($A728="","",IF($J728=0,"YOK",IF(AND($E728="Evet",ROUND($C728*tba_oranIlave,2)=$J728),"TBA-002",IF(AND($D728="Evet",ROUND($C728*tba_oranBesPuan,2)=$J728),"TBA-001",IF(AND($F728="Evet",ROUND($C728*tba_oranKadinGenc,2)=$J728),"TBA-004","TBA-ENG")))))</f>
        <v/>
      </c>
      <c r="J728" s="31">
        <f>IF($A728="","",MAX(IF($D728="Evet",ROUND($C728*tba_oranBesPuan,2),0),IF($E728="Evet",ROUND($C728*tba_oranIlave,2),0),IF($F728="Evet",ROUND($C728*tba_oranKadinGenc,2),0),IF($G728="Evet",ROUND($C728*tba_isverenOran,2),0)))</f>
        <v/>
      </c>
      <c r="K728" s="31">
        <f>IF($A728="","",IF($H728="TBA-001",IF($D728="Evet",ROUND($C728*tba_oranBesPuan,2),0),IF($H728="TBA-002",IF($E728="Evet",ROUND($C728*tba_oranIlave,2),0),IF($H728="TBA-004",IF($F728="Evet",ROUND($C728*tba_oranKadinGenc,2),0),IF($H728="TBA-ENG",IF($G728="Evet",ROUND($C728*tba_isverenOran,2),0),0)))))</f>
        <v/>
      </c>
      <c r="L728" s="31">
        <f>IF($A728="","",MAX(0,$J728-$K728))</f>
        <v/>
      </c>
    </row>
    <row r="729">
      <c r="I729" s="31">
        <f>IF($A729="","",IF($J729=0,"YOK",IF(AND($E729="Evet",ROUND($C729*tba_oranIlave,2)=$J729),"TBA-002",IF(AND($D729="Evet",ROUND($C729*tba_oranBesPuan,2)=$J729),"TBA-001",IF(AND($F729="Evet",ROUND($C729*tba_oranKadinGenc,2)=$J729),"TBA-004","TBA-ENG")))))</f>
        <v/>
      </c>
      <c r="J729" s="31">
        <f>IF($A729="","",MAX(IF($D729="Evet",ROUND($C729*tba_oranBesPuan,2),0),IF($E729="Evet",ROUND($C729*tba_oranIlave,2),0),IF($F729="Evet",ROUND($C729*tba_oranKadinGenc,2),0),IF($G729="Evet",ROUND($C729*tba_isverenOran,2),0)))</f>
        <v/>
      </c>
      <c r="K729" s="31">
        <f>IF($A729="","",IF($H729="TBA-001",IF($D729="Evet",ROUND($C729*tba_oranBesPuan,2),0),IF($H729="TBA-002",IF($E729="Evet",ROUND($C729*tba_oranIlave,2),0),IF($H729="TBA-004",IF($F729="Evet",ROUND($C729*tba_oranKadinGenc,2),0),IF($H729="TBA-ENG",IF($G729="Evet",ROUND($C729*tba_isverenOran,2),0),0)))))</f>
        <v/>
      </c>
      <c r="L729" s="31">
        <f>IF($A729="","",MAX(0,$J729-$K729))</f>
        <v/>
      </c>
    </row>
    <row r="730">
      <c r="I730" s="31">
        <f>IF($A730="","",IF($J730=0,"YOK",IF(AND($E730="Evet",ROUND($C730*tba_oranIlave,2)=$J730),"TBA-002",IF(AND($D730="Evet",ROUND($C730*tba_oranBesPuan,2)=$J730),"TBA-001",IF(AND($F730="Evet",ROUND($C730*tba_oranKadinGenc,2)=$J730),"TBA-004","TBA-ENG")))))</f>
        <v/>
      </c>
      <c r="J730" s="31">
        <f>IF($A730="","",MAX(IF($D730="Evet",ROUND($C730*tba_oranBesPuan,2),0),IF($E730="Evet",ROUND($C730*tba_oranIlave,2),0),IF($F730="Evet",ROUND($C730*tba_oranKadinGenc,2),0),IF($G730="Evet",ROUND($C730*tba_isverenOran,2),0)))</f>
        <v/>
      </c>
      <c r="K730" s="31">
        <f>IF($A730="","",IF($H730="TBA-001",IF($D730="Evet",ROUND($C730*tba_oranBesPuan,2),0),IF($H730="TBA-002",IF($E730="Evet",ROUND($C730*tba_oranIlave,2),0),IF($H730="TBA-004",IF($F730="Evet",ROUND($C730*tba_oranKadinGenc,2),0),IF($H730="TBA-ENG",IF($G730="Evet",ROUND($C730*tba_isverenOran,2),0),0)))))</f>
        <v/>
      </c>
      <c r="L730" s="31">
        <f>IF($A730="","",MAX(0,$J730-$K730))</f>
        <v/>
      </c>
    </row>
    <row r="731">
      <c r="I731" s="31">
        <f>IF($A731="","",IF($J731=0,"YOK",IF(AND($E731="Evet",ROUND($C731*tba_oranIlave,2)=$J731),"TBA-002",IF(AND($D731="Evet",ROUND($C731*tba_oranBesPuan,2)=$J731),"TBA-001",IF(AND($F731="Evet",ROUND($C731*tba_oranKadinGenc,2)=$J731),"TBA-004","TBA-ENG")))))</f>
        <v/>
      </c>
      <c r="J731" s="31">
        <f>IF($A731="","",MAX(IF($D731="Evet",ROUND($C731*tba_oranBesPuan,2),0),IF($E731="Evet",ROUND($C731*tba_oranIlave,2),0),IF($F731="Evet",ROUND($C731*tba_oranKadinGenc,2),0),IF($G731="Evet",ROUND($C731*tba_isverenOran,2),0)))</f>
        <v/>
      </c>
      <c r="K731" s="31">
        <f>IF($A731="","",IF($H731="TBA-001",IF($D731="Evet",ROUND($C731*tba_oranBesPuan,2),0),IF($H731="TBA-002",IF($E731="Evet",ROUND($C731*tba_oranIlave,2),0),IF($H731="TBA-004",IF($F731="Evet",ROUND($C731*tba_oranKadinGenc,2),0),IF($H731="TBA-ENG",IF($G731="Evet",ROUND($C731*tba_isverenOran,2),0),0)))))</f>
        <v/>
      </c>
      <c r="L731" s="31">
        <f>IF($A731="","",MAX(0,$J731-$K731))</f>
        <v/>
      </c>
    </row>
    <row r="732">
      <c r="I732" s="31">
        <f>IF($A732="","",IF($J732=0,"YOK",IF(AND($E732="Evet",ROUND($C732*tba_oranIlave,2)=$J732),"TBA-002",IF(AND($D732="Evet",ROUND($C732*tba_oranBesPuan,2)=$J732),"TBA-001",IF(AND($F732="Evet",ROUND($C732*tba_oranKadinGenc,2)=$J732),"TBA-004","TBA-ENG")))))</f>
        <v/>
      </c>
      <c r="J732" s="31">
        <f>IF($A732="","",MAX(IF($D732="Evet",ROUND($C732*tba_oranBesPuan,2),0),IF($E732="Evet",ROUND($C732*tba_oranIlave,2),0),IF($F732="Evet",ROUND($C732*tba_oranKadinGenc,2),0),IF($G732="Evet",ROUND($C732*tba_isverenOran,2),0)))</f>
        <v/>
      </c>
      <c r="K732" s="31">
        <f>IF($A732="","",IF($H732="TBA-001",IF($D732="Evet",ROUND($C732*tba_oranBesPuan,2),0),IF($H732="TBA-002",IF($E732="Evet",ROUND($C732*tba_oranIlave,2),0),IF($H732="TBA-004",IF($F732="Evet",ROUND($C732*tba_oranKadinGenc,2),0),IF($H732="TBA-ENG",IF($G732="Evet",ROUND($C732*tba_isverenOran,2),0),0)))))</f>
        <v/>
      </c>
      <c r="L732" s="31">
        <f>IF($A732="","",MAX(0,$J732-$K732))</f>
        <v/>
      </c>
    </row>
    <row r="733">
      <c r="I733" s="31">
        <f>IF($A733="","",IF($J733=0,"YOK",IF(AND($E733="Evet",ROUND($C733*tba_oranIlave,2)=$J733),"TBA-002",IF(AND($D733="Evet",ROUND($C733*tba_oranBesPuan,2)=$J733),"TBA-001",IF(AND($F733="Evet",ROUND($C733*tba_oranKadinGenc,2)=$J733),"TBA-004","TBA-ENG")))))</f>
        <v/>
      </c>
      <c r="J733" s="31">
        <f>IF($A733="","",MAX(IF($D733="Evet",ROUND($C733*tba_oranBesPuan,2),0),IF($E733="Evet",ROUND($C733*tba_oranIlave,2),0),IF($F733="Evet",ROUND($C733*tba_oranKadinGenc,2),0),IF($G733="Evet",ROUND($C733*tba_isverenOran,2),0)))</f>
        <v/>
      </c>
      <c r="K733" s="31">
        <f>IF($A733="","",IF($H733="TBA-001",IF($D733="Evet",ROUND($C733*tba_oranBesPuan,2),0),IF($H733="TBA-002",IF($E733="Evet",ROUND($C733*tba_oranIlave,2),0),IF($H733="TBA-004",IF($F733="Evet",ROUND($C733*tba_oranKadinGenc,2),0),IF($H733="TBA-ENG",IF($G733="Evet",ROUND($C733*tba_isverenOran,2),0),0)))))</f>
        <v/>
      </c>
      <c r="L733" s="31">
        <f>IF($A733="","",MAX(0,$J733-$K733))</f>
        <v/>
      </c>
    </row>
    <row r="734">
      <c r="I734" s="31">
        <f>IF($A734="","",IF($J734=0,"YOK",IF(AND($E734="Evet",ROUND($C734*tba_oranIlave,2)=$J734),"TBA-002",IF(AND($D734="Evet",ROUND($C734*tba_oranBesPuan,2)=$J734),"TBA-001",IF(AND($F734="Evet",ROUND($C734*tba_oranKadinGenc,2)=$J734),"TBA-004","TBA-ENG")))))</f>
        <v/>
      </c>
      <c r="J734" s="31">
        <f>IF($A734="","",MAX(IF($D734="Evet",ROUND($C734*tba_oranBesPuan,2),0),IF($E734="Evet",ROUND($C734*tba_oranIlave,2),0),IF($F734="Evet",ROUND($C734*tba_oranKadinGenc,2),0),IF($G734="Evet",ROUND($C734*tba_isverenOran,2),0)))</f>
        <v/>
      </c>
      <c r="K734" s="31">
        <f>IF($A734="","",IF($H734="TBA-001",IF($D734="Evet",ROUND($C734*tba_oranBesPuan,2),0),IF($H734="TBA-002",IF($E734="Evet",ROUND($C734*tba_oranIlave,2),0),IF($H734="TBA-004",IF($F734="Evet",ROUND($C734*tba_oranKadinGenc,2),0),IF($H734="TBA-ENG",IF($G734="Evet",ROUND($C734*tba_isverenOran,2),0),0)))))</f>
        <v/>
      </c>
      <c r="L734" s="31">
        <f>IF($A734="","",MAX(0,$J734-$K734))</f>
        <v/>
      </c>
    </row>
    <row r="735">
      <c r="I735" s="31">
        <f>IF($A735="","",IF($J735=0,"YOK",IF(AND($E735="Evet",ROUND($C735*tba_oranIlave,2)=$J735),"TBA-002",IF(AND($D735="Evet",ROUND($C735*tba_oranBesPuan,2)=$J735),"TBA-001",IF(AND($F735="Evet",ROUND($C735*tba_oranKadinGenc,2)=$J735),"TBA-004","TBA-ENG")))))</f>
        <v/>
      </c>
      <c r="J735" s="31">
        <f>IF($A735="","",MAX(IF($D735="Evet",ROUND($C735*tba_oranBesPuan,2),0),IF($E735="Evet",ROUND($C735*tba_oranIlave,2),0),IF($F735="Evet",ROUND($C735*tba_oranKadinGenc,2),0),IF($G735="Evet",ROUND($C735*tba_isverenOran,2),0)))</f>
        <v/>
      </c>
      <c r="K735" s="31">
        <f>IF($A735="","",IF($H735="TBA-001",IF($D735="Evet",ROUND($C735*tba_oranBesPuan,2),0),IF($H735="TBA-002",IF($E735="Evet",ROUND($C735*tba_oranIlave,2),0),IF($H735="TBA-004",IF($F735="Evet",ROUND($C735*tba_oranKadinGenc,2),0),IF($H735="TBA-ENG",IF($G735="Evet",ROUND($C735*tba_isverenOran,2),0),0)))))</f>
        <v/>
      </c>
      <c r="L735" s="31">
        <f>IF($A735="","",MAX(0,$J735-$K735))</f>
        <v/>
      </c>
    </row>
    <row r="736">
      <c r="I736" s="31">
        <f>IF($A736="","",IF($J736=0,"YOK",IF(AND($E736="Evet",ROUND($C736*tba_oranIlave,2)=$J736),"TBA-002",IF(AND($D736="Evet",ROUND($C736*tba_oranBesPuan,2)=$J736),"TBA-001",IF(AND($F736="Evet",ROUND($C736*tba_oranKadinGenc,2)=$J736),"TBA-004","TBA-ENG")))))</f>
        <v/>
      </c>
      <c r="J736" s="31">
        <f>IF($A736="","",MAX(IF($D736="Evet",ROUND($C736*tba_oranBesPuan,2),0),IF($E736="Evet",ROUND($C736*tba_oranIlave,2),0),IF($F736="Evet",ROUND($C736*tba_oranKadinGenc,2),0),IF($G736="Evet",ROUND($C736*tba_isverenOran,2),0)))</f>
        <v/>
      </c>
      <c r="K736" s="31">
        <f>IF($A736="","",IF($H736="TBA-001",IF($D736="Evet",ROUND($C736*tba_oranBesPuan,2),0),IF($H736="TBA-002",IF($E736="Evet",ROUND($C736*tba_oranIlave,2),0),IF($H736="TBA-004",IF($F736="Evet",ROUND($C736*tba_oranKadinGenc,2),0),IF($H736="TBA-ENG",IF($G736="Evet",ROUND($C736*tba_isverenOran,2),0),0)))))</f>
        <v/>
      </c>
      <c r="L736" s="31">
        <f>IF($A736="","",MAX(0,$J736-$K736))</f>
        <v/>
      </c>
    </row>
    <row r="737">
      <c r="I737" s="31">
        <f>IF($A737="","",IF($J737=0,"YOK",IF(AND($E737="Evet",ROUND($C737*tba_oranIlave,2)=$J737),"TBA-002",IF(AND($D737="Evet",ROUND($C737*tba_oranBesPuan,2)=$J737),"TBA-001",IF(AND($F737="Evet",ROUND($C737*tba_oranKadinGenc,2)=$J737),"TBA-004","TBA-ENG")))))</f>
        <v/>
      </c>
      <c r="J737" s="31">
        <f>IF($A737="","",MAX(IF($D737="Evet",ROUND($C737*tba_oranBesPuan,2),0),IF($E737="Evet",ROUND($C737*tba_oranIlave,2),0),IF($F737="Evet",ROUND($C737*tba_oranKadinGenc,2),0),IF($G737="Evet",ROUND($C737*tba_isverenOran,2),0)))</f>
        <v/>
      </c>
      <c r="K737" s="31">
        <f>IF($A737="","",IF($H737="TBA-001",IF($D737="Evet",ROUND($C737*tba_oranBesPuan,2),0),IF($H737="TBA-002",IF($E737="Evet",ROUND($C737*tba_oranIlave,2),0),IF($H737="TBA-004",IF($F737="Evet",ROUND($C737*tba_oranKadinGenc,2),0),IF($H737="TBA-ENG",IF($G737="Evet",ROUND($C737*tba_isverenOran,2),0),0)))))</f>
        <v/>
      </c>
      <c r="L737" s="31">
        <f>IF($A737="","",MAX(0,$J737-$K737))</f>
        <v/>
      </c>
    </row>
    <row r="738">
      <c r="I738" s="31">
        <f>IF($A738="","",IF($J738=0,"YOK",IF(AND($E738="Evet",ROUND($C738*tba_oranIlave,2)=$J738),"TBA-002",IF(AND($D738="Evet",ROUND($C738*tba_oranBesPuan,2)=$J738),"TBA-001",IF(AND($F738="Evet",ROUND($C738*tba_oranKadinGenc,2)=$J738),"TBA-004","TBA-ENG")))))</f>
        <v/>
      </c>
      <c r="J738" s="31">
        <f>IF($A738="","",MAX(IF($D738="Evet",ROUND($C738*tba_oranBesPuan,2),0),IF($E738="Evet",ROUND($C738*tba_oranIlave,2),0),IF($F738="Evet",ROUND($C738*tba_oranKadinGenc,2),0),IF($G738="Evet",ROUND($C738*tba_isverenOran,2),0)))</f>
        <v/>
      </c>
      <c r="K738" s="31">
        <f>IF($A738="","",IF($H738="TBA-001",IF($D738="Evet",ROUND($C738*tba_oranBesPuan,2),0),IF($H738="TBA-002",IF($E738="Evet",ROUND($C738*tba_oranIlave,2),0),IF($H738="TBA-004",IF($F738="Evet",ROUND($C738*tba_oranKadinGenc,2),0),IF($H738="TBA-ENG",IF($G738="Evet",ROUND($C738*tba_isverenOran,2),0),0)))))</f>
        <v/>
      </c>
      <c r="L738" s="31">
        <f>IF($A738="","",MAX(0,$J738-$K738))</f>
        <v/>
      </c>
    </row>
    <row r="739">
      <c r="I739" s="31">
        <f>IF($A739="","",IF($J739=0,"YOK",IF(AND($E739="Evet",ROUND($C739*tba_oranIlave,2)=$J739),"TBA-002",IF(AND($D739="Evet",ROUND($C739*tba_oranBesPuan,2)=$J739),"TBA-001",IF(AND($F739="Evet",ROUND($C739*tba_oranKadinGenc,2)=$J739),"TBA-004","TBA-ENG")))))</f>
        <v/>
      </c>
      <c r="J739" s="31">
        <f>IF($A739="","",MAX(IF($D739="Evet",ROUND($C739*tba_oranBesPuan,2),0),IF($E739="Evet",ROUND($C739*tba_oranIlave,2),0),IF($F739="Evet",ROUND($C739*tba_oranKadinGenc,2),0),IF($G739="Evet",ROUND($C739*tba_isverenOran,2),0)))</f>
        <v/>
      </c>
      <c r="K739" s="31">
        <f>IF($A739="","",IF($H739="TBA-001",IF($D739="Evet",ROUND($C739*tba_oranBesPuan,2),0),IF($H739="TBA-002",IF($E739="Evet",ROUND($C739*tba_oranIlave,2),0),IF($H739="TBA-004",IF($F739="Evet",ROUND($C739*tba_oranKadinGenc,2),0),IF($H739="TBA-ENG",IF($G739="Evet",ROUND($C739*tba_isverenOran,2),0),0)))))</f>
        <v/>
      </c>
      <c r="L739" s="31">
        <f>IF($A739="","",MAX(0,$J739-$K739))</f>
        <v/>
      </c>
    </row>
    <row r="740">
      <c r="I740" s="31">
        <f>IF($A740="","",IF($J740=0,"YOK",IF(AND($E740="Evet",ROUND($C740*tba_oranIlave,2)=$J740),"TBA-002",IF(AND($D740="Evet",ROUND($C740*tba_oranBesPuan,2)=$J740),"TBA-001",IF(AND($F740="Evet",ROUND($C740*tba_oranKadinGenc,2)=$J740),"TBA-004","TBA-ENG")))))</f>
        <v/>
      </c>
      <c r="J740" s="31">
        <f>IF($A740="","",MAX(IF($D740="Evet",ROUND($C740*tba_oranBesPuan,2),0),IF($E740="Evet",ROUND($C740*tba_oranIlave,2),0),IF($F740="Evet",ROUND($C740*tba_oranKadinGenc,2),0),IF($G740="Evet",ROUND($C740*tba_isverenOran,2),0)))</f>
        <v/>
      </c>
      <c r="K740" s="31">
        <f>IF($A740="","",IF($H740="TBA-001",IF($D740="Evet",ROUND($C740*tba_oranBesPuan,2),0),IF($H740="TBA-002",IF($E740="Evet",ROUND($C740*tba_oranIlave,2),0),IF($H740="TBA-004",IF($F740="Evet",ROUND($C740*tba_oranKadinGenc,2),0),IF($H740="TBA-ENG",IF($G740="Evet",ROUND($C740*tba_isverenOran,2),0),0)))))</f>
        <v/>
      </c>
      <c r="L740" s="31">
        <f>IF($A740="","",MAX(0,$J740-$K740))</f>
        <v/>
      </c>
    </row>
    <row r="741">
      <c r="I741" s="31">
        <f>IF($A741="","",IF($J741=0,"YOK",IF(AND($E741="Evet",ROUND($C741*tba_oranIlave,2)=$J741),"TBA-002",IF(AND($D741="Evet",ROUND($C741*tba_oranBesPuan,2)=$J741),"TBA-001",IF(AND($F741="Evet",ROUND($C741*tba_oranKadinGenc,2)=$J741),"TBA-004","TBA-ENG")))))</f>
        <v/>
      </c>
      <c r="J741" s="31">
        <f>IF($A741="","",MAX(IF($D741="Evet",ROUND($C741*tba_oranBesPuan,2),0),IF($E741="Evet",ROUND($C741*tba_oranIlave,2),0),IF($F741="Evet",ROUND($C741*tba_oranKadinGenc,2),0),IF($G741="Evet",ROUND($C741*tba_isverenOran,2),0)))</f>
        <v/>
      </c>
      <c r="K741" s="31">
        <f>IF($A741="","",IF($H741="TBA-001",IF($D741="Evet",ROUND($C741*tba_oranBesPuan,2),0),IF($H741="TBA-002",IF($E741="Evet",ROUND($C741*tba_oranIlave,2),0),IF($H741="TBA-004",IF($F741="Evet",ROUND($C741*tba_oranKadinGenc,2),0),IF($H741="TBA-ENG",IF($G741="Evet",ROUND($C741*tba_isverenOran,2),0),0)))))</f>
        <v/>
      </c>
      <c r="L741" s="31">
        <f>IF($A741="","",MAX(0,$J741-$K741))</f>
        <v/>
      </c>
    </row>
    <row r="742">
      <c r="I742" s="31">
        <f>IF($A742="","",IF($J742=0,"YOK",IF(AND($E742="Evet",ROUND($C742*tba_oranIlave,2)=$J742),"TBA-002",IF(AND($D742="Evet",ROUND($C742*tba_oranBesPuan,2)=$J742),"TBA-001",IF(AND($F742="Evet",ROUND($C742*tba_oranKadinGenc,2)=$J742),"TBA-004","TBA-ENG")))))</f>
        <v/>
      </c>
      <c r="J742" s="31">
        <f>IF($A742="","",MAX(IF($D742="Evet",ROUND($C742*tba_oranBesPuan,2),0),IF($E742="Evet",ROUND($C742*tba_oranIlave,2),0),IF($F742="Evet",ROUND($C742*tba_oranKadinGenc,2),0),IF($G742="Evet",ROUND($C742*tba_isverenOran,2),0)))</f>
        <v/>
      </c>
      <c r="K742" s="31">
        <f>IF($A742="","",IF($H742="TBA-001",IF($D742="Evet",ROUND($C742*tba_oranBesPuan,2),0),IF($H742="TBA-002",IF($E742="Evet",ROUND($C742*tba_oranIlave,2),0),IF($H742="TBA-004",IF($F742="Evet",ROUND($C742*tba_oranKadinGenc,2),0),IF($H742="TBA-ENG",IF($G742="Evet",ROUND($C742*tba_isverenOran,2),0),0)))))</f>
        <v/>
      </c>
      <c r="L742" s="31">
        <f>IF($A742="","",MAX(0,$J742-$K742))</f>
        <v/>
      </c>
    </row>
    <row r="743">
      <c r="I743" s="31">
        <f>IF($A743="","",IF($J743=0,"YOK",IF(AND($E743="Evet",ROUND($C743*tba_oranIlave,2)=$J743),"TBA-002",IF(AND($D743="Evet",ROUND($C743*tba_oranBesPuan,2)=$J743),"TBA-001",IF(AND($F743="Evet",ROUND($C743*tba_oranKadinGenc,2)=$J743),"TBA-004","TBA-ENG")))))</f>
        <v/>
      </c>
      <c r="J743" s="31">
        <f>IF($A743="","",MAX(IF($D743="Evet",ROUND($C743*tba_oranBesPuan,2),0),IF($E743="Evet",ROUND($C743*tba_oranIlave,2),0),IF($F743="Evet",ROUND($C743*tba_oranKadinGenc,2),0),IF($G743="Evet",ROUND($C743*tba_isverenOran,2),0)))</f>
        <v/>
      </c>
      <c r="K743" s="31">
        <f>IF($A743="","",IF($H743="TBA-001",IF($D743="Evet",ROUND($C743*tba_oranBesPuan,2),0),IF($H743="TBA-002",IF($E743="Evet",ROUND($C743*tba_oranIlave,2),0),IF($H743="TBA-004",IF($F743="Evet",ROUND($C743*tba_oranKadinGenc,2),0),IF($H743="TBA-ENG",IF($G743="Evet",ROUND($C743*tba_isverenOran,2),0),0)))))</f>
        <v/>
      </c>
      <c r="L743" s="31">
        <f>IF($A743="","",MAX(0,$J743-$K743))</f>
        <v/>
      </c>
    </row>
    <row r="744">
      <c r="I744" s="31">
        <f>IF($A744="","",IF($J744=0,"YOK",IF(AND($E744="Evet",ROUND($C744*tba_oranIlave,2)=$J744),"TBA-002",IF(AND($D744="Evet",ROUND($C744*tba_oranBesPuan,2)=$J744),"TBA-001",IF(AND($F744="Evet",ROUND($C744*tba_oranKadinGenc,2)=$J744),"TBA-004","TBA-ENG")))))</f>
        <v/>
      </c>
      <c r="J744" s="31">
        <f>IF($A744="","",MAX(IF($D744="Evet",ROUND($C744*tba_oranBesPuan,2),0),IF($E744="Evet",ROUND($C744*tba_oranIlave,2),0),IF($F744="Evet",ROUND($C744*tba_oranKadinGenc,2),0),IF($G744="Evet",ROUND($C744*tba_isverenOran,2),0)))</f>
        <v/>
      </c>
      <c r="K744" s="31">
        <f>IF($A744="","",IF($H744="TBA-001",IF($D744="Evet",ROUND($C744*tba_oranBesPuan,2),0),IF($H744="TBA-002",IF($E744="Evet",ROUND($C744*tba_oranIlave,2),0),IF($H744="TBA-004",IF($F744="Evet",ROUND($C744*tba_oranKadinGenc,2),0),IF($H744="TBA-ENG",IF($G744="Evet",ROUND($C744*tba_isverenOran,2),0),0)))))</f>
        <v/>
      </c>
      <c r="L744" s="31">
        <f>IF($A744="","",MAX(0,$J744-$K744))</f>
        <v/>
      </c>
    </row>
    <row r="745">
      <c r="I745" s="31">
        <f>IF($A745="","",IF($J745=0,"YOK",IF(AND($E745="Evet",ROUND($C745*tba_oranIlave,2)=$J745),"TBA-002",IF(AND($D745="Evet",ROUND($C745*tba_oranBesPuan,2)=$J745),"TBA-001",IF(AND($F745="Evet",ROUND($C745*tba_oranKadinGenc,2)=$J745),"TBA-004","TBA-ENG")))))</f>
        <v/>
      </c>
      <c r="J745" s="31">
        <f>IF($A745="","",MAX(IF($D745="Evet",ROUND($C745*tba_oranBesPuan,2),0),IF($E745="Evet",ROUND($C745*tba_oranIlave,2),0),IF($F745="Evet",ROUND($C745*tba_oranKadinGenc,2),0),IF($G745="Evet",ROUND($C745*tba_isverenOran,2),0)))</f>
        <v/>
      </c>
      <c r="K745" s="31">
        <f>IF($A745="","",IF($H745="TBA-001",IF($D745="Evet",ROUND($C745*tba_oranBesPuan,2),0),IF($H745="TBA-002",IF($E745="Evet",ROUND($C745*tba_oranIlave,2),0),IF($H745="TBA-004",IF($F745="Evet",ROUND($C745*tba_oranKadinGenc,2),0),IF($H745="TBA-ENG",IF($G745="Evet",ROUND($C745*tba_isverenOran,2),0),0)))))</f>
        <v/>
      </c>
      <c r="L745" s="31">
        <f>IF($A745="","",MAX(0,$J745-$K745))</f>
        <v/>
      </c>
    </row>
    <row r="746">
      <c r="I746" s="31">
        <f>IF($A746="","",IF($J746=0,"YOK",IF(AND($E746="Evet",ROUND($C746*tba_oranIlave,2)=$J746),"TBA-002",IF(AND($D746="Evet",ROUND($C746*tba_oranBesPuan,2)=$J746),"TBA-001",IF(AND($F746="Evet",ROUND($C746*tba_oranKadinGenc,2)=$J746),"TBA-004","TBA-ENG")))))</f>
        <v/>
      </c>
      <c r="J746" s="31">
        <f>IF($A746="","",MAX(IF($D746="Evet",ROUND($C746*tba_oranBesPuan,2),0),IF($E746="Evet",ROUND($C746*tba_oranIlave,2),0),IF($F746="Evet",ROUND($C746*tba_oranKadinGenc,2),0),IF($G746="Evet",ROUND($C746*tba_isverenOran,2),0)))</f>
        <v/>
      </c>
      <c r="K746" s="31">
        <f>IF($A746="","",IF($H746="TBA-001",IF($D746="Evet",ROUND($C746*tba_oranBesPuan,2),0),IF($H746="TBA-002",IF($E746="Evet",ROUND($C746*tba_oranIlave,2),0),IF($H746="TBA-004",IF($F746="Evet",ROUND($C746*tba_oranKadinGenc,2),0),IF($H746="TBA-ENG",IF($G746="Evet",ROUND($C746*tba_isverenOran,2),0),0)))))</f>
        <v/>
      </c>
      <c r="L746" s="31">
        <f>IF($A746="","",MAX(0,$J746-$K746))</f>
        <v/>
      </c>
    </row>
    <row r="747">
      <c r="I747" s="31">
        <f>IF($A747="","",IF($J747=0,"YOK",IF(AND($E747="Evet",ROUND($C747*tba_oranIlave,2)=$J747),"TBA-002",IF(AND($D747="Evet",ROUND($C747*tba_oranBesPuan,2)=$J747),"TBA-001",IF(AND($F747="Evet",ROUND($C747*tba_oranKadinGenc,2)=$J747),"TBA-004","TBA-ENG")))))</f>
        <v/>
      </c>
      <c r="J747" s="31">
        <f>IF($A747="","",MAX(IF($D747="Evet",ROUND($C747*tba_oranBesPuan,2),0),IF($E747="Evet",ROUND($C747*tba_oranIlave,2),0),IF($F747="Evet",ROUND($C747*tba_oranKadinGenc,2),0),IF($G747="Evet",ROUND($C747*tba_isverenOran,2),0)))</f>
        <v/>
      </c>
      <c r="K747" s="31">
        <f>IF($A747="","",IF($H747="TBA-001",IF($D747="Evet",ROUND($C747*tba_oranBesPuan,2),0),IF($H747="TBA-002",IF($E747="Evet",ROUND($C747*tba_oranIlave,2),0),IF($H747="TBA-004",IF($F747="Evet",ROUND($C747*tba_oranKadinGenc,2),0),IF($H747="TBA-ENG",IF($G747="Evet",ROUND($C747*tba_isverenOran,2),0),0)))))</f>
        <v/>
      </c>
      <c r="L747" s="31">
        <f>IF($A747="","",MAX(0,$J747-$K747))</f>
        <v/>
      </c>
    </row>
    <row r="748">
      <c r="I748" s="31">
        <f>IF($A748="","",IF($J748=0,"YOK",IF(AND($E748="Evet",ROUND($C748*tba_oranIlave,2)=$J748),"TBA-002",IF(AND($D748="Evet",ROUND($C748*tba_oranBesPuan,2)=$J748),"TBA-001",IF(AND($F748="Evet",ROUND($C748*tba_oranKadinGenc,2)=$J748),"TBA-004","TBA-ENG")))))</f>
        <v/>
      </c>
      <c r="J748" s="31">
        <f>IF($A748="","",MAX(IF($D748="Evet",ROUND($C748*tba_oranBesPuan,2),0),IF($E748="Evet",ROUND($C748*tba_oranIlave,2),0),IF($F748="Evet",ROUND($C748*tba_oranKadinGenc,2),0),IF($G748="Evet",ROUND($C748*tba_isverenOran,2),0)))</f>
        <v/>
      </c>
      <c r="K748" s="31">
        <f>IF($A748="","",IF($H748="TBA-001",IF($D748="Evet",ROUND($C748*tba_oranBesPuan,2),0),IF($H748="TBA-002",IF($E748="Evet",ROUND($C748*tba_oranIlave,2),0),IF($H748="TBA-004",IF($F748="Evet",ROUND($C748*tba_oranKadinGenc,2),0),IF($H748="TBA-ENG",IF($G748="Evet",ROUND($C748*tba_isverenOran,2),0),0)))))</f>
        <v/>
      </c>
      <c r="L748" s="31">
        <f>IF($A748="","",MAX(0,$J748-$K748))</f>
        <v/>
      </c>
    </row>
    <row r="749">
      <c r="I749" s="31">
        <f>IF($A749="","",IF($J749=0,"YOK",IF(AND($E749="Evet",ROUND($C749*tba_oranIlave,2)=$J749),"TBA-002",IF(AND($D749="Evet",ROUND($C749*tba_oranBesPuan,2)=$J749),"TBA-001",IF(AND($F749="Evet",ROUND($C749*tba_oranKadinGenc,2)=$J749),"TBA-004","TBA-ENG")))))</f>
        <v/>
      </c>
      <c r="J749" s="31">
        <f>IF($A749="","",MAX(IF($D749="Evet",ROUND($C749*tba_oranBesPuan,2),0),IF($E749="Evet",ROUND($C749*tba_oranIlave,2),0),IF($F749="Evet",ROUND($C749*tba_oranKadinGenc,2),0),IF($G749="Evet",ROUND($C749*tba_isverenOran,2),0)))</f>
        <v/>
      </c>
      <c r="K749" s="31">
        <f>IF($A749="","",IF($H749="TBA-001",IF($D749="Evet",ROUND($C749*tba_oranBesPuan,2),0),IF($H749="TBA-002",IF($E749="Evet",ROUND($C749*tba_oranIlave,2),0),IF($H749="TBA-004",IF($F749="Evet",ROUND($C749*tba_oranKadinGenc,2),0),IF($H749="TBA-ENG",IF($G749="Evet",ROUND($C749*tba_isverenOran,2),0),0)))))</f>
        <v/>
      </c>
      <c r="L749" s="31">
        <f>IF($A749="","",MAX(0,$J749-$K749))</f>
        <v/>
      </c>
    </row>
    <row r="750">
      <c r="I750" s="31">
        <f>IF($A750="","",IF($J750=0,"YOK",IF(AND($E750="Evet",ROUND($C750*tba_oranIlave,2)=$J750),"TBA-002",IF(AND($D750="Evet",ROUND($C750*tba_oranBesPuan,2)=$J750),"TBA-001",IF(AND($F750="Evet",ROUND($C750*tba_oranKadinGenc,2)=$J750),"TBA-004","TBA-ENG")))))</f>
        <v/>
      </c>
      <c r="J750" s="31">
        <f>IF($A750="","",MAX(IF($D750="Evet",ROUND($C750*tba_oranBesPuan,2),0),IF($E750="Evet",ROUND($C750*tba_oranIlave,2),0),IF($F750="Evet",ROUND($C750*tba_oranKadinGenc,2),0),IF($G750="Evet",ROUND($C750*tba_isverenOran,2),0)))</f>
        <v/>
      </c>
      <c r="K750" s="31">
        <f>IF($A750="","",IF($H750="TBA-001",IF($D750="Evet",ROUND($C750*tba_oranBesPuan,2),0),IF($H750="TBA-002",IF($E750="Evet",ROUND($C750*tba_oranIlave,2),0),IF($H750="TBA-004",IF($F750="Evet",ROUND($C750*tba_oranKadinGenc,2),0),IF($H750="TBA-ENG",IF($G750="Evet",ROUND($C750*tba_isverenOran,2),0),0)))))</f>
        <v/>
      </c>
      <c r="L750" s="31">
        <f>IF($A750="","",MAX(0,$J750-$K750))</f>
        <v/>
      </c>
    </row>
    <row r="751">
      <c r="I751" s="31">
        <f>IF($A751="","",IF($J751=0,"YOK",IF(AND($E751="Evet",ROUND($C751*tba_oranIlave,2)=$J751),"TBA-002",IF(AND($D751="Evet",ROUND($C751*tba_oranBesPuan,2)=$J751),"TBA-001",IF(AND($F751="Evet",ROUND($C751*tba_oranKadinGenc,2)=$J751),"TBA-004","TBA-ENG")))))</f>
        <v/>
      </c>
      <c r="J751" s="31">
        <f>IF($A751="","",MAX(IF($D751="Evet",ROUND($C751*tba_oranBesPuan,2),0),IF($E751="Evet",ROUND($C751*tba_oranIlave,2),0),IF($F751="Evet",ROUND($C751*tba_oranKadinGenc,2),0),IF($G751="Evet",ROUND($C751*tba_isverenOran,2),0)))</f>
        <v/>
      </c>
      <c r="K751" s="31">
        <f>IF($A751="","",IF($H751="TBA-001",IF($D751="Evet",ROUND($C751*tba_oranBesPuan,2),0),IF($H751="TBA-002",IF($E751="Evet",ROUND($C751*tba_oranIlave,2),0),IF($H751="TBA-004",IF($F751="Evet",ROUND($C751*tba_oranKadinGenc,2),0),IF($H751="TBA-ENG",IF($G751="Evet",ROUND($C751*tba_isverenOran,2),0),0)))))</f>
        <v/>
      </c>
      <c r="L751" s="31">
        <f>IF($A751="","",MAX(0,$J751-$K751))</f>
        <v/>
      </c>
    </row>
    <row r="752">
      <c r="I752" s="31">
        <f>IF($A752="","",IF($J752=0,"YOK",IF(AND($E752="Evet",ROUND($C752*tba_oranIlave,2)=$J752),"TBA-002",IF(AND($D752="Evet",ROUND($C752*tba_oranBesPuan,2)=$J752),"TBA-001",IF(AND($F752="Evet",ROUND($C752*tba_oranKadinGenc,2)=$J752),"TBA-004","TBA-ENG")))))</f>
        <v/>
      </c>
      <c r="J752" s="31">
        <f>IF($A752="","",MAX(IF($D752="Evet",ROUND($C752*tba_oranBesPuan,2),0),IF($E752="Evet",ROUND($C752*tba_oranIlave,2),0),IF($F752="Evet",ROUND($C752*tba_oranKadinGenc,2),0),IF($G752="Evet",ROUND($C752*tba_isverenOran,2),0)))</f>
        <v/>
      </c>
      <c r="K752" s="31">
        <f>IF($A752="","",IF($H752="TBA-001",IF($D752="Evet",ROUND($C752*tba_oranBesPuan,2),0),IF($H752="TBA-002",IF($E752="Evet",ROUND($C752*tba_oranIlave,2),0),IF($H752="TBA-004",IF($F752="Evet",ROUND($C752*tba_oranKadinGenc,2),0),IF($H752="TBA-ENG",IF($G752="Evet",ROUND($C752*tba_isverenOran,2),0),0)))))</f>
        <v/>
      </c>
      <c r="L752" s="31">
        <f>IF($A752="","",MAX(0,$J752-$K752))</f>
        <v/>
      </c>
    </row>
    <row r="753">
      <c r="I753" s="31">
        <f>IF($A753="","",IF($J753=0,"YOK",IF(AND($E753="Evet",ROUND($C753*tba_oranIlave,2)=$J753),"TBA-002",IF(AND($D753="Evet",ROUND($C753*tba_oranBesPuan,2)=$J753),"TBA-001",IF(AND($F753="Evet",ROUND($C753*tba_oranKadinGenc,2)=$J753),"TBA-004","TBA-ENG")))))</f>
        <v/>
      </c>
      <c r="J753" s="31">
        <f>IF($A753="","",MAX(IF($D753="Evet",ROUND($C753*tba_oranBesPuan,2),0),IF($E753="Evet",ROUND($C753*tba_oranIlave,2),0),IF($F753="Evet",ROUND($C753*tba_oranKadinGenc,2),0),IF($G753="Evet",ROUND($C753*tba_isverenOran,2),0)))</f>
        <v/>
      </c>
      <c r="K753" s="31">
        <f>IF($A753="","",IF($H753="TBA-001",IF($D753="Evet",ROUND($C753*tba_oranBesPuan,2),0),IF($H753="TBA-002",IF($E753="Evet",ROUND($C753*tba_oranIlave,2),0),IF($H753="TBA-004",IF($F753="Evet",ROUND($C753*tba_oranKadinGenc,2),0),IF($H753="TBA-ENG",IF($G753="Evet",ROUND($C753*tba_isverenOran,2),0),0)))))</f>
        <v/>
      </c>
      <c r="L753" s="31">
        <f>IF($A753="","",MAX(0,$J753-$K753))</f>
        <v/>
      </c>
    </row>
    <row r="754">
      <c r="I754" s="31">
        <f>IF($A754="","",IF($J754=0,"YOK",IF(AND($E754="Evet",ROUND($C754*tba_oranIlave,2)=$J754),"TBA-002",IF(AND($D754="Evet",ROUND($C754*tba_oranBesPuan,2)=$J754),"TBA-001",IF(AND($F754="Evet",ROUND($C754*tba_oranKadinGenc,2)=$J754),"TBA-004","TBA-ENG")))))</f>
        <v/>
      </c>
      <c r="J754" s="31">
        <f>IF($A754="","",MAX(IF($D754="Evet",ROUND($C754*tba_oranBesPuan,2),0),IF($E754="Evet",ROUND($C754*tba_oranIlave,2),0),IF($F754="Evet",ROUND($C754*tba_oranKadinGenc,2),0),IF($G754="Evet",ROUND($C754*tba_isverenOran,2),0)))</f>
        <v/>
      </c>
      <c r="K754" s="31">
        <f>IF($A754="","",IF($H754="TBA-001",IF($D754="Evet",ROUND($C754*tba_oranBesPuan,2),0),IF($H754="TBA-002",IF($E754="Evet",ROUND($C754*tba_oranIlave,2),0),IF($H754="TBA-004",IF($F754="Evet",ROUND($C754*tba_oranKadinGenc,2),0),IF($H754="TBA-ENG",IF($G754="Evet",ROUND($C754*tba_isverenOran,2),0),0)))))</f>
        <v/>
      </c>
      <c r="L754" s="31">
        <f>IF($A754="","",MAX(0,$J754-$K754))</f>
        <v/>
      </c>
    </row>
    <row r="755">
      <c r="I755" s="31">
        <f>IF($A755="","",IF($J755=0,"YOK",IF(AND($E755="Evet",ROUND($C755*tba_oranIlave,2)=$J755),"TBA-002",IF(AND($D755="Evet",ROUND($C755*tba_oranBesPuan,2)=$J755),"TBA-001",IF(AND($F755="Evet",ROUND($C755*tba_oranKadinGenc,2)=$J755),"TBA-004","TBA-ENG")))))</f>
        <v/>
      </c>
      <c r="J755" s="31">
        <f>IF($A755="","",MAX(IF($D755="Evet",ROUND($C755*tba_oranBesPuan,2),0),IF($E755="Evet",ROUND($C755*tba_oranIlave,2),0),IF($F755="Evet",ROUND($C755*tba_oranKadinGenc,2),0),IF($G755="Evet",ROUND($C755*tba_isverenOran,2),0)))</f>
        <v/>
      </c>
      <c r="K755" s="31">
        <f>IF($A755="","",IF($H755="TBA-001",IF($D755="Evet",ROUND($C755*tba_oranBesPuan,2),0),IF($H755="TBA-002",IF($E755="Evet",ROUND($C755*tba_oranIlave,2),0),IF($H755="TBA-004",IF($F755="Evet",ROUND($C755*tba_oranKadinGenc,2),0),IF($H755="TBA-ENG",IF($G755="Evet",ROUND($C755*tba_isverenOran,2),0),0)))))</f>
        <v/>
      </c>
      <c r="L755" s="31">
        <f>IF($A755="","",MAX(0,$J755-$K755))</f>
        <v/>
      </c>
    </row>
    <row r="756">
      <c r="I756" s="31">
        <f>IF($A756="","",IF($J756=0,"YOK",IF(AND($E756="Evet",ROUND($C756*tba_oranIlave,2)=$J756),"TBA-002",IF(AND($D756="Evet",ROUND($C756*tba_oranBesPuan,2)=$J756),"TBA-001",IF(AND($F756="Evet",ROUND($C756*tba_oranKadinGenc,2)=$J756),"TBA-004","TBA-ENG")))))</f>
        <v/>
      </c>
      <c r="J756" s="31">
        <f>IF($A756="","",MAX(IF($D756="Evet",ROUND($C756*tba_oranBesPuan,2),0),IF($E756="Evet",ROUND($C756*tba_oranIlave,2),0),IF($F756="Evet",ROUND($C756*tba_oranKadinGenc,2),0),IF($G756="Evet",ROUND($C756*tba_isverenOran,2),0)))</f>
        <v/>
      </c>
      <c r="K756" s="31">
        <f>IF($A756="","",IF($H756="TBA-001",IF($D756="Evet",ROUND($C756*tba_oranBesPuan,2),0),IF($H756="TBA-002",IF($E756="Evet",ROUND($C756*tba_oranIlave,2),0),IF($H756="TBA-004",IF($F756="Evet",ROUND($C756*tba_oranKadinGenc,2),0),IF($H756="TBA-ENG",IF($G756="Evet",ROUND($C756*tba_isverenOran,2),0),0)))))</f>
        <v/>
      </c>
      <c r="L756" s="31">
        <f>IF($A756="","",MAX(0,$J756-$K756))</f>
        <v/>
      </c>
    </row>
    <row r="757">
      <c r="I757" s="31">
        <f>IF($A757="","",IF($J757=0,"YOK",IF(AND($E757="Evet",ROUND($C757*tba_oranIlave,2)=$J757),"TBA-002",IF(AND($D757="Evet",ROUND($C757*tba_oranBesPuan,2)=$J757),"TBA-001",IF(AND($F757="Evet",ROUND($C757*tba_oranKadinGenc,2)=$J757),"TBA-004","TBA-ENG")))))</f>
        <v/>
      </c>
      <c r="J757" s="31">
        <f>IF($A757="","",MAX(IF($D757="Evet",ROUND($C757*tba_oranBesPuan,2),0),IF($E757="Evet",ROUND($C757*tba_oranIlave,2),0),IF($F757="Evet",ROUND($C757*tba_oranKadinGenc,2),0),IF($G757="Evet",ROUND($C757*tba_isverenOran,2),0)))</f>
        <v/>
      </c>
      <c r="K757" s="31">
        <f>IF($A757="","",IF($H757="TBA-001",IF($D757="Evet",ROUND($C757*tba_oranBesPuan,2),0),IF($H757="TBA-002",IF($E757="Evet",ROUND($C757*tba_oranIlave,2),0),IF($H757="TBA-004",IF($F757="Evet",ROUND($C757*tba_oranKadinGenc,2),0),IF($H757="TBA-ENG",IF($G757="Evet",ROUND($C757*tba_isverenOran,2),0),0)))))</f>
        <v/>
      </c>
      <c r="L757" s="31">
        <f>IF($A757="","",MAX(0,$J757-$K757))</f>
        <v/>
      </c>
    </row>
    <row r="758">
      <c r="I758" s="31">
        <f>IF($A758="","",IF($J758=0,"YOK",IF(AND($E758="Evet",ROUND($C758*tba_oranIlave,2)=$J758),"TBA-002",IF(AND($D758="Evet",ROUND($C758*tba_oranBesPuan,2)=$J758),"TBA-001",IF(AND($F758="Evet",ROUND($C758*tba_oranKadinGenc,2)=$J758),"TBA-004","TBA-ENG")))))</f>
        <v/>
      </c>
      <c r="J758" s="31">
        <f>IF($A758="","",MAX(IF($D758="Evet",ROUND($C758*tba_oranBesPuan,2),0),IF($E758="Evet",ROUND($C758*tba_oranIlave,2),0),IF($F758="Evet",ROUND($C758*tba_oranKadinGenc,2),0),IF($G758="Evet",ROUND($C758*tba_isverenOran,2),0)))</f>
        <v/>
      </c>
      <c r="K758" s="31">
        <f>IF($A758="","",IF($H758="TBA-001",IF($D758="Evet",ROUND($C758*tba_oranBesPuan,2),0),IF($H758="TBA-002",IF($E758="Evet",ROUND($C758*tba_oranIlave,2),0),IF($H758="TBA-004",IF($F758="Evet",ROUND($C758*tba_oranKadinGenc,2),0),IF($H758="TBA-ENG",IF($G758="Evet",ROUND($C758*tba_isverenOran,2),0),0)))))</f>
        <v/>
      </c>
      <c r="L758" s="31">
        <f>IF($A758="","",MAX(0,$J758-$K758))</f>
        <v/>
      </c>
    </row>
    <row r="759">
      <c r="I759" s="31">
        <f>IF($A759="","",IF($J759=0,"YOK",IF(AND($E759="Evet",ROUND($C759*tba_oranIlave,2)=$J759),"TBA-002",IF(AND($D759="Evet",ROUND($C759*tba_oranBesPuan,2)=$J759),"TBA-001",IF(AND($F759="Evet",ROUND($C759*tba_oranKadinGenc,2)=$J759),"TBA-004","TBA-ENG")))))</f>
        <v/>
      </c>
      <c r="J759" s="31">
        <f>IF($A759="","",MAX(IF($D759="Evet",ROUND($C759*tba_oranBesPuan,2),0),IF($E759="Evet",ROUND($C759*tba_oranIlave,2),0),IF($F759="Evet",ROUND($C759*tba_oranKadinGenc,2),0),IF($G759="Evet",ROUND($C759*tba_isverenOran,2),0)))</f>
        <v/>
      </c>
      <c r="K759" s="31">
        <f>IF($A759="","",IF($H759="TBA-001",IF($D759="Evet",ROUND($C759*tba_oranBesPuan,2),0),IF($H759="TBA-002",IF($E759="Evet",ROUND($C759*tba_oranIlave,2),0),IF($H759="TBA-004",IF($F759="Evet",ROUND($C759*tba_oranKadinGenc,2),0),IF($H759="TBA-ENG",IF($G759="Evet",ROUND($C759*tba_isverenOran,2),0),0)))))</f>
        <v/>
      </c>
      <c r="L759" s="31">
        <f>IF($A759="","",MAX(0,$J759-$K759))</f>
        <v/>
      </c>
    </row>
    <row r="760">
      <c r="I760" s="31">
        <f>IF($A760="","",IF($J760=0,"YOK",IF(AND($E760="Evet",ROUND($C760*tba_oranIlave,2)=$J760),"TBA-002",IF(AND($D760="Evet",ROUND($C760*tba_oranBesPuan,2)=$J760),"TBA-001",IF(AND($F760="Evet",ROUND($C760*tba_oranKadinGenc,2)=$J760),"TBA-004","TBA-ENG")))))</f>
        <v/>
      </c>
      <c r="J760" s="31">
        <f>IF($A760="","",MAX(IF($D760="Evet",ROUND($C760*tba_oranBesPuan,2),0),IF($E760="Evet",ROUND($C760*tba_oranIlave,2),0),IF($F760="Evet",ROUND($C760*tba_oranKadinGenc,2),0),IF($G760="Evet",ROUND($C760*tba_isverenOran,2),0)))</f>
        <v/>
      </c>
      <c r="K760" s="31">
        <f>IF($A760="","",IF($H760="TBA-001",IF($D760="Evet",ROUND($C760*tba_oranBesPuan,2),0),IF($H760="TBA-002",IF($E760="Evet",ROUND($C760*tba_oranIlave,2),0),IF($H760="TBA-004",IF($F760="Evet",ROUND($C760*tba_oranKadinGenc,2),0),IF($H760="TBA-ENG",IF($G760="Evet",ROUND($C760*tba_isverenOran,2),0),0)))))</f>
        <v/>
      </c>
      <c r="L760" s="31">
        <f>IF($A760="","",MAX(0,$J760-$K760))</f>
        <v/>
      </c>
    </row>
    <row r="761">
      <c r="I761" s="31">
        <f>IF($A761="","",IF($J761=0,"YOK",IF(AND($E761="Evet",ROUND($C761*tba_oranIlave,2)=$J761),"TBA-002",IF(AND($D761="Evet",ROUND($C761*tba_oranBesPuan,2)=$J761),"TBA-001",IF(AND($F761="Evet",ROUND($C761*tba_oranKadinGenc,2)=$J761),"TBA-004","TBA-ENG")))))</f>
        <v/>
      </c>
      <c r="J761" s="31">
        <f>IF($A761="","",MAX(IF($D761="Evet",ROUND($C761*tba_oranBesPuan,2),0),IF($E761="Evet",ROUND($C761*tba_oranIlave,2),0),IF($F761="Evet",ROUND($C761*tba_oranKadinGenc,2),0),IF($G761="Evet",ROUND($C761*tba_isverenOran,2),0)))</f>
        <v/>
      </c>
      <c r="K761" s="31">
        <f>IF($A761="","",IF($H761="TBA-001",IF($D761="Evet",ROUND($C761*tba_oranBesPuan,2),0),IF($H761="TBA-002",IF($E761="Evet",ROUND($C761*tba_oranIlave,2),0),IF($H761="TBA-004",IF($F761="Evet",ROUND($C761*tba_oranKadinGenc,2),0),IF($H761="TBA-ENG",IF($G761="Evet",ROUND($C761*tba_isverenOran,2),0),0)))))</f>
        <v/>
      </c>
      <c r="L761" s="31">
        <f>IF($A761="","",MAX(0,$J761-$K761))</f>
        <v/>
      </c>
    </row>
    <row r="762">
      <c r="I762" s="31">
        <f>IF($A762="","",IF($J762=0,"YOK",IF(AND($E762="Evet",ROUND($C762*tba_oranIlave,2)=$J762),"TBA-002",IF(AND($D762="Evet",ROUND($C762*tba_oranBesPuan,2)=$J762),"TBA-001",IF(AND($F762="Evet",ROUND($C762*tba_oranKadinGenc,2)=$J762),"TBA-004","TBA-ENG")))))</f>
        <v/>
      </c>
      <c r="J762" s="31">
        <f>IF($A762="","",MAX(IF($D762="Evet",ROUND($C762*tba_oranBesPuan,2),0),IF($E762="Evet",ROUND($C762*tba_oranIlave,2),0),IF($F762="Evet",ROUND($C762*tba_oranKadinGenc,2),0),IF($G762="Evet",ROUND($C762*tba_isverenOran,2),0)))</f>
        <v/>
      </c>
      <c r="K762" s="31">
        <f>IF($A762="","",IF($H762="TBA-001",IF($D762="Evet",ROUND($C762*tba_oranBesPuan,2),0),IF($H762="TBA-002",IF($E762="Evet",ROUND($C762*tba_oranIlave,2),0),IF($H762="TBA-004",IF($F762="Evet",ROUND($C762*tba_oranKadinGenc,2),0),IF($H762="TBA-ENG",IF($G762="Evet",ROUND($C762*tba_isverenOran,2),0),0)))))</f>
        <v/>
      </c>
      <c r="L762" s="31">
        <f>IF($A762="","",MAX(0,$J762-$K762))</f>
        <v/>
      </c>
    </row>
    <row r="763">
      <c r="I763" s="31">
        <f>IF($A763="","",IF($J763=0,"YOK",IF(AND($E763="Evet",ROUND($C763*tba_oranIlave,2)=$J763),"TBA-002",IF(AND($D763="Evet",ROUND($C763*tba_oranBesPuan,2)=$J763),"TBA-001",IF(AND($F763="Evet",ROUND($C763*tba_oranKadinGenc,2)=$J763),"TBA-004","TBA-ENG")))))</f>
        <v/>
      </c>
      <c r="J763" s="31">
        <f>IF($A763="","",MAX(IF($D763="Evet",ROUND($C763*tba_oranBesPuan,2),0),IF($E763="Evet",ROUND($C763*tba_oranIlave,2),0),IF($F763="Evet",ROUND($C763*tba_oranKadinGenc,2),0),IF($G763="Evet",ROUND($C763*tba_isverenOran,2),0)))</f>
        <v/>
      </c>
      <c r="K763" s="31">
        <f>IF($A763="","",IF($H763="TBA-001",IF($D763="Evet",ROUND($C763*tba_oranBesPuan,2),0),IF($H763="TBA-002",IF($E763="Evet",ROUND($C763*tba_oranIlave,2),0),IF($H763="TBA-004",IF($F763="Evet",ROUND($C763*tba_oranKadinGenc,2),0),IF($H763="TBA-ENG",IF($G763="Evet",ROUND($C763*tba_isverenOran,2),0),0)))))</f>
        <v/>
      </c>
      <c r="L763" s="31">
        <f>IF($A763="","",MAX(0,$J763-$K763))</f>
        <v/>
      </c>
    </row>
    <row r="764">
      <c r="I764" s="31">
        <f>IF($A764="","",IF($J764=0,"YOK",IF(AND($E764="Evet",ROUND($C764*tba_oranIlave,2)=$J764),"TBA-002",IF(AND($D764="Evet",ROUND($C764*tba_oranBesPuan,2)=$J764),"TBA-001",IF(AND($F764="Evet",ROUND($C764*tba_oranKadinGenc,2)=$J764),"TBA-004","TBA-ENG")))))</f>
        <v/>
      </c>
      <c r="J764" s="31">
        <f>IF($A764="","",MAX(IF($D764="Evet",ROUND($C764*tba_oranBesPuan,2),0),IF($E764="Evet",ROUND($C764*tba_oranIlave,2),0),IF($F764="Evet",ROUND($C764*tba_oranKadinGenc,2),0),IF($G764="Evet",ROUND($C764*tba_isverenOran,2),0)))</f>
        <v/>
      </c>
      <c r="K764" s="31">
        <f>IF($A764="","",IF($H764="TBA-001",IF($D764="Evet",ROUND($C764*tba_oranBesPuan,2),0),IF($H764="TBA-002",IF($E764="Evet",ROUND($C764*tba_oranIlave,2),0),IF($H764="TBA-004",IF($F764="Evet",ROUND($C764*tba_oranKadinGenc,2),0),IF($H764="TBA-ENG",IF($G764="Evet",ROUND($C764*tba_isverenOran,2),0),0)))))</f>
        <v/>
      </c>
      <c r="L764" s="31">
        <f>IF($A764="","",MAX(0,$J764-$K764))</f>
        <v/>
      </c>
    </row>
    <row r="765">
      <c r="I765" s="31">
        <f>IF($A765="","",IF($J765=0,"YOK",IF(AND($E765="Evet",ROUND($C765*tba_oranIlave,2)=$J765),"TBA-002",IF(AND($D765="Evet",ROUND($C765*tba_oranBesPuan,2)=$J765),"TBA-001",IF(AND($F765="Evet",ROUND($C765*tba_oranKadinGenc,2)=$J765),"TBA-004","TBA-ENG")))))</f>
        <v/>
      </c>
      <c r="J765" s="31">
        <f>IF($A765="","",MAX(IF($D765="Evet",ROUND($C765*tba_oranBesPuan,2),0),IF($E765="Evet",ROUND($C765*tba_oranIlave,2),0),IF($F765="Evet",ROUND($C765*tba_oranKadinGenc,2),0),IF($G765="Evet",ROUND($C765*tba_isverenOran,2),0)))</f>
        <v/>
      </c>
      <c r="K765" s="31">
        <f>IF($A765="","",IF($H765="TBA-001",IF($D765="Evet",ROUND($C765*tba_oranBesPuan,2),0),IF($H765="TBA-002",IF($E765="Evet",ROUND($C765*tba_oranIlave,2),0),IF($H765="TBA-004",IF($F765="Evet",ROUND($C765*tba_oranKadinGenc,2),0),IF($H765="TBA-ENG",IF($G765="Evet",ROUND($C765*tba_isverenOran,2),0),0)))))</f>
        <v/>
      </c>
      <c r="L765" s="31">
        <f>IF($A765="","",MAX(0,$J765-$K765))</f>
        <v/>
      </c>
    </row>
    <row r="766">
      <c r="I766" s="31">
        <f>IF($A766="","",IF($J766=0,"YOK",IF(AND($E766="Evet",ROUND($C766*tba_oranIlave,2)=$J766),"TBA-002",IF(AND($D766="Evet",ROUND($C766*tba_oranBesPuan,2)=$J766),"TBA-001",IF(AND($F766="Evet",ROUND($C766*tba_oranKadinGenc,2)=$J766),"TBA-004","TBA-ENG")))))</f>
        <v/>
      </c>
      <c r="J766" s="31">
        <f>IF($A766="","",MAX(IF($D766="Evet",ROUND($C766*tba_oranBesPuan,2),0),IF($E766="Evet",ROUND($C766*tba_oranIlave,2),0),IF($F766="Evet",ROUND($C766*tba_oranKadinGenc,2),0),IF($G766="Evet",ROUND($C766*tba_isverenOran,2),0)))</f>
        <v/>
      </c>
      <c r="K766" s="31">
        <f>IF($A766="","",IF($H766="TBA-001",IF($D766="Evet",ROUND($C766*tba_oranBesPuan,2),0),IF($H766="TBA-002",IF($E766="Evet",ROUND($C766*tba_oranIlave,2),0),IF($H766="TBA-004",IF($F766="Evet",ROUND($C766*tba_oranKadinGenc,2),0),IF($H766="TBA-ENG",IF($G766="Evet",ROUND($C766*tba_isverenOran,2),0),0)))))</f>
        <v/>
      </c>
      <c r="L766" s="31">
        <f>IF($A766="","",MAX(0,$J766-$K766))</f>
        <v/>
      </c>
    </row>
    <row r="767">
      <c r="I767" s="31">
        <f>IF($A767="","",IF($J767=0,"YOK",IF(AND($E767="Evet",ROUND($C767*tba_oranIlave,2)=$J767),"TBA-002",IF(AND($D767="Evet",ROUND($C767*tba_oranBesPuan,2)=$J767),"TBA-001",IF(AND($F767="Evet",ROUND($C767*tba_oranKadinGenc,2)=$J767),"TBA-004","TBA-ENG")))))</f>
        <v/>
      </c>
      <c r="J767" s="31">
        <f>IF($A767="","",MAX(IF($D767="Evet",ROUND($C767*tba_oranBesPuan,2),0),IF($E767="Evet",ROUND($C767*tba_oranIlave,2),0),IF($F767="Evet",ROUND($C767*tba_oranKadinGenc,2),0),IF($G767="Evet",ROUND($C767*tba_isverenOran,2),0)))</f>
        <v/>
      </c>
      <c r="K767" s="31">
        <f>IF($A767="","",IF($H767="TBA-001",IF($D767="Evet",ROUND($C767*tba_oranBesPuan,2),0),IF($H767="TBA-002",IF($E767="Evet",ROUND($C767*tba_oranIlave,2),0),IF($H767="TBA-004",IF($F767="Evet",ROUND($C767*tba_oranKadinGenc,2),0),IF($H767="TBA-ENG",IF($G767="Evet",ROUND($C767*tba_isverenOran,2),0),0)))))</f>
        <v/>
      </c>
      <c r="L767" s="31">
        <f>IF($A767="","",MAX(0,$J767-$K767))</f>
        <v/>
      </c>
    </row>
    <row r="768">
      <c r="I768" s="31">
        <f>IF($A768="","",IF($J768=0,"YOK",IF(AND($E768="Evet",ROUND($C768*tba_oranIlave,2)=$J768),"TBA-002",IF(AND($D768="Evet",ROUND($C768*tba_oranBesPuan,2)=$J768),"TBA-001",IF(AND($F768="Evet",ROUND($C768*tba_oranKadinGenc,2)=$J768),"TBA-004","TBA-ENG")))))</f>
        <v/>
      </c>
      <c r="J768" s="31">
        <f>IF($A768="","",MAX(IF($D768="Evet",ROUND($C768*tba_oranBesPuan,2),0),IF($E768="Evet",ROUND($C768*tba_oranIlave,2),0),IF($F768="Evet",ROUND($C768*tba_oranKadinGenc,2),0),IF($G768="Evet",ROUND($C768*tba_isverenOran,2),0)))</f>
        <v/>
      </c>
      <c r="K768" s="31">
        <f>IF($A768="","",IF($H768="TBA-001",IF($D768="Evet",ROUND($C768*tba_oranBesPuan,2),0),IF($H768="TBA-002",IF($E768="Evet",ROUND($C768*tba_oranIlave,2),0),IF($H768="TBA-004",IF($F768="Evet",ROUND($C768*tba_oranKadinGenc,2),0),IF($H768="TBA-ENG",IF($G768="Evet",ROUND($C768*tba_isverenOran,2),0),0)))))</f>
        <v/>
      </c>
      <c r="L768" s="31">
        <f>IF($A768="","",MAX(0,$J768-$K768))</f>
        <v/>
      </c>
    </row>
    <row r="769">
      <c r="I769" s="31">
        <f>IF($A769="","",IF($J769=0,"YOK",IF(AND($E769="Evet",ROUND($C769*tba_oranIlave,2)=$J769),"TBA-002",IF(AND($D769="Evet",ROUND($C769*tba_oranBesPuan,2)=$J769),"TBA-001",IF(AND($F769="Evet",ROUND($C769*tba_oranKadinGenc,2)=$J769),"TBA-004","TBA-ENG")))))</f>
        <v/>
      </c>
      <c r="J769" s="31">
        <f>IF($A769="","",MAX(IF($D769="Evet",ROUND($C769*tba_oranBesPuan,2),0),IF($E769="Evet",ROUND($C769*tba_oranIlave,2),0),IF($F769="Evet",ROUND($C769*tba_oranKadinGenc,2),0),IF($G769="Evet",ROUND($C769*tba_isverenOran,2),0)))</f>
        <v/>
      </c>
      <c r="K769" s="31">
        <f>IF($A769="","",IF($H769="TBA-001",IF($D769="Evet",ROUND($C769*tba_oranBesPuan,2),0),IF($H769="TBA-002",IF($E769="Evet",ROUND($C769*tba_oranIlave,2),0),IF($H769="TBA-004",IF($F769="Evet",ROUND($C769*tba_oranKadinGenc,2),0),IF($H769="TBA-ENG",IF($G769="Evet",ROUND($C769*tba_isverenOran,2),0),0)))))</f>
        <v/>
      </c>
      <c r="L769" s="31">
        <f>IF($A769="","",MAX(0,$J769-$K769))</f>
        <v/>
      </c>
    </row>
    <row r="770">
      <c r="I770" s="31">
        <f>IF($A770="","",IF($J770=0,"YOK",IF(AND($E770="Evet",ROUND($C770*tba_oranIlave,2)=$J770),"TBA-002",IF(AND($D770="Evet",ROUND($C770*tba_oranBesPuan,2)=$J770),"TBA-001",IF(AND($F770="Evet",ROUND($C770*tba_oranKadinGenc,2)=$J770),"TBA-004","TBA-ENG")))))</f>
        <v/>
      </c>
      <c r="J770" s="31">
        <f>IF($A770="","",MAX(IF($D770="Evet",ROUND($C770*tba_oranBesPuan,2),0),IF($E770="Evet",ROUND($C770*tba_oranIlave,2),0),IF($F770="Evet",ROUND($C770*tba_oranKadinGenc,2),0),IF($G770="Evet",ROUND($C770*tba_isverenOran,2),0)))</f>
        <v/>
      </c>
      <c r="K770" s="31">
        <f>IF($A770="","",IF($H770="TBA-001",IF($D770="Evet",ROUND($C770*tba_oranBesPuan,2),0),IF($H770="TBA-002",IF($E770="Evet",ROUND($C770*tba_oranIlave,2),0),IF($H770="TBA-004",IF($F770="Evet",ROUND($C770*tba_oranKadinGenc,2),0),IF($H770="TBA-ENG",IF($G770="Evet",ROUND($C770*tba_isverenOran,2),0),0)))))</f>
        <v/>
      </c>
      <c r="L770" s="31">
        <f>IF($A770="","",MAX(0,$J770-$K770))</f>
        <v/>
      </c>
    </row>
    <row r="771">
      <c r="I771" s="31">
        <f>IF($A771="","",IF($J771=0,"YOK",IF(AND($E771="Evet",ROUND($C771*tba_oranIlave,2)=$J771),"TBA-002",IF(AND($D771="Evet",ROUND($C771*tba_oranBesPuan,2)=$J771),"TBA-001",IF(AND($F771="Evet",ROUND($C771*tba_oranKadinGenc,2)=$J771),"TBA-004","TBA-ENG")))))</f>
        <v/>
      </c>
      <c r="J771" s="31">
        <f>IF($A771="","",MAX(IF($D771="Evet",ROUND($C771*tba_oranBesPuan,2),0),IF($E771="Evet",ROUND($C771*tba_oranIlave,2),0),IF($F771="Evet",ROUND($C771*tba_oranKadinGenc,2),0),IF($G771="Evet",ROUND($C771*tba_isverenOran,2),0)))</f>
        <v/>
      </c>
      <c r="K771" s="31">
        <f>IF($A771="","",IF($H771="TBA-001",IF($D771="Evet",ROUND($C771*tba_oranBesPuan,2),0),IF($H771="TBA-002",IF($E771="Evet",ROUND($C771*tba_oranIlave,2),0),IF($H771="TBA-004",IF($F771="Evet",ROUND($C771*tba_oranKadinGenc,2),0),IF($H771="TBA-ENG",IF($G771="Evet",ROUND($C771*tba_isverenOran,2),0),0)))))</f>
        <v/>
      </c>
      <c r="L771" s="31">
        <f>IF($A771="","",MAX(0,$J771-$K771))</f>
        <v/>
      </c>
    </row>
    <row r="772">
      <c r="I772" s="31">
        <f>IF($A772="","",IF($J772=0,"YOK",IF(AND($E772="Evet",ROUND($C772*tba_oranIlave,2)=$J772),"TBA-002",IF(AND($D772="Evet",ROUND($C772*tba_oranBesPuan,2)=$J772),"TBA-001",IF(AND($F772="Evet",ROUND($C772*tba_oranKadinGenc,2)=$J772),"TBA-004","TBA-ENG")))))</f>
        <v/>
      </c>
      <c r="J772" s="31">
        <f>IF($A772="","",MAX(IF($D772="Evet",ROUND($C772*tba_oranBesPuan,2),0),IF($E772="Evet",ROUND($C772*tba_oranIlave,2),0),IF($F772="Evet",ROUND($C772*tba_oranKadinGenc,2),0),IF($G772="Evet",ROUND($C772*tba_isverenOran,2),0)))</f>
        <v/>
      </c>
      <c r="K772" s="31">
        <f>IF($A772="","",IF($H772="TBA-001",IF($D772="Evet",ROUND($C772*tba_oranBesPuan,2),0),IF($H772="TBA-002",IF($E772="Evet",ROUND($C772*tba_oranIlave,2),0),IF($H772="TBA-004",IF($F772="Evet",ROUND($C772*tba_oranKadinGenc,2),0),IF($H772="TBA-ENG",IF($G772="Evet",ROUND($C772*tba_isverenOran,2),0),0)))))</f>
        <v/>
      </c>
      <c r="L772" s="31">
        <f>IF($A772="","",MAX(0,$J772-$K772))</f>
        <v/>
      </c>
    </row>
    <row r="773">
      <c r="I773" s="31">
        <f>IF($A773="","",IF($J773=0,"YOK",IF(AND($E773="Evet",ROUND($C773*tba_oranIlave,2)=$J773),"TBA-002",IF(AND($D773="Evet",ROUND($C773*tba_oranBesPuan,2)=$J773),"TBA-001",IF(AND($F773="Evet",ROUND($C773*tba_oranKadinGenc,2)=$J773),"TBA-004","TBA-ENG")))))</f>
        <v/>
      </c>
      <c r="J773" s="31">
        <f>IF($A773="","",MAX(IF($D773="Evet",ROUND($C773*tba_oranBesPuan,2),0),IF($E773="Evet",ROUND($C773*tba_oranIlave,2),0),IF($F773="Evet",ROUND($C773*tba_oranKadinGenc,2),0),IF($G773="Evet",ROUND($C773*tba_isverenOran,2),0)))</f>
        <v/>
      </c>
      <c r="K773" s="31">
        <f>IF($A773="","",IF($H773="TBA-001",IF($D773="Evet",ROUND($C773*tba_oranBesPuan,2),0),IF($H773="TBA-002",IF($E773="Evet",ROUND($C773*tba_oranIlave,2),0),IF($H773="TBA-004",IF($F773="Evet",ROUND($C773*tba_oranKadinGenc,2),0),IF($H773="TBA-ENG",IF($G773="Evet",ROUND($C773*tba_isverenOran,2),0),0)))))</f>
        <v/>
      </c>
      <c r="L773" s="31">
        <f>IF($A773="","",MAX(0,$J773-$K773))</f>
        <v/>
      </c>
    </row>
    <row r="774">
      <c r="I774" s="31">
        <f>IF($A774="","",IF($J774=0,"YOK",IF(AND($E774="Evet",ROUND($C774*tba_oranIlave,2)=$J774),"TBA-002",IF(AND($D774="Evet",ROUND($C774*tba_oranBesPuan,2)=$J774),"TBA-001",IF(AND($F774="Evet",ROUND($C774*tba_oranKadinGenc,2)=$J774),"TBA-004","TBA-ENG")))))</f>
        <v/>
      </c>
      <c r="J774" s="31">
        <f>IF($A774="","",MAX(IF($D774="Evet",ROUND($C774*tba_oranBesPuan,2),0),IF($E774="Evet",ROUND($C774*tba_oranIlave,2),0),IF($F774="Evet",ROUND($C774*tba_oranKadinGenc,2),0),IF($G774="Evet",ROUND($C774*tba_isverenOran,2),0)))</f>
        <v/>
      </c>
      <c r="K774" s="31">
        <f>IF($A774="","",IF($H774="TBA-001",IF($D774="Evet",ROUND($C774*tba_oranBesPuan,2),0),IF($H774="TBA-002",IF($E774="Evet",ROUND($C774*tba_oranIlave,2),0),IF($H774="TBA-004",IF($F774="Evet",ROUND($C774*tba_oranKadinGenc,2),0),IF($H774="TBA-ENG",IF($G774="Evet",ROUND($C774*tba_isverenOran,2),0),0)))))</f>
        <v/>
      </c>
      <c r="L774" s="31">
        <f>IF($A774="","",MAX(0,$J774-$K774))</f>
        <v/>
      </c>
    </row>
    <row r="775">
      <c r="I775" s="31">
        <f>IF($A775="","",IF($J775=0,"YOK",IF(AND($E775="Evet",ROUND($C775*tba_oranIlave,2)=$J775),"TBA-002",IF(AND($D775="Evet",ROUND($C775*tba_oranBesPuan,2)=$J775),"TBA-001",IF(AND($F775="Evet",ROUND($C775*tba_oranKadinGenc,2)=$J775),"TBA-004","TBA-ENG")))))</f>
        <v/>
      </c>
      <c r="J775" s="31">
        <f>IF($A775="","",MAX(IF($D775="Evet",ROUND($C775*tba_oranBesPuan,2),0),IF($E775="Evet",ROUND($C775*tba_oranIlave,2),0),IF($F775="Evet",ROUND($C775*tba_oranKadinGenc,2),0),IF($G775="Evet",ROUND($C775*tba_isverenOran,2),0)))</f>
        <v/>
      </c>
      <c r="K775" s="31">
        <f>IF($A775="","",IF($H775="TBA-001",IF($D775="Evet",ROUND($C775*tba_oranBesPuan,2),0),IF($H775="TBA-002",IF($E775="Evet",ROUND($C775*tba_oranIlave,2),0),IF($H775="TBA-004",IF($F775="Evet",ROUND($C775*tba_oranKadinGenc,2),0),IF($H775="TBA-ENG",IF($G775="Evet",ROUND($C775*tba_isverenOran,2),0),0)))))</f>
        <v/>
      </c>
      <c r="L775" s="31">
        <f>IF($A775="","",MAX(0,$J775-$K775))</f>
        <v/>
      </c>
    </row>
    <row r="776">
      <c r="I776" s="31">
        <f>IF($A776="","",IF($J776=0,"YOK",IF(AND($E776="Evet",ROUND($C776*tba_oranIlave,2)=$J776),"TBA-002",IF(AND($D776="Evet",ROUND($C776*tba_oranBesPuan,2)=$J776),"TBA-001",IF(AND($F776="Evet",ROUND($C776*tba_oranKadinGenc,2)=$J776),"TBA-004","TBA-ENG")))))</f>
        <v/>
      </c>
      <c r="J776" s="31">
        <f>IF($A776="","",MAX(IF($D776="Evet",ROUND($C776*tba_oranBesPuan,2),0),IF($E776="Evet",ROUND($C776*tba_oranIlave,2),0),IF($F776="Evet",ROUND($C776*tba_oranKadinGenc,2),0),IF($G776="Evet",ROUND($C776*tba_isverenOran,2),0)))</f>
        <v/>
      </c>
      <c r="K776" s="31">
        <f>IF($A776="","",IF($H776="TBA-001",IF($D776="Evet",ROUND($C776*tba_oranBesPuan,2),0),IF($H776="TBA-002",IF($E776="Evet",ROUND($C776*tba_oranIlave,2),0),IF($H776="TBA-004",IF($F776="Evet",ROUND($C776*tba_oranKadinGenc,2),0),IF($H776="TBA-ENG",IF($G776="Evet",ROUND($C776*tba_isverenOran,2),0),0)))))</f>
        <v/>
      </c>
      <c r="L776" s="31">
        <f>IF($A776="","",MAX(0,$J776-$K776))</f>
        <v/>
      </c>
    </row>
    <row r="777">
      <c r="I777" s="31">
        <f>IF($A777="","",IF($J777=0,"YOK",IF(AND($E777="Evet",ROUND($C777*tba_oranIlave,2)=$J777),"TBA-002",IF(AND($D777="Evet",ROUND($C777*tba_oranBesPuan,2)=$J777),"TBA-001",IF(AND($F777="Evet",ROUND($C777*tba_oranKadinGenc,2)=$J777),"TBA-004","TBA-ENG")))))</f>
        <v/>
      </c>
      <c r="J777" s="31">
        <f>IF($A777="","",MAX(IF($D777="Evet",ROUND($C777*tba_oranBesPuan,2),0),IF($E777="Evet",ROUND($C777*tba_oranIlave,2),0),IF($F777="Evet",ROUND($C777*tba_oranKadinGenc,2),0),IF($G777="Evet",ROUND($C777*tba_isverenOran,2),0)))</f>
        <v/>
      </c>
      <c r="K777" s="31">
        <f>IF($A777="","",IF($H777="TBA-001",IF($D777="Evet",ROUND($C777*tba_oranBesPuan,2),0),IF($H777="TBA-002",IF($E777="Evet",ROUND($C777*tba_oranIlave,2),0),IF($H777="TBA-004",IF($F777="Evet",ROUND($C777*tba_oranKadinGenc,2),0),IF($H777="TBA-ENG",IF($G777="Evet",ROUND($C777*tba_isverenOran,2),0),0)))))</f>
        <v/>
      </c>
      <c r="L777" s="31">
        <f>IF($A777="","",MAX(0,$J777-$K777))</f>
        <v/>
      </c>
    </row>
    <row r="778">
      <c r="I778" s="31">
        <f>IF($A778="","",IF($J778=0,"YOK",IF(AND($E778="Evet",ROUND($C778*tba_oranIlave,2)=$J778),"TBA-002",IF(AND($D778="Evet",ROUND($C778*tba_oranBesPuan,2)=$J778),"TBA-001",IF(AND($F778="Evet",ROUND($C778*tba_oranKadinGenc,2)=$J778),"TBA-004","TBA-ENG")))))</f>
        <v/>
      </c>
      <c r="J778" s="31">
        <f>IF($A778="","",MAX(IF($D778="Evet",ROUND($C778*tba_oranBesPuan,2),0),IF($E778="Evet",ROUND($C778*tba_oranIlave,2),0),IF($F778="Evet",ROUND($C778*tba_oranKadinGenc,2),0),IF($G778="Evet",ROUND($C778*tba_isverenOran,2),0)))</f>
        <v/>
      </c>
      <c r="K778" s="31">
        <f>IF($A778="","",IF($H778="TBA-001",IF($D778="Evet",ROUND($C778*tba_oranBesPuan,2),0),IF($H778="TBA-002",IF($E778="Evet",ROUND($C778*tba_oranIlave,2),0),IF($H778="TBA-004",IF($F778="Evet",ROUND($C778*tba_oranKadinGenc,2),0),IF($H778="TBA-ENG",IF($G778="Evet",ROUND($C778*tba_isverenOran,2),0),0)))))</f>
        <v/>
      </c>
      <c r="L778" s="31">
        <f>IF($A778="","",MAX(0,$J778-$K778))</f>
        <v/>
      </c>
    </row>
    <row r="779">
      <c r="I779" s="31">
        <f>IF($A779="","",IF($J779=0,"YOK",IF(AND($E779="Evet",ROUND($C779*tba_oranIlave,2)=$J779),"TBA-002",IF(AND($D779="Evet",ROUND($C779*tba_oranBesPuan,2)=$J779),"TBA-001",IF(AND($F779="Evet",ROUND($C779*tba_oranKadinGenc,2)=$J779),"TBA-004","TBA-ENG")))))</f>
        <v/>
      </c>
      <c r="J779" s="31">
        <f>IF($A779="","",MAX(IF($D779="Evet",ROUND($C779*tba_oranBesPuan,2),0),IF($E779="Evet",ROUND($C779*tba_oranIlave,2),0),IF($F779="Evet",ROUND($C779*tba_oranKadinGenc,2),0),IF($G779="Evet",ROUND($C779*tba_isverenOran,2),0)))</f>
        <v/>
      </c>
      <c r="K779" s="31">
        <f>IF($A779="","",IF($H779="TBA-001",IF($D779="Evet",ROUND($C779*tba_oranBesPuan,2),0),IF($H779="TBA-002",IF($E779="Evet",ROUND($C779*tba_oranIlave,2),0),IF($H779="TBA-004",IF($F779="Evet",ROUND($C779*tba_oranKadinGenc,2),0),IF($H779="TBA-ENG",IF($G779="Evet",ROUND($C779*tba_isverenOran,2),0),0)))))</f>
        <v/>
      </c>
      <c r="L779" s="31">
        <f>IF($A779="","",MAX(0,$J779-$K779))</f>
        <v/>
      </c>
    </row>
    <row r="780">
      <c r="I780" s="31">
        <f>IF($A780="","",IF($J780=0,"YOK",IF(AND($E780="Evet",ROUND($C780*tba_oranIlave,2)=$J780),"TBA-002",IF(AND($D780="Evet",ROUND($C780*tba_oranBesPuan,2)=$J780),"TBA-001",IF(AND($F780="Evet",ROUND($C780*tba_oranKadinGenc,2)=$J780),"TBA-004","TBA-ENG")))))</f>
        <v/>
      </c>
      <c r="J780" s="31">
        <f>IF($A780="","",MAX(IF($D780="Evet",ROUND($C780*tba_oranBesPuan,2),0),IF($E780="Evet",ROUND($C780*tba_oranIlave,2),0),IF($F780="Evet",ROUND($C780*tba_oranKadinGenc,2),0),IF($G780="Evet",ROUND($C780*tba_isverenOran,2),0)))</f>
        <v/>
      </c>
      <c r="K780" s="31">
        <f>IF($A780="","",IF($H780="TBA-001",IF($D780="Evet",ROUND($C780*tba_oranBesPuan,2),0),IF($H780="TBA-002",IF($E780="Evet",ROUND($C780*tba_oranIlave,2),0),IF($H780="TBA-004",IF($F780="Evet",ROUND($C780*tba_oranKadinGenc,2),0),IF($H780="TBA-ENG",IF($G780="Evet",ROUND($C780*tba_isverenOran,2),0),0)))))</f>
        <v/>
      </c>
      <c r="L780" s="31">
        <f>IF($A780="","",MAX(0,$J780-$K780))</f>
        <v/>
      </c>
    </row>
    <row r="781">
      <c r="I781" s="31">
        <f>IF($A781="","",IF($J781=0,"YOK",IF(AND($E781="Evet",ROUND($C781*tba_oranIlave,2)=$J781),"TBA-002",IF(AND($D781="Evet",ROUND($C781*tba_oranBesPuan,2)=$J781),"TBA-001",IF(AND($F781="Evet",ROUND($C781*tba_oranKadinGenc,2)=$J781),"TBA-004","TBA-ENG")))))</f>
        <v/>
      </c>
      <c r="J781" s="31">
        <f>IF($A781="","",MAX(IF($D781="Evet",ROUND($C781*tba_oranBesPuan,2),0),IF($E781="Evet",ROUND($C781*tba_oranIlave,2),0),IF($F781="Evet",ROUND($C781*tba_oranKadinGenc,2),0),IF($G781="Evet",ROUND($C781*tba_isverenOran,2),0)))</f>
        <v/>
      </c>
      <c r="K781" s="31">
        <f>IF($A781="","",IF($H781="TBA-001",IF($D781="Evet",ROUND($C781*tba_oranBesPuan,2),0),IF($H781="TBA-002",IF($E781="Evet",ROUND($C781*tba_oranIlave,2),0),IF($H781="TBA-004",IF($F781="Evet",ROUND($C781*tba_oranKadinGenc,2),0),IF($H781="TBA-ENG",IF($G781="Evet",ROUND($C781*tba_isverenOran,2),0),0)))))</f>
        <v/>
      </c>
      <c r="L781" s="31">
        <f>IF($A781="","",MAX(0,$J781-$K781))</f>
        <v/>
      </c>
    </row>
    <row r="782">
      <c r="I782" s="31">
        <f>IF($A782="","",IF($J782=0,"YOK",IF(AND($E782="Evet",ROUND($C782*tba_oranIlave,2)=$J782),"TBA-002",IF(AND($D782="Evet",ROUND($C782*tba_oranBesPuan,2)=$J782),"TBA-001",IF(AND($F782="Evet",ROUND($C782*tba_oranKadinGenc,2)=$J782),"TBA-004","TBA-ENG")))))</f>
        <v/>
      </c>
      <c r="J782" s="31">
        <f>IF($A782="","",MAX(IF($D782="Evet",ROUND($C782*tba_oranBesPuan,2),0),IF($E782="Evet",ROUND($C782*tba_oranIlave,2),0),IF($F782="Evet",ROUND($C782*tba_oranKadinGenc,2),0),IF($G782="Evet",ROUND($C782*tba_isverenOran,2),0)))</f>
        <v/>
      </c>
      <c r="K782" s="31">
        <f>IF($A782="","",IF($H782="TBA-001",IF($D782="Evet",ROUND($C782*tba_oranBesPuan,2),0),IF($H782="TBA-002",IF($E782="Evet",ROUND($C782*tba_oranIlave,2),0),IF($H782="TBA-004",IF($F782="Evet",ROUND($C782*tba_oranKadinGenc,2),0),IF($H782="TBA-ENG",IF($G782="Evet",ROUND($C782*tba_isverenOran,2),0),0)))))</f>
        <v/>
      </c>
      <c r="L782" s="31">
        <f>IF($A782="","",MAX(0,$J782-$K782))</f>
        <v/>
      </c>
    </row>
    <row r="783">
      <c r="I783" s="31">
        <f>IF($A783="","",IF($J783=0,"YOK",IF(AND($E783="Evet",ROUND($C783*tba_oranIlave,2)=$J783),"TBA-002",IF(AND($D783="Evet",ROUND($C783*tba_oranBesPuan,2)=$J783),"TBA-001",IF(AND($F783="Evet",ROUND($C783*tba_oranKadinGenc,2)=$J783),"TBA-004","TBA-ENG")))))</f>
        <v/>
      </c>
      <c r="J783" s="31">
        <f>IF($A783="","",MAX(IF($D783="Evet",ROUND($C783*tba_oranBesPuan,2),0),IF($E783="Evet",ROUND($C783*tba_oranIlave,2),0),IF($F783="Evet",ROUND($C783*tba_oranKadinGenc,2),0),IF($G783="Evet",ROUND($C783*tba_isverenOran,2),0)))</f>
        <v/>
      </c>
      <c r="K783" s="31">
        <f>IF($A783="","",IF($H783="TBA-001",IF($D783="Evet",ROUND($C783*tba_oranBesPuan,2),0),IF($H783="TBA-002",IF($E783="Evet",ROUND($C783*tba_oranIlave,2),0),IF($H783="TBA-004",IF($F783="Evet",ROUND($C783*tba_oranKadinGenc,2),0),IF($H783="TBA-ENG",IF($G783="Evet",ROUND($C783*tba_isverenOran,2),0),0)))))</f>
        <v/>
      </c>
      <c r="L783" s="31">
        <f>IF($A783="","",MAX(0,$J783-$K783))</f>
        <v/>
      </c>
    </row>
    <row r="784">
      <c r="I784" s="31">
        <f>IF($A784="","",IF($J784=0,"YOK",IF(AND($E784="Evet",ROUND($C784*tba_oranIlave,2)=$J784),"TBA-002",IF(AND($D784="Evet",ROUND($C784*tba_oranBesPuan,2)=$J784),"TBA-001",IF(AND($F784="Evet",ROUND($C784*tba_oranKadinGenc,2)=$J784),"TBA-004","TBA-ENG")))))</f>
        <v/>
      </c>
      <c r="J784" s="31">
        <f>IF($A784="","",MAX(IF($D784="Evet",ROUND($C784*tba_oranBesPuan,2),0),IF($E784="Evet",ROUND($C784*tba_oranIlave,2),0),IF($F784="Evet",ROUND($C784*tba_oranKadinGenc,2),0),IF($G784="Evet",ROUND($C784*tba_isverenOran,2),0)))</f>
        <v/>
      </c>
      <c r="K784" s="31">
        <f>IF($A784="","",IF($H784="TBA-001",IF($D784="Evet",ROUND($C784*tba_oranBesPuan,2),0),IF($H784="TBA-002",IF($E784="Evet",ROUND($C784*tba_oranIlave,2),0),IF($H784="TBA-004",IF($F784="Evet",ROUND($C784*tba_oranKadinGenc,2),0),IF($H784="TBA-ENG",IF($G784="Evet",ROUND($C784*tba_isverenOran,2),0),0)))))</f>
        <v/>
      </c>
      <c r="L784" s="31">
        <f>IF($A784="","",MAX(0,$J784-$K784))</f>
        <v/>
      </c>
    </row>
    <row r="785">
      <c r="I785" s="31">
        <f>IF($A785="","",IF($J785=0,"YOK",IF(AND($E785="Evet",ROUND($C785*tba_oranIlave,2)=$J785),"TBA-002",IF(AND($D785="Evet",ROUND($C785*tba_oranBesPuan,2)=$J785),"TBA-001",IF(AND($F785="Evet",ROUND($C785*tba_oranKadinGenc,2)=$J785),"TBA-004","TBA-ENG")))))</f>
        <v/>
      </c>
      <c r="J785" s="31">
        <f>IF($A785="","",MAX(IF($D785="Evet",ROUND($C785*tba_oranBesPuan,2),0),IF($E785="Evet",ROUND($C785*tba_oranIlave,2),0),IF($F785="Evet",ROUND($C785*tba_oranKadinGenc,2),0),IF($G785="Evet",ROUND($C785*tba_isverenOran,2),0)))</f>
        <v/>
      </c>
      <c r="K785" s="31">
        <f>IF($A785="","",IF($H785="TBA-001",IF($D785="Evet",ROUND($C785*tba_oranBesPuan,2),0),IF($H785="TBA-002",IF($E785="Evet",ROUND($C785*tba_oranIlave,2),0),IF($H785="TBA-004",IF($F785="Evet",ROUND($C785*tba_oranKadinGenc,2),0),IF($H785="TBA-ENG",IF($G785="Evet",ROUND($C785*tba_isverenOran,2),0),0)))))</f>
        <v/>
      </c>
      <c r="L785" s="31">
        <f>IF($A785="","",MAX(0,$J785-$K785))</f>
        <v/>
      </c>
    </row>
    <row r="786">
      <c r="I786" s="31">
        <f>IF($A786="","",IF($J786=0,"YOK",IF(AND($E786="Evet",ROUND($C786*tba_oranIlave,2)=$J786),"TBA-002",IF(AND($D786="Evet",ROUND($C786*tba_oranBesPuan,2)=$J786),"TBA-001",IF(AND($F786="Evet",ROUND($C786*tba_oranKadinGenc,2)=$J786),"TBA-004","TBA-ENG")))))</f>
        <v/>
      </c>
      <c r="J786" s="31">
        <f>IF($A786="","",MAX(IF($D786="Evet",ROUND($C786*tba_oranBesPuan,2),0),IF($E786="Evet",ROUND($C786*tba_oranIlave,2),0),IF($F786="Evet",ROUND($C786*tba_oranKadinGenc,2),0),IF($G786="Evet",ROUND($C786*tba_isverenOran,2),0)))</f>
        <v/>
      </c>
      <c r="K786" s="31">
        <f>IF($A786="","",IF($H786="TBA-001",IF($D786="Evet",ROUND($C786*tba_oranBesPuan,2),0),IF($H786="TBA-002",IF($E786="Evet",ROUND($C786*tba_oranIlave,2),0),IF($H786="TBA-004",IF($F786="Evet",ROUND($C786*tba_oranKadinGenc,2),0),IF($H786="TBA-ENG",IF($G786="Evet",ROUND($C786*tba_isverenOran,2),0),0)))))</f>
        <v/>
      </c>
      <c r="L786" s="31">
        <f>IF($A786="","",MAX(0,$J786-$K786))</f>
        <v/>
      </c>
    </row>
    <row r="787">
      <c r="I787" s="31">
        <f>IF($A787="","",IF($J787=0,"YOK",IF(AND($E787="Evet",ROUND($C787*tba_oranIlave,2)=$J787),"TBA-002",IF(AND($D787="Evet",ROUND($C787*tba_oranBesPuan,2)=$J787),"TBA-001",IF(AND($F787="Evet",ROUND($C787*tba_oranKadinGenc,2)=$J787),"TBA-004","TBA-ENG")))))</f>
        <v/>
      </c>
      <c r="J787" s="31">
        <f>IF($A787="","",MAX(IF($D787="Evet",ROUND($C787*tba_oranBesPuan,2),0),IF($E787="Evet",ROUND($C787*tba_oranIlave,2),0),IF($F787="Evet",ROUND($C787*tba_oranKadinGenc,2),0),IF($G787="Evet",ROUND($C787*tba_isverenOran,2),0)))</f>
        <v/>
      </c>
      <c r="K787" s="31">
        <f>IF($A787="","",IF($H787="TBA-001",IF($D787="Evet",ROUND($C787*tba_oranBesPuan,2),0),IF($H787="TBA-002",IF($E787="Evet",ROUND($C787*tba_oranIlave,2),0),IF($H787="TBA-004",IF($F787="Evet",ROUND($C787*tba_oranKadinGenc,2),0),IF($H787="TBA-ENG",IF($G787="Evet",ROUND($C787*tba_isverenOran,2),0),0)))))</f>
        <v/>
      </c>
      <c r="L787" s="31">
        <f>IF($A787="","",MAX(0,$J787-$K787))</f>
        <v/>
      </c>
    </row>
    <row r="788">
      <c r="I788" s="31">
        <f>IF($A788="","",IF($J788=0,"YOK",IF(AND($E788="Evet",ROUND($C788*tba_oranIlave,2)=$J788),"TBA-002",IF(AND($D788="Evet",ROUND($C788*tba_oranBesPuan,2)=$J788),"TBA-001",IF(AND($F788="Evet",ROUND($C788*tba_oranKadinGenc,2)=$J788),"TBA-004","TBA-ENG")))))</f>
        <v/>
      </c>
      <c r="J788" s="31">
        <f>IF($A788="","",MAX(IF($D788="Evet",ROUND($C788*tba_oranBesPuan,2),0),IF($E788="Evet",ROUND($C788*tba_oranIlave,2),0),IF($F788="Evet",ROUND($C788*tba_oranKadinGenc,2),0),IF($G788="Evet",ROUND($C788*tba_isverenOran,2),0)))</f>
        <v/>
      </c>
      <c r="K788" s="31">
        <f>IF($A788="","",IF($H788="TBA-001",IF($D788="Evet",ROUND($C788*tba_oranBesPuan,2),0),IF($H788="TBA-002",IF($E788="Evet",ROUND($C788*tba_oranIlave,2),0),IF($H788="TBA-004",IF($F788="Evet",ROUND($C788*tba_oranKadinGenc,2),0),IF($H788="TBA-ENG",IF($G788="Evet",ROUND($C788*tba_isverenOran,2),0),0)))))</f>
        <v/>
      </c>
      <c r="L788" s="31">
        <f>IF($A788="","",MAX(0,$J788-$K788))</f>
        <v/>
      </c>
    </row>
    <row r="789">
      <c r="I789" s="31">
        <f>IF($A789="","",IF($J789=0,"YOK",IF(AND($E789="Evet",ROUND($C789*tba_oranIlave,2)=$J789),"TBA-002",IF(AND($D789="Evet",ROUND($C789*tba_oranBesPuan,2)=$J789),"TBA-001",IF(AND($F789="Evet",ROUND($C789*tba_oranKadinGenc,2)=$J789),"TBA-004","TBA-ENG")))))</f>
        <v/>
      </c>
      <c r="J789" s="31">
        <f>IF($A789="","",MAX(IF($D789="Evet",ROUND($C789*tba_oranBesPuan,2),0),IF($E789="Evet",ROUND($C789*tba_oranIlave,2),0),IF($F789="Evet",ROUND($C789*tba_oranKadinGenc,2),0),IF($G789="Evet",ROUND($C789*tba_isverenOran,2),0)))</f>
        <v/>
      </c>
      <c r="K789" s="31">
        <f>IF($A789="","",IF($H789="TBA-001",IF($D789="Evet",ROUND($C789*tba_oranBesPuan,2),0),IF($H789="TBA-002",IF($E789="Evet",ROUND($C789*tba_oranIlave,2),0),IF($H789="TBA-004",IF($F789="Evet",ROUND($C789*tba_oranKadinGenc,2),0),IF($H789="TBA-ENG",IF($G789="Evet",ROUND($C789*tba_isverenOran,2),0),0)))))</f>
        <v/>
      </c>
      <c r="L789" s="31">
        <f>IF($A789="","",MAX(0,$J789-$K789))</f>
        <v/>
      </c>
    </row>
    <row r="790">
      <c r="I790" s="31">
        <f>IF($A790="","",IF($J790=0,"YOK",IF(AND($E790="Evet",ROUND($C790*tba_oranIlave,2)=$J790),"TBA-002",IF(AND($D790="Evet",ROUND($C790*tba_oranBesPuan,2)=$J790),"TBA-001",IF(AND($F790="Evet",ROUND($C790*tba_oranKadinGenc,2)=$J790),"TBA-004","TBA-ENG")))))</f>
        <v/>
      </c>
      <c r="J790" s="31">
        <f>IF($A790="","",MAX(IF($D790="Evet",ROUND($C790*tba_oranBesPuan,2),0),IF($E790="Evet",ROUND($C790*tba_oranIlave,2),0),IF($F790="Evet",ROUND($C790*tba_oranKadinGenc,2),0),IF($G790="Evet",ROUND($C790*tba_isverenOran,2),0)))</f>
        <v/>
      </c>
      <c r="K790" s="31">
        <f>IF($A790="","",IF($H790="TBA-001",IF($D790="Evet",ROUND($C790*tba_oranBesPuan,2),0),IF($H790="TBA-002",IF($E790="Evet",ROUND($C790*tba_oranIlave,2),0),IF($H790="TBA-004",IF($F790="Evet",ROUND($C790*tba_oranKadinGenc,2),0),IF($H790="TBA-ENG",IF($G790="Evet",ROUND($C790*tba_isverenOran,2),0),0)))))</f>
        <v/>
      </c>
      <c r="L790" s="31">
        <f>IF($A790="","",MAX(0,$J790-$K790))</f>
        <v/>
      </c>
    </row>
    <row r="791">
      <c r="I791" s="31">
        <f>IF($A791="","",IF($J791=0,"YOK",IF(AND($E791="Evet",ROUND($C791*tba_oranIlave,2)=$J791),"TBA-002",IF(AND($D791="Evet",ROUND($C791*tba_oranBesPuan,2)=$J791),"TBA-001",IF(AND($F791="Evet",ROUND($C791*tba_oranKadinGenc,2)=$J791),"TBA-004","TBA-ENG")))))</f>
        <v/>
      </c>
      <c r="J791" s="31">
        <f>IF($A791="","",MAX(IF($D791="Evet",ROUND($C791*tba_oranBesPuan,2),0),IF($E791="Evet",ROUND($C791*tba_oranIlave,2),0),IF($F791="Evet",ROUND($C791*tba_oranKadinGenc,2),0),IF($G791="Evet",ROUND($C791*tba_isverenOran,2),0)))</f>
        <v/>
      </c>
      <c r="K791" s="31">
        <f>IF($A791="","",IF($H791="TBA-001",IF($D791="Evet",ROUND($C791*tba_oranBesPuan,2),0),IF($H791="TBA-002",IF($E791="Evet",ROUND($C791*tba_oranIlave,2),0),IF($H791="TBA-004",IF($F791="Evet",ROUND($C791*tba_oranKadinGenc,2),0),IF($H791="TBA-ENG",IF($G791="Evet",ROUND($C791*tba_isverenOran,2),0),0)))))</f>
        <v/>
      </c>
      <c r="L791" s="31">
        <f>IF($A791="","",MAX(0,$J791-$K791))</f>
        <v/>
      </c>
    </row>
    <row r="792">
      <c r="I792" s="31">
        <f>IF($A792="","",IF($J792=0,"YOK",IF(AND($E792="Evet",ROUND($C792*tba_oranIlave,2)=$J792),"TBA-002",IF(AND($D792="Evet",ROUND($C792*tba_oranBesPuan,2)=$J792),"TBA-001",IF(AND($F792="Evet",ROUND($C792*tba_oranKadinGenc,2)=$J792),"TBA-004","TBA-ENG")))))</f>
        <v/>
      </c>
      <c r="J792" s="31">
        <f>IF($A792="","",MAX(IF($D792="Evet",ROUND($C792*tba_oranBesPuan,2),0),IF($E792="Evet",ROUND($C792*tba_oranIlave,2),0),IF($F792="Evet",ROUND($C792*tba_oranKadinGenc,2),0),IF($G792="Evet",ROUND($C792*tba_isverenOran,2),0)))</f>
        <v/>
      </c>
      <c r="K792" s="31">
        <f>IF($A792="","",IF($H792="TBA-001",IF($D792="Evet",ROUND($C792*tba_oranBesPuan,2),0),IF($H792="TBA-002",IF($E792="Evet",ROUND($C792*tba_oranIlave,2),0),IF($H792="TBA-004",IF($F792="Evet",ROUND($C792*tba_oranKadinGenc,2),0),IF($H792="TBA-ENG",IF($G792="Evet",ROUND($C792*tba_isverenOran,2),0),0)))))</f>
        <v/>
      </c>
      <c r="L792" s="31">
        <f>IF($A792="","",MAX(0,$J792-$K792))</f>
        <v/>
      </c>
    </row>
    <row r="793">
      <c r="I793" s="31">
        <f>IF($A793="","",IF($J793=0,"YOK",IF(AND($E793="Evet",ROUND($C793*tba_oranIlave,2)=$J793),"TBA-002",IF(AND($D793="Evet",ROUND($C793*tba_oranBesPuan,2)=$J793),"TBA-001",IF(AND($F793="Evet",ROUND($C793*tba_oranKadinGenc,2)=$J793),"TBA-004","TBA-ENG")))))</f>
        <v/>
      </c>
      <c r="J793" s="31">
        <f>IF($A793="","",MAX(IF($D793="Evet",ROUND($C793*tba_oranBesPuan,2),0),IF($E793="Evet",ROUND($C793*tba_oranIlave,2),0),IF($F793="Evet",ROUND($C793*tba_oranKadinGenc,2),0),IF($G793="Evet",ROUND($C793*tba_isverenOran,2),0)))</f>
        <v/>
      </c>
      <c r="K793" s="31">
        <f>IF($A793="","",IF($H793="TBA-001",IF($D793="Evet",ROUND($C793*tba_oranBesPuan,2),0),IF($H793="TBA-002",IF($E793="Evet",ROUND($C793*tba_oranIlave,2),0),IF($H793="TBA-004",IF($F793="Evet",ROUND($C793*tba_oranKadinGenc,2),0),IF($H793="TBA-ENG",IF($G793="Evet",ROUND($C793*tba_isverenOran,2),0),0)))))</f>
        <v/>
      </c>
      <c r="L793" s="31">
        <f>IF($A793="","",MAX(0,$J793-$K793))</f>
        <v/>
      </c>
    </row>
    <row r="794">
      <c r="I794" s="31">
        <f>IF($A794="","",IF($J794=0,"YOK",IF(AND($E794="Evet",ROUND($C794*tba_oranIlave,2)=$J794),"TBA-002",IF(AND($D794="Evet",ROUND($C794*tba_oranBesPuan,2)=$J794),"TBA-001",IF(AND($F794="Evet",ROUND($C794*tba_oranKadinGenc,2)=$J794),"TBA-004","TBA-ENG")))))</f>
        <v/>
      </c>
      <c r="J794" s="31">
        <f>IF($A794="","",MAX(IF($D794="Evet",ROUND($C794*tba_oranBesPuan,2),0),IF($E794="Evet",ROUND($C794*tba_oranIlave,2),0),IF($F794="Evet",ROUND($C794*tba_oranKadinGenc,2),0),IF($G794="Evet",ROUND($C794*tba_isverenOran,2),0)))</f>
        <v/>
      </c>
      <c r="K794" s="31">
        <f>IF($A794="","",IF($H794="TBA-001",IF($D794="Evet",ROUND($C794*tba_oranBesPuan,2),0),IF($H794="TBA-002",IF($E794="Evet",ROUND($C794*tba_oranIlave,2),0),IF($H794="TBA-004",IF($F794="Evet",ROUND($C794*tba_oranKadinGenc,2),0),IF($H794="TBA-ENG",IF($G794="Evet",ROUND($C794*tba_isverenOran,2),0),0)))))</f>
        <v/>
      </c>
      <c r="L794" s="31">
        <f>IF($A794="","",MAX(0,$J794-$K794))</f>
        <v/>
      </c>
    </row>
    <row r="795">
      <c r="I795" s="31">
        <f>IF($A795="","",IF($J795=0,"YOK",IF(AND($E795="Evet",ROUND($C795*tba_oranIlave,2)=$J795),"TBA-002",IF(AND($D795="Evet",ROUND($C795*tba_oranBesPuan,2)=$J795),"TBA-001",IF(AND($F795="Evet",ROUND($C795*tba_oranKadinGenc,2)=$J795),"TBA-004","TBA-ENG")))))</f>
        <v/>
      </c>
      <c r="J795" s="31">
        <f>IF($A795="","",MAX(IF($D795="Evet",ROUND($C795*tba_oranBesPuan,2),0),IF($E795="Evet",ROUND($C795*tba_oranIlave,2),0),IF($F795="Evet",ROUND($C795*tba_oranKadinGenc,2),0),IF($G795="Evet",ROUND($C795*tba_isverenOran,2),0)))</f>
        <v/>
      </c>
      <c r="K795" s="31">
        <f>IF($A795="","",IF($H795="TBA-001",IF($D795="Evet",ROUND($C795*tba_oranBesPuan,2),0),IF($H795="TBA-002",IF($E795="Evet",ROUND($C795*tba_oranIlave,2),0),IF($H795="TBA-004",IF($F795="Evet",ROUND($C795*tba_oranKadinGenc,2),0),IF($H795="TBA-ENG",IF($G795="Evet",ROUND($C795*tba_isverenOran,2),0),0)))))</f>
        <v/>
      </c>
      <c r="L795" s="31">
        <f>IF($A795="","",MAX(0,$J795-$K795))</f>
        <v/>
      </c>
    </row>
    <row r="796">
      <c r="I796" s="31">
        <f>IF($A796="","",IF($J796=0,"YOK",IF(AND($E796="Evet",ROUND($C796*tba_oranIlave,2)=$J796),"TBA-002",IF(AND($D796="Evet",ROUND($C796*tba_oranBesPuan,2)=$J796),"TBA-001",IF(AND($F796="Evet",ROUND($C796*tba_oranKadinGenc,2)=$J796),"TBA-004","TBA-ENG")))))</f>
        <v/>
      </c>
      <c r="J796" s="31">
        <f>IF($A796="","",MAX(IF($D796="Evet",ROUND($C796*tba_oranBesPuan,2),0),IF($E796="Evet",ROUND($C796*tba_oranIlave,2),0),IF($F796="Evet",ROUND($C796*tba_oranKadinGenc,2),0),IF($G796="Evet",ROUND($C796*tba_isverenOran,2),0)))</f>
        <v/>
      </c>
      <c r="K796" s="31">
        <f>IF($A796="","",IF($H796="TBA-001",IF($D796="Evet",ROUND($C796*tba_oranBesPuan,2),0),IF($H796="TBA-002",IF($E796="Evet",ROUND($C796*tba_oranIlave,2),0),IF($H796="TBA-004",IF($F796="Evet",ROUND($C796*tba_oranKadinGenc,2),0),IF($H796="TBA-ENG",IF($G796="Evet",ROUND($C796*tba_isverenOran,2),0),0)))))</f>
        <v/>
      </c>
      <c r="L796" s="31">
        <f>IF($A796="","",MAX(0,$J796-$K796))</f>
        <v/>
      </c>
    </row>
    <row r="797">
      <c r="I797" s="31">
        <f>IF($A797="","",IF($J797=0,"YOK",IF(AND($E797="Evet",ROUND($C797*tba_oranIlave,2)=$J797),"TBA-002",IF(AND($D797="Evet",ROUND($C797*tba_oranBesPuan,2)=$J797),"TBA-001",IF(AND($F797="Evet",ROUND($C797*tba_oranKadinGenc,2)=$J797),"TBA-004","TBA-ENG")))))</f>
        <v/>
      </c>
      <c r="J797" s="31">
        <f>IF($A797="","",MAX(IF($D797="Evet",ROUND($C797*tba_oranBesPuan,2),0),IF($E797="Evet",ROUND($C797*tba_oranIlave,2),0),IF($F797="Evet",ROUND($C797*tba_oranKadinGenc,2),0),IF($G797="Evet",ROUND($C797*tba_isverenOran,2),0)))</f>
        <v/>
      </c>
      <c r="K797" s="31">
        <f>IF($A797="","",IF($H797="TBA-001",IF($D797="Evet",ROUND($C797*tba_oranBesPuan,2),0),IF($H797="TBA-002",IF($E797="Evet",ROUND($C797*tba_oranIlave,2),0),IF($H797="TBA-004",IF($F797="Evet",ROUND($C797*tba_oranKadinGenc,2),0),IF($H797="TBA-ENG",IF($G797="Evet",ROUND($C797*tba_isverenOran,2),0),0)))))</f>
        <v/>
      </c>
      <c r="L797" s="31">
        <f>IF($A797="","",MAX(0,$J797-$K797))</f>
        <v/>
      </c>
    </row>
    <row r="798">
      <c r="I798" s="31">
        <f>IF($A798="","",IF($J798=0,"YOK",IF(AND($E798="Evet",ROUND($C798*tba_oranIlave,2)=$J798),"TBA-002",IF(AND($D798="Evet",ROUND($C798*tba_oranBesPuan,2)=$J798),"TBA-001",IF(AND($F798="Evet",ROUND($C798*tba_oranKadinGenc,2)=$J798),"TBA-004","TBA-ENG")))))</f>
        <v/>
      </c>
      <c r="J798" s="31">
        <f>IF($A798="","",MAX(IF($D798="Evet",ROUND($C798*tba_oranBesPuan,2),0),IF($E798="Evet",ROUND($C798*tba_oranIlave,2),0),IF($F798="Evet",ROUND($C798*tba_oranKadinGenc,2),0),IF($G798="Evet",ROUND($C798*tba_isverenOran,2),0)))</f>
        <v/>
      </c>
      <c r="K798" s="31">
        <f>IF($A798="","",IF($H798="TBA-001",IF($D798="Evet",ROUND($C798*tba_oranBesPuan,2),0),IF($H798="TBA-002",IF($E798="Evet",ROUND($C798*tba_oranIlave,2),0),IF($H798="TBA-004",IF($F798="Evet",ROUND($C798*tba_oranKadinGenc,2),0),IF($H798="TBA-ENG",IF($G798="Evet",ROUND($C798*tba_isverenOran,2),0),0)))))</f>
        <v/>
      </c>
      <c r="L798" s="31">
        <f>IF($A798="","",MAX(0,$J798-$K798))</f>
        <v/>
      </c>
    </row>
    <row r="799">
      <c r="I799" s="31">
        <f>IF($A799="","",IF($J799=0,"YOK",IF(AND($E799="Evet",ROUND($C799*tba_oranIlave,2)=$J799),"TBA-002",IF(AND($D799="Evet",ROUND($C799*tba_oranBesPuan,2)=$J799),"TBA-001",IF(AND($F799="Evet",ROUND($C799*tba_oranKadinGenc,2)=$J799),"TBA-004","TBA-ENG")))))</f>
        <v/>
      </c>
      <c r="J799" s="31">
        <f>IF($A799="","",MAX(IF($D799="Evet",ROUND($C799*tba_oranBesPuan,2),0),IF($E799="Evet",ROUND($C799*tba_oranIlave,2),0),IF($F799="Evet",ROUND($C799*tba_oranKadinGenc,2),0),IF($G799="Evet",ROUND($C799*tba_isverenOran,2),0)))</f>
        <v/>
      </c>
      <c r="K799" s="31">
        <f>IF($A799="","",IF($H799="TBA-001",IF($D799="Evet",ROUND($C799*tba_oranBesPuan,2),0),IF($H799="TBA-002",IF($E799="Evet",ROUND($C799*tba_oranIlave,2),0),IF($H799="TBA-004",IF($F799="Evet",ROUND($C799*tba_oranKadinGenc,2),0),IF($H799="TBA-ENG",IF($G799="Evet",ROUND($C799*tba_isverenOran,2),0),0)))))</f>
        <v/>
      </c>
      <c r="L799" s="31">
        <f>IF($A799="","",MAX(0,$J799-$K799))</f>
        <v/>
      </c>
    </row>
    <row r="800">
      <c r="I800" s="31">
        <f>IF($A800="","",IF($J800=0,"YOK",IF(AND($E800="Evet",ROUND($C800*tba_oranIlave,2)=$J800),"TBA-002",IF(AND($D800="Evet",ROUND($C800*tba_oranBesPuan,2)=$J800),"TBA-001",IF(AND($F800="Evet",ROUND($C800*tba_oranKadinGenc,2)=$J800),"TBA-004","TBA-ENG")))))</f>
        <v/>
      </c>
      <c r="J800" s="31">
        <f>IF($A800="","",MAX(IF($D800="Evet",ROUND($C800*tba_oranBesPuan,2),0),IF($E800="Evet",ROUND($C800*tba_oranIlave,2),0),IF($F800="Evet",ROUND($C800*tba_oranKadinGenc,2),0),IF($G800="Evet",ROUND($C800*tba_isverenOran,2),0)))</f>
        <v/>
      </c>
      <c r="K800" s="31">
        <f>IF($A800="","",IF($H800="TBA-001",IF($D800="Evet",ROUND($C800*tba_oranBesPuan,2),0),IF($H800="TBA-002",IF($E800="Evet",ROUND($C800*tba_oranIlave,2),0),IF($H800="TBA-004",IF($F800="Evet",ROUND($C800*tba_oranKadinGenc,2),0),IF($H800="TBA-ENG",IF($G800="Evet",ROUND($C800*tba_isverenOran,2),0),0)))))</f>
        <v/>
      </c>
      <c r="L800" s="31">
        <f>IF($A800="","",MAX(0,$J800-$K800))</f>
        <v/>
      </c>
    </row>
    <row r="801">
      <c r="I801" s="31">
        <f>IF($A801="","",IF($J801=0,"YOK",IF(AND($E801="Evet",ROUND($C801*tba_oranIlave,2)=$J801),"TBA-002",IF(AND($D801="Evet",ROUND($C801*tba_oranBesPuan,2)=$J801),"TBA-001",IF(AND($F801="Evet",ROUND($C801*tba_oranKadinGenc,2)=$J801),"TBA-004","TBA-ENG")))))</f>
        <v/>
      </c>
      <c r="J801" s="31">
        <f>IF($A801="","",MAX(IF($D801="Evet",ROUND($C801*tba_oranBesPuan,2),0),IF($E801="Evet",ROUND($C801*tba_oranIlave,2),0),IF($F801="Evet",ROUND($C801*tba_oranKadinGenc,2),0),IF($G801="Evet",ROUND($C801*tba_isverenOran,2),0)))</f>
        <v/>
      </c>
      <c r="K801" s="31">
        <f>IF($A801="","",IF($H801="TBA-001",IF($D801="Evet",ROUND($C801*tba_oranBesPuan,2),0),IF($H801="TBA-002",IF($E801="Evet",ROUND($C801*tba_oranIlave,2),0),IF($H801="TBA-004",IF($F801="Evet",ROUND($C801*tba_oranKadinGenc,2),0),IF($H801="TBA-ENG",IF($G801="Evet",ROUND($C801*tba_isverenOran,2),0),0)))))</f>
        <v/>
      </c>
      <c r="L801" s="31">
        <f>IF($A801="","",MAX(0,$J801-$K801))</f>
        <v/>
      </c>
    </row>
    <row r="802">
      <c r="I802" s="31">
        <f>IF($A802="","",IF($J802=0,"YOK",IF(AND($E802="Evet",ROUND($C802*tba_oranIlave,2)=$J802),"TBA-002",IF(AND($D802="Evet",ROUND($C802*tba_oranBesPuan,2)=$J802),"TBA-001",IF(AND($F802="Evet",ROUND($C802*tba_oranKadinGenc,2)=$J802),"TBA-004","TBA-ENG")))))</f>
        <v/>
      </c>
      <c r="J802" s="31">
        <f>IF($A802="","",MAX(IF($D802="Evet",ROUND($C802*tba_oranBesPuan,2),0),IF($E802="Evet",ROUND($C802*tba_oranIlave,2),0),IF($F802="Evet",ROUND($C802*tba_oranKadinGenc,2),0),IF($G802="Evet",ROUND($C802*tba_isverenOran,2),0)))</f>
        <v/>
      </c>
      <c r="K802" s="31">
        <f>IF($A802="","",IF($H802="TBA-001",IF($D802="Evet",ROUND($C802*tba_oranBesPuan,2),0),IF($H802="TBA-002",IF($E802="Evet",ROUND($C802*tba_oranIlave,2),0),IF($H802="TBA-004",IF($F802="Evet",ROUND($C802*tba_oranKadinGenc,2),0),IF($H802="TBA-ENG",IF($G802="Evet",ROUND($C802*tba_isverenOran,2),0),0)))))</f>
        <v/>
      </c>
      <c r="L802" s="31">
        <f>IF($A802="","",MAX(0,$J802-$K802))</f>
        <v/>
      </c>
    </row>
    <row r="803">
      <c r="I803" s="31">
        <f>IF($A803="","",IF($J803=0,"YOK",IF(AND($E803="Evet",ROUND($C803*tba_oranIlave,2)=$J803),"TBA-002",IF(AND($D803="Evet",ROUND($C803*tba_oranBesPuan,2)=$J803),"TBA-001",IF(AND($F803="Evet",ROUND($C803*tba_oranKadinGenc,2)=$J803),"TBA-004","TBA-ENG")))))</f>
        <v/>
      </c>
      <c r="J803" s="31">
        <f>IF($A803="","",MAX(IF($D803="Evet",ROUND($C803*tba_oranBesPuan,2),0),IF($E803="Evet",ROUND($C803*tba_oranIlave,2),0),IF($F803="Evet",ROUND($C803*tba_oranKadinGenc,2),0),IF($G803="Evet",ROUND($C803*tba_isverenOran,2),0)))</f>
        <v/>
      </c>
      <c r="K803" s="31">
        <f>IF($A803="","",IF($H803="TBA-001",IF($D803="Evet",ROUND($C803*tba_oranBesPuan,2),0),IF($H803="TBA-002",IF($E803="Evet",ROUND($C803*tba_oranIlave,2),0),IF($H803="TBA-004",IF($F803="Evet",ROUND($C803*tba_oranKadinGenc,2),0),IF($H803="TBA-ENG",IF($G803="Evet",ROUND($C803*tba_isverenOran,2),0),0)))))</f>
        <v/>
      </c>
      <c r="L803" s="31">
        <f>IF($A803="","",MAX(0,$J803-$K803))</f>
        <v/>
      </c>
    </row>
    <row r="804">
      <c r="I804" s="31">
        <f>IF($A804="","",IF($J804=0,"YOK",IF(AND($E804="Evet",ROUND($C804*tba_oranIlave,2)=$J804),"TBA-002",IF(AND($D804="Evet",ROUND($C804*tba_oranBesPuan,2)=$J804),"TBA-001",IF(AND($F804="Evet",ROUND($C804*tba_oranKadinGenc,2)=$J804),"TBA-004","TBA-ENG")))))</f>
        <v/>
      </c>
      <c r="J804" s="31">
        <f>IF($A804="","",MAX(IF($D804="Evet",ROUND($C804*tba_oranBesPuan,2),0),IF($E804="Evet",ROUND($C804*tba_oranIlave,2),0),IF($F804="Evet",ROUND($C804*tba_oranKadinGenc,2),0),IF($G804="Evet",ROUND($C804*tba_isverenOran,2),0)))</f>
        <v/>
      </c>
      <c r="K804" s="31">
        <f>IF($A804="","",IF($H804="TBA-001",IF($D804="Evet",ROUND($C804*tba_oranBesPuan,2),0),IF($H804="TBA-002",IF($E804="Evet",ROUND($C804*tba_oranIlave,2),0),IF($H804="TBA-004",IF($F804="Evet",ROUND($C804*tba_oranKadinGenc,2),0),IF($H804="TBA-ENG",IF($G804="Evet",ROUND($C804*tba_isverenOran,2),0),0)))))</f>
        <v/>
      </c>
      <c r="L804" s="31">
        <f>IF($A804="","",MAX(0,$J804-$K804))</f>
        <v/>
      </c>
    </row>
    <row r="805">
      <c r="I805" s="31">
        <f>IF($A805="","",IF($J805=0,"YOK",IF(AND($E805="Evet",ROUND($C805*tba_oranIlave,2)=$J805),"TBA-002",IF(AND($D805="Evet",ROUND($C805*tba_oranBesPuan,2)=$J805),"TBA-001",IF(AND($F805="Evet",ROUND($C805*tba_oranKadinGenc,2)=$J805),"TBA-004","TBA-ENG")))))</f>
        <v/>
      </c>
      <c r="J805" s="31">
        <f>IF($A805="","",MAX(IF($D805="Evet",ROUND($C805*tba_oranBesPuan,2),0),IF($E805="Evet",ROUND($C805*tba_oranIlave,2),0),IF($F805="Evet",ROUND($C805*tba_oranKadinGenc,2),0),IF($G805="Evet",ROUND($C805*tba_isverenOran,2),0)))</f>
        <v/>
      </c>
      <c r="K805" s="31">
        <f>IF($A805="","",IF($H805="TBA-001",IF($D805="Evet",ROUND($C805*tba_oranBesPuan,2),0),IF($H805="TBA-002",IF($E805="Evet",ROUND($C805*tba_oranIlave,2),0),IF($H805="TBA-004",IF($F805="Evet",ROUND($C805*tba_oranKadinGenc,2),0),IF($H805="TBA-ENG",IF($G805="Evet",ROUND($C805*tba_isverenOran,2),0),0)))))</f>
        <v/>
      </c>
      <c r="L805" s="31">
        <f>IF($A805="","",MAX(0,$J805-$K805))</f>
        <v/>
      </c>
    </row>
    <row r="806">
      <c r="I806" s="31">
        <f>IF($A806="","",IF($J806=0,"YOK",IF(AND($E806="Evet",ROUND($C806*tba_oranIlave,2)=$J806),"TBA-002",IF(AND($D806="Evet",ROUND($C806*tba_oranBesPuan,2)=$J806),"TBA-001",IF(AND($F806="Evet",ROUND($C806*tba_oranKadinGenc,2)=$J806),"TBA-004","TBA-ENG")))))</f>
        <v/>
      </c>
      <c r="J806" s="31">
        <f>IF($A806="","",MAX(IF($D806="Evet",ROUND($C806*tba_oranBesPuan,2),0),IF($E806="Evet",ROUND($C806*tba_oranIlave,2),0),IF($F806="Evet",ROUND($C806*tba_oranKadinGenc,2),0),IF($G806="Evet",ROUND($C806*tba_isverenOran,2),0)))</f>
        <v/>
      </c>
      <c r="K806" s="31">
        <f>IF($A806="","",IF($H806="TBA-001",IF($D806="Evet",ROUND($C806*tba_oranBesPuan,2),0),IF($H806="TBA-002",IF($E806="Evet",ROUND($C806*tba_oranIlave,2),0),IF($H806="TBA-004",IF($F806="Evet",ROUND($C806*tba_oranKadinGenc,2),0),IF($H806="TBA-ENG",IF($G806="Evet",ROUND($C806*tba_isverenOran,2),0),0)))))</f>
        <v/>
      </c>
      <c r="L806" s="31">
        <f>IF($A806="","",MAX(0,$J806-$K806))</f>
        <v/>
      </c>
    </row>
    <row r="807">
      <c r="I807" s="31">
        <f>IF($A807="","",IF($J807=0,"YOK",IF(AND($E807="Evet",ROUND($C807*tba_oranIlave,2)=$J807),"TBA-002",IF(AND($D807="Evet",ROUND($C807*tba_oranBesPuan,2)=$J807),"TBA-001",IF(AND($F807="Evet",ROUND($C807*tba_oranKadinGenc,2)=$J807),"TBA-004","TBA-ENG")))))</f>
        <v/>
      </c>
      <c r="J807" s="31">
        <f>IF($A807="","",MAX(IF($D807="Evet",ROUND($C807*tba_oranBesPuan,2),0),IF($E807="Evet",ROUND($C807*tba_oranIlave,2),0),IF($F807="Evet",ROUND($C807*tba_oranKadinGenc,2),0),IF($G807="Evet",ROUND($C807*tba_isverenOran,2),0)))</f>
        <v/>
      </c>
      <c r="K807" s="31">
        <f>IF($A807="","",IF($H807="TBA-001",IF($D807="Evet",ROUND($C807*tba_oranBesPuan,2),0),IF($H807="TBA-002",IF($E807="Evet",ROUND($C807*tba_oranIlave,2),0),IF($H807="TBA-004",IF($F807="Evet",ROUND($C807*tba_oranKadinGenc,2),0),IF($H807="TBA-ENG",IF($G807="Evet",ROUND($C807*tba_isverenOran,2),0),0)))))</f>
        <v/>
      </c>
      <c r="L807" s="31">
        <f>IF($A807="","",MAX(0,$J807-$K807))</f>
        <v/>
      </c>
    </row>
    <row r="808">
      <c r="I808" s="31">
        <f>IF($A808="","",IF($J808=0,"YOK",IF(AND($E808="Evet",ROUND($C808*tba_oranIlave,2)=$J808),"TBA-002",IF(AND($D808="Evet",ROUND($C808*tba_oranBesPuan,2)=$J808),"TBA-001",IF(AND($F808="Evet",ROUND($C808*tba_oranKadinGenc,2)=$J808),"TBA-004","TBA-ENG")))))</f>
        <v/>
      </c>
      <c r="J808" s="31">
        <f>IF($A808="","",MAX(IF($D808="Evet",ROUND($C808*tba_oranBesPuan,2),0),IF($E808="Evet",ROUND($C808*tba_oranIlave,2),0),IF($F808="Evet",ROUND($C808*tba_oranKadinGenc,2),0),IF($G808="Evet",ROUND($C808*tba_isverenOran,2),0)))</f>
        <v/>
      </c>
      <c r="K808" s="31">
        <f>IF($A808="","",IF($H808="TBA-001",IF($D808="Evet",ROUND($C808*tba_oranBesPuan,2),0),IF($H808="TBA-002",IF($E808="Evet",ROUND($C808*tba_oranIlave,2),0),IF($H808="TBA-004",IF($F808="Evet",ROUND($C808*tba_oranKadinGenc,2),0),IF($H808="TBA-ENG",IF($G808="Evet",ROUND($C808*tba_isverenOran,2),0),0)))))</f>
        <v/>
      </c>
      <c r="L808" s="31">
        <f>IF($A808="","",MAX(0,$J808-$K808))</f>
        <v/>
      </c>
    </row>
    <row r="809">
      <c r="I809" s="31">
        <f>IF($A809="","",IF($J809=0,"YOK",IF(AND($E809="Evet",ROUND($C809*tba_oranIlave,2)=$J809),"TBA-002",IF(AND($D809="Evet",ROUND($C809*tba_oranBesPuan,2)=$J809),"TBA-001",IF(AND($F809="Evet",ROUND($C809*tba_oranKadinGenc,2)=$J809),"TBA-004","TBA-ENG")))))</f>
        <v/>
      </c>
      <c r="J809" s="31">
        <f>IF($A809="","",MAX(IF($D809="Evet",ROUND($C809*tba_oranBesPuan,2),0),IF($E809="Evet",ROUND($C809*tba_oranIlave,2),0),IF($F809="Evet",ROUND($C809*tba_oranKadinGenc,2),0),IF($G809="Evet",ROUND($C809*tba_isverenOran,2),0)))</f>
        <v/>
      </c>
      <c r="K809" s="31">
        <f>IF($A809="","",IF($H809="TBA-001",IF($D809="Evet",ROUND($C809*tba_oranBesPuan,2),0),IF($H809="TBA-002",IF($E809="Evet",ROUND($C809*tba_oranIlave,2),0),IF($H809="TBA-004",IF($F809="Evet",ROUND($C809*tba_oranKadinGenc,2),0),IF($H809="TBA-ENG",IF($G809="Evet",ROUND($C809*tba_isverenOran,2),0),0)))))</f>
        <v/>
      </c>
      <c r="L809" s="31">
        <f>IF($A809="","",MAX(0,$J809-$K809))</f>
        <v/>
      </c>
    </row>
    <row r="810">
      <c r="I810" s="31">
        <f>IF($A810="","",IF($J810=0,"YOK",IF(AND($E810="Evet",ROUND($C810*tba_oranIlave,2)=$J810),"TBA-002",IF(AND($D810="Evet",ROUND($C810*tba_oranBesPuan,2)=$J810),"TBA-001",IF(AND($F810="Evet",ROUND($C810*tba_oranKadinGenc,2)=$J810),"TBA-004","TBA-ENG")))))</f>
        <v/>
      </c>
      <c r="J810" s="31">
        <f>IF($A810="","",MAX(IF($D810="Evet",ROUND($C810*tba_oranBesPuan,2),0),IF($E810="Evet",ROUND($C810*tba_oranIlave,2),0),IF($F810="Evet",ROUND($C810*tba_oranKadinGenc,2),0),IF($G810="Evet",ROUND($C810*tba_isverenOran,2),0)))</f>
        <v/>
      </c>
      <c r="K810" s="31">
        <f>IF($A810="","",IF($H810="TBA-001",IF($D810="Evet",ROUND($C810*tba_oranBesPuan,2),0),IF($H810="TBA-002",IF($E810="Evet",ROUND($C810*tba_oranIlave,2),0),IF($H810="TBA-004",IF($F810="Evet",ROUND($C810*tba_oranKadinGenc,2),0),IF($H810="TBA-ENG",IF($G810="Evet",ROUND($C810*tba_isverenOran,2),0),0)))))</f>
        <v/>
      </c>
      <c r="L810" s="31">
        <f>IF($A810="","",MAX(0,$J810-$K810))</f>
        <v/>
      </c>
    </row>
    <row r="811">
      <c r="I811" s="31">
        <f>IF($A811="","",IF($J811=0,"YOK",IF(AND($E811="Evet",ROUND($C811*tba_oranIlave,2)=$J811),"TBA-002",IF(AND($D811="Evet",ROUND($C811*tba_oranBesPuan,2)=$J811),"TBA-001",IF(AND($F811="Evet",ROUND($C811*tba_oranKadinGenc,2)=$J811),"TBA-004","TBA-ENG")))))</f>
        <v/>
      </c>
      <c r="J811" s="31">
        <f>IF($A811="","",MAX(IF($D811="Evet",ROUND($C811*tba_oranBesPuan,2),0),IF($E811="Evet",ROUND($C811*tba_oranIlave,2),0),IF($F811="Evet",ROUND($C811*tba_oranKadinGenc,2),0),IF($G811="Evet",ROUND($C811*tba_isverenOran,2),0)))</f>
        <v/>
      </c>
      <c r="K811" s="31">
        <f>IF($A811="","",IF($H811="TBA-001",IF($D811="Evet",ROUND($C811*tba_oranBesPuan,2),0),IF($H811="TBA-002",IF($E811="Evet",ROUND($C811*tba_oranIlave,2),0),IF($H811="TBA-004",IF($F811="Evet",ROUND($C811*tba_oranKadinGenc,2),0),IF($H811="TBA-ENG",IF($G811="Evet",ROUND($C811*tba_isverenOran,2),0),0)))))</f>
        <v/>
      </c>
      <c r="L811" s="31">
        <f>IF($A811="","",MAX(0,$J811-$K811))</f>
        <v/>
      </c>
    </row>
    <row r="812">
      <c r="I812" s="31">
        <f>IF($A812="","",IF($J812=0,"YOK",IF(AND($E812="Evet",ROUND($C812*tba_oranIlave,2)=$J812),"TBA-002",IF(AND($D812="Evet",ROUND($C812*tba_oranBesPuan,2)=$J812),"TBA-001",IF(AND($F812="Evet",ROUND($C812*tba_oranKadinGenc,2)=$J812),"TBA-004","TBA-ENG")))))</f>
        <v/>
      </c>
      <c r="J812" s="31">
        <f>IF($A812="","",MAX(IF($D812="Evet",ROUND($C812*tba_oranBesPuan,2),0),IF($E812="Evet",ROUND($C812*tba_oranIlave,2),0),IF($F812="Evet",ROUND($C812*tba_oranKadinGenc,2),0),IF($G812="Evet",ROUND($C812*tba_isverenOran,2),0)))</f>
        <v/>
      </c>
      <c r="K812" s="31">
        <f>IF($A812="","",IF($H812="TBA-001",IF($D812="Evet",ROUND($C812*tba_oranBesPuan,2),0),IF($H812="TBA-002",IF($E812="Evet",ROUND($C812*tba_oranIlave,2),0),IF($H812="TBA-004",IF($F812="Evet",ROUND($C812*tba_oranKadinGenc,2),0),IF($H812="TBA-ENG",IF($G812="Evet",ROUND($C812*tba_isverenOran,2),0),0)))))</f>
        <v/>
      </c>
      <c r="L812" s="31">
        <f>IF($A812="","",MAX(0,$J812-$K812))</f>
        <v/>
      </c>
    </row>
    <row r="813">
      <c r="I813" s="31">
        <f>IF($A813="","",IF($J813=0,"YOK",IF(AND($E813="Evet",ROUND($C813*tba_oranIlave,2)=$J813),"TBA-002",IF(AND($D813="Evet",ROUND($C813*tba_oranBesPuan,2)=$J813),"TBA-001",IF(AND($F813="Evet",ROUND($C813*tba_oranKadinGenc,2)=$J813),"TBA-004","TBA-ENG")))))</f>
        <v/>
      </c>
      <c r="J813" s="31">
        <f>IF($A813="","",MAX(IF($D813="Evet",ROUND($C813*tba_oranBesPuan,2),0),IF($E813="Evet",ROUND($C813*tba_oranIlave,2),0),IF($F813="Evet",ROUND($C813*tba_oranKadinGenc,2),0),IF($G813="Evet",ROUND($C813*tba_isverenOran,2),0)))</f>
        <v/>
      </c>
      <c r="K813" s="31">
        <f>IF($A813="","",IF($H813="TBA-001",IF($D813="Evet",ROUND($C813*tba_oranBesPuan,2),0),IF($H813="TBA-002",IF($E813="Evet",ROUND($C813*tba_oranIlave,2),0),IF($H813="TBA-004",IF($F813="Evet",ROUND($C813*tba_oranKadinGenc,2),0),IF($H813="TBA-ENG",IF($G813="Evet",ROUND($C813*tba_isverenOran,2),0),0)))))</f>
        <v/>
      </c>
      <c r="L813" s="31">
        <f>IF($A813="","",MAX(0,$J813-$K813))</f>
        <v/>
      </c>
    </row>
    <row r="814">
      <c r="I814" s="31">
        <f>IF($A814="","",IF($J814=0,"YOK",IF(AND($E814="Evet",ROUND($C814*tba_oranIlave,2)=$J814),"TBA-002",IF(AND($D814="Evet",ROUND($C814*tba_oranBesPuan,2)=$J814),"TBA-001",IF(AND($F814="Evet",ROUND($C814*tba_oranKadinGenc,2)=$J814),"TBA-004","TBA-ENG")))))</f>
        <v/>
      </c>
      <c r="J814" s="31">
        <f>IF($A814="","",MAX(IF($D814="Evet",ROUND($C814*tba_oranBesPuan,2),0),IF($E814="Evet",ROUND($C814*tba_oranIlave,2),0),IF($F814="Evet",ROUND($C814*tba_oranKadinGenc,2),0),IF($G814="Evet",ROUND($C814*tba_isverenOran,2),0)))</f>
        <v/>
      </c>
      <c r="K814" s="31">
        <f>IF($A814="","",IF($H814="TBA-001",IF($D814="Evet",ROUND($C814*tba_oranBesPuan,2),0),IF($H814="TBA-002",IF($E814="Evet",ROUND($C814*tba_oranIlave,2),0),IF($H814="TBA-004",IF($F814="Evet",ROUND($C814*tba_oranKadinGenc,2),0),IF($H814="TBA-ENG",IF($G814="Evet",ROUND($C814*tba_isverenOran,2),0),0)))))</f>
        <v/>
      </c>
      <c r="L814" s="31">
        <f>IF($A814="","",MAX(0,$J814-$K814))</f>
        <v/>
      </c>
    </row>
    <row r="815">
      <c r="I815" s="31">
        <f>IF($A815="","",IF($J815=0,"YOK",IF(AND($E815="Evet",ROUND($C815*tba_oranIlave,2)=$J815),"TBA-002",IF(AND($D815="Evet",ROUND($C815*tba_oranBesPuan,2)=$J815),"TBA-001",IF(AND($F815="Evet",ROUND($C815*tba_oranKadinGenc,2)=$J815),"TBA-004","TBA-ENG")))))</f>
        <v/>
      </c>
      <c r="J815" s="31">
        <f>IF($A815="","",MAX(IF($D815="Evet",ROUND($C815*tba_oranBesPuan,2),0),IF($E815="Evet",ROUND($C815*tba_oranIlave,2),0),IF($F815="Evet",ROUND($C815*tba_oranKadinGenc,2),0),IF($G815="Evet",ROUND($C815*tba_isverenOran,2),0)))</f>
        <v/>
      </c>
      <c r="K815" s="31">
        <f>IF($A815="","",IF($H815="TBA-001",IF($D815="Evet",ROUND($C815*tba_oranBesPuan,2),0),IF($H815="TBA-002",IF($E815="Evet",ROUND($C815*tba_oranIlave,2),0),IF($H815="TBA-004",IF($F815="Evet",ROUND($C815*tba_oranKadinGenc,2),0),IF($H815="TBA-ENG",IF($G815="Evet",ROUND($C815*tba_isverenOran,2),0),0)))))</f>
        <v/>
      </c>
      <c r="L815" s="31">
        <f>IF($A815="","",MAX(0,$J815-$K815))</f>
        <v/>
      </c>
    </row>
    <row r="816">
      <c r="I816" s="31">
        <f>IF($A816="","",IF($J816=0,"YOK",IF(AND($E816="Evet",ROUND($C816*tba_oranIlave,2)=$J816),"TBA-002",IF(AND($D816="Evet",ROUND($C816*tba_oranBesPuan,2)=$J816),"TBA-001",IF(AND($F816="Evet",ROUND($C816*tba_oranKadinGenc,2)=$J816),"TBA-004","TBA-ENG")))))</f>
        <v/>
      </c>
      <c r="J816" s="31">
        <f>IF($A816="","",MAX(IF($D816="Evet",ROUND($C816*tba_oranBesPuan,2),0),IF($E816="Evet",ROUND($C816*tba_oranIlave,2),0),IF($F816="Evet",ROUND($C816*tba_oranKadinGenc,2),0),IF($G816="Evet",ROUND($C816*tba_isverenOran,2),0)))</f>
        <v/>
      </c>
      <c r="K816" s="31">
        <f>IF($A816="","",IF($H816="TBA-001",IF($D816="Evet",ROUND($C816*tba_oranBesPuan,2),0),IF($H816="TBA-002",IF($E816="Evet",ROUND($C816*tba_oranIlave,2),0),IF($H816="TBA-004",IF($F816="Evet",ROUND($C816*tba_oranKadinGenc,2),0),IF($H816="TBA-ENG",IF($G816="Evet",ROUND($C816*tba_isverenOran,2),0),0)))))</f>
        <v/>
      </c>
      <c r="L816" s="31">
        <f>IF($A816="","",MAX(0,$J816-$K816))</f>
        <v/>
      </c>
    </row>
    <row r="817">
      <c r="I817" s="31">
        <f>IF($A817="","",IF($J817=0,"YOK",IF(AND($E817="Evet",ROUND($C817*tba_oranIlave,2)=$J817),"TBA-002",IF(AND($D817="Evet",ROUND($C817*tba_oranBesPuan,2)=$J817),"TBA-001",IF(AND($F817="Evet",ROUND($C817*tba_oranKadinGenc,2)=$J817),"TBA-004","TBA-ENG")))))</f>
        <v/>
      </c>
      <c r="J817" s="31">
        <f>IF($A817="","",MAX(IF($D817="Evet",ROUND($C817*tba_oranBesPuan,2),0),IF($E817="Evet",ROUND($C817*tba_oranIlave,2),0),IF($F817="Evet",ROUND($C817*tba_oranKadinGenc,2),0),IF($G817="Evet",ROUND($C817*tba_isverenOran,2),0)))</f>
        <v/>
      </c>
      <c r="K817" s="31">
        <f>IF($A817="","",IF($H817="TBA-001",IF($D817="Evet",ROUND($C817*tba_oranBesPuan,2),0),IF($H817="TBA-002",IF($E817="Evet",ROUND($C817*tba_oranIlave,2),0),IF($H817="TBA-004",IF($F817="Evet",ROUND($C817*tba_oranKadinGenc,2),0),IF($H817="TBA-ENG",IF($G817="Evet",ROUND($C817*tba_isverenOran,2),0),0)))))</f>
        <v/>
      </c>
      <c r="L817" s="31">
        <f>IF($A817="","",MAX(0,$J817-$K817))</f>
        <v/>
      </c>
    </row>
    <row r="818">
      <c r="I818" s="31">
        <f>IF($A818="","",IF($J818=0,"YOK",IF(AND($E818="Evet",ROUND($C818*tba_oranIlave,2)=$J818),"TBA-002",IF(AND($D818="Evet",ROUND($C818*tba_oranBesPuan,2)=$J818),"TBA-001",IF(AND($F818="Evet",ROUND($C818*tba_oranKadinGenc,2)=$J818),"TBA-004","TBA-ENG")))))</f>
        <v/>
      </c>
      <c r="J818" s="31">
        <f>IF($A818="","",MAX(IF($D818="Evet",ROUND($C818*tba_oranBesPuan,2),0),IF($E818="Evet",ROUND($C818*tba_oranIlave,2),0),IF($F818="Evet",ROUND($C818*tba_oranKadinGenc,2),0),IF($G818="Evet",ROUND($C818*tba_isverenOran,2),0)))</f>
        <v/>
      </c>
      <c r="K818" s="31">
        <f>IF($A818="","",IF($H818="TBA-001",IF($D818="Evet",ROUND($C818*tba_oranBesPuan,2),0),IF($H818="TBA-002",IF($E818="Evet",ROUND($C818*tba_oranIlave,2),0),IF($H818="TBA-004",IF($F818="Evet",ROUND($C818*tba_oranKadinGenc,2),0),IF($H818="TBA-ENG",IF($G818="Evet",ROUND($C818*tba_isverenOran,2),0),0)))))</f>
        <v/>
      </c>
      <c r="L818" s="31">
        <f>IF($A818="","",MAX(0,$J818-$K818))</f>
        <v/>
      </c>
    </row>
    <row r="819">
      <c r="I819" s="31">
        <f>IF($A819="","",IF($J819=0,"YOK",IF(AND($E819="Evet",ROUND($C819*tba_oranIlave,2)=$J819),"TBA-002",IF(AND($D819="Evet",ROUND($C819*tba_oranBesPuan,2)=$J819),"TBA-001",IF(AND($F819="Evet",ROUND($C819*tba_oranKadinGenc,2)=$J819),"TBA-004","TBA-ENG")))))</f>
        <v/>
      </c>
      <c r="J819" s="31">
        <f>IF($A819="","",MAX(IF($D819="Evet",ROUND($C819*tba_oranBesPuan,2),0),IF($E819="Evet",ROUND($C819*tba_oranIlave,2),0),IF($F819="Evet",ROUND($C819*tba_oranKadinGenc,2),0),IF($G819="Evet",ROUND($C819*tba_isverenOran,2),0)))</f>
        <v/>
      </c>
      <c r="K819" s="31">
        <f>IF($A819="","",IF($H819="TBA-001",IF($D819="Evet",ROUND($C819*tba_oranBesPuan,2),0),IF($H819="TBA-002",IF($E819="Evet",ROUND($C819*tba_oranIlave,2),0),IF($H819="TBA-004",IF($F819="Evet",ROUND($C819*tba_oranKadinGenc,2),0),IF($H819="TBA-ENG",IF($G819="Evet",ROUND($C819*tba_isverenOran,2),0),0)))))</f>
        <v/>
      </c>
      <c r="L819" s="31">
        <f>IF($A819="","",MAX(0,$J819-$K819))</f>
        <v/>
      </c>
    </row>
    <row r="820">
      <c r="I820" s="31">
        <f>IF($A820="","",IF($J820=0,"YOK",IF(AND($E820="Evet",ROUND($C820*tba_oranIlave,2)=$J820),"TBA-002",IF(AND($D820="Evet",ROUND($C820*tba_oranBesPuan,2)=$J820),"TBA-001",IF(AND($F820="Evet",ROUND($C820*tba_oranKadinGenc,2)=$J820),"TBA-004","TBA-ENG")))))</f>
        <v/>
      </c>
      <c r="J820" s="31">
        <f>IF($A820="","",MAX(IF($D820="Evet",ROUND($C820*tba_oranBesPuan,2),0),IF($E820="Evet",ROUND($C820*tba_oranIlave,2),0),IF($F820="Evet",ROUND($C820*tba_oranKadinGenc,2),0),IF($G820="Evet",ROUND($C820*tba_isverenOran,2),0)))</f>
        <v/>
      </c>
      <c r="K820" s="31">
        <f>IF($A820="","",IF($H820="TBA-001",IF($D820="Evet",ROUND($C820*tba_oranBesPuan,2),0),IF($H820="TBA-002",IF($E820="Evet",ROUND($C820*tba_oranIlave,2),0),IF($H820="TBA-004",IF($F820="Evet",ROUND($C820*tba_oranKadinGenc,2),0),IF($H820="TBA-ENG",IF($G820="Evet",ROUND($C820*tba_isverenOran,2),0),0)))))</f>
        <v/>
      </c>
      <c r="L820" s="31">
        <f>IF($A820="","",MAX(0,$J820-$K820))</f>
        <v/>
      </c>
    </row>
    <row r="821">
      <c r="I821" s="31">
        <f>IF($A821="","",IF($J821=0,"YOK",IF(AND($E821="Evet",ROUND($C821*tba_oranIlave,2)=$J821),"TBA-002",IF(AND($D821="Evet",ROUND($C821*tba_oranBesPuan,2)=$J821),"TBA-001",IF(AND($F821="Evet",ROUND($C821*tba_oranKadinGenc,2)=$J821),"TBA-004","TBA-ENG")))))</f>
        <v/>
      </c>
      <c r="J821" s="31">
        <f>IF($A821="","",MAX(IF($D821="Evet",ROUND($C821*tba_oranBesPuan,2),0),IF($E821="Evet",ROUND($C821*tba_oranIlave,2),0),IF($F821="Evet",ROUND($C821*tba_oranKadinGenc,2),0),IF($G821="Evet",ROUND($C821*tba_isverenOran,2),0)))</f>
        <v/>
      </c>
      <c r="K821" s="31">
        <f>IF($A821="","",IF($H821="TBA-001",IF($D821="Evet",ROUND($C821*tba_oranBesPuan,2),0),IF($H821="TBA-002",IF($E821="Evet",ROUND($C821*tba_oranIlave,2),0),IF($H821="TBA-004",IF($F821="Evet",ROUND($C821*tba_oranKadinGenc,2),0),IF($H821="TBA-ENG",IF($G821="Evet",ROUND($C821*tba_isverenOran,2),0),0)))))</f>
        <v/>
      </c>
      <c r="L821" s="31">
        <f>IF($A821="","",MAX(0,$J821-$K821))</f>
        <v/>
      </c>
    </row>
    <row r="822">
      <c r="I822" s="31">
        <f>IF($A822="","",IF($J822=0,"YOK",IF(AND($E822="Evet",ROUND($C822*tba_oranIlave,2)=$J822),"TBA-002",IF(AND($D822="Evet",ROUND($C822*tba_oranBesPuan,2)=$J822),"TBA-001",IF(AND($F822="Evet",ROUND($C822*tba_oranKadinGenc,2)=$J822),"TBA-004","TBA-ENG")))))</f>
        <v/>
      </c>
      <c r="J822" s="31">
        <f>IF($A822="","",MAX(IF($D822="Evet",ROUND($C822*tba_oranBesPuan,2),0),IF($E822="Evet",ROUND($C822*tba_oranIlave,2),0),IF($F822="Evet",ROUND($C822*tba_oranKadinGenc,2),0),IF($G822="Evet",ROUND($C822*tba_isverenOran,2),0)))</f>
        <v/>
      </c>
      <c r="K822" s="31">
        <f>IF($A822="","",IF($H822="TBA-001",IF($D822="Evet",ROUND($C822*tba_oranBesPuan,2),0),IF($H822="TBA-002",IF($E822="Evet",ROUND($C822*tba_oranIlave,2),0),IF($H822="TBA-004",IF($F822="Evet",ROUND($C822*tba_oranKadinGenc,2),0),IF($H822="TBA-ENG",IF($G822="Evet",ROUND($C822*tba_isverenOran,2),0),0)))))</f>
        <v/>
      </c>
      <c r="L822" s="31">
        <f>IF($A822="","",MAX(0,$J822-$K822))</f>
        <v/>
      </c>
    </row>
    <row r="823">
      <c r="I823" s="31">
        <f>IF($A823="","",IF($J823=0,"YOK",IF(AND($E823="Evet",ROUND($C823*tba_oranIlave,2)=$J823),"TBA-002",IF(AND($D823="Evet",ROUND($C823*tba_oranBesPuan,2)=$J823),"TBA-001",IF(AND($F823="Evet",ROUND($C823*tba_oranKadinGenc,2)=$J823),"TBA-004","TBA-ENG")))))</f>
        <v/>
      </c>
      <c r="J823" s="31">
        <f>IF($A823="","",MAX(IF($D823="Evet",ROUND($C823*tba_oranBesPuan,2),0),IF($E823="Evet",ROUND($C823*tba_oranIlave,2),0),IF($F823="Evet",ROUND($C823*tba_oranKadinGenc,2),0),IF($G823="Evet",ROUND($C823*tba_isverenOran,2),0)))</f>
        <v/>
      </c>
      <c r="K823" s="31">
        <f>IF($A823="","",IF($H823="TBA-001",IF($D823="Evet",ROUND($C823*tba_oranBesPuan,2),0),IF($H823="TBA-002",IF($E823="Evet",ROUND($C823*tba_oranIlave,2),0),IF($H823="TBA-004",IF($F823="Evet",ROUND($C823*tba_oranKadinGenc,2),0),IF($H823="TBA-ENG",IF($G823="Evet",ROUND($C823*tba_isverenOran,2),0),0)))))</f>
        <v/>
      </c>
      <c r="L823" s="31">
        <f>IF($A823="","",MAX(0,$J823-$K823))</f>
        <v/>
      </c>
    </row>
    <row r="824">
      <c r="I824" s="31">
        <f>IF($A824="","",IF($J824=0,"YOK",IF(AND($E824="Evet",ROUND($C824*tba_oranIlave,2)=$J824),"TBA-002",IF(AND($D824="Evet",ROUND($C824*tba_oranBesPuan,2)=$J824),"TBA-001",IF(AND($F824="Evet",ROUND($C824*tba_oranKadinGenc,2)=$J824),"TBA-004","TBA-ENG")))))</f>
        <v/>
      </c>
      <c r="J824" s="31">
        <f>IF($A824="","",MAX(IF($D824="Evet",ROUND($C824*tba_oranBesPuan,2),0),IF($E824="Evet",ROUND($C824*tba_oranIlave,2),0),IF($F824="Evet",ROUND($C824*tba_oranKadinGenc,2),0),IF($G824="Evet",ROUND($C824*tba_isverenOran,2),0)))</f>
        <v/>
      </c>
      <c r="K824" s="31">
        <f>IF($A824="","",IF($H824="TBA-001",IF($D824="Evet",ROUND($C824*tba_oranBesPuan,2),0),IF($H824="TBA-002",IF($E824="Evet",ROUND($C824*tba_oranIlave,2),0),IF($H824="TBA-004",IF($F824="Evet",ROUND($C824*tba_oranKadinGenc,2),0),IF($H824="TBA-ENG",IF($G824="Evet",ROUND($C824*tba_isverenOran,2),0),0)))))</f>
        <v/>
      </c>
      <c r="L824" s="31">
        <f>IF($A824="","",MAX(0,$J824-$K824))</f>
        <v/>
      </c>
    </row>
    <row r="825">
      <c r="I825" s="31">
        <f>IF($A825="","",IF($J825=0,"YOK",IF(AND($E825="Evet",ROUND($C825*tba_oranIlave,2)=$J825),"TBA-002",IF(AND($D825="Evet",ROUND($C825*tba_oranBesPuan,2)=$J825),"TBA-001",IF(AND($F825="Evet",ROUND($C825*tba_oranKadinGenc,2)=$J825),"TBA-004","TBA-ENG")))))</f>
        <v/>
      </c>
      <c r="J825" s="31">
        <f>IF($A825="","",MAX(IF($D825="Evet",ROUND($C825*tba_oranBesPuan,2),0),IF($E825="Evet",ROUND($C825*tba_oranIlave,2),0),IF($F825="Evet",ROUND($C825*tba_oranKadinGenc,2),0),IF($G825="Evet",ROUND($C825*tba_isverenOran,2),0)))</f>
        <v/>
      </c>
      <c r="K825" s="31">
        <f>IF($A825="","",IF($H825="TBA-001",IF($D825="Evet",ROUND($C825*tba_oranBesPuan,2),0),IF($H825="TBA-002",IF($E825="Evet",ROUND($C825*tba_oranIlave,2),0),IF($H825="TBA-004",IF($F825="Evet",ROUND($C825*tba_oranKadinGenc,2),0),IF($H825="TBA-ENG",IF($G825="Evet",ROUND($C825*tba_isverenOran,2),0),0)))))</f>
        <v/>
      </c>
      <c r="L825" s="31">
        <f>IF($A825="","",MAX(0,$J825-$K825))</f>
        <v/>
      </c>
    </row>
    <row r="826">
      <c r="I826" s="31">
        <f>IF($A826="","",IF($J826=0,"YOK",IF(AND($E826="Evet",ROUND($C826*tba_oranIlave,2)=$J826),"TBA-002",IF(AND($D826="Evet",ROUND($C826*tba_oranBesPuan,2)=$J826),"TBA-001",IF(AND($F826="Evet",ROUND($C826*tba_oranKadinGenc,2)=$J826),"TBA-004","TBA-ENG")))))</f>
        <v/>
      </c>
      <c r="J826" s="31">
        <f>IF($A826="","",MAX(IF($D826="Evet",ROUND($C826*tba_oranBesPuan,2),0),IF($E826="Evet",ROUND($C826*tba_oranIlave,2),0),IF($F826="Evet",ROUND($C826*tba_oranKadinGenc,2),0),IF($G826="Evet",ROUND($C826*tba_isverenOran,2),0)))</f>
        <v/>
      </c>
      <c r="K826" s="31">
        <f>IF($A826="","",IF($H826="TBA-001",IF($D826="Evet",ROUND($C826*tba_oranBesPuan,2),0),IF($H826="TBA-002",IF($E826="Evet",ROUND($C826*tba_oranIlave,2),0),IF($H826="TBA-004",IF($F826="Evet",ROUND($C826*tba_oranKadinGenc,2),0),IF($H826="TBA-ENG",IF($G826="Evet",ROUND($C826*tba_isverenOran,2),0),0)))))</f>
        <v/>
      </c>
      <c r="L826" s="31">
        <f>IF($A826="","",MAX(0,$J826-$K826))</f>
        <v/>
      </c>
    </row>
    <row r="827">
      <c r="I827" s="31">
        <f>IF($A827="","",IF($J827=0,"YOK",IF(AND($E827="Evet",ROUND($C827*tba_oranIlave,2)=$J827),"TBA-002",IF(AND($D827="Evet",ROUND($C827*tba_oranBesPuan,2)=$J827),"TBA-001",IF(AND($F827="Evet",ROUND($C827*tba_oranKadinGenc,2)=$J827),"TBA-004","TBA-ENG")))))</f>
        <v/>
      </c>
      <c r="J827" s="31">
        <f>IF($A827="","",MAX(IF($D827="Evet",ROUND($C827*tba_oranBesPuan,2),0),IF($E827="Evet",ROUND($C827*tba_oranIlave,2),0),IF($F827="Evet",ROUND($C827*tba_oranKadinGenc,2),0),IF($G827="Evet",ROUND($C827*tba_isverenOran,2),0)))</f>
        <v/>
      </c>
      <c r="K827" s="31">
        <f>IF($A827="","",IF($H827="TBA-001",IF($D827="Evet",ROUND($C827*tba_oranBesPuan,2),0),IF($H827="TBA-002",IF($E827="Evet",ROUND($C827*tba_oranIlave,2),0),IF($H827="TBA-004",IF($F827="Evet",ROUND($C827*tba_oranKadinGenc,2),0),IF($H827="TBA-ENG",IF($G827="Evet",ROUND($C827*tba_isverenOran,2),0),0)))))</f>
        <v/>
      </c>
      <c r="L827" s="31">
        <f>IF($A827="","",MAX(0,$J827-$K827))</f>
        <v/>
      </c>
    </row>
    <row r="828">
      <c r="I828" s="31">
        <f>IF($A828="","",IF($J828=0,"YOK",IF(AND($E828="Evet",ROUND($C828*tba_oranIlave,2)=$J828),"TBA-002",IF(AND($D828="Evet",ROUND($C828*tba_oranBesPuan,2)=$J828),"TBA-001",IF(AND($F828="Evet",ROUND($C828*tba_oranKadinGenc,2)=$J828),"TBA-004","TBA-ENG")))))</f>
        <v/>
      </c>
      <c r="J828" s="31">
        <f>IF($A828="","",MAX(IF($D828="Evet",ROUND($C828*tba_oranBesPuan,2),0),IF($E828="Evet",ROUND($C828*tba_oranIlave,2),0),IF($F828="Evet",ROUND($C828*tba_oranKadinGenc,2),0),IF($G828="Evet",ROUND($C828*tba_isverenOran,2),0)))</f>
        <v/>
      </c>
      <c r="K828" s="31">
        <f>IF($A828="","",IF($H828="TBA-001",IF($D828="Evet",ROUND($C828*tba_oranBesPuan,2),0),IF($H828="TBA-002",IF($E828="Evet",ROUND($C828*tba_oranIlave,2),0),IF($H828="TBA-004",IF($F828="Evet",ROUND($C828*tba_oranKadinGenc,2),0),IF($H828="TBA-ENG",IF($G828="Evet",ROUND($C828*tba_isverenOran,2),0),0)))))</f>
        <v/>
      </c>
      <c r="L828" s="31">
        <f>IF($A828="","",MAX(0,$J828-$K828))</f>
        <v/>
      </c>
    </row>
    <row r="829">
      <c r="I829" s="31">
        <f>IF($A829="","",IF($J829=0,"YOK",IF(AND($E829="Evet",ROUND($C829*tba_oranIlave,2)=$J829),"TBA-002",IF(AND($D829="Evet",ROUND($C829*tba_oranBesPuan,2)=$J829),"TBA-001",IF(AND($F829="Evet",ROUND($C829*tba_oranKadinGenc,2)=$J829),"TBA-004","TBA-ENG")))))</f>
        <v/>
      </c>
      <c r="J829" s="31">
        <f>IF($A829="","",MAX(IF($D829="Evet",ROUND($C829*tba_oranBesPuan,2),0),IF($E829="Evet",ROUND($C829*tba_oranIlave,2),0),IF($F829="Evet",ROUND($C829*tba_oranKadinGenc,2),0),IF($G829="Evet",ROUND($C829*tba_isverenOran,2),0)))</f>
        <v/>
      </c>
      <c r="K829" s="31">
        <f>IF($A829="","",IF($H829="TBA-001",IF($D829="Evet",ROUND($C829*tba_oranBesPuan,2),0),IF($H829="TBA-002",IF($E829="Evet",ROUND($C829*tba_oranIlave,2),0),IF($H829="TBA-004",IF($F829="Evet",ROUND($C829*tba_oranKadinGenc,2),0),IF($H829="TBA-ENG",IF($G829="Evet",ROUND($C829*tba_isverenOran,2),0),0)))))</f>
        <v/>
      </c>
      <c r="L829" s="31">
        <f>IF($A829="","",MAX(0,$J829-$K829))</f>
        <v/>
      </c>
    </row>
    <row r="830">
      <c r="I830" s="31">
        <f>IF($A830="","",IF($J830=0,"YOK",IF(AND($E830="Evet",ROUND($C830*tba_oranIlave,2)=$J830),"TBA-002",IF(AND($D830="Evet",ROUND($C830*tba_oranBesPuan,2)=$J830),"TBA-001",IF(AND($F830="Evet",ROUND($C830*tba_oranKadinGenc,2)=$J830),"TBA-004","TBA-ENG")))))</f>
        <v/>
      </c>
      <c r="J830" s="31">
        <f>IF($A830="","",MAX(IF($D830="Evet",ROUND($C830*tba_oranBesPuan,2),0),IF($E830="Evet",ROUND($C830*tba_oranIlave,2),0),IF($F830="Evet",ROUND($C830*tba_oranKadinGenc,2),0),IF($G830="Evet",ROUND($C830*tba_isverenOran,2),0)))</f>
        <v/>
      </c>
      <c r="K830" s="31">
        <f>IF($A830="","",IF($H830="TBA-001",IF($D830="Evet",ROUND($C830*tba_oranBesPuan,2),0),IF($H830="TBA-002",IF($E830="Evet",ROUND($C830*tba_oranIlave,2),0),IF($H830="TBA-004",IF($F830="Evet",ROUND($C830*tba_oranKadinGenc,2),0),IF($H830="TBA-ENG",IF($G830="Evet",ROUND($C830*tba_isverenOran,2),0),0)))))</f>
        <v/>
      </c>
      <c r="L830" s="31">
        <f>IF($A830="","",MAX(0,$J830-$K830))</f>
        <v/>
      </c>
    </row>
    <row r="831">
      <c r="I831" s="31">
        <f>IF($A831="","",IF($J831=0,"YOK",IF(AND($E831="Evet",ROUND($C831*tba_oranIlave,2)=$J831),"TBA-002",IF(AND($D831="Evet",ROUND($C831*tba_oranBesPuan,2)=$J831),"TBA-001",IF(AND($F831="Evet",ROUND($C831*tba_oranKadinGenc,2)=$J831),"TBA-004","TBA-ENG")))))</f>
        <v/>
      </c>
      <c r="J831" s="31">
        <f>IF($A831="","",MAX(IF($D831="Evet",ROUND($C831*tba_oranBesPuan,2),0),IF($E831="Evet",ROUND($C831*tba_oranIlave,2),0),IF($F831="Evet",ROUND($C831*tba_oranKadinGenc,2),0),IF($G831="Evet",ROUND($C831*tba_isverenOran,2),0)))</f>
        <v/>
      </c>
      <c r="K831" s="31">
        <f>IF($A831="","",IF($H831="TBA-001",IF($D831="Evet",ROUND($C831*tba_oranBesPuan,2),0),IF($H831="TBA-002",IF($E831="Evet",ROUND($C831*tba_oranIlave,2),0),IF($H831="TBA-004",IF($F831="Evet",ROUND($C831*tba_oranKadinGenc,2),0),IF($H831="TBA-ENG",IF($G831="Evet",ROUND($C831*tba_isverenOran,2),0),0)))))</f>
        <v/>
      </c>
      <c r="L831" s="31">
        <f>IF($A831="","",MAX(0,$J831-$K831))</f>
        <v/>
      </c>
    </row>
    <row r="832">
      <c r="I832" s="31">
        <f>IF($A832="","",IF($J832=0,"YOK",IF(AND($E832="Evet",ROUND($C832*tba_oranIlave,2)=$J832),"TBA-002",IF(AND($D832="Evet",ROUND($C832*tba_oranBesPuan,2)=$J832),"TBA-001",IF(AND($F832="Evet",ROUND($C832*tba_oranKadinGenc,2)=$J832),"TBA-004","TBA-ENG")))))</f>
        <v/>
      </c>
      <c r="J832" s="31">
        <f>IF($A832="","",MAX(IF($D832="Evet",ROUND($C832*tba_oranBesPuan,2),0),IF($E832="Evet",ROUND($C832*tba_oranIlave,2),0),IF($F832="Evet",ROUND($C832*tba_oranKadinGenc,2),0),IF($G832="Evet",ROUND($C832*tba_isverenOran,2),0)))</f>
        <v/>
      </c>
      <c r="K832" s="31">
        <f>IF($A832="","",IF($H832="TBA-001",IF($D832="Evet",ROUND($C832*tba_oranBesPuan,2),0),IF($H832="TBA-002",IF($E832="Evet",ROUND($C832*tba_oranIlave,2),0),IF($H832="TBA-004",IF($F832="Evet",ROUND($C832*tba_oranKadinGenc,2),0),IF($H832="TBA-ENG",IF($G832="Evet",ROUND($C832*tba_isverenOran,2),0),0)))))</f>
        <v/>
      </c>
      <c r="L832" s="31">
        <f>IF($A832="","",MAX(0,$J832-$K832))</f>
        <v/>
      </c>
    </row>
    <row r="833">
      <c r="I833" s="31">
        <f>IF($A833="","",IF($J833=0,"YOK",IF(AND($E833="Evet",ROUND($C833*tba_oranIlave,2)=$J833),"TBA-002",IF(AND($D833="Evet",ROUND($C833*tba_oranBesPuan,2)=$J833),"TBA-001",IF(AND($F833="Evet",ROUND($C833*tba_oranKadinGenc,2)=$J833),"TBA-004","TBA-ENG")))))</f>
        <v/>
      </c>
      <c r="J833" s="31">
        <f>IF($A833="","",MAX(IF($D833="Evet",ROUND($C833*tba_oranBesPuan,2),0),IF($E833="Evet",ROUND($C833*tba_oranIlave,2),0),IF($F833="Evet",ROUND($C833*tba_oranKadinGenc,2),0),IF($G833="Evet",ROUND($C833*tba_isverenOran,2),0)))</f>
        <v/>
      </c>
      <c r="K833" s="31">
        <f>IF($A833="","",IF($H833="TBA-001",IF($D833="Evet",ROUND($C833*tba_oranBesPuan,2),0),IF($H833="TBA-002",IF($E833="Evet",ROUND($C833*tba_oranIlave,2),0),IF($H833="TBA-004",IF($F833="Evet",ROUND($C833*tba_oranKadinGenc,2),0),IF($H833="TBA-ENG",IF($G833="Evet",ROUND($C833*tba_isverenOran,2),0),0)))))</f>
        <v/>
      </c>
      <c r="L833" s="31">
        <f>IF($A833="","",MAX(0,$J833-$K833))</f>
        <v/>
      </c>
    </row>
    <row r="834">
      <c r="I834" s="31">
        <f>IF($A834="","",IF($J834=0,"YOK",IF(AND($E834="Evet",ROUND($C834*tba_oranIlave,2)=$J834),"TBA-002",IF(AND($D834="Evet",ROUND($C834*tba_oranBesPuan,2)=$J834),"TBA-001",IF(AND($F834="Evet",ROUND($C834*tba_oranKadinGenc,2)=$J834),"TBA-004","TBA-ENG")))))</f>
        <v/>
      </c>
      <c r="J834" s="31">
        <f>IF($A834="","",MAX(IF($D834="Evet",ROUND($C834*tba_oranBesPuan,2),0),IF($E834="Evet",ROUND($C834*tba_oranIlave,2),0),IF($F834="Evet",ROUND($C834*tba_oranKadinGenc,2),0),IF($G834="Evet",ROUND($C834*tba_isverenOran,2),0)))</f>
        <v/>
      </c>
      <c r="K834" s="31">
        <f>IF($A834="","",IF($H834="TBA-001",IF($D834="Evet",ROUND($C834*tba_oranBesPuan,2),0),IF($H834="TBA-002",IF($E834="Evet",ROUND($C834*tba_oranIlave,2),0),IF($H834="TBA-004",IF($F834="Evet",ROUND($C834*tba_oranKadinGenc,2),0),IF($H834="TBA-ENG",IF($G834="Evet",ROUND($C834*tba_isverenOran,2),0),0)))))</f>
        <v/>
      </c>
      <c r="L834" s="31">
        <f>IF($A834="","",MAX(0,$J834-$K834))</f>
        <v/>
      </c>
    </row>
    <row r="835">
      <c r="I835" s="31">
        <f>IF($A835="","",IF($J835=0,"YOK",IF(AND($E835="Evet",ROUND($C835*tba_oranIlave,2)=$J835),"TBA-002",IF(AND($D835="Evet",ROUND($C835*tba_oranBesPuan,2)=$J835),"TBA-001",IF(AND($F835="Evet",ROUND($C835*tba_oranKadinGenc,2)=$J835),"TBA-004","TBA-ENG")))))</f>
        <v/>
      </c>
      <c r="J835" s="31">
        <f>IF($A835="","",MAX(IF($D835="Evet",ROUND($C835*tba_oranBesPuan,2),0),IF($E835="Evet",ROUND($C835*tba_oranIlave,2),0),IF($F835="Evet",ROUND($C835*tba_oranKadinGenc,2),0),IF($G835="Evet",ROUND($C835*tba_isverenOran,2),0)))</f>
        <v/>
      </c>
      <c r="K835" s="31">
        <f>IF($A835="","",IF($H835="TBA-001",IF($D835="Evet",ROUND($C835*tba_oranBesPuan,2),0),IF($H835="TBA-002",IF($E835="Evet",ROUND($C835*tba_oranIlave,2),0),IF($H835="TBA-004",IF($F835="Evet",ROUND($C835*tba_oranKadinGenc,2),0),IF($H835="TBA-ENG",IF($G835="Evet",ROUND($C835*tba_isverenOran,2),0),0)))))</f>
        <v/>
      </c>
      <c r="L835" s="31">
        <f>IF($A835="","",MAX(0,$J835-$K835))</f>
        <v/>
      </c>
    </row>
    <row r="836">
      <c r="I836" s="31">
        <f>IF($A836="","",IF($J836=0,"YOK",IF(AND($E836="Evet",ROUND($C836*tba_oranIlave,2)=$J836),"TBA-002",IF(AND($D836="Evet",ROUND($C836*tba_oranBesPuan,2)=$J836),"TBA-001",IF(AND($F836="Evet",ROUND($C836*tba_oranKadinGenc,2)=$J836),"TBA-004","TBA-ENG")))))</f>
        <v/>
      </c>
      <c r="J836" s="31">
        <f>IF($A836="","",MAX(IF($D836="Evet",ROUND($C836*tba_oranBesPuan,2),0),IF($E836="Evet",ROUND($C836*tba_oranIlave,2),0),IF($F836="Evet",ROUND($C836*tba_oranKadinGenc,2),0),IF($G836="Evet",ROUND($C836*tba_isverenOran,2),0)))</f>
        <v/>
      </c>
      <c r="K836" s="31">
        <f>IF($A836="","",IF($H836="TBA-001",IF($D836="Evet",ROUND($C836*tba_oranBesPuan,2),0),IF($H836="TBA-002",IF($E836="Evet",ROUND($C836*tba_oranIlave,2),0),IF($H836="TBA-004",IF($F836="Evet",ROUND($C836*tba_oranKadinGenc,2),0),IF($H836="TBA-ENG",IF($G836="Evet",ROUND($C836*tba_isverenOran,2),0),0)))))</f>
        <v/>
      </c>
      <c r="L836" s="31">
        <f>IF($A836="","",MAX(0,$J836-$K836))</f>
        <v/>
      </c>
    </row>
    <row r="837">
      <c r="I837" s="31">
        <f>IF($A837="","",IF($J837=0,"YOK",IF(AND($E837="Evet",ROUND($C837*tba_oranIlave,2)=$J837),"TBA-002",IF(AND($D837="Evet",ROUND($C837*tba_oranBesPuan,2)=$J837),"TBA-001",IF(AND($F837="Evet",ROUND($C837*tba_oranKadinGenc,2)=$J837),"TBA-004","TBA-ENG")))))</f>
        <v/>
      </c>
      <c r="J837" s="31">
        <f>IF($A837="","",MAX(IF($D837="Evet",ROUND($C837*tba_oranBesPuan,2),0),IF($E837="Evet",ROUND($C837*tba_oranIlave,2),0),IF($F837="Evet",ROUND($C837*tba_oranKadinGenc,2),0),IF($G837="Evet",ROUND($C837*tba_isverenOran,2),0)))</f>
        <v/>
      </c>
      <c r="K837" s="31">
        <f>IF($A837="","",IF($H837="TBA-001",IF($D837="Evet",ROUND($C837*tba_oranBesPuan,2),0),IF($H837="TBA-002",IF($E837="Evet",ROUND($C837*tba_oranIlave,2),0),IF($H837="TBA-004",IF($F837="Evet",ROUND($C837*tba_oranKadinGenc,2),0),IF($H837="TBA-ENG",IF($G837="Evet",ROUND($C837*tba_isverenOran,2),0),0)))))</f>
        <v/>
      </c>
      <c r="L837" s="31">
        <f>IF($A837="","",MAX(0,$J837-$K837))</f>
        <v/>
      </c>
    </row>
    <row r="838">
      <c r="I838" s="31">
        <f>IF($A838="","",IF($J838=0,"YOK",IF(AND($E838="Evet",ROUND($C838*tba_oranIlave,2)=$J838),"TBA-002",IF(AND($D838="Evet",ROUND($C838*tba_oranBesPuan,2)=$J838),"TBA-001",IF(AND($F838="Evet",ROUND($C838*tba_oranKadinGenc,2)=$J838),"TBA-004","TBA-ENG")))))</f>
        <v/>
      </c>
      <c r="J838" s="31">
        <f>IF($A838="","",MAX(IF($D838="Evet",ROUND($C838*tba_oranBesPuan,2),0),IF($E838="Evet",ROUND($C838*tba_oranIlave,2),0),IF($F838="Evet",ROUND($C838*tba_oranKadinGenc,2),0),IF($G838="Evet",ROUND($C838*tba_isverenOran,2),0)))</f>
        <v/>
      </c>
      <c r="K838" s="31">
        <f>IF($A838="","",IF($H838="TBA-001",IF($D838="Evet",ROUND($C838*tba_oranBesPuan,2),0),IF($H838="TBA-002",IF($E838="Evet",ROUND($C838*tba_oranIlave,2),0),IF($H838="TBA-004",IF($F838="Evet",ROUND($C838*tba_oranKadinGenc,2),0),IF($H838="TBA-ENG",IF($G838="Evet",ROUND($C838*tba_isverenOran,2),0),0)))))</f>
        <v/>
      </c>
      <c r="L838" s="31">
        <f>IF($A838="","",MAX(0,$J838-$K838))</f>
        <v/>
      </c>
    </row>
    <row r="839">
      <c r="I839" s="31">
        <f>IF($A839="","",IF($J839=0,"YOK",IF(AND($E839="Evet",ROUND($C839*tba_oranIlave,2)=$J839),"TBA-002",IF(AND($D839="Evet",ROUND($C839*tba_oranBesPuan,2)=$J839),"TBA-001",IF(AND($F839="Evet",ROUND($C839*tba_oranKadinGenc,2)=$J839),"TBA-004","TBA-ENG")))))</f>
        <v/>
      </c>
      <c r="J839" s="31">
        <f>IF($A839="","",MAX(IF($D839="Evet",ROUND($C839*tba_oranBesPuan,2),0),IF($E839="Evet",ROUND($C839*tba_oranIlave,2),0),IF($F839="Evet",ROUND($C839*tba_oranKadinGenc,2),0),IF($G839="Evet",ROUND($C839*tba_isverenOran,2),0)))</f>
        <v/>
      </c>
      <c r="K839" s="31">
        <f>IF($A839="","",IF($H839="TBA-001",IF($D839="Evet",ROUND($C839*tba_oranBesPuan,2),0),IF($H839="TBA-002",IF($E839="Evet",ROUND($C839*tba_oranIlave,2),0),IF($H839="TBA-004",IF($F839="Evet",ROUND($C839*tba_oranKadinGenc,2),0),IF($H839="TBA-ENG",IF($G839="Evet",ROUND($C839*tba_isverenOran,2),0),0)))))</f>
        <v/>
      </c>
      <c r="L839" s="31">
        <f>IF($A839="","",MAX(0,$J839-$K839))</f>
        <v/>
      </c>
    </row>
    <row r="840">
      <c r="I840" s="31">
        <f>IF($A840="","",IF($J840=0,"YOK",IF(AND($E840="Evet",ROUND($C840*tba_oranIlave,2)=$J840),"TBA-002",IF(AND($D840="Evet",ROUND($C840*tba_oranBesPuan,2)=$J840),"TBA-001",IF(AND($F840="Evet",ROUND($C840*tba_oranKadinGenc,2)=$J840),"TBA-004","TBA-ENG")))))</f>
        <v/>
      </c>
      <c r="J840" s="31">
        <f>IF($A840="","",MAX(IF($D840="Evet",ROUND($C840*tba_oranBesPuan,2),0),IF($E840="Evet",ROUND($C840*tba_oranIlave,2),0),IF($F840="Evet",ROUND($C840*tba_oranKadinGenc,2),0),IF($G840="Evet",ROUND($C840*tba_isverenOran,2),0)))</f>
        <v/>
      </c>
      <c r="K840" s="31">
        <f>IF($A840="","",IF($H840="TBA-001",IF($D840="Evet",ROUND($C840*tba_oranBesPuan,2),0),IF($H840="TBA-002",IF($E840="Evet",ROUND($C840*tba_oranIlave,2),0),IF($H840="TBA-004",IF($F840="Evet",ROUND($C840*tba_oranKadinGenc,2),0),IF($H840="TBA-ENG",IF($G840="Evet",ROUND($C840*tba_isverenOran,2),0),0)))))</f>
        <v/>
      </c>
      <c r="L840" s="31">
        <f>IF($A840="","",MAX(0,$J840-$K840))</f>
        <v/>
      </c>
    </row>
    <row r="841">
      <c r="I841" s="31">
        <f>IF($A841="","",IF($J841=0,"YOK",IF(AND($E841="Evet",ROUND($C841*tba_oranIlave,2)=$J841),"TBA-002",IF(AND($D841="Evet",ROUND($C841*tba_oranBesPuan,2)=$J841),"TBA-001",IF(AND($F841="Evet",ROUND($C841*tba_oranKadinGenc,2)=$J841),"TBA-004","TBA-ENG")))))</f>
        <v/>
      </c>
      <c r="J841" s="31">
        <f>IF($A841="","",MAX(IF($D841="Evet",ROUND($C841*tba_oranBesPuan,2),0),IF($E841="Evet",ROUND($C841*tba_oranIlave,2),0),IF($F841="Evet",ROUND($C841*tba_oranKadinGenc,2),0),IF($G841="Evet",ROUND($C841*tba_isverenOran,2),0)))</f>
        <v/>
      </c>
      <c r="K841" s="31">
        <f>IF($A841="","",IF($H841="TBA-001",IF($D841="Evet",ROUND($C841*tba_oranBesPuan,2),0),IF($H841="TBA-002",IF($E841="Evet",ROUND($C841*tba_oranIlave,2),0),IF($H841="TBA-004",IF($F841="Evet",ROUND($C841*tba_oranKadinGenc,2),0),IF($H841="TBA-ENG",IF($G841="Evet",ROUND($C841*tba_isverenOran,2),0),0)))))</f>
        <v/>
      </c>
      <c r="L841" s="31">
        <f>IF($A841="","",MAX(0,$J841-$K841))</f>
        <v/>
      </c>
    </row>
    <row r="842">
      <c r="I842" s="31">
        <f>IF($A842="","",IF($J842=0,"YOK",IF(AND($E842="Evet",ROUND($C842*tba_oranIlave,2)=$J842),"TBA-002",IF(AND($D842="Evet",ROUND($C842*tba_oranBesPuan,2)=$J842),"TBA-001",IF(AND($F842="Evet",ROUND($C842*tba_oranKadinGenc,2)=$J842),"TBA-004","TBA-ENG")))))</f>
        <v/>
      </c>
      <c r="J842" s="31">
        <f>IF($A842="","",MAX(IF($D842="Evet",ROUND($C842*tba_oranBesPuan,2),0),IF($E842="Evet",ROUND($C842*tba_oranIlave,2),0),IF($F842="Evet",ROUND($C842*tba_oranKadinGenc,2),0),IF($G842="Evet",ROUND($C842*tba_isverenOran,2),0)))</f>
        <v/>
      </c>
      <c r="K842" s="31">
        <f>IF($A842="","",IF($H842="TBA-001",IF($D842="Evet",ROUND($C842*tba_oranBesPuan,2),0),IF($H842="TBA-002",IF($E842="Evet",ROUND($C842*tba_oranIlave,2),0),IF($H842="TBA-004",IF($F842="Evet",ROUND($C842*tba_oranKadinGenc,2),0),IF($H842="TBA-ENG",IF($G842="Evet",ROUND($C842*tba_isverenOran,2),0),0)))))</f>
        <v/>
      </c>
      <c r="L842" s="31">
        <f>IF($A842="","",MAX(0,$J842-$K842))</f>
        <v/>
      </c>
    </row>
    <row r="843">
      <c r="I843" s="31">
        <f>IF($A843="","",IF($J843=0,"YOK",IF(AND($E843="Evet",ROUND($C843*tba_oranIlave,2)=$J843),"TBA-002",IF(AND($D843="Evet",ROUND($C843*tba_oranBesPuan,2)=$J843),"TBA-001",IF(AND($F843="Evet",ROUND($C843*tba_oranKadinGenc,2)=$J843),"TBA-004","TBA-ENG")))))</f>
        <v/>
      </c>
      <c r="J843" s="31">
        <f>IF($A843="","",MAX(IF($D843="Evet",ROUND($C843*tba_oranBesPuan,2),0),IF($E843="Evet",ROUND($C843*tba_oranIlave,2),0),IF($F843="Evet",ROUND($C843*tba_oranKadinGenc,2),0),IF($G843="Evet",ROUND($C843*tba_isverenOran,2),0)))</f>
        <v/>
      </c>
      <c r="K843" s="31">
        <f>IF($A843="","",IF($H843="TBA-001",IF($D843="Evet",ROUND($C843*tba_oranBesPuan,2),0),IF($H843="TBA-002",IF($E843="Evet",ROUND($C843*tba_oranIlave,2),0),IF($H843="TBA-004",IF($F843="Evet",ROUND($C843*tba_oranKadinGenc,2),0),IF($H843="TBA-ENG",IF($G843="Evet",ROUND($C843*tba_isverenOran,2),0),0)))))</f>
        <v/>
      </c>
      <c r="L843" s="31">
        <f>IF($A843="","",MAX(0,$J843-$K843))</f>
        <v/>
      </c>
    </row>
    <row r="844">
      <c r="I844" s="31">
        <f>IF($A844="","",IF($J844=0,"YOK",IF(AND($E844="Evet",ROUND($C844*tba_oranIlave,2)=$J844),"TBA-002",IF(AND($D844="Evet",ROUND($C844*tba_oranBesPuan,2)=$J844),"TBA-001",IF(AND($F844="Evet",ROUND($C844*tba_oranKadinGenc,2)=$J844),"TBA-004","TBA-ENG")))))</f>
        <v/>
      </c>
      <c r="J844" s="31">
        <f>IF($A844="","",MAX(IF($D844="Evet",ROUND($C844*tba_oranBesPuan,2),0),IF($E844="Evet",ROUND($C844*tba_oranIlave,2),0),IF($F844="Evet",ROUND($C844*tba_oranKadinGenc,2),0),IF($G844="Evet",ROUND($C844*tba_isverenOran,2),0)))</f>
        <v/>
      </c>
      <c r="K844" s="31">
        <f>IF($A844="","",IF($H844="TBA-001",IF($D844="Evet",ROUND($C844*tba_oranBesPuan,2),0),IF($H844="TBA-002",IF($E844="Evet",ROUND($C844*tba_oranIlave,2),0),IF($H844="TBA-004",IF($F844="Evet",ROUND($C844*tba_oranKadinGenc,2),0),IF($H844="TBA-ENG",IF($G844="Evet",ROUND($C844*tba_isverenOran,2),0),0)))))</f>
        <v/>
      </c>
      <c r="L844" s="31">
        <f>IF($A844="","",MAX(0,$J844-$K844))</f>
        <v/>
      </c>
    </row>
    <row r="845">
      <c r="I845" s="31">
        <f>IF($A845="","",IF($J845=0,"YOK",IF(AND($E845="Evet",ROUND($C845*tba_oranIlave,2)=$J845),"TBA-002",IF(AND($D845="Evet",ROUND($C845*tba_oranBesPuan,2)=$J845),"TBA-001",IF(AND($F845="Evet",ROUND($C845*tba_oranKadinGenc,2)=$J845),"TBA-004","TBA-ENG")))))</f>
        <v/>
      </c>
      <c r="J845" s="31">
        <f>IF($A845="","",MAX(IF($D845="Evet",ROUND($C845*tba_oranBesPuan,2),0),IF($E845="Evet",ROUND($C845*tba_oranIlave,2),0),IF($F845="Evet",ROUND($C845*tba_oranKadinGenc,2),0),IF($G845="Evet",ROUND($C845*tba_isverenOran,2),0)))</f>
        <v/>
      </c>
      <c r="K845" s="31">
        <f>IF($A845="","",IF($H845="TBA-001",IF($D845="Evet",ROUND($C845*tba_oranBesPuan,2),0),IF($H845="TBA-002",IF($E845="Evet",ROUND($C845*tba_oranIlave,2),0),IF($H845="TBA-004",IF($F845="Evet",ROUND($C845*tba_oranKadinGenc,2),0),IF($H845="TBA-ENG",IF($G845="Evet",ROUND($C845*tba_isverenOran,2),0),0)))))</f>
        <v/>
      </c>
      <c r="L845" s="31">
        <f>IF($A845="","",MAX(0,$J845-$K845))</f>
        <v/>
      </c>
    </row>
    <row r="846">
      <c r="I846" s="31">
        <f>IF($A846="","",IF($J846=0,"YOK",IF(AND($E846="Evet",ROUND($C846*tba_oranIlave,2)=$J846),"TBA-002",IF(AND($D846="Evet",ROUND($C846*tba_oranBesPuan,2)=$J846),"TBA-001",IF(AND($F846="Evet",ROUND($C846*tba_oranKadinGenc,2)=$J846),"TBA-004","TBA-ENG")))))</f>
        <v/>
      </c>
      <c r="J846" s="31">
        <f>IF($A846="","",MAX(IF($D846="Evet",ROUND($C846*tba_oranBesPuan,2),0),IF($E846="Evet",ROUND($C846*tba_oranIlave,2),0),IF($F846="Evet",ROUND($C846*tba_oranKadinGenc,2),0),IF($G846="Evet",ROUND($C846*tba_isverenOran,2),0)))</f>
        <v/>
      </c>
      <c r="K846" s="31">
        <f>IF($A846="","",IF($H846="TBA-001",IF($D846="Evet",ROUND($C846*tba_oranBesPuan,2),0),IF($H846="TBA-002",IF($E846="Evet",ROUND($C846*tba_oranIlave,2),0),IF($H846="TBA-004",IF($F846="Evet",ROUND($C846*tba_oranKadinGenc,2),0),IF($H846="TBA-ENG",IF($G846="Evet",ROUND($C846*tba_isverenOran,2),0),0)))))</f>
        <v/>
      </c>
      <c r="L846" s="31">
        <f>IF($A846="","",MAX(0,$J846-$K846))</f>
        <v/>
      </c>
    </row>
    <row r="847">
      <c r="I847" s="31">
        <f>IF($A847="","",IF($J847=0,"YOK",IF(AND($E847="Evet",ROUND($C847*tba_oranIlave,2)=$J847),"TBA-002",IF(AND($D847="Evet",ROUND($C847*tba_oranBesPuan,2)=$J847),"TBA-001",IF(AND($F847="Evet",ROUND($C847*tba_oranKadinGenc,2)=$J847),"TBA-004","TBA-ENG")))))</f>
        <v/>
      </c>
      <c r="J847" s="31">
        <f>IF($A847="","",MAX(IF($D847="Evet",ROUND($C847*tba_oranBesPuan,2),0),IF($E847="Evet",ROUND($C847*tba_oranIlave,2),0),IF($F847="Evet",ROUND($C847*tba_oranKadinGenc,2),0),IF($G847="Evet",ROUND($C847*tba_isverenOran,2),0)))</f>
        <v/>
      </c>
      <c r="K847" s="31">
        <f>IF($A847="","",IF($H847="TBA-001",IF($D847="Evet",ROUND($C847*tba_oranBesPuan,2),0),IF($H847="TBA-002",IF($E847="Evet",ROUND($C847*tba_oranIlave,2),0),IF($H847="TBA-004",IF($F847="Evet",ROUND($C847*tba_oranKadinGenc,2),0),IF($H847="TBA-ENG",IF($G847="Evet",ROUND($C847*tba_isverenOran,2),0),0)))))</f>
        <v/>
      </c>
      <c r="L847" s="31">
        <f>IF($A847="","",MAX(0,$J847-$K847))</f>
        <v/>
      </c>
    </row>
    <row r="848">
      <c r="I848" s="31">
        <f>IF($A848="","",IF($J848=0,"YOK",IF(AND($E848="Evet",ROUND($C848*tba_oranIlave,2)=$J848),"TBA-002",IF(AND($D848="Evet",ROUND($C848*tba_oranBesPuan,2)=$J848),"TBA-001",IF(AND($F848="Evet",ROUND($C848*tba_oranKadinGenc,2)=$J848),"TBA-004","TBA-ENG")))))</f>
        <v/>
      </c>
      <c r="J848" s="31">
        <f>IF($A848="","",MAX(IF($D848="Evet",ROUND($C848*tba_oranBesPuan,2),0),IF($E848="Evet",ROUND($C848*tba_oranIlave,2),0),IF($F848="Evet",ROUND($C848*tba_oranKadinGenc,2),0),IF($G848="Evet",ROUND($C848*tba_isverenOran,2),0)))</f>
        <v/>
      </c>
      <c r="K848" s="31">
        <f>IF($A848="","",IF($H848="TBA-001",IF($D848="Evet",ROUND($C848*tba_oranBesPuan,2),0),IF($H848="TBA-002",IF($E848="Evet",ROUND($C848*tba_oranIlave,2),0),IF($H848="TBA-004",IF($F848="Evet",ROUND($C848*tba_oranKadinGenc,2),0),IF($H848="TBA-ENG",IF($G848="Evet",ROUND($C848*tba_isverenOran,2),0),0)))))</f>
        <v/>
      </c>
      <c r="L848" s="31">
        <f>IF($A848="","",MAX(0,$J848-$K848))</f>
        <v/>
      </c>
    </row>
    <row r="849">
      <c r="I849" s="31">
        <f>IF($A849="","",IF($J849=0,"YOK",IF(AND($E849="Evet",ROUND($C849*tba_oranIlave,2)=$J849),"TBA-002",IF(AND($D849="Evet",ROUND($C849*tba_oranBesPuan,2)=$J849),"TBA-001",IF(AND($F849="Evet",ROUND($C849*tba_oranKadinGenc,2)=$J849),"TBA-004","TBA-ENG")))))</f>
        <v/>
      </c>
      <c r="J849" s="31">
        <f>IF($A849="","",MAX(IF($D849="Evet",ROUND($C849*tba_oranBesPuan,2),0),IF($E849="Evet",ROUND($C849*tba_oranIlave,2),0),IF($F849="Evet",ROUND($C849*tba_oranKadinGenc,2),0),IF($G849="Evet",ROUND($C849*tba_isverenOran,2),0)))</f>
        <v/>
      </c>
      <c r="K849" s="31">
        <f>IF($A849="","",IF($H849="TBA-001",IF($D849="Evet",ROUND($C849*tba_oranBesPuan,2),0),IF($H849="TBA-002",IF($E849="Evet",ROUND($C849*tba_oranIlave,2),0),IF($H849="TBA-004",IF($F849="Evet",ROUND($C849*tba_oranKadinGenc,2),0),IF($H849="TBA-ENG",IF($G849="Evet",ROUND($C849*tba_isverenOran,2),0),0)))))</f>
        <v/>
      </c>
      <c r="L849" s="31">
        <f>IF($A849="","",MAX(0,$J849-$K849))</f>
        <v/>
      </c>
    </row>
    <row r="850">
      <c r="I850" s="31">
        <f>IF($A850="","",IF($J850=0,"YOK",IF(AND($E850="Evet",ROUND($C850*tba_oranIlave,2)=$J850),"TBA-002",IF(AND($D850="Evet",ROUND($C850*tba_oranBesPuan,2)=$J850),"TBA-001",IF(AND($F850="Evet",ROUND($C850*tba_oranKadinGenc,2)=$J850),"TBA-004","TBA-ENG")))))</f>
        <v/>
      </c>
      <c r="J850" s="31">
        <f>IF($A850="","",MAX(IF($D850="Evet",ROUND($C850*tba_oranBesPuan,2),0),IF($E850="Evet",ROUND($C850*tba_oranIlave,2),0),IF($F850="Evet",ROUND($C850*tba_oranKadinGenc,2),0),IF($G850="Evet",ROUND($C850*tba_isverenOran,2),0)))</f>
        <v/>
      </c>
      <c r="K850" s="31">
        <f>IF($A850="","",IF($H850="TBA-001",IF($D850="Evet",ROUND($C850*tba_oranBesPuan,2),0),IF($H850="TBA-002",IF($E850="Evet",ROUND($C850*tba_oranIlave,2),0),IF($H850="TBA-004",IF($F850="Evet",ROUND($C850*tba_oranKadinGenc,2),0),IF($H850="TBA-ENG",IF($G850="Evet",ROUND($C850*tba_isverenOran,2),0),0)))))</f>
        <v/>
      </c>
      <c r="L850" s="31">
        <f>IF($A850="","",MAX(0,$J850-$K850))</f>
        <v/>
      </c>
    </row>
    <row r="851">
      <c r="I851" s="31">
        <f>IF($A851="","",IF($J851=0,"YOK",IF(AND($E851="Evet",ROUND($C851*tba_oranIlave,2)=$J851),"TBA-002",IF(AND($D851="Evet",ROUND($C851*tba_oranBesPuan,2)=$J851),"TBA-001",IF(AND($F851="Evet",ROUND($C851*tba_oranKadinGenc,2)=$J851),"TBA-004","TBA-ENG")))))</f>
        <v/>
      </c>
      <c r="J851" s="31">
        <f>IF($A851="","",MAX(IF($D851="Evet",ROUND($C851*tba_oranBesPuan,2),0),IF($E851="Evet",ROUND($C851*tba_oranIlave,2),0),IF($F851="Evet",ROUND($C851*tba_oranKadinGenc,2),0),IF($G851="Evet",ROUND($C851*tba_isverenOran,2),0)))</f>
        <v/>
      </c>
      <c r="K851" s="31">
        <f>IF($A851="","",IF($H851="TBA-001",IF($D851="Evet",ROUND($C851*tba_oranBesPuan,2),0),IF($H851="TBA-002",IF($E851="Evet",ROUND($C851*tba_oranIlave,2),0),IF($H851="TBA-004",IF($F851="Evet",ROUND($C851*tba_oranKadinGenc,2),0),IF($H851="TBA-ENG",IF($G851="Evet",ROUND($C851*tba_isverenOran,2),0),0)))))</f>
        <v/>
      </c>
      <c r="L851" s="31">
        <f>IF($A851="","",MAX(0,$J851-$K851))</f>
        <v/>
      </c>
    </row>
    <row r="852">
      <c r="I852" s="31">
        <f>IF($A852="","",IF($J852=0,"YOK",IF(AND($E852="Evet",ROUND($C852*tba_oranIlave,2)=$J852),"TBA-002",IF(AND($D852="Evet",ROUND($C852*tba_oranBesPuan,2)=$J852),"TBA-001",IF(AND($F852="Evet",ROUND($C852*tba_oranKadinGenc,2)=$J852),"TBA-004","TBA-ENG")))))</f>
        <v/>
      </c>
      <c r="J852" s="31">
        <f>IF($A852="","",MAX(IF($D852="Evet",ROUND($C852*tba_oranBesPuan,2),0),IF($E852="Evet",ROUND($C852*tba_oranIlave,2),0),IF($F852="Evet",ROUND($C852*tba_oranKadinGenc,2),0),IF($G852="Evet",ROUND($C852*tba_isverenOran,2),0)))</f>
        <v/>
      </c>
      <c r="K852" s="31">
        <f>IF($A852="","",IF($H852="TBA-001",IF($D852="Evet",ROUND($C852*tba_oranBesPuan,2),0),IF($H852="TBA-002",IF($E852="Evet",ROUND($C852*tba_oranIlave,2),0),IF($H852="TBA-004",IF($F852="Evet",ROUND($C852*tba_oranKadinGenc,2),0),IF($H852="TBA-ENG",IF($G852="Evet",ROUND($C852*tba_isverenOran,2),0),0)))))</f>
        <v/>
      </c>
      <c r="L852" s="31">
        <f>IF($A852="","",MAX(0,$J852-$K852))</f>
        <v/>
      </c>
    </row>
    <row r="853">
      <c r="I853" s="31">
        <f>IF($A853="","",IF($J853=0,"YOK",IF(AND($E853="Evet",ROUND($C853*tba_oranIlave,2)=$J853),"TBA-002",IF(AND($D853="Evet",ROUND($C853*tba_oranBesPuan,2)=$J853),"TBA-001",IF(AND($F853="Evet",ROUND($C853*tba_oranKadinGenc,2)=$J853),"TBA-004","TBA-ENG")))))</f>
        <v/>
      </c>
      <c r="J853" s="31">
        <f>IF($A853="","",MAX(IF($D853="Evet",ROUND($C853*tba_oranBesPuan,2),0),IF($E853="Evet",ROUND($C853*tba_oranIlave,2),0),IF($F853="Evet",ROUND($C853*tba_oranKadinGenc,2),0),IF($G853="Evet",ROUND($C853*tba_isverenOran,2),0)))</f>
        <v/>
      </c>
      <c r="K853" s="31">
        <f>IF($A853="","",IF($H853="TBA-001",IF($D853="Evet",ROUND($C853*tba_oranBesPuan,2),0),IF($H853="TBA-002",IF($E853="Evet",ROUND($C853*tba_oranIlave,2),0),IF($H853="TBA-004",IF($F853="Evet",ROUND($C853*tba_oranKadinGenc,2),0),IF($H853="TBA-ENG",IF($G853="Evet",ROUND($C853*tba_isverenOran,2),0),0)))))</f>
        <v/>
      </c>
      <c r="L853" s="31">
        <f>IF($A853="","",MAX(0,$J853-$K853))</f>
        <v/>
      </c>
    </row>
    <row r="854">
      <c r="I854" s="31">
        <f>IF($A854="","",IF($J854=0,"YOK",IF(AND($E854="Evet",ROUND($C854*tba_oranIlave,2)=$J854),"TBA-002",IF(AND($D854="Evet",ROUND($C854*tba_oranBesPuan,2)=$J854),"TBA-001",IF(AND($F854="Evet",ROUND($C854*tba_oranKadinGenc,2)=$J854),"TBA-004","TBA-ENG")))))</f>
        <v/>
      </c>
      <c r="J854" s="31">
        <f>IF($A854="","",MAX(IF($D854="Evet",ROUND($C854*tba_oranBesPuan,2),0),IF($E854="Evet",ROUND($C854*tba_oranIlave,2),0),IF($F854="Evet",ROUND($C854*tba_oranKadinGenc,2),0),IF($G854="Evet",ROUND($C854*tba_isverenOran,2),0)))</f>
        <v/>
      </c>
      <c r="K854" s="31">
        <f>IF($A854="","",IF($H854="TBA-001",IF($D854="Evet",ROUND($C854*tba_oranBesPuan,2),0),IF($H854="TBA-002",IF($E854="Evet",ROUND($C854*tba_oranIlave,2),0),IF($H854="TBA-004",IF($F854="Evet",ROUND($C854*tba_oranKadinGenc,2),0),IF($H854="TBA-ENG",IF($G854="Evet",ROUND($C854*tba_isverenOran,2),0),0)))))</f>
        <v/>
      </c>
      <c r="L854" s="31">
        <f>IF($A854="","",MAX(0,$J854-$K854))</f>
        <v/>
      </c>
    </row>
    <row r="855">
      <c r="I855" s="31">
        <f>IF($A855="","",IF($J855=0,"YOK",IF(AND($E855="Evet",ROUND($C855*tba_oranIlave,2)=$J855),"TBA-002",IF(AND($D855="Evet",ROUND($C855*tba_oranBesPuan,2)=$J855),"TBA-001",IF(AND($F855="Evet",ROUND($C855*tba_oranKadinGenc,2)=$J855),"TBA-004","TBA-ENG")))))</f>
        <v/>
      </c>
      <c r="J855" s="31">
        <f>IF($A855="","",MAX(IF($D855="Evet",ROUND($C855*tba_oranBesPuan,2),0),IF($E855="Evet",ROUND($C855*tba_oranIlave,2),0),IF($F855="Evet",ROUND($C855*tba_oranKadinGenc,2),0),IF($G855="Evet",ROUND($C855*tba_isverenOran,2),0)))</f>
        <v/>
      </c>
      <c r="K855" s="31">
        <f>IF($A855="","",IF($H855="TBA-001",IF($D855="Evet",ROUND($C855*tba_oranBesPuan,2),0),IF($H855="TBA-002",IF($E855="Evet",ROUND($C855*tba_oranIlave,2),0),IF($H855="TBA-004",IF($F855="Evet",ROUND($C855*tba_oranKadinGenc,2),0),IF($H855="TBA-ENG",IF($G855="Evet",ROUND($C855*tba_isverenOran,2),0),0)))))</f>
        <v/>
      </c>
      <c r="L855" s="31">
        <f>IF($A855="","",MAX(0,$J855-$K855))</f>
        <v/>
      </c>
    </row>
    <row r="856">
      <c r="I856" s="31">
        <f>IF($A856="","",IF($J856=0,"YOK",IF(AND($E856="Evet",ROUND($C856*tba_oranIlave,2)=$J856),"TBA-002",IF(AND($D856="Evet",ROUND($C856*tba_oranBesPuan,2)=$J856),"TBA-001",IF(AND($F856="Evet",ROUND($C856*tba_oranKadinGenc,2)=$J856),"TBA-004","TBA-ENG")))))</f>
        <v/>
      </c>
      <c r="J856" s="31">
        <f>IF($A856="","",MAX(IF($D856="Evet",ROUND($C856*tba_oranBesPuan,2),0),IF($E856="Evet",ROUND($C856*tba_oranIlave,2),0),IF($F856="Evet",ROUND($C856*tba_oranKadinGenc,2),0),IF($G856="Evet",ROUND($C856*tba_isverenOran,2),0)))</f>
        <v/>
      </c>
      <c r="K856" s="31">
        <f>IF($A856="","",IF($H856="TBA-001",IF($D856="Evet",ROUND($C856*tba_oranBesPuan,2),0),IF($H856="TBA-002",IF($E856="Evet",ROUND($C856*tba_oranIlave,2),0),IF($H856="TBA-004",IF($F856="Evet",ROUND($C856*tba_oranKadinGenc,2),0),IF($H856="TBA-ENG",IF($G856="Evet",ROUND($C856*tba_isverenOran,2),0),0)))))</f>
        <v/>
      </c>
      <c r="L856" s="31">
        <f>IF($A856="","",MAX(0,$J856-$K856))</f>
        <v/>
      </c>
    </row>
    <row r="857">
      <c r="I857" s="31">
        <f>IF($A857="","",IF($J857=0,"YOK",IF(AND($E857="Evet",ROUND($C857*tba_oranIlave,2)=$J857),"TBA-002",IF(AND($D857="Evet",ROUND($C857*tba_oranBesPuan,2)=$J857),"TBA-001",IF(AND($F857="Evet",ROUND($C857*tba_oranKadinGenc,2)=$J857),"TBA-004","TBA-ENG")))))</f>
        <v/>
      </c>
      <c r="J857" s="31">
        <f>IF($A857="","",MAX(IF($D857="Evet",ROUND($C857*tba_oranBesPuan,2),0),IF($E857="Evet",ROUND($C857*tba_oranIlave,2),0),IF($F857="Evet",ROUND($C857*tba_oranKadinGenc,2),0),IF($G857="Evet",ROUND($C857*tba_isverenOran,2),0)))</f>
        <v/>
      </c>
      <c r="K857" s="31">
        <f>IF($A857="","",IF($H857="TBA-001",IF($D857="Evet",ROUND($C857*tba_oranBesPuan,2),0),IF($H857="TBA-002",IF($E857="Evet",ROUND($C857*tba_oranIlave,2),0),IF($H857="TBA-004",IF($F857="Evet",ROUND($C857*tba_oranKadinGenc,2),0),IF($H857="TBA-ENG",IF($G857="Evet",ROUND($C857*tba_isverenOran,2),0),0)))))</f>
        <v/>
      </c>
      <c r="L857" s="31">
        <f>IF($A857="","",MAX(0,$J857-$K857))</f>
        <v/>
      </c>
    </row>
    <row r="858">
      <c r="I858" s="31">
        <f>IF($A858="","",IF($J858=0,"YOK",IF(AND($E858="Evet",ROUND($C858*tba_oranIlave,2)=$J858),"TBA-002",IF(AND($D858="Evet",ROUND($C858*tba_oranBesPuan,2)=$J858),"TBA-001",IF(AND($F858="Evet",ROUND($C858*tba_oranKadinGenc,2)=$J858),"TBA-004","TBA-ENG")))))</f>
        <v/>
      </c>
      <c r="J858" s="31">
        <f>IF($A858="","",MAX(IF($D858="Evet",ROUND($C858*tba_oranBesPuan,2),0),IF($E858="Evet",ROUND($C858*tba_oranIlave,2),0),IF($F858="Evet",ROUND($C858*tba_oranKadinGenc,2),0),IF($G858="Evet",ROUND($C858*tba_isverenOran,2),0)))</f>
        <v/>
      </c>
      <c r="K858" s="31">
        <f>IF($A858="","",IF($H858="TBA-001",IF($D858="Evet",ROUND($C858*tba_oranBesPuan,2),0),IF($H858="TBA-002",IF($E858="Evet",ROUND($C858*tba_oranIlave,2),0),IF($H858="TBA-004",IF($F858="Evet",ROUND($C858*tba_oranKadinGenc,2),0),IF($H858="TBA-ENG",IF($G858="Evet",ROUND($C858*tba_isverenOran,2),0),0)))))</f>
        <v/>
      </c>
      <c r="L858" s="31">
        <f>IF($A858="","",MAX(0,$J858-$K858))</f>
        <v/>
      </c>
    </row>
    <row r="859">
      <c r="I859" s="31">
        <f>IF($A859="","",IF($J859=0,"YOK",IF(AND($E859="Evet",ROUND($C859*tba_oranIlave,2)=$J859),"TBA-002",IF(AND($D859="Evet",ROUND($C859*tba_oranBesPuan,2)=$J859),"TBA-001",IF(AND($F859="Evet",ROUND($C859*tba_oranKadinGenc,2)=$J859),"TBA-004","TBA-ENG")))))</f>
        <v/>
      </c>
      <c r="J859" s="31">
        <f>IF($A859="","",MAX(IF($D859="Evet",ROUND($C859*tba_oranBesPuan,2),0),IF($E859="Evet",ROUND($C859*tba_oranIlave,2),0),IF($F859="Evet",ROUND($C859*tba_oranKadinGenc,2),0),IF($G859="Evet",ROUND($C859*tba_isverenOran,2),0)))</f>
        <v/>
      </c>
      <c r="K859" s="31">
        <f>IF($A859="","",IF($H859="TBA-001",IF($D859="Evet",ROUND($C859*tba_oranBesPuan,2),0),IF($H859="TBA-002",IF($E859="Evet",ROUND($C859*tba_oranIlave,2),0),IF($H859="TBA-004",IF($F859="Evet",ROUND($C859*tba_oranKadinGenc,2),0),IF($H859="TBA-ENG",IF($G859="Evet",ROUND($C859*tba_isverenOran,2),0),0)))))</f>
        <v/>
      </c>
      <c r="L859" s="31">
        <f>IF($A859="","",MAX(0,$J859-$K859))</f>
        <v/>
      </c>
    </row>
    <row r="860">
      <c r="I860" s="31">
        <f>IF($A860="","",IF($J860=0,"YOK",IF(AND($E860="Evet",ROUND($C860*tba_oranIlave,2)=$J860),"TBA-002",IF(AND($D860="Evet",ROUND($C860*tba_oranBesPuan,2)=$J860),"TBA-001",IF(AND($F860="Evet",ROUND($C860*tba_oranKadinGenc,2)=$J860),"TBA-004","TBA-ENG")))))</f>
        <v/>
      </c>
      <c r="J860" s="31">
        <f>IF($A860="","",MAX(IF($D860="Evet",ROUND($C860*tba_oranBesPuan,2),0),IF($E860="Evet",ROUND($C860*tba_oranIlave,2),0),IF($F860="Evet",ROUND($C860*tba_oranKadinGenc,2),0),IF($G860="Evet",ROUND($C860*tba_isverenOran,2),0)))</f>
        <v/>
      </c>
      <c r="K860" s="31">
        <f>IF($A860="","",IF($H860="TBA-001",IF($D860="Evet",ROUND($C860*tba_oranBesPuan,2),0),IF($H860="TBA-002",IF($E860="Evet",ROUND($C860*tba_oranIlave,2),0),IF($H860="TBA-004",IF($F860="Evet",ROUND($C860*tba_oranKadinGenc,2),0),IF($H860="TBA-ENG",IF($G860="Evet",ROUND($C860*tba_isverenOran,2),0),0)))))</f>
        <v/>
      </c>
      <c r="L860" s="31">
        <f>IF($A860="","",MAX(0,$J860-$K860))</f>
        <v/>
      </c>
    </row>
    <row r="861">
      <c r="I861" s="31">
        <f>IF($A861="","",IF($J861=0,"YOK",IF(AND($E861="Evet",ROUND($C861*tba_oranIlave,2)=$J861),"TBA-002",IF(AND($D861="Evet",ROUND($C861*tba_oranBesPuan,2)=$J861),"TBA-001",IF(AND($F861="Evet",ROUND($C861*tba_oranKadinGenc,2)=$J861),"TBA-004","TBA-ENG")))))</f>
        <v/>
      </c>
      <c r="J861" s="31">
        <f>IF($A861="","",MAX(IF($D861="Evet",ROUND($C861*tba_oranBesPuan,2),0),IF($E861="Evet",ROUND($C861*tba_oranIlave,2),0),IF($F861="Evet",ROUND($C861*tba_oranKadinGenc,2),0),IF($G861="Evet",ROUND($C861*tba_isverenOran,2),0)))</f>
        <v/>
      </c>
      <c r="K861" s="31">
        <f>IF($A861="","",IF($H861="TBA-001",IF($D861="Evet",ROUND($C861*tba_oranBesPuan,2),0),IF($H861="TBA-002",IF($E861="Evet",ROUND($C861*tba_oranIlave,2),0),IF($H861="TBA-004",IF($F861="Evet",ROUND($C861*tba_oranKadinGenc,2),0),IF($H861="TBA-ENG",IF($G861="Evet",ROUND($C861*tba_isverenOran,2),0),0)))))</f>
        <v/>
      </c>
      <c r="L861" s="31">
        <f>IF($A861="","",MAX(0,$J861-$K861))</f>
        <v/>
      </c>
    </row>
    <row r="862">
      <c r="I862" s="31">
        <f>IF($A862="","",IF($J862=0,"YOK",IF(AND($E862="Evet",ROUND($C862*tba_oranIlave,2)=$J862),"TBA-002",IF(AND($D862="Evet",ROUND($C862*tba_oranBesPuan,2)=$J862),"TBA-001",IF(AND($F862="Evet",ROUND($C862*tba_oranKadinGenc,2)=$J862),"TBA-004","TBA-ENG")))))</f>
        <v/>
      </c>
      <c r="J862" s="31">
        <f>IF($A862="","",MAX(IF($D862="Evet",ROUND($C862*tba_oranBesPuan,2),0),IF($E862="Evet",ROUND($C862*tba_oranIlave,2),0),IF($F862="Evet",ROUND($C862*tba_oranKadinGenc,2),0),IF($G862="Evet",ROUND($C862*tba_isverenOran,2),0)))</f>
        <v/>
      </c>
      <c r="K862" s="31">
        <f>IF($A862="","",IF($H862="TBA-001",IF($D862="Evet",ROUND($C862*tba_oranBesPuan,2),0),IF($H862="TBA-002",IF($E862="Evet",ROUND($C862*tba_oranIlave,2),0),IF($H862="TBA-004",IF($F862="Evet",ROUND($C862*tba_oranKadinGenc,2),0),IF($H862="TBA-ENG",IF($G862="Evet",ROUND($C862*tba_isverenOran,2),0),0)))))</f>
        <v/>
      </c>
      <c r="L862" s="31">
        <f>IF($A862="","",MAX(0,$J862-$K862))</f>
        <v/>
      </c>
    </row>
    <row r="863">
      <c r="I863" s="31">
        <f>IF($A863="","",IF($J863=0,"YOK",IF(AND($E863="Evet",ROUND($C863*tba_oranIlave,2)=$J863),"TBA-002",IF(AND($D863="Evet",ROUND($C863*tba_oranBesPuan,2)=$J863),"TBA-001",IF(AND($F863="Evet",ROUND($C863*tba_oranKadinGenc,2)=$J863),"TBA-004","TBA-ENG")))))</f>
        <v/>
      </c>
      <c r="J863" s="31">
        <f>IF($A863="","",MAX(IF($D863="Evet",ROUND($C863*tba_oranBesPuan,2),0),IF($E863="Evet",ROUND($C863*tba_oranIlave,2),0),IF($F863="Evet",ROUND($C863*tba_oranKadinGenc,2),0),IF($G863="Evet",ROUND($C863*tba_isverenOran,2),0)))</f>
        <v/>
      </c>
      <c r="K863" s="31">
        <f>IF($A863="","",IF($H863="TBA-001",IF($D863="Evet",ROUND($C863*tba_oranBesPuan,2),0),IF($H863="TBA-002",IF($E863="Evet",ROUND($C863*tba_oranIlave,2),0),IF($H863="TBA-004",IF($F863="Evet",ROUND($C863*tba_oranKadinGenc,2),0),IF($H863="TBA-ENG",IF($G863="Evet",ROUND($C863*tba_isverenOran,2),0),0)))))</f>
        <v/>
      </c>
      <c r="L863" s="31">
        <f>IF($A863="","",MAX(0,$J863-$K863))</f>
        <v/>
      </c>
    </row>
    <row r="864">
      <c r="I864" s="31">
        <f>IF($A864="","",IF($J864=0,"YOK",IF(AND($E864="Evet",ROUND($C864*tba_oranIlave,2)=$J864),"TBA-002",IF(AND($D864="Evet",ROUND($C864*tba_oranBesPuan,2)=$J864),"TBA-001",IF(AND($F864="Evet",ROUND($C864*tba_oranKadinGenc,2)=$J864),"TBA-004","TBA-ENG")))))</f>
        <v/>
      </c>
      <c r="J864" s="31">
        <f>IF($A864="","",MAX(IF($D864="Evet",ROUND($C864*tba_oranBesPuan,2),0),IF($E864="Evet",ROUND($C864*tba_oranIlave,2),0),IF($F864="Evet",ROUND($C864*tba_oranKadinGenc,2),0),IF($G864="Evet",ROUND($C864*tba_isverenOran,2),0)))</f>
        <v/>
      </c>
      <c r="K864" s="31">
        <f>IF($A864="","",IF($H864="TBA-001",IF($D864="Evet",ROUND($C864*tba_oranBesPuan,2),0),IF($H864="TBA-002",IF($E864="Evet",ROUND($C864*tba_oranIlave,2),0),IF($H864="TBA-004",IF($F864="Evet",ROUND($C864*tba_oranKadinGenc,2),0),IF($H864="TBA-ENG",IF($G864="Evet",ROUND($C864*tba_isverenOran,2),0),0)))))</f>
        <v/>
      </c>
      <c r="L864" s="31">
        <f>IF($A864="","",MAX(0,$J864-$K864))</f>
        <v/>
      </c>
    </row>
    <row r="865">
      <c r="I865" s="31">
        <f>IF($A865="","",IF($J865=0,"YOK",IF(AND($E865="Evet",ROUND($C865*tba_oranIlave,2)=$J865),"TBA-002",IF(AND($D865="Evet",ROUND($C865*tba_oranBesPuan,2)=$J865),"TBA-001",IF(AND($F865="Evet",ROUND($C865*tba_oranKadinGenc,2)=$J865),"TBA-004","TBA-ENG")))))</f>
        <v/>
      </c>
      <c r="J865" s="31">
        <f>IF($A865="","",MAX(IF($D865="Evet",ROUND($C865*tba_oranBesPuan,2),0),IF($E865="Evet",ROUND($C865*tba_oranIlave,2),0),IF($F865="Evet",ROUND($C865*tba_oranKadinGenc,2),0),IF($G865="Evet",ROUND($C865*tba_isverenOran,2),0)))</f>
        <v/>
      </c>
      <c r="K865" s="31">
        <f>IF($A865="","",IF($H865="TBA-001",IF($D865="Evet",ROUND($C865*tba_oranBesPuan,2),0),IF($H865="TBA-002",IF($E865="Evet",ROUND($C865*tba_oranIlave,2),0),IF($H865="TBA-004",IF($F865="Evet",ROUND($C865*tba_oranKadinGenc,2),0),IF($H865="TBA-ENG",IF($G865="Evet",ROUND($C865*tba_isverenOran,2),0),0)))))</f>
        <v/>
      </c>
      <c r="L865" s="31">
        <f>IF($A865="","",MAX(0,$J865-$K865))</f>
        <v/>
      </c>
    </row>
    <row r="866">
      <c r="I866" s="31">
        <f>IF($A866="","",IF($J866=0,"YOK",IF(AND($E866="Evet",ROUND($C866*tba_oranIlave,2)=$J866),"TBA-002",IF(AND($D866="Evet",ROUND($C866*tba_oranBesPuan,2)=$J866),"TBA-001",IF(AND($F866="Evet",ROUND($C866*tba_oranKadinGenc,2)=$J866),"TBA-004","TBA-ENG")))))</f>
        <v/>
      </c>
      <c r="J866" s="31">
        <f>IF($A866="","",MAX(IF($D866="Evet",ROUND($C866*tba_oranBesPuan,2),0),IF($E866="Evet",ROUND($C866*tba_oranIlave,2),0),IF($F866="Evet",ROUND($C866*tba_oranKadinGenc,2),0),IF($G866="Evet",ROUND($C866*tba_isverenOran,2),0)))</f>
        <v/>
      </c>
      <c r="K866" s="31">
        <f>IF($A866="","",IF($H866="TBA-001",IF($D866="Evet",ROUND($C866*tba_oranBesPuan,2),0),IF($H866="TBA-002",IF($E866="Evet",ROUND($C866*tba_oranIlave,2),0),IF($H866="TBA-004",IF($F866="Evet",ROUND($C866*tba_oranKadinGenc,2),0),IF($H866="TBA-ENG",IF($G866="Evet",ROUND($C866*tba_isverenOran,2),0),0)))))</f>
        <v/>
      </c>
      <c r="L866" s="31">
        <f>IF($A866="","",MAX(0,$J866-$K866))</f>
        <v/>
      </c>
    </row>
    <row r="867">
      <c r="I867" s="31">
        <f>IF($A867="","",IF($J867=0,"YOK",IF(AND($E867="Evet",ROUND($C867*tba_oranIlave,2)=$J867),"TBA-002",IF(AND($D867="Evet",ROUND($C867*tba_oranBesPuan,2)=$J867),"TBA-001",IF(AND($F867="Evet",ROUND($C867*tba_oranKadinGenc,2)=$J867),"TBA-004","TBA-ENG")))))</f>
        <v/>
      </c>
      <c r="J867" s="31">
        <f>IF($A867="","",MAX(IF($D867="Evet",ROUND($C867*tba_oranBesPuan,2),0),IF($E867="Evet",ROUND($C867*tba_oranIlave,2),0),IF($F867="Evet",ROUND($C867*tba_oranKadinGenc,2),0),IF($G867="Evet",ROUND($C867*tba_isverenOran,2),0)))</f>
        <v/>
      </c>
      <c r="K867" s="31">
        <f>IF($A867="","",IF($H867="TBA-001",IF($D867="Evet",ROUND($C867*tba_oranBesPuan,2),0),IF($H867="TBA-002",IF($E867="Evet",ROUND($C867*tba_oranIlave,2),0),IF($H867="TBA-004",IF($F867="Evet",ROUND($C867*tba_oranKadinGenc,2),0),IF($H867="TBA-ENG",IF($G867="Evet",ROUND($C867*tba_isverenOran,2),0),0)))))</f>
        <v/>
      </c>
      <c r="L867" s="31">
        <f>IF($A867="","",MAX(0,$J867-$K867))</f>
        <v/>
      </c>
    </row>
    <row r="868">
      <c r="I868" s="31">
        <f>IF($A868="","",IF($J868=0,"YOK",IF(AND($E868="Evet",ROUND($C868*tba_oranIlave,2)=$J868),"TBA-002",IF(AND($D868="Evet",ROUND($C868*tba_oranBesPuan,2)=$J868),"TBA-001",IF(AND($F868="Evet",ROUND($C868*tba_oranKadinGenc,2)=$J868),"TBA-004","TBA-ENG")))))</f>
        <v/>
      </c>
      <c r="J868" s="31">
        <f>IF($A868="","",MAX(IF($D868="Evet",ROUND($C868*tba_oranBesPuan,2),0),IF($E868="Evet",ROUND($C868*tba_oranIlave,2),0),IF($F868="Evet",ROUND($C868*tba_oranKadinGenc,2),0),IF($G868="Evet",ROUND($C868*tba_isverenOran,2),0)))</f>
        <v/>
      </c>
      <c r="K868" s="31">
        <f>IF($A868="","",IF($H868="TBA-001",IF($D868="Evet",ROUND($C868*tba_oranBesPuan,2),0),IF($H868="TBA-002",IF($E868="Evet",ROUND($C868*tba_oranIlave,2),0),IF($H868="TBA-004",IF($F868="Evet",ROUND($C868*tba_oranKadinGenc,2),0),IF($H868="TBA-ENG",IF($G868="Evet",ROUND($C868*tba_isverenOran,2),0),0)))))</f>
        <v/>
      </c>
      <c r="L868" s="31">
        <f>IF($A868="","",MAX(0,$J868-$K868))</f>
        <v/>
      </c>
    </row>
    <row r="869">
      <c r="I869" s="31">
        <f>IF($A869="","",IF($J869=0,"YOK",IF(AND($E869="Evet",ROUND($C869*tba_oranIlave,2)=$J869),"TBA-002",IF(AND($D869="Evet",ROUND($C869*tba_oranBesPuan,2)=$J869),"TBA-001",IF(AND($F869="Evet",ROUND($C869*tba_oranKadinGenc,2)=$J869),"TBA-004","TBA-ENG")))))</f>
        <v/>
      </c>
      <c r="J869" s="31">
        <f>IF($A869="","",MAX(IF($D869="Evet",ROUND($C869*tba_oranBesPuan,2),0),IF($E869="Evet",ROUND($C869*tba_oranIlave,2),0),IF($F869="Evet",ROUND($C869*tba_oranKadinGenc,2),0),IF($G869="Evet",ROUND($C869*tba_isverenOran,2),0)))</f>
        <v/>
      </c>
      <c r="K869" s="31">
        <f>IF($A869="","",IF($H869="TBA-001",IF($D869="Evet",ROUND($C869*tba_oranBesPuan,2),0),IF($H869="TBA-002",IF($E869="Evet",ROUND($C869*tba_oranIlave,2),0),IF($H869="TBA-004",IF($F869="Evet",ROUND($C869*tba_oranKadinGenc,2),0),IF($H869="TBA-ENG",IF($G869="Evet",ROUND($C869*tba_isverenOran,2),0),0)))))</f>
        <v/>
      </c>
      <c r="L869" s="31">
        <f>IF($A869="","",MAX(0,$J869-$K869))</f>
        <v/>
      </c>
    </row>
    <row r="870">
      <c r="I870" s="31">
        <f>IF($A870="","",IF($J870=0,"YOK",IF(AND($E870="Evet",ROUND($C870*tba_oranIlave,2)=$J870),"TBA-002",IF(AND($D870="Evet",ROUND($C870*tba_oranBesPuan,2)=$J870),"TBA-001",IF(AND($F870="Evet",ROUND($C870*tba_oranKadinGenc,2)=$J870),"TBA-004","TBA-ENG")))))</f>
        <v/>
      </c>
      <c r="J870" s="31">
        <f>IF($A870="","",MAX(IF($D870="Evet",ROUND($C870*tba_oranBesPuan,2),0),IF($E870="Evet",ROUND($C870*tba_oranIlave,2),0),IF($F870="Evet",ROUND($C870*tba_oranKadinGenc,2),0),IF($G870="Evet",ROUND($C870*tba_isverenOran,2),0)))</f>
        <v/>
      </c>
      <c r="K870" s="31">
        <f>IF($A870="","",IF($H870="TBA-001",IF($D870="Evet",ROUND($C870*tba_oranBesPuan,2),0),IF($H870="TBA-002",IF($E870="Evet",ROUND($C870*tba_oranIlave,2),0),IF($H870="TBA-004",IF($F870="Evet",ROUND($C870*tba_oranKadinGenc,2),0),IF($H870="TBA-ENG",IF($G870="Evet",ROUND($C870*tba_isverenOran,2),0),0)))))</f>
        <v/>
      </c>
      <c r="L870" s="31">
        <f>IF($A870="","",MAX(0,$J870-$K870))</f>
        <v/>
      </c>
    </row>
    <row r="871">
      <c r="I871" s="31">
        <f>IF($A871="","",IF($J871=0,"YOK",IF(AND($E871="Evet",ROUND($C871*tba_oranIlave,2)=$J871),"TBA-002",IF(AND($D871="Evet",ROUND($C871*tba_oranBesPuan,2)=$J871),"TBA-001",IF(AND($F871="Evet",ROUND($C871*tba_oranKadinGenc,2)=$J871),"TBA-004","TBA-ENG")))))</f>
        <v/>
      </c>
      <c r="J871" s="31">
        <f>IF($A871="","",MAX(IF($D871="Evet",ROUND($C871*tba_oranBesPuan,2),0),IF($E871="Evet",ROUND($C871*tba_oranIlave,2),0),IF($F871="Evet",ROUND($C871*tba_oranKadinGenc,2),0),IF($G871="Evet",ROUND($C871*tba_isverenOran,2),0)))</f>
        <v/>
      </c>
      <c r="K871" s="31">
        <f>IF($A871="","",IF($H871="TBA-001",IF($D871="Evet",ROUND($C871*tba_oranBesPuan,2),0),IF($H871="TBA-002",IF($E871="Evet",ROUND($C871*tba_oranIlave,2),0),IF($H871="TBA-004",IF($F871="Evet",ROUND($C871*tba_oranKadinGenc,2),0),IF($H871="TBA-ENG",IF($G871="Evet",ROUND($C871*tba_isverenOran,2),0),0)))))</f>
        <v/>
      </c>
      <c r="L871" s="31">
        <f>IF($A871="","",MAX(0,$J871-$K871))</f>
        <v/>
      </c>
    </row>
    <row r="872">
      <c r="I872" s="31">
        <f>IF($A872="","",IF($J872=0,"YOK",IF(AND($E872="Evet",ROUND($C872*tba_oranIlave,2)=$J872),"TBA-002",IF(AND($D872="Evet",ROUND($C872*tba_oranBesPuan,2)=$J872),"TBA-001",IF(AND($F872="Evet",ROUND($C872*tba_oranKadinGenc,2)=$J872),"TBA-004","TBA-ENG")))))</f>
        <v/>
      </c>
      <c r="J872" s="31">
        <f>IF($A872="","",MAX(IF($D872="Evet",ROUND($C872*tba_oranBesPuan,2),0),IF($E872="Evet",ROUND($C872*tba_oranIlave,2),0),IF($F872="Evet",ROUND($C872*tba_oranKadinGenc,2),0),IF($G872="Evet",ROUND($C872*tba_isverenOran,2),0)))</f>
        <v/>
      </c>
      <c r="K872" s="31">
        <f>IF($A872="","",IF($H872="TBA-001",IF($D872="Evet",ROUND($C872*tba_oranBesPuan,2),0),IF($H872="TBA-002",IF($E872="Evet",ROUND($C872*tba_oranIlave,2),0),IF($H872="TBA-004",IF($F872="Evet",ROUND($C872*tba_oranKadinGenc,2),0),IF($H872="TBA-ENG",IF($G872="Evet",ROUND($C872*tba_isverenOran,2),0),0)))))</f>
        <v/>
      </c>
      <c r="L872" s="31">
        <f>IF($A872="","",MAX(0,$J872-$K872))</f>
        <v/>
      </c>
    </row>
    <row r="873">
      <c r="I873" s="31">
        <f>IF($A873="","",IF($J873=0,"YOK",IF(AND($E873="Evet",ROUND($C873*tba_oranIlave,2)=$J873),"TBA-002",IF(AND($D873="Evet",ROUND($C873*tba_oranBesPuan,2)=$J873),"TBA-001",IF(AND($F873="Evet",ROUND($C873*tba_oranKadinGenc,2)=$J873),"TBA-004","TBA-ENG")))))</f>
        <v/>
      </c>
      <c r="J873" s="31">
        <f>IF($A873="","",MAX(IF($D873="Evet",ROUND($C873*tba_oranBesPuan,2),0),IF($E873="Evet",ROUND($C873*tba_oranIlave,2),0),IF($F873="Evet",ROUND($C873*tba_oranKadinGenc,2),0),IF($G873="Evet",ROUND($C873*tba_isverenOran,2),0)))</f>
        <v/>
      </c>
      <c r="K873" s="31">
        <f>IF($A873="","",IF($H873="TBA-001",IF($D873="Evet",ROUND($C873*tba_oranBesPuan,2),0),IF($H873="TBA-002",IF($E873="Evet",ROUND($C873*tba_oranIlave,2),0),IF($H873="TBA-004",IF($F873="Evet",ROUND($C873*tba_oranKadinGenc,2),0),IF($H873="TBA-ENG",IF($G873="Evet",ROUND($C873*tba_isverenOran,2),0),0)))))</f>
        <v/>
      </c>
      <c r="L873" s="31">
        <f>IF($A873="","",MAX(0,$J873-$K873))</f>
        <v/>
      </c>
    </row>
    <row r="874">
      <c r="I874" s="31">
        <f>IF($A874="","",IF($J874=0,"YOK",IF(AND($E874="Evet",ROUND($C874*tba_oranIlave,2)=$J874),"TBA-002",IF(AND($D874="Evet",ROUND($C874*tba_oranBesPuan,2)=$J874),"TBA-001",IF(AND($F874="Evet",ROUND($C874*tba_oranKadinGenc,2)=$J874),"TBA-004","TBA-ENG")))))</f>
        <v/>
      </c>
      <c r="J874" s="31">
        <f>IF($A874="","",MAX(IF($D874="Evet",ROUND($C874*tba_oranBesPuan,2),0),IF($E874="Evet",ROUND($C874*tba_oranIlave,2),0),IF($F874="Evet",ROUND($C874*tba_oranKadinGenc,2),0),IF($G874="Evet",ROUND($C874*tba_isverenOran,2),0)))</f>
        <v/>
      </c>
      <c r="K874" s="31">
        <f>IF($A874="","",IF($H874="TBA-001",IF($D874="Evet",ROUND($C874*tba_oranBesPuan,2),0),IF($H874="TBA-002",IF($E874="Evet",ROUND($C874*tba_oranIlave,2),0),IF($H874="TBA-004",IF($F874="Evet",ROUND($C874*tba_oranKadinGenc,2),0),IF($H874="TBA-ENG",IF($G874="Evet",ROUND($C874*tba_isverenOran,2),0),0)))))</f>
        <v/>
      </c>
      <c r="L874" s="31">
        <f>IF($A874="","",MAX(0,$J874-$K874))</f>
        <v/>
      </c>
    </row>
    <row r="875">
      <c r="I875" s="31">
        <f>IF($A875="","",IF($J875=0,"YOK",IF(AND($E875="Evet",ROUND($C875*tba_oranIlave,2)=$J875),"TBA-002",IF(AND($D875="Evet",ROUND($C875*tba_oranBesPuan,2)=$J875),"TBA-001",IF(AND($F875="Evet",ROUND($C875*tba_oranKadinGenc,2)=$J875),"TBA-004","TBA-ENG")))))</f>
        <v/>
      </c>
      <c r="J875" s="31">
        <f>IF($A875="","",MAX(IF($D875="Evet",ROUND($C875*tba_oranBesPuan,2),0),IF($E875="Evet",ROUND($C875*tba_oranIlave,2),0),IF($F875="Evet",ROUND($C875*tba_oranKadinGenc,2),0),IF($G875="Evet",ROUND($C875*tba_isverenOran,2),0)))</f>
        <v/>
      </c>
      <c r="K875" s="31">
        <f>IF($A875="","",IF($H875="TBA-001",IF($D875="Evet",ROUND($C875*tba_oranBesPuan,2),0),IF($H875="TBA-002",IF($E875="Evet",ROUND($C875*tba_oranIlave,2),0),IF($H875="TBA-004",IF($F875="Evet",ROUND($C875*tba_oranKadinGenc,2),0),IF($H875="TBA-ENG",IF($G875="Evet",ROUND($C875*tba_isverenOran,2),0),0)))))</f>
        <v/>
      </c>
      <c r="L875" s="31">
        <f>IF($A875="","",MAX(0,$J875-$K875))</f>
        <v/>
      </c>
    </row>
    <row r="876">
      <c r="I876" s="31">
        <f>IF($A876="","",IF($J876=0,"YOK",IF(AND($E876="Evet",ROUND($C876*tba_oranIlave,2)=$J876),"TBA-002",IF(AND($D876="Evet",ROUND($C876*tba_oranBesPuan,2)=$J876),"TBA-001",IF(AND($F876="Evet",ROUND($C876*tba_oranKadinGenc,2)=$J876),"TBA-004","TBA-ENG")))))</f>
        <v/>
      </c>
      <c r="J876" s="31">
        <f>IF($A876="","",MAX(IF($D876="Evet",ROUND($C876*tba_oranBesPuan,2),0),IF($E876="Evet",ROUND($C876*tba_oranIlave,2),0),IF($F876="Evet",ROUND($C876*tba_oranKadinGenc,2),0),IF($G876="Evet",ROUND($C876*tba_isverenOran,2),0)))</f>
        <v/>
      </c>
      <c r="K876" s="31">
        <f>IF($A876="","",IF($H876="TBA-001",IF($D876="Evet",ROUND($C876*tba_oranBesPuan,2),0),IF($H876="TBA-002",IF($E876="Evet",ROUND($C876*tba_oranIlave,2),0),IF($H876="TBA-004",IF($F876="Evet",ROUND($C876*tba_oranKadinGenc,2),0),IF($H876="TBA-ENG",IF($G876="Evet",ROUND($C876*tba_isverenOran,2),0),0)))))</f>
        <v/>
      </c>
      <c r="L876" s="31">
        <f>IF($A876="","",MAX(0,$J876-$K876))</f>
        <v/>
      </c>
    </row>
    <row r="877">
      <c r="I877" s="31">
        <f>IF($A877="","",IF($J877=0,"YOK",IF(AND($E877="Evet",ROUND($C877*tba_oranIlave,2)=$J877),"TBA-002",IF(AND($D877="Evet",ROUND($C877*tba_oranBesPuan,2)=$J877),"TBA-001",IF(AND($F877="Evet",ROUND($C877*tba_oranKadinGenc,2)=$J877),"TBA-004","TBA-ENG")))))</f>
        <v/>
      </c>
      <c r="J877" s="31">
        <f>IF($A877="","",MAX(IF($D877="Evet",ROUND($C877*tba_oranBesPuan,2),0),IF($E877="Evet",ROUND($C877*tba_oranIlave,2),0),IF($F877="Evet",ROUND($C877*tba_oranKadinGenc,2),0),IF($G877="Evet",ROUND($C877*tba_isverenOran,2),0)))</f>
        <v/>
      </c>
      <c r="K877" s="31">
        <f>IF($A877="","",IF($H877="TBA-001",IF($D877="Evet",ROUND($C877*tba_oranBesPuan,2),0),IF($H877="TBA-002",IF($E877="Evet",ROUND($C877*tba_oranIlave,2),0),IF($H877="TBA-004",IF($F877="Evet",ROUND($C877*tba_oranKadinGenc,2),0),IF($H877="TBA-ENG",IF($G877="Evet",ROUND($C877*tba_isverenOran,2),0),0)))))</f>
        <v/>
      </c>
      <c r="L877" s="31">
        <f>IF($A877="","",MAX(0,$J877-$K877))</f>
        <v/>
      </c>
    </row>
    <row r="878">
      <c r="I878" s="31">
        <f>IF($A878="","",IF($J878=0,"YOK",IF(AND($E878="Evet",ROUND($C878*tba_oranIlave,2)=$J878),"TBA-002",IF(AND($D878="Evet",ROUND($C878*tba_oranBesPuan,2)=$J878),"TBA-001",IF(AND($F878="Evet",ROUND($C878*tba_oranKadinGenc,2)=$J878),"TBA-004","TBA-ENG")))))</f>
        <v/>
      </c>
      <c r="J878" s="31">
        <f>IF($A878="","",MAX(IF($D878="Evet",ROUND($C878*tba_oranBesPuan,2),0),IF($E878="Evet",ROUND($C878*tba_oranIlave,2),0),IF($F878="Evet",ROUND($C878*tba_oranKadinGenc,2),0),IF($G878="Evet",ROUND($C878*tba_isverenOran,2),0)))</f>
        <v/>
      </c>
      <c r="K878" s="31">
        <f>IF($A878="","",IF($H878="TBA-001",IF($D878="Evet",ROUND($C878*tba_oranBesPuan,2),0),IF($H878="TBA-002",IF($E878="Evet",ROUND($C878*tba_oranIlave,2),0),IF($H878="TBA-004",IF($F878="Evet",ROUND($C878*tba_oranKadinGenc,2),0),IF($H878="TBA-ENG",IF($G878="Evet",ROUND($C878*tba_isverenOran,2),0),0)))))</f>
        <v/>
      </c>
      <c r="L878" s="31">
        <f>IF($A878="","",MAX(0,$J878-$K878))</f>
        <v/>
      </c>
    </row>
    <row r="879">
      <c r="I879" s="31">
        <f>IF($A879="","",IF($J879=0,"YOK",IF(AND($E879="Evet",ROUND($C879*tba_oranIlave,2)=$J879),"TBA-002",IF(AND($D879="Evet",ROUND($C879*tba_oranBesPuan,2)=$J879),"TBA-001",IF(AND($F879="Evet",ROUND($C879*tba_oranKadinGenc,2)=$J879),"TBA-004","TBA-ENG")))))</f>
        <v/>
      </c>
      <c r="J879" s="31">
        <f>IF($A879="","",MAX(IF($D879="Evet",ROUND($C879*tba_oranBesPuan,2),0),IF($E879="Evet",ROUND($C879*tba_oranIlave,2),0),IF($F879="Evet",ROUND($C879*tba_oranKadinGenc,2),0),IF($G879="Evet",ROUND($C879*tba_isverenOran,2),0)))</f>
        <v/>
      </c>
      <c r="K879" s="31">
        <f>IF($A879="","",IF($H879="TBA-001",IF($D879="Evet",ROUND($C879*tba_oranBesPuan,2),0),IF($H879="TBA-002",IF($E879="Evet",ROUND($C879*tba_oranIlave,2),0),IF($H879="TBA-004",IF($F879="Evet",ROUND($C879*tba_oranKadinGenc,2),0),IF($H879="TBA-ENG",IF($G879="Evet",ROUND($C879*tba_isverenOran,2),0),0)))))</f>
        <v/>
      </c>
      <c r="L879" s="31">
        <f>IF($A879="","",MAX(0,$J879-$K879))</f>
        <v/>
      </c>
    </row>
    <row r="880">
      <c r="I880" s="31">
        <f>IF($A880="","",IF($J880=0,"YOK",IF(AND($E880="Evet",ROUND($C880*tba_oranIlave,2)=$J880),"TBA-002",IF(AND($D880="Evet",ROUND($C880*tba_oranBesPuan,2)=$J880),"TBA-001",IF(AND($F880="Evet",ROUND($C880*tba_oranKadinGenc,2)=$J880),"TBA-004","TBA-ENG")))))</f>
        <v/>
      </c>
      <c r="J880" s="31">
        <f>IF($A880="","",MAX(IF($D880="Evet",ROUND($C880*tba_oranBesPuan,2),0),IF($E880="Evet",ROUND($C880*tba_oranIlave,2),0),IF($F880="Evet",ROUND($C880*tba_oranKadinGenc,2),0),IF($G880="Evet",ROUND($C880*tba_isverenOran,2),0)))</f>
        <v/>
      </c>
      <c r="K880" s="31">
        <f>IF($A880="","",IF($H880="TBA-001",IF($D880="Evet",ROUND($C880*tba_oranBesPuan,2),0),IF($H880="TBA-002",IF($E880="Evet",ROUND($C880*tba_oranIlave,2),0),IF($H880="TBA-004",IF($F880="Evet",ROUND($C880*tba_oranKadinGenc,2),0),IF($H880="TBA-ENG",IF($G880="Evet",ROUND($C880*tba_isverenOran,2),0),0)))))</f>
        <v/>
      </c>
      <c r="L880" s="31">
        <f>IF($A880="","",MAX(0,$J880-$K880))</f>
        <v/>
      </c>
    </row>
    <row r="881">
      <c r="I881" s="31">
        <f>IF($A881="","",IF($J881=0,"YOK",IF(AND($E881="Evet",ROUND($C881*tba_oranIlave,2)=$J881),"TBA-002",IF(AND($D881="Evet",ROUND($C881*tba_oranBesPuan,2)=$J881),"TBA-001",IF(AND($F881="Evet",ROUND($C881*tba_oranKadinGenc,2)=$J881),"TBA-004","TBA-ENG")))))</f>
        <v/>
      </c>
      <c r="J881" s="31">
        <f>IF($A881="","",MAX(IF($D881="Evet",ROUND($C881*tba_oranBesPuan,2),0),IF($E881="Evet",ROUND($C881*tba_oranIlave,2),0),IF($F881="Evet",ROUND($C881*tba_oranKadinGenc,2),0),IF($G881="Evet",ROUND($C881*tba_isverenOran,2),0)))</f>
        <v/>
      </c>
      <c r="K881" s="31">
        <f>IF($A881="","",IF($H881="TBA-001",IF($D881="Evet",ROUND($C881*tba_oranBesPuan,2),0),IF($H881="TBA-002",IF($E881="Evet",ROUND($C881*tba_oranIlave,2),0),IF($H881="TBA-004",IF($F881="Evet",ROUND($C881*tba_oranKadinGenc,2),0),IF($H881="TBA-ENG",IF($G881="Evet",ROUND($C881*tba_isverenOran,2),0),0)))))</f>
        <v/>
      </c>
      <c r="L881" s="31">
        <f>IF($A881="","",MAX(0,$J881-$K881))</f>
        <v/>
      </c>
    </row>
    <row r="882">
      <c r="I882" s="31">
        <f>IF($A882="","",IF($J882=0,"YOK",IF(AND($E882="Evet",ROUND($C882*tba_oranIlave,2)=$J882),"TBA-002",IF(AND($D882="Evet",ROUND($C882*tba_oranBesPuan,2)=$J882),"TBA-001",IF(AND($F882="Evet",ROUND($C882*tba_oranKadinGenc,2)=$J882),"TBA-004","TBA-ENG")))))</f>
        <v/>
      </c>
      <c r="J882" s="31">
        <f>IF($A882="","",MAX(IF($D882="Evet",ROUND($C882*tba_oranBesPuan,2),0),IF($E882="Evet",ROUND($C882*tba_oranIlave,2),0),IF($F882="Evet",ROUND($C882*tba_oranKadinGenc,2),0),IF($G882="Evet",ROUND($C882*tba_isverenOran,2),0)))</f>
        <v/>
      </c>
      <c r="K882" s="31">
        <f>IF($A882="","",IF($H882="TBA-001",IF($D882="Evet",ROUND($C882*tba_oranBesPuan,2),0),IF($H882="TBA-002",IF($E882="Evet",ROUND($C882*tba_oranIlave,2),0),IF($H882="TBA-004",IF($F882="Evet",ROUND($C882*tba_oranKadinGenc,2),0),IF($H882="TBA-ENG",IF($G882="Evet",ROUND($C882*tba_isverenOran,2),0),0)))))</f>
        <v/>
      </c>
      <c r="L882" s="31">
        <f>IF($A882="","",MAX(0,$J882-$K882))</f>
        <v/>
      </c>
    </row>
    <row r="883">
      <c r="I883" s="31">
        <f>IF($A883="","",IF($J883=0,"YOK",IF(AND($E883="Evet",ROUND($C883*tba_oranIlave,2)=$J883),"TBA-002",IF(AND($D883="Evet",ROUND($C883*tba_oranBesPuan,2)=$J883),"TBA-001",IF(AND($F883="Evet",ROUND($C883*tba_oranKadinGenc,2)=$J883),"TBA-004","TBA-ENG")))))</f>
        <v/>
      </c>
      <c r="J883" s="31">
        <f>IF($A883="","",MAX(IF($D883="Evet",ROUND($C883*tba_oranBesPuan,2),0),IF($E883="Evet",ROUND($C883*tba_oranIlave,2),0),IF($F883="Evet",ROUND($C883*tba_oranKadinGenc,2),0),IF($G883="Evet",ROUND($C883*tba_isverenOran,2),0)))</f>
        <v/>
      </c>
      <c r="K883" s="31">
        <f>IF($A883="","",IF($H883="TBA-001",IF($D883="Evet",ROUND($C883*tba_oranBesPuan,2),0),IF($H883="TBA-002",IF($E883="Evet",ROUND($C883*tba_oranIlave,2),0),IF($H883="TBA-004",IF($F883="Evet",ROUND($C883*tba_oranKadinGenc,2),0),IF($H883="TBA-ENG",IF($G883="Evet",ROUND($C883*tba_isverenOran,2),0),0)))))</f>
        <v/>
      </c>
      <c r="L883" s="31">
        <f>IF($A883="","",MAX(0,$J883-$K883))</f>
        <v/>
      </c>
    </row>
    <row r="884">
      <c r="I884" s="31">
        <f>IF($A884="","",IF($J884=0,"YOK",IF(AND($E884="Evet",ROUND($C884*tba_oranIlave,2)=$J884),"TBA-002",IF(AND($D884="Evet",ROUND($C884*tba_oranBesPuan,2)=$J884),"TBA-001",IF(AND($F884="Evet",ROUND($C884*tba_oranKadinGenc,2)=$J884),"TBA-004","TBA-ENG")))))</f>
        <v/>
      </c>
      <c r="J884" s="31">
        <f>IF($A884="","",MAX(IF($D884="Evet",ROUND($C884*tba_oranBesPuan,2),0),IF($E884="Evet",ROUND($C884*tba_oranIlave,2),0),IF($F884="Evet",ROUND($C884*tba_oranKadinGenc,2),0),IF($G884="Evet",ROUND($C884*tba_isverenOran,2),0)))</f>
        <v/>
      </c>
      <c r="K884" s="31">
        <f>IF($A884="","",IF($H884="TBA-001",IF($D884="Evet",ROUND($C884*tba_oranBesPuan,2),0),IF($H884="TBA-002",IF($E884="Evet",ROUND($C884*tba_oranIlave,2),0),IF($H884="TBA-004",IF($F884="Evet",ROUND($C884*tba_oranKadinGenc,2),0),IF($H884="TBA-ENG",IF($G884="Evet",ROUND($C884*tba_isverenOran,2),0),0)))))</f>
        <v/>
      </c>
      <c r="L884" s="31">
        <f>IF($A884="","",MAX(0,$J884-$K884))</f>
        <v/>
      </c>
    </row>
    <row r="885">
      <c r="I885" s="31">
        <f>IF($A885="","",IF($J885=0,"YOK",IF(AND($E885="Evet",ROUND($C885*tba_oranIlave,2)=$J885),"TBA-002",IF(AND($D885="Evet",ROUND($C885*tba_oranBesPuan,2)=$J885),"TBA-001",IF(AND($F885="Evet",ROUND($C885*tba_oranKadinGenc,2)=$J885),"TBA-004","TBA-ENG")))))</f>
        <v/>
      </c>
      <c r="J885" s="31">
        <f>IF($A885="","",MAX(IF($D885="Evet",ROUND($C885*tba_oranBesPuan,2),0),IF($E885="Evet",ROUND($C885*tba_oranIlave,2),0),IF($F885="Evet",ROUND($C885*tba_oranKadinGenc,2),0),IF($G885="Evet",ROUND($C885*tba_isverenOran,2),0)))</f>
        <v/>
      </c>
      <c r="K885" s="31">
        <f>IF($A885="","",IF($H885="TBA-001",IF($D885="Evet",ROUND($C885*tba_oranBesPuan,2),0),IF($H885="TBA-002",IF($E885="Evet",ROUND($C885*tba_oranIlave,2),0),IF($H885="TBA-004",IF($F885="Evet",ROUND($C885*tba_oranKadinGenc,2),0),IF($H885="TBA-ENG",IF($G885="Evet",ROUND($C885*tba_isverenOran,2),0),0)))))</f>
        <v/>
      </c>
      <c r="L885" s="31">
        <f>IF($A885="","",MAX(0,$J885-$K885))</f>
        <v/>
      </c>
    </row>
    <row r="886">
      <c r="I886" s="31">
        <f>IF($A886="","",IF($J886=0,"YOK",IF(AND($E886="Evet",ROUND($C886*tba_oranIlave,2)=$J886),"TBA-002",IF(AND($D886="Evet",ROUND($C886*tba_oranBesPuan,2)=$J886),"TBA-001",IF(AND($F886="Evet",ROUND($C886*tba_oranKadinGenc,2)=$J886),"TBA-004","TBA-ENG")))))</f>
        <v/>
      </c>
      <c r="J886" s="31">
        <f>IF($A886="","",MAX(IF($D886="Evet",ROUND($C886*tba_oranBesPuan,2),0),IF($E886="Evet",ROUND($C886*tba_oranIlave,2),0),IF($F886="Evet",ROUND($C886*tba_oranKadinGenc,2),0),IF($G886="Evet",ROUND($C886*tba_isverenOran,2),0)))</f>
        <v/>
      </c>
      <c r="K886" s="31">
        <f>IF($A886="","",IF($H886="TBA-001",IF($D886="Evet",ROUND($C886*tba_oranBesPuan,2),0),IF($H886="TBA-002",IF($E886="Evet",ROUND($C886*tba_oranIlave,2),0),IF($H886="TBA-004",IF($F886="Evet",ROUND($C886*tba_oranKadinGenc,2),0),IF($H886="TBA-ENG",IF($G886="Evet",ROUND($C886*tba_isverenOran,2),0),0)))))</f>
        <v/>
      </c>
      <c r="L886" s="31">
        <f>IF($A886="","",MAX(0,$J886-$K886))</f>
        <v/>
      </c>
    </row>
    <row r="887">
      <c r="I887" s="31">
        <f>IF($A887="","",IF($J887=0,"YOK",IF(AND($E887="Evet",ROUND($C887*tba_oranIlave,2)=$J887),"TBA-002",IF(AND($D887="Evet",ROUND($C887*tba_oranBesPuan,2)=$J887),"TBA-001",IF(AND($F887="Evet",ROUND($C887*tba_oranKadinGenc,2)=$J887),"TBA-004","TBA-ENG")))))</f>
        <v/>
      </c>
      <c r="J887" s="31">
        <f>IF($A887="","",MAX(IF($D887="Evet",ROUND($C887*tba_oranBesPuan,2),0),IF($E887="Evet",ROUND($C887*tba_oranIlave,2),0),IF($F887="Evet",ROUND($C887*tba_oranKadinGenc,2),0),IF($G887="Evet",ROUND($C887*tba_isverenOran,2),0)))</f>
        <v/>
      </c>
      <c r="K887" s="31">
        <f>IF($A887="","",IF($H887="TBA-001",IF($D887="Evet",ROUND($C887*tba_oranBesPuan,2),0),IF($H887="TBA-002",IF($E887="Evet",ROUND($C887*tba_oranIlave,2),0),IF($H887="TBA-004",IF($F887="Evet",ROUND($C887*tba_oranKadinGenc,2),0),IF($H887="TBA-ENG",IF($G887="Evet",ROUND($C887*tba_isverenOran,2),0),0)))))</f>
        <v/>
      </c>
      <c r="L887" s="31">
        <f>IF($A887="","",MAX(0,$J887-$K887))</f>
        <v/>
      </c>
    </row>
    <row r="888">
      <c r="I888" s="31">
        <f>IF($A888="","",IF($J888=0,"YOK",IF(AND($E888="Evet",ROUND($C888*tba_oranIlave,2)=$J888),"TBA-002",IF(AND($D888="Evet",ROUND($C888*tba_oranBesPuan,2)=$J888),"TBA-001",IF(AND($F888="Evet",ROUND($C888*tba_oranKadinGenc,2)=$J888),"TBA-004","TBA-ENG")))))</f>
        <v/>
      </c>
      <c r="J888" s="31">
        <f>IF($A888="","",MAX(IF($D888="Evet",ROUND($C888*tba_oranBesPuan,2),0),IF($E888="Evet",ROUND($C888*tba_oranIlave,2),0),IF($F888="Evet",ROUND($C888*tba_oranKadinGenc,2),0),IF($G888="Evet",ROUND($C888*tba_isverenOran,2),0)))</f>
        <v/>
      </c>
      <c r="K888" s="31">
        <f>IF($A888="","",IF($H888="TBA-001",IF($D888="Evet",ROUND($C888*tba_oranBesPuan,2),0),IF($H888="TBA-002",IF($E888="Evet",ROUND($C888*tba_oranIlave,2),0),IF($H888="TBA-004",IF($F888="Evet",ROUND($C888*tba_oranKadinGenc,2),0),IF($H888="TBA-ENG",IF($G888="Evet",ROUND($C888*tba_isverenOran,2),0),0)))))</f>
        <v/>
      </c>
      <c r="L888" s="31">
        <f>IF($A888="","",MAX(0,$J888-$K888))</f>
        <v/>
      </c>
    </row>
    <row r="889">
      <c r="I889" s="31">
        <f>IF($A889="","",IF($J889=0,"YOK",IF(AND($E889="Evet",ROUND($C889*tba_oranIlave,2)=$J889),"TBA-002",IF(AND($D889="Evet",ROUND($C889*tba_oranBesPuan,2)=$J889),"TBA-001",IF(AND($F889="Evet",ROUND($C889*tba_oranKadinGenc,2)=$J889),"TBA-004","TBA-ENG")))))</f>
        <v/>
      </c>
      <c r="J889" s="31">
        <f>IF($A889="","",MAX(IF($D889="Evet",ROUND($C889*tba_oranBesPuan,2),0),IF($E889="Evet",ROUND($C889*tba_oranIlave,2),0),IF($F889="Evet",ROUND($C889*tba_oranKadinGenc,2),0),IF($G889="Evet",ROUND($C889*tba_isverenOran,2),0)))</f>
        <v/>
      </c>
      <c r="K889" s="31">
        <f>IF($A889="","",IF($H889="TBA-001",IF($D889="Evet",ROUND($C889*tba_oranBesPuan,2),0),IF($H889="TBA-002",IF($E889="Evet",ROUND($C889*tba_oranIlave,2),0),IF($H889="TBA-004",IF($F889="Evet",ROUND($C889*tba_oranKadinGenc,2),0),IF($H889="TBA-ENG",IF($G889="Evet",ROUND($C889*tba_isverenOran,2),0),0)))))</f>
        <v/>
      </c>
      <c r="L889" s="31">
        <f>IF($A889="","",MAX(0,$J889-$K889))</f>
        <v/>
      </c>
    </row>
    <row r="890">
      <c r="I890" s="31">
        <f>IF($A890="","",IF($J890=0,"YOK",IF(AND($E890="Evet",ROUND($C890*tba_oranIlave,2)=$J890),"TBA-002",IF(AND($D890="Evet",ROUND($C890*tba_oranBesPuan,2)=$J890),"TBA-001",IF(AND($F890="Evet",ROUND($C890*tba_oranKadinGenc,2)=$J890),"TBA-004","TBA-ENG")))))</f>
        <v/>
      </c>
      <c r="J890" s="31">
        <f>IF($A890="","",MAX(IF($D890="Evet",ROUND($C890*tba_oranBesPuan,2),0),IF($E890="Evet",ROUND($C890*tba_oranIlave,2),0),IF($F890="Evet",ROUND($C890*tba_oranKadinGenc,2),0),IF($G890="Evet",ROUND($C890*tba_isverenOran,2),0)))</f>
        <v/>
      </c>
      <c r="K890" s="31">
        <f>IF($A890="","",IF($H890="TBA-001",IF($D890="Evet",ROUND($C890*tba_oranBesPuan,2),0),IF($H890="TBA-002",IF($E890="Evet",ROUND($C890*tba_oranIlave,2),0),IF($H890="TBA-004",IF($F890="Evet",ROUND($C890*tba_oranKadinGenc,2),0),IF($H890="TBA-ENG",IF($G890="Evet",ROUND($C890*tba_isverenOran,2),0),0)))))</f>
        <v/>
      </c>
      <c r="L890" s="31">
        <f>IF($A890="","",MAX(0,$J890-$K890))</f>
        <v/>
      </c>
    </row>
    <row r="891">
      <c r="I891" s="31">
        <f>IF($A891="","",IF($J891=0,"YOK",IF(AND($E891="Evet",ROUND($C891*tba_oranIlave,2)=$J891),"TBA-002",IF(AND($D891="Evet",ROUND($C891*tba_oranBesPuan,2)=$J891),"TBA-001",IF(AND($F891="Evet",ROUND($C891*tba_oranKadinGenc,2)=$J891),"TBA-004","TBA-ENG")))))</f>
        <v/>
      </c>
      <c r="J891" s="31">
        <f>IF($A891="","",MAX(IF($D891="Evet",ROUND($C891*tba_oranBesPuan,2),0),IF($E891="Evet",ROUND($C891*tba_oranIlave,2),0),IF($F891="Evet",ROUND($C891*tba_oranKadinGenc,2),0),IF($G891="Evet",ROUND($C891*tba_isverenOran,2),0)))</f>
        <v/>
      </c>
      <c r="K891" s="31">
        <f>IF($A891="","",IF($H891="TBA-001",IF($D891="Evet",ROUND($C891*tba_oranBesPuan,2),0),IF($H891="TBA-002",IF($E891="Evet",ROUND($C891*tba_oranIlave,2),0),IF($H891="TBA-004",IF($F891="Evet",ROUND($C891*tba_oranKadinGenc,2),0),IF($H891="TBA-ENG",IF($G891="Evet",ROUND($C891*tba_isverenOran,2),0),0)))))</f>
        <v/>
      </c>
      <c r="L891" s="31">
        <f>IF($A891="","",MAX(0,$J891-$K891))</f>
        <v/>
      </c>
    </row>
    <row r="892">
      <c r="I892" s="31">
        <f>IF($A892="","",IF($J892=0,"YOK",IF(AND($E892="Evet",ROUND($C892*tba_oranIlave,2)=$J892),"TBA-002",IF(AND($D892="Evet",ROUND($C892*tba_oranBesPuan,2)=$J892),"TBA-001",IF(AND($F892="Evet",ROUND($C892*tba_oranKadinGenc,2)=$J892),"TBA-004","TBA-ENG")))))</f>
        <v/>
      </c>
      <c r="J892" s="31">
        <f>IF($A892="","",MAX(IF($D892="Evet",ROUND($C892*tba_oranBesPuan,2),0),IF($E892="Evet",ROUND($C892*tba_oranIlave,2),0),IF($F892="Evet",ROUND($C892*tba_oranKadinGenc,2),0),IF($G892="Evet",ROUND($C892*tba_isverenOran,2),0)))</f>
        <v/>
      </c>
      <c r="K892" s="31">
        <f>IF($A892="","",IF($H892="TBA-001",IF($D892="Evet",ROUND($C892*tba_oranBesPuan,2),0),IF($H892="TBA-002",IF($E892="Evet",ROUND($C892*tba_oranIlave,2),0),IF($H892="TBA-004",IF($F892="Evet",ROUND($C892*tba_oranKadinGenc,2),0),IF($H892="TBA-ENG",IF($G892="Evet",ROUND($C892*tba_isverenOran,2),0),0)))))</f>
        <v/>
      </c>
      <c r="L892" s="31">
        <f>IF($A892="","",MAX(0,$J892-$K892))</f>
        <v/>
      </c>
    </row>
    <row r="893">
      <c r="I893" s="31">
        <f>IF($A893="","",IF($J893=0,"YOK",IF(AND($E893="Evet",ROUND($C893*tba_oranIlave,2)=$J893),"TBA-002",IF(AND($D893="Evet",ROUND($C893*tba_oranBesPuan,2)=$J893),"TBA-001",IF(AND($F893="Evet",ROUND($C893*tba_oranKadinGenc,2)=$J893),"TBA-004","TBA-ENG")))))</f>
        <v/>
      </c>
      <c r="J893" s="31">
        <f>IF($A893="","",MAX(IF($D893="Evet",ROUND($C893*tba_oranBesPuan,2),0),IF($E893="Evet",ROUND($C893*tba_oranIlave,2),0),IF($F893="Evet",ROUND($C893*tba_oranKadinGenc,2),0),IF($G893="Evet",ROUND($C893*tba_isverenOran,2),0)))</f>
        <v/>
      </c>
      <c r="K893" s="31">
        <f>IF($A893="","",IF($H893="TBA-001",IF($D893="Evet",ROUND($C893*tba_oranBesPuan,2),0),IF($H893="TBA-002",IF($E893="Evet",ROUND($C893*tba_oranIlave,2),0),IF($H893="TBA-004",IF($F893="Evet",ROUND($C893*tba_oranKadinGenc,2),0),IF($H893="TBA-ENG",IF($G893="Evet",ROUND($C893*tba_isverenOran,2),0),0)))))</f>
        <v/>
      </c>
      <c r="L893" s="31">
        <f>IF($A893="","",MAX(0,$J893-$K893))</f>
        <v/>
      </c>
    </row>
    <row r="894">
      <c r="I894" s="31">
        <f>IF($A894="","",IF($J894=0,"YOK",IF(AND($E894="Evet",ROUND($C894*tba_oranIlave,2)=$J894),"TBA-002",IF(AND($D894="Evet",ROUND($C894*tba_oranBesPuan,2)=$J894),"TBA-001",IF(AND($F894="Evet",ROUND($C894*tba_oranKadinGenc,2)=$J894),"TBA-004","TBA-ENG")))))</f>
        <v/>
      </c>
      <c r="J894" s="31">
        <f>IF($A894="","",MAX(IF($D894="Evet",ROUND($C894*tba_oranBesPuan,2),0),IF($E894="Evet",ROUND($C894*tba_oranIlave,2),0),IF($F894="Evet",ROUND($C894*tba_oranKadinGenc,2),0),IF($G894="Evet",ROUND($C894*tba_isverenOran,2),0)))</f>
        <v/>
      </c>
      <c r="K894" s="31">
        <f>IF($A894="","",IF($H894="TBA-001",IF($D894="Evet",ROUND($C894*tba_oranBesPuan,2),0),IF($H894="TBA-002",IF($E894="Evet",ROUND($C894*tba_oranIlave,2),0),IF($H894="TBA-004",IF($F894="Evet",ROUND($C894*tba_oranKadinGenc,2),0),IF($H894="TBA-ENG",IF($G894="Evet",ROUND($C894*tba_isverenOran,2),0),0)))))</f>
        <v/>
      </c>
      <c r="L894" s="31">
        <f>IF($A894="","",MAX(0,$J894-$K894))</f>
        <v/>
      </c>
    </row>
    <row r="895">
      <c r="I895" s="31">
        <f>IF($A895="","",IF($J895=0,"YOK",IF(AND($E895="Evet",ROUND($C895*tba_oranIlave,2)=$J895),"TBA-002",IF(AND($D895="Evet",ROUND($C895*tba_oranBesPuan,2)=$J895),"TBA-001",IF(AND($F895="Evet",ROUND($C895*tba_oranKadinGenc,2)=$J895),"TBA-004","TBA-ENG")))))</f>
        <v/>
      </c>
      <c r="J895" s="31">
        <f>IF($A895="","",MAX(IF($D895="Evet",ROUND($C895*tba_oranBesPuan,2),0),IF($E895="Evet",ROUND($C895*tba_oranIlave,2),0),IF($F895="Evet",ROUND($C895*tba_oranKadinGenc,2),0),IF($G895="Evet",ROUND($C895*tba_isverenOran,2),0)))</f>
        <v/>
      </c>
      <c r="K895" s="31">
        <f>IF($A895="","",IF($H895="TBA-001",IF($D895="Evet",ROUND($C895*tba_oranBesPuan,2),0),IF($H895="TBA-002",IF($E895="Evet",ROUND($C895*tba_oranIlave,2),0),IF($H895="TBA-004",IF($F895="Evet",ROUND($C895*tba_oranKadinGenc,2),0),IF($H895="TBA-ENG",IF($G895="Evet",ROUND($C895*tba_isverenOran,2),0),0)))))</f>
        <v/>
      </c>
      <c r="L895" s="31">
        <f>IF($A895="","",MAX(0,$J895-$K895))</f>
        <v/>
      </c>
    </row>
    <row r="896">
      <c r="I896" s="31">
        <f>IF($A896="","",IF($J896=0,"YOK",IF(AND($E896="Evet",ROUND($C896*tba_oranIlave,2)=$J896),"TBA-002",IF(AND($D896="Evet",ROUND($C896*tba_oranBesPuan,2)=$J896),"TBA-001",IF(AND($F896="Evet",ROUND($C896*tba_oranKadinGenc,2)=$J896),"TBA-004","TBA-ENG")))))</f>
        <v/>
      </c>
      <c r="J896" s="31">
        <f>IF($A896="","",MAX(IF($D896="Evet",ROUND($C896*tba_oranBesPuan,2),0),IF($E896="Evet",ROUND($C896*tba_oranIlave,2),0),IF($F896="Evet",ROUND($C896*tba_oranKadinGenc,2),0),IF($G896="Evet",ROUND($C896*tba_isverenOran,2),0)))</f>
        <v/>
      </c>
      <c r="K896" s="31">
        <f>IF($A896="","",IF($H896="TBA-001",IF($D896="Evet",ROUND($C896*tba_oranBesPuan,2),0),IF($H896="TBA-002",IF($E896="Evet",ROUND($C896*tba_oranIlave,2),0),IF($H896="TBA-004",IF($F896="Evet",ROUND($C896*tba_oranKadinGenc,2),0),IF($H896="TBA-ENG",IF($G896="Evet",ROUND($C896*tba_isverenOran,2),0),0)))))</f>
        <v/>
      </c>
      <c r="L896" s="31">
        <f>IF($A896="","",MAX(0,$J896-$K896))</f>
        <v/>
      </c>
    </row>
    <row r="897">
      <c r="I897" s="31">
        <f>IF($A897="","",IF($J897=0,"YOK",IF(AND($E897="Evet",ROUND($C897*tba_oranIlave,2)=$J897),"TBA-002",IF(AND($D897="Evet",ROUND($C897*tba_oranBesPuan,2)=$J897),"TBA-001",IF(AND($F897="Evet",ROUND($C897*tba_oranKadinGenc,2)=$J897),"TBA-004","TBA-ENG")))))</f>
        <v/>
      </c>
      <c r="J897" s="31">
        <f>IF($A897="","",MAX(IF($D897="Evet",ROUND($C897*tba_oranBesPuan,2),0),IF($E897="Evet",ROUND($C897*tba_oranIlave,2),0),IF($F897="Evet",ROUND($C897*tba_oranKadinGenc,2),0),IF($G897="Evet",ROUND($C897*tba_isverenOran,2),0)))</f>
        <v/>
      </c>
      <c r="K897" s="31">
        <f>IF($A897="","",IF($H897="TBA-001",IF($D897="Evet",ROUND($C897*tba_oranBesPuan,2),0),IF($H897="TBA-002",IF($E897="Evet",ROUND($C897*tba_oranIlave,2),0),IF($H897="TBA-004",IF($F897="Evet",ROUND($C897*tba_oranKadinGenc,2),0),IF($H897="TBA-ENG",IF($G897="Evet",ROUND($C897*tba_isverenOran,2),0),0)))))</f>
        <v/>
      </c>
      <c r="L897" s="31">
        <f>IF($A897="","",MAX(0,$J897-$K897))</f>
        <v/>
      </c>
    </row>
    <row r="898">
      <c r="I898" s="31">
        <f>IF($A898="","",IF($J898=0,"YOK",IF(AND($E898="Evet",ROUND($C898*tba_oranIlave,2)=$J898),"TBA-002",IF(AND($D898="Evet",ROUND($C898*tba_oranBesPuan,2)=$J898),"TBA-001",IF(AND($F898="Evet",ROUND($C898*tba_oranKadinGenc,2)=$J898),"TBA-004","TBA-ENG")))))</f>
        <v/>
      </c>
      <c r="J898" s="31">
        <f>IF($A898="","",MAX(IF($D898="Evet",ROUND($C898*tba_oranBesPuan,2),0),IF($E898="Evet",ROUND($C898*tba_oranIlave,2),0),IF($F898="Evet",ROUND($C898*tba_oranKadinGenc,2),0),IF($G898="Evet",ROUND($C898*tba_isverenOran,2),0)))</f>
        <v/>
      </c>
      <c r="K898" s="31">
        <f>IF($A898="","",IF($H898="TBA-001",IF($D898="Evet",ROUND($C898*tba_oranBesPuan,2),0),IF($H898="TBA-002",IF($E898="Evet",ROUND($C898*tba_oranIlave,2),0),IF($H898="TBA-004",IF($F898="Evet",ROUND($C898*tba_oranKadinGenc,2),0),IF($H898="TBA-ENG",IF($G898="Evet",ROUND($C898*tba_isverenOran,2),0),0)))))</f>
        <v/>
      </c>
      <c r="L898" s="31">
        <f>IF($A898="","",MAX(0,$J898-$K898))</f>
        <v/>
      </c>
    </row>
    <row r="899">
      <c r="I899" s="31">
        <f>IF($A899="","",IF($J899=0,"YOK",IF(AND($E899="Evet",ROUND($C899*tba_oranIlave,2)=$J899),"TBA-002",IF(AND($D899="Evet",ROUND($C899*tba_oranBesPuan,2)=$J899),"TBA-001",IF(AND($F899="Evet",ROUND($C899*tba_oranKadinGenc,2)=$J899),"TBA-004","TBA-ENG")))))</f>
        <v/>
      </c>
      <c r="J899" s="31">
        <f>IF($A899="","",MAX(IF($D899="Evet",ROUND($C899*tba_oranBesPuan,2),0),IF($E899="Evet",ROUND($C899*tba_oranIlave,2),0),IF($F899="Evet",ROUND($C899*tba_oranKadinGenc,2),0),IF($G899="Evet",ROUND($C899*tba_isverenOran,2),0)))</f>
        <v/>
      </c>
      <c r="K899" s="31">
        <f>IF($A899="","",IF($H899="TBA-001",IF($D899="Evet",ROUND($C899*tba_oranBesPuan,2),0),IF($H899="TBA-002",IF($E899="Evet",ROUND($C899*tba_oranIlave,2),0),IF($H899="TBA-004",IF($F899="Evet",ROUND($C899*tba_oranKadinGenc,2),0),IF($H899="TBA-ENG",IF($G899="Evet",ROUND($C899*tba_isverenOran,2),0),0)))))</f>
        <v/>
      </c>
      <c r="L899" s="31">
        <f>IF($A899="","",MAX(0,$J899-$K899))</f>
        <v/>
      </c>
    </row>
    <row r="900">
      <c r="I900" s="31">
        <f>IF($A900="","",IF($J900=0,"YOK",IF(AND($E900="Evet",ROUND($C900*tba_oranIlave,2)=$J900),"TBA-002",IF(AND($D900="Evet",ROUND($C900*tba_oranBesPuan,2)=$J900),"TBA-001",IF(AND($F900="Evet",ROUND($C900*tba_oranKadinGenc,2)=$J900),"TBA-004","TBA-ENG")))))</f>
        <v/>
      </c>
      <c r="J900" s="31">
        <f>IF($A900="","",MAX(IF($D900="Evet",ROUND($C900*tba_oranBesPuan,2),0),IF($E900="Evet",ROUND($C900*tba_oranIlave,2),0),IF($F900="Evet",ROUND($C900*tba_oranKadinGenc,2),0),IF($G900="Evet",ROUND($C900*tba_isverenOran,2),0)))</f>
        <v/>
      </c>
      <c r="K900" s="31">
        <f>IF($A900="","",IF($H900="TBA-001",IF($D900="Evet",ROUND($C900*tba_oranBesPuan,2),0),IF($H900="TBA-002",IF($E900="Evet",ROUND($C900*tba_oranIlave,2),0),IF($H900="TBA-004",IF($F900="Evet",ROUND($C900*tba_oranKadinGenc,2),0),IF($H900="TBA-ENG",IF($G900="Evet",ROUND($C900*tba_isverenOran,2),0),0)))))</f>
        <v/>
      </c>
      <c r="L900" s="31">
        <f>IF($A900="","",MAX(0,$J900-$K900))</f>
        <v/>
      </c>
    </row>
    <row r="901">
      <c r="I901" s="31">
        <f>IF($A901="","",IF($J901=0,"YOK",IF(AND($E901="Evet",ROUND($C901*tba_oranIlave,2)=$J901),"TBA-002",IF(AND($D901="Evet",ROUND($C901*tba_oranBesPuan,2)=$J901),"TBA-001",IF(AND($F901="Evet",ROUND($C901*tba_oranKadinGenc,2)=$J901),"TBA-004","TBA-ENG")))))</f>
        <v/>
      </c>
      <c r="J901" s="31">
        <f>IF($A901="","",MAX(IF($D901="Evet",ROUND($C901*tba_oranBesPuan,2),0),IF($E901="Evet",ROUND($C901*tba_oranIlave,2),0),IF($F901="Evet",ROUND($C901*tba_oranKadinGenc,2),0),IF($G901="Evet",ROUND($C901*tba_isverenOran,2),0)))</f>
        <v/>
      </c>
      <c r="K901" s="31">
        <f>IF($A901="","",IF($H901="TBA-001",IF($D901="Evet",ROUND($C901*tba_oranBesPuan,2),0),IF($H901="TBA-002",IF($E901="Evet",ROUND($C901*tba_oranIlave,2),0),IF($H901="TBA-004",IF($F901="Evet",ROUND($C901*tba_oranKadinGenc,2),0),IF($H901="TBA-ENG",IF($G901="Evet",ROUND($C901*tba_isverenOran,2),0),0)))))</f>
        <v/>
      </c>
      <c r="L901" s="31">
        <f>IF($A901="","",MAX(0,$J901-$K901))</f>
        <v/>
      </c>
    </row>
    <row r="902">
      <c r="I902" s="31">
        <f>IF($A902="","",IF($J902=0,"YOK",IF(AND($E902="Evet",ROUND($C902*tba_oranIlave,2)=$J902),"TBA-002",IF(AND($D902="Evet",ROUND($C902*tba_oranBesPuan,2)=$J902),"TBA-001",IF(AND($F902="Evet",ROUND($C902*tba_oranKadinGenc,2)=$J902),"TBA-004","TBA-ENG")))))</f>
        <v/>
      </c>
      <c r="J902" s="31">
        <f>IF($A902="","",MAX(IF($D902="Evet",ROUND($C902*tba_oranBesPuan,2),0),IF($E902="Evet",ROUND($C902*tba_oranIlave,2),0),IF($F902="Evet",ROUND($C902*tba_oranKadinGenc,2),0),IF($G902="Evet",ROUND($C902*tba_isverenOran,2),0)))</f>
        <v/>
      </c>
      <c r="K902" s="31">
        <f>IF($A902="","",IF($H902="TBA-001",IF($D902="Evet",ROUND($C902*tba_oranBesPuan,2),0),IF($H902="TBA-002",IF($E902="Evet",ROUND($C902*tba_oranIlave,2),0),IF($H902="TBA-004",IF($F902="Evet",ROUND($C902*tba_oranKadinGenc,2),0),IF($H902="TBA-ENG",IF($G902="Evet",ROUND($C902*tba_isverenOran,2),0),0)))))</f>
        <v/>
      </c>
      <c r="L902" s="31">
        <f>IF($A902="","",MAX(0,$J902-$K902))</f>
        <v/>
      </c>
    </row>
    <row r="903">
      <c r="I903" s="31">
        <f>IF($A903="","",IF($J903=0,"YOK",IF(AND($E903="Evet",ROUND($C903*tba_oranIlave,2)=$J903),"TBA-002",IF(AND($D903="Evet",ROUND($C903*tba_oranBesPuan,2)=$J903),"TBA-001",IF(AND($F903="Evet",ROUND($C903*tba_oranKadinGenc,2)=$J903),"TBA-004","TBA-ENG")))))</f>
        <v/>
      </c>
      <c r="J903" s="31">
        <f>IF($A903="","",MAX(IF($D903="Evet",ROUND($C903*tba_oranBesPuan,2),0),IF($E903="Evet",ROUND($C903*tba_oranIlave,2),0),IF($F903="Evet",ROUND($C903*tba_oranKadinGenc,2),0),IF($G903="Evet",ROUND($C903*tba_isverenOran,2),0)))</f>
        <v/>
      </c>
      <c r="K903" s="31">
        <f>IF($A903="","",IF($H903="TBA-001",IF($D903="Evet",ROUND($C903*tba_oranBesPuan,2),0),IF($H903="TBA-002",IF($E903="Evet",ROUND($C903*tba_oranIlave,2),0),IF($H903="TBA-004",IF($F903="Evet",ROUND($C903*tba_oranKadinGenc,2),0),IF($H903="TBA-ENG",IF($G903="Evet",ROUND($C903*tba_isverenOran,2),0),0)))))</f>
        <v/>
      </c>
      <c r="L903" s="31">
        <f>IF($A903="","",MAX(0,$J903-$K903))</f>
        <v/>
      </c>
    </row>
    <row r="904">
      <c r="I904" s="31">
        <f>IF($A904="","",IF($J904=0,"YOK",IF(AND($E904="Evet",ROUND($C904*tba_oranIlave,2)=$J904),"TBA-002",IF(AND($D904="Evet",ROUND($C904*tba_oranBesPuan,2)=$J904),"TBA-001",IF(AND($F904="Evet",ROUND($C904*tba_oranKadinGenc,2)=$J904),"TBA-004","TBA-ENG")))))</f>
        <v/>
      </c>
      <c r="J904" s="31">
        <f>IF($A904="","",MAX(IF($D904="Evet",ROUND($C904*tba_oranBesPuan,2),0),IF($E904="Evet",ROUND($C904*tba_oranIlave,2),0),IF($F904="Evet",ROUND($C904*tba_oranKadinGenc,2),0),IF($G904="Evet",ROUND($C904*tba_isverenOran,2),0)))</f>
        <v/>
      </c>
      <c r="K904" s="31">
        <f>IF($A904="","",IF($H904="TBA-001",IF($D904="Evet",ROUND($C904*tba_oranBesPuan,2),0),IF($H904="TBA-002",IF($E904="Evet",ROUND($C904*tba_oranIlave,2),0),IF($H904="TBA-004",IF($F904="Evet",ROUND($C904*tba_oranKadinGenc,2),0),IF($H904="TBA-ENG",IF($G904="Evet",ROUND($C904*tba_isverenOran,2),0),0)))))</f>
        <v/>
      </c>
      <c r="L904" s="31">
        <f>IF($A904="","",MAX(0,$J904-$K904))</f>
        <v/>
      </c>
    </row>
    <row r="905">
      <c r="I905" s="31">
        <f>IF($A905="","",IF($J905=0,"YOK",IF(AND($E905="Evet",ROUND($C905*tba_oranIlave,2)=$J905),"TBA-002",IF(AND($D905="Evet",ROUND($C905*tba_oranBesPuan,2)=$J905),"TBA-001",IF(AND($F905="Evet",ROUND($C905*tba_oranKadinGenc,2)=$J905),"TBA-004","TBA-ENG")))))</f>
        <v/>
      </c>
      <c r="J905" s="31">
        <f>IF($A905="","",MAX(IF($D905="Evet",ROUND($C905*tba_oranBesPuan,2),0),IF($E905="Evet",ROUND($C905*tba_oranIlave,2),0),IF($F905="Evet",ROUND($C905*tba_oranKadinGenc,2),0),IF($G905="Evet",ROUND($C905*tba_isverenOran,2),0)))</f>
        <v/>
      </c>
      <c r="K905" s="31">
        <f>IF($A905="","",IF($H905="TBA-001",IF($D905="Evet",ROUND($C905*tba_oranBesPuan,2),0),IF($H905="TBA-002",IF($E905="Evet",ROUND($C905*tba_oranIlave,2),0),IF($H905="TBA-004",IF($F905="Evet",ROUND($C905*tba_oranKadinGenc,2),0),IF($H905="TBA-ENG",IF($G905="Evet",ROUND($C905*tba_isverenOran,2),0),0)))))</f>
        <v/>
      </c>
      <c r="L905" s="31">
        <f>IF($A905="","",MAX(0,$J905-$K905))</f>
        <v/>
      </c>
    </row>
    <row r="906">
      <c r="I906" s="31">
        <f>IF($A906="","",IF($J906=0,"YOK",IF(AND($E906="Evet",ROUND($C906*tba_oranIlave,2)=$J906),"TBA-002",IF(AND($D906="Evet",ROUND($C906*tba_oranBesPuan,2)=$J906),"TBA-001",IF(AND($F906="Evet",ROUND($C906*tba_oranKadinGenc,2)=$J906),"TBA-004","TBA-ENG")))))</f>
        <v/>
      </c>
      <c r="J906" s="31">
        <f>IF($A906="","",MAX(IF($D906="Evet",ROUND($C906*tba_oranBesPuan,2),0),IF($E906="Evet",ROUND($C906*tba_oranIlave,2),0),IF($F906="Evet",ROUND($C906*tba_oranKadinGenc,2),0),IF($G906="Evet",ROUND($C906*tba_isverenOran,2),0)))</f>
        <v/>
      </c>
      <c r="K906" s="31">
        <f>IF($A906="","",IF($H906="TBA-001",IF($D906="Evet",ROUND($C906*tba_oranBesPuan,2),0),IF($H906="TBA-002",IF($E906="Evet",ROUND($C906*tba_oranIlave,2),0),IF($H906="TBA-004",IF($F906="Evet",ROUND($C906*tba_oranKadinGenc,2),0),IF($H906="TBA-ENG",IF($G906="Evet",ROUND($C906*tba_isverenOran,2),0),0)))))</f>
        <v/>
      </c>
      <c r="L906" s="31">
        <f>IF($A906="","",MAX(0,$J906-$K906))</f>
        <v/>
      </c>
    </row>
    <row r="907">
      <c r="I907" s="31">
        <f>IF($A907="","",IF($J907=0,"YOK",IF(AND($E907="Evet",ROUND($C907*tba_oranIlave,2)=$J907),"TBA-002",IF(AND($D907="Evet",ROUND($C907*tba_oranBesPuan,2)=$J907),"TBA-001",IF(AND($F907="Evet",ROUND($C907*tba_oranKadinGenc,2)=$J907),"TBA-004","TBA-ENG")))))</f>
        <v/>
      </c>
      <c r="J907" s="31">
        <f>IF($A907="","",MAX(IF($D907="Evet",ROUND($C907*tba_oranBesPuan,2),0),IF($E907="Evet",ROUND($C907*tba_oranIlave,2),0),IF($F907="Evet",ROUND($C907*tba_oranKadinGenc,2),0),IF($G907="Evet",ROUND($C907*tba_isverenOran,2),0)))</f>
        <v/>
      </c>
      <c r="K907" s="31">
        <f>IF($A907="","",IF($H907="TBA-001",IF($D907="Evet",ROUND($C907*tba_oranBesPuan,2),0),IF($H907="TBA-002",IF($E907="Evet",ROUND($C907*tba_oranIlave,2),0),IF($H907="TBA-004",IF($F907="Evet",ROUND($C907*tba_oranKadinGenc,2),0),IF($H907="TBA-ENG",IF($G907="Evet",ROUND($C907*tba_isverenOran,2),0),0)))))</f>
        <v/>
      </c>
      <c r="L907" s="31">
        <f>IF($A907="","",MAX(0,$J907-$K907))</f>
        <v/>
      </c>
    </row>
    <row r="908">
      <c r="I908" s="31">
        <f>IF($A908="","",IF($J908=0,"YOK",IF(AND($E908="Evet",ROUND($C908*tba_oranIlave,2)=$J908),"TBA-002",IF(AND($D908="Evet",ROUND($C908*tba_oranBesPuan,2)=$J908),"TBA-001",IF(AND($F908="Evet",ROUND($C908*tba_oranKadinGenc,2)=$J908),"TBA-004","TBA-ENG")))))</f>
        <v/>
      </c>
      <c r="J908" s="31">
        <f>IF($A908="","",MAX(IF($D908="Evet",ROUND($C908*tba_oranBesPuan,2),0),IF($E908="Evet",ROUND($C908*tba_oranIlave,2),0),IF($F908="Evet",ROUND($C908*tba_oranKadinGenc,2),0),IF($G908="Evet",ROUND($C908*tba_isverenOran,2),0)))</f>
        <v/>
      </c>
      <c r="K908" s="31">
        <f>IF($A908="","",IF($H908="TBA-001",IF($D908="Evet",ROUND($C908*tba_oranBesPuan,2),0),IF($H908="TBA-002",IF($E908="Evet",ROUND($C908*tba_oranIlave,2),0),IF($H908="TBA-004",IF($F908="Evet",ROUND($C908*tba_oranKadinGenc,2),0),IF($H908="TBA-ENG",IF($G908="Evet",ROUND($C908*tba_isverenOran,2),0),0)))))</f>
        <v/>
      </c>
      <c r="L908" s="31">
        <f>IF($A908="","",MAX(0,$J908-$K908))</f>
        <v/>
      </c>
    </row>
    <row r="909">
      <c r="I909" s="31">
        <f>IF($A909="","",IF($J909=0,"YOK",IF(AND($E909="Evet",ROUND($C909*tba_oranIlave,2)=$J909),"TBA-002",IF(AND($D909="Evet",ROUND($C909*tba_oranBesPuan,2)=$J909),"TBA-001",IF(AND($F909="Evet",ROUND($C909*tba_oranKadinGenc,2)=$J909),"TBA-004","TBA-ENG")))))</f>
        <v/>
      </c>
      <c r="J909" s="31">
        <f>IF($A909="","",MAX(IF($D909="Evet",ROUND($C909*tba_oranBesPuan,2),0),IF($E909="Evet",ROUND($C909*tba_oranIlave,2),0),IF($F909="Evet",ROUND($C909*tba_oranKadinGenc,2),0),IF($G909="Evet",ROUND($C909*tba_isverenOran,2),0)))</f>
        <v/>
      </c>
      <c r="K909" s="31">
        <f>IF($A909="","",IF($H909="TBA-001",IF($D909="Evet",ROUND($C909*tba_oranBesPuan,2),0),IF($H909="TBA-002",IF($E909="Evet",ROUND($C909*tba_oranIlave,2),0),IF($H909="TBA-004",IF($F909="Evet",ROUND($C909*tba_oranKadinGenc,2),0),IF($H909="TBA-ENG",IF($G909="Evet",ROUND($C909*tba_isverenOran,2),0),0)))))</f>
        <v/>
      </c>
      <c r="L909" s="31">
        <f>IF($A909="","",MAX(0,$J909-$K909))</f>
        <v/>
      </c>
    </row>
    <row r="910">
      <c r="I910" s="31">
        <f>IF($A910="","",IF($J910=0,"YOK",IF(AND($E910="Evet",ROUND($C910*tba_oranIlave,2)=$J910),"TBA-002",IF(AND($D910="Evet",ROUND($C910*tba_oranBesPuan,2)=$J910),"TBA-001",IF(AND($F910="Evet",ROUND($C910*tba_oranKadinGenc,2)=$J910),"TBA-004","TBA-ENG")))))</f>
        <v/>
      </c>
      <c r="J910" s="31">
        <f>IF($A910="","",MAX(IF($D910="Evet",ROUND($C910*tba_oranBesPuan,2),0),IF($E910="Evet",ROUND($C910*tba_oranIlave,2),0),IF($F910="Evet",ROUND($C910*tba_oranKadinGenc,2),0),IF($G910="Evet",ROUND($C910*tba_isverenOran,2),0)))</f>
        <v/>
      </c>
      <c r="K910" s="31">
        <f>IF($A910="","",IF($H910="TBA-001",IF($D910="Evet",ROUND($C910*tba_oranBesPuan,2),0),IF($H910="TBA-002",IF($E910="Evet",ROUND($C910*tba_oranIlave,2),0),IF($H910="TBA-004",IF($F910="Evet",ROUND($C910*tba_oranKadinGenc,2),0),IF($H910="TBA-ENG",IF($G910="Evet",ROUND($C910*tba_isverenOran,2),0),0)))))</f>
        <v/>
      </c>
      <c r="L910" s="31">
        <f>IF($A910="","",MAX(0,$J910-$K910))</f>
        <v/>
      </c>
    </row>
    <row r="911">
      <c r="I911" s="31">
        <f>IF($A911="","",IF($J911=0,"YOK",IF(AND($E911="Evet",ROUND($C911*tba_oranIlave,2)=$J911),"TBA-002",IF(AND($D911="Evet",ROUND($C911*tba_oranBesPuan,2)=$J911),"TBA-001",IF(AND($F911="Evet",ROUND($C911*tba_oranKadinGenc,2)=$J911),"TBA-004","TBA-ENG")))))</f>
        <v/>
      </c>
      <c r="J911" s="31">
        <f>IF($A911="","",MAX(IF($D911="Evet",ROUND($C911*tba_oranBesPuan,2),0),IF($E911="Evet",ROUND($C911*tba_oranIlave,2),0),IF($F911="Evet",ROUND($C911*tba_oranKadinGenc,2),0),IF($G911="Evet",ROUND($C911*tba_isverenOran,2),0)))</f>
        <v/>
      </c>
      <c r="K911" s="31">
        <f>IF($A911="","",IF($H911="TBA-001",IF($D911="Evet",ROUND($C911*tba_oranBesPuan,2),0),IF($H911="TBA-002",IF($E911="Evet",ROUND($C911*tba_oranIlave,2),0),IF($H911="TBA-004",IF($F911="Evet",ROUND($C911*tba_oranKadinGenc,2),0),IF($H911="TBA-ENG",IF($G911="Evet",ROUND($C911*tba_isverenOran,2),0),0)))))</f>
        <v/>
      </c>
      <c r="L911" s="31">
        <f>IF($A911="","",MAX(0,$J911-$K911))</f>
        <v/>
      </c>
    </row>
    <row r="912">
      <c r="I912" s="31">
        <f>IF($A912="","",IF($J912=0,"YOK",IF(AND($E912="Evet",ROUND($C912*tba_oranIlave,2)=$J912),"TBA-002",IF(AND($D912="Evet",ROUND($C912*tba_oranBesPuan,2)=$J912),"TBA-001",IF(AND($F912="Evet",ROUND($C912*tba_oranKadinGenc,2)=$J912),"TBA-004","TBA-ENG")))))</f>
        <v/>
      </c>
      <c r="J912" s="31">
        <f>IF($A912="","",MAX(IF($D912="Evet",ROUND($C912*tba_oranBesPuan,2),0),IF($E912="Evet",ROUND($C912*tba_oranIlave,2),0),IF($F912="Evet",ROUND($C912*tba_oranKadinGenc,2),0),IF($G912="Evet",ROUND($C912*tba_isverenOran,2),0)))</f>
        <v/>
      </c>
      <c r="K912" s="31">
        <f>IF($A912="","",IF($H912="TBA-001",IF($D912="Evet",ROUND($C912*tba_oranBesPuan,2),0),IF($H912="TBA-002",IF($E912="Evet",ROUND($C912*tba_oranIlave,2),0),IF($H912="TBA-004",IF($F912="Evet",ROUND($C912*tba_oranKadinGenc,2),0),IF($H912="TBA-ENG",IF($G912="Evet",ROUND($C912*tba_isverenOran,2),0),0)))))</f>
        <v/>
      </c>
      <c r="L912" s="31">
        <f>IF($A912="","",MAX(0,$J912-$K912))</f>
        <v/>
      </c>
    </row>
    <row r="913">
      <c r="I913" s="31">
        <f>IF($A913="","",IF($J913=0,"YOK",IF(AND($E913="Evet",ROUND($C913*tba_oranIlave,2)=$J913),"TBA-002",IF(AND($D913="Evet",ROUND($C913*tba_oranBesPuan,2)=$J913),"TBA-001",IF(AND($F913="Evet",ROUND($C913*tba_oranKadinGenc,2)=$J913),"TBA-004","TBA-ENG")))))</f>
        <v/>
      </c>
      <c r="J913" s="31">
        <f>IF($A913="","",MAX(IF($D913="Evet",ROUND($C913*tba_oranBesPuan,2),0),IF($E913="Evet",ROUND($C913*tba_oranIlave,2),0),IF($F913="Evet",ROUND($C913*tba_oranKadinGenc,2),0),IF($G913="Evet",ROUND($C913*tba_isverenOran,2),0)))</f>
        <v/>
      </c>
      <c r="K913" s="31">
        <f>IF($A913="","",IF($H913="TBA-001",IF($D913="Evet",ROUND($C913*tba_oranBesPuan,2),0),IF($H913="TBA-002",IF($E913="Evet",ROUND($C913*tba_oranIlave,2),0),IF($H913="TBA-004",IF($F913="Evet",ROUND($C913*tba_oranKadinGenc,2),0),IF($H913="TBA-ENG",IF($G913="Evet",ROUND($C913*tba_isverenOran,2),0),0)))))</f>
        <v/>
      </c>
      <c r="L913" s="31">
        <f>IF($A913="","",MAX(0,$J913-$K913))</f>
        <v/>
      </c>
    </row>
    <row r="914">
      <c r="I914" s="31">
        <f>IF($A914="","",IF($J914=0,"YOK",IF(AND($E914="Evet",ROUND($C914*tba_oranIlave,2)=$J914),"TBA-002",IF(AND($D914="Evet",ROUND($C914*tba_oranBesPuan,2)=$J914),"TBA-001",IF(AND($F914="Evet",ROUND($C914*tba_oranKadinGenc,2)=$J914),"TBA-004","TBA-ENG")))))</f>
        <v/>
      </c>
      <c r="J914" s="31">
        <f>IF($A914="","",MAX(IF($D914="Evet",ROUND($C914*tba_oranBesPuan,2),0),IF($E914="Evet",ROUND($C914*tba_oranIlave,2),0),IF($F914="Evet",ROUND($C914*tba_oranKadinGenc,2),0),IF($G914="Evet",ROUND($C914*tba_isverenOran,2),0)))</f>
        <v/>
      </c>
      <c r="K914" s="31">
        <f>IF($A914="","",IF($H914="TBA-001",IF($D914="Evet",ROUND($C914*tba_oranBesPuan,2),0),IF($H914="TBA-002",IF($E914="Evet",ROUND($C914*tba_oranIlave,2),0),IF($H914="TBA-004",IF($F914="Evet",ROUND($C914*tba_oranKadinGenc,2),0),IF($H914="TBA-ENG",IF($G914="Evet",ROUND($C914*tba_isverenOran,2),0),0)))))</f>
        <v/>
      </c>
      <c r="L914" s="31">
        <f>IF($A914="","",MAX(0,$J914-$K914))</f>
        <v/>
      </c>
    </row>
    <row r="915">
      <c r="I915" s="31">
        <f>IF($A915="","",IF($J915=0,"YOK",IF(AND($E915="Evet",ROUND($C915*tba_oranIlave,2)=$J915),"TBA-002",IF(AND($D915="Evet",ROUND($C915*tba_oranBesPuan,2)=$J915),"TBA-001",IF(AND($F915="Evet",ROUND($C915*tba_oranKadinGenc,2)=$J915),"TBA-004","TBA-ENG")))))</f>
        <v/>
      </c>
      <c r="J915" s="31">
        <f>IF($A915="","",MAX(IF($D915="Evet",ROUND($C915*tba_oranBesPuan,2),0),IF($E915="Evet",ROUND($C915*tba_oranIlave,2),0),IF($F915="Evet",ROUND($C915*tba_oranKadinGenc,2),0),IF($G915="Evet",ROUND($C915*tba_isverenOran,2),0)))</f>
        <v/>
      </c>
      <c r="K915" s="31">
        <f>IF($A915="","",IF($H915="TBA-001",IF($D915="Evet",ROUND($C915*tba_oranBesPuan,2),0),IF($H915="TBA-002",IF($E915="Evet",ROUND($C915*tba_oranIlave,2),0),IF($H915="TBA-004",IF($F915="Evet",ROUND($C915*tba_oranKadinGenc,2),0),IF($H915="TBA-ENG",IF($G915="Evet",ROUND($C915*tba_isverenOran,2),0),0)))))</f>
        <v/>
      </c>
      <c r="L915" s="31">
        <f>IF($A915="","",MAX(0,$J915-$K915))</f>
        <v/>
      </c>
    </row>
    <row r="916">
      <c r="I916" s="31">
        <f>IF($A916="","",IF($J916=0,"YOK",IF(AND($E916="Evet",ROUND($C916*tba_oranIlave,2)=$J916),"TBA-002",IF(AND($D916="Evet",ROUND($C916*tba_oranBesPuan,2)=$J916),"TBA-001",IF(AND($F916="Evet",ROUND($C916*tba_oranKadinGenc,2)=$J916),"TBA-004","TBA-ENG")))))</f>
        <v/>
      </c>
      <c r="J916" s="31">
        <f>IF($A916="","",MAX(IF($D916="Evet",ROUND($C916*tba_oranBesPuan,2),0),IF($E916="Evet",ROUND($C916*tba_oranIlave,2),0),IF($F916="Evet",ROUND($C916*tba_oranKadinGenc,2),0),IF($G916="Evet",ROUND($C916*tba_isverenOran,2),0)))</f>
        <v/>
      </c>
      <c r="K916" s="31">
        <f>IF($A916="","",IF($H916="TBA-001",IF($D916="Evet",ROUND($C916*tba_oranBesPuan,2),0),IF($H916="TBA-002",IF($E916="Evet",ROUND($C916*tba_oranIlave,2),0),IF($H916="TBA-004",IF($F916="Evet",ROUND($C916*tba_oranKadinGenc,2),0),IF($H916="TBA-ENG",IF($G916="Evet",ROUND($C916*tba_isverenOran,2),0),0)))))</f>
        <v/>
      </c>
      <c r="L916" s="31">
        <f>IF($A916="","",MAX(0,$J916-$K916))</f>
        <v/>
      </c>
    </row>
    <row r="917">
      <c r="I917" s="31">
        <f>IF($A917="","",IF($J917=0,"YOK",IF(AND($E917="Evet",ROUND($C917*tba_oranIlave,2)=$J917),"TBA-002",IF(AND($D917="Evet",ROUND($C917*tba_oranBesPuan,2)=$J917),"TBA-001",IF(AND($F917="Evet",ROUND($C917*tba_oranKadinGenc,2)=$J917),"TBA-004","TBA-ENG")))))</f>
        <v/>
      </c>
      <c r="J917" s="31">
        <f>IF($A917="","",MAX(IF($D917="Evet",ROUND($C917*tba_oranBesPuan,2),0),IF($E917="Evet",ROUND($C917*tba_oranIlave,2),0),IF($F917="Evet",ROUND($C917*tba_oranKadinGenc,2),0),IF($G917="Evet",ROUND($C917*tba_isverenOran,2),0)))</f>
        <v/>
      </c>
      <c r="K917" s="31">
        <f>IF($A917="","",IF($H917="TBA-001",IF($D917="Evet",ROUND($C917*tba_oranBesPuan,2),0),IF($H917="TBA-002",IF($E917="Evet",ROUND($C917*tba_oranIlave,2),0),IF($H917="TBA-004",IF($F917="Evet",ROUND($C917*tba_oranKadinGenc,2),0),IF($H917="TBA-ENG",IF($G917="Evet",ROUND($C917*tba_isverenOran,2),0),0)))))</f>
        <v/>
      </c>
      <c r="L917" s="31">
        <f>IF($A917="","",MAX(0,$J917-$K917))</f>
        <v/>
      </c>
    </row>
    <row r="918">
      <c r="I918" s="31">
        <f>IF($A918="","",IF($J918=0,"YOK",IF(AND($E918="Evet",ROUND($C918*tba_oranIlave,2)=$J918),"TBA-002",IF(AND($D918="Evet",ROUND($C918*tba_oranBesPuan,2)=$J918),"TBA-001",IF(AND($F918="Evet",ROUND($C918*tba_oranKadinGenc,2)=$J918),"TBA-004","TBA-ENG")))))</f>
        <v/>
      </c>
      <c r="J918" s="31">
        <f>IF($A918="","",MAX(IF($D918="Evet",ROUND($C918*tba_oranBesPuan,2),0),IF($E918="Evet",ROUND($C918*tba_oranIlave,2),0),IF($F918="Evet",ROUND($C918*tba_oranKadinGenc,2),0),IF($G918="Evet",ROUND($C918*tba_isverenOran,2),0)))</f>
        <v/>
      </c>
      <c r="K918" s="31">
        <f>IF($A918="","",IF($H918="TBA-001",IF($D918="Evet",ROUND($C918*tba_oranBesPuan,2),0),IF($H918="TBA-002",IF($E918="Evet",ROUND($C918*tba_oranIlave,2),0),IF($H918="TBA-004",IF($F918="Evet",ROUND($C918*tba_oranKadinGenc,2),0),IF($H918="TBA-ENG",IF($G918="Evet",ROUND($C918*tba_isverenOran,2),0),0)))))</f>
        <v/>
      </c>
      <c r="L918" s="31">
        <f>IF($A918="","",MAX(0,$J918-$K918))</f>
        <v/>
      </c>
    </row>
    <row r="919">
      <c r="I919" s="31">
        <f>IF($A919="","",IF($J919=0,"YOK",IF(AND($E919="Evet",ROUND($C919*tba_oranIlave,2)=$J919),"TBA-002",IF(AND($D919="Evet",ROUND($C919*tba_oranBesPuan,2)=$J919),"TBA-001",IF(AND($F919="Evet",ROUND($C919*tba_oranKadinGenc,2)=$J919),"TBA-004","TBA-ENG")))))</f>
        <v/>
      </c>
      <c r="J919" s="31">
        <f>IF($A919="","",MAX(IF($D919="Evet",ROUND($C919*tba_oranBesPuan,2),0),IF($E919="Evet",ROUND($C919*tba_oranIlave,2),0),IF($F919="Evet",ROUND($C919*tba_oranKadinGenc,2),0),IF($G919="Evet",ROUND($C919*tba_isverenOran,2),0)))</f>
        <v/>
      </c>
      <c r="K919" s="31">
        <f>IF($A919="","",IF($H919="TBA-001",IF($D919="Evet",ROUND($C919*tba_oranBesPuan,2),0),IF($H919="TBA-002",IF($E919="Evet",ROUND($C919*tba_oranIlave,2),0),IF($H919="TBA-004",IF($F919="Evet",ROUND($C919*tba_oranKadinGenc,2),0),IF($H919="TBA-ENG",IF($G919="Evet",ROUND($C919*tba_isverenOran,2),0),0)))))</f>
        <v/>
      </c>
      <c r="L919" s="31">
        <f>IF($A919="","",MAX(0,$J919-$K919))</f>
        <v/>
      </c>
    </row>
    <row r="920">
      <c r="I920" s="31">
        <f>IF($A920="","",IF($J920=0,"YOK",IF(AND($E920="Evet",ROUND($C920*tba_oranIlave,2)=$J920),"TBA-002",IF(AND($D920="Evet",ROUND($C920*tba_oranBesPuan,2)=$J920),"TBA-001",IF(AND($F920="Evet",ROUND($C920*tba_oranKadinGenc,2)=$J920),"TBA-004","TBA-ENG")))))</f>
        <v/>
      </c>
      <c r="J920" s="31">
        <f>IF($A920="","",MAX(IF($D920="Evet",ROUND($C920*tba_oranBesPuan,2),0),IF($E920="Evet",ROUND($C920*tba_oranIlave,2),0),IF($F920="Evet",ROUND($C920*tba_oranKadinGenc,2),0),IF($G920="Evet",ROUND($C920*tba_isverenOran,2),0)))</f>
        <v/>
      </c>
      <c r="K920" s="31">
        <f>IF($A920="","",IF($H920="TBA-001",IF($D920="Evet",ROUND($C920*tba_oranBesPuan,2),0),IF($H920="TBA-002",IF($E920="Evet",ROUND($C920*tba_oranIlave,2),0),IF($H920="TBA-004",IF($F920="Evet",ROUND($C920*tba_oranKadinGenc,2),0),IF($H920="TBA-ENG",IF($G920="Evet",ROUND($C920*tba_isverenOran,2),0),0)))))</f>
        <v/>
      </c>
      <c r="L920" s="31">
        <f>IF($A920="","",MAX(0,$J920-$K920))</f>
        <v/>
      </c>
    </row>
    <row r="921">
      <c r="I921" s="31">
        <f>IF($A921="","",IF($J921=0,"YOK",IF(AND($E921="Evet",ROUND($C921*tba_oranIlave,2)=$J921),"TBA-002",IF(AND($D921="Evet",ROUND($C921*tba_oranBesPuan,2)=$J921),"TBA-001",IF(AND($F921="Evet",ROUND($C921*tba_oranKadinGenc,2)=$J921),"TBA-004","TBA-ENG")))))</f>
        <v/>
      </c>
      <c r="J921" s="31">
        <f>IF($A921="","",MAX(IF($D921="Evet",ROUND($C921*tba_oranBesPuan,2),0),IF($E921="Evet",ROUND($C921*tba_oranIlave,2),0),IF($F921="Evet",ROUND($C921*tba_oranKadinGenc,2),0),IF($G921="Evet",ROUND($C921*tba_isverenOran,2),0)))</f>
        <v/>
      </c>
      <c r="K921" s="31">
        <f>IF($A921="","",IF($H921="TBA-001",IF($D921="Evet",ROUND($C921*tba_oranBesPuan,2),0),IF($H921="TBA-002",IF($E921="Evet",ROUND($C921*tba_oranIlave,2),0),IF($H921="TBA-004",IF($F921="Evet",ROUND($C921*tba_oranKadinGenc,2),0),IF($H921="TBA-ENG",IF($G921="Evet",ROUND($C921*tba_isverenOran,2),0),0)))))</f>
        <v/>
      </c>
      <c r="L921" s="31">
        <f>IF($A921="","",MAX(0,$J921-$K921))</f>
        <v/>
      </c>
    </row>
    <row r="922">
      <c r="I922" s="31">
        <f>IF($A922="","",IF($J922=0,"YOK",IF(AND($E922="Evet",ROUND($C922*tba_oranIlave,2)=$J922),"TBA-002",IF(AND($D922="Evet",ROUND($C922*tba_oranBesPuan,2)=$J922),"TBA-001",IF(AND($F922="Evet",ROUND($C922*tba_oranKadinGenc,2)=$J922),"TBA-004","TBA-ENG")))))</f>
        <v/>
      </c>
      <c r="J922" s="31">
        <f>IF($A922="","",MAX(IF($D922="Evet",ROUND($C922*tba_oranBesPuan,2),0),IF($E922="Evet",ROUND($C922*tba_oranIlave,2),0),IF($F922="Evet",ROUND($C922*tba_oranKadinGenc,2),0),IF($G922="Evet",ROUND($C922*tba_isverenOran,2),0)))</f>
        <v/>
      </c>
      <c r="K922" s="31">
        <f>IF($A922="","",IF($H922="TBA-001",IF($D922="Evet",ROUND($C922*tba_oranBesPuan,2),0),IF($H922="TBA-002",IF($E922="Evet",ROUND($C922*tba_oranIlave,2),0),IF($H922="TBA-004",IF($F922="Evet",ROUND($C922*tba_oranKadinGenc,2),0),IF($H922="TBA-ENG",IF($G922="Evet",ROUND($C922*tba_isverenOran,2),0),0)))))</f>
        <v/>
      </c>
      <c r="L922" s="31">
        <f>IF($A922="","",MAX(0,$J922-$K922))</f>
        <v/>
      </c>
    </row>
    <row r="923">
      <c r="I923" s="31">
        <f>IF($A923="","",IF($J923=0,"YOK",IF(AND($E923="Evet",ROUND($C923*tba_oranIlave,2)=$J923),"TBA-002",IF(AND($D923="Evet",ROUND($C923*tba_oranBesPuan,2)=$J923),"TBA-001",IF(AND($F923="Evet",ROUND($C923*tba_oranKadinGenc,2)=$J923),"TBA-004","TBA-ENG")))))</f>
        <v/>
      </c>
      <c r="J923" s="31">
        <f>IF($A923="","",MAX(IF($D923="Evet",ROUND($C923*tba_oranBesPuan,2),0),IF($E923="Evet",ROUND($C923*tba_oranIlave,2),0),IF($F923="Evet",ROUND($C923*tba_oranKadinGenc,2),0),IF($G923="Evet",ROUND($C923*tba_isverenOran,2),0)))</f>
        <v/>
      </c>
      <c r="K923" s="31">
        <f>IF($A923="","",IF($H923="TBA-001",IF($D923="Evet",ROUND($C923*tba_oranBesPuan,2),0),IF($H923="TBA-002",IF($E923="Evet",ROUND($C923*tba_oranIlave,2),0),IF($H923="TBA-004",IF($F923="Evet",ROUND($C923*tba_oranKadinGenc,2),0),IF($H923="TBA-ENG",IF($G923="Evet",ROUND($C923*tba_isverenOran,2),0),0)))))</f>
        <v/>
      </c>
      <c r="L923" s="31">
        <f>IF($A923="","",MAX(0,$J923-$K923))</f>
        <v/>
      </c>
    </row>
    <row r="924">
      <c r="I924" s="31">
        <f>IF($A924="","",IF($J924=0,"YOK",IF(AND($E924="Evet",ROUND($C924*tba_oranIlave,2)=$J924),"TBA-002",IF(AND($D924="Evet",ROUND($C924*tba_oranBesPuan,2)=$J924),"TBA-001",IF(AND($F924="Evet",ROUND($C924*tba_oranKadinGenc,2)=$J924),"TBA-004","TBA-ENG")))))</f>
        <v/>
      </c>
      <c r="J924" s="31">
        <f>IF($A924="","",MAX(IF($D924="Evet",ROUND($C924*tba_oranBesPuan,2),0),IF($E924="Evet",ROUND($C924*tba_oranIlave,2),0),IF($F924="Evet",ROUND($C924*tba_oranKadinGenc,2),0),IF($G924="Evet",ROUND($C924*tba_isverenOran,2),0)))</f>
        <v/>
      </c>
      <c r="K924" s="31">
        <f>IF($A924="","",IF($H924="TBA-001",IF($D924="Evet",ROUND($C924*tba_oranBesPuan,2),0),IF($H924="TBA-002",IF($E924="Evet",ROUND($C924*tba_oranIlave,2),0),IF($H924="TBA-004",IF($F924="Evet",ROUND($C924*tba_oranKadinGenc,2),0),IF($H924="TBA-ENG",IF($G924="Evet",ROUND($C924*tba_isverenOran,2),0),0)))))</f>
        <v/>
      </c>
      <c r="L924" s="31">
        <f>IF($A924="","",MAX(0,$J924-$K924))</f>
        <v/>
      </c>
    </row>
    <row r="925">
      <c r="I925" s="31">
        <f>IF($A925="","",IF($J925=0,"YOK",IF(AND($E925="Evet",ROUND($C925*tba_oranIlave,2)=$J925),"TBA-002",IF(AND($D925="Evet",ROUND($C925*tba_oranBesPuan,2)=$J925),"TBA-001",IF(AND($F925="Evet",ROUND($C925*tba_oranKadinGenc,2)=$J925),"TBA-004","TBA-ENG")))))</f>
        <v/>
      </c>
      <c r="J925" s="31">
        <f>IF($A925="","",MAX(IF($D925="Evet",ROUND($C925*tba_oranBesPuan,2),0),IF($E925="Evet",ROUND($C925*tba_oranIlave,2),0),IF($F925="Evet",ROUND($C925*tba_oranKadinGenc,2),0),IF($G925="Evet",ROUND($C925*tba_isverenOran,2),0)))</f>
        <v/>
      </c>
      <c r="K925" s="31">
        <f>IF($A925="","",IF($H925="TBA-001",IF($D925="Evet",ROUND($C925*tba_oranBesPuan,2),0),IF($H925="TBA-002",IF($E925="Evet",ROUND($C925*tba_oranIlave,2),0),IF($H925="TBA-004",IF($F925="Evet",ROUND($C925*tba_oranKadinGenc,2),0),IF($H925="TBA-ENG",IF($G925="Evet",ROUND($C925*tba_isverenOran,2),0),0)))))</f>
        <v/>
      </c>
      <c r="L925" s="31">
        <f>IF($A925="","",MAX(0,$J925-$K925))</f>
        <v/>
      </c>
    </row>
    <row r="926">
      <c r="I926" s="31">
        <f>IF($A926="","",IF($J926=0,"YOK",IF(AND($E926="Evet",ROUND($C926*tba_oranIlave,2)=$J926),"TBA-002",IF(AND($D926="Evet",ROUND($C926*tba_oranBesPuan,2)=$J926),"TBA-001",IF(AND($F926="Evet",ROUND($C926*tba_oranKadinGenc,2)=$J926),"TBA-004","TBA-ENG")))))</f>
        <v/>
      </c>
      <c r="J926" s="31">
        <f>IF($A926="","",MAX(IF($D926="Evet",ROUND($C926*tba_oranBesPuan,2),0),IF($E926="Evet",ROUND($C926*tba_oranIlave,2),0),IF($F926="Evet",ROUND($C926*tba_oranKadinGenc,2),0),IF($G926="Evet",ROUND($C926*tba_isverenOran,2),0)))</f>
        <v/>
      </c>
      <c r="K926" s="31">
        <f>IF($A926="","",IF($H926="TBA-001",IF($D926="Evet",ROUND($C926*tba_oranBesPuan,2),0),IF($H926="TBA-002",IF($E926="Evet",ROUND($C926*tba_oranIlave,2),0),IF($H926="TBA-004",IF($F926="Evet",ROUND($C926*tba_oranKadinGenc,2),0),IF($H926="TBA-ENG",IF($G926="Evet",ROUND($C926*tba_isverenOran,2),0),0)))))</f>
        <v/>
      </c>
      <c r="L926" s="31">
        <f>IF($A926="","",MAX(0,$J926-$K926))</f>
        <v/>
      </c>
    </row>
    <row r="927">
      <c r="I927" s="31">
        <f>IF($A927="","",IF($J927=0,"YOK",IF(AND($E927="Evet",ROUND($C927*tba_oranIlave,2)=$J927),"TBA-002",IF(AND($D927="Evet",ROUND($C927*tba_oranBesPuan,2)=$J927),"TBA-001",IF(AND($F927="Evet",ROUND($C927*tba_oranKadinGenc,2)=$J927),"TBA-004","TBA-ENG")))))</f>
        <v/>
      </c>
      <c r="J927" s="31">
        <f>IF($A927="","",MAX(IF($D927="Evet",ROUND($C927*tba_oranBesPuan,2),0),IF($E927="Evet",ROUND($C927*tba_oranIlave,2),0),IF($F927="Evet",ROUND($C927*tba_oranKadinGenc,2),0),IF($G927="Evet",ROUND($C927*tba_isverenOran,2),0)))</f>
        <v/>
      </c>
      <c r="K927" s="31">
        <f>IF($A927="","",IF($H927="TBA-001",IF($D927="Evet",ROUND($C927*tba_oranBesPuan,2),0),IF($H927="TBA-002",IF($E927="Evet",ROUND($C927*tba_oranIlave,2),0),IF($H927="TBA-004",IF($F927="Evet",ROUND($C927*tba_oranKadinGenc,2),0),IF($H927="TBA-ENG",IF($G927="Evet",ROUND($C927*tba_isverenOran,2),0),0)))))</f>
        <v/>
      </c>
      <c r="L927" s="31">
        <f>IF($A927="","",MAX(0,$J927-$K927))</f>
        <v/>
      </c>
    </row>
    <row r="928">
      <c r="I928" s="31">
        <f>IF($A928="","",IF($J928=0,"YOK",IF(AND($E928="Evet",ROUND($C928*tba_oranIlave,2)=$J928),"TBA-002",IF(AND($D928="Evet",ROUND($C928*tba_oranBesPuan,2)=$J928),"TBA-001",IF(AND($F928="Evet",ROUND($C928*tba_oranKadinGenc,2)=$J928),"TBA-004","TBA-ENG")))))</f>
        <v/>
      </c>
      <c r="J928" s="31">
        <f>IF($A928="","",MAX(IF($D928="Evet",ROUND($C928*tba_oranBesPuan,2),0),IF($E928="Evet",ROUND($C928*tba_oranIlave,2),0),IF($F928="Evet",ROUND($C928*tba_oranKadinGenc,2),0),IF($G928="Evet",ROUND($C928*tba_isverenOran,2),0)))</f>
        <v/>
      </c>
      <c r="K928" s="31">
        <f>IF($A928="","",IF($H928="TBA-001",IF($D928="Evet",ROUND($C928*tba_oranBesPuan,2),0),IF($H928="TBA-002",IF($E928="Evet",ROUND($C928*tba_oranIlave,2),0),IF($H928="TBA-004",IF($F928="Evet",ROUND($C928*tba_oranKadinGenc,2),0),IF($H928="TBA-ENG",IF($G928="Evet",ROUND($C928*tba_isverenOran,2),0),0)))))</f>
        <v/>
      </c>
      <c r="L928" s="31">
        <f>IF($A928="","",MAX(0,$J928-$K928))</f>
        <v/>
      </c>
    </row>
    <row r="929">
      <c r="I929" s="31">
        <f>IF($A929="","",IF($J929=0,"YOK",IF(AND($E929="Evet",ROUND($C929*tba_oranIlave,2)=$J929),"TBA-002",IF(AND($D929="Evet",ROUND($C929*tba_oranBesPuan,2)=$J929),"TBA-001",IF(AND($F929="Evet",ROUND($C929*tba_oranKadinGenc,2)=$J929),"TBA-004","TBA-ENG")))))</f>
        <v/>
      </c>
      <c r="J929" s="31">
        <f>IF($A929="","",MAX(IF($D929="Evet",ROUND($C929*tba_oranBesPuan,2),0),IF($E929="Evet",ROUND($C929*tba_oranIlave,2),0),IF($F929="Evet",ROUND($C929*tba_oranKadinGenc,2),0),IF($G929="Evet",ROUND($C929*tba_isverenOran,2),0)))</f>
        <v/>
      </c>
      <c r="K929" s="31">
        <f>IF($A929="","",IF($H929="TBA-001",IF($D929="Evet",ROUND($C929*tba_oranBesPuan,2),0),IF($H929="TBA-002",IF($E929="Evet",ROUND($C929*tba_oranIlave,2),0),IF($H929="TBA-004",IF($F929="Evet",ROUND($C929*tba_oranKadinGenc,2),0),IF($H929="TBA-ENG",IF($G929="Evet",ROUND($C929*tba_isverenOran,2),0),0)))))</f>
        <v/>
      </c>
      <c r="L929" s="31">
        <f>IF($A929="","",MAX(0,$J929-$K929))</f>
        <v/>
      </c>
    </row>
    <row r="930">
      <c r="I930" s="31">
        <f>IF($A930="","",IF($J930=0,"YOK",IF(AND($E930="Evet",ROUND($C930*tba_oranIlave,2)=$J930),"TBA-002",IF(AND($D930="Evet",ROUND($C930*tba_oranBesPuan,2)=$J930),"TBA-001",IF(AND($F930="Evet",ROUND($C930*tba_oranKadinGenc,2)=$J930),"TBA-004","TBA-ENG")))))</f>
        <v/>
      </c>
      <c r="J930" s="31">
        <f>IF($A930="","",MAX(IF($D930="Evet",ROUND($C930*tba_oranBesPuan,2),0),IF($E930="Evet",ROUND($C930*tba_oranIlave,2),0),IF($F930="Evet",ROUND($C930*tba_oranKadinGenc,2),0),IF($G930="Evet",ROUND($C930*tba_isverenOran,2),0)))</f>
        <v/>
      </c>
      <c r="K930" s="31">
        <f>IF($A930="","",IF($H930="TBA-001",IF($D930="Evet",ROUND($C930*tba_oranBesPuan,2),0),IF($H930="TBA-002",IF($E930="Evet",ROUND($C930*tba_oranIlave,2),0),IF($H930="TBA-004",IF($F930="Evet",ROUND($C930*tba_oranKadinGenc,2),0),IF($H930="TBA-ENG",IF($G930="Evet",ROUND($C930*tba_isverenOran,2),0),0)))))</f>
        <v/>
      </c>
      <c r="L930" s="31">
        <f>IF($A930="","",MAX(0,$J930-$K930))</f>
        <v/>
      </c>
    </row>
    <row r="931">
      <c r="I931" s="31">
        <f>IF($A931="","",IF($J931=0,"YOK",IF(AND($E931="Evet",ROUND($C931*tba_oranIlave,2)=$J931),"TBA-002",IF(AND($D931="Evet",ROUND($C931*tba_oranBesPuan,2)=$J931),"TBA-001",IF(AND($F931="Evet",ROUND($C931*tba_oranKadinGenc,2)=$J931),"TBA-004","TBA-ENG")))))</f>
        <v/>
      </c>
      <c r="J931" s="31">
        <f>IF($A931="","",MAX(IF($D931="Evet",ROUND($C931*tba_oranBesPuan,2),0),IF($E931="Evet",ROUND($C931*tba_oranIlave,2),0),IF($F931="Evet",ROUND($C931*tba_oranKadinGenc,2),0),IF($G931="Evet",ROUND($C931*tba_isverenOran,2),0)))</f>
        <v/>
      </c>
      <c r="K931" s="31">
        <f>IF($A931="","",IF($H931="TBA-001",IF($D931="Evet",ROUND($C931*tba_oranBesPuan,2),0),IF($H931="TBA-002",IF($E931="Evet",ROUND($C931*tba_oranIlave,2),0),IF($H931="TBA-004",IF($F931="Evet",ROUND($C931*tba_oranKadinGenc,2),0),IF($H931="TBA-ENG",IF($G931="Evet",ROUND($C931*tba_isverenOran,2),0),0)))))</f>
        <v/>
      </c>
      <c r="L931" s="31">
        <f>IF($A931="","",MAX(0,$J931-$K931))</f>
        <v/>
      </c>
    </row>
    <row r="932">
      <c r="I932" s="31">
        <f>IF($A932="","",IF($J932=0,"YOK",IF(AND($E932="Evet",ROUND($C932*tba_oranIlave,2)=$J932),"TBA-002",IF(AND($D932="Evet",ROUND($C932*tba_oranBesPuan,2)=$J932),"TBA-001",IF(AND($F932="Evet",ROUND($C932*tba_oranKadinGenc,2)=$J932),"TBA-004","TBA-ENG")))))</f>
        <v/>
      </c>
      <c r="J932" s="31">
        <f>IF($A932="","",MAX(IF($D932="Evet",ROUND($C932*tba_oranBesPuan,2),0),IF($E932="Evet",ROUND($C932*tba_oranIlave,2),0),IF($F932="Evet",ROUND($C932*tba_oranKadinGenc,2),0),IF($G932="Evet",ROUND($C932*tba_isverenOran,2),0)))</f>
        <v/>
      </c>
      <c r="K932" s="31">
        <f>IF($A932="","",IF($H932="TBA-001",IF($D932="Evet",ROUND($C932*tba_oranBesPuan,2),0),IF($H932="TBA-002",IF($E932="Evet",ROUND($C932*tba_oranIlave,2),0),IF($H932="TBA-004",IF($F932="Evet",ROUND($C932*tba_oranKadinGenc,2),0),IF($H932="TBA-ENG",IF($G932="Evet",ROUND($C932*tba_isverenOran,2),0),0)))))</f>
        <v/>
      </c>
      <c r="L932" s="31">
        <f>IF($A932="","",MAX(0,$J932-$K932))</f>
        <v/>
      </c>
    </row>
    <row r="933">
      <c r="I933" s="31">
        <f>IF($A933="","",IF($J933=0,"YOK",IF(AND($E933="Evet",ROUND($C933*tba_oranIlave,2)=$J933),"TBA-002",IF(AND($D933="Evet",ROUND($C933*tba_oranBesPuan,2)=$J933),"TBA-001",IF(AND($F933="Evet",ROUND($C933*tba_oranKadinGenc,2)=$J933),"TBA-004","TBA-ENG")))))</f>
        <v/>
      </c>
      <c r="J933" s="31">
        <f>IF($A933="","",MAX(IF($D933="Evet",ROUND($C933*tba_oranBesPuan,2),0),IF($E933="Evet",ROUND($C933*tba_oranIlave,2),0),IF($F933="Evet",ROUND($C933*tba_oranKadinGenc,2),0),IF($G933="Evet",ROUND($C933*tba_isverenOran,2),0)))</f>
        <v/>
      </c>
      <c r="K933" s="31">
        <f>IF($A933="","",IF($H933="TBA-001",IF($D933="Evet",ROUND($C933*tba_oranBesPuan,2),0),IF($H933="TBA-002",IF($E933="Evet",ROUND($C933*tba_oranIlave,2),0),IF($H933="TBA-004",IF($F933="Evet",ROUND($C933*tba_oranKadinGenc,2),0),IF($H933="TBA-ENG",IF($G933="Evet",ROUND($C933*tba_isverenOran,2),0),0)))))</f>
        <v/>
      </c>
      <c r="L933" s="31">
        <f>IF($A933="","",MAX(0,$J933-$K933))</f>
        <v/>
      </c>
    </row>
    <row r="934">
      <c r="I934" s="31">
        <f>IF($A934="","",IF($J934=0,"YOK",IF(AND($E934="Evet",ROUND($C934*tba_oranIlave,2)=$J934),"TBA-002",IF(AND($D934="Evet",ROUND($C934*tba_oranBesPuan,2)=$J934),"TBA-001",IF(AND($F934="Evet",ROUND($C934*tba_oranKadinGenc,2)=$J934),"TBA-004","TBA-ENG")))))</f>
        <v/>
      </c>
      <c r="J934" s="31">
        <f>IF($A934="","",MAX(IF($D934="Evet",ROUND($C934*tba_oranBesPuan,2),0),IF($E934="Evet",ROUND($C934*tba_oranIlave,2),0),IF($F934="Evet",ROUND($C934*tba_oranKadinGenc,2),0),IF($G934="Evet",ROUND($C934*tba_isverenOran,2),0)))</f>
        <v/>
      </c>
      <c r="K934" s="31">
        <f>IF($A934="","",IF($H934="TBA-001",IF($D934="Evet",ROUND($C934*tba_oranBesPuan,2),0),IF($H934="TBA-002",IF($E934="Evet",ROUND($C934*tba_oranIlave,2),0),IF($H934="TBA-004",IF($F934="Evet",ROUND($C934*tba_oranKadinGenc,2),0),IF($H934="TBA-ENG",IF($G934="Evet",ROUND($C934*tba_isverenOran,2),0),0)))))</f>
        <v/>
      </c>
      <c r="L934" s="31">
        <f>IF($A934="","",MAX(0,$J934-$K934))</f>
        <v/>
      </c>
    </row>
    <row r="935">
      <c r="I935" s="31">
        <f>IF($A935="","",IF($J935=0,"YOK",IF(AND($E935="Evet",ROUND($C935*tba_oranIlave,2)=$J935),"TBA-002",IF(AND($D935="Evet",ROUND($C935*tba_oranBesPuan,2)=$J935),"TBA-001",IF(AND($F935="Evet",ROUND($C935*tba_oranKadinGenc,2)=$J935),"TBA-004","TBA-ENG")))))</f>
        <v/>
      </c>
      <c r="J935" s="31">
        <f>IF($A935="","",MAX(IF($D935="Evet",ROUND($C935*tba_oranBesPuan,2),0),IF($E935="Evet",ROUND($C935*tba_oranIlave,2),0),IF($F935="Evet",ROUND($C935*tba_oranKadinGenc,2),0),IF($G935="Evet",ROUND($C935*tba_isverenOran,2),0)))</f>
        <v/>
      </c>
      <c r="K935" s="31">
        <f>IF($A935="","",IF($H935="TBA-001",IF($D935="Evet",ROUND($C935*tba_oranBesPuan,2),0),IF($H935="TBA-002",IF($E935="Evet",ROUND($C935*tba_oranIlave,2),0),IF($H935="TBA-004",IF($F935="Evet",ROUND($C935*tba_oranKadinGenc,2),0),IF($H935="TBA-ENG",IF($G935="Evet",ROUND($C935*tba_isverenOran,2),0),0)))))</f>
        <v/>
      </c>
      <c r="L935" s="31">
        <f>IF($A935="","",MAX(0,$J935-$K935))</f>
        <v/>
      </c>
    </row>
    <row r="936">
      <c r="I936" s="31">
        <f>IF($A936="","",IF($J936=0,"YOK",IF(AND($E936="Evet",ROUND($C936*tba_oranIlave,2)=$J936),"TBA-002",IF(AND($D936="Evet",ROUND($C936*tba_oranBesPuan,2)=$J936),"TBA-001",IF(AND($F936="Evet",ROUND($C936*tba_oranKadinGenc,2)=$J936),"TBA-004","TBA-ENG")))))</f>
        <v/>
      </c>
      <c r="J936" s="31">
        <f>IF($A936="","",MAX(IF($D936="Evet",ROUND($C936*tba_oranBesPuan,2),0),IF($E936="Evet",ROUND($C936*tba_oranIlave,2),0),IF($F936="Evet",ROUND($C936*tba_oranKadinGenc,2),0),IF($G936="Evet",ROUND($C936*tba_isverenOran,2),0)))</f>
        <v/>
      </c>
      <c r="K936" s="31">
        <f>IF($A936="","",IF($H936="TBA-001",IF($D936="Evet",ROUND($C936*tba_oranBesPuan,2),0),IF($H936="TBA-002",IF($E936="Evet",ROUND($C936*tba_oranIlave,2),0),IF($H936="TBA-004",IF($F936="Evet",ROUND($C936*tba_oranKadinGenc,2),0),IF($H936="TBA-ENG",IF($G936="Evet",ROUND($C936*tba_isverenOran,2),0),0)))))</f>
        <v/>
      </c>
      <c r="L936" s="31">
        <f>IF($A936="","",MAX(0,$J936-$K936))</f>
        <v/>
      </c>
    </row>
    <row r="937">
      <c r="I937" s="31">
        <f>IF($A937="","",IF($J937=0,"YOK",IF(AND($E937="Evet",ROUND($C937*tba_oranIlave,2)=$J937),"TBA-002",IF(AND($D937="Evet",ROUND($C937*tba_oranBesPuan,2)=$J937),"TBA-001",IF(AND($F937="Evet",ROUND($C937*tba_oranKadinGenc,2)=$J937),"TBA-004","TBA-ENG")))))</f>
        <v/>
      </c>
      <c r="J937" s="31">
        <f>IF($A937="","",MAX(IF($D937="Evet",ROUND($C937*tba_oranBesPuan,2),0),IF($E937="Evet",ROUND($C937*tba_oranIlave,2),0),IF($F937="Evet",ROUND($C937*tba_oranKadinGenc,2),0),IF($G937="Evet",ROUND($C937*tba_isverenOran,2),0)))</f>
        <v/>
      </c>
      <c r="K937" s="31">
        <f>IF($A937="","",IF($H937="TBA-001",IF($D937="Evet",ROUND($C937*tba_oranBesPuan,2),0),IF($H937="TBA-002",IF($E937="Evet",ROUND($C937*tba_oranIlave,2),0),IF($H937="TBA-004",IF($F937="Evet",ROUND($C937*tba_oranKadinGenc,2),0),IF($H937="TBA-ENG",IF($G937="Evet",ROUND($C937*tba_isverenOran,2),0),0)))))</f>
        <v/>
      </c>
      <c r="L937" s="31">
        <f>IF($A937="","",MAX(0,$J937-$K937))</f>
        <v/>
      </c>
    </row>
    <row r="938">
      <c r="I938" s="31">
        <f>IF($A938="","",IF($J938=0,"YOK",IF(AND($E938="Evet",ROUND($C938*tba_oranIlave,2)=$J938),"TBA-002",IF(AND($D938="Evet",ROUND($C938*tba_oranBesPuan,2)=$J938),"TBA-001",IF(AND($F938="Evet",ROUND($C938*tba_oranKadinGenc,2)=$J938),"TBA-004","TBA-ENG")))))</f>
        <v/>
      </c>
      <c r="J938" s="31">
        <f>IF($A938="","",MAX(IF($D938="Evet",ROUND($C938*tba_oranBesPuan,2),0),IF($E938="Evet",ROUND($C938*tba_oranIlave,2),0),IF($F938="Evet",ROUND($C938*tba_oranKadinGenc,2),0),IF($G938="Evet",ROUND($C938*tba_isverenOran,2),0)))</f>
        <v/>
      </c>
      <c r="K938" s="31">
        <f>IF($A938="","",IF($H938="TBA-001",IF($D938="Evet",ROUND($C938*tba_oranBesPuan,2),0),IF($H938="TBA-002",IF($E938="Evet",ROUND($C938*tba_oranIlave,2),0),IF($H938="TBA-004",IF($F938="Evet",ROUND($C938*tba_oranKadinGenc,2),0),IF($H938="TBA-ENG",IF($G938="Evet",ROUND($C938*tba_isverenOran,2),0),0)))))</f>
        <v/>
      </c>
      <c r="L938" s="31">
        <f>IF($A938="","",MAX(0,$J938-$K938))</f>
        <v/>
      </c>
    </row>
    <row r="939">
      <c r="I939" s="31">
        <f>IF($A939="","",IF($J939=0,"YOK",IF(AND($E939="Evet",ROUND($C939*tba_oranIlave,2)=$J939),"TBA-002",IF(AND($D939="Evet",ROUND($C939*tba_oranBesPuan,2)=$J939),"TBA-001",IF(AND($F939="Evet",ROUND($C939*tba_oranKadinGenc,2)=$J939),"TBA-004","TBA-ENG")))))</f>
        <v/>
      </c>
      <c r="J939" s="31">
        <f>IF($A939="","",MAX(IF($D939="Evet",ROUND($C939*tba_oranBesPuan,2),0),IF($E939="Evet",ROUND($C939*tba_oranIlave,2),0),IF($F939="Evet",ROUND($C939*tba_oranKadinGenc,2),0),IF($G939="Evet",ROUND($C939*tba_isverenOran,2),0)))</f>
        <v/>
      </c>
      <c r="K939" s="31">
        <f>IF($A939="","",IF($H939="TBA-001",IF($D939="Evet",ROUND($C939*tba_oranBesPuan,2),0),IF($H939="TBA-002",IF($E939="Evet",ROUND($C939*tba_oranIlave,2),0),IF($H939="TBA-004",IF($F939="Evet",ROUND($C939*tba_oranKadinGenc,2),0),IF($H939="TBA-ENG",IF($G939="Evet",ROUND($C939*tba_isverenOran,2),0),0)))))</f>
        <v/>
      </c>
      <c r="L939" s="31">
        <f>IF($A939="","",MAX(0,$J939-$K939))</f>
        <v/>
      </c>
    </row>
    <row r="940">
      <c r="I940" s="31">
        <f>IF($A940="","",IF($J940=0,"YOK",IF(AND($E940="Evet",ROUND($C940*tba_oranIlave,2)=$J940),"TBA-002",IF(AND($D940="Evet",ROUND($C940*tba_oranBesPuan,2)=$J940),"TBA-001",IF(AND($F940="Evet",ROUND($C940*tba_oranKadinGenc,2)=$J940),"TBA-004","TBA-ENG")))))</f>
        <v/>
      </c>
      <c r="J940" s="31">
        <f>IF($A940="","",MAX(IF($D940="Evet",ROUND($C940*tba_oranBesPuan,2),0),IF($E940="Evet",ROUND($C940*tba_oranIlave,2),0),IF($F940="Evet",ROUND($C940*tba_oranKadinGenc,2),0),IF($G940="Evet",ROUND($C940*tba_isverenOran,2),0)))</f>
        <v/>
      </c>
      <c r="K940" s="31">
        <f>IF($A940="","",IF($H940="TBA-001",IF($D940="Evet",ROUND($C940*tba_oranBesPuan,2),0),IF($H940="TBA-002",IF($E940="Evet",ROUND($C940*tba_oranIlave,2),0),IF($H940="TBA-004",IF($F940="Evet",ROUND($C940*tba_oranKadinGenc,2),0),IF($H940="TBA-ENG",IF($G940="Evet",ROUND($C940*tba_isverenOran,2),0),0)))))</f>
        <v/>
      </c>
      <c r="L940" s="31">
        <f>IF($A940="","",MAX(0,$J940-$K940))</f>
        <v/>
      </c>
    </row>
    <row r="941">
      <c r="I941" s="31">
        <f>IF($A941="","",IF($J941=0,"YOK",IF(AND($E941="Evet",ROUND($C941*tba_oranIlave,2)=$J941),"TBA-002",IF(AND($D941="Evet",ROUND($C941*tba_oranBesPuan,2)=$J941),"TBA-001",IF(AND($F941="Evet",ROUND($C941*tba_oranKadinGenc,2)=$J941),"TBA-004","TBA-ENG")))))</f>
        <v/>
      </c>
      <c r="J941" s="31">
        <f>IF($A941="","",MAX(IF($D941="Evet",ROUND($C941*tba_oranBesPuan,2),0),IF($E941="Evet",ROUND($C941*tba_oranIlave,2),0),IF($F941="Evet",ROUND($C941*tba_oranKadinGenc,2),0),IF($G941="Evet",ROUND($C941*tba_isverenOran,2),0)))</f>
        <v/>
      </c>
      <c r="K941" s="31">
        <f>IF($A941="","",IF($H941="TBA-001",IF($D941="Evet",ROUND($C941*tba_oranBesPuan,2),0),IF($H941="TBA-002",IF($E941="Evet",ROUND($C941*tba_oranIlave,2),0),IF($H941="TBA-004",IF($F941="Evet",ROUND($C941*tba_oranKadinGenc,2),0),IF($H941="TBA-ENG",IF($G941="Evet",ROUND($C941*tba_isverenOran,2),0),0)))))</f>
        <v/>
      </c>
      <c r="L941" s="31">
        <f>IF($A941="","",MAX(0,$J941-$K941))</f>
        <v/>
      </c>
    </row>
    <row r="942">
      <c r="I942" s="31">
        <f>IF($A942="","",IF($J942=0,"YOK",IF(AND($E942="Evet",ROUND($C942*tba_oranIlave,2)=$J942),"TBA-002",IF(AND($D942="Evet",ROUND($C942*tba_oranBesPuan,2)=$J942),"TBA-001",IF(AND($F942="Evet",ROUND($C942*tba_oranKadinGenc,2)=$J942),"TBA-004","TBA-ENG")))))</f>
        <v/>
      </c>
      <c r="J942" s="31">
        <f>IF($A942="","",MAX(IF($D942="Evet",ROUND($C942*tba_oranBesPuan,2),0),IF($E942="Evet",ROUND($C942*tba_oranIlave,2),0),IF($F942="Evet",ROUND($C942*tba_oranKadinGenc,2),0),IF($G942="Evet",ROUND($C942*tba_isverenOran,2),0)))</f>
        <v/>
      </c>
      <c r="K942" s="31">
        <f>IF($A942="","",IF($H942="TBA-001",IF($D942="Evet",ROUND($C942*tba_oranBesPuan,2),0),IF($H942="TBA-002",IF($E942="Evet",ROUND($C942*tba_oranIlave,2),0),IF($H942="TBA-004",IF($F942="Evet",ROUND($C942*tba_oranKadinGenc,2),0),IF($H942="TBA-ENG",IF($G942="Evet",ROUND($C942*tba_isverenOran,2),0),0)))))</f>
        <v/>
      </c>
      <c r="L942" s="31">
        <f>IF($A942="","",MAX(0,$J942-$K942))</f>
        <v/>
      </c>
    </row>
    <row r="943">
      <c r="I943" s="31">
        <f>IF($A943="","",IF($J943=0,"YOK",IF(AND($E943="Evet",ROUND($C943*tba_oranIlave,2)=$J943),"TBA-002",IF(AND($D943="Evet",ROUND($C943*tba_oranBesPuan,2)=$J943),"TBA-001",IF(AND($F943="Evet",ROUND($C943*tba_oranKadinGenc,2)=$J943),"TBA-004","TBA-ENG")))))</f>
        <v/>
      </c>
      <c r="J943" s="31">
        <f>IF($A943="","",MAX(IF($D943="Evet",ROUND($C943*tba_oranBesPuan,2),0),IF($E943="Evet",ROUND($C943*tba_oranIlave,2),0),IF($F943="Evet",ROUND($C943*tba_oranKadinGenc,2),0),IF($G943="Evet",ROUND($C943*tba_isverenOran,2),0)))</f>
        <v/>
      </c>
      <c r="K943" s="31">
        <f>IF($A943="","",IF($H943="TBA-001",IF($D943="Evet",ROUND($C943*tba_oranBesPuan,2),0),IF($H943="TBA-002",IF($E943="Evet",ROUND($C943*tba_oranIlave,2),0),IF($H943="TBA-004",IF($F943="Evet",ROUND($C943*tba_oranKadinGenc,2),0),IF($H943="TBA-ENG",IF($G943="Evet",ROUND($C943*tba_isverenOran,2),0),0)))))</f>
        <v/>
      </c>
      <c r="L943" s="31">
        <f>IF($A943="","",MAX(0,$J943-$K943))</f>
        <v/>
      </c>
    </row>
    <row r="944">
      <c r="I944" s="31">
        <f>IF($A944="","",IF($J944=0,"YOK",IF(AND($E944="Evet",ROUND($C944*tba_oranIlave,2)=$J944),"TBA-002",IF(AND($D944="Evet",ROUND($C944*tba_oranBesPuan,2)=$J944),"TBA-001",IF(AND($F944="Evet",ROUND($C944*tba_oranKadinGenc,2)=$J944),"TBA-004","TBA-ENG")))))</f>
        <v/>
      </c>
      <c r="J944" s="31">
        <f>IF($A944="","",MAX(IF($D944="Evet",ROUND($C944*tba_oranBesPuan,2),0),IF($E944="Evet",ROUND($C944*tba_oranIlave,2),0),IF($F944="Evet",ROUND($C944*tba_oranKadinGenc,2),0),IF($G944="Evet",ROUND($C944*tba_isverenOran,2),0)))</f>
        <v/>
      </c>
      <c r="K944" s="31">
        <f>IF($A944="","",IF($H944="TBA-001",IF($D944="Evet",ROUND($C944*tba_oranBesPuan,2),0),IF($H944="TBA-002",IF($E944="Evet",ROUND($C944*tba_oranIlave,2),0),IF($H944="TBA-004",IF($F944="Evet",ROUND($C944*tba_oranKadinGenc,2),0),IF($H944="TBA-ENG",IF($G944="Evet",ROUND($C944*tba_isverenOran,2),0),0)))))</f>
        <v/>
      </c>
      <c r="L944" s="31">
        <f>IF($A944="","",MAX(0,$J944-$K944))</f>
        <v/>
      </c>
    </row>
    <row r="945">
      <c r="I945" s="31">
        <f>IF($A945="","",IF($J945=0,"YOK",IF(AND($E945="Evet",ROUND($C945*tba_oranIlave,2)=$J945),"TBA-002",IF(AND($D945="Evet",ROUND($C945*tba_oranBesPuan,2)=$J945),"TBA-001",IF(AND($F945="Evet",ROUND($C945*tba_oranKadinGenc,2)=$J945),"TBA-004","TBA-ENG")))))</f>
        <v/>
      </c>
      <c r="J945" s="31">
        <f>IF($A945="","",MAX(IF($D945="Evet",ROUND($C945*tba_oranBesPuan,2),0),IF($E945="Evet",ROUND($C945*tba_oranIlave,2),0),IF($F945="Evet",ROUND($C945*tba_oranKadinGenc,2),0),IF($G945="Evet",ROUND($C945*tba_isverenOran,2),0)))</f>
        <v/>
      </c>
      <c r="K945" s="31">
        <f>IF($A945="","",IF($H945="TBA-001",IF($D945="Evet",ROUND($C945*tba_oranBesPuan,2),0),IF($H945="TBA-002",IF($E945="Evet",ROUND($C945*tba_oranIlave,2),0),IF($H945="TBA-004",IF($F945="Evet",ROUND($C945*tba_oranKadinGenc,2),0),IF($H945="TBA-ENG",IF($G945="Evet",ROUND($C945*tba_isverenOran,2),0),0)))))</f>
        <v/>
      </c>
      <c r="L945" s="31">
        <f>IF($A945="","",MAX(0,$J945-$K945))</f>
        <v/>
      </c>
    </row>
    <row r="946">
      <c r="I946" s="31">
        <f>IF($A946="","",IF($J946=0,"YOK",IF(AND($E946="Evet",ROUND($C946*tba_oranIlave,2)=$J946),"TBA-002",IF(AND($D946="Evet",ROUND($C946*tba_oranBesPuan,2)=$J946),"TBA-001",IF(AND($F946="Evet",ROUND($C946*tba_oranKadinGenc,2)=$J946),"TBA-004","TBA-ENG")))))</f>
        <v/>
      </c>
      <c r="J946" s="31">
        <f>IF($A946="","",MAX(IF($D946="Evet",ROUND($C946*tba_oranBesPuan,2),0),IF($E946="Evet",ROUND($C946*tba_oranIlave,2),0),IF($F946="Evet",ROUND($C946*tba_oranKadinGenc,2),0),IF($G946="Evet",ROUND($C946*tba_isverenOran,2),0)))</f>
        <v/>
      </c>
      <c r="K946" s="31">
        <f>IF($A946="","",IF($H946="TBA-001",IF($D946="Evet",ROUND($C946*tba_oranBesPuan,2),0),IF($H946="TBA-002",IF($E946="Evet",ROUND($C946*tba_oranIlave,2),0),IF($H946="TBA-004",IF($F946="Evet",ROUND($C946*tba_oranKadinGenc,2),0),IF($H946="TBA-ENG",IF($G946="Evet",ROUND($C946*tba_isverenOran,2),0),0)))))</f>
        <v/>
      </c>
      <c r="L946" s="31">
        <f>IF($A946="","",MAX(0,$J946-$K946))</f>
        <v/>
      </c>
    </row>
    <row r="947">
      <c r="I947" s="31">
        <f>IF($A947="","",IF($J947=0,"YOK",IF(AND($E947="Evet",ROUND($C947*tba_oranIlave,2)=$J947),"TBA-002",IF(AND($D947="Evet",ROUND($C947*tba_oranBesPuan,2)=$J947),"TBA-001",IF(AND($F947="Evet",ROUND($C947*tba_oranKadinGenc,2)=$J947),"TBA-004","TBA-ENG")))))</f>
        <v/>
      </c>
      <c r="J947" s="31">
        <f>IF($A947="","",MAX(IF($D947="Evet",ROUND($C947*tba_oranBesPuan,2),0),IF($E947="Evet",ROUND($C947*tba_oranIlave,2),0),IF($F947="Evet",ROUND($C947*tba_oranKadinGenc,2),0),IF($G947="Evet",ROUND($C947*tba_isverenOran,2),0)))</f>
        <v/>
      </c>
      <c r="K947" s="31">
        <f>IF($A947="","",IF($H947="TBA-001",IF($D947="Evet",ROUND($C947*tba_oranBesPuan,2),0),IF($H947="TBA-002",IF($E947="Evet",ROUND($C947*tba_oranIlave,2),0),IF($H947="TBA-004",IF($F947="Evet",ROUND($C947*tba_oranKadinGenc,2),0),IF($H947="TBA-ENG",IF($G947="Evet",ROUND($C947*tba_isverenOran,2),0),0)))))</f>
        <v/>
      </c>
      <c r="L947" s="31">
        <f>IF($A947="","",MAX(0,$J947-$K947))</f>
        <v/>
      </c>
    </row>
    <row r="948">
      <c r="I948" s="31">
        <f>IF($A948="","",IF($J948=0,"YOK",IF(AND($E948="Evet",ROUND($C948*tba_oranIlave,2)=$J948),"TBA-002",IF(AND($D948="Evet",ROUND($C948*tba_oranBesPuan,2)=$J948),"TBA-001",IF(AND($F948="Evet",ROUND($C948*tba_oranKadinGenc,2)=$J948),"TBA-004","TBA-ENG")))))</f>
        <v/>
      </c>
      <c r="J948" s="31">
        <f>IF($A948="","",MAX(IF($D948="Evet",ROUND($C948*tba_oranBesPuan,2),0),IF($E948="Evet",ROUND($C948*tba_oranIlave,2),0),IF($F948="Evet",ROUND($C948*tba_oranKadinGenc,2),0),IF($G948="Evet",ROUND($C948*tba_isverenOran,2),0)))</f>
        <v/>
      </c>
      <c r="K948" s="31">
        <f>IF($A948="","",IF($H948="TBA-001",IF($D948="Evet",ROUND($C948*tba_oranBesPuan,2),0),IF($H948="TBA-002",IF($E948="Evet",ROUND($C948*tba_oranIlave,2),0),IF($H948="TBA-004",IF($F948="Evet",ROUND($C948*tba_oranKadinGenc,2),0),IF($H948="TBA-ENG",IF($G948="Evet",ROUND($C948*tba_isverenOran,2),0),0)))))</f>
        <v/>
      </c>
      <c r="L948" s="31">
        <f>IF($A948="","",MAX(0,$J948-$K948))</f>
        <v/>
      </c>
    </row>
    <row r="949">
      <c r="I949" s="31">
        <f>IF($A949="","",IF($J949=0,"YOK",IF(AND($E949="Evet",ROUND($C949*tba_oranIlave,2)=$J949),"TBA-002",IF(AND($D949="Evet",ROUND($C949*tba_oranBesPuan,2)=$J949),"TBA-001",IF(AND($F949="Evet",ROUND($C949*tba_oranKadinGenc,2)=$J949),"TBA-004","TBA-ENG")))))</f>
        <v/>
      </c>
      <c r="J949" s="31">
        <f>IF($A949="","",MAX(IF($D949="Evet",ROUND($C949*tba_oranBesPuan,2),0),IF($E949="Evet",ROUND($C949*tba_oranIlave,2),0),IF($F949="Evet",ROUND($C949*tba_oranKadinGenc,2),0),IF($G949="Evet",ROUND($C949*tba_isverenOran,2),0)))</f>
        <v/>
      </c>
      <c r="K949" s="31">
        <f>IF($A949="","",IF($H949="TBA-001",IF($D949="Evet",ROUND($C949*tba_oranBesPuan,2),0),IF($H949="TBA-002",IF($E949="Evet",ROUND($C949*tba_oranIlave,2),0),IF($H949="TBA-004",IF($F949="Evet",ROUND($C949*tba_oranKadinGenc,2),0),IF($H949="TBA-ENG",IF($G949="Evet",ROUND($C949*tba_isverenOran,2),0),0)))))</f>
        <v/>
      </c>
      <c r="L949" s="31">
        <f>IF($A949="","",MAX(0,$J949-$K949))</f>
        <v/>
      </c>
    </row>
    <row r="950">
      <c r="I950" s="31">
        <f>IF($A950="","",IF($J950=0,"YOK",IF(AND($E950="Evet",ROUND($C950*tba_oranIlave,2)=$J950),"TBA-002",IF(AND($D950="Evet",ROUND($C950*tba_oranBesPuan,2)=$J950),"TBA-001",IF(AND($F950="Evet",ROUND($C950*tba_oranKadinGenc,2)=$J950),"TBA-004","TBA-ENG")))))</f>
        <v/>
      </c>
      <c r="J950" s="31">
        <f>IF($A950="","",MAX(IF($D950="Evet",ROUND($C950*tba_oranBesPuan,2),0),IF($E950="Evet",ROUND($C950*tba_oranIlave,2),0),IF($F950="Evet",ROUND($C950*tba_oranKadinGenc,2),0),IF($G950="Evet",ROUND($C950*tba_isverenOran,2),0)))</f>
        <v/>
      </c>
      <c r="K950" s="31">
        <f>IF($A950="","",IF($H950="TBA-001",IF($D950="Evet",ROUND($C950*tba_oranBesPuan,2),0),IF($H950="TBA-002",IF($E950="Evet",ROUND($C950*tba_oranIlave,2),0),IF($H950="TBA-004",IF($F950="Evet",ROUND($C950*tba_oranKadinGenc,2),0),IF($H950="TBA-ENG",IF($G950="Evet",ROUND($C950*tba_isverenOran,2),0),0)))))</f>
        <v/>
      </c>
      <c r="L950" s="31">
        <f>IF($A950="","",MAX(0,$J950-$K950))</f>
        <v/>
      </c>
    </row>
    <row r="951">
      <c r="I951" s="31">
        <f>IF($A951="","",IF($J951=0,"YOK",IF(AND($E951="Evet",ROUND($C951*tba_oranIlave,2)=$J951),"TBA-002",IF(AND($D951="Evet",ROUND($C951*tba_oranBesPuan,2)=$J951),"TBA-001",IF(AND($F951="Evet",ROUND($C951*tba_oranKadinGenc,2)=$J951),"TBA-004","TBA-ENG")))))</f>
        <v/>
      </c>
      <c r="J951" s="31">
        <f>IF($A951="","",MAX(IF($D951="Evet",ROUND($C951*tba_oranBesPuan,2),0),IF($E951="Evet",ROUND($C951*tba_oranIlave,2),0),IF($F951="Evet",ROUND($C951*tba_oranKadinGenc,2),0),IF($G951="Evet",ROUND($C951*tba_isverenOran,2),0)))</f>
        <v/>
      </c>
      <c r="K951" s="31">
        <f>IF($A951="","",IF($H951="TBA-001",IF($D951="Evet",ROUND($C951*tba_oranBesPuan,2),0),IF($H951="TBA-002",IF($E951="Evet",ROUND($C951*tba_oranIlave,2),0),IF($H951="TBA-004",IF($F951="Evet",ROUND($C951*tba_oranKadinGenc,2),0),IF($H951="TBA-ENG",IF($G951="Evet",ROUND($C951*tba_isverenOran,2),0),0)))))</f>
        <v/>
      </c>
      <c r="L951" s="31">
        <f>IF($A951="","",MAX(0,$J951-$K951))</f>
        <v/>
      </c>
    </row>
    <row r="952">
      <c r="I952" s="31">
        <f>IF($A952="","",IF($J952=0,"YOK",IF(AND($E952="Evet",ROUND($C952*tba_oranIlave,2)=$J952),"TBA-002",IF(AND($D952="Evet",ROUND($C952*tba_oranBesPuan,2)=$J952),"TBA-001",IF(AND($F952="Evet",ROUND($C952*tba_oranKadinGenc,2)=$J952),"TBA-004","TBA-ENG")))))</f>
        <v/>
      </c>
      <c r="J952" s="31">
        <f>IF($A952="","",MAX(IF($D952="Evet",ROUND($C952*tba_oranBesPuan,2),0),IF($E952="Evet",ROUND($C952*tba_oranIlave,2),0),IF($F952="Evet",ROUND($C952*tba_oranKadinGenc,2),0),IF($G952="Evet",ROUND($C952*tba_isverenOran,2),0)))</f>
        <v/>
      </c>
      <c r="K952" s="31">
        <f>IF($A952="","",IF($H952="TBA-001",IF($D952="Evet",ROUND($C952*tba_oranBesPuan,2),0),IF($H952="TBA-002",IF($E952="Evet",ROUND($C952*tba_oranIlave,2),0),IF($H952="TBA-004",IF($F952="Evet",ROUND($C952*tba_oranKadinGenc,2),0),IF($H952="TBA-ENG",IF($G952="Evet",ROUND($C952*tba_isverenOran,2),0),0)))))</f>
        <v/>
      </c>
      <c r="L952" s="31">
        <f>IF($A952="","",MAX(0,$J952-$K952))</f>
        <v/>
      </c>
    </row>
    <row r="953">
      <c r="I953" s="31">
        <f>IF($A953="","",IF($J953=0,"YOK",IF(AND($E953="Evet",ROUND($C953*tba_oranIlave,2)=$J953),"TBA-002",IF(AND($D953="Evet",ROUND($C953*tba_oranBesPuan,2)=$J953),"TBA-001",IF(AND($F953="Evet",ROUND($C953*tba_oranKadinGenc,2)=$J953),"TBA-004","TBA-ENG")))))</f>
        <v/>
      </c>
      <c r="J953" s="31">
        <f>IF($A953="","",MAX(IF($D953="Evet",ROUND($C953*tba_oranBesPuan,2),0),IF($E953="Evet",ROUND($C953*tba_oranIlave,2),0),IF($F953="Evet",ROUND($C953*tba_oranKadinGenc,2),0),IF($G953="Evet",ROUND($C953*tba_isverenOran,2),0)))</f>
        <v/>
      </c>
      <c r="K953" s="31">
        <f>IF($A953="","",IF($H953="TBA-001",IF($D953="Evet",ROUND($C953*tba_oranBesPuan,2),0),IF($H953="TBA-002",IF($E953="Evet",ROUND($C953*tba_oranIlave,2),0),IF($H953="TBA-004",IF($F953="Evet",ROUND($C953*tba_oranKadinGenc,2),0),IF($H953="TBA-ENG",IF($G953="Evet",ROUND($C953*tba_isverenOran,2),0),0)))))</f>
        <v/>
      </c>
      <c r="L953" s="31">
        <f>IF($A953="","",MAX(0,$J953-$K953))</f>
        <v/>
      </c>
    </row>
    <row r="954">
      <c r="I954" s="31">
        <f>IF($A954="","",IF($J954=0,"YOK",IF(AND($E954="Evet",ROUND($C954*tba_oranIlave,2)=$J954),"TBA-002",IF(AND($D954="Evet",ROUND($C954*tba_oranBesPuan,2)=$J954),"TBA-001",IF(AND($F954="Evet",ROUND($C954*tba_oranKadinGenc,2)=$J954),"TBA-004","TBA-ENG")))))</f>
        <v/>
      </c>
      <c r="J954" s="31">
        <f>IF($A954="","",MAX(IF($D954="Evet",ROUND($C954*tba_oranBesPuan,2),0),IF($E954="Evet",ROUND($C954*tba_oranIlave,2),0),IF($F954="Evet",ROUND($C954*tba_oranKadinGenc,2),0),IF($G954="Evet",ROUND($C954*tba_isverenOran,2),0)))</f>
        <v/>
      </c>
      <c r="K954" s="31">
        <f>IF($A954="","",IF($H954="TBA-001",IF($D954="Evet",ROUND($C954*tba_oranBesPuan,2),0),IF($H954="TBA-002",IF($E954="Evet",ROUND($C954*tba_oranIlave,2),0),IF($H954="TBA-004",IF($F954="Evet",ROUND($C954*tba_oranKadinGenc,2),0),IF($H954="TBA-ENG",IF($G954="Evet",ROUND($C954*tba_isverenOran,2),0),0)))))</f>
        <v/>
      </c>
      <c r="L954" s="31">
        <f>IF($A954="","",MAX(0,$J954-$K954))</f>
        <v/>
      </c>
    </row>
    <row r="955">
      <c r="I955" s="31">
        <f>IF($A955="","",IF($J955=0,"YOK",IF(AND($E955="Evet",ROUND($C955*tba_oranIlave,2)=$J955),"TBA-002",IF(AND($D955="Evet",ROUND($C955*tba_oranBesPuan,2)=$J955),"TBA-001",IF(AND($F955="Evet",ROUND($C955*tba_oranKadinGenc,2)=$J955),"TBA-004","TBA-ENG")))))</f>
        <v/>
      </c>
      <c r="J955" s="31">
        <f>IF($A955="","",MAX(IF($D955="Evet",ROUND($C955*tba_oranBesPuan,2),0),IF($E955="Evet",ROUND($C955*tba_oranIlave,2),0),IF($F955="Evet",ROUND($C955*tba_oranKadinGenc,2),0),IF($G955="Evet",ROUND($C955*tba_isverenOran,2),0)))</f>
        <v/>
      </c>
      <c r="K955" s="31">
        <f>IF($A955="","",IF($H955="TBA-001",IF($D955="Evet",ROUND($C955*tba_oranBesPuan,2),0),IF($H955="TBA-002",IF($E955="Evet",ROUND($C955*tba_oranIlave,2),0),IF($H955="TBA-004",IF($F955="Evet",ROUND($C955*tba_oranKadinGenc,2),0),IF($H955="TBA-ENG",IF($G955="Evet",ROUND($C955*tba_isverenOran,2),0),0)))))</f>
        <v/>
      </c>
      <c r="L955" s="31">
        <f>IF($A955="","",MAX(0,$J955-$K955))</f>
        <v/>
      </c>
    </row>
    <row r="956">
      <c r="I956" s="31">
        <f>IF($A956="","",IF($J956=0,"YOK",IF(AND($E956="Evet",ROUND($C956*tba_oranIlave,2)=$J956),"TBA-002",IF(AND($D956="Evet",ROUND($C956*tba_oranBesPuan,2)=$J956),"TBA-001",IF(AND($F956="Evet",ROUND($C956*tba_oranKadinGenc,2)=$J956),"TBA-004","TBA-ENG")))))</f>
        <v/>
      </c>
      <c r="J956" s="31">
        <f>IF($A956="","",MAX(IF($D956="Evet",ROUND($C956*tba_oranBesPuan,2),0),IF($E956="Evet",ROUND($C956*tba_oranIlave,2),0),IF($F956="Evet",ROUND($C956*tba_oranKadinGenc,2),0),IF($G956="Evet",ROUND($C956*tba_isverenOran,2),0)))</f>
        <v/>
      </c>
      <c r="K956" s="31">
        <f>IF($A956="","",IF($H956="TBA-001",IF($D956="Evet",ROUND($C956*tba_oranBesPuan,2),0),IF($H956="TBA-002",IF($E956="Evet",ROUND($C956*tba_oranIlave,2),0),IF($H956="TBA-004",IF($F956="Evet",ROUND($C956*tba_oranKadinGenc,2),0),IF($H956="TBA-ENG",IF($G956="Evet",ROUND($C956*tba_isverenOran,2),0),0)))))</f>
        <v/>
      </c>
      <c r="L956" s="31">
        <f>IF($A956="","",MAX(0,$J956-$K956))</f>
        <v/>
      </c>
    </row>
    <row r="957">
      <c r="I957" s="31">
        <f>IF($A957="","",IF($J957=0,"YOK",IF(AND($E957="Evet",ROUND($C957*tba_oranIlave,2)=$J957),"TBA-002",IF(AND($D957="Evet",ROUND($C957*tba_oranBesPuan,2)=$J957),"TBA-001",IF(AND($F957="Evet",ROUND($C957*tba_oranKadinGenc,2)=$J957),"TBA-004","TBA-ENG")))))</f>
        <v/>
      </c>
      <c r="J957" s="31">
        <f>IF($A957="","",MAX(IF($D957="Evet",ROUND($C957*tba_oranBesPuan,2),0),IF($E957="Evet",ROUND($C957*tba_oranIlave,2),0),IF($F957="Evet",ROUND($C957*tba_oranKadinGenc,2),0),IF($G957="Evet",ROUND($C957*tba_isverenOran,2),0)))</f>
        <v/>
      </c>
      <c r="K957" s="31">
        <f>IF($A957="","",IF($H957="TBA-001",IF($D957="Evet",ROUND($C957*tba_oranBesPuan,2),0),IF($H957="TBA-002",IF($E957="Evet",ROUND($C957*tba_oranIlave,2),0),IF($H957="TBA-004",IF($F957="Evet",ROUND($C957*tba_oranKadinGenc,2),0),IF($H957="TBA-ENG",IF($G957="Evet",ROUND($C957*tba_isverenOran,2),0),0)))))</f>
        <v/>
      </c>
      <c r="L957" s="31">
        <f>IF($A957="","",MAX(0,$J957-$K957))</f>
        <v/>
      </c>
    </row>
    <row r="958">
      <c r="I958" s="31">
        <f>IF($A958="","",IF($J958=0,"YOK",IF(AND($E958="Evet",ROUND($C958*tba_oranIlave,2)=$J958),"TBA-002",IF(AND($D958="Evet",ROUND($C958*tba_oranBesPuan,2)=$J958),"TBA-001",IF(AND($F958="Evet",ROUND($C958*tba_oranKadinGenc,2)=$J958),"TBA-004","TBA-ENG")))))</f>
        <v/>
      </c>
      <c r="J958" s="31">
        <f>IF($A958="","",MAX(IF($D958="Evet",ROUND($C958*tba_oranBesPuan,2),0),IF($E958="Evet",ROUND($C958*tba_oranIlave,2),0),IF($F958="Evet",ROUND($C958*tba_oranKadinGenc,2),0),IF($G958="Evet",ROUND($C958*tba_isverenOran,2),0)))</f>
        <v/>
      </c>
      <c r="K958" s="31">
        <f>IF($A958="","",IF($H958="TBA-001",IF($D958="Evet",ROUND($C958*tba_oranBesPuan,2),0),IF($H958="TBA-002",IF($E958="Evet",ROUND($C958*tba_oranIlave,2),0),IF($H958="TBA-004",IF($F958="Evet",ROUND($C958*tba_oranKadinGenc,2),0),IF($H958="TBA-ENG",IF($G958="Evet",ROUND($C958*tba_isverenOran,2),0),0)))))</f>
        <v/>
      </c>
      <c r="L958" s="31">
        <f>IF($A958="","",MAX(0,$J958-$K958))</f>
        <v/>
      </c>
    </row>
    <row r="959">
      <c r="I959" s="31">
        <f>IF($A959="","",IF($J959=0,"YOK",IF(AND($E959="Evet",ROUND($C959*tba_oranIlave,2)=$J959),"TBA-002",IF(AND($D959="Evet",ROUND($C959*tba_oranBesPuan,2)=$J959),"TBA-001",IF(AND($F959="Evet",ROUND($C959*tba_oranKadinGenc,2)=$J959),"TBA-004","TBA-ENG")))))</f>
        <v/>
      </c>
      <c r="J959" s="31">
        <f>IF($A959="","",MAX(IF($D959="Evet",ROUND($C959*tba_oranBesPuan,2),0),IF($E959="Evet",ROUND($C959*tba_oranIlave,2),0),IF($F959="Evet",ROUND($C959*tba_oranKadinGenc,2),0),IF($G959="Evet",ROUND($C959*tba_isverenOran,2),0)))</f>
        <v/>
      </c>
      <c r="K959" s="31">
        <f>IF($A959="","",IF($H959="TBA-001",IF($D959="Evet",ROUND($C959*tba_oranBesPuan,2),0),IF($H959="TBA-002",IF($E959="Evet",ROUND($C959*tba_oranIlave,2),0),IF($H959="TBA-004",IF($F959="Evet",ROUND($C959*tba_oranKadinGenc,2),0),IF($H959="TBA-ENG",IF($G959="Evet",ROUND($C959*tba_isverenOran,2),0),0)))))</f>
        <v/>
      </c>
      <c r="L959" s="31">
        <f>IF($A959="","",MAX(0,$J959-$K959))</f>
        <v/>
      </c>
    </row>
    <row r="960">
      <c r="I960" s="31">
        <f>IF($A960="","",IF($J960=0,"YOK",IF(AND($E960="Evet",ROUND($C960*tba_oranIlave,2)=$J960),"TBA-002",IF(AND($D960="Evet",ROUND($C960*tba_oranBesPuan,2)=$J960),"TBA-001",IF(AND($F960="Evet",ROUND($C960*tba_oranKadinGenc,2)=$J960),"TBA-004","TBA-ENG")))))</f>
        <v/>
      </c>
      <c r="J960" s="31">
        <f>IF($A960="","",MAX(IF($D960="Evet",ROUND($C960*tba_oranBesPuan,2),0),IF($E960="Evet",ROUND($C960*tba_oranIlave,2),0),IF($F960="Evet",ROUND($C960*tba_oranKadinGenc,2),0),IF($G960="Evet",ROUND($C960*tba_isverenOran,2),0)))</f>
        <v/>
      </c>
      <c r="K960" s="31">
        <f>IF($A960="","",IF($H960="TBA-001",IF($D960="Evet",ROUND($C960*tba_oranBesPuan,2),0),IF($H960="TBA-002",IF($E960="Evet",ROUND($C960*tba_oranIlave,2),0),IF($H960="TBA-004",IF($F960="Evet",ROUND($C960*tba_oranKadinGenc,2),0),IF($H960="TBA-ENG",IF($G960="Evet",ROUND($C960*tba_isverenOran,2),0),0)))))</f>
        <v/>
      </c>
      <c r="L960" s="31">
        <f>IF($A960="","",MAX(0,$J960-$K960))</f>
        <v/>
      </c>
    </row>
    <row r="961">
      <c r="I961" s="31">
        <f>IF($A961="","",IF($J961=0,"YOK",IF(AND($E961="Evet",ROUND($C961*tba_oranIlave,2)=$J961),"TBA-002",IF(AND($D961="Evet",ROUND($C961*tba_oranBesPuan,2)=$J961),"TBA-001",IF(AND($F961="Evet",ROUND($C961*tba_oranKadinGenc,2)=$J961),"TBA-004","TBA-ENG")))))</f>
        <v/>
      </c>
      <c r="J961" s="31">
        <f>IF($A961="","",MAX(IF($D961="Evet",ROUND($C961*tba_oranBesPuan,2),0),IF($E961="Evet",ROUND($C961*tba_oranIlave,2),0),IF($F961="Evet",ROUND($C961*tba_oranKadinGenc,2),0),IF($G961="Evet",ROUND($C961*tba_isverenOran,2),0)))</f>
        <v/>
      </c>
      <c r="K961" s="31">
        <f>IF($A961="","",IF($H961="TBA-001",IF($D961="Evet",ROUND($C961*tba_oranBesPuan,2),0),IF($H961="TBA-002",IF($E961="Evet",ROUND($C961*tba_oranIlave,2),0),IF($H961="TBA-004",IF($F961="Evet",ROUND($C961*tba_oranKadinGenc,2),0),IF($H961="TBA-ENG",IF($G961="Evet",ROUND($C961*tba_isverenOran,2),0),0)))))</f>
        <v/>
      </c>
      <c r="L961" s="31">
        <f>IF($A961="","",MAX(0,$J961-$K961))</f>
        <v/>
      </c>
    </row>
    <row r="962">
      <c r="I962" s="31">
        <f>IF($A962="","",IF($J962=0,"YOK",IF(AND($E962="Evet",ROUND($C962*tba_oranIlave,2)=$J962),"TBA-002",IF(AND($D962="Evet",ROUND($C962*tba_oranBesPuan,2)=$J962),"TBA-001",IF(AND($F962="Evet",ROUND($C962*tba_oranKadinGenc,2)=$J962),"TBA-004","TBA-ENG")))))</f>
        <v/>
      </c>
      <c r="J962" s="31">
        <f>IF($A962="","",MAX(IF($D962="Evet",ROUND($C962*tba_oranBesPuan,2),0),IF($E962="Evet",ROUND($C962*tba_oranIlave,2),0),IF($F962="Evet",ROUND($C962*tba_oranKadinGenc,2),0),IF($G962="Evet",ROUND($C962*tba_isverenOran,2),0)))</f>
        <v/>
      </c>
      <c r="K962" s="31">
        <f>IF($A962="","",IF($H962="TBA-001",IF($D962="Evet",ROUND($C962*tba_oranBesPuan,2),0),IF($H962="TBA-002",IF($E962="Evet",ROUND($C962*tba_oranIlave,2),0),IF($H962="TBA-004",IF($F962="Evet",ROUND($C962*tba_oranKadinGenc,2),0),IF($H962="TBA-ENG",IF($G962="Evet",ROUND($C962*tba_isverenOran,2),0),0)))))</f>
        <v/>
      </c>
      <c r="L962" s="31">
        <f>IF($A962="","",MAX(0,$J962-$K962))</f>
        <v/>
      </c>
    </row>
    <row r="963">
      <c r="I963" s="31">
        <f>IF($A963="","",IF($J963=0,"YOK",IF(AND($E963="Evet",ROUND($C963*tba_oranIlave,2)=$J963),"TBA-002",IF(AND($D963="Evet",ROUND($C963*tba_oranBesPuan,2)=$J963),"TBA-001",IF(AND($F963="Evet",ROUND($C963*tba_oranKadinGenc,2)=$J963),"TBA-004","TBA-ENG")))))</f>
        <v/>
      </c>
      <c r="J963" s="31">
        <f>IF($A963="","",MAX(IF($D963="Evet",ROUND($C963*tba_oranBesPuan,2),0),IF($E963="Evet",ROUND($C963*tba_oranIlave,2),0),IF($F963="Evet",ROUND($C963*tba_oranKadinGenc,2),0),IF($G963="Evet",ROUND($C963*tba_isverenOran,2),0)))</f>
        <v/>
      </c>
      <c r="K963" s="31">
        <f>IF($A963="","",IF($H963="TBA-001",IF($D963="Evet",ROUND($C963*tba_oranBesPuan,2),0),IF($H963="TBA-002",IF($E963="Evet",ROUND($C963*tba_oranIlave,2),0),IF($H963="TBA-004",IF($F963="Evet",ROUND($C963*tba_oranKadinGenc,2),0),IF($H963="TBA-ENG",IF($G963="Evet",ROUND($C963*tba_isverenOran,2),0),0)))))</f>
        <v/>
      </c>
      <c r="L963" s="31">
        <f>IF($A963="","",MAX(0,$J963-$K963))</f>
        <v/>
      </c>
    </row>
    <row r="964">
      <c r="I964" s="31">
        <f>IF($A964="","",IF($J964=0,"YOK",IF(AND($E964="Evet",ROUND($C964*tba_oranIlave,2)=$J964),"TBA-002",IF(AND($D964="Evet",ROUND($C964*tba_oranBesPuan,2)=$J964),"TBA-001",IF(AND($F964="Evet",ROUND($C964*tba_oranKadinGenc,2)=$J964),"TBA-004","TBA-ENG")))))</f>
        <v/>
      </c>
      <c r="J964" s="31">
        <f>IF($A964="","",MAX(IF($D964="Evet",ROUND($C964*tba_oranBesPuan,2),0),IF($E964="Evet",ROUND($C964*tba_oranIlave,2),0),IF($F964="Evet",ROUND($C964*tba_oranKadinGenc,2),0),IF($G964="Evet",ROUND($C964*tba_isverenOran,2),0)))</f>
        <v/>
      </c>
      <c r="K964" s="31">
        <f>IF($A964="","",IF($H964="TBA-001",IF($D964="Evet",ROUND($C964*tba_oranBesPuan,2),0),IF($H964="TBA-002",IF($E964="Evet",ROUND($C964*tba_oranIlave,2),0),IF($H964="TBA-004",IF($F964="Evet",ROUND($C964*tba_oranKadinGenc,2),0),IF($H964="TBA-ENG",IF($G964="Evet",ROUND($C964*tba_isverenOran,2),0),0)))))</f>
        <v/>
      </c>
      <c r="L964" s="31">
        <f>IF($A964="","",MAX(0,$J964-$K964))</f>
        <v/>
      </c>
    </row>
    <row r="965">
      <c r="I965" s="31">
        <f>IF($A965="","",IF($J965=0,"YOK",IF(AND($E965="Evet",ROUND($C965*tba_oranIlave,2)=$J965),"TBA-002",IF(AND($D965="Evet",ROUND($C965*tba_oranBesPuan,2)=$J965),"TBA-001",IF(AND($F965="Evet",ROUND($C965*tba_oranKadinGenc,2)=$J965),"TBA-004","TBA-ENG")))))</f>
        <v/>
      </c>
      <c r="J965" s="31">
        <f>IF($A965="","",MAX(IF($D965="Evet",ROUND($C965*tba_oranBesPuan,2),0),IF($E965="Evet",ROUND($C965*tba_oranIlave,2),0),IF($F965="Evet",ROUND($C965*tba_oranKadinGenc,2),0),IF($G965="Evet",ROUND($C965*tba_isverenOran,2),0)))</f>
        <v/>
      </c>
      <c r="K965" s="31">
        <f>IF($A965="","",IF($H965="TBA-001",IF($D965="Evet",ROUND($C965*tba_oranBesPuan,2),0),IF($H965="TBA-002",IF($E965="Evet",ROUND($C965*tba_oranIlave,2),0),IF($H965="TBA-004",IF($F965="Evet",ROUND($C965*tba_oranKadinGenc,2),0),IF($H965="TBA-ENG",IF($G965="Evet",ROUND($C965*tba_isverenOran,2),0),0)))))</f>
        <v/>
      </c>
      <c r="L965" s="31">
        <f>IF($A965="","",MAX(0,$J965-$K965))</f>
        <v/>
      </c>
    </row>
    <row r="966">
      <c r="I966" s="31">
        <f>IF($A966="","",IF($J966=0,"YOK",IF(AND($E966="Evet",ROUND($C966*tba_oranIlave,2)=$J966),"TBA-002",IF(AND($D966="Evet",ROUND($C966*tba_oranBesPuan,2)=$J966),"TBA-001",IF(AND($F966="Evet",ROUND($C966*tba_oranKadinGenc,2)=$J966),"TBA-004","TBA-ENG")))))</f>
        <v/>
      </c>
      <c r="J966" s="31">
        <f>IF($A966="","",MAX(IF($D966="Evet",ROUND($C966*tba_oranBesPuan,2),0),IF($E966="Evet",ROUND($C966*tba_oranIlave,2),0),IF($F966="Evet",ROUND($C966*tba_oranKadinGenc,2),0),IF($G966="Evet",ROUND($C966*tba_isverenOran,2),0)))</f>
        <v/>
      </c>
      <c r="K966" s="31">
        <f>IF($A966="","",IF($H966="TBA-001",IF($D966="Evet",ROUND($C966*tba_oranBesPuan,2),0),IF($H966="TBA-002",IF($E966="Evet",ROUND($C966*tba_oranIlave,2),0),IF($H966="TBA-004",IF($F966="Evet",ROUND($C966*tba_oranKadinGenc,2),0),IF($H966="TBA-ENG",IF($G966="Evet",ROUND($C966*tba_isverenOran,2),0),0)))))</f>
        <v/>
      </c>
      <c r="L966" s="31">
        <f>IF($A966="","",MAX(0,$J966-$K966))</f>
        <v/>
      </c>
    </row>
    <row r="967">
      <c r="I967" s="31">
        <f>IF($A967="","",IF($J967=0,"YOK",IF(AND($E967="Evet",ROUND($C967*tba_oranIlave,2)=$J967),"TBA-002",IF(AND($D967="Evet",ROUND($C967*tba_oranBesPuan,2)=$J967),"TBA-001",IF(AND($F967="Evet",ROUND($C967*tba_oranKadinGenc,2)=$J967),"TBA-004","TBA-ENG")))))</f>
        <v/>
      </c>
      <c r="J967" s="31">
        <f>IF($A967="","",MAX(IF($D967="Evet",ROUND($C967*tba_oranBesPuan,2),0),IF($E967="Evet",ROUND($C967*tba_oranIlave,2),0),IF($F967="Evet",ROUND($C967*tba_oranKadinGenc,2),0),IF($G967="Evet",ROUND($C967*tba_isverenOran,2),0)))</f>
        <v/>
      </c>
      <c r="K967" s="31">
        <f>IF($A967="","",IF($H967="TBA-001",IF($D967="Evet",ROUND($C967*tba_oranBesPuan,2),0),IF($H967="TBA-002",IF($E967="Evet",ROUND($C967*tba_oranIlave,2),0),IF($H967="TBA-004",IF($F967="Evet",ROUND($C967*tba_oranKadinGenc,2),0),IF($H967="TBA-ENG",IF($G967="Evet",ROUND($C967*tba_isverenOran,2),0),0)))))</f>
        <v/>
      </c>
      <c r="L967" s="31">
        <f>IF($A967="","",MAX(0,$J967-$K967))</f>
        <v/>
      </c>
    </row>
    <row r="968">
      <c r="I968" s="31">
        <f>IF($A968="","",IF($J968=0,"YOK",IF(AND($E968="Evet",ROUND($C968*tba_oranIlave,2)=$J968),"TBA-002",IF(AND($D968="Evet",ROUND($C968*tba_oranBesPuan,2)=$J968),"TBA-001",IF(AND($F968="Evet",ROUND($C968*tba_oranKadinGenc,2)=$J968),"TBA-004","TBA-ENG")))))</f>
        <v/>
      </c>
      <c r="J968" s="31">
        <f>IF($A968="","",MAX(IF($D968="Evet",ROUND($C968*tba_oranBesPuan,2),0),IF($E968="Evet",ROUND($C968*tba_oranIlave,2),0),IF($F968="Evet",ROUND($C968*tba_oranKadinGenc,2),0),IF($G968="Evet",ROUND($C968*tba_isverenOran,2),0)))</f>
        <v/>
      </c>
      <c r="K968" s="31">
        <f>IF($A968="","",IF($H968="TBA-001",IF($D968="Evet",ROUND($C968*tba_oranBesPuan,2),0),IF($H968="TBA-002",IF($E968="Evet",ROUND($C968*tba_oranIlave,2),0),IF($H968="TBA-004",IF($F968="Evet",ROUND($C968*tba_oranKadinGenc,2),0),IF($H968="TBA-ENG",IF($G968="Evet",ROUND($C968*tba_isverenOran,2),0),0)))))</f>
        <v/>
      </c>
      <c r="L968" s="31">
        <f>IF($A968="","",MAX(0,$J968-$K968))</f>
        <v/>
      </c>
    </row>
    <row r="969">
      <c r="I969" s="31">
        <f>IF($A969="","",IF($J969=0,"YOK",IF(AND($E969="Evet",ROUND($C969*tba_oranIlave,2)=$J969),"TBA-002",IF(AND($D969="Evet",ROUND($C969*tba_oranBesPuan,2)=$J969),"TBA-001",IF(AND($F969="Evet",ROUND($C969*tba_oranKadinGenc,2)=$J969),"TBA-004","TBA-ENG")))))</f>
        <v/>
      </c>
      <c r="J969" s="31">
        <f>IF($A969="","",MAX(IF($D969="Evet",ROUND($C969*tba_oranBesPuan,2),0),IF($E969="Evet",ROUND($C969*tba_oranIlave,2),0),IF($F969="Evet",ROUND($C969*tba_oranKadinGenc,2),0),IF($G969="Evet",ROUND($C969*tba_isverenOran,2),0)))</f>
        <v/>
      </c>
      <c r="K969" s="31">
        <f>IF($A969="","",IF($H969="TBA-001",IF($D969="Evet",ROUND($C969*tba_oranBesPuan,2),0),IF($H969="TBA-002",IF($E969="Evet",ROUND($C969*tba_oranIlave,2),0),IF($H969="TBA-004",IF($F969="Evet",ROUND($C969*tba_oranKadinGenc,2),0),IF($H969="TBA-ENG",IF($G969="Evet",ROUND($C969*tba_isverenOran,2),0),0)))))</f>
        <v/>
      </c>
      <c r="L969" s="31">
        <f>IF($A969="","",MAX(0,$J969-$K969))</f>
        <v/>
      </c>
    </row>
    <row r="970">
      <c r="I970" s="31">
        <f>IF($A970="","",IF($J970=0,"YOK",IF(AND($E970="Evet",ROUND($C970*tba_oranIlave,2)=$J970),"TBA-002",IF(AND($D970="Evet",ROUND($C970*tba_oranBesPuan,2)=$J970),"TBA-001",IF(AND($F970="Evet",ROUND($C970*tba_oranKadinGenc,2)=$J970),"TBA-004","TBA-ENG")))))</f>
        <v/>
      </c>
      <c r="J970" s="31">
        <f>IF($A970="","",MAX(IF($D970="Evet",ROUND($C970*tba_oranBesPuan,2),0),IF($E970="Evet",ROUND($C970*tba_oranIlave,2),0),IF($F970="Evet",ROUND($C970*tba_oranKadinGenc,2),0),IF($G970="Evet",ROUND($C970*tba_isverenOran,2),0)))</f>
        <v/>
      </c>
      <c r="K970" s="31">
        <f>IF($A970="","",IF($H970="TBA-001",IF($D970="Evet",ROUND($C970*tba_oranBesPuan,2),0),IF($H970="TBA-002",IF($E970="Evet",ROUND($C970*tba_oranIlave,2),0),IF($H970="TBA-004",IF($F970="Evet",ROUND($C970*tba_oranKadinGenc,2),0),IF($H970="TBA-ENG",IF($G970="Evet",ROUND($C970*tba_isverenOran,2),0),0)))))</f>
        <v/>
      </c>
      <c r="L970" s="31">
        <f>IF($A970="","",MAX(0,$J970-$K970))</f>
        <v/>
      </c>
    </row>
    <row r="971">
      <c r="I971" s="31">
        <f>IF($A971="","",IF($J971=0,"YOK",IF(AND($E971="Evet",ROUND($C971*tba_oranIlave,2)=$J971),"TBA-002",IF(AND($D971="Evet",ROUND($C971*tba_oranBesPuan,2)=$J971),"TBA-001",IF(AND($F971="Evet",ROUND($C971*tba_oranKadinGenc,2)=$J971),"TBA-004","TBA-ENG")))))</f>
        <v/>
      </c>
      <c r="J971" s="31">
        <f>IF($A971="","",MAX(IF($D971="Evet",ROUND($C971*tba_oranBesPuan,2),0),IF($E971="Evet",ROUND($C971*tba_oranIlave,2),0),IF($F971="Evet",ROUND($C971*tba_oranKadinGenc,2),0),IF($G971="Evet",ROUND($C971*tba_isverenOran,2),0)))</f>
        <v/>
      </c>
      <c r="K971" s="31">
        <f>IF($A971="","",IF($H971="TBA-001",IF($D971="Evet",ROUND($C971*tba_oranBesPuan,2),0),IF($H971="TBA-002",IF($E971="Evet",ROUND($C971*tba_oranIlave,2),0),IF($H971="TBA-004",IF($F971="Evet",ROUND($C971*tba_oranKadinGenc,2),0),IF($H971="TBA-ENG",IF($G971="Evet",ROUND($C971*tba_isverenOran,2),0),0)))))</f>
        <v/>
      </c>
      <c r="L971" s="31">
        <f>IF($A971="","",MAX(0,$J971-$K971))</f>
        <v/>
      </c>
    </row>
    <row r="972">
      <c r="I972" s="31">
        <f>IF($A972="","",IF($J972=0,"YOK",IF(AND($E972="Evet",ROUND($C972*tba_oranIlave,2)=$J972),"TBA-002",IF(AND($D972="Evet",ROUND($C972*tba_oranBesPuan,2)=$J972),"TBA-001",IF(AND($F972="Evet",ROUND($C972*tba_oranKadinGenc,2)=$J972),"TBA-004","TBA-ENG")))))</f>
        <v/>
      </c>
      <c r="J972" s="31">
        <f>IF($A972="","",MAX(IF($D972="Evet",ROUND($C972*tba_oranBesPuan,2),0),IF($E972="Evet",ROUND($C972*tba_oranIlave,2),0),IF($F972="Evet",ROUND($C972*tba_oranKadinGenc,2),0),IF($G972="Evet",ROUND($C972*tba_isverenOran,2),0)))</f>
        <v/>
      </c>
      <c r="K972" s="31">
        <f>IF($A972="","",IF($H972="TBA-001",IF($D972="Evet",ROUND($C972*tba_oranBesPuan,2),0),IF($H972="TBA-002",IF($E972="Evet",ROUND($C972*tba_oranIlave,2),0),IF($H972="TBA-004",IF($F972="Evet",ROUND($C972*tba_oranKadinGenc,2),0),IF($H972="TBA-ENG",IF($G972="Evet",ROUND($C972*tba_isverenOran,2),0),0)))))</f>
        <v/>
      </c>
      <c r="L972" s="31">
        <f>IF($A972="","",MAX(0,$J972-$K972))</f>
        <v/>
      </c>
    </row>
    <row r="973">
      <c r="I973" s="31">
        <f>IF($A973="","",IF($J973=0,"YOK",IF(AND($E973="Evet",ROUND($C973*tba_oranIlave,2)=$J973),"TBA-002",IF(AND($D973="Evet",ROUND($C973*tba_oranBesPuan,2)=$J973),"TBA-001",IF(AND($F973="Evet",ROUND($C973*tba_oranKadinGenc,2)=$J973),"TBA-004","TBA-ENG")))))</f>
        <v/>
      </c>
      <c r="J973" s="31">
        <f>IF($A973="","",MAX(IF($D973="Evet",ROUND($C973*tba_oranBesPuan,2),0),IF($E973="Evet",ROUND($C973*tba_oranIlave,2),0),IF($F973="Evet",ROUND($C973*tba_oranKadinGenc,2),0),IF($G973="Evet",ROUND($C973*tba_isverenOran,2),0)))</f>
        <v/>
      </c>
      <c r="K973" s="31">
        <f>IF($A973="","",IF($H973="TBA-001",IF($D973="Evet",ROUND($C973*tba_oranBesPuan,2),0),IF($H973="TBA-002",IF($E973="Evet",ROUND($C973*tba_oranIlave,2),0),IF($H973="TBA-004",IF($F973="Evet",ROUND($C973*tba_oranKadinGenc,2),0),IF($H973="TBA-ENG",IF($G973="Evet",ROUND($C973*tba_isverenOran,2),0),0)))))</f>
        <v/>
      </c>
      <c r="L973" s="31">
        <f>IF($A973="","",MAX(0,$J973-$K973))</f>
        <v/>
      </c>
    </row>
    <row r="974">
      <c r="I974" s="31">
        <f>IF($A974="","",IF($J974=0,"YOK",IF(AND($E974="Evet",ROUND($C974*tba_oranIlave,2)=$J974),"TBA-002",IF(AND($D974="Evet",ROUND($C974*tba_oranBesPuan,2)=$J974),"TBA-001",IF(AND($F974="Evet",ROUND($C974*tba_oranKadinGenc,2)=$J974),"TBA-004","TBA-ENG")))))</f>
        <v/>
      </c>
      <c r="J974" s="31">
        <f>IF($A974="","",MAX(IF($D974="Evet",ROUND($C974*tba_oranBesPuan,2),0),IF($E974="Evet",ROUND($C974*tba_oranIlave,2),0),IF($F974="Evet",ROUND($C974*tba_oranKadinGenc,2),0),IF($G974="Evet",ROUND($C974*tba_isverenOran,2),0)))</f>
        <v/>
      </c>
      <c r="K974" s="31">
        <f>IF($A974="","",IF($H974="TBA-001",IF($D974="Evet",ROUND($C974*tba_oranBesPuan,2),0),IF($H974="TBA-002",IF($E974="Evet",ROUND($C974*tba_oranIlave,2),0),IF($H974="TBA-004",IF($F974="Evet",ROUND($C974*tba_oranKadinGenc,2),0),IF($H974="TBA-ENG",IF($G974="Evet",ROUND($C974*tba_isverenOran,2),0),0)))))</f>
        <v/>
      </c>
      <c r="L974" s="31">
        <f>IF($A974="","",MAX(0,$J974-$K974))</f>
        <v/>
      </c>
    </row>
    <row r="975">
      <c r="I975" s="31">
        <f>IF($A975="","",IF($J975=0,"YOK",IF(AND($E975="Evet",ROUND($C975*tba_oranIlave,2)=$J975),"TBA-002",IF(AND($D975="Evet",ROUND($C975*tba_oranBesPuan,2)=$J975),"TBA-001",IF(AND($F975="Evet",ROUND($C975*tba_oranKadinGenc,2)=$J975),"TBA-004","TBA-ENG")))))</f>
        <v/>
      </c>
      <c r="J975" s="31">
        <f>IF($A975="","",MAX(IF($D975="Evet",ROUND($C975*tba_oranBesPuan,2),0),IF($E975="Evet",ROUND($C975*tba_oranIlave,2),0),IF($F975="Evet",ROUND($C975*tba_oranKadinGenc,2),0),IF($G975="Evet",ROUND($C975*tba_isverenOran,2),0)))</f>
        <v/>
      </c>
      <c r="K975" s="31">
        <f>IF($A975="","",IF($H975="TBA-001",IF($D975="Evet",ROUND($C975*tba_oranBesPuan,2),0),IF($H975="TBA-002",IF($E975="Evet",ROUND($C975*tba_oranIlave,2),0),IF($H975="TBA-004",IF($F975="Evet",ROUND($C975*tba_oranKadinGenc,2),0),IF($H975="TBA-ENG",IF($G975="Evet",ROUND($C975*tba_isverenOran,2),0),0)))))</f>
        <v/>
      </c>
      <c r="L975" s="31">
        <f>IF($A975="","",MAX(0,$J975-$K975))</f>
        <v/>
      </c>
    </row>
    <row r="976">
      <c r="I976" s="31">
        <f>IF($A976="","",IF($J976=0,"YOK",IF(AND($E976="Evet",ROUND($C976*tba_oranIlave,2)=$J976),"TBA-002",IF(AND($D976="Evet",ROUND($C976*tba_oranBesPuan,2)=$J976),"TBA-001",IF(AND($F976="Evet",ROUND($C976*tba_oranKadinGenc,2)=$J976),"TBA-004","TBA-ENG")))))</f>
        <v/>
      </c>
      <c r="J976" s="31">
        <f>IF($A976="","",MAX(IF($D976="Evet",ROUND($C976*tba_oranBesPuan,2),0),IF($E976="Evet",ROUND($C976*tba_oranIlave,2),0),IF($F976="Evet",ROUND($C976*tba_oranKadinGenc,2),0),IF($G976="Evet",ROUND($C976*tba_isverenOran,2),0)))</f>
        <v/>
      </c>
      <c r="K976" s="31">
        <f>IF($A976="","",IF($H976="TBA-001",IF($D976="Evet",ROUND($C976*tba_oranBesPuan,2),0),IF($H976="TBA-002",IF($E976="Evet",ROUND($C976*tba_oranIlave,2),0),IF($H976="TBA-004",IF($F976="Evet",ROUND($C976*tba_oranKadinGenc,2),0),IF($H976="TBA-ENG",IF($G976="Evet",ROUND($C976*tba_isverenOran,2),0),0)))))</f>
        <v/>
      </c>
      <c r="L976" s="31">
        <f>IF($A976="","",MAX(0,$J976-$K976))</f>
        <v/>
      </c>
    </row>
    <row r="977">
      <c r="I977" s="31">
        <f>IF($A977="","",IF($J977=0,"YOK",IF(AND($E977="Evet",ROUND($C977*tba_oranIlave,2)=$J977),"TBA-002",IF(AND($D977="Evet",ROUND($C977*tba_oranBesPuan,2)=$J977),"TBA-001",IF(AND($F977="Evet",ROUND($C977*tba_oranKadinGenc,2)=$J977),"TBA-004","TBA-ENG")))))</f>
        <v/>
      </c>
      <c r="J977" s="31">
        <f>IF($A977="","",MAX(IF($D977="Evet",ROUND($C977*tba_oranBesPuan,2),0),IF($E977="Evet",ROUND($C977*tba_oranIlave,2),0),IF($F977="Evet",ROUND($C977*tba_oranKadinGenc,2),0),IF($G977="Evet",ROUND($C977*tba_isverenOran,2),0)))</f>
        <v/>
      </c>
      <c r="K977" s="31">
        <f>IF($A977="","",IF($H977="TBA-001",IF($D977="Evet",ROUND($C977*tba_oranBesPuan,2),0),IF($H977="TBA-002",IF($E977="Evet",ROUND($C977*tba_oranIlave,2),0),IF($H977="TBA-004",IF($F977="Evet",ROUND($C977*tba_oranKadinGenc,2),0),IF($H977="TBA-ENG",IF($G977="Evet",ROUND($C977*tba_isverenOran,2),0),0)))))</f>
        <v/>
      </c>
      <c r="L977" s="31">
        <f>IF($A977="","",MAX(0,$J977-$K977))</f>
        <v/>
      </c>
    </row>
    <row r="978">
      <c r="I978" s="31">
        <f>IF($A978="","",IF($J978=0,"YOK",IF(AND($E978="Evet",ROUND($C978*tba_oranIlave,2)=$J978),"TBA-002",IF(AND($D978="Evet",ROUND($C978*tba_oranBesPuan,2)=$J978),"TBA-001",IF(AND($F978="Evet",ROUND($C978*tba_oranKadinGenc,2)=$J978),"TBA-004","TBA-ENG")))))</f>
        <v/>
      </c>
      <c r="J978" s="31">
        <f>IF($A978="","",MAX(IF($D978="Evet",ROUND($C978*tba_oranBesPuan,2),0),IF($E978="Evet",ROUND($C978*tba_oranIlave,2),0),IF($F978="Evet",ROUND($C978*tba_oranKadinGenc,2),0),IF($G978="Evet",ROUND($C978*tba_isverenOran,2),0)))</f>
        <v/>
      </c>
      <c r="K978" s="31">
        <f>IF($A978="","",IF($H978="TBA-001",IF($D978="Evet",ROUND($C978*tba_oranBesPuan,2),0),IF($H978="TBA-002",IF($E978="Evet",ROUND($C978*tba_oranIlave,2),0),IF($H978="TBA-004",IF($F978="Evet",ROUND($C978*tba_oranKadinGenc,2),0),IF($H978="TBA-ENG",IF($G978="Evet",ROUND($C978*tba_isverenOran,2),0),0)))))</f>
        <v/>
      </c>
      <c r="L978" s="31">
        <f>IF($A978="","",MAX(0,$J978-$K978))</f>
        <v/>
      </c>
    </row>
    <row r="979">
      <c r="I979" s="31">
        <f>IF($A979="","",IF($J979=0,"YOK",IF(AND($E979="Evet",ROUND($C979*tba_oranIlave,2)=$J979),"TBA-002",IF(AND($D979="Evet",ROUND($C979*tba_oranBesPuan,2)=$J979),"TBA-001",IF(AND($F979="Evet",ROUND($C979*tba_oranKadinGenc,2)=$J979),"TBA-004","TBA-ENG")))))</f>
        <v/>
      </c>
      <c r="J979" s="31">
        <f>IF($A979="","",MAX(IF($D979="Evet",ROUND($C979*tba_oranBesPuan,2),0),IF($E979="Evet",ROUND($C979*tba_oranIlave,2),0),IF($F979="Evet",ROUND($C979*tba_oranKadinGenc,2),0),IF($G979="Evet",ROUND($C979*tba_isverenOran,2),0)))</f>
        <v/>
      </c>
      <c r="K979" s="31">
        <f>IF($A979="","",IF($H979="TBA-001",IF($D979="Evet",ROUND($C979*tba_oranBesPuan,2),0),IF($H979="TBA-002",IF($E979="Evet",ROUND($C979*tba_oranIlave,2),0),IF($H979="TBA-004",IF($F979="Evet",ROUND($C979*tba_oranKadinGenc,2),0),IF($H979="TBA-ENG",IF($G979="Evet",ROUND($C979*tba_isverenOran,2),0),0)))))</f>
        <v/>
      </c>
      <c r="L979" s="31">
        <f>IF($A979="","",MAX(0,$J979-$K979))</f>
        <v/>
      </c>
    </row>
    <row r="980">
      <c r="I980" s="31">
        <f>IF($A980="","",IF($J980=0,"YOK",IF(AND($E980="Evet",ROUND($C980*tba_oranIlave,2)=$J980),"TBA-002",IF(AND($D980="Evet",ROUND($C980*tba_oranBesPuan,2)=$J980),"TBA-001",IF(AND($F980="Evet",ROUND($C980*tba_oranKadinGenc,2)=$J980),"TBA-004","TBA-ENG")))))</f>
        <v/>
      </c>
      <c r="J980" s="31">
        <f>IF($A980="","",MAX(IF($D980="Evet",ROUND($C980*tba_oranBesPuan,2),0),IF($E980="Evet",ROUND($C980*tba_oranIlave,2),0),IF($F980="Evet",ROUND($C980*tba_oranKadinGenc,2),0),IF($G980="Evet",ROUND($C980*tba_isverenOran,2),0)))</f>
        <v/>
      </c>
      <c r="K980" s="31">
        <f>IF($A980="","",IF($H980="TBA-001",IF($D980="Evet",ROUND($C980*tba_oranBesPuan,2),0),IF($H980="TBA-002",IF($E980="Evet",ROUND($C980*tba_oranIlave,2),0),IF($H980="TBA-004",IF($F980="Evet",ROUND($C980*tba_oranKadinGenc,2),0),IF($H980="TBA-ENG",IF($G980="Evet",ROUND($C980*tba_isverenOran,2),0),0)))))</f>
        <v/>
      </c>
      <c r="L980" s="31">
        <f>IF($A980="","",MAX(0,$J980-$K980))</f>
        <v/>
      </c>
    </row>
    <row r="981">
      <c r="I981" s="31">
        <f>IF($A981="","",IF($J981=0,"YOK",IF(AND($E981="Evet",ROUND($C981*tba_oranIlave,2)=$J981),"TBA-002",IF(AND($D981="Evet",ROUND($C981*tba_oranBesPuan,2)=$J981),"TBA-001",IF(AND($F981="Evet",ROUND($C981*tba_oranKadinGenc,2)=$J981),"TBA-004","TBA-ENG")))))</f>
        <v/>
      </c>
      <c r="J981" s="31">
        <f>IF($A981="","",MAX(IF($D981="Evet",ROUND($C981*tba_oranBesPuan,2),0),IF($E981="Evet",ROUND($C981*tba_oranIlave,2),0),IF($F981="Evet",ROUND($C981*tba_oranKadinGenc,2),0),IF($G981="Evet",ROUND($C981*tba_isverenOran,2),0)))</f>
        <v/>
      </c>
      <c r="K981" s="31">
        <f>IF($A981="","",IF($H981="TBA-001",IF($D981="Evet",ROUND($C981*tba_oranBesPuan,2),0),IF($H981="TBA-002",IF($E981="Evet",ROUND($C981*tba_oranIlave,2),0),IF($H981="TBA-004",IF($F981="Evet",ROUND($C981*tba_oranKadinGenc,2),0),IF($H981="TBA-ENG",IF($G981="Evet",ROUND($C981*tba_isverenOran,2),0),0)))))</f>
        <v/>
      </c>
      <c r="L981" s="31">
        <f>IF($A981="","",MAX(0,$J981-$K981))</f>
        <v/>
      </c>
    </row>
    <row r="982">
      <c r="I982" s="31">
        <f>IF($A982="","",IF($J982=0,"YOK",IF(AND($E982="Evet",ROUND($C982*tba_oranIlave,2)=$J982),"TBA-002",IF(AND($D982="Evet",ROUND($C982*tba_oranBesPuan,2)=$J982),"TBA-001",IF(AND($F982="Evet",ROUND($C982*tba_oranKadinGenc,2)=$J982),"TBA-004","TBA-ENG")))))</f>
        <v/>
      </c>
      <c r="J982" s="31">
        <f>IF($A982="","",MAX(IF($D982="Evet",ROUND($C982*tba_oranBesPuan,2),0),IF($E982="Evet",ROUND($C982*tba_oranIlave,2),0),IF($F982="Evet",ROUND($C982*tba_oranKadinGenc,2),0),IF($G982="Evet",ROUND($C982*tba_isverenOran,2),0)))</f>
        <v/>
      </c>
      <c r="K982" s="31">
        <f>IF($A982="","",IF($H982="TBA-001",IF($D982="Evet",ROUND($C982*tba_oranBesPuan,2),0),IF($H982="TBA-002",IF($E982="Evet",ROUND($C982*tba_oranIlave,2),0),IF($H982="TBA-004",IF($F982="Evet",ROUND($C982*tba_oranKadinGenc,2),0),IF($H982="TBA-ENG",IF($G982="Evet",ROUND($C982*tba_isverenOran,2),0),0)))))</f>
        <v/>
      </c>
      <c r="L982" s="31">
        <f>IF($A982="","",MAX(0,$J982-$K982))</f>
        <v/>
      </c>
    </row>
    <row r="983">
      <c r="I983" s="31">
        <f>IF($A983="","",IF($J983=0,"YOK",IF(AND($E983="Evet",ROUND($C983*tba_oranIlave,2)=$J983),"TBA-002",IF(AND($D983="Evet",ROUND($C983*tba_oranBesPuan,2)=$J983),"TBA-001",IF(AND($F983="Evet",ROUND($C983*tba_oranKadinGenc,2)=$J983),"TBA-004","TBA-ENG")))))</f>
        <v/>
      </c>
      <c r="J983" s="31">
        <f>IF($A983="","",MAX(IF($D983="Evet",ROUND($C983*tba_oranBesPuan,2),0),IF($E983="Evet",ROUND($C983*tba_oranIlave,2),0),IF($F983="Evet",ROUND($C983*tba_oranKadinGenc,2),0),IF($G983="Evet",ROUND($C983*tba_isverenOran,2),0)))</f>
        <v/>
      </c>
      <c r="K983" s="31">
        <f>IF($A983="","",IF($H983="TBA-001",IF($D983="Evet",ROUND($C983*tba_oranBesPuan,2),0),IF($H983="TBA-002",IF($E983="Evet",ROUND($C983*tba_oranIlave,2),0),IF($H983="TBA-004",IF($F983="Evet",ROUND($C983*tba_oranKadinGenc,2),0),IF($H983="TBA-ENG",IF($G983="Evet",ROUND($C983*tba_isverenOran,2),0),0)))))</f>
        <v/>
      </c>
      <c r="L983" s="31">
        <f>IF($A983="","",MAX(0,$J983-$K983))</f>
        <v/>
      </c>
    </row>
    <row r="984">
      <c r="I984" s="31">
        <f>IF($A984="","",IF($J984=0,"YOK",IF(AND($E984="Evet",ROUND($C984*tba_oranIlave,2)=$J984),"TBA-002",IF(AND($D984="Evet",ROUND($C984*tba_oranBesPuan,2)=$J984),"TBA-001",IF(AND($F984="Evet",ROUND($C984*tba_oranKadinGenc,2)=$J984),"TBA-004","TBA-ENG")))))</f>
        <v/>
      </c>
      <c r="J984" s="31">
        <f>IF($A984="","",MAX(IF($D984="Evet",ROUND($C984*tba_oranBesPuan,2),0),IF($E984="Evet",ROUND($C984*tba_oranIlave,2),0),IF($F984="Evet",ROUND($C984*tba_oranKadinGenc,2),0),IF($G984="Evet",ROUND($C984*tba_isverenOran,2),0)))</f>
        <v/>
      </c>
      <c r="K984" s="31">
        <f>IF($A984="","",IF($H984="TBA-001",IF($D984="Evet",ROUND($C984*tba_oranBesPuan,2),0),IF($H984="TBA-002",IF($E984="Evet",ROUND($C984*tba_oranIlave,2),0),IF($H984="TBA-004",IF($F984="Evet",ROUND($C984*tba_oranKadinGenc,2),0),IF($H984="TBA-ENG",IF($G984="Evet",ROUND($C984*tba_isverenOran,2),0),0)))))</f>
        <v/>
      </c>
      <c r="L984" s="31">
        <f>IF($A984="","",MAX(0,$J984-$K984))</f>
        <v/>
      </c>
    </row>
    <row r="985">
      <c r="I985" s="31">
        <f>IF($A985="","",IF($J985=0,"YOK",IF(AND($E985="Evet",ROUND($C985*tba_oranIlave,2)=$J985),"TBA-002",IF(AND($D985="Evet",ROUND($C985*tba_oranBesPuan,2)=$J985),"TBA-001",IF(AND($F985="Evet",ROUND($C985*tba_oranKadinGenc,2)=$J985),"TBA-004","TBA-ENG")))))</f>
        <v/>
      </c>
      <c r="J985" s="31">
        <f>IF($A985="","",MAX(IF($D985="Evet",ROUND($C985*tba_oranBesPuan,2),0),IF($E985="Evet",ROUND($C985*tba_oranIlave,2),0),IF($F985="Evet",ROUND($C985*tba_oranKadinGenc,2),0),IF($G985="Evet",ROUND($C985*tba_isverenOran,2),0)))</f>
        <v/>
      </c>
      <c r="K985" s="31">
        <f>IF($A985="","",IF($H985="TBA-001",IF($D985="Evet",ROUND($C985*tba_oranBesPuan,2),0),IF($H985="TBA-002",IF($E985="Evet",ROUND($C985*tba_oranIlave,2),0),IF($H985="TBA-004",IF($F985="Evet",ROUND($C985*tba_oranKadinGenc,2),0),IF($H985="TBA-ENG",IF($G985="Evet",ROUND($C985*tba_isverenOran,2),0),0)))))</f>
        <v/>
      </c>
      <c r="L985" s="31">
        <f>IF($A985="","",MAX(0,$J985-$K985))</f>
        <v/>
      </c>
    </row>
    <row r="986">
      <c r="I986" s="31">
        <f>IF($A986="","",IF($J986=0,"YOK",IF(AND($E986="Evet",ROUND($C986*tba_oranIlave,2)=$J986),"TBA-002",IF(AND($D986="Evet",ROUND($C986*tba_oranBesPuan,2)=$J986),"TBA-001",IF(AND($F986="Evet",ROUND($C986*tba_oranKadinGenc,2)=$J986),"TBA-004","TBA-ENG")))))</f>
        <v/>
      </c>
      <c r="J986" s="31">
        <f>IF($A986="","",MAX(IF($D986="Evet",ROUND($C986*tba_oranBesPuan,2),0),IF($E986="Evet",ROUND($C986*tba_oranIlave,2),0),IF($F986="Evet",ROUND($C986*tba_oranKadinGenc,2),0),IF($G986="Evet",ROUND($C986*tba_isverenOran,2),0)))</f>
        <v/>
      </c>
      <c r="K986" s="31">
        <f>IF($A986="","",IF($H986="TBA-001",IF($D986="Evet",ROUND($C986*tba_oranBesPuan,2),0),IF($H986="TBA-002",IF($E986="Evet",ROUND($C986*tba_oranIlave,2),0),IF($H986="TBA-004",IF($F986="Evet",ROUND($C986*tba_oranKadinGenc,2),0),IF($H986="TBA-ENG",IF($G986="Evet",ROUND($C986*tba_isverenOran,2),0),0)))))</f>
        <v/>
      </c>
      <c r="L986" s="31">
        <f>IF($A986="","",MAX(0,$J986-$K986))</f>
        <v/>
      </c>
    </row>
    <row r="987">
      <c r="I987" s="31">
        <f>IF($A987="","",IF($J987=0,"YOK",IF(AND($E987="Evet",ROUND($C987*tba_oranIlave,2)=$J987),"TBA-002",IF(AND($D987="Evet",ROUND($C987*tba_oranBesPuan,2)=$J987),"TBA-001",IF(AND($F987="Evet",ROUND($C987*tba_oranKadinGenc,2)=$J987),"TBA-004","TBA-ENG")))))</f>
        <v/>
      </c>
      <c r="J987" s="31">
        <f>IF($A987="","",MAX(IF($D987="Evet",ROUND($C987*tba_oranBesPuan,2),0),IF($E987="Evet",ROUND($C987*tba_oranIlave,2),0),IF($F987="Evet",ROUND($C987*tba_oranKadinGenc,2),0),IF($G987="Evet",ROUND($C987*tba_isverenOran,2),0)))</f>
        <v/>
      </c>
      <c r="K987" s="31">
        <f>IF($A987="","",IF($H987="TBA-001",IF($D987="Evet",ROUND($C987*tba_oranBesPuan,2),0),IF($H987="TBA-002",IF($E987="Evet",ROUND($C987*tba_oranIlave,2),0),IF($H987="TBA-004",IF($F987="Evet",ROUND($C987*tba_oranKadinGenc,2),0),IF($H987="TBA-ENG",IF($G987="Evet",ROUND($C987*tba_isverenOran,2),0),0)))))</f>
        <v/>
      </c>
      <c r="L987" s="31">
        <f>IF($A987="","",MAX(0,$J987-$K987))</f>
        <v/>
      </c>
    </row>
    <row r="988">
      <c r="I988" s="31">
        <f>IF($A988="","",IF($J988=0,"YOK",IF(AND($E988="Evet",ROUND($C988*tba_oranIlave,2)=$J988),"TBA-002",IF(AND($D988="Evet",ROUND($C988*tba_oranBesPuan,2)=$J988),"TBA-001",IF(AND($F988="Evet",ROUND($C988*tba_oranKadinGenc,2)=$J988),"TBA-004","TBA-ENG")))))</f>
        <v/>
      </c>
      <c r="J988" s="31">
        <f>IF($A988="","",MAX(IF($D988="Evet",ROUND($C988*tba_oranBesPuan,2),0),IF($E988="Evet",ROUND($C988*tba_oranIlave,2),0),IF($F988="Evet",ROUND($C988*tba_oranKadinGenc,2),0),IF($G988="Evet",ROUND($C988*tba_isverenOran,2),0)))</f>
        <v/>
      </c>
      <c r="K988" s="31">
        <f>IF($A988="","",IF($H988="TBA-001",IF($D988="Evet",ROUND($C988*tba_oranBesPuan,2),0),IF($H988="TBA-002",IF($E988="Evet",ROUND($C988*tba_oranIlave,2),0),IF($H988="TBA-004",IF($F988="Evet",ROUND($C988*tba_oranKadinGenc,2),0),IF($H988="TBA-ENG",IF($G988="Evet",ROUND($C988*tba_isverenOran,2),0),0)))))</f>
        <v/>
      </c>
      <c r="L988" s="31">
        <f>IF($A988="","",MAX(0,$J988-$K988))</f>
        <v/>
      </c>
    </row>
    <row r="989">
      <c r="I989" s="31">
        <f>IF($A989="","",IF($J989=0,"YOK",IF(AND($E989="Evet",ROUND($C989*tba_oranIlave,2)=$J989),"TBA-002",IF(AND($D989="Evet",ROUND($C989*tba_oranBesPuan,2)=$J989),"TBA-001",IF(AND($F989="Evet",ROUND($C989*tba_oranKadinGenc,2)=$J989),"TBA-004","TBA-ENG")))))</f>
        <v/>
      </c>
      <c r="J989" s="31">
        <f>IF($A989="","",MAX(IF($D989="Evet",ROUND($C989*tba_oranBesPuan,2),0),IF($E989="Evet",ROUND($C989*tba_oranIlave,2),0),IF($F989="Evet",ROUND($C989*tba_oranKadinGenc,2),0),IF($G989="Evet",ROUND($C989*tba_isverenOran,2),0)))</f>
        <v/>
      </c>
      <c r="K989" s="31">
        <f>IF($A989="","",IF($H989="TBA-001",IF($D989="Evet",ROUND($C989*tba_oranBesPuan,2),0),IF($H989="TBA-002",IF($E989="Evet",ROUND($C989*tba_oranIlave,2),0),IF($H989="TBA-004",IF($F989="Evet",ROUND($C989*tba_oranKadinGenc,2),0),IF($H989="TBA-ENG",IF($G989="Evet",ROUND($C989*tba_isverenOran,2),0),0)))))</f>
        <v/>
      </c>
      <c r="L989" s="31">
        <f>IF($A989="","",MAX(0,$J989-$K989))</f>
        <v/>
      </c>
    </row>
    <row r="990">
      <c r="I990" s="31">
        <f>IF($A990="","",IF($J990=0,"YOK",IF(AND($E990="Evet",ROUND($C990*tba_oranIlave,2)=$J990),"TBA-002",IF(AND($D990="Evet",ROUND($C990*tba_oranBesPuan,2)=$J990),"TBA-001",IF(AND($F990="Evet",ROUND($C990*tba_oranKadinGenc,2)=$J990),"TBA-004","TBA-ENG")))))</f>
        <v/>
      </c>
      <c r="J990" s="31">
        <f>IF($A990="","",MAX(IF($D990="Evet",ROUND($C990*tba_oranBesPuan,2),0),IF($E990="Evet",ROUND($C990*tba_oranIlave,2),0),IF($F990="Evet",ROUND($C990*tba_oranKadinGenc,2),0),IF($G990="Evet",ROUND($C990*tba_isverenOran,2),0)))</f>
        <v/>
      </c>
      <c r="K990" s="31">
        <f>IF($A990="","",IF($H990="TBA-001",IF($D990="Evet",ROUND($C990*tba_oranBesPuan,2),0),IF($H990="TBA-002",IF($E990="Evet",ROUND($C990*tba_oranIlave,2),0),IF($H990="TBA-004",IF($F990="Evet",ROUND($C990*tba_oranKadinGenc,2),0),IF($H990="TBA-ENG",IF($G990="Evet",ROUND($C990*tba_isverenOran,2),0),0)))))</f>
        <v/>
      </c>
      <c r="L990" s="31">
        <f>IF($A990="","",MAX(0,$J990-$K990))</f>
        <v/>
      </c>
    </row>
    <row r="991">
      <c r="I991" s="31">
        <f>IF($A991="","",IF($J991=0,"YOK",IF(AND($E991="Evet",ROUND($C991*tba_oranIlave,2)=$J991),"TBA-002",IF(AND($D991="Evet",ROUND($C991*tba_oranBesPuan,2)=$J991),"TBA-001",IF(AND($F991="Evet",ROUND($C991*tba_oranKadinGenc,2)=$J991),"TBA-004","TBA-ENG")))))</f>
        <v/>
      </c>
      <c r="J991" s="31">
        <f>IF($A991="","",MAX(IF($D991="Evet",ROUND($C991*tba_oranBesPuan,2),0),IF($E991="Evet",ROUND($C991*tba_oranIlave,2),0),IF($F991="Evet",ROUND($C991*tba_oranKadinGenc,2),0),IF($G991="Evet",ROUND($C991*tba_isverenOran,2),0)))</f>
        <v/>
      </c>
      <c r="K991" s="31">
        <f>IF($A991="","",IF($H991="TBA-001",IF($D991="Evet",ROUND($C991*tba_oranBesPuan,2),0),IF($H991="TBA-002",IF($E991="Evet",ROUND($C991*tba_oranIlave,2),0),IF($H991="TBA-004",IF($F991="Evet",ROUND($C991*tba_oranKadinGenc,2),0),IF($H991="TBA-ENG",IF($G991="Evet",ROUND($C991*tba_isverenOran,2),0),0)))))</f>
        <v/>
      </c>
      <c r="L991" s="31">
        <f>IF($A991="","",MAX(0,$J991-$K991))</f>
        <v/>
      </c>
    </row>
    <row r="992">
      <c r="I992" s="31">
        <f>IF($A992="","",IF($J992=0,"YOK",IF(AND($E992="Evet",ROUND($C992*tba_oranIlave,2)=$J992),"TBA-002",IF(AND($D992="Evet",ROUND($C992*tba_oranBesPuan,2)=$J992),"TBA-001",IF(AND($F992="Evet",ROUND($C992*tba_oranKadinGenc,2)=$J992),"TBA-004","TBA-ENG")))))</f>
        <v/>
      </c>
      <c r="J992" s="31">
        <f>IF($A992="","",MAX(IF($D992="Evet",ROUND($C992*tba_oranBesPuan,2),0),IF($E992="Evet",ROUND($C992*tba_oranIlave,2),0),IF($F992="Evet",ROUND($C992*tba_oranKadinGenc,2),0),IF($G992="Evet",ROUND($C992*tba_isverenOran,2),0)))</f>
        <v/>
      </c>
      <c r="K992" s="31">
        <f>IF($A992="","",IF($H992="TBA-001",IF($D992="Evet",ROUND($C992*tba_oranBesPuan,2),0),IF($H992="TBA-002",IF($E992="Evet",ROUND($C992*tba_oranIlave,2),0),IF($H992="TBA-004",IF($F992="Evet",ROUND($C992*tba_oranKadinGenc,2),0),IF($H992="TBA-ENG",IF($G992="Evet",ROUND($C992*tba_isverenOran,2),0),0)))))</f>
        <v/>
      </c>
      <c r="L992" s="31">
        <f>IF($A992="","",MAX(0,$J992-$K992))</f>
        <v/>
      </c>
    </row>
    <row r="993">
      <c r="I993" s="31">
        <f>IF($A993="","",IF($J993=0,"YOK",IF(AND($E993="Evet",ROUND($C993*tba_oranIlave,2)=$J993),"TBA-002",IF(AND($D993="Evet",ROUND($C993*tba_oranBesPuan,2)=$J993),"TBA-001",IF(AND($F993="Evet",ROUND($C993*tba_oranKadinGenc,2)=$J993),"TBA-004","TBA-ENG")))))</f>
        <v/>
      </c>
      <c r="J993" s="31">
        <f>IF($A993="","",MAX(IF($D993="Evet",ROUND($C993*tba_oranBesPuan,2),0),IF($E993="Evet",ROUND($C993*tba_oranIlave,2),0),IF($F993="Evet",ROUND($C993*tba_oranKadinGenc,2),0),IF($G993="Evet",ROUND($C993*tba_isverenOran,2),0)))</f>
        <v/>
      </c>
      <c r="K993" s="31">
        <f>IF($A993="","",IF($H993="TBA-001",IF($D993="Evet",ROUND($C993*tba_oranBesPuan,2),0),IF($H993="TBA-002",IF($E993="Evet",ROUND($C993*tba_oranIlave,2),0),IF($H993="TBA-004",IF($F993="Evet",ROUND($C993*tba_oranKadinGenc,2),0),IF($H993="TBA-ENG",IF($G993="Evet",ROUND($C993*tba_isverenOran,2),0),0)))))</f>
        <v/>
      </c>
      <c r="L993" s="31">
        <f>IF($A993="","",MAX(0,$J993-$K993))</f>
        <v/>
      </c>
    </row>
    <row r="994">
      <c r="I994" s="31">
        <f>IF($A994="","",IF($J994=0,"YOK",IF(AND($E994="Evet",ROUND($C994*tba_oranIlave,2)=$J994),"TBA-002",IF(AND($D994="Evet",ROUND($C994*tba_oranBesPuan,2)=$J994),"TBA-001",IF(AND($F994="Evet",ROUND($C994*tba_oranKadinGenc,2)=$J994),"TBA-004","TBA-ENG")))))</f>
        <v/>
      </c>
      <c r="J994" s="31">
        <f>IF($A994="","",MAX(IF($D994="Evet",ROUND($C994*tba_oranBesPuan,2),0),IF($E994="Evet",ROUND($C994*tba_oranIlave,2),0),IF($F994="Evet",ROUND($C994*tba_oranKadinGenc,2),0),IF($G994="Evet",ROUND($C994*tba_isverenOran,2),0)))</f>
        <v/>
      </c>
      <c r="K994" s="31">
        <f>IF($A994="","",IF($H994="TBA-001",IF($D994="Evet",ROUND($C994*tba_oranBesPuan,2),0),IF($H994="TBA-002",IF($E994="Evet",ROUND($C994*tba_oranIlave,2),0),IF($H994="TBA-004",IF($F994="Evet",ROUND($C994*tba_oranKadinGenc,2),0),IF($H994="TBA-ENG",IF($G994="Evet",ROUND($C994*tba_isverenOran,2),0),0)))))</f>
        <v/>
      </c>
      <c r="L994" s="31">
        <f>IF($A994="","",MAX(0,$J994-$K994))</f>
        <v/>
      </c>
    </row>
    <row r="995">
      <c r="I995" s="31">
        <f>IF($A995="","",IF($J995=0,"YOK",IF(AND($E995="Evet",ROUND($C995*tba_oranIlave,2)=$J995),"TBA-002",IF(AND($D995="Evet",ROUND($C995*tba_oranBesPuan,2)=$J995),"TBA-001",IF(AND($F995="Evet",ROUND($C995*tba_oranKadinGenc,2)=$J995),"TBA-004","TBA-ENG")))))</f>
        <v/>
      </c>
      <c r="J995" s="31">
        <f>IF($A995="","",MAX(IF($D995="Evet",ROUND($C995*tba_oranBesPuan,2),0),IF($E995="Evet",ROUND($C995*tba_oranIlave,2),0),IF($F995="Evet",ROUND($C995*tba_oranKadinGenc,2),0),IF($G995="Evet",ROUND($C995*tba_isverenOran,2),0)))</f>
        <v/>
      </c>
      <c r="K995" s="31">
        <f>IF($A995="","",IF($H995="TBA-001",IF($D995="Evet",ROUND($C995*tba_oranBesPuan,2),0),IF($H995="TBA-002",IF($E995="Evet",ROUND($C995*tba_oranIlave,2),0),IF($H995="TBA-004",IF($F995="Evet",ROUND($C995*tba_oranKadinGenc,2),0),IF($H995="TBA-ENG",IF($G995="Evet",ROUND($C995*tba_isverenOran,2),0),0)))))</f>
        <v/>
      </c>
      <c r="L995" s="31">
        <f>IF($A995="","",MAX(0,$J995-$K995))</f>
        <v/>
      </c>
    </row>
    <row r="996">
      <c r="I996" s="31">
        <f>IF($A996="","",IF($J996=0,"YOK",IF(AND($E996="Evet",ROUND($C996*tba_oranIlave,2)=$J996),"TBA-002",IF(AND($D996="Evet",ROUND($C996*tba_oranBesPuan,2)=$J996),"TBA-001",IF(AND($F996="Evet",ROUND($C996*tba_oranKadinGenc,2)=$J996),"TBA-004","TBA-ENG")))))</f>
        <v/>
      </c>
      <c r="J996" s="31">
        <f>IF($A996="","",MAX(IF($D996="Evet",ROUND($C996*tba_oranBesPuan,2),0),IF($E996="Evet",ROUND($C996*tba_oranIlave,2),0),IF($F996="Evet",ROUND($C996*tba_oranKadinGenc,2),0),IF($G996="Evet",ROUND($C996*tba_isverenOran,2),0)))</f>
        <v/>
      </c>
      <c r="K996" s="31">
        <f>IF($A996="","",IF($H996="TBA-001",IF($D996="Evet",ROUND($C996*tba_oranBesPuan,2),0),IF($H996="TBA-002",IF($E996="Evet",ROUND($C996*tba_oranIlave,2),0),IF($H996="TBA-004",IF($F996="Evet",ROUND($C996*tba_oranKadinGenc,2),0),IF($H996="TBA-ENG",IF($G996="Evet",ROUND($C996*tba_isverenOran,2),0),0)))))</f>
        <v/>
      </c>
      <c r="L996" s="31">
        <f>IF($A996="","",MAX(0,$J996-$K996))</f>
        <v/>
      </c>
    </row>
    <row r="997">
      <c r="I997" s="31">
        <f>IF($A997="","",IF($J997=0,"YOK",IF(AND($E997="Evet",ROUND($C997*tba_oranIlave,2)=$J997),"TBA-002",IF(AND($D997="Evet",ROUND($C997*tba_oranBesPuan,2)=$J997),"TBA-001",IF(AND($F997="Evet",ROUND($C997*tba_oranKadinGenc,2)=$J997),"TBA-004","TBA-ENG")))))</f>
        <v/>
      </c>
      <c r="J997" s="31">
        <f>IF($A997="","",MAX(IF($D997="Evet",ROUND($C997*tba_oranBesPuan,2),0),IF($E997="Evet",ROUND($C997*tba_oranIlave,2),0),IF($F997="Evet",ROUND($C997*tba_oranKadinGenc,2),0),IF($G997="Evet",ROUND($C997*tba_isverenOran,2),0)))</f>
        <v/>
      </c>
      <c r="K997" s="31">
        <f>IF($A997="","",IF($H997="TBA-001",IF($D997="Evet",ROUND($C997*tba_oranBesPuan,2),0),IF($H997="TBA-002",IF($E997="Evet",ROUND($C997*tba_oranIlave,2),0),IF($H997="TBA-004",IF($F997="Evet",ROUND($C997*tba_oranKadinGenc,2),0),IF($H997="TBA-ENG",IF($G997="Evet",ROUND($C997*tba_isverenOran,2),0),0)))))</f>
        <v/>
      </c>
      <c r="L997" s="31">
        <f>IF($A997="","",MAX(0,$J997-$K997))</f>
        <v/>
      </c>
    </row>
    <row r="998">
      <c r="I998" s="31">
        <f>IF($A998="","",IF($J998=0,"YOK",IF(AND($E998="Evet",ROUND($C998*tba_oranIlave,2)=$J998),"TBA-002",IF(AND($D998="Evet",ROUND($C998*tba_oranBesPuan,2)=$J998),"TBA-001",IF(AND($F998="Evet",ROUND($C998*tba_oranKadinGenc,2)=$J998),"TBA-004","TBA-ENG")))))</f>
        <v/>
      </c>
      <c r="J998" s="31">
        <f>IF($A998="","",MAX(IF($D998="Evet",ROUND($C998*tba_oranBesPuan,2),0),IF($E998="Evet",ROUND($C998*tba_oranIlave,2),0),IF($F998="Evet",ROUND($C998*tba_oranKadinGenc,2),0),IF($G998="Evet",ROUND($C998*tba_isverenOran,2),0)))</f>
        <v/>
      </c>
      <c r="K998" s="31">
        <f>IF($A998="","",IF($H998="TBA-001",IF($D998="Evet",ROUND($C998*tba_oranBesPuan,2),0),IF($H998="TBA-002",IF($E998="Evet",ROUND($C998*tba_oranIlave,2),0),IF($H998="TBA-004",IF($F998="Evet",ROUND($C998*tba_oranKadinGenc,2),0),IF($H998="TBA-ENG",IF($G998="Evet",ROUND($C998*tba_isverenOran,2),0),0)))))</f>
        <v/>
      </c>
      <c r="L998" s="31">
        <f>IF($A998="","",MAX(0,$J998-$K998))</f>
        <v/>
      </c>
    </row>
    <row r="999">
      <c r="I999" s="31">
        <f>IF($A999="","",IF($J999=0,"YOK",IF(AND($E999="Evet",ROUND($C999*tba_oranIlave,2)=$J999),"TBA-002",IF(AND($D999="Evet",ROUND($C999*tba_oranBesPuan,2)=$J999),"TBA-001",IF(AND($F999="Evet",ROUND($C999*tba_oranKadinGenc,2)=$J999),"TBA-004","TBA-ENG")))))</f>
        <v/>
      </c>
      <c r="J999" s="31">
        <f>IF($A999="","",MAX(IF($D999="Evet",ROUND($C999*tba_oranBesPuan,2),0),IF($E999="Evet",ROUND($C999*tba_oranIlave,2),0),IF($F999="Evet",ROUND($C999*tba_oranKadinGenc,2),0),IF($G999="Evet",ROUND($C999*tba_isverenOran,2),0)))</f>
        <v/>
      </c>
      <c r="K999" s="31">
        <f>IF($A999="","",IF($H999="TBA-001",IF($D999="Evet",ROUND($C999*tba_oranBesPuan,2),0),IF($H999="TBA-002",IF($E999="Evet",ROUND($C999*tba_oranIlave,2),0),IF($H999="TBA-004",IF($F999="Evet",ROUND($C999*tba_oranKadinGenc,2),0),IF($H999="TBA-ENG",IF($G999="Evet",ROUND($C999*tba_isverenOran,2),0),0)))))</f>
        <v/>
      </c>
      <c r="L999" s="31">
        <f>IF($A999="","",MAX(0,$J999-$K999))</f>
        <v/>
      </c>
    </row>
    <row r="1000">
      <c r="I1000" s="31">
        <f>IF($A1000="","",IF($J1000=0,"YOK",IF(AND($E1000="Evet",ROUND($C1000*tba_oranIlave,2)=$J1000),"TBA-002",IF(AND($D1000="Evet",ROUND($C1000*tba_oranBesPuan,2)=$J1000),"TBA-001",IF(AND($F1000="Evet",ROUND($C1000*tba_oranKadinGenc,2)=$J1000),"TBA-004","TBA-ENG")))))</f>
        <v/>
      </c>
      <c r="J1000" s="31">
        <f>IF($A1000="","",MAX(IF($D1000="Evet",ROUND($C1000*tba_oranBesPuan,2),0),IF($E1000="Evet",ROUND($C1000*tba_oranIlave,2),0),IF($F1000="Evet",ROUND($C1000*tba_oranKadinGenc,2),0),IF($G1000="Evet",ROUND($C1000*tba_isverenOran,2),0)))</f>
        <v/>
      </c>
      <c r="K1000" s="31">
        <f>IF($A1000="","",IF($H1000="TBA-001",IF($D1000="Evet",ROUND($C1000*tba_oranBesPuan,2),0),IF($H1000="TBA-002",IF($E1000="Evet",ROUND($C1000*tba_oranIlave,2),0),IF($H1000="TBA-004",IF($F1000="Evet",ROUND($C1000*tba_oranKadinGenc,2),0),IF($H1000="TBA-ENG",IF($G1000="Evet",ROUND($C1000*tba_isverenOran,2),0),0)))))</f>
        <v/>
      </c>
      <c r="L1000" s="31">
        <f>IF($A1000="","",MAX(0,$J1000-$K1000))</f>
        <v/>
      </c>
    </row>
    <row r="1001">
      <c r="I1001" s="31">
        <f>IF($A1001="","",IF($J1001=0,"YOK",IF(AND($E1001="Evet",ROUND($C1001*tba_oranIlave,2)=$J1001),"TBA-002",IF(AND($D1001="Evet",ROUND($C1001*tba_oranBesPuan,2)=$J1001),"TBA-001",IF(AND($F1001="Evet",ROUND($C1001*tba_oranKadinGenc,2)=$J1001),"TBA-004","TBA-ENG")))))</f>
        <v/>
      </c>
      <c r="J1001" s="31">
        <f>IF($A1001="","",MAX(IF($D1001="Evet",ROUND($C1001*tba_oranBesPuan,2),0),IF($E1001="Evet",ROUND($C1001*tba_oranIlave,2),0),IF($F1001="Evet",ROUND($C1001*tba_oranKadinGenc,2),0),IF($G1001="Evet",ROUND($C1001*tba_isverenOran,2),0)))</f>
        <v/>
      </c>
      <c r="K1001" s="31">
        <f>IF($A1001="","",IF($H1001="TBA-001",IF($D1001="Evet",ROUND($C1001*tba_oranBesPuan,2),0),IF($H1001="TBA-002",IF($E1001="Evet",ROUND($C1001*tba_oranIlave,2),0),IF($H1001="TBA-004",IF($F1001="Evet",ROUND($C1001*tba_oranKadinGenc,2),0),IF($H1001="TBA-ENG",IF($G1001="Evet",ROUND($C1001*tba_isverenOran,2),0),0)))))</f>
        <v/>
      </c>
      <c r="L1001" s="31">
        <f>IF($A1001="","",MAX(0,$J1001-$K1001))</f>
        <v/>
      </c>
    </row>
    <row r="1002">
      <c r="I1002" s="31">
        <f>IF($A1002="","",IF($J1002=0,"YOK",IF(AND($E1002="Evet",ROUND($C1002*tba_oranIlave,2)=$J1002),"TBA-002",IF(AND($D1002="Evet",ROUND($C1002*tba_oranBesPuan,2)=$J1002),"TBA-001",IF(AND($F1002="Evet",ROUND($C1002*tba_oranKadinGenc,2)=$J1002),"TBA-004","TBA-ENG")))))</f>
        <v/>
      </c>
      <c r="J1002" s="31">
        <f>IF($A1002="","",MAX(IF($D1002="Evet",ROUND($C1002*tba_oranBesPuan,2),0),IF($E1002="Evet",ROUND($C1002*tba_oranIlave,2),0),IF($F1002="Evet",ROUND($C1002*tba_oranKadinGenc,2),0),IF($G1002="Evet",ROUND($C1002*tba_isverenOran,2),0)))</f>
        <v/>
      </c>
      <c r="K1002" s="31">
        <f>IF($A1002="","",IF($H1002="TBA-001",IF($D1002="Evet",ROUND($C1002*tba_oranBesPuan,2),0),IF($H1002="TBA-002",IF($E1002="Evet",ROUND($C1002*tba_oranIlave,2),0),IF($H1002="TBA-004",IF($F1002="Evet",ROUND($C1002*tba_oranKadinGenc,2),0),IF($H1002="TBA-ENG",IF($G1002="Evet",ROUND($C1002*tba_isverenOran,2),0),0)))))</f>
        <v/>
      </c>
      <c r="L1002" s="31">
        <f>IF($A1002="","",MAX(0,$J1002-$K1002))</f>
        <v/>
      </c>
    </row>
    <row r="1003">
      <c r="I1003" s="31">
        <f>IF($A1003="","",IF($J1003=0,"YOK",IF(AND($E1003="Evet",ROUND($C1003*tba_oranIlave,2)=$J1003),"TBA-002",IF(AND($D1003="Evet",ROUND($C1003*tba_oranBesPuan,2)=$J1003),"TBA-001",IF(AND($F1003="Evet",ROUND($C1003*tba_oranKadinGenc,2)=$J1003),"TBA-004","TBA-ENG")))))</f>
        <v/>
      </c>
      <c r="J1003" s="31">
        <f>IF($A1003="","",MAX(IF($D1003="Evet",ROUND($C1003*tba_oranBesPuan,2),0),IF($E1003="Evet",ROUND($C1003*tba_oranIlave,2),0),IF($F1003="Evet",ROUND($C1003*tba_oranKadinGenc,2),0),IF($G1003="Evet",ROUND($C1003*tba_isverenOran,2),0)))</f>
        <v/>
      </c>
      <c r="K1003" s="31">
        <f>IF($A1003="","",IF($H1003="TBA-001",IF($D1003="Evet",ROUND($C1003*tba_oranBesPuan,2),0),IF($H1003="TBA-002",IF($E1003="Evet",ROUND($C1003*tba_oranIlave,2),0),IF($H1003="TBA-004",IF($F1003="Evet",ROUND($C1003*tba_oranKadinGenc,2),0),IF($H1003="TBA-ENG",IF($G1003="Evet",ROUND($C1003*tba_isverenOran,2),0),0)))))</f>
        <v/>
      </c>
      <c r="L1003" s="31">
        <f>IF($A1003="","",MAX(0,$J1003-$K1003))</f>
        <v/>
      </c>
    </row>
    <row r="1004">
      <c r="I1004" s="31">
        <f>IF($A1004="","",IF($J1004=0,"YOK",IF(AND($E1004="Evet",ROUND($C1004*tba_oranIlave,2)=$J1004),"TBA-002",IF(AND($D1004="Evet",ROUND($C1004*tba_oranBesPuan,2)=$J1004),"TBA-001",IF(AND($F1004="Evet",ROUND($C1004*tba_oranKadinGenc,2)=$J1004),"TBA-004","TBA-ENG")))))</f>
        <v/>
      </c>
      <c r="J1004" s="31">
        <f>IF($A1004="","",MAX(IF($D1004="Evet",ROUND($C1004*tba_oranBesPuan,2),0),IF($E1004="Evet",ROUND($C1004*tba_oranIlave,2),0),IF($F1004="Evet",ROUND($C1004*tba_oranKadinGenc,2),0),IF($G1004="Evet",ROUND($C1004*tba_isverenOran,2),0)))</f>
        <v/>
      </c>
      <c r="K1004" s="31">
        <f>IF($A1004="","",IF($H1004="TBA-001",IF($D1004="Evet",ROUND($C1004*tba_oranBesPuan,2),0),IF($H1004="TBA-002",IF($E1004="Evet",ROUND($C1004*tba_oranIlave,2),0),IF($H1004="TBA-004",IF($F1004="Evet",ROUND($C1004*tba_oranKadinGenc,2),0),IF($H1004="TBA-ENG",IF($G1004="Evet",ROUND($C1004*tba_isverenOran,2),0),0)))))</f>
        <v/>
      </c>
      <c r="L1004" s="31">
        <f>IF($A1004="","",MAX(0,$J1004-$K1004))</f>
        <v/>
      </c>
    </row>
    <row r="1005">
      <c r="I1005" s="31">
        <f>IF($A1005="","",IF($J1005=0,"YOK",IF(AND($E1005="Evet",ROUND($C1005*tba_oranIlave,2)=$J1005),"TBA-002",IF(AND($D1005="Evet",ROUND($C1005*tba_oranBesPuan,2)=$J1005),"TBA-001",IF(AND($F1005="Evet",ROUND($C1005*tba_oranKadinGenc,2)=$J1005),"TBA-004","TBA-ENG")))))</f>
        <v/>
      </c>
      <c r="J1005" s="31">
        <f>IF($A1005="","",MAX(IF($D1005="Evet",ROUND($C1005*tba_oranBesPuan,2),0),IF($E1005="Evet",ROUND($C1005*tba_oranIlave,2),0),IF($F1005="Evet",ROUND($C1005*tba_oranKadinGenc,2),0),IF($G1005="Evet",ROUND($C1005*tba_isverenOran,2),0)))</f>
        <v/>
      </c>
      <c r="K1005" s="31">
        <f>IF($A1005="","",IF($H1005="TBA-001",IF($D1005="Evet",ROUND($C1005*tba_oranBesPuan,2),0),IF($H1005="TBA-002",IF($E1005="Evet",ROUND($C1005*tba_oranIlave,2),0),IF($H1005="TBA-004",IF($F1005="Evet",ROUND($C1005*tba_oranKadinGenc,2),0),IF($H1005="TBA-ENG",IF($G1005="Evet",ROUND($C1005*tba_isverenOran,2),0),0)))))</f>
        <v/>
      </c>
      <c r="L1005" s="31">
        <f>IF($A1005="","",MAX(0,$J1005-$K1005))</f>
        <v/>
      </c>
    </row>
    <row r="1006">
      <c r="I1006" s="31">
        <f>IF($A1006="","",IF($J1006=0,"YOK",IF(AND($E1006="Evet",ROUND($C1006*tba_oranIlave,2)=$J1006),"TBA-002",IF(AND($D1006="Evet",ROUND($C1006*tba_oranBesPuan,2)=$J1006),"TBA-001",IF(AND($F1006="Evet",ROUND($C1006*tba_oranKadinGenc,2)=$J1006),"TBA-004","TBA-ENG")))))</f>
        <v/>
      </c>
      <c r="J1006" s="31">
        <f>IF($A1006="","",MAX(IF($D1006="Evet",ROUND($C1006*tba_oranBesPuan,2),0),IF($E1006="Evet",ROUND($C1006*tba_oranIlave,2),0),IF($F1006="Evet",ROUND($C1006*tba_oranKadinGenc,2),0),IF($G1006="Evet",ROUND($C1006*tba_isverenOran,2),0)))</f>
        <v/>
      </c>
      <c r="K1006" s="31">
        <f>IF($A1006="","",IF($H1006="TBA-001",IF($D1006="Evet",ROUND($C1006*tba_oranBesPuan,2),0),IF($H1006="TBA-002",IF($E1006="Evet",ROUND($C1006*tba_oranIlave,2),0),IF($H1006="TBA-004",IF($F1006="Evet",ROUND($C1006*tba_oranKadinGenc,2),0),IF($H1006="TBA-ENG",IF($G1006="Evet",ROUND($C1006*tba_isverenOran,2),0),0)))))</f>
        <v/>
      </c>
      <c r="L1006" s="31">
        <f>IF($A1006="","",MAX(0,$J1006-$K1006))</f>
        <v/>
      </c>
    </row>
    <row r="1008" ht="20" customHeight="1">
      <c r="A1008" s="34" t="inlineStr">
        <is>
          <t>BORDRO: sarı = giriş; EnAvantajliKod formülle seçilir.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3:N3"/>
    <mergeCell ref="A1:AN1"/>
    <mergeCell ref="A1008:AN1008"/>
  </mergeCells>
  <conditionalFormatting sqref="L7:L56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I7:I56">
    <cfRule type="expression" priority="3" dxfId="5">
      <formula>I7="YOK"</formula>
    </cfRule>
    <cfRule type="expression" priority="4" dxfId="6">
      <formula>AND(I7&lt;&gt;"",I7&lt;&gt;"YOK",I7&lt;&gt;H7)</formula>
    </cfRule>
  </conditionalFormatting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H7:H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Teşvikli Bordro ve En Avantajlı Teşvik Seçen</t>
        </is>
      </c>
    </row>
    <row r="3">
      <c r="A3" s="36" t="inlineStr">
        <is>
          <t>Mevzuat kural tablosu (yıl yan yana)</t>
        </is>
      </c>
    </row>
    <row r="4">
      <c r="A4" s="22" t="inlineStr">
        <is>
          <t>Oranlar MOTOR'da sabit yazılmaz; INDEX/MATCH ile buradan çekilir.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TBA-001</t>
        </is>
      </c>
      <c r="B7" s="24" t="inlineStr">
        <is>
          <t>5510 md.81</t>
        </is>
      </c>
      <c r="C7" s="24" t="inlineStr">
        <is>
          <t>bes_puan_oran</t>
        </is>
      </c>
      <c r="D7" s="24" t="inlineStr">
        <is>
          <t>kapsam_matrah&gt;0</t>
        </is>
      </c>
      <c r="E7" s="24" t="inlineStr">
        <is>
          <t>bes_puan_oran</t>
        </is>
      </c>
      <c r="F7" s="41" t="n">
        <v>0.05</v>
      </c>
      <c r="G7" s="41" t="n">
        <v>0.05</v>
      </c>
      <c r="H7" s="41" t="n">
        <v>0.05</v>
      </c>
      <c r="I7" s="24" t="inlineStr">
        <is>
          <t>01.01.2025</t>
        </is>
      </c>
      <c r="J7" s="24" t="inlineStr">
        <is>
          <t>5510 s.K. md.81</t>
        </is>
      </c>
      <c r="K7" s="31">
        <f>IF($A7="","",IFERROR(CHOOSE(MAX(1,MIN(3,IF(OR(hesapYili="",hesapYili=0),1,hesapYili-tba_yilTaban))),$F7,$G7,$H7),0))</f>
        <v/>
      </c>
    </row>
    <row r="8">
      <c r="A8" s="24" t="inlineStr">
        <is>
          <t>TBA-002</t>
        </is>
      </c>
      <c r="B8" s="24" t="inlineStr">
        <is>
          <t>4447 geç.10</t>
        </is>
      </c>
      <c r="C8" s="24" t="inlineStr">
        <is>
          <t>ilave_istihdam_oran</t>
        </is>
      </c>
      <c r="D8" s="24" t="inlineStr">
        <is>
          <t>ilave_matrah&gt;0</t>
        </is>
      </c>
      <c r="E8" s="24" t="inlineStr">
        <is>
          <t>ilave_istihdam_oran</t>
        </is>
      </c>
      <c r="F8" s="41" t="n">
        <v>0.145</v>
      </c>
      <c r="G8" s="41" t="n">
        <v>0.145</v>
      </c>
      <c r="H8" s="41" t="n">
        <v>0.145</v>
      </c>
      <c r="I8" s="24" t="inlineStr">
        <is>
          <t>01.01.2025</t>
        </is>
      </c>
      <c r="J8" s="24" t="inlineStr">
        <is>
          <t>4447 s.K. geç.10</t>
        </is>
      </c>
      <c r="K8" s="31">
        <f>IF($A8="","",IFERROR(CHOOSE(MAX(1,MIN(3,IF(OR(hesapYili="",hesapYili=0),1,hesapYili-tba_yilTaban))),$F8,$G8,$H8),0))</f>
        <v/>
      </c>
    </row>
    <row r="9">
      <c r="A9" s="24" t="inlineStr">
        <is>
          <t>TBA-003</t>
        </is>
      </c>
      <c r="B9" s="24" t="inlineStr">
        <is>
          <t>SGK tavan</t>
        </is>
      </c>
      <c r="C9" s="24" t="inlineStr">
        <is>
          <t>prim_tavani</t>
        </is>
      </c>
      <c r="D9" s="24" t="inlineStr">
        <is>
          <t>her hesap</t>
        </is>
      </c>
      <c r="E9" s="24" t="inlineStr">
        <is>
          <t>prim_tavani</t>
        </is>
      </c>
      <c r="F9" s="42" t="n">
        <v>150000</v>
      </c>
      <c r="G9" s="42" t="n">
        <v>165000</v>
      </c>
      <c r="H9" s="42" t="n">
        <v>180000</v>
      </c>
      <c r="I9" s="24" t="inlineStr">
        <is>
          <t>01.01.2025</t>
        </is>
      </c>
      <c r="J9" s="24" t="inlineStr">
        <is>
          <t>SGK prim tavanı</t>
        </is>
      </c>
      <c r="K9" s="31">
        <f>IF($A9="","",IFERROR(CHOOSE(MAX(1,MIN(3,IF(OR(hesapYili="",hesapYili=0),1,hesapYili-tba_yilTaban))),$F9,$G9,$H9),0))</f>
        <v/>
      </c>
    </row>
    <row r="10">
      <c r="A10" s="24" t="inlineStr">
        <is>
          <t>TBA-004</t>
        </is>
      </c>
      <c r="B10" s="24" t="inlineStr">
        <is>
          <t>4447 / 5510</t>
        </is>
      </c>
      <c r="C10" s="24" t="inlineStr">
        <is>
          <t>kadin_genc_oran</t>
        </is>
      </c>
      <c r="D10" s="24" t="inlineStr">
        <is>
          <t>kadin_genc_matrah&gt;0</t>
        </is>
      </c>
      <c r="E10" s="24" t="inlineStr">
        <is>
          <t>kadin_genc_oran</t>
        </is>
      </c>
      <c r="F10" s="41" t="n">
        <v>0.05</v>
      </c>
      <c r="G10" s="41" t="n">
        <v>0.05</v>
      </c>
      <c r="H10" s="41" t="n">
        <v>0.05</v>
      </c>
      <c r="I10" s="24" t="inlineStr">
        <is>
          <t>01.01.2025</t>
        </is>
      </c>
      <c r="J10" s="24" t="inlineStr">
        <is>
          <t>Kadın/genç istihdam</t>
        </is>
      </c>
      <c r="K10" s="31">
        <f>IF($A10="","",IFERROR(CHOOSE(MAX(1,MIN(3,IF(OR(hesapYili="",hesapYili=0),1,hesapYili-tba_yilTaban))),$F10,$G10,$H10),0))</f>
        <v/>
      </c>
    </row>
    <row r="11">
      <c r="A11" s="24" t="inlineStr">
        <is>
          <t>TBA-005</t>
        </is>
      </c>
      <c r="B11" s="24" t="inlineStr">
        <is>
          <t>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yuvarlama_ondalik</t>
        </is>
      </c>
      <c r="F11" s="43" t="n">
        <v>2</v>
      </c>
      <c r="G11" s="43" t="n">
        <v>2</v>
      </c>
      <c r="H11" s="43" t="n">
        <v>2</v>
      </c>
      <c r="I11" s="24" t="inlineStr">
        <is>
          <t>01.01.2025</t>
        </is>
      </c>
      <c r="J11" s="24" t="inlineStr">
        <is>
          <t>Uygulama notu</t>
        </is>
      </c>
      <c r="K11" s="31">
        <f>IF($A11="","",IFERROR(CHOOSE(MAX(1,MIN(3,IF(OR(hesapYili="",hesapYili=0),1,hesapYili-tba_yilTaban))),$F11,$G11,$H11),0))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5 puan oranı (aktif yıl)</t>
        </is>
      </c>
      <c r="B15" s="16">
        <f>IFERROR(INDEX(CHOOSE(MAX(1,MIN(3,IF(OR(hesapYili="",hesapYili=0),1,hesapYili-tba_yilTaban))),tblKurallar[deger_2025],tblKurallar[deger_2026],tblKurallar[deger_2027]),MATCH("TBA-001",tblKurallar[kural_id],0)),0)</f>
        <v/>
      </c>
    </row>
    <row r="16">
      <c r="A16" s="24" t="inlineStr">
        <is>
          <t>İlave istihdam oranı (aktif yıl)</t>
        </is>
      </c>
      <c r="B16" s="16">
        <f>IFERROR(INDEX(CHOOSE(MAX(1,MIN(3,IF(OR(hesapYili="",hesapYili=0),1,hesapYili-tba_yilTaban))),tblKurallar[deger_2025],tblKurallar[deger_2026],tblKurallar[deger_2027]),MATCH("TBA-002",tblKurallar[kural_id],0)),0)</f>
        <v/>
      </c>
    </row>
    <row r="17">
      <c r="A17" s="24" t="inlineStr">
        <is>
          <t>Matris metni</t>
        </is>
      </c>
      <c r="B17" s="11">
        <f>IFERROR(_xlfn.TEXTJOIN(" | ",TRUE,"TBA-001=",TEXT(B15,"0.0%"),"TBA-002=",TEXT(B16,"0.0%"),"yıl=",IF(OR(hesapYili="",hesapYili=0),"-",hesapYili)),"-")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Teşvikli Bordro ve En Avantajlı Teşvik Seçen</t>
        </is>
      </c>
    </row>
    <row r="3">
      <c r="A3" s="36" t="inlineStr">
        <is>
          <t>Hesap zinciri — her adımda kural_id</t>
        </is>
      </c>
    </row>
    <row r="4">
      <c r="A4" s="22" t="inlineStr">
        <is>
          <t>Oranlar tblKurallar'dan çekilir;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4" t="n">
        <v>1</v>
      </c>
      <c r="B7" s="15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47" t="inlineStr">
        <is>
          <t>Aktif mevzuat yılı</t>
        </is>
      </c>
      <c r="F7" s="14" t="inlineStr">
        <is>
          <t>TBA-005</t>
        </is>
      </c>
      <c r="G7" s="29">
        <f>IFERROR(hesapYili,0)</f>
        <v/>
      </c>
    </row>
    <row r="8">
      <c r="A8" s="44" t="n">
        <v>2</v>
      </c>
      <c r="B8" s="15" t="inlineStr">
        <is>
          <t>5 puan oranı</t>
        </is>
      </c>
      <c r="C8" s="48">
        <f>IFERROR(INDEX(CHOOSE(MAX(1,MIN(3,IF(OR(hesapYili="",hesapYili=0),1,hesapYili-tba_yilTaban))),tblKurallar[deger_2025],tblKurallar[deger_2026],tblKurallar[deger_2027]),MATCH("TBA-001",tblKurallar[kural_id],0)),0)</f>
        <v/>
      </c>
      <c r="D8" s="46" t="inlineStr">
        <is>
          <t>oran</t>
        </is>
      </c>
      <c r="E8" s="47" t="inlineStr">
        <is>
          <t>5510 md.81 oranı</t>
        </is>
      </c>
      <c r="F8" s="14" t="inlineStr">
        <is>
          <t>TBA-001</t>
        </is>
      </c>
      <c r="G8" s="16">
        <f>IFERROR(INDEX(CHOOSE(MAX(1,MIN(3,IF(OR(hesapYili="",hesapYili=0),1,hesapYili-tba_yilTaban))),tblKurallar[deger_2025],tblKurallar[deger_2026],tblKurallar[deger_2027]),MATCH("TBA-001",tblKurallar[kural_id],0)),0)</f>
        <v/>
      </c>
    </row>
    <row r="9">
      <c r="A9" s="44" t="n">
        <v>3</v>
      </c>
      <c r="B9" s="15" t="inlineStr">
        <is>
          <t>İlave istihdam oranı</t>
        </is>
      </c>
      <c r="C9" s="48">
        <f>IFERROR(INDEX(CHOOSE(MAX(1,MIN(3,IF(OR(hesapYili="",hesapYili=0),1,hesapYili-tba_yilTaban))),tblKurallar[deger_2025],tblKurallar[deger_2026],tblKurallar[deger_2027]),MATCH("TBA-002",tblKurallar[kural_id],0)),0)</f>
        <v/>
      </c>
      <c r="D9" s="46" t="inlineStr">
        <is>
          <t>oran</t>
        </is>
      </c>
      <c r="E9" s="47" t="inlineStr">
        <is>
          <t>4447 geç.10 oranı</t>
        </is>
      </c>
      <c r="F9" s="14" t="inlineStr">
        <is>
          <t>TBA-002</t>
        </is>
      </c>
      <c r="G9" s="16">
        <f>IFERROR(INDEX(CHOOSE(MAX(1,MIN(3,IF(OR(hesapYili="",hesapYili=0),1,hesapYili-tba_yilTaban))),tblKurallar[deger_2025],tblKurallar[deger_2026],tblKurallar[deger_2027]),MATCH("TBA-002",tblKurallar[kural_id],0)),0)</f>
        <v/>
      </c>
    </row>
    <row r="10">
      <c r="A10" s="44" t="n">
        <v>4</v>
      </c>
      <c r="B10" s="15" t="inlineStr">
        <is>
          <t>Prim tavanı</t>
        </is>
      </c>
      <c r="C10" s="49">
        <f>IFERROR(INDEX(CHOOSE(MAX(1,MIN(3,IF(OR(hesapYili="",hesapYili=0),1,hesapYili-tba_yilTaban))),tblKurallar[deger_2025],tblKurallar[deger_2026],tblKurallar[deger_2027]),MATCH("TBA-003",tblKurallar[kural_id],0)),0)</f>
        <v/>
      </c>
      <c r="D10" s="46" t="inlineStr">
        <is>
          <t>TL</t>
        </is>
      </c>
      <c r="E10" s="47" t="inlineStr">
        <is>
          <t>Aylık prim tavanı</t>
        </is>
      </c>
      <c r="F10" s="14" t="inlineStr">
        <is>
          <t>TBA-003</t>
        </is>
      </c>
      <c r="G10" s="17">
        <f>IFERROR(INDEX(CHOOSE(MAX(1,MIN(3,IF(OR(hesapYili="",hesapYili=0),1,hesapYili-tba_yilTaban))),tblKurallar[deger_2025],tblKurallar[deger_2026],tblKurallar[deger_2027]),MATCH("TBA-003",tblKurallar[kural_id],0)),0)</f>
        <v/>
      </c>
    </row>
    <row r="11">
      <c r="A11" s="44" t="n">
        <v>5</v>
      </c>
      <c r="B11" s="15" t="inlineStr">
        <is>
          <t>Kadın/genç oranı</t>
        </is>
      </c>
      <c r="C11" s="48">
        <f>IFERROR(INDEX(CHOOSE(MAX(1,MIN(3,IF(OR(hesapYili="",hesapYili=0),1,hesapYili-tba_yilTaban))),tblKurallar[deger_2025],tblKurallar[deger_2026],tblKurallar[deger_2027]),MATCH("TBA-004",tblKurallar[kural_id],0)),0)</f>
        <v/>
      </c>
      <c r="D11" s="46" t="inlineStr">
        <is>
          <t>oran</t>
        </is>
      </c>
      <c r="E11" s="47" t="inlineStr">
        <is>
          <t>Kadın/genç teşvik oranı</t>
        </is>
      </c>
      <c r="F11" s="14" t="inlineStr">
        <is>
          <t>TBA-004</t>
        </is>
      </c>
      <c r="G11" s="16">
        <f>IFERROR(INDEX(CHOOSE(MAX(1,MIN(3,IF(OR(hesapYili="",hesapYili=0),1,hesapYili-tba_yilTaban))),tblKurallar[deger_2025],tblKurallar[deger_2026],tblKurallar[deger_2027]),MATCH("TBA-004",tblKurallar[kural_id],0)),0)</f>
        <v/>
      </c>
    </row>
    <row r="12">
      <c r="A12" s="44" t="n">
        <v>6</v>
      </c>
      <c r="B12" s="15" t="inlineStr">
        <is>
          <t>Yuvarlama ondalık</t>
        </is>
      </c>
      <c r="C12" s="45">
        <f>IFERROR(INDEX(CHOOSE(MAX(1,MIN(3,IF(OR(hesapYili="",hesapYili=0),1,hesapYili-tba_yilTaban))),tblKurallar[deger_2025],tblKurallar[deger_2026],tblKurallar[deger_2027]),MATCH("TBA-005",tblKurallar[kural_id],0)),0)</f>
        <v/>
      </c>
      <c r="D12" s="46" t="inlineStr">
        <is>
          <t>adet</t>
        </is>
      </c>
      <c r="E12" s="47" t="inlineStr">
        <is>
          <t>Yuvarlama basamağı</t>
        </is>
      </c>
      <c r="F12" s="14" t="inlineStr">
        <is>
          <t>TBA-005</t>
        </is>
      </c>
      <c r="G12" s="29">
        <f>IFERROR(INDEX(CHOOSE(MAX(1,MIN(3,IF(OR(hesapYili="",hesapYili=0),1,hesapYili-tba_yilTaban))),tblKurallar[deger_2025],tblKurallar[deger_2026],tblKurallar[deger_2027]),MATCH("TBA-005",tblKurallar[kural_id],0)),0)</f>
        <v/>
      </c>
    </row>
    <row r="13">
      <c r="A13" s="44" t="n">
        <v>7</v>
      </c>
      <c r="B13" s="15" t="inlineStr">
        <is>
          <t>Aylık brüt matrah</t>
        </is>
      </c>
      <c r="C13" s="49">
        <f>IFERROR(IF(COUNTA(tblBordro[CalisanNo])&gt;0,SUM(tblBordro[BrutMatrah]),GIRDI!B9),0)</f>
        <v/>
      </c>
      <c r="D13" s="46" t="inlineStr">
        <is>
          <t>TL</t>
        </is>
      </c>
      <c r="E13" s="47" t="inlineStr">
        <is>
          <t>Ham brüt matrah</t>
        </is>
      </c>
      <c r="F13" s="14" t="inlineStr">
        <is>
          <t>TBA-003</t>
        </is>
      </c>
      <c r="G13" s="17">
        <f>IFERROR(IF(COUNTA(tblBordro[CalisanNo])&gt;0,SUM(tblBordro[BrutMatrah]),GIRDI!B9),0)</f>
        <v/>
      </c>
    </row>
    <row r="14">
      <c r="A14" s="44" t="n">
        <v>8</v>
      </c>
      <c r="B14" s="15" t="inlineStr">
        <is>
          <t>Çalışan sayısı</t>
        </is>
      </c>
      <c r="C14" s="45">
        <f>IFERROR(IF(COUNTA(tblBordro[CalisanNo])&gt;0,COUNTA(tblBordro[CalisanNo]),GIRDI!B10),0)</f>
        <v/>
      </c>
      <c r="D14" s="46" t="inlineStr">
        <is>
          <t>adet</t>
        </is>
      </c>
      <c r="E14" s="47" t="inlineStr">
        <is>
          <t>Bildirilen çalışan</t>
        </is>
      </c>
      <c r="F14" s="14" t="inlineStr">
        <is>
          <t>TBA-003</t>
        </is>
      </c>
      <c r="G14" s="29">
        <f>IFERROR(IF(COUNTA(tblBordro[CalisanNo])&gt;0,COUNTA(tblBordro[CalisanNo]),GIRDI!B10),0)</f>
        <v/>
      </c>
    </row>
    <row r="15">
      <c r="A15" s="44" t="n">
        <v>9</v>
      </c>
      <c r="B15" s="15" t="inlineStr">
        <is>
          <t>5 puan kapsam</t>
        </is>
      </c>
      <c r="C15" s="49">
        <f>IFERROR(IF(COUNTA(tblBordro[CalisanNo])&gt;0,SUMIF(tblBordro[BesPuanUygun],"Evet",tblBordro[BrutMatrah]),GIRDI!B11),0)</f>
        <v/>
      </c>
      <c r="D15" s="46" t="inlineStr">
        <is>
          <t>TL</t>
        </is>
      </c>
      <c r="E15" s="47" t="inlineStr">
        <is>
          <t>5 puan uygun matrah</t>
        </is>
      </c>
      <c r="F15" s="14" t="inlineStr">
        <is>
          <t>TBA-001</t>
        </is>
      </c>
      <c r="G15" s="17">
        <f>IFERROR(IF(COUNTA(tblBordro[CalisanNo])&gt;0,SUMIF(tblBordro[BesPuanUygun],"Evet",tblBordro[BrutMatrah]),GIRDI!B11),0)</f>
        <v/>
      </c>
    </row>
    <row r="16">
      <c r="A16" s="44" t="n">
        <v>10</v>
      </c>
      <c r="B16" s="15" t="inlineStr">
        <is>
          <t>İlave kapsam</t>
        </is>
      </c>
      <c r="C16" s="49">
        <f>IFERROR(IF(COUNTA(tblBordro[CalisanNo])&gt;0,SUMIF(tblBordro[IlaveUygun],"Evet",tblBordro[BrutMatrah]),GIRDI!B12),0)</f>
        <v/>
      </c>
      <c r="D16" s="46" t="inlineStr">
        <is>
          <t>TL</t>
        </is>
      </c>
      <c r="E16" s="47" t="inlineStr">
        <is>
          <t>İlave uygun matrah</t>
        </is>
      </c>
      <c r="F16" s="14" t="inlineStr">
        <is>
          <t>TBA-002</t>
        </is>
      </c>
      <c r="G16" s="17">
        <f>IFERROR(IF(COUNTA(tblBordro[CalisanNo])&gt;0,SUMIF(tblBordro[IlaveUygun],"Evet",tblBordro[BrutMatrah]),GIRDI!B12),0)</f>
        <v/>
      </c>
    </row>
    <row r="17">
      <c r="A17" s="44" t="n">
        <v>11</v>
      </c>
      <c r="B17" s="15" t="inlineStr">
        <is>
          <t>Kadın/genç kapsam</t>
        </is>
      </c>
      <c r="C17" s="49">
        <f>IFERROR(IF(COUNTA(tblBordro[CalisanNo])&gt;0,SUMIF(tblBordro[KadinGencUygun],"Evet",tblBordro[BrutMatrah]),GIRDI!B13),0)</f>
        <v/>
      </c>
      <c r="D17" s="46" t="inlineStr">
        <is>
          <t>TL</t>
        </is>
      </c>
      <c r="E17" s="47" t="inlineStr">
        <is>
          <t>Kadın/genç matrah</t>
        </is>
      </c>
      <c r="F17" s="14" t="inlineStr">
        <is>
          <t>TBA-004</t>
        </is>
      </c>
      <c r="G17" s="17">
        <f>IFERROR(IF(COUNTA(tblBordro[CalisanNo])&gt;0,SUMIF(tblBordro[KadinGencUygun],"Evet",tblBordro[BrutMatrah]),GIRDI!B13),0)</f>
        <v/>
      </c>
    </row>
    <row r="18">
      <c r="A18" s="44" t="n">
        <v>12</v>
      </c>
      <c r="B18" s="15" t="inlineStr">
        <is>
          <t>Engelli kapsam</t>
        </is>
      </c>
      <c r="C18" s="49">
        <f>IFERROR(IF(COUNTA(tblBordro[CalisanNo])&gt;0,SUMIF(tblBordro[EngelliUygun],"Evet",tblBordro[BrutMatrah]),GIRDI!B14),0)</f>
        <v/>
      </c>
      <c r="D18" s="46" t="inlineStr">
        <is>
          <t>TL</t>
        </is>
      </c>
      <c r="E18" s="47" t="inlineStr">
        <is>
          <t>Engelli matrah</t>
        </is>
      </c>
      <c r="F18" s="14" t="inlineStr">
        <is>
          <t>TBA-002</t>
        </is>
      </c>
      <c r="G18" s="17">
        <f>IFERROR(IF(COUNTA(tblBordro[CalisanNo])&gt;0,SUMIF(tblBordro[EngelliUygun],"Evet",tblBordro[BrutMatrah]),GIRDI!B14),0)</f>
        <v/>
      </c>
    </row>
    <row r="19">
      <c r="A19" s="44" t="n">
        <v>13</v>
      </c>
      <c r="B19" s="15" t="inlineStr">
        <is>
          <t>Mevcut teşvik</t>
        </is>
      </c>
      <c r="C19" s="49">
        <f>IFERROR(IF(COUNTA(tblBordro[CalisanNo])&gt;0,SUM(tblBordro[MevcutTutar]),GIRDI!B15),0)</f>
        <v/>
      </c>
      <c r="D19" s="46" t="inlineStr">
        <is>
          <t>TL</t>
        </is>
      </c>
      <c r="E19" s="47" t="inlineStr">
        <is>
          <t>Fiili uygulanan</t>
        </is>
      </c>
      <c r="F19" s="14" t="inlineStr">
        <is>
          <t>TBA-005</t>
        </is>
      </c>
      <c r="G19" s="17">
        <f>IFERROR(IF(COUNTA(tblBordro[CalisanNo])&gt;0,SUM(tblBordro[MevcutTutar]),GIRDI!B15),0)</f>
        <v/>
      </c>
    </row>
    <row r="20">
      <c r="A20" s="44" t="n">
        <v>14</v>
      </c>
      <c r="B20" s="15" t="inlineStr">
        <is>
          <t>Tavan üst sınırı</t>
        </is>
      </c>
      <c r="C20" s="49">
        <f>IFERROR(G10*G14,0)</f>
        <v/>
      </c>
      <c r="D20" s="46" t="inlineStr">
        <is>
          <t>TL</t>
        </is>
      </c>
      <c r="E20" s="47" t="inlineStr">
        <is>
          <t>Tavan × çalışan</t>
        </is>
      </c>
      <c r="F20" s="14" t="inlineStr">
        <is>
          <t>TBA-003</t>
        </is>
      </c>
      <c r="G20" s="17">
        <f>IFERROR(G10*G14,0)</f>
        <v/>
      </c>
    </row>
    <row r="21">
      <c r="A21" s="44" t="n">
        <v>15</v>
      </c>
      <c r="B21" s="15" t="inlineStr">
        <is>
          <t>Matrah tavanlı</t>
        </is>
      </c>
      <c r="C21" s="49">
        <f>IFERROR(MIN(G13,G20),0)</f>
        <v/>
      </c>
      <c r="D21" s="46" t="inlineStr">
        <is>
          <t>TL</t>
        </is>
      </c>
      <c r="E21" s="47" t="inlineStr">
        <is>
          <t>Tavan kesilmiş matrah</t>
        </is>
      </c>
      <c r="F21" s="14" t="inlineStr">
        <is>
          <t>TBA-003</t>
        </is>
      </c>
      <c r="G21" s="17">
        <f>IFERROR(MIN(G13,G20),0)</f>
        <v/>
      </c>
    </row>
    <row r="22">
      <c r="A22" s="44" t="n">
        <v>16</v>
      </c>
      <c r="B22" s="15" t="inlineStr">
        <is>
          <t>5 puan (kesilmiş)</t>
        </is>
      </c>
      <c r="C22" s="49">
        <f>IFERROR(ROUND(MIN(G15,G21)*G8,MAX(0,MIN(tba_yuvarMax,IFERROR(N(G12),0)))),0)</f>
        <v/>
      </c>
      <c r="D22" s="46" t="inlineStr">
        <is>
          <t>TL</t>
        </is>
      </c>
      <c r="E22" s="47" t="inlineStr">
        <is>
          <t>5 puan tasarrufu</t>
        </is>
      </c>
      <c r="F22" s="14" t="inlineStr">
        <is>
          <t>TBA-001</t>
        </is>
      </c>
      <c r="G22" s="17">
        <f>IFERROR(ROUND(MIN(G15,G21)*G8,MAX(0,MIN(tba_yuvarMax,IFERROR(N(G12),0)))),0)</f>
        <v/>
      </c>
    </row>
    <row r="23">
      <c r="A23" s="44" t="n">
        <v>17</v>
      </c>
      <c r="B23" s="15" t="inlineStr">
        <is>
          <t>İlave (kesilmiş)</t>
        </is>
      </c>
      <c r="C23" s="49">
        <f>IFERROR(ROUND(MIN(G16,G21)*G9,MAX(0,MIN(tba_yuvarMax,IFERROR(N(G12),0)))),0)</f>
        <v/>
      </c>
      <c r="D23" s="46" t="inlineStr">
        <is>
          <t>TL</t>
        </is>
      </c>
      <c r="E23" s="47" t="inlineStr">
        <is>
          <t>İlave tasarrufu</t>
        </is>
      </c>
      <c r="F23" s="14" t="inlineStr">
        <is>
          <t>TBA-002</t>
        </is>
      </c>
      <c r="G23" s="17">
        <f>IFERROR(ROUND(MIN(G16,G21)*G9,MAX(0,MIN(tba_yuvarMax,IFERROR(N(G12),0)))),0)</f>
        <v/>
      </c>
    </row>
    <row r="24">
      <c r="A24" s="44" t="n">
        <v>18</v>
      </c>
      <c r="B24" s="15" t="inlineStr">
        <is>
          <t>Kadın/genç (kesilmiş)</t>
        </is>
      </c>
      <c r="C24" s="49">
        <f>IFERROR(ROUND(MIN(G17,G21)*G11,MAX(0,MIN(tba_yuvarMax,IFERROR(N(G12),0)))),0)</f>
        <v/>
      </c>
      <c r="D24" s="46" t="inlineStr">
        <is>
          <t>TL</t>
        </is>
      </c>
      <c r="E24" s="47" t="inlineStr">
        <is>
          <t>Kadın/genç tasarrufu</t>
        </is>
      </c>
      <c r="F24" s="14" t="inlineStr">
        <is>
          <t>TBA-004</t>
        </is>
      </c>
      <c r="G24" s="17">
        <f>IFERROR(ROUND(MIN(G17,G21)*G11,MAX(0,MIN(tba_yuvarMax,IFERROR(N(G12),0)))),0)</f>
        <v/>
      </c>
    </row>
    <row r="25">
      <c r="A25" s="44" t="n">
        <v>19</v>
      </c>
      <c r="B25" s="15" t="inlineStr">
        <is>
          <t>Engelli (işveren payı)</t>
        </is>
      </c>
      <c r="C25" s="49">
        <f>IFERROR(ROUND(MIN(G18,G21)*tba_isverenOran,MAX(0,MIN(tba_yuvarMax,IFERROR(N(G12),0)))),0)</f>
        <v/>
      </c>
      <c r="D25" s="46" t="inlineStr">
        <is>
          <t>TL</t>
        </is>
      </c>
      <c r="E25" s="47" t="inlineStr">
        <is>
          <t>Engelli işveren payı muafiyeti</t>
        </is>
      </c>
      <c r="F25" s="14" t="inlineStr">
        <is>
          <t>TBA-002</t>
        </is>
      </c>
      <c r="G25" s="17">
        <f>IFERROR(ROUND(MIN(G18,G21)*tba_isverenOran,MAX(0,MIN(tba_yuvarMax,IFERROR(N(G12),0)))),0)</f>
        <v/>
      </c>
    </row>
    <row r="26">
      <c r="A26" s="44" t="n">
        <v>20</v>
      </c>
      <c r="B26" s="15" t="inlineStr">
        <is>
          <t>Birikimli toplam (A)</t>
        </is>
      </c>
      <c r="C26" s="49">
        <f>IFERROR(G22+G23+G24+G25,0)</f>
        <v/>
      </c>
      <c r="D26" s="46" t="inlineStr">
        <is>
          <t>TL</t>
        </is>
      </c>
      <c r="E26" s="47" t="inlineStr">
        <is>
          <t>Yorum A birikim</t>
        </is>
      </c>
      <c r="F26" s="14" t="inlineStr">
        <is>
          <t>TBA-005</t>
        </is>
      </c>
      <c r="G26" s="17">
        <f>IFERROR(G22+G23+G24+G25,0)</f>
        <v/>
      </c>
    </row>
    <row r="27">
      <c r="A27" s="44" t="n">
        <v>21</v>
      </c>
      <c r="B27" s="15" t="inlineStr">
        <is>
          <t>En yüksek tek kalem (B)</t>
        </is>
      </c>
      <c r="C27" s="49">
        <f>IFERROR(MAX(G22,G23,G24,G25),0)</f>
        <v/>
      </c>
      <c r="D27" s="46" t="inlineStr">
        <is>
          <t>TL</t>
        </is>
      </c>
      <c r="E27" s="47" t="inlineStr">
        <is>
          <t>Yorum B tek seçim</t>
        </is>
      </c>
      <c r="F27" s="14" t="inlineStr">
        <is>
          <t>TBA-005</t>
        </is>
      </c>
      <c r="G27" s="17">
        <f>IFERROR(MAX(G22,G23,G24,G25),0)</f>
        <v/>
      </c>
    </row>
    <row r="28">
      <c r="A28" s="44" t="n">
        <v>22</v>
      </c>
      <c r="B28" s="15" t="inlineStr">
        <is>
          <t>Potansiyel tasarruf</t>
        </is>
      </c>
      <c r="C28" s="49">
        <f>IFERROR(IF(GIRDI!B16="B",G27,G26),0)</f>
        <v/>
      </c>
      <c r="D28" s="46" t="inlineStr">
        <is>
          <t>TL</t>
        </is>
      </c>
      <c r="E28" s="47" t="inlineStr">
        <is>
          <t>Seçili yoruma göre</t>
        </is>
      </c>
      <c r="F28" s="14" t="inlineStr">
        <is>
          <t>TBA-005</t>
        </is>
      </c>
      <c r="G28" s="17">
        <f>IFERROR(IF(GIRDI!B16="B",G27,G26),0)</f>
        <v/>
      </c>
    </row>
    <row r="29">
      <c r="A29" s="44" t="n">
        <v>23</v>
      </c>
      <c r="B29" s="15" t="inlineStr">
        <is>
          <t>Kaçırılan (ham)</t>
        </is>
      </c>
      <c r="C29" s="49">
        <f>IFERROR(G28-G19,0)</f>
        <v/>
      </c>
      <c r="D29" s="46" t="inlineStr">
        <is>
          <t>TL</t>
        </is>
      </c>
      <c r="E29" s="47" t="inlineStr">
        <is>
          <t>Potansiyel − mevcut</t>
        </is>
      </c>
      <c r="F29" s="14" t="inlineStr">
        <is>
          <t>TBA-005</t>
        </is>
      </c>
      <c r="G29" s="17">
        <f>IFERROR(G28-G19,0)</f>
        <v/>
      </c>
    </row>
    <row r="30">
      <c r="A30" s="44" t="n">
        <v>24</v>
      </c>
      <c r="B30" s="15" t="inlineStr">
        <is>
          <t>Kaçırılan (sıfır altı yok)</t>
        </is>
      </c>
      <c r="C30" s="49">
        <f>IFERROR(MAX(0,G29),0)</f>
        <v/>
      </c>
      <c r="D30" s="46" t="inlineStr">
        <is>
          <t>TL</t>
        </is>
      </c>
      <c r="E30" s="47" t="inlineStr">
        <is>
          <t>Optimizasyon fırsatı</t>
        </is>
      </c>
      <c r="F30" s="14" t="inlineStr">
        <is>
          <t>TBA-005</t>
        </is>
      </c>
      <c r="G30" s="17">
        <f>IFERROR(MAX(0,G29),0)</f>
        <v/>
      </c>
    </row>
    <row r="31">
      <c r="A31" s="44" t="n">
        <v>25</v>
      </c>
      <c r="B31" s="15" t="inlineStr">
        <is>
          <t>Yıllık potansiyel</t>
        </is>
      </c>
      <c r="C31" s="49">
        <f>IFERROR(G28*12,0)</f>
        <v/>
      </c>
      <c r="D31" s="46" t="inlineStr">
        <is>
          <t>TL</t>
        </is>
      </c>
      <c r="E31" s="47" t="inlineStr">
        <is>
          <t>12 ay projeksiyon</t>
        </is>
      </c>
      <c r="F31" s="14" t="inlineStr">
        <is>
          <t>TBA-005</t>
        </is>
      </c>
      <c r="G31" s="17">
        <f>IFERROR(G28*12,0)</f>
        <v/>
      </c>
    </row>
    <row r="32">
      <c r="A32" s="44" t="n">
        <v>26</v>
      </c>
      <c r="B32" s="15" t="inlineStr">
        <is>
          <t>Yıllık kaçırılan</t>
        </is>
      </c>
      <c r="C32" s="49">
        <f>IFERROR(G30*12,0)</f>
        <v/>
      </c>
      <c r="D32" s="46" t="inlineStr">
        <is>
          <t>TL</t>
        </is>
      </c>
      <c r="E32" s="47" t="inlineStr">
        <is>
          <t>12 ay kaçırılan</t>
        </is>
      </c>
      <c r="F32" s="14" t="inlineStr">
        <is>
          <t>TBA-005</t>
        </is>
      </c>
      <c r="G32" s="17">
        <f>IFERROR(G30*12,0)</f>
        <v/>
      </c>
    </row>
    <row r="33">
      <c r="A33" s="44" t="n">
        <v>27</v>
      </c>
      <c r="B33" s="15" t="inlineStr">
        <is>
          <t>Karar kodu</t>
        </is>
      </c>
      <c r="C33" s="11">
        <f>IFERROR(IF(COUNTA(tblBordro[CalisanNo])=0,"VERI_YOK",IF(OR(MIN(tblBordro[BrutMatrah])&lt;0,MAX(tblBordro[BrutMatrah])&gt;tba_azamiMatrahEsik),"UC",IF(G30=0,"TAM","FIRSAT"))),"")</f>
        <v/>
      </c>
      <c r="D33" s="46" t="inlineStr">
        <is>
          <t>kod</t>
        </is>
      </c>
      <c r="E33" s="47" t="inlineStr">
        <is>
          <t>Karar kodu</t>
        </is>
      </c>
      <c r="F33" s="14" t="inlineStr">
        <is>
          <t>TBA-005</t>
        </is>
      </c>
      <c r="G33" s="18">
        <f>IFERROR(IF(COUNTA(tblBordro[CalisanNo])=0,"VERI_YOK",IF(OR(MIN(tblBordro[BrutMatrah])&lt;0,MAX(tblBordro[BrutMatrah])&gt;tba_azamiMatrahEsik),"UC",IF(G30=0,"TAM","FIRSAT"))),"")</f>
        <v/>
      </c>
    </row>
    <row r="34">
      <c r="A34" s="44" t="n">
        <v>28</v>
      </c>
      <c r="B34" s="15" t="inlineStr">
        <is>
          <t>Karar metni</t>
        </is>
      </c>
      <c r="C34" s="11">
        <f>IFERROR(IF(G33="VERI_YOK","VERİ YOK",IF(G33="UC","İNCELE",IF(G33="TAM","UYGUN",IF(G30&gt;=tba_kacirilanEsik,"UYGULA","İNCELE")))),"")</f>
        <v/>
      </c>
      <c r="D34" s="46" t="inlineStr">
        <is>
          <t>metin</t>
        </is>
      </c>
      <c r="E34" s="47" t="inlineStr">
        <is>
          <t>Kullanıcıya karar</t>
        </is>
      </c>
      <c r="F34" s="14" t="inlineStr">
        <is>
          <t>TBA-005</t>
        </is>
      </c>
      <c r="G34" s="18">
        <f>IFERROR(IF(G33="VERI_YOK","VERİ YOK",IF(G33="UC","İNCELE",IF(G33="TAM","UYGUN",IF(G30&gt;=tba_kacirilanEsik,"UYGULA","İNCELE")))),"")</f>
        <v/>
      </c>
    </row>
    <row r="35">
      <c r="A35" s="44" t="n">
        <v>29</v>
      </c>
      <c r="B35" s="15" t="inlineStr">
        <is>
          <t>Gerekçe</t>
        </is>
      </c>
      <c r="C35" s="11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  <c r="D35" s="46" t="inlineStr">
        <is>
          <t>metin</t>
        </is>
      </c>
      <c r="E35" s="47" t="inlineStr">
        <is>
          <t>Gerekçe cümlesi</t>
        </is>
      </c>
      <c r="F35" s="14" t="inlineStr">
        <is>
          <t>TBA-005</t>
        </is>
      </c>
      <c r="G35" s="18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</row>
    <row r="36">
      <c r="A36" s="44" t="n">
        <v>30</v>
      </c>
      <c r="B36" s="15" t="inlineStr">
        <is>
          <t>Kapsam / matrah oranı</t>
        </is>
      </c>
      <c r="C36" s="48">
        <f>IFERROR(IF(G21=0,0,(G15+G16+G17+G18)/G21),0)</f>
        <v/>
      </c>
      <c r="D36" s="46" t="inlineStr">
        <is>
          <t>oran</t>
        </is>
      </c>
      <c r="E36" s="47" t="inlineStr">
        <is>
          <t>Kapsam yoğunluğu</t>
        </is>
      </c>
      <c r="F36" s="14" t="inlineStr">
        <is>
          <t>TBA-003</t>
        </is>
      </c>
      <c r="G36" s="16">
        <f>IFERROR(IF(G21=0,0,(G15+G16+G17+G18)/G21),0)</f>
        <v/>
      </c>
    </row>
    <row r="37">
      <c r="A37" s="44" t="n">
        <v>31</v>
      </c>
      <c r="B37" s="15" t="inlineStr">
        <is>
          <t>Mevcut / potansiyel</t>
        </is>
      </c>
      <c r="C37" s="48">
        <f>IFERROR(IF(G28=0,0,G19/G28),0)</f>
        <v/>
      </c>
      <c r="D37" s="46" t="inlineStr">
        <is>
          <t>oran</t>
        </is>
      </c>
      <c r="E37" s="47" t="inlineStr">
        <is>
          <t>Karşılama oranı</t>
        </is>
      </c>
      <c r="F37" s="14" t="inlineStr">
        <is>
          <t>TBA-005</t>
        </is>
      </c>
      <c r="G37" s="16">
        <f>IFERROR(IF(G28=0,0,G19/G28),0)</f>
        <v/>
      </c>
    </row>
    <row r="38">
      <c r="A38" s="44" t="n">
        <v>32</v>
      </c>
      <c r="B38" s="15" t="inlineStr">
        <is>
          <t>Güven skoru</t>
        </is>
      </c>
      <c r="C38" s="45">
        <f>IFERROR(ROUND(IF(OR(COUNTA(GIRDI!B6:B16)=0,tba_girisBeklenen=0),0,COUNTA(GIRDI!B6:B16)/tba_girisBeklenen*100),0),0)</f>
        <v/>
      </c>
      <c r="D38" s="46" t="inlineStr">
        <is>
          <t>puan</t>
        </is>
      </c>
      <c r="E38" s="47" t="inlineStr">
        <is>
          <t>Giriş bütünlüğü</t>
        </is>
      </c>
      <c r="F38" s="14" t="inlineStr">
        <is>
          <t>TBA-005</t>
        </is>
      </c>
      <c r="G38" s="29">
        <f>IFERROR(ROUND(IF(OR(COUNTA(GIRDI!B6:B16)=0,tba_girisBeklenen=0),0,COUNTA(GIRDI!B6:B16)/tba_girisBeklenen*100),0),0)</f>
        <v/>
      </c>
    </row>
    <row r="39">
      <c r="A39" s="44" t="n">
        <v>33</v>
      </c>
      <c r="B39" s="15" t="inlineStr">
        <is>
          <t>Risk skoru</t>
        </is>
      </c>
      <c r="C39" s="45">
        <f>IFERROR(IF(G33="VERI_YOK",0,IF(G30=0,tba_riskDusuk,IF(G30/MAX(G28,1)&gt;tba_riskEsikOran,tba_riskYuksek,tba_riskOrta))),0)</f>
        <v/>
      </c>
      <c r="D39" s="46" t="inlineStr">
        <is>
          <t>puan</t>
        </is>
      </c>
      <c r="E39" s="47" t="inlineStr">
        <is>
          <t>Kaçırılan riski</t>
        </is>
      </c>
      <c r="F39" s="14" t="inlineStr">
        <is>
          <t>TBA-005</t>
        </is>
      </c>
      <c r="G39" s="29">
        <f>IFERROR(IF(G33="VERI_YOK",0,IF(G30=0,tba_riskDusuk,IF(G30/MAX(G28,1)&gt;tba_riskEsikOran,tba_riskYuksek,tba_riskOrta))),0)</f>
        <v/>
      </c>
    </row>
    <row r="40">
      <c r="A40" s="44" t="n">
        <v>34</v>
      </c>
      <c r="B40" s="15" t="inlineStr">
        <is>
          <t>Senaryo iyimser matrah</t>
        </is>
      </c>
      <c r="C40" s="49">
        <f>IFERROR(G21*tba_senaryoIyi,0)</f>
        <v/>
      </c>
      <c r="D40" s="46" t="inlineStr">
        <is>
          <t>TL</t>
        </is>
      </c>
      <c r="E40" s="47" t="inlineStr">
        <is>
          <t>İyimser matrah</t>
        </is>
      </c>
      <c r="F40" s="14" t="inlineStr">
        <is>
          <t>TBA-003</t>
        </is>
      </c>
      <c r="G40" s="17">
        <f>IFERROR(G21*tba_senaryoIyi,0)</f>
        <v/>
      </c>
    </row>
    <row r="41">
      <c r="A41" s="44" t="n">
        <v>35</v>
      </c>
      <c r="B41" s="15" t="inlineStr">
        <is>
          <t>Senaryo kötümser matrah</t>
        </is>
      </c>
      <c r="C41" s="49">
        <f>IFERROR(G21*tba_senaryoKotu,0)</f>
        <v/>
      </c>
      <c r="D41" s="46" t="inlineStr">
        <is>
          <t>TL</t>
        </is>
      </c>
      <c r="E41" s="47" t="inlineStr">
        <is>
          <t>Kötümser matrah</t>
        </is>
      </c>
      <c r="F41" s="14" t="inlineStr">
        <is>
          <t>TBA-003</t>
        </is>
      </c>
      <c r="G41" s="17">
        <f>IFERROR(G21*tba_senaryoKotu,0)</f>
        <v/>
      </c>
    </row>
    <row r="42">
      <c r="A42" s="44" t="n">
        <v>36</v>
      </c>
      <c r="B42" s="15" t="inlineStr">
        <is>
          <t>İyimser potansiyel</t>
        </is>
      </c>
      <c r="C42" s="49">
        <f>IFERROR(ROUND(MIN(G15,G40)*G8+MIN(G16,G40)*G9+MIN(G17,G40)*G11+MIN(G18,G40)*tba_isverenOran,MAX(0,MIN(tba_yuvarMax,IFERROR(N(G12),0)))),0)</f>
        <v/>
      </c>
      <c r="D42" s="46" t="inlineStr">
        <is>
          <t>TL</t>
        </is>
      </c>
      <c r="E42" s="47" t="inlineStr">
        <is>
          <t>İyimser birikim</t>
        </is>
      </c>
      <c r="F42" s="14" t="inlineStr">
        <is>
          <t>TBA-001</t>
        </is>
      </c>
      <c r="G42" s="17">
        <f>IFERROR(ROUND(MIN(G15,G40)*G8+MIN(G16,G40)*G9+MIN(G17,G40)*G11+MIN(G18,G40)*tba_isverenOran,MAX(0,MIN(tba_yuvarMax,IFERROR(N(G12),0)))),0)</f>
        <v/>
      </c>
    </row>
    <row r="43">
      <c r="A43" s="44" t="n">
        <v>37</v>
      </c>
      <c r="B43" s="15" t="inlineStr">
        <is>
          <t>Kötümser potansiyel</t>
        </is>
      </c>
      <c r="C43" s="49">
        <f>IFERROR(ROUND(MIN(G15,G41)*G8+MIN(G16,G41)*G9+MIN(G17,G41)*G11+MIN(G18,G41)*tba_isverenOran,MAX(0,MIN(tba_yuvarMax,IFERROR(N(G12),0)))),0)</f>
        <v/>
      </c>
      <c r="D43" s="46" t="inlineStr">
        <is>
          <t>TL</t>
        </is>
      </c>
      <c r="E43" s="47" t="inlineStr">
        <is>
          <t>Kötümser birikim</t>
        </is>
      </c>
      <c r="F43" s="14" t="inlineStr">
        <is>
          <t>TBA-001</t>
        </is>
      </c>
      <c r="G43" s="17">
        <f>IFERROR(ROUND(MIN(G15,G41)*G8+MIN(G16,G41)*G9+MIN(G17,G41)*G11+MIN(G18,G41)*tba_isverenOran,MAX(0,MIN(tba_yuvarMax,IFERROR(N(G12),0)))),0)</f>
        <v/>
      </c>
    </row>
    <row r="44">
      <c r="A44" s="44" t="n">
        <v>38</v>
      </c>
      <c r="B44" s="15" t="inlineStr">
        <is>
          <t>Kural+1 puan 5 puan</t>
        </is>
      </c>
      <c r="C44" s="49">
        <f>IFERROR(ROUND(MIN(G15,G21)*(G8+tba_oranArtisPuan),MAX(0,MIN(tba_yuvarMax,IFERROR(N(G12),0)))),0)</f>
        <v/>
      </c>
      <c r="D44" s="46" t="inlineStr">
        <is>
          <t>TL</t>
        </is>
      </c>
      <c r="E44" s="47" t="inlineStr">
        <is>
          <t>M-SEN +1 puan</t>
        </is>
      </c>
      <c r="F44" s="14" t="inlineStr">
        <is>
          <t>TBA-001</t>
        </is>
      </c>
      <c r="G44" s="17">
        <f>IFERROR(ROUND(MIN(G15,G21)*(G8+tba_oranArtisPuan),MAX(0,MIN(tba_yuvarMax,IFERROR(N(G12),0)))),0)</f>
        <v/>
      </c>
    </row>
    <row r="45">
      <c r="A45" s="44" t="n">
        <v>39</v>
      </c>
      <c r="B45" s="15" t="inlineStr">
        <is>
          <t>M-SEN potansiyel</t>
        </is>
      </c>
      <c r="C45" s="49">
        <f>IFERROR(G44+G23+G24+G25,0)</f>
        <v/>
      </c>
      <c r="D45" s="46" t="inlineStr">
        <is>
          <t>TL</t>
        </is>
      </c>
      <c r="E45" s="47" t="inlineStr">
        <is>
          <t>Kural değişimi toplam</t>
        </is>
      </c>
      <c r="F45" s="14" t="inlineStr">
        <is>
          <t>TBA-001</t>
        </is>
      </c>
      <c r="G45" s="17">
        <f>IFERROR(G44+G23+G24+G25,0)</f>
        <v/>
      </c>
    </row>
    <row r="46">
      <c r="A46" s="44" t="n">
        <v>40</v>
      </c>
      <c r="B46" s="15" t="inlineStr">
        <is>
          <t>M-SEN kaçırılan</t>
        </is>
      </c>
      <c r="C46" s="49">
        <f>IFERROR(MAX(0,G45-G19),0)</f>
        <v/>
      </c>
      <c r="D46" s="46" t="inlineStr">
        <is>
          <t>TL</t>
        </is>
      </c>
      <c r="E46" s="47" t="inlineStr">
        <is>
          <t>M-SEN farkı</t>
        </is>
      </c>
      <c r="F46" s="14" t="inlineStr">
        <is>
          <t>TBA-005</t>
        </is>
      </c>
      <c r="G46" s="17">
        <f>IFERROR(MAX(0,G45-G19),0)</f>
        <v/>
      </c>
    </row>
    <row r="47">
      <c r="A47" s="44" t="n">
        <v>41</v>
      </c>
      <c r="B47" s="15" t="inlineStr">
        <is>
          <t>Tahmin üst</t>
        </is>
      </c>
      <c r="C47" s="49">
        <f>IFERROR(G30*tba_tahminUst,0)</f>
        <v/>
      </c>
      <c r="D47" s="46" t="inlineStr">
        <is>
          <t>TL</t>
        </is>
      </c>
      <c r="E47" s="47" t="inlineStr">
        <is>
          <t>Tahmin üst bant</t>
        </is>
      </c>
      <c r="F47" s="14" t="inlineStr">
        <is>
          <t>TBA-005</t>
        </is>
      </c>
      <c r="G47" s="17">
        <f>IFERROR(G30*tba_tahminUst,0)</f>
        <v/>
      </c>
    </row>
    <row r="48">
      <c r="A48" s="44" t="n">
        <v>42</v>
      </c>
      <c r="B48" s="15" t="inlineStr">
        <is>
          <t>Tahmin alt</t>
        </is>
      </c>
      <c r="C48" s="49">
        <f>IFERROR(G30*tba_tahminAlt,0)</f>
        <v/>
      </c>
      <c r="D48" s="46" t="inlineStr">
        <is>
          <t>TL</t>
        </is>
      </c>
      <c r="E48" s="47" t="inlineStr">
        <is>
          <t>Tahmin alt bant</t>
        </is>
      </c>
      <c r="F48" s="14" t="inlineStr">
        <is>
          <t>TBA-005</t>
        </is>
      </c>
      <c r="G48" s="17">
        <f>IFERROR(G30*tba_tahminAlt,0)</f>
        <v/>
      </c>
    </row>
    <row r="49">
      <c r="A49" s="44" t="n">
        <v>43</v>
      </c>
      <c r="B49" s="15" t="inlineStr">
        <is>
          <t>Tornado: matrah etkisi</t>
        </is>
      </c>
      <c r="C49" s="49">
        <f>IFERROR(ABS(ROUND(MIN(G15,G21*tba_tornadoMatrah)*G8+MIN(G16,G21*tba_tornadoMatrah)*G9+MIN(G17,G21*tba_tornadoMatrah)*G11+MIN(G18,G21*tba_tornadoMatrah)*tba_isverenOran,MAX(0,MIN(tba_yuvarMax,IFERROR(N(G12),0))))-G28),0)</f>
        <v/>
      </c>
      <c r="D49" s="46" t="inlineStr">
        <is>
          <t>TL</t>
        </is>
      </c>
      <c r="E49" s="47" t="inlineStr">
        <is>
          <t>Matrah ± etki</t>
        </is>
      </c>
      <c r="F49" s="14" t="inlineStr">
        <is>
          <t>TBA-003</t>
        </is>
      </c>
      <c r="G49" s="17">
        <f>IFERROR(ABS(ROUND(MIN(G15,G21*tba_tornadoMatrah)*G8+MIN(G16,G21*tba_tornadoMatrah)*G9+MIN(G17,G21*tba_tornadoMatrah)*G11+MIN(G18,G21*tba_tornadoMatrah)*tba_isverenOran,MAX(0,MIN(tba_yuvarMax,IFERROR(N(G12),0))))-G28),0)</f>
        <v/>
      </c>
    </row>
    <row r="50">
      <c r="A50" s="44" t="n">
        <v>44</v>
      </c>
      <c r="B50" s="15" t="inlineStr">
        <is>
          <t>Tornado: mevcut etkisi</t>
        </is>
      </c>
      <c r="C50" s="49">
        <f>IFERROR(ABS(MAX(0,G28-G19*tba_tornadoMevcut)-G30),0)</f>
        <v/>
      </c>
      <c r="D50" s="46" t="inlineStr">
        <is>
          <t>TL</t>
        </is>
      </c>
      <c r="E50" s="47" t="inlineStr">
        <is>
          <t>Mevcut ± etki</t>
        </is>
      </c>
      <c r="F50" s="14" t="inlineStr">
        <is>
          <t>TBA-005</t>
        </is>
      </c>
      <c r="G50" s="17">
        <f>IFERROR(ABS(MAX(0,G28-G19*tba_tornadoMevcut)-G30),0)</f>
        <v/>
      </c>
    </row>
    <row r="51">
      <c r="A51" s="44" t="n">
        <v>45</v>
      </c>
      <c r="B51" s="15" t="inlineStr">
        <is>
          <t>Tornado: oran etkisi</t>
        </is>
      </c>
      <c r="C51" s="49">
        <f>IFERROR(ABS(ROUND(MIN(G15,G21)*(G8+tba_oranArtisPuan)+G23+G24+G25,MAX(0,MIN(tba_yuvarMax,IFERROR(N(G12),0))))-G28),0)</f>
        <v/>
      </c>
      <c r="D51" s="46" t="inlineStr">
        <is>
          <t>TL</t>
        </is>
      </c>
      <c r="E51" s="47" t="inlineStr">
        <is>
          <t>Oran ± etki</t>
        </is>
      </c>
      <c r="F51" s="14" t="inlineStr">
        <is>
          <t>TBA-001</t>
        </is>
      </c>
      <c r="G51" s="17">
        <f>IFERROR(ABS(ROUND(MIN(G15,G21)*(G8+tba_oranArtisPuan)+G23+G24+G25,MAX(0,MIN(tba_yuvarMax,IFERROR(N(G12),0))))-G28),0)</f>
        <v/>
      </c>
    </row>
    <row r="52">
      <c r="A52" s="44" t="n">
        <v>46</v>
      </c>
      <c r="B52" s="15" t="inlineStr">
        <is>
          <t>Madde atıf özeti</t>
        </is>
      </c>
      <c r="C52" s="11">
        <f>IFERROR(_xlfn.TEXTJOIN(" | ",TRUE,"TBA-001→5510 md.81","TBA-002→4447 geç.10","TBA-003→prim tavanı"),"")</f>
        <v/>
      </c>
      <c r="D52" s="46" t="inlineStr">
        <is>
          <t>metin</t>
        </is>
      </c>
      <c r="E52" s="47" t="inlineStr">
        <is>
          <t>Kanıt atıfları</t>
        </is>
      </c>
      <c r="F52" s="14" t="inlineStr">
        <is>
          <t>TBA-001</t>
        </is>
      </c>
      <c r="G52" s="18">
        <f>IFERROR(_xlfn.TEXTJOIN(" | ",TRUE,"TBA-001→5510 md.81","TBA-002→4447 geç.10","TBA-003→prim tavanı"),"")</f>
        <v/>
      </c>
    </row>
    <row r="53">
      <c r="A53" s="44" t="n">
        <v>47</v>
      </c>
      <c r="B53" s="15" t="inlineStr">
        <is>
          <t>Kanıt satır özeti</t>
        </is>
      </c>
      <c r="C53" s="11">
        <f>IFERROR(_xlfn.TEXTJOIN(" · ",TRUE,"Matrah=",TEXT(G21,"₺ #,##0"),"Potansiyel=",TEXT(G28,"₺ #,##0"),"Kaçırılan=",TEXT(G30,"₺ #,##0")),"")</f>
        <v/>
      </c>
      <c r="D53" s="46" t="inlineStr">
        <is>
          <t>metin</t>
        </is>
      </c>
      <c r="E53" s="47" t="inlineStr">
        <is>
          <t>Rapor özeti</t>
        </is>
      </c>
      <c r="F53" s="14" t="inlineStr">
        <is>
          <t>TBA-005</t>
        </is>
      </c>
      <c r="G53" s="18">
        <f>IFERROR(_xlfn.TEXTJOIN(" · ",TRUE,"Matrah=",TEXT(G21,"₺ #,##0"),"Potansiyel=",TEXT(G28,"₺ #,##0"),"Kaçırılan=",TEXT(G30,"₺ #,##0")),"")</f>
        <v/>
      </c>
    </row>
    <row r="55">
      <c r="I55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7">
      <formula>F7="TBA-001"</formula>
    </cfRule>
    <cfRule type="expression" priority="3" dxfId="3">
      <formula>F7="TBA-005"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Teşvikli Bordro ve En Avantajlı Teşvik Seçen</t>
        </is>
      </c>
    </row>
    <row r="3">
      <c r="A3" s="21" t="inlineStr">
        <is>
          <t>Senaryo ve duyarlılık</t>
        </is>
      </c>
    </row>
    <row r="5">
      <c r="A5" s="39" t="inlineStr">
        <is>
          <t>Senaryo</t>
        </is>
      </c>
      <c r="B5" s="39" t="inlineStr">
        <is>
          <t>Matrah Çarpanı</t>
        </is>
      </c>
      <c r="C5" s="39" t="inlineStr">
        <is>
          <t>Potansiyel</t>
        </is>
      </c>
      <c r="D5" s="39" t="inlineStr">
        <is>
          <t>Kaçırılan</t>
        </is>
      </c>
      <c r="E5" s="39" t="inlineStr">
        <is>
          <t>Karar</t>
        </is>
      </c>
      <c r="G5" s="39" t="inlineStr">
        <is>
          <t>KacirilanDemo</t>
        </is>
      </c>
    </row>
    <row r="6">
      <c r="A6" s="24" t="inlineStr">
        <is>
          <t>İyimser</t>
        </is>
      </c>
      <c r="B6" s="16">
        <f>IFERROR(tba_senaryoIyi+N(GIRDI!B9)*0,0)</f>
        <v/>
      </c>
      <c r="C6" s="17">
        <f>IFERROR(ROUND((IFERROR(tba_potansiyelTasarruf,0))*B6,2),0)</f>
        <v/>
      </c>
      <c r="D6" s="17">
        <f>IFERROR(MAX(0,C6-(IFERROR(tba_mevcutTesvik,0))),0)</f>
        <v/>
      </c>
      <c r="E6" s="18">
        <f>IF(COUNTA(tblBordro[CalisanNo])=0,"VERİ YOK",IF(D6=0,"UYGUN",IF(D6&gt;=tba_kacirilanEsik,"UYGULA","İNCELE")))</f>
        <v/>
      </c>
      <c r="G6" s="20" t="n">
        <v>18800</v>
      </c>
    </row>
    <row r="7">
      <c r="A7" s="24" t="inlineStr">
        <is>
          <t>Baz</t>
        </is>
      </c>
      <c r="B7" s="16">
        <f>IFERROR(1+N(GIRDI!B9)*0,1)</f>
        <v/>
      </c>
      <c r="C7" s="17">
        <f>IFERROR(ROUND((IFERROR(tba_potansiyelTasarruf,0))*B7,2),0)</f>
        <v/>
      </c>
      <c r="D7" s="17">
        <f>IFERROR(MAX(0,C7-(IFERROR(tba_mevcutTesvik,0))),0)</f>
        <v/>
      </c>
      <c r="E7" s="18">
        <f>IF(COUNTA(tblBordro[CalisanNo])=0,"VERİ YOK",IF(D7=0,"UYGUN",IF(D7&gt;=tba_kacirilanEsik,"UYGULA","İNCELE")))</f>
        <v/>
      </c>
      <c r="G7" s="20" t="n">
        <v>22000</v>
      </c>
    </row>
    <row r="8">
      <c r="A8" s="24" t="inlineStr">
        <is>
          <t>Kötümser</t>
        </is>
      </c>
      <c r="B8" s="16">
        <f>IFERROR(tba_senaryoKotu+N(GIRDI!B9)*0,0)</f>
        <v/>
      </c>
      <c r="C8" s="17">
        <f>IFERROR(ROUND((IFERROR(tba_potansiyelTasarruf,0))*B8,2),0)</f>
        <v/>
      </c>
      <c r="D8" s="17">
        <f>IFERROR(MAX(0,C8-(IFERROR(tba_mevcutTesvik,0))),0)</f>
        <v/>
      </c>
      <c r="E8" s="18">
        <f>IF(COUNTA(tblBordro[CalisanNo])=0,"VERİ YOK",IF(D8=0,"UYGUN",IF(D8&gt;=tba_kacirilanEsik,"UYGULA","İNCELE")))</f>
        <v/>
      </c>
      <c r="G8" s="20" t="n">
        <v>26400</v>
      </c>
    </row>
    <row r="9">
      <c r="A9" s="24" t="inlineStr">
        <is>
          <t>M-SEN +1 puan</t>
        </is>
      </c>
      <c r="B9" s="16">
        <f>IFERROR(1+N(GIRDI!B9)*0,1)</f>
        <v/>
      </c>
      <c r="C9" s="17">
        <f>IFERROR(MOTOR!G45,0)</f>
        <v/>
      </c>
      <c r="D9" s="17">
        <f>IFERROR(MOTOR!G46,0)</f>
        <v/>
      </c>
      <c r="E9" s="18">
        <f>IF(COUNTA(tblBordro[CalisanNo])=0,"VERİ YOK",IF(D9=0,"UYGUN",IF(D9&gt;=tba_kacirilanEsik,"UYGULA","İNCELE")))</f>
        <v/>
      </c>
      <c r="G9" s="20" t="n">
        <v>23500</v>
      </c>
    </row>
    <row r="11">
      <c r="A11" s="10" t="inlineStr">
        <is>
          <t>Senaryo bant genişliği (iyimser−kötümser kaçırılan)</t>
        </is>
      </c>
      <c r="B11" s="17">
        <f>IFERROR(D6-D8,0)</f>
        <v/>
      </c>
    </row>
    <row r="12">
      <c r="A12" s="10" t="inlineStr">
        <is>
          <t>Senaryo yorumu</t>
        </is>
      </c>
      <c r="B12" s="11">
        <f>IFERROR(_xlfn.TEXTJOIN("; ",TRUE,"İyimser kaçırılan ",TEXT(D6,"₺ #,##0")," · Baz ",TEXT(D7,"₺ #,##0")," · Kötümser ",TEXT(D8,"₺ #,##0")," · Bant ",TEXT(B11,"₺ #,##0")),"-")</f>
        <v/>
      </c>
    </row>
    <row r="14">
      <c r="A14" s="12" t="inlineStr">
        <is>
          <t>Duyarlılık (tornado)</t>
        </is>
      </c>
    </row>
    <row r="15">
      <c r="A15" s="39" t="inlineStr">
        <is>
          <t>Değişken</t>
        </is>
      </c>
      <c r="B15" s="39" t="inlineStr">
        <is>
          <t>Etki [₺]</t>
        </is>
      </c>
      <c r="C15" s="39" t="inlineStr">
        <is>
          <t>Sıra</t>
        </is>
      </c>
      <c r="E15" s="39" t="inlineStr">
        <is>
          <t>EtkiDemo</t>
        </is>
      </c>
    </row>
    <row r="16">
      <c r="A16" s="24" t="inlineStr">
        <is>
          <t>Tornado matrah etkisi</t>
        </is>
      </c>
      <c r="B16" s="17">
        <f>IFERROR(MOTOR!G49,0)</f>
        <v/>
      </c>
      <c r="C16" s="29">
        <f>IFERROR(IF(B16&gt;=MAX(B16:B18),1,IF(B16&gt;=MIN(B16:B18)+ABS(B16-B17),2,3)),3)</f>
        <v/>
      </c>
      <c r="E16" s="20" t="n">
        <v>1600</v>
      </c>
    </row>
    <row r="17">
      <c r="A17" s="24" t="inlineStr">
        <is>
          <t>Tornado mevcut etkisi</t>
        </is>
      </c>
      <c r="B17" s="17">
        <f>IFERROR(MOTOR!G50,0)</f>
        <v/>
      </c>
      <c r="C17" s="29">
        <f>IFERROR(IF(B17&gt;=MAX(B16:B18),1,IF(B17=MEDIAN(B16:B18),2,3)),3)</f>
        <v/>
      </c>
      <c r="E17" s="20" t="n">
        <v>1100</v>
      </c>
    </row>
    <row r="18">
      <c r="A18" s="24" t="inlineStr">
        <is>
          <t>Tornado oran etkisi</t>
        </is>
      </c>
      <c r="B18" s="17">
        <f>IFERROR(MOTOR!G51,0)</f>
        <v/>
      </c>
      <c r="C18" s="29">
        <f>IFERROR(IF(B18&gt;=MAX(B16:B18),1,IF(B18=MEDIAN(B16:B18),2,3)),3)</f>
        <v/>
      </c>
      <c r="E18" s="20" t="n">
        <v>1500</v>
      </c>
    </row>
    <row r="19">
      <c r="A19" s="10" t="inlineStr">
        <is>
          <t>Duyarlılık sıra özeti</t>
        </is>
      </c>
      <c r="B19" s="18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2">
      <c r="A22" s="10" t="inlineStr">
        <is>
          <t>M-SEN kural değişimi kaçırılan</t>
        </is>
      </c>
      <c r="B22" s="17">
        <f>D9</f>
        <v/>
      </c>
    </row>
    <row r="23">
      <c r="A23" s="10" t="inlineStr">
        <is>
          <t>M-SEN yorumu</t>
        </is>
      </c>
      <c r="B23" s="11">
        <f>_xlfn.TEXTJOIN("; ",TRUE,"5 puan oranı +1 puan senaryosunda kaçırılan ",TEXT(D9,"₺ #,##0")," TL")</f>
        <v/>
      </c>
    </row>
    <row r="25">
      <c r="A25" s="10" t="inlineStr">
        <is>
          <t>Tahmin aralığı (kaçırılan)</t>
        </is>
      </c>
      <c r="B25" s="17">
        <f>MOTOR!G48</f>
        <v/>
      </c>
      <c r="C25" s="17">
        <f>tba_kacirilan</f>
        <v/>
      </c>
      <c r="D25" s="17">
        <f>MOTOR!G47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7">
        <f>D6</f>
        <v/>
      </c>
      <c r="D28" s="20" t="n">
        <v>18800</v>
      </c>
    </row>
    <row r="29">
      <c r="A29" s="50" t="n">
        <v>2</v>
      </c>
      <c r="B29" s="17">
        <f>D7</f>
        <v/>
      </c>
      <c r="D29" s="20" t="n">
        <v>22000</v>
      </c>
    </row>
    <row r="30">
      <c r="A30" s="50" t="n">
        <v>3</v>
      </c>
      <c r="B30" s="17">
        <f>D8</f>
        <v/>
      </c>
      <c r="D30" s="20" t="n">
        <v>26400</v>
      </c>
    </row>
    <row r="31">
      <c r="A31" s="50" t="n">
        <v>4</v>
      </c>
      <c r="B31" s="17">
        <f>D9</f>
        <v/>
      </c>
      <c r="D31" s="20" t="n">
        <v>23500</v>
      </c>
    </row>
    <row r="32">
      <c r="A32" s="24" t="inlineStr">
        <is>
          <t>Tahmin sonraki</t>
        </is>
      </c>
      <c r="B32" s="17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OR(ISNUMBER(SEARCH("UYGULA",E6)),ISNUMBER(SEARCH("İNCELE",E6)))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Teşvikli Bordro ve En Avantajlı Teşvik Seçen</t>
        </is>
      </c>
    </row>
    <row r="3">
      <c r="A3" s="36" t="inlineStr">
        <is>
          <t>Tebliğ tarzı altın vakalar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39" t="inlineStr">
        <is>
          <t>BeklenenDemo</t>
        </is>
      </c>
      <c r="K5" s="39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5 puan</t>
        </is>
      </c>
      <c r="C6" s="24" t="inlineStr">
        <is>
          <t>bes_puan_matrah=vaka_matrah_1</t>
        </is>
      </c>
      <c r="D6" s="51" t="n">
        <v>15000</v>
      </c>
      <c r="E6" s="17">
        <f>IFERROR(ROUND(vaka_matrah_1*INDEX(tblKurallar[deger_2025],MATCH("TBA-001",tblKurallar[kural_id],0)),2),0)</f>
        <v/>
      </c>
      <c r="F6" s="52">
        <f>IF($A6="","",IFERROR($D6-$E6,0))</f>
        <v/>
      </c>
      <c r="G6" s="53">
        <f>IF($A6="","",IFERROR(IF(ABS($F6)&lt;=tba_tolerans,"TUTARLI","KIRIK"),"KIRIK"))</f>
        <v/>
      </c>
      <c r="H6" s="24" t="inlineStr">
        <is>
          <t>5510 md.81 örnek</t>
        </is>
      </c>
      <c r="J6" s="20" t="n">
        <v>15000</v>
      </c>
      <c r="K6" s="20" t="n">
        <v>15000</v>
      </c>
    </row>
    <row r="7">
      <c r="A7" s="24" t="inlineStr">
        <is>
          <t>V-002</t>
        </is>
      </c>
      <c r="B7" s="24" t="inlineStr">
        <is>
          <t>Tebliğ örnek 2 — ilave istihdam</t>
        </is>
      </c>
      <c r="C7" s="24" t="inlineStr">
        <is>
          <t>ilave_matrah=vaka_matrah_2</t>
        </is>
      </c>
      <c r="D7" s="51" t="n">
        <v>14500</v>
      </c>
      <c r="E7" s="17">
        <f>IFERROR(ROUND(vaka_matrah_2*INDEX(tblKurallar[deger_2025],MATCH("TBA-002",tblKurallar[kural_id],0)),2),0)</f>
        <v/>
      </c>
      <c r="F7" s="52">
        <f>IF($A7="","",IFERROR($D7-$E7,0))</f>
        <v/>
      </c>
      <c r="G7" s="53">
        <f>IF($A7="","",IFERROR(IF(ABS($F7)&lt;=tba_tolerans,"TUTARLI","KIRIK"),"KIRIK"))</f>
        <v/>
      </c>
      <c r="H7" s="24" t="inlineStr">
        <is>
          <t>4447 geç.10 örnek</t>
        </is>
      </c>
      <c r="J7" s="20" t="n">
        <v>14500</v>
      </c>
      <c r="K7" s="20" t="n">
        <v>14500</v>
      </c>
    </row>
    <row r="8">
      <c r="A8" s="24" t="inlineStr">
        <is>
          <t>V-003</t>
        </is>
      </c>
      <c r="B8" s="24" t="inlineStr">
        <is>
          <t>Tebliğ örnek 3 — birikimli A</t>
        </is>
      </c>
      <c r="C8" s="24" t="inlineStr">
        <is>
          <t>5 puan + ilave</t>
        </is>
      </c>
      <c r="D8" s="51" t="n">
        <v>29500</v>
      </c>
      <c r="E8" s="17">
        <f>IFERROR(ROUND(vaka_matrah_1*INDEX(tblKurallar[deger_2025],MATCH("TBA-001",tblKurallar[kural_id],0))+vaka_matrah_2*INDEX(tblKurallar[deger_2025],MATCH("TBA-002",tblKurallar[kural_id],0)),2),0)</f>
        <v/>
      </c>
      <c r="F8" s="52">
        <f>IF($A8="","",IFERROR($D8-$E8,0))</f>
        <v/>
      </c>
      <c r="G8" s="53">
        <f>IF($A8="","",IFERROR(IF(ABS($F8)&lt;=tba_tolerans,"TUTARLI","KIRIK"),"KIRIK"))</f>
        <v/>
      </c>
      <c r="H8" s="24" t="inlineStr">
        <is>
          <t>Birikim yorum A</t>
        </is>
      </c>
      <c r="J8" s="20" t="n">
        <v>29500</v>
      </c>
      <c r="K8" s="20" t="n">
        <v>29500</v>
      </c>
    </row>
    <row r="9">
      <c r="A9" s="24" t="inlineStr">
        <is>
          <t>V-004</t>
        </is>
      </c>
      <c r="B9" s="24" t="inlineStr">
        <is>
          <t>Tavan × 5 puan kontrol</t>
        </is>
      </c>
      <c r="C9" s="24" t="inlineStr">
        <is>
          <t>tavan=vaka_tavan; oran TBA-001</t>
        </is>
      </c>
      <c r="D9" s="51" t="n">
        <v>7500</v>
      </c>
      <c r="E9" s="17">
        <f>IFERROR(ROUND(vaka_tavan*INDEX(tblKurallar[deger_2025],MATCH("TBA-001",tblKurallar[kural_id],0)),2),0)</f>
        <v/>
      </c>
      <c r="F9" s="52">
        <f>IF($A9="","",IFERROR($D9-$E9,0))</f>
        <v/>
      </c>
      <c r="G9" s="53">
        <f>IF($A9="","",IFERROR(IF(ABS($F9)&lt;=tba_tolerans,"TUTARLI","KIRIK"),"KIRIK"))</f>
        <v/>
      </c>
      <c r="H9" s="24" t="inlineStr">
        <is>
          <t>TBA-003 tavan kontrol</t>
        </is>
      </c>
      <c r="J9" s="20" t="n">
        <v>7500</v>
      </c>
      <c r="K9" s="20" t="n">
        <v>7500</v>
      </c>
    </row>
    <row r="12">
      <c r="A12" s="10" t="inlineStr">
        <is>
          <t>Vaka durum özeti</t>
        </is>
      </c>
      <c r="B12" s="3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7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Teşvikli Bordro ve En Avantajlı Teşvik Seçen</t>
        </is>
      </c>
    </row>
    <row r="3">
      <c r="A3" s="54" t="inlineStr">
        <is>
          <t>KANIT RAPORU — Teşvikli Bordro</t>
        </is>
      </c>
    </row>
    <row r="4">
      <c r="A4" s="24" t="inlineStr">
        <is>
          <t>Rapor tarihi</t>
        </is>
      </c>
      <c r="B4" s="55">
        <f>raporTarihi</f>
        <v/>
      </c>
    </row>
    <row r="5">
      <c r="A5" s="24" t="inlineStr">
        <is>
          <t>İşveren</t>
        </is>
      </c>
      <c r="B5" s="18">
        <f>GIRDI!B6</f>
        <v/>
      </c>
    </row>
    <row r="6">
      <c r="A6" s="24" t="inlineStr">
        <is>
          <t>Dönem / yıl</t>
        </is>
      </c>
      <c r="B6" s="18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Aylık brüt matrah</t>
        </is>
      </c>
      <c r="B9" s="17">
        <f>GIRDI!B9</f>
        <v/>
      </c>
    </row>
    <row r="10">
      <c r="A10" s="24" t="inlineStr">
        <is>
          <t>Çalışan sayısı</t>
        </is>
      </c>
      <c r="B10" s="29">
        <f>GIRDI!B10</f>
        <v/>
      </c>
    </row>
    <row r="11">
      <c r="A11" s="24" t="inlineStr">
        <is>
          <t>5 puan kapsam</t>
        </is>
      </c>
      <c r="B11" s="17">
        <f>GIRDI!B11</f>
        <v/>
      </c>
    </row>
    <row r="12">
      <c r="A12" s="24" t="inlineStr">
        <is>
          <t>İlave istihdam</t>
        </is>
      </c>
      <c r="B12" s="17">
        <f>GIRDI!B12</f>
        <v/>
      </c>
    </row>
    <row r="13">
      <c r="A13" s="24" t="inlineStr">
        <is>
          <t>Kadın/genç</t>
        </is>
      </c>
      <c r="B13" s="17">
        <f>GIRDI!B13</f>
        <v/>
      </c>
    </row>
    <row r="14">
      <c r="A14" s="24" t="inlineStr">
        <is>
          <t>Engelli</t>
        </is>
      </c>
      <c r="B14" s="17">
        <f>GIRDI!B14</f>
        <v/>
      </c>
    </row>
    <row r="15">
      <c r="A15" s="24" t="inlineStr">
        <is>
          <t>Mevcut teşvik</t>
        </is>
      </c>
      <c r="B15" s="17">
        <f>tba_mevcutTesvik</f>
        <v/>
      </c>
    </row>
    <row r="17">
      <c r="A17" s="12" t="inlineStr">
        <is>
          <t>Hesap zinciri</t>
        </is>
      </c>
    </row>
    <row r="18">
      <c r="A18" s="24" t="inlineStr">
        <is>
          <t>Potansiyel tasarruf</t>
        </is>
      </c>
      <c r="B18" s="28">
        <f>tba_potansiyelTasarruf</f>
        <v/>
      </c>
    </row>
    <row r="19">
      <c r="A19" s="24" t="inlineStr">
        <is>
          <t>Kaçırılan</t>
        </is>
      </c>
      <c r="B19" s="28">
        <f>tba_kacirilan</f>
        <v/>
      </c>
    </row>
    <row r="20">
      <c r="A20" s="10" t="inlineStr">
        <is>
          <t>KARAR</t>
        </is>
      </c>
      <c r="B20" s="56">
        <f>tba_kararMetni</f>
        <v/>
      </c>
    </row>
    <row r="21">
      <c r="A21" s="24" t="inlineStr">
        <is>
          <t>Gerekçe</t>
        </is>
      </c>
      <c r="B21" s="11">
        <f>tba_kararGerekce</f>
        <v/>
      </c>
    </row>
    <row r="23">
      <c r="A23" s="10" t="inlineStr">
        <is>
          <t>Madde atıfları</t>
        </is>
      </c>
      <c r="B23" s="11">
        <f>tba_maddeAtifMetni</f>
        <v/>
      </c>
    </row>
    <row r="25">
      <c r="A25" s="10" t="inlineStr">
        <is>
          <t>Kanıt gövdesi</t>
        </is>
      </c>
      <c r="B25" s="11">
        <f>tba_kanitRaporu</f>
        <v/>
      </c>
    </row>
    <row r="27">
      <c r="A27" s="24" t="inlineStr">
        <is>
          <t>Parmak izi (SHA-256 kısaltma)</t>
        </is>
      </c>
      <c r="B27" s="19">
        <f>tba_parmakIzi</f>
        <v/>
      </c>
    </row>
    <row r="29">
      <c r="A29" s="24" t="inlineStr">
        <is>
          <t>Hazırlayan (imza)</t>
        </is>
      </c>
      <c r="B29" s="57" t="inlineStr"/>
    </row>
    <row r="30">
      <c r="A30" s="24" t="inlineStr">
        <is>
          <t>Onaylayan (imza)</t>
        </is>
      </c>
      <c r="B30" s="57" t="inlineStr"/>
    </row>
    <row r="32">
      <c r="A32" s="58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ISNUMBER(SEARCH("UYGUN",B20))</formula>
    </cfRule>
    <cfRule type="expression" priority="2" dxfId="1">
      <formula>ISNUMBER(SEARCH("UYGULA",B20))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&amp;LTeşvikli Bordro ve En Avantajlı Teşvik Seçen · 1.0.0&amp;CExcelArşiv&amp;RSayfa &amp;P / &amp;N</oddFooter>
    <evenHeader/>
    <evenFooter>&amp;LTeşvikli Bordro ve En Avantajlı Teşvik Seçen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Teşvikli Bordro ve En Avantajlı Teşvik Seçen</t>
        </is>
      </c>
    </row>
    <row r="3">
      <c r="A3" s="21" t="inlineStr">
        <is>
          <t>Canlı kontrol paneli</t>
        </is>
      </c>
    </row>
    <row r="5">
      <c r="A5" s="24" t="inlineStr">
        <is>
          <t>Giriş tablosu boş mu?</t>
        </is>
      </c>
      <c r="B5" s="18">
        <f>IF(COUNTA(tblBordro[CalisanNo])=0,"BOŞ","DOLU")</f>
        <v/>
      </c>
    </row>
    <row r="6">
      <c r="A6" s="24" t="inlineStr">
        <is>
          <t>Negatif brüt matrah?</t>
        </is>
      </c>
      <c r="B6" s="18">
        <f>IF(GIRDI!B9&lt;0,"NEGATİF","TEMİZ")</f>
        <v/>
      </c>
    </row>
    <row r="7">
      <c r="A7" s="24" t="inlineStr">
        <is>
          <t>Hesap yılı geçerli mi?</t>
        </is>
      </c>
      <c r="B7" s="18">
        <f>IFERROR(IF(AND(N(hesapYili)&gt;N(tba_yilTaban),N(hesapYili)&lt;=N(tba_yilTaban)+3),"TEMİZ","HATALI"),"HATALI")</f>
        <v/>
      </c>
    </row>
    <row r="8">
      <c r="A8" s="24" t="inlineStr">
        <is>
          <t>Matrah sıfır mı?</t>
        </is>
      </c>
      <c r="B8" s="18">
        <f>IF(IFERROR(MOTOR!G21,0)=0,"SIFIR","NORMAL")</f>
        <v/>
      </c>
    </row>
    <row r="9">
      <c r="A9" s="24" t="inlineStr">
        <is>
          <t>Vaka kırık mı?</t>
        </is>
      </c>
      <c r="B9" s="18">
        <f>IFERROR(IF(COUNTIF(tblVakalar[durum],"KIRIK")&gt;0,"KIRIK","TUTARLI"),"KIRIK")</f>
        <v/>
      </c>
    </row>
    <row r="10">
      <c r="A10" s="24" t="inlineStr">
        <is>
          <t>Kaçırılan eşiği aşıyor mu?</t>
        </is>
      </c>
      <c r="B10" s="18">
        <f>IF(IFERROR(tba_kacirilan,0)&gt;tba_kacirilanEsik,"AŞIYOR","NORMAL")</f>
        <v/>
      </c>
    </row>
    <row r="11">
      <c r="A11" s="24" t="inlineStr">
        <is>
          <t>Yorum A/B seçili mi?</t>
        </is>
      </c>
      <c r="B11" s="18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4">
      <c r="A14" s="24" t="inlineStr">
        <is>
          <t>Toplam giriş alanı</t>
        </is>
      </c>
      <c r="B14" s="29">
        <f>IFERROR(tba_girisBeklenen+COUNTA(GIRDI!B6:B16)*0,0)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7">
      <c r="A17" s="24" t="inlineStr">
        <is>
          <t>Potansiyel kontrol</t>
        </is>
      </c>
      <c r="B17" s="17">
        <f>IFERROR(tba_potansiyelTasarruf,0)</f>
        <v/>
      </c>
    </row>
    <row r="18">
      <c r="A18" s="24" t="inlineStr">
        <is>
          <t>Kaçırılan kontrol</t>
        </is>
      </c>
      <c r="B18" s="17">
        <f>IFERROR(tba_kacirilan,0)</f>
        <v/>
      </c>
    </row>
    <row r="19">
      <c r="A19" s="24" t="inlineStr">
        <is>
          <t>Karar kontrol</t>
        </is>
      </c>
      <c r="B19" s="18">
        <f>IFERROR(tba_kararMetni,"-")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Teşvikli Bordro ve En Avantajlı Teşvik Seçen</t>
        </is>
      </c>
    </row>
    <row r="3">
      <c r="A3" s="36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Brüt Matrah</t>
        </is>
      </c>
      <c r="C5" s="13" t="inlineStr">
        <is>
          <t>5 Puan</t>
        </is>
      </c>
      <c r="D5" s="13" t="inlineStr">
        <is>
          <t>İlave</t>
        </is>
      </c>
      <c r="E5" s="13" t="inlineStr">
        <is>
          <t>Kadın/Genç</t>
        </is>
      </c>
      <c r="F5" s="13" t="inlineStr">
        <is>
          <t>Engelli</t>
        </is>
      </c>
      <c r="G5" s="13" t="inlineStr">
        <is>
          <t>Mevcut</t>
        </is>
      </c>
      <c r="H5" s="13" t="inlineStr">
        <is>
          <t>Potansiyel</t>
        </is>
      </c>
      <c r="I5" s="13" t="inlineStr">
        <is>
          <t>Kaçırılan</t>
        </is>
      </c>
      <c r="L5" s="39" t="inlineStr">
        <is>
          <t>KacirilanDemo</t>
        </is>
      </c>
    </row>
    <row r="6">
      <c r="A6" s="30" t="inlineStr">
        <is>
          <t>Demo ana</t>
        </is>
      </c>
      <c r="B6" s="33" t="n">
        <v>500000</v>
      </c>
      <c r="C6" s="33" t="n">
        <v>300000</v>
      </c>
      <c r="D6" s="33" t="n">
        <v>100000</v>
      </c>
      <c r="E6" s="33" t="n">
        <v>50000</v>
      </c>
      <c r="F6" s="33" t="n">
        <v>30000</v>
      </c>
      <c r="G6" s="33" t="n">
        <v>10000</v>
      </c>
      <c r="H6" s="31">
        <f>IF($A6="","",IFERROR(ROUND($C6*INDEX(tblKurallar[deger_2025],MATCH("TBA-001",tblKurallar[kural_id],0))+$D6*INDEX(tblKurallar[deger_2025],MATCH("TBA-002",tblKurallar[kural_id],0))+$E6*INDEX(tblKurallar[deger_2025],MATCH("TBA-004",tblKurallar[kural_id],0))+$F6*tba_isverenOran,2),0))</f>
        <v/>
      </c>
      <c r="I6" s="31">
        <f>IF($A6="","",IFERROR(MAX(0,$H6-$G6),0))</f>
        <v/>
      </c>
      <c r="L6" s="20" t="n">
        <v>28150</v>
      </c>
    </row>
    <row r="7">
      <c r="A7" s="30" t="inlineStr">
        <is>
          <t>Yüksek mevcut</t>
        </is>
      </c>
      <c r="B7" s="33" t="n">
        <v>500000</v>
      </c>
      <c r="C7" s="33" t="n">
        <v>300000</v>
      </c>
      <c r="D7" s="33" t="n">
        <v>100000</v>
      </c>
      <c r="E7" s="33" t="n">
        <v>50000</v>
      </c>
      <c r="F7" s="33" t="n">
        <v>30000</v>
      </c>
      <c r="G7" s="33" t="n">
        <v>40000</v>
      </c>
      <c r="H7" s="31">
        <f>IF($A7="","",IFERROR(ROUND($C7*INDEX(tblKurallar[deger_2025],MATCH("TBA-001",tblKurallar[kural_id],0))+$D7*INDEX(tblKurallar[deger_2025],MATCH("TBA-002",tblKurallar[kural_id],0))+$E7*INDEX(tblKurallar[deger_2025],MATCH("TBA-004",tblKurallar[kural_id],0))+$F7*tba_isverenOran,2),0))</f>
        <v/>
      </c>
      <c r="I7" s="31">
        <f>IF($A7="","",IFERROR(MAX(0,$H7-$G7),0))</f>
        <v/>
      </c>
      <c r="L7" s="20" t="n">
        <v>0</v>
      </c>
    </row>
    <row r="8">
      <c r="A8" s="30" t="inlineStr">
        <is>
          <t>Düşük matrah</t>
        </is>
      </c>
      <c r="B8" s="33" t="n">
        <v>200000</v>
      </c>
      <c r="C8" s="33" t="n">
        <v>120000</v>
      </c>
      <c r="D8" s="33" t="n">
        <v>40000</v>
      </c>
      <c r="E8" s="33" t="n">
        <v>20000</v>
      </c>
      <c r="F8" s="33" t="n">
        <v>10000</v>
      </c>
      <c r="G8" s="33" t="n">
        <v>5000</v>
      </c>
      <c r="H8" s="31">
        <f>IF($A8="","",IFERROR(ROUND($C8*INDEX(tblKurallar[deger_2025],MATCH("TBA-001",tblKurallar[kural_id],0))+$D8*INDEX(tblKurallar[deger_2025],MATCH("TBA-002",tblKurallar[kural_id],0))+$E8*INDEX(tblKurallar[deger_2025],MATCH("TBA-004",tblKurallar[kural_id],0))+$F8*tba_isverenOran,2),0))</f>
        <v/>
      </c>
      <c r="I8" s="31">
        <f>IF($A8="","",IFERROR(MAX(0,$H8-$G8),0))</f>
        <v/>
      </c>
      <c r="L8" s="20" t="n">
        <v>15200</v>
      </c>
    </row>
    <row r="9">
      <c r="A9" s="30" t="inlineStr">
        <is>
          <t>Sadece 5 puan</t>
        </is>
      </c>
      <c r="B9" s="33" t="n">
        <v>400000</v>
      </c>
      <c r="C9" s="33" t="n">
        <v>400000</v>
      </c>
      <c r="D9" s="33" t="n">
        <v>0</v>
      </c>
      <c r="E9" s="33" t="n">
        <v>0</v>
      </c>
      <c r="F9" s="33" t="n">
        <v>0</v>
      </c>
      <c r="G9" s="33" t="n">
        <v>5000</v>
      </c>
      <c r="H9" s="31">
        <f>IF($A9="","",IFERROR(ROUND($C9*INDEX(tblKurallar[deger_2025],MATCH("TBA-001",tblKurallar[kural_id],0))+$D9*INDEX(tblKurallar[deger_2025],MATCH("TBA-002",tblKurallar[kural_id],0))+$E9*INDEX(tblKurallar[deger_2025],MATCH("TBA-004",tblKurallar[kural_id],0))+$F9*tba_isverenOran,2),0))</f>
        <v/>
      </c>
      <c r="I9" s="31">
        <f>IF($A9="","",IFERROR(MAX(0,$H9-$G9),0))</f>
        <v/>
      </c>
      <c r="L9" s="20" t="n">
        <v>15000</v>
      </c>
    </row>
    <row r="10">
      <c r="A10" s="30" t="inlineStr">
        <is>
          <t>Sıfır kaçırılan</t>
        </is>
      </c>
      <c r="B10" s="33" t="n">
        <v>300000</v>
      </c>
      <c r="C10" s="33" t="n">
        <v>200000</v>
      </c>
      <c r="D10" s="33" t="n">
        <v>50000</v>
      </c>
      <c r="E10" s="33" t="n">
        <v>0</v>
      </c>
      <c r="F10" s="33" t="n">
        <v>0</v>
      </c>
      <c r="G10" s="33" t="n">
        <v>17250</v>
      </c>
      <c r="H10" s="31">
        <f>IF($A10="","",IFERROR(ROUND($C10*INDEX(tblKurallar[deger_2025],MATCH("TBA-001",tblKurallar[kural_id],0))+$D10*INDEX(tblKurallar[deger_2025],MATCH("TBA-002",tblKurallar[kural_id],0))+$E10*INDEX(tblKurallar[deger_2025],MATCH("TBA-004",tblKurallar[kural_id],0))+$F10*tba_isverenOran,2),0))</f>
        <v/>
      </c>
      <c r="I10" s="31">
        <f>IF($A10="","",IFERROR(MAX(0,$H10-$G10),0))</f>
        <v/>
      </c>
      <c r="L10" s="20" t="n">
        <v>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1">
        <f>IF($A11="","",IFERROR(ROUND($C11*INDEX(tblKurallar[deger_2025],MATCH("TBA-001",tblKurallar[kural_id],0))+$D11*INDEX(tblKurallar[deger_2025],MATCH("TBA-002",tblKurallar[kural_id],0))+$E11*INDEX(tblKurallar[deger_2025],MATCH("TBA-004",tblKurallar[kural_id],0))+$F11*tba_isverenOran,2),0))</f>
        <v/>
      </c>
      <c r="I11" s="31">
        <f>IF($A11="","",IFERROR(MAX(0,$H11-$G11),0))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1">
        <f>IF($A12="","",IFERROR(ROUND($C12*INDEX(tblKurallar[deger_2025],MATCH("TBA-001",tblKurallar[kural_id],0))+$D12*INDEX(tblKurallar[deger_2025],MATCH("TBA-002",tblKurallar[kural_id],0))+$E12*INDEX(tblKurallar[deger_2025],MATCH("TBA-004",tblKurallar[kural_id],0))+$F12*tba_isverenOran,2),0))</f>
        <v/>
      </c>
      <c r="I12" s="31">
        <f>IF($A12="","",IFERROR(MAX(0,$H12-$G12),0))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1">
        <f>IF($A13="","",IFERROR(ROUND($C13*INDEX(tblKurallar[deger_2025],MATCH("TBA-001",tblKurallar[kural_id],0))+$D13*INDEX(tblKurallar[deger_2025],MATCH("TBA-002",tblKurallar[kural_id],0))+$E13*INDEX(tblKurallar[deger_2025],MATCH("TBA-004",tblKurallar[kural_id],0))+$F13*tba_isverenOran,2),0))</f>
        <v/>
      </c>
      <c r="I13" s="31">
        <f>IF($A13="","",IFERROR(MAX(0,$H13-$G13),0))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1">
        <f>IF($A14="","",IFERROR(ROUND($C14*INDEX(tblKurallar[deger_2025],MATCH("TBA-001",tblKurallar[kural_id],0))+$D14*INDEX(tblKurallar[deger_2025],MATCH("TBA-002",tblKurallar[kural_id],0))+$E14*INDEX(tblKurallar[deger_2025],MATCH("TBA-004",tblKurallar[kural_id],0))+$F14*tba_isverenOran,2),0))</f>
        <v/>
      </c>
      <c r="I14" s="31">
        <f>IF($A14="","",IFERROR(MAX(0,$H14-$G14),0))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1">
        <f>IF($A15="","",IFERROR(ROUND($C15*INDEX(tblKurallar[deger_2025],MATCH("TBA-001",tblKurallar[kural_id],0))+$D15*INDEX(tblKurallar[deger_2025],MATCH("TBA-002",tblKurallar[kural_id],0))+$E15*INDEX(tblKurallar[deger_2025],MATCH("TBA-004",tblKurallar[kural_id],0))+$F15*tba_isverenOran,2),0))</f>
        <v/>
      </c>
      <c r="I15" s="31">
        <f>IF($A15="","",IFERROR(MAX(0,$H15-$G15),0))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1">
        <f>IF($A16="","",IFERROR(ROUND($C16*INDEX(tblKurallar[deger_2025],MATCH("TBA-001",tblKurallar[kural_id],0))+$D16*INDEX(tblKurallar[deger_2025],MATCH("TBA-002",tblKurallar[kural_id],0))+$E16*INDEX(tblKurallar[deger_2025],MATCH("TBA-004",tblKurallar[kural_id],0))+$F16*tba_isverenOran,2),0))</f>
        <v/>
      </c>
      <c r="I16" s="31">
        <f>IF($A16="","",IFERROR(MAX(0,$H16-$G16),0))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ERROR(ROUND($C17*INDEX(tblKurallar[deger_2025],MATCH("TBA-001",tblKurallar[kural_id],0))+$D17*INDEX(tblKurallar[deger_2025],MATCH("TBA-002",tblKurallar[kural_id],0))+$E17*INDEX(tblKurallar[deger_2025],MATCH("TBA-004",tblKurallar[kural_id],0))+$F17*tba_isverenOran,2),0))</f>
        <v/>
      </c>
      <c r="I17" s="31">
        <f>IF($A17="","",IFERROR(MAX(0,$H17-$G17),0))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ERROR(ROUND($C18*INDEX(tblKurallar[deger_2025],MATCH("TBA-001",tblKurallar[kural_id],0))+$D18*INDEX(tblKurallar[deger_2025],MATCH("TBA-002",tblKurallar[kural_id],0))+$E18*INDEX(tblKurallar[deger_2025],MATCH("TBA-004",tblKurallar[kural_id],0))+$F18*tba_isverenOran,2),0))</f>
        <v/>
      </c>
      <c r="I18" s="31">
        <f>IF($A18="","",IFERROR(MAX(0,$H18-$G18),0))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ERROR(ROUND($C19*INDEX(tblKurallar[deger_2025],MATCH("TBA-001",tblKurallar[kural_id],0))+$D19*INDEX(tblKurallar[deger_2025],MATCH("TBA-002",tblKurallar[kural_id],0))+$E19*INDEX(tblKurallar[deger_2025],MATCH("TBA-004",tblKurallar[kural_id],0))+$F19*tba_isverenOran,2),0))</f>
        <v/>
      </c>
      <c r="I19" s="31">
        <f>IF($A19="","",IFERROR(MAX(0,$H19-$G19),0))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ERROR(ROUND($C20*INDEX(tblKurallar[deger_2025],MATCH("TBA-001",tblKurallar[kural_id],0))+$D20*INDEX(tblKurallar[deger_2025],MATCH("TBA-002",tblKurallar[kural_id],0))+$E20*INDEX(tblKurallar[deger_2025],MATCH("TBA-004",tblKurallar[kural_id],0))+$F20*tba_isverenOran,2),0))</f>
        <v/>
      </c>
      <c r="I20" s="31">
        <f>IF($A20="","",IFERROR(MAX(0,$H20-$G20),0))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ERROR(ROUND($C21*INDEX(tblKurallar[deger_2025],MATCH("TBA-001",tblKurallar[kural_id],0))+$D21*INDEX(tblKurallar[deger_2025],MATCH("TBA-002",tblKurallar[kural_id],0))+$E21*INDEX(tblKurallar[deger_2025],MATCH("TBA-004",tblKurallar[kural_id],0))+$F21*tba_isverenOran,2),0))</f>
        <v/>
      </c>
      <c r="I21" s="31">
        <f>IF($A21="","",IFERROR(MAX(0,$H21-$G21),0))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ERROR(ROUND($C22*INDEX(tblKurallar[deger_2025],MATCH("TBA-001",tblKurallar[kural_id],0))+$D22*INDEX(tblKurallar[deger_2025],MATCH("TBA-002",tblKurallar[kural_id],0))+$E22*INDEX(tblKurallar[deger_2025],MATCH("TBA-004",tblKurallar[kural_id],0))+$F22*tba_isverenOran,2),0))</f>
        <v/>
      </c>
      <c r="I22" s="31">
        <f>IF($A22="","",IFERROR(MAX(0,$H22-$G22),0))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ERROR(ROUND($C23*INDEX(tblKurallar[deger_2025],MATCH("TBA-001",tblKurallar[kural_id],0))+$D23*INDEX(tblKurallar[deger_2025],MATCH("TBA-002",tblKurallar[kural_id],0))+$E23*INDEX(tblKurallar[deger_2025],MATCH("TBA-004",tblKurallar[kural_id],0))+$F23*tba_isverenOran,2),0))</f>
        <v/>
      </c>
      <c r="I23" s="31">
        <f>IF($A23="","",IFERROR(MAX(0,$H23-$G23),0))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ERROR(ROUND($C24*INDEX(tblKurallar[deger_2025],MATCH("TBA-001",tblKurallar[kural_id],0))+$D24*INDEX(tblKurallar[deger_2025],MATCH("TBA-002",tblKurallar[kural_id],0))+$E24*INDEX(tblKurallar[deger_2025],MATCH("TBA-004",tblKurallar[kural_id],0))+$F24*tba_isverenOran,2),0))</f>
        <v/>
      </c>
      <c r="I24" s="31">
        <f>IF($A24="","",IFERROR(MAX(0,$H24-$G24),0))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ERROR(ROUND($C25*INDEX(tblKurallar[deger_2025],MATCH("TBA-001",tblKurallar[kural_id],0))+$D25*INDEX(tblKurallar[deger_2025],MATCH("TBA-002",tblKurallar[kural_id],0))+$E25*INDEX(tblKurallar[deger_2025],MATCH("TBA-004",tblKurallar[kural_id],0))+$F25*tba_isverenOran,2),0))</f>
        <v/>
      </c>
      <c r="I25" s="31">
        <f>IF($A25="","",IFERROR(MAX(0,$H25-$G25),0))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ERROR(ROUND($C26*INDEX(tblKurallar[deger_2025],MATCH("TBA-001",tblKurallar[kural_id],0))+$D26*INDEX(tblKurallar[deger_2025],MATCH("TBA-002",tblKurallar[kural_id],0))+$E26*INDEX(tblKurallar[deger_2025],MATCH("TBA-004",tblKurallar[kural_id],0))+$F26*tba_isverenOran,2),0))</f>
        <v/>
      </c>
      <c r="I26" s="31">
        <f>IF($A26="","",IFERROR(MAX(0,$H26-$G26),0))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ERROR(ROUND($C27*INDEX(tblKurallar[deger_2025],MATCH("TBA-001",tblKurallar[kural_id],0))+$D27*INDEX(tblKurallar[deger_2025],MATCH("TBA-002",tblKurallar[kural_id],0))+$E27*INDEX(tblKurallar[deger_2025],MATCH("TBA-004",tblKurallar[kural_id],0))+$F27*tba_isverenOran,2),0))</f>
        <v/>
      </c>
      <c r="I27" s="31">
        <f>IF($A27="","",IFERROR(MAX(0,$H27-$G27),0))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ERROR(ROUND($C28*INDEX(tblKurallar[deger_2025],MATCH("TBA-001",tblKurallar[kural_id],0))+$D28*INDEX(tblKurallar[deger_2025],MATCH("TBA-002",tblKurallar[kural_id],0))+$E28*INDEX(tblKurallar[deger_2025],MATCH("TBA-004",tblKurallar[kural_id],0))+$F28*tba_isverenOran,2),0))</f>
        <v/>
      </c>
      <c r="I28" s="31">
        <f>IF($A28="","",IFERROR(MAX(0,$H28-$G28),0))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ERROR(ROUND($C29*INDEX(tblKurallar[deger_2025],MATCH("TBA-001",tblKurallar[kural_id],0))+$D29*INDEX(tblKurallar[deger_2025],MATCH("TBA-002",tblKurallar[kural_id],0))+$E29*INDEX(tblKurallar[deger_2025],MATCH("TBA-004",tblKurallar[kural_id],0))+$F29*tba_isverenOran,2),0))</f>
        <v/>
      </c>
      <c r="I29" s="31">
        <f>IF($A29="","",IFERROR(MAX(0,$H29-$G29),0))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ERROR(ROUND($C30*INDEX(tblKurallar[deger_2025],MATCH("TBA-001",tblKurallar[kural_id],0))+$D30*INDEX(tblKurallar[deger_2025],MATCH("TBA-002",tblKurallar[kural_id],0))+$E30*INDEX(tblKurallar[deger_2025],MATCH("TBA-004",tblKurallar[kural_id],0))+$F30*tba_isverenOran,2),0))</f>
        <v/>
      </c>
      <c r="I30" s="31">
        <f>IF($A30="","",IFERROR(MAX(0,$H30-$G30),0))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ERROR(ROUND($C31*INDEX(tblKurallar[deger_2025],MATCH("TBA-001",tblKurallar[kural_id],0))+$D31*INDEX(tblKurallar[deger_2025],MATCH("TBA-002",tblKurallar[kural_id],0))+$E31*INDEX(tblKurallar[deger_2025],MATCH("TBA-004",tblKurallar[kural_id],0))+$F31*tba_isverenOran,2),0))</f>
        <v/>
      </c>
      <c r="I31" s="31">
        <f>IF($A31="","",IFERROR(MAX(0,$H31-$G31),0))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ERROR(ROUND($C32*INDEX(tblKurallar[deger_2025],MATCH("TBA-001",tblKurallar[kural_id],0))+$D32*INDEX(tblKurallar[deger_2025],MATCH("TBA-002",tblKurallar[kural_id],0))+$E32*INDEX(tblKurallar[deger_2025],MATCH("TBA-004",tblKurallar[kural_id],0))+$F32*tba_isverenOran,2),0))</f>
        <v/>
      </c>
      <c r="I32" s="31">
        <f>IF($A32="","",IFERROR(MAX(0,$H32-$G32),0))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ERROR(ROUND($C33*INDEX(tblKurallar[deger_2025],MATCH("TBA-001",tblKurallar[kural_id],0))+$D33*INDEX(tblKurallar[deger_2025],MATCH("TBA-002",tblKurallar[kural_id],0))+$E33*INDEX(tblKurallar[deger_2025],MATCH("TBA-004",tblKurallar[kural_id],0))+$F33*tba_isverenOran,2),0))</f>
        <v/>
      </c>
      <c r="I33" s="31">
        <f>IF($A33="","",IFERROR(MAX(0,$H33-$G33),0))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ERROR(ROUND($C34*INDEX(tblKurallar[deger_2025],MATCH("TBA-001",tblKurallar[kural_id],0))+$D34*INDEX(tblKurallar[deger_2025],MATCH("TBA-002",tblKurallar[kural_id],0))+$E34*INDEX(tblKurallar[deger_2025],MATCH("TBA-004",tblKurallar[kural_id],0))+$F34*tba_isverenOran,2),0))</f>
        <v/>
      </c>
      <c r="I34" s="31">
        <f>IF($A34="","",IFERROR(MAX(0,$H34-$G34),0))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ERROR(ROUND($C35*INDEX(tblKurallar[deger_2025],MATCH("TBA-001",tblKurallar[kural_id],0))+$D35*INDEX(tblKurallar[deger_2025],MATCH("TBA-002",tblKurallar[kural_id],0))+$E35*INDEX(tblKurallar[deger_2025],MATCH("TBA-004",tblKurallar[kural_id],0))+$F35*tba_isverenOran,2),0))</f>
        <v/>
      </c>
      <c r="I35" s="31">
        <f>IF($A35="","",IFERROR(MAX(0,$H35-$G35),0))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ERROR(ROUND($C36*INDEX(tblKurallar[deger_2025],MATCH("TBA-001",tblKurallar[kural_id],0))+$D36*INDEX(tblKurallar[deger_2025],MATCH("TBA-002",tblKurallar[kural_id],0))+$E36*INDEX(tblKurallar[deger_2025],MATCH("TBA-004",tblKurallar[kural_id],0))+$F36*tba_isverenOran,2),0))</f>
        <v/>
      </c>
      <c r="I36" s="31">
        <f>IF($A36="","",IFERROR(MAX(0,$H36-$G36),0))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ERROR(ROUND($C37*INDEX(tblKurallar[deger_2025],MATCH("TBA-001",tblKurallar[kural_id],0))+$D37*INDEX(tblKurallar[deger_2025],MATCH("TBA-002",tblKurallar[kural_id],0))+$E37*INDEX(tblKurallar[deger_2025],MATCH("TBA-004",tblKurallar[kural_id],0))+$F37*tba_isverenOran,2),0))</f>
        <v/>
      </c>
      <c r="I37" s="31">
        <f>IF($A37="","",IFERROR(MAX(0,$H37-$G37),0))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ERROR(ROUND($C38*INDEX(tblKurallar[deger_2025],MATCH("TBA-001",tblKurallar[kural_id],0))+$D38*INDEX(tblKurallar[deger_2025],MATCH("TBA-002",tblKurallar[kural_id],0))+$E38*INDEX(tblKurallar[deger_2025],MATCH("TBA-004",tblKurallar[kural_id],0))+$F38*tba_isverenOran,2),0))</f>
        <v/>
      </c>
      <c r="I38" s="31">
        <f>IF($A38="","",IFERROR(MAX(0,$H38-$G38),0))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ERROR(ROUND($C39*INDEX(tblKurallar[deger_2025],MATCH("TBA-001",tblKurallar[kural_id],0))+$D39*INDEX(tblKurallar[deger_2025],MATCH("TBA-002",tblKurallar[kural_id],0))+$E39*INDEX(tblKurallar[deger_2025],MATCH("TBA-004",tblKurallar[kural_id],0))+$F39*tba_isverenOran,2),0))</f>
        <v/>
      </c>
      <c r="I39" s="31">
        <f>IF($A39="","",IFERROR(MAX(0,$H39-$G39),0))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ERROR(ROUND($C40*INDEX(tblKurallar[deger_2025],MATCH("TBA-001",tblKurallar[kural_id],0))+$D40*INDEX(tblKurallar[deger_2025],MATCH("TBA-002",tblKurallar[kural_id],0))+$E40*INDEX(tblKurallar[deger_2025],MATCH("TBA-004",tblKurallar[kural_id],0))+$F40*tba_isverenOran,2),0))</f>
        <v/>
      </c>
      <c r="I40" s="31">
        <f>IF($A40="","",IFERROR(MAX(0,$H40-$G40),0))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ERROR(ROUND($C41*INDEX(tblKurallar[deger_2025],MATCH("TBA-001",tblKurallar[kural_id],0))+$D41*INDEX(tblKurallar[deger_2025],MATCH("TBA-002",tblKurallar[kural_id],0))+$E41*INDEX(tblKurallar[deger_2025],MATCH("TBA-004",tblKurallar[kural_id],0))+$F41*tba_isverenOran,2),0))</f>
        <v/>
      </c>
      <c r="I41" s="31">
        <f>IF($A41="","",IFERROR(MAX(0,$H41-$G41),0))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ERROR(ROUND($C42*INDEX(tblKurallar[deger_2025],MATCH("TBA-001",tblKurallar[kural_id],0))+$D42*INDEX(tblKurallar[deger_2025],MATCH("TBA-002",tblKurallar[kural_id],0))+$E42*INDEX(tblKurallar[deger_2025],MATCH("TBA-004",tblKurallar[kural_id],0))+$F42*tba_isverenOran,2),0))</f>
        <v/>
      </c>
      <c r="I42" s="31">
        <f>IF($A42="","",IFERROR(MAX(0,$H42-$G42),0))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ERROR(ROUND($C43*INDEX(tblKurallar[deger_2025],MATCH("TBA-001",tblKurallar[kural_id],0))+$D43*INDEX(tblKurallar[deger_2025],MATCH("TBA-002",tblKurallar[kural_id],0))+$E43*INDEX(tblKurallar[deger_2025],MATCH("TBA-004",tblKurallar[kural_id],0))+$F43*tba_isverenOran,2),0))</f>
        <v/>
      </c>
      <c r="I43" s="31">
        <f>IF($A43="","",IFERROR(MAX(0,$H43-$G43),0))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ERROR(ROUND($C44*INDEX(tblKurallar[deger_2025],MATCH("TBA-001",tblKurallar[kural_id],0))+$D44*INDEX(tblKurallar[deger_2025],MATCH("TBA-002",tblKurallar[kural_id],0))+$E44*INDEX(tblKurallar[deger_2025],MATCH("TBA-004",tblKurallar[kural_id],0))+$F44*tba_isverenOran,2),0))</f>
        <v/>
      </c>
      <c r="I44" s="31">
        <f>IF($A44="","",IFERROR(MAX(0,$H44-$G44),0))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ERROR(ROUND($C45*INDEX(tblKurallar[deger_2025],MATCH("TBA-001",tblKurallar[kural_id],0))+$D45*INDEX(tblKurallar[deger_2025],MATCH("TBA-002",tblKurallar[kural_id],0))+$E45*INDEX(tblKurallar[deger_2025],MATCH("TBA-004",tblKurallar[kural_id],0))+$F45*tba_isverenOran,2),0))</f>
        <v/>
      </c>
      <c r="I45" s="31">
        <f>IF($A45="","",IFERROR(MAX(0,$H45-$G45),0))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ERROR(ROUND($C46*INDEX(tblKurallar[deger_2025],MATCH("TBA-001",tblKurallar[kural_id],0))+$D46*INDEX(tblKurallar[deger_2025],MATCH("TBA-002",tblKurallar[kural_id],0))+$E46*INDEX(tblKurallar[deger_2025],MATCH("TBA-004",tblKurallar[kural_id],0))+$F46*tba_isverenOran,2),0))</f>
        <v/>
      </c>
      <c r="I46" s="31">
        <f>IF($A46="","",IFERROR(MAX(0,$H46-$G46),0))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ERROR(ROUND($C47*INDEX(tblKurallar[deger_2025],MATCH("TBA-001",tblKurallar[kural_id],0))+$D47*INDEX(tblKurallar[deger_2025],MATCH("TBA-002",tblKurallar[kural_id],0))+$E47*INDEX(tblKurallar[deger_2025],MATCH("TBA-004",tblKurallar[kural_id],0))+$F47*tba_isverenOran,2),0))</f>
        <v/>
      </c>
      <c r="I47" s="31">
        <f>IF($A47="","",IFERROR(MAX(0,$H47-$G47),0))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ERROR(ROUND($C48*INDEX(tblKurallar[deger_2025],MATCH("TBA-001",tblKurallar[kural_id],0))+$D48*INDEX(tblKurallar[deger_2025],MATCH("TBA-002",tblKurallar[kural_id],0))+$E48*INDEX(tblKurallar[deger_2025],MATCH("TBA-004",tblKurallar[kural_id],0))+$F48*tba_isverenOran,2),0))</f>
        <v/>
      </c>
      <c r="I48" s="31">
        <f>IF($A48="","",IFERROR(MAX(0,$H48-$G48),0))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ERROR(ROUND($C49*INDEX(tblKurallar[deger_2025],MATCH("TBA-001",tblKurallar[kural_id],0))+$D49*INDEX(tblKurallar[deger_2025],MATCH("TBA-002",tblKurallar[kural_id],0))+$E49*INDEX(tblKurallar[deger_2025],MATCH("TBA-004",tblKurallar[kural_id],0))+$F49*tba_isverenOran,2),0))</f>
        <v/>
      </c>
      <c r="I49" s="31">
        <f>IF($A49="","",IFERROR(MAX(0,$H49-$G49),0))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ERROR(ROUND($C50*INDEX(tblKurallar[deger_2025],MATCH("TBA-001",tblKurallar[kural_id],0))+$D50*INDEX(tblKurallar[deger_2025],MATCH("TBA-002",tblKurallar[kural_id],0))+$E50*INDEX(tblKurallar[deger_2025],MATCH("TBA-004",tblKurallar[kural_id],0))+$F50*tba_isverenOran,2),0))</f>
        <v/>
      </c>
      <c r="I50" s="31">
        <f>IF($A50="","",IFERROR(MAX(0,$H50-$G50),0))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ERROR(ROUND($C51*INDEX(tblKurallar[deger_2025],MATCH("TBA-001",tblKurallar[kural_id],0))+$D51*INDEX(tblKurallar[deger_2025],MATCH("TBA-002",tblKurallar[kural_id],0))+$E51*INDEX(tblKurallar[deger_2025],MATCH("TBA-004",tblKurallar[kural_id],0))+$F51*tba_isverenOran,2),0))</f>
        <v/>
      </c>
      <c r="I51" s="31">
        <f>IF($A51="","",IFERROR(MAX(0,$H51-$G51),0))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ERROR(ROUND($C52*INDEX(tblKurallar[deger_2025],MATCH("TBA-001",tblKurallar[kural_id],0))+$D52*INDEX(tblKurallar[deger_2025],MATCH("TBA-002",tblKurallar[kural_id],0))+$E52*INDEX(tblKurallar[deger_2025],MATCH("TBA-004",tblKurallar[kural_id],0))+$F52*tba_isverenOran,2),0))</f>
        <v/>
      </c>
      <c r="I52" s="31">
        <f>IF($A52="","",IFERROR(MAX(0,$H52-$G52),0))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ERROR(ROUND($C53*INDEX(tblKurallar[deger_2025],MATCH("TBA-001",tblKurallar[kural_id],0))+$D53*INDEX(tblKurallar[deger_2025],MATCH("TBA-002",tblKurallar[kural_id],0))+$E53*INDEX(tblKurallar[deger_2025],MATCH("TBA-004",tblKurallar[kural_id],0))+$F53*tba_isverenOran,2),0))</f>
        <v/>
      </c>
      <c r="I53" s="31">
        <f>IF($A53="","",IFERROR(MAX(0,$H53-$G53),0))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ERROR(ROUND($C54*INDEX(tblKurallar[deger_2025],MATCH("TBA-001",tblKurallar[kural_id],0))+$D54*INDEX(tblKurallar[deger_2025],MATCH("TBA-002",tblKurallar[kural_id],0))+$E54*INDEX(tblKurallar[deger_2025],MATCH("TBA-004",tblKurallar[kural_id],0))+$F54*tba_isverenOran,2),0))</f>
        <v/>
      </c>
      <c r="I54" s="31">
        <f>IF($A54="","",IFERROR(MAX(0,$H54-$G54),0))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ERROR(ROUND($C55*INDEX(tblKurallar[deger_2025],MATCH("TBA-001",tblKurallar[kural_id],0))+$D55*INDEX(tblKurallar[deger_2025],MATCH("TBA-002",tblKurallar[kural_id],0))+$E55*INDEX(tblKurallar[deger_2025],MATCH("TBA-004",tblKurallar[kural_id],0))+$F55*tba_isverenOran,2),0))</f>
        <v/>
      </c>
      <c r="I55" s="31">
        <f>IF($A55="","",IFERROR(MAX(0,$H55-$G55),0))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ERROR(ROUND($C56*INDEX(tblKurallar[deger_2025],MATCH("TBA-001",tblKurallar[kural_id],0))+$D56*INDEX(tblKurallar[deger_2025],MATCH("TBA-002",tblKurallar[kural_id],0))+$E56*INDEX(tblKurallar[deger_2025],MATCH("TBA-004",tblKurallar[kural_id],0))+$F56*tba_isverenOran,2),0))</f>
        <v/>
      </c>
      <c r="I56" s="31">
        <f>IF($A56="","",IFERROR(MAX(0,$H56-$G56),0))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1">
        <f>IF($A57="","",IFERROR(ROUND($C57*INDEX(tblKurallar[deger_2025],MATCH("TBA-001",tblKurallar[kural_id],0))+$D57*INDEX(tblKurallar[deger_2025],MATCH("TBA-002",tblKurallar[kural_id],0))+$E57*INDEX(tblKurallar[deger_2025],MATCH("TBA-004",tblKurallar[kural_id],0))+$F57*tba_isverenOran,2),0))</f>
        <v/>
      </c>
      <c r="I57" s="31">
        <f>IF($A57="","",IFERROR(MAX(0,$H57-$G57),0))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1">
        <f>IF($A58="","",IFERROR(ROUND($C58*INDEX(tblKurallar[deger_2025],MATCH("TBA-001",tblKurallar[kural_id],0))+$D58*INDEX(tblKurallar[deger_2025],MATCH("TBA-002",tblKurallar[kural_id],0))+$E58*INDEX(tblKurallar[deger_2025],MATCH("TBA-004",tblKurallar[kural_id],0))+$F58*tba_isverenOran,2),0))</f>
        <v/>
      </c>
      <c r="I58" s="31">
        <f>IF($A58="","",IFERROR(MAX(0,$H58-$G58),0))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1">
        <f>IF($A59="","",IFERROR(ROUND($C59*INDEX(tblKurallar[deger_2025],MATCH("TBA-001",tblKurallar[kural_id],0))+$D59*INDEX(tblKurallar[deger_2025],MATCH("TBA-002",tblKurallar[kural_id],0))+$E59*INDEX(tblKurallar[deger_2025],MATCH("TBA-004",tblKurallar[kural_id],0))+$F59*tba_isverenOran,2),0))</f>
        <v/>
      </c>
      <c r="I59" s="31">
        <f>IF($A59="","",IFERROR(MAX(0,$H59-$G59),0))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1">
        <f>IF($A60="","",IFERROR(ROUND($C60*INDEX(tblKurallar[deger_2025],MATCH("TBA-001",tblKurallar[kural_id],0))+$D60*INDEX(tblKurallar[deger_2025],MATCH("TBA-002",tblKurallar[kural_id],0))+$E60*INDEX(tblKurallar[deger_2025],MATCH("TBA-004",tblKurallar[kural_id],0))+$F60*tba_isverenOran,2),0))</f>
        <v/>
      </c>
      <c r="I60" s="31">
        <f>IF($A60="","",IFERROR(MAX(0,$H60-$G60),0))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1">
        <f>IF($A61="","",IFERROR(ROUND($C61*INDEX(tblKurallar[deger_2025],MATCH("TBA-001",tblKurallar[kural_id],0))+$D61*INDEX(tblKurallar[deger_2025],MATCH("TBA-002",tblKurallar[kural_id],0))+$E61*INDEX(tblKurallar[deger_2025],MATCH("TBA-004",tblKurallar[kural_id],0))+$F61*tba_isverenOran,2),0))</f>
        <v/>
      </c>
      <c r="I61" s="31">
        <f>IF($A61="","",IFERROR(MAX(0,$H61-$G61),0))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1">
        <f>IF($A62="","",IFERROR(ROUND($C62*INDEX(tblKurallar[deger_2025],MATCH("TBA-001",tblKurallar[kural_id],0))+$D62*INDEX(tblKurallar[deger_2025],MATCH("TBA-002",tblKurallar[kural_id],0))+$E62*INDEX(tblKurallar[deger_2025],MATCH("TBA-004",tblKurallar[kural_id],0))+$F62*tba_isverenOran,2),0))</f>
        <v/>
      </c>
      <c r="I62" s="31">
        <f>IF($A62="","",IFERROR(MAX(0,$H62-$G62),0))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1">
        <f>IF($A63="","",IFERROR(ROUND($C63*INDEX(tblKurallar[deger_2025],MATCH("TBA-001",tblKurallar[kural_id],0))+$D63*INDEX(tblKurallar[deger_2025],MATCH("TBA-002",tblKurallar[kural_id],0))+$E63*INDEX(tblKurallar[deger_2025],MATCH("TBA-004",tblKurallar[kural_id],0))+$F63*tba_isverenOran,2),0))</f>
        <v/>
      </c>
      <c r="I63" s="31">
        <f>IF($A63="","",IFERROR(MAX(0,$H63-$G63),0))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1">
        <f>IF($A64="","",IFERROR(ROUND($C64*INDEX(tblKurallar[deger_2025],MATCH("TBA-001",tblKurallar[kural_id],0))+$D64*INDEX(tblKurallar[deger_2025],MATCH("TBA-002",tblKurallar[kural_id],0))+$E64*INDEX(tblKurallar[deger_2025],MATCH("TBA-004",tblKurallar[kural_id],0))+$F64*tba_isverenOran,2),0))</f>
        <v/>
      </c>
      <c r="I64" s="31">
        <f>IF($A64="","",IFERROR(MAX(0,$H64-$G64),0))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1">
        <f>IF($A65="","",IFERROR(ROUND($C65*INDEX(tblKurallar[deger_2025],MATCH("TBA-001",tblKurallar[kural_id],0))+$D65*INDEX(tblKurallar[deger_2025],MATCH("TBA-002",tblKurallar[kural_id],0))+$E65*INDEX(tblKurallar[deger_2025],MATCH("TBA-004",tblKurallar[kural_id],0))+$F65*tba_isverenOran,2),0))</f>
        <v/>
      </c>
      <c r="I65" s="31">
        <f>IF($A65="","",IFERROR(MAX(0,$H65-$G65),0))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1">
        <f>IF($A66="","",IFERROR(ROUND($C66*INDEX(tblKurallar[deger_2025],MATCH("TBA-001",tblKurallar[kural_id],0))+$D66*INDEX(tblKurallar[deger_2025],MATCH("TBA-002",tblKurallar[kural_id],0))+$E66*INDEX(tblKurallar[deger_2025],MATCH("TBA-004",tblKurallar[kural_id],0))+$F66*tba_isverenOran,2),0))</f>
        <v/>
      </c>
      <c r="I66" s="31">
        <f>IF($A66="","",IFERROR(MAX(0,$H66-$G66),0))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1">
        <f>IF($A67="","",IFERROR(ROUND($C67*INDEX(tblKurallar[deger_2025],MATCH("TBA-001",tblKurallar[kural_id],0))+$D67*INDEX(tblKurallar[deger_2025],MATCH("TBA-002",tblKurallar[kural_id],0))+$E67*INDEX(tblKurallar[deger_2025],MATCH("TBA-004",tblKurallar[kural_id],0))+$F67*tba_isverenOran,2),0))</f>
        <v/>
      </c>
      <c r="I67" s="31">
        <f>IF($A67="","",IFERROR(MAX(0,$H67-$G67),0))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1">
        <f>IF($A68="","",IFERROR(ROUND($C68*INDEX(tblKurallar[deger_2025],MATCH("TBA-001",tblKurallar[kural_id],0))+$D68*INDEX(tblKurallar[deger_2025],MATCH("TBA-002",tblKurallar[kural_id],0))+$E68*INDEX(tblKurallar[deger_2025],MATCH("TBA-004",tblKurallar[kural_id],0))+$F68*tba_isverenOran,2),0))</f>
        <v/>
      </c>
      <c r="I68" s="31">
        <f>IF($A68="","",IFERROR(MAX(0,$H68-$G68),0))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1">
        <f>IF($A69="","",IFERROR(ROUND($C69*INDEX(tblKurallar[deger_2025],MATCH("TBA-001",tblKurallar[kural_id],0))+$D69*INDEX(tblKurallar[deger_2025],MATCH("TBA-002",tblKurallar[kural_id],0))+$E69*INDEX(tblKurallar[deger_2025],MATCH("TBA-004",tblKurallar[kural_id],0))+$F69*tba_isverenOran,2),0))</f>
        <v/>
      </c>
      <c r="I69" s="31">
        <f>IF($A69="","",IFERROR(MAX(0,$H69-$G69),0))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1">
        <f>IF($A70="","",IFERROR(ROUND($C70*INDEX(tblKurallar[deger_2025],MATCH("TBA-001",tblKurallar[kural_id],0))+$D70*INDEX(tblKurallar[deger_2025],MATCH("TBA-002",tblKurallar[kural_id],0))+$E70*INDEX(tblKurallar[deger_2025],MATCH("TBA-004",tblKurallar[kural_id],0))+$F70*tba_isverenOran,2),0))</f>
        <v/>
      </c>
      <c r="I70" s="31">
        <f>IF($A70="","",IFERROR(MAX(0,$H70-$G70),0))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1">
        <f>IF($A71="","",IFERROR(ROUND($C71*INDEX(tblKurallar[deger_2025],MATCH("TBA-001",tblKurallar[kural_id],0))+$D71*INDEX(tblKurallar[deger_2025],MATCH("TBA-002",tblKurallar[kural_id],0))+$E71*INDEX(tblKurallar[deger_2025],MATCH("TBA-004",tblKurallar[kural_id],0))+$F71*tba_isverenOran,2),0))</f>
        <v/>
      </c>
      <c r="I71" s="31">
        <f>IF($A71="","",IFERROR(MAX(0,$H71-$G71),0))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1">
        <f>IF($A72="","",IFERROR(ROUND($C72*INDEX(tblKurallar[deger_2025],MATCH("TBA-001",tblKurallar[kural_id],0))+$D72*INDEX(tblKurallar[deger_2025],MATCH("TBA-002",tblKurallar[kural_id],0))+$E72*INDEX(tblKurallar[deger_2025],MATCH("TBA-004",tblKurallar[kural_id],0))+$F72*tba_isverenOran,2),0))</f>
        <v/>
      </c>
      <c r="I72" s="31">
        <f>IF($A72="","",IFERROR(MAX(0,$H72-$G72),0))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1">
        <f>IF($A73="","",IFERROR(ROUND($C73*INDEX(tblKurallar[deger_2025],MATCH("TBA-001",tblKurallar[kural_id],0))+$D73*INDEX(tblKurallar[deger_2025],MATCH("TBA-002",tblKurallar[kural_id],0))+$E73*INDEX(tblKurallar[deger_2025],MATCH("TBA-004",tblKurallar[kural_id],0))+$F73*tba_isverenOran,2),0))</f>
        <v/>
      </c>
      <c r="I73" s="31">
        <f>IF($A73="","",IFERROR(MAX(0,$H73-$G73),0))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1">
        <f>IF($A74="","",IFERROR(ROUND($C74*INDEX(tblKurallar[deger_2025],MATCH("TBA-001",tblKurallar[kural_id],0))+$D74*INDEX(tblKurallar[deger_2025],MATCH("TBA-002",tblKurallar[kural_id],0))+$E74*INDEX(tblKurallar[deger_2025],MATCH("TBA-004",tblKurallar[kural_id],0))+$F74*tba_isverenOran,2),0))</f>
        <v/>
      </c>
      <c r="I74" s="31">
        <f>IF($A74="","",IFERROR(MAX(0,$H74-$G74),0))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1">
        <f>IF($A75="","",IFERROR(ROUND($C75*INDEX(tblKurallar[deger_2025],MATCH("TBA-001",tblKurallar[kural_id],0))+$D75*INDEX(tblKurallar[deger_2025],MATCH("TBA-002",tblKurallar[kural_id],0))+$E75*INDEX(tblKurallar[deger_2025],MATCH("TBA-004",tblKurallar[kural_id],0))+$F75*tba_isverenOran,2),0))</f>
        <v/>
      </c>
      <c r="I75" s="31">
        <f>IF($A75="","",IFERROR(MAX(0,$H75-$G75),0))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1">
        <f>IF($A76="","",IFERROR(ROUND($C76*INDEX(tblKurallar[deger_2025],MATCH("TBA-001",tblKurallar[kural_id],0))+$D76*INDEX(tblKurallar[deger_2025],MATCH("TBA-002",tblKurallar[kural_id],0))+$E76*INDEX(tblKurallar[deger_2025],MATCH("TBA-004",tblKurallar[kural_id],0))+$F76*tba_isverenOran,2),0))</f>
        <v/>
      </c>
      <c r="I76" s="31">
        <f>IF($A76="","",IFERROR(MAX(0,$H76-$G76),0))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1">
        <f>IF($A77="","",IFERROR(ROUND($C77*INDEX(tblKurallar[deger_2025],MATCH("TBA-001",tblKurallar[kural_id],0))+$D77*INDEX(tblKurallar[deger_2025],MATCH("TBA-002",tblKurallar[kural_id],0))+$E77*INDEX(tblKurallar[deger_2025],MATCH("TBA-004",tblKurallar[kural_id],0))+$F77*tba_isverenOran,2),0))</f>
        <v/>
      </c>
      <c r="I77" s="31">
        <f>IF($A77="","",IFERROR(MAX(0,$H77-$G77),0))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1">
        <f>IF($A78="","",IFERROR(ROUND($C78*INDEX(tblKurallar[deger_2025],MATCH("TBA-001",tblKurallar[kural_id],0))+$D78*INDEX(tblKurallar[deger_2025],MATCH("TBA-002",tblKurallar[kural_id],0))+$E78*INDEX(tblKurallar[deger_2025],MATCH("TBA-004",tblKurallar[kural_id],0))+$F78*tba_isverenOran,2),0))</f>
        <v/>
      </c>
      <c r="I78" s="31">
        <f>IF($A78="","",IFERROR(MAX(0,$H78-$G78),0))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1">
        <f>IF($A79="","",IFERROR(ROUND($C79*INDEX(tblKurallar[deger_2025],MATCH("TBA-001",tblKurallar[kural_id],0))+$D79*INDEX(tblKurallar[deger_2025],MATCH("TBA-002",tblKurallar[kural_id],0))+$E79*INDEX(tblKurallar[deger_2025],MATCH("TBA-004",tblKurallar[kural_id],0))+$F79*tba_isverenOran,2),0))</f>
        <v/>
      </c>
      <c r="I79" s="31">
        <f>IF($A79="","",IFERROR(MAX(0,$H79-$G79),0))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1">
        <f>IF($A80="","",IFERROR(ROUND($C80*INDEX(tblKurallar[deger_2025],MATCH("TBA-001",tblKurallar[kural_id],0))+$D80*INDEX(tblKurallar[deger_2025],MATCH("TBA-002",tblKurallar[kural_id],0))+$E80*INDEX(tblKurallar[deger_2025],MATCH("TBA-004",tblKurallar[kural_id],0))+$F80*tba_isverenOran,2),0))</f>
        <v/>
      </c>
      <c r="I80" s="31">
        <f>IF($A80="","",IFERROR(MAX(0,$H80-$G80),0))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1">
        <f>IF($A81="","",IFERROR(ROUND($C81*INDEX(tblKurallar[deger_2025],MATCH("TBA-001",tblKurallar[kural_id],0))+$D81*INDEX(tblKurallar[deger_2025],MATCH("TBA-002",tblKurallar[kural_id],0))+$E81*INDEX(tblKurallar[deger_2025],MATCH("TBA-004",tblKurallar[kural_id],0))+$F81*tba_isverenOran,2),0))</f>
        <v/>
      </c>
      <c r="I81" s="31">
        <f>IF($A81="","",IFERROR(MAX(0,$H81-$G81),0))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1">
        <f>IF($A82="","",IFERROR(ROUND($C82*INDEX(tblKurallar[deger_2025],MATCH("TBA-001",tblKurallar[kural_id],0))+$D82*INDEX(tblKurallar[deger_2025],MATCH("TBA-002",tblKurallar[kural_id],0))+$E82*INDEX(tblKurallar[deger_2025],MATCH("TBA-004",tblKurallar[kural_id],0))+$F82*tba_isverenOran,2),0))</f>
        <v/>
      </c>
      <c r="I82" s="31">
        <f>IF($A82="","",IFERROR(MAX(0,$H82-$G82),0))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1">
        <f>IF($A83="","",IFERROR(ROUND($C83*INDEX(tblKurallar[deger_2025],MATCH("TBA-001",tblKurallar[kural_id],0))+$D83*INDEX(tblKurallar[deger_2025],MATCH("TBA-002",tblKurallar[kural_id],0))+$E83*INDEX(tblKurallar[deger_2025],MATCH("TBA-004",tblKurallar[kural_id],0))+$F83*tba_isverenOran,2),0))</f>
        <v/>
      </c>
      <c r="I83" s="31">
        <f>IF($A83="","",IFERROR(MAX(0,$H83-$G83),0))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1">
        <f>IF($A84="","",IFERROR(ROUND($C84*INDEX(tblKurallar[deger_2025],MATCH("TBA-001",tblKurallar[kural_id],0))+$D84*INDEX(tblKurallar[deger_2025],MATCH("TBA-002",tblKurallar[kural_id],0))+$E84*INDEX(tblKurallar[deger_2025],MATCH("TBA-004",tblKurallar[kural_id],0))+$F84*tba_isverenOran,2),0))</f>
        <v/>
      </c>
      <c r="I84" s="31">
        <f>IF($A84="","",IFERROR(MAX(0,$H84-$G84),0))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1">
        <f>IF($A85="","",IFERROR(ROUND($C85*INDEX(tblKurallar[deger_2025],MATCH("TBA-001",tblKurallar[kural_id],0))+$D85*INDEX(tblKurallar[deger_2025],MATCH("TBA-002",tblKurallar[kural_id],0))+$E85*INDEX(tblKurallar[deger_2025],MATCH("TBA-004",tblKurallar[kural_id],0))+$F85*tba_isverenOran,2),0))</f>
        <v/>
      </c>
      <c r="I85" s="31">
        <f>IF($A85="","",IFERROR(MAX(0,$H85-$G85),0))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1">
        <f>IF($A86="","",IFERROR(ROUND($C86*INDEX(tblKurallar[deger_2025],MATCH("TBA-001",tblKurallar[kural_id],0))+$D86*INDEX(tblKurallar[deger_2025],MATCH("TBA-002",tblKurallar[kural_id],0))+$E86*INDEX(tblKurallar[deger_2025],MATCH("TBA-004",tblKurallar[kural_id],0))+$F86*tba_isverenOran,2),0))</f>
        <v/>
      </c>
      <c r="I86" s="31">
        <f>IF($A86="","",IFERROR(MAX(0,$H86-$G86),0))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1">
        <f>IF($A87="","",IFERROR(ROUND($C87*INDEX(tblKurallar[deger_2025],MATCH("TBA-001",tblKurallar[kural_id],0))+$D87*INDEX(tblKurallar[deger_2025],MATCH("TBA-002",tblKurallar[kural_id],0))+$E87*INDEX(tblKurallar[deger_2025],MATCH("TBA-004",tblKurallar[kural_id],0))+$F87*tba_isverenOran,2),0))</f>
        <v/>
      </c>
      <c r="I87" s="31">
        <f>IF($A87="","",IFERROR(MAX(0,$H87-$G87),0))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1">
        <f>IF($A88="","",IFERROR(ROUND($C88*INDEX(tblKurallar[deger_2025],MATCH("TBA-001",tblKurallar[kural_id],0))+$D88*INDEX(tblKurallar[deger_2025],MATCH("TBA-002",tblKurallar[kural_id],0))+$E88*INDEX(tblKurallar[deger_2025],MATCH("TBA-004",tblKurallar[kural_id],0))+$F88*tba_isverenOran,2),0))</f>
        <v/>
      </c>
      <c r="I88" s="31">
        <f>IF($A88="","",IFERROR(MAX(0,$H88-$G88),0))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1">
        <f>IF($A89="","",IFERROR(ROUND($C89*INDEX(tblKurallar[deger_2025],MATCH("TBA-001",tblKurallar[kural_id],0))+$D89*INDEX(tblKurallar[deger_2025],MATCH("TBA-002",tblKurallar[kural_id],0))+$E89*INDEX(tblKurallar[deger_2025],MATCH("TBA-004",tblKurallar[kural_id],0))+$F89*tba_isverenOran,2),0))</f>
        <v/>
      </c>
      <c r="I89" s="31">
        <f>IF($A89="","",IFERROR(MAX(0,$H89-$G89),0))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1">
        <f>IF($A90="","",IFERROR(ROUND($C90*INDEX(tblKurallar[deger_2025],MATCH("TBA-001",tblKurallar[kural_id],0))+$D90*INDEX(tblKurallar[deger_2025],MATCH("TBA-002",tblKurallar[kural_id],0))+$E90*INDEX(tblKurallar[deger_2025],MATCH("TBA-004",tblKurallar[kural_id],0))+$F90*tba_isverenOran,2),0))</f>
        <v/>
      </c>
      <c r="I90" s="31">
        <f>IF($A90="","",IFERROR(MAX(0,$H90-$G90),0))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1">
        <f>IF($A91="","",IFERROR(ROUND($C91*INDEX(tblKurallar[deger_2025],MATCH("TBA-001",tblKurallar[kural_id],0))+$D91*INDEX(tblKurallar[deger_2025],MATCH("TBA-002",tblKurallar[kural_id],0))+$E91*INDEX(tblKurallar[deger_2025],MATCH("TBA-004",tblKurallar[kural_id],0))+$F91*tba_isverenOran,2),0))</f>
        <v/>
      </c>
      <c r="I91" s="31">
        <f>IF($A91="","",IFERROR(MAX(0,$H91-$G91),0))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1">
        <f>IF($A92="","",IFERROR(ROUND($C92*INDEX(tblKurallar[deger_2025],MATCH("TBA-001",tblKurallar[kural_id],0))+$D92*INDEX(tblKurallar[deger_2025],MATCH("TBA-002",tblKurallar[kural_id],0))+$E92*INDEX(tblKurallar[deger_2025],MATCH("TBA-004",tblKurallar[kural_id],0))+$F92*tba_isverenOran,2),0))</f>
        <v/>
      </c>
      <c r="I92" s="31">
        <f>IF($A92="","",IFERROR(MAX(0,$H92-$G92),0))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1">
        <f>IF($A93="","",IFERROR(ROUND($C93*INDEX(tblKurallar[deger_2025],MATCH("TBA-001",tblKurallar[kural_id],0))+$D93*INDEX(tblKurallar[deger_2025],MATCH("TBA-002",tblKurallar[kural_id],0))+$E93*INDEX(tblKurallar[deger_2025],MATCH("TBA-004",tblKurallar[kural_id],0))+$F93*tba_isverenOran,2),0))</f>
        <v/>
      </c>
      <c r="I93" s="31">
        <f>IF($A93="","",IFERROR(MAX(0,$H93-$G93),0))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1">
        <f>IF($A94="","",IFERROR(ROUND($C94*INDEX(tblKurallar[deger_2025],MATCH("TBA-001",tblKurallar[kural_id],0))+$D94*INDEX(tblKurallar[deger_2025],MATCH("TBA-002",tblKurallar[kural_id],0))+$E94*INDEX(tblKurallar[deger_2025],MATCH("TBA-004",tblKurallar[kural_id],0))+$F94*tba_isverenOran,2),0))</f>
        <v/>
      </c>
      <c r="I94" s="31">
        <f>IF($A94="","",IFERROR(MAX(0,$H94-$G94),0))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1">
        <f>IF($A95="","",IFERROR(ROUND($C95*INDEX(tblKurallar[deger_2025],MATCH("TBA-001",tblKurallar[kural_id],0))+$D95*INDEX(tblKurallar[deger_2025],MATCH("TBA-002",tblKurallar[kural_id],0))+$E95*INDEX(tblKurallar[deger_2025],MATCH("TBA-004",tblKurallar[kural_id],0))+$F95*tba_isverenOran,2),0))</f>
        <v/>
      </c>
      <c r="I95" s="31">
        <f>IF($A95="","",IFERROR(MAX(0,$H95-$G95),0))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1">
        <f>IF($A96="","",IFERROR(ROUND($C96*INDEX(tblKurallar[deger_2025],MATCH("TBA-001",tblKurallar[kural_id],0))+$D96*INDEX(tblKurallar[deger_2025],MATCH("TBA-002",tblKurallar[kural_id],0))+$E96*INDEX(tblKurallar[deger_2025],MATCH("TBA-004",tblKurallar[kural_id],0))+$F96*tba_isverenOran,2),0))</f>
        <v/>
      </c>
      <c r="I96" s="31">
        <f>IF($A96="","",IFERROR(MAX(0,$H96-$G96),0))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1">
        <f>IF($A97="","",IFERROR(ROUND($C97*INDEX(tblKurallar[deger_2025],MATCH("TBA-001",tblKurallar[kural_id],0))+$D97*INDEX(tblKurallar[deger_2025],MATCH("TBA-002",tblKurallar[kural_id],0))+$E97*INDEX(tblKurallar[deger_2025],MATCH("TBA-004",tblKurallar[kural_id],0))+$F97*tba_isverenOran,2),0))</f>
        <v/>
      </c>
      <c r="I97" s="31">
        <f>IF($A97="","",IFERROR(MAX(0,$H97-$G97),0))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1">
        <f>IF($A98="","",IFERROR(ROUND($C98*INDEX(tblKurallar[deger_2025],MATCH("TBA-001",tblKurallar[kural_id],0))+$D98*INDEX(tblKurallar[deger_2025],MATCH("TBA-002",tblKurallar[kural_id],0))+$E98*INDEX(tblKurallar[deger_2025],MATCH("TBA-004",tblKurallar[kural_id],0))+$F98*tba_isverenOran,2),0))</f>
        <v/>
      </c>
      <c r="I98" s="31">
        <f>IF($A98="","",IFERROR(MAX(0,$H98-$G98),0))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1">
        <f>IF($A99="","",IFERROR(ROUND($C99*INDEX(tblKurallar[deger_2025],MATCH("TBA-001",tblKurallar[kural_id],0))+$D99*INDEX(tblKurallar[deger_2025],MATCH("TBA-002",tblKurallar[kural_id],0))+$E99*INDEX(tblKurallar[deger_2025],MATCH("TBA-004",tblKurallar[kural_id],0))+$F99*tba_isverenOran,2),0))</f>
        <v/>
      </c>
      <c r="I99" s="31">
        <f>IF($A99="","",IFERROR(MAX(0,$H99-$G99),0))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1">
        <f>IF($A100="","",IFERROR(ROUND($C100*INDEX(tblKurallar[deger_2025],MATCH("TBA-001",tblKurallar[kural_id],0))+$D100*INDEX(tblKurallar[deger_2025],MATCH("TBA-002",tblKurallar[kural_id],0))+$E100*INDEX(tblKurallar[deger_2025],MATCH("TBA-004",tblKurallar[kural_id],0))+$F100*tba_isverenOran,2),0))</f>
        <v/>
      </c>
      <c r="I100" s="31">
        <f>IF($A100="","",IFERROR(MAX(0,$H100-$G100),0))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1">
        <f>IF($A101="","",IFERROR(ROUND($C101*INDEX(tblKurallar[deger_2025],MATCH("TBA-001",tblKurallar[kural_id],0))+$D101*INDEX(tblKurallar[deger_2025],MATCH("TBA-002",tblKurallar[kural_id],0))+$E101*INDEX(tblKurallar[deger_2025],MATCH("TBA-004",tblKurallar[kural_id],0))+$F101*tba_isverenOran,2),0))</f>
        <v/>
      </c>
      <c r="I101" s="31">
        <f>IF($A101="","",IFERROR(MAX(0,$H101-$G101),0))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1">
        <f>IF($A102="","",IFERROR(ROUND($C102*INDEX(tblKurallar[deger_2025],MATCH("TBA-001",tblKurallar[kural_id],0))+$D102*INDEX(tblKurallar[deger_2025],MATCH("TBA-002",tblKurallar[kural_id],0))+$E102*INDEX(tblKurallar[deger_2025],MATCH("TBA-004",tblKurallar[kural_id],0))+$F102*tba_isverenOran,2),0))</f>
        <v/>
      </c>
      <c r="I102" s="31">
        <f>IF($A102="","",IFERROR(MAX(0,$H102-$G102),0))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1">
        <f>IF($A103="","",IFERROR(ROUND($C103*INDEX(tblKurallar[deger_2025],MATCH("TBA-001",tblKurallar[kural_id],0))+$D103*INDEX(tblKurallar[deger_2025],MATCH("TBA-002",tblKurallar[kural_id],0))+$E103*INDEX(tblKurallar[deger_2025],MATCH("TBA-004",tblKurallar[kural_id],0))+$F103*tba_isverenOran,2),0))</f>
        <v/>
      </c>
      <c r="I103" s="31">
        <f>IF($A103="","",IFERROR(MAX(0,$H103-$G103),0))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1">
        <f>IF($A104="","",IFERROR(ROUND($C104*INDEX(tblKurallar[deger_2025],MATCH("TBA-001",tblKurallar[kural_id],0))+$D104*INDEX(tblKurallar[deger_2025],MATCH("TBA-002",tblKurallar[kural_id],0))+$E104*INDEX(tblKurallar[deger_2025],MATCH("TBA-004",tblKurallar[kural_id],0))+$F104*tba_isverenOran,2),0))</f>
        <v/>
      </c>
      <c r="I104" s="31">
        <f>IF($A104="","",IFERROR(MAX(0,$H104-$G104),0))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0" t="n"/>
      <c r="H105" s="31">
        <f>IF($A105="","",IFERROR(ROUND($C105*INDEX(tblKurallar[deger_2025],MATCH("TBA-001",tblKurallar[kural_id],0))+$D105*INDEX(tblKurallar[deger_2025],MATCH("TBA-002",tblKurallar[kural_id],0))+$E105*INDEX(tblKurallar[deger_2025],MATCH("TBA-004",tblKurallar[kural_id],0))+$F105*tba_isverenOran,2),0))</f>
        <v/>
      </c>
      <c r="I105" s="31">
        <f>IF($A105="","",IFERROR(MAX(0,$H105-$G105),0))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0" t="n"/>
      <c r="H106" s="31">
        <f>IF($A106="","",IFERROR(ROUND($C106*INDEX(tblKurallar[deger_2025],MATCH("TBA-001",tblKurallar[kural_id],0))+$D106*INDEX(tblKurallar[deger_2025],MATCH("TBA-002",tblKurallar[kural_id],0))+$E106*INDEX(tblKurallar[deger_2025],MATCH("TBA-004",tblKurallar[kural_id],0))+$F106*tba_isverenOran,2),0))</f>
        <v/>
      </c>
      <c r="I106" s="31">
        <f>IF($A106="","",IFERROR(MAX(0,$H106-$G106),0))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0" t="n"/>
      <c r="H107" s="31">
        <f>IF($A107="","",IFERROR(ROUND($C107*INDEX(tblKurallar[deger_2025],MATCH("TBA-001",tblKurallar[kural_id],0))+$D107*INDEX(tblKurallar[deger_2025],MATCH("TBA-002",tblKurallar[kural_id],0))+$E107*INDEX(tblKurallar[deger_2025],MATCH("TBA-004",tblKurallar[kural_id],0))+$F107*tba_isverenOran,2),0))</f>
        <v/>
      </c>
      <c r="I107" s="31">
        <f>IF($A107="","",IFERROR(MAX(0,$H107-$G107),0))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0" t="n"/>
      <c r="H108" s="31">
        <f>IF($A108="","",IFERROR(ROUND($C108*INDEX(tblKurallar[deger_2025],MATCH("TBA-001",tblKurallar[kural_id],0))+$D108*INDEX(tblKurallar[deger_2025],MATCH("TBA-002",tblKurallar[kural_id],0))+$E108*INDEX(tblKurallar[deger_2025],MATCH("TBA-004",tblKurallar[kural_id],0))+$F108*tba_isverenOran,2),0))</f>
        <v/>
      </c>
      <c r="I108" s="31">
        <f>IF($A108="","",IFERROR(MAX(0,$H108-$G108),0))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0" t="n"/>
      <c r="H109" s="31">
        <f>IF($A109="","",IFERROR(ROUND($C109*INDEX(tblKurallar[deger_2025],MATCH("TBA-001",tblKurallar[kural_id],0))+$D109*INDEX(tblKurallar[deger_2025],MATCH("TBA-002",tblKurallar[kural_id],0))+$E109*INDEX(tblKurallar[deger_2025],MATCH("TBA-004",tblKurallar[kural_id],0))+$F109*tba_isverenOran,2),0))</f>
        <v/>
      </c>
      <c r="I109" s="31">
        <f>IF($A109="","",IFERROR(MAX(0,$H109-$G109),0))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0" t="n"/>
      <c r="H110" s="31">
        <f>IF($A110="","",IFERROR(ROUND($C110*INDEX(tblKurallar[deger_2025],MATCH("TBA-001",tblKurallar[kural_id],0))+$D110*INDEX(tblKurallar[deger_2025],MATCH("TBA-002",tblKurallar[kural_id],0))+$E110*INDEX(tblKurallar[deger_2025],MATCH("TBA-004",tblKurallar[kural_id],0))+$F110*tba_isverenOran,2),0))</f>
        <v/>
      </c>
      <c r="I110" s="31">
        <f>IF($A110="","",IFERROR(MAX(0,$H110-$G110),0))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0" t="n"/>
      <c r="H111" s="31">
        <f>IF($A111="","",IFERROR(ROUND($C111*INDEX(tblKurallar[deger_2025],MATCH("TBA-001",tblKurallar[kural_id],0))+$D111*INDEX(tblKurallar[deger_2025],MATCH("TBA-002",tblKurallar[kural_id],0))+$E111*INDEX(tblKurallar[deger_2025],MATCH("TBA-004",tblKurallar[kural_id],0))+$F111*tba_isverenOran,2),0))</f>
        <v/>
      </c>
      <c r="I111" s="31">
        <f>IF($A111="","",IFERROR(MAX(0,$H111-$G111),0))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0" t="n"/>
      <c r="H112" s="31">
        <f>IF($A112="","",IFERROR(ROUND($C112*INDEX(tblKurallar[deger_2025],MATCH("TBA-001",tblKurallar[kural_id],0))+$D112*INDEX(tblKurallar[deger_2025],MATCH("TBA-002",tblKurallar[kural_id],0))+$E112*INDEX(tblKurallar[deger_2025],MATCH("TBA-004",tblKurallar[kural_id],0))+$F112*tba_isverenOran,2),0))</f>
        <v/>
      </c>
      <c r="I112" s="31">
        <f>IF($A112="","",IFERROR(MAX(0,$H112-$G112),0))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0" t="n"/>
      <c r="H113" s="31">
        <f>IF($A113="","",IFERROR(ROUND($C113*INDEX(tblKurallar[deger_2025],MATCH("TBA-001",tblKurallar[kural_id],0))+$D113*INDEX(tblKurallar[deger_2025],MATCH("TBA-002",tblKurallar[kural_id],0))+$E113*INDEX(tblKurallar[deger_2025],MATCH("TBA-004",tblKurallar[kural_id],0))+$F113*tba_isverenOran,2),0))</f>
        <v/>
      </c>
      <c r="I113" s="31">
        <f>IF($A113="","",IFERROR(MAX(0,$H113-$G113),0))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0" t="n"/>
      <c r="H114" s="31">
        <f>IF($A114="","",IFERROR(ROUND($C114*INDEX(tblKurallar[deger_2025],MATCH("TBA-001",tblKurallar[kural_id],0))+$D114*INDEX(tblKurallar[deger_2025],MATCH("TBA-002",tblKurallar[kural_id],0))+$E114*INDEX(tblKurallar[deger_2025],MATCH("TBA-004",tblKurallar[kural_id],0))+$F114*tba_isverenOran,2),0))</f>
        <v/>
      </c>
      <c r="I114" s="31">
        <f>IF($A114="","",IFERROR(MAX(0,$H114-$G114),0))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0" t="n"/>
      <c r="H115" s="31">
        <f>IF($A115="","",IFERROR(ROUND($C115*INDEX(tblKurallar[deger_2025],MATCH("TBA-001",tblKurallar[kural_id],0))+$D115*INDEX(tblKurallar[deger_2025],MATCH("TBA-002",tblKurallar[kural_id],0))+$E115*INDEX(tblKurallar[deger_2025],MATCH("TBA-004",tblKurallar[kural_id],0))+$F115*tba_isverenOran,2),0))</f>
        <v/>
      </c>
      <c r="I115" s="31">
        <f>IF($A115="","",IFERROR(MAX(0,$H115-$G115),0))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0" t="n"/>
      <c r="H116" s="31">
        <f>IF($A116="","",IFERROR(ROUND($C116*INDEX(tblKurallar[deger_2025],MATCH("TBA-001",tblKurallar[kural_id],0))+$D116*INDEX(tblKurallar[deger_2025],MATCH("TBA-002",tblKurallar[kural_id],0))+$E116*INDEX(tblKurallar[deger_2025],MATCH("TBA-004",tblKurallar[kural_id],0))+$F116*tba_isverenOran,2),0))</f>
        <v/>
      </c>
      <c r="I116" s="31">
        <f>IF($A116="","",IFERROR(MAX(0,$H116-$G116),0))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0" t="n"/>
      <c r="H117" s="31">
        <f>IF($A117="","",IFERROR(ROUND($C117*INDEX(tblKurallar[deger_2025],MATCH("TBA-001",tblKurallar[kural_id],0))+$D117*INDEX(tblKurallar[deger_2025],MATCH("TBA-002",tblKurallar[kural_id],0))+$E117*INDEX(tblKurallar[deger_2025],MATCH("TBA-004",tblKurallar[kural_id],0))+$F117*tba_isverenOran,2),0))</f>
        <v/>
      </c>
      <c r="I117" s="31">
        <f>IF($A117="","",IFERROR(MAX(0,$H117-$G117),0))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0" t="n"/>
      <c r="H118" s="31">
        <f>IF($A118="","",IFERROR(ROUND($C118*INDEX(tblKurallar[deger_2025],MATCH("TBA-001",tblKurallar[kural_id],0))+$D118*INDEX(tblKurallar[deger_2025],MATCH("TBA-002",tblKurallar[kural_id],0))+$E118*INDEX(tblKurallar[deger_2025],MATCH("TBA-004",tblKurallar[kural_id],0))+$F118*tba_isverenOran,2),0))</f>
        <v/>
      </c>
      <c r="I118" s="31">
        <f>IF($A118="","",IFERROR(MAX(0,$H118-$G118),0))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0" t="n"/>
      <c r="H119" s="31">
        <f>IF($A119="","",IFERROR(ROUND($C119*INDEX(tblKurallar[deger_2025],MATCH("TBA-001",tblKurallar[kural_id],0))+$D119*INDEX(tblKurallar[deger_2025],MATCH("TBA-002",tblKurallar[kural_id],0))+$E119*INDEX(tblKurallar[deger_2025],MATCH("TBA-004",tblKurallar[kural_id],0))+$F119*tba_isverenOran,2),0))</f>
        <v/>
      </c>
      <c r="I119" s="31">
        <f>IF($A119="","",IFERROR(MAX(0,$H119-$G119),0))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0" t="n"/>
      <c r="H120" s="31">
        <f>IF($A120="","",IFERROR(ROUND($C120*INDEX(tblKurallar[deger_2025],MATCH("TBA-001",tblKurallar[kural_id],0))+$D120*INDEX(tblKurallar[deger_2025],MATCH("TBA-002",tblKurallar[kural_id],0))+$E120*INDEX(tblKurallar[deger_2025],MATCH("TBA-004",tblKurallar[kural_id],0))+$F120*tba_isverenOran,2),0))</f>
        <v/>
      </c>
      <c r="I120" s="31">
        <f>IF($A120="","",IFERROR(MAX(0,$H120-$G120),0))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0" t="n"/>
      <c r="H121" s="31">
        <f>IF($A121="","",IFERROR(ROUND($C121*INDEX(tblKurallar[deger_2025],MATCH("TBA-001",tblKurallar[kural_id],0))+$D121*INDEX(tblKurallar[deger_2025],MATCH("TBA-002",tblKurallar[kural_id],0))+$E121*INDEX(tblKurallar[deger_2025],MATCH("TBA-004",tblKurallar[kural_id],0))+$F121*tba_isverenOran,2),0))</f>
        <v/>
      </c>
      <c r="I121" s="31">
        <f>IF($A121="","",IFERROR(MAX(0,$H121-$G121),0))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0" t="n"/>
      <c r="H122" s="31">
        <f>IF($A122="","",IFERROR(ROUND($C122*INDEX(tblKurallar[deger_2025],MATCH("TBA-001",tblKurallar[kural_id],0))+$D122*INDEX(tblKurallar[deger_2025],MATCH("TBA-002",tblKurallar[kural_id],0))+$E122*INDEX(tblKurallar[deger_2025],MATCH("TBA-004",tblKurallar[kural_id],0))+$F122*tba_isverenOran,2),0))</f>
        <v/>
      </c>
      <c r="I122" s="31">
        <f>IF($A122="","",IFERROR(MAX(0,$H122-$G122),0))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0" t="n"/>
      <c r="H123" s="31">
        <f>IF($A123="","",IFERROR(ROUND($C123*INDEX(tblKurallar[deger_2025],MATCH("TBA-001",tblKurallar[kural_id],0))+$D123*INDEX(tblKurallar[deger_2025],MATCH("TBA-002",tblKurallar[kural_id],0))+$E123*INDEX(tblKurallar[deger_2025],MATCH("TBA-004",tblKurallar[kural_id],0))+$F123*tba_isverenOran,2),0))</f>
        <v/>
      </c>
      <c r="I123" s="31">
        <f>IF($A123="","",IFERROR(MAX(0,$H123-$G123),0))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0" t="n"/>
      <c r="H124" s="31">
        <f>IF($A124="","",IFERROR(ROUND($C124*INDEX(tblKurallar[deger_2025],MATCH("TBA-001",tblKurallar[kural_id],0))+$D124*INDEX(tblKurallar[deger_2025],MATCH("TBA-002",tblKurallar[kural_id],0))+$E124*INDEX(tblKurallar[deger_2025],MATCH("TBA-004",tblKurallar[kural_id],0))+$F124*tba_isverenOran,2),0))</f>
        <v/>
      </c>
      <c r="I124" s="31">
        <f>IF($A124="","",IFERROR(MAX(0,$H124-$G124),0))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0" t="n"/>
      <c r="H125" s="31">
        <f>IF($A125="","",IFERROR(ROUND($C125*INDEX(tblKurallar[deger_2025],MATCH("TBA-001",tblKurallar[kural_id],0))+$D125*INDEX(tblKurallar[deger_2025],MATCH("TBA-002",tblKurallar[kural_id],0))+$E125*INDEX(tblKurallar[deger_2025],MATCH("TBA-004",tblKurallar[kural_id],0))+$F125*tba_isverenOran,2),0))</f>
        <v/>
      </c>
      <c r="I125" s="31">
        <f>IF($A125="","",IFERROR(MAX(0,$H125-$G125),0))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0" t="n"/>
      <c r="H126" s="31">
        <f>IF($A126="","",IFERROR(ROUND($C126*INDEX(tblKurallar[deger_2025],MATCH("TBA-001",tblKurallar[kural_id],0))+$D126*INDEX(tblKurallar[deger_2025],MATCH("TBA-002",tblKurallar[kural_id],0))+$E126*INDEX(tblKurallar[deger_2025],MATCH("TBA-004",tblKurallar[kural_id],0))+$F126*tba_isverenOran,2),0))</f>
        <v/>
      </c>
      <c r="I126" s="31">
        <f>IF($A126="","",IFERROR(MAX(0,$H126-$G126),0))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0" t="n"/>
      <c r="H127" s="31">
        <f>IF($A127="","",IFERROR(ROUND($C127*INDEX(tblKurallar[deger_2025],MATCH("TBA-001",tblKurallar[kural_id],0))+$D127*INDEX(tblKurallar[deger_2025],MATCH("TBA-002",tblKurallar[kural_id],0))+$E127*INDEX(tblKurallar[deger_2025],MATCH("TBA-004",tblKurallar[kural_id],0))+$F127*tba_isverenOran,2),0))</f>
        <v/>
      </c>
      <c r="I127" s="31">
        <f>IF($A127="","",IFERROR(MAX(0,$H127-$G127),0))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0" t="n"/>
      <c r="H128" s="31">
        <f>IF($A128="","",IFERROR(ROUND($C128*INDEX(tblKurallar[deger_2025],MATCH("TBA-001",tblKurallar[kural_id],0))+$D128*INDEX(tblKurallar[deger_2025],MATCH("TBA-002",tblKurallar[kural_id],0))+$E128*INDEX(tblKurallar[deger_2025],MATCH("TBA-004",tblKurallar[kural_id],0))+$F128*tba_isverenOran,2),0))</f>
        <v/>
      </c>
      <c r="I128" s="31">
        <f>IF($A128="","",IFERROR(MAX(0,$H128-$G128),0))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0" t="n"/>
      <c r="H129" s="31">
        <f>IF($A129="","",IFERROR(ROUND($C129*INDEX(tblKurallar[deger_2025],MATCH("TBA-001",tblKurallar[kural_id],0))+$D129*INDEX(tblKurallar[deger_2025],MATCH("TBA-002",tblKurallar[kural_id],0))+$E129*INDEX(tblKurallar[deger_2025],MATCH("TBA-004",tblKurallar[kural_id],0))+$F129*tba_isverenOran,2),0))</f>
        <v/>
      </c>
      <c r="I129" s="31">
        <f>IF($A129="","",IFERROR(MAX(0,$H129-$G129),0))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0" t="n"/>
      <c r="H130" s="31">
        <f>IF($A130="","",IFERROR(ROUND($C130*INDEX(tblKurallar[deger_2025],MATCH("TBA-001",tblKurallar[kural_id],0))+$D130*INDEX(tblKurallar[deger_2025],MATCH("TBA-002",tblKurallar[kural_id],0))+$E130*INDEX(tblKurallar[deger_2025],MATCH("TBA-004",tblKurallar[kural_id],0))+$F130*tba_isverenOran,2),0))</f>
        <v/>
      </c>
      <c r="I130" s="31">
        <f>IF($A130="","",IFERROR(MAX(0,$H130-$G130),0))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0" t="n"/>
      <c r="H131" s="31">
        <f>IF($A131="","",IFERROR(ROUND($C131*INDEX(tblKurallar[deger_2025],MATCH("TBA-001",tblKurallar[kural_id],0))+$D131*INDEX(tblKurallar[deger_2025],MATCH("TBA-002",tblKurallar[kural_id],0))+$E131*INDEX(tblKurallar[deger_2025],MATCH("TBA-004",tblKurallar[kural_id],0))+$F131*tba_isverenOran,2),0))</f>
        <v/>
      </c>
      <c r="I131" s="31">
        <f>IF($A131="","",IFERROR(MAX(0,$H131-$G131),0))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0" t="n"/>
      <c r="H132" s="31">
        <f>IF($A132="","",IFERROR(ROUND($C132*INDEX(tblKurallar[deger_2025],MATCH("TBA-001",tblKurallar[kural_id],0))+$D132*INDEX(tblKurallar[deger_2025],MATCH("TBA-002",tblKurallar[kural_id],0))+$E132*INDEX(tblKurallar[deger_2025],MATCH("TBA-004",tblKurallar[kural_id],0))+$F132*tba_isverenOran,2),0))</f>
        <v/>
      </c>
      <c r="I132" s="31">
        <f>IF($A132="","",IFERROR(MAX(0,$H132-$G132),0))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0" t="n"/>
      <c r="H133" s="31">
        <f>IF($A133="","",IFERROR(ROUND($C133*INDEX(tblKurallar[deger_2025],MATCH("TBA-001",tblKurallar[kural_id],0))+$D133*INDEX(tblKurallar[deger_2025],MATCH("TBA-002",tblKurallar[kural_id],0))+$E133*INDEX(tblKurallar[deger_2025],MATCH("TBA-004",tblKurallar[kural_id],0))+$F133*tba_isverenOran,2),0))</f>
        <v/>
      </c>
      <c r="I133" s="31">
        <f>IF($A133="","",IFERROR(MAX(0,$H133-$G133),0))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0" t="n"/>
      <c r="H134" s="31">
        <f>IF($A134="","",IFERROR(ROUND($C134*INDEX(tblKurallar[deger_2025],MATCH("TBA-001",tblKurallar[kural_id],0))+$D134*INDEX(tblKurallar[deger_2025],MATCH("TBA-002",tblKurallar[kural_id],0))+$E134*INDEX(tblKurallar[deger_2025],MATCH("TBA-004",tblKurallar[kural_id],0))+$F134*tba_isverenOran,2),0))</f>
        <v/>
      </c>
      <c r="I134" s="31">
        <f>IF($A134="","",IFERROR(MAX(0,$H134-$G134),0))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0" t="n"/>
      <c r="H135" s="31">
        <f>IF($A135="","",IFERROR(ROUND($C135*INDEX(tblKurallar[deger_2025],MATCH("TBA-001",tblKurallar[kural_id],0))+$D135*INDEX(tblKurallar[deger_2025],MATCH("TBA-002",tblKurallar[kural_id],0))+$E135*INDEX(tblKurallar[deger_2025],MATCH("TBA-004",tblKurallar[kural_id],0))+$F135*tba_isverenOran,2),0))</f>
        <v/>
      </c>
      <c r="I135" s="31">
        <f>IF($A135="","",IFERROR(MAX(0,$H135-$G135),0))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0" t="n"/>
      <c r="H136" s="31">
        <f>IF($A136="","",IFERROR(ROUND($C136*INDEX(tblKurallar[deger_2025],MATCH("TBA-001",tblKurallar[kural_id],0))+$D136*INDEX(tblKurallar[deger_2025],MATCH("TBA-002",tblKurallar[kural_id],0))+$E136*INDEX(tblKurallar[deger_2025],MATCH("TBA-004",tblKurallar[kural_id],0))+$F136*tba_isverenOran,2),0))</f>
        <v/>
      </c>
      <c r="I136" s="31">
        <f>IF($A136="","",IFERROR(MAX(0,$H136-$G136),0))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0" t="n"/>
      <c r="H137" s="31">
        <f>IF($A137="","",IFERROR(ROUND($C137*INDEX(tblKurallar[deger_2025],MATCH("TBA-001",tblKurallar[kural_id],0))+$D137*INDEX(tblKurallar[deger_2025],MATCH("TBA-002",tblKurallar[kural_id],0))+$E137*INDEX(tblKurallar[deger_2025],MATCH("TBA-004",tblKurallar[kural_id],0))+$F137*tba_isverenOran,2),0))</f>
        <v/>
      </c>
      <c r="I137" s="31">
        <f>IF($A137="","",IFERROR(MAX(0,$H137-$G137),0))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0" t="n"/>
      <c r="H138" s="31">
        <f>IF($A138="","",IFERROR(ROUND($C138*INDEX(tblKurallar[deger_2025],MATCH("TBA-001",tblKurallar[kural_id],0))+$D138*INDEX(tblKurallar[deger_2025],MATCH("TBA-002",tblKurallar[kural_id],0))+$E138*INDEX(tblKurallar[deger_2025],MATCH("TBA-004",tblKurallar[kural_id],0))+$F138*tba_isverenOran,2),0))</f>
        <v/>
      </c>
      <c r="I138" s="31">
        <f>IF($A138="","",IFERROR(MAX(0,$H138-$G138),0))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0" t="n"/>
      <c r="H139" s="31">
        <f>IF($A139="","",IFERROR(ROUND($C139*INDEX(tblKurallar[deger_2025],MATCH("TBA-001",tblKurallar[kural_id],0))+$D139*INDEX(tblKurallar[deger_2025],MATCH("TBA-002",tblKurallar[kural_id],0))+$E139*INDEX(tblKurallar[deger_2025],MATCH("TBA-004",tblKurallar[kural_id],0))+$F139*tba_isverenOran,2),0))</f>
        <v/>
      </c>
      <c r="I139" s="31">
        <f>IF($A139="","",IFERROR(MAX(0,$H139-$G139),0))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0" t="n"/>
      <c r="H140" s="31">
        <f>IF($A140="","",IFERROR(ROUND($C140*INDEX(tblKurallar[deger_2025],MATCH("TBA-001",tblKurallar[kural_id],0))+$D140*INDEX(tblKurallar[deger_2025],MATCH("TBA-002",tblKurallar[kural_id],0))+$E140*INDEX(tblKurallar[deger_2025],MATCH("TBA-004",tblKurallar[kural_id],0))+$F140*tba_isverenOran,2),0))</f>
        <v/>
      </c>
      <c r="I140" s="31">
        <f>IF($A140="","",IFERROR(MAX(0,$H140-$G140),0))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0" t="n"/>
      <c r="H141" s="31">
        <f>IF($A141="","",IFERROR(ROUND($C141*INDEX(tblKurallar[deger_2025],MATCH("TBA-001",tblKurallar[kural_id],0))+$D141*INDEX(tblKurallar[deger_2025],MATCH("TBA-002",tblKurallar[kural_id],0))+$E141*INDEX(tblKurallar[deger_2025],MATCH("TBA-004",tblKurallar[kural_id],0))+$F141*tba_isverenOran,2),0))</f>
        <v/>
      </c>
      <c r="I141" s="31">
        <f>IF($A141="","",IFERROR(MAX(0,$H141-$G141),0))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0" t="n"/>
      <c r="H142" s="31">
        <f>IF($A142="","",IFERROR(ROUND($C142*INDEX(tblKurallar[deger_2025],MATCH("TBA-001",tblKurallar[kural_id],0))+$D142*INDEX(tblKurallar[deger_2025],MATCH("TBA-002",tblKurallar[kural_id],0))+$E142*INDEX(tblKurallar[deger_2025],MATCH("TBA-004",tblKurallar[kural_id],0))+$F142*tba_isverenOran,2),0))</f>
        <v/>
      </c>
      <c r="I142" s="31">
        <f>IF($A142="","",IFERROR(MAX(0,$H142-$G142),0))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0" t="n"/>
      <c r="H143" s="31">
        <f>IF($A143="","",IFERROR(ROUND($C143*INDEX(tblKurallar[deger_2025],MATCH("TBA-001",tblKurallar[kural_id],0))+$D143*INDEX(tblKurallar[deger_2025],MATCH("TBA-002",tblKurallar[kural_id],0))+$E143*INDEX(tblKurallar[deger_2025],MATCH("TBA-004",tblKurallar[kural_id],0))+$F143*tba_isverenOran,2),0))</f>
        <v/>
      </c>
      <c r="I143" s="31">
        <f>IF($A143="","",IFERROR(MAX(0,$H143-$G143),0))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0" t="n"/>
      <c r="H144" s="31">
        <f>IF($A144="","",IFERROR(ROUND($C144*INDEX(tblKurallar[deger_2025],MATCH("TBA-001",tblKurallar[kural_id],0))+$D144*INDEX(tblKurallar[deger_2025],MATCH("TBA-002",tblKurallar[kural_id],0))+$E144*INDEX(tblKurallar[deger_2025],MATCH("TBA-004",tblKurallar[kural_id],0))+$F144*tba_isverenOran,2),0))</f>
        <v/>
      </c>
      <c r="I144" s="31">
        <f>IF($A144="","",IFERROR(MAX(0,$H144-$G144),0))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0" t="n"/>
      <c r="H145" s="31">
        <f>IF($A145="","",IFERROR(ROUND($C145*INDEX(tblKurallar[deger_2025],MATCH("TBA-001",tblKurallar[kural_id],0))+$D145*INDEX(tblKurallar[deger_2025],MATCH("TBA-002",tblKurallar[kural_id],0))+$E145*INDEX(tblKurallar[deger_2025],MATCH("TBA-004",tblKurallar[kural_id],0))+$F145*tba_isverenOran,2),0))</f>
        <v/>
      </c>
      <c r="I145" s="31">
        <f>IF($A145="","",IFERROR(MAX(0,$H145-$G145),0))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0" t="n"/>
      <c r="H146" s="31">
        <f>IF($A146="","",IFERROR(ROUND($C146*INDEX(tblKurallar[deger_2025],MATCH("TBA-001",tblKurallar[kural_id],0))+$D146*INDEX(tblKurallar[deger_2025],MATCH("TBA-002",tblKurallar[kural_id],0))+$E146*INDEX(tblKurallar[deger_2025],MATCH("TBA-004",tblKurallar[kural_id],0))+$F146*tba_isverenOran,2),0))</f>
        <v/>
      </c>
      <c r="I146" s="31">
        <f>IF($A146="","",IFERROR(MAX(0,$H146-$G146),0))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0" t="n"/>
      <c r="H147" s="31">
        <f>IF($A147="","",IFERROR(ROUND($C147*INDEX(tblKurallar[deger_2025],MATCH("TBA-001",tblKurallar[kural_id],0))+$D147*INDEX(tblKurallar[deger_2025],MATCH("TBA-002",tblKurallar[kural_id],0))+$E147*INDEX(tblKurallar[deger_2025],MATCH("TBA-004",tblKurallar[kural_id],0))+$F147*tba_isverenOran,2),0))</f>
        <v/>
      </c>
      <c r="I147" s="31">
        <f>IF($A147="","",IFERROR(MAX(0,$H147-$G147),0))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0" t="n"/>
      <c r="H148" s="31">
        <f>IF($A148="","",IFERROR(ROUND($C148*INDEX(tblKurallar[deger_2025],MATCH("TBA-001",tblKurallar[kural_id],0))+$D148*INDEX(tblKurallar[deger_2025],MATCH("TBA-002",tblKurallar[kural_id],0))+$E148*INDEX(tblKurallar[deger_2025],MATCH("TBA-004",tblKurallar[kural_id],0))+$F148*tba_isverenOran,2),0))</f>
        <v/>
      </c>
      <c r="I148" s="31">
        <f>IF($A148="","",IFERROR(MAX(0,$H148-$G148),0))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0" t="n"/>
      <c r="H149" s="31">
        <f>IF($A149="","",IFERROR(ROUND($C149*INDEX(tblKurallar[deger_2025],MATCH("TBA-001",tblKurallar[kural_id],0))+$D149*INDEX(tblKurallar[deger_2025],MATCH("TBA-002",tblKurallar[kural_id],0))+$E149*INDEX(tblKurallar[deger_2025],MATCH("TBA-004",tblKurallar[kural_id],0))+$F149*tba_isverenOran,2),0))</f>
        <v/>
      </c>
      <c r="I149" s="31">
        <f>IF($A149="","",IFERROR(MAX(0,$H149-$G149),0))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0" t="n"/>
      <c r="H150" s="31">
        <f>IF($A150="","",IFERROR(ROUND($C150*INDEX(tblKurallar[deger_2025],MATCH("TBA-001",tblKurallar[kural_id],0))+$D150*INDEX(tblKurallar[deger_2025],MATCH("TBA-002",tblKurallar[kural_id],0))+$E150*INDEX(tblKurallar[deger_2025],MATCH("TBA-004",tblKurallar[kural_id],0))+$F150*tba_isverenOran,2),0))</f>
        <v/>
      </c>
      <c r="I150" s="31">
        <f>IF($A150="","",IFERROR(MAX(0,$H150-$G150),0))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0" t="n"/>
      <c r="H151" s="31">
        <f>IF($A151="","",IFERROR(ROUND($C151*INDEX(tblKurallar[deger_2025],MATCH("TBA-001",tblKurallar[kural_id],0))+$D151*INDEX(tblKurallar[deger_2025],MATCH("TBA-002",tblKurallar[kural_id],0))+$E151*INDEX(tblKurallar[deger_2025],MATCH("TBA-004",tblKurallar[kural_id],0))+$F151*tba_isverenOran,2),0))</f>
        <v/>
      </c>
      <c r="I151" s="31">
        <f>IF($A151="","",IFERROR(MAX(0,$H151-$G151),0))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0" t="n"/>
      <c r="H152" s="31">
        <f>IF($A152="","",IFERROR(ROUND($C152*INDEX(tblKurallar[deger_2025],MATCH("TBA-001",tblKurallar[kural_id],0))+$D152*INDEX(tblKurallar[deger_2025],MATCH("TBA-002",tblKurallar[kural_id],0))+$E152*INDEX(tblKurallar[deger_2025],MATCH("TBA-004",tblKurallar[kural_id],0))+$F152*tba_isverenOran,2),0))</f>
        <v/>
      </c>
      <c r="I152" s="31">
        <f>IF($A152="","",IFERROR(MAX(0,$H152-$G152),0))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0" t="n"/>
      <c r="H153" s="31">
        <f>IF($A153="","",IFERROR(ROUND($C153*INDEX(tblKurallar[deger_2025],MATCH("TBA-001",tblKurallar[kural_id],0))+$D153*INDEX(tblKurallar[deger_2025],MATCH("TBA-002",tblKurallar[kural_id],0))+$E153*INDEX(tblKurallar[deger_2025],MATCH("TBA-004",tblKurallar[kural_id],0))+$F153*tba_isverenOran,2),0))</f>
        <v/>
      </c>
      <c r="I153" s="31">
        <f>IF($A153="","",IFERROR(MAX(0,$H153-$G153),0))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0" t="n"/>
      <c r="H154" s="31">
        <f>IF($A154="","",IFERROR(ROUND($C154*INDEX(tblKurallar[deger_2025],MATCH("TBA-001",tblKurallar[kural_id],0))+$D154*INDEX(tblKurallar[deger_2025],MATCH("TBA-002",tblKurallar[kural_id],0))+$E154*INDEX(tblKurallar[deger_2025],MATCH("TBA-004",tblKurallar[kural_id],0))+$F154*tba_isverenOran,2),0))</f>
        <v/>
      </c>
      <c r="I154" s="31">
        <f>IF($A154="","",IFERROR(MAX(0,$H154-$G154),0))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0" t="n"/>
      <c r="H155" s="31">
        <f>IF($A155="","",IFERROR(ROUND($C155*INDEX(tblKurallar[deger_2025],MATCH("TBA-001",tblKurallar[kural_id],0))+$D155*INDEX(tblKurallar[deger_2025],MATCH("TBA-002",tblKurallar[kural_id],0))+$E155*INDEX(tblKurallar[deger_2025],MATCH("TBA-004",tblKurallar[kural_id],0))+$F155*tba_isverenOran,2),0))</f>
        <v/>
      </c>
      <c r="I155" s="31">
        <f>IF($A155="","",IFERROR(MAX(0,$H155-$G155),0))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0" t="n"/>
      <c r="H156" s="31">
        <f>IF($A156="","",IFERROR(ROUND($C156*INDEX(tblKurallar[deger_2025],MATCH("TBA-001",tblKurallar[kural_id],0))+$D156*INDEX(tblKurallar[deger_2025],MATCH("TBA-002",tblKurallar[kural_id],0))+$E156*INDEX(tblKurallar[deger_2025],MATCH("TBA-004",tblKurallar[kural_id],0))+$F156*tba_isverenOran,2),0))</f>
        <v/>
      </c>
      <c r="I156" s="31">
        <f>IF($A156="","",IFERROR(MAX(0,$H156-$G156),0))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0" t="n"/>
      <c r="H157" s="31">
        <f>IF($A157="","",IFERROR(ROUND($C157*INDEX(tblKurallar[deger_2025],MATCH("TBA-001",tblKurallar[kural_id],0))+$D157*INDEX(tblKurallar[deger_2025],MATCH("TBA-002",tblKurallar[kural_id],0))+$E157*INDEX(tblKurallar[deger_2025],MATCH("TBA-004",tblKurallar[kural_id],0))+$F157*tba_isverenOran,2),0))</f>
        <v/>
      </c>
      <c r="I157" s="31">
        <f>IF($A157="","",IFERROR(MAX(0,$H157-$G157),0))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0" t="n"/>
      <c r="H158" s="31">
        <f>IF($A158="","",IFERROR(ROUND($C158*INDEX(tblKurallar[deger_2025],MATCH("TBA-001",tblKurallar[kural_id],0))+$D158*INDEX(tblKurallar[deger_2025],MATCH("TBA-002",tblKurallar[kural_id],0))+$E158*INDEX(tblKurallar[deger_2025],MATCH("TBA-004",tblKurallar[kural_id],0))+$F158*tba_isverenOran,2),0))</f>
        <v/>
      </c>
      <c r="I158" s="31">
        <f>IF($A158="","",IFERROR(MAX(0,$H158-$G158),0))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0" t="n"/>
      <c r="H159" s="31">
        <f>IF($A159="","",IFERROR(ROUND($C159*INDEX(tblKurallar[deger_2025],MATCH("TBA-001",tblKurallar[kural_id],0))+$D159*INDEX(tblKurallar[deger_2025],MATCH("TBA-002",tblKurallar[kural_id],0))+$E159*INDEX(tblKurallar[deger_2025],MATCH("TBA-004",tblKurallar[kural_id],0))+$F159*tba_isverenOran,2),0))</f>
        <v/>
      </c>
      <c r="I159" s="31">
        <f>IF($A159="","",IFERROR(MAX(0,$H159-$G159),0))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0" t="n"/>
      <c r="H160" s="31">
        <f>IF($A160="","",IFERROR(ROUND($C160*INDEX(tblKurallar[deger_2025],MATCH("TBA-001",tblKurallar[kural_id],0))+$D160*INDEX(tblKurallar[deger_2025],MATCH("TBA-002",tblKurallar[kural_id],0))+$E160*INDEX(tblKurallar[deger_2025],MATCH("TBA-004",tblKurallar[kural_id],0))+$F160*tba_isverenOran,2),0))</f>
        <v/>
      </c>
      <c r="I160" s="31">
        <f>IF($A160="","",IFERROR(MAX(0,$H160-$G160),0))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0" t="n"/>
      <c r="H161" s="31">
        <f>IF($A161="","",IFERROR(ROUND($C161*INDEX(tblKurallar[deger_2025],MATCH("TBA-001",tblKurallar[kural_id],0))+$D161*INDEX(tblKurallar[deger_2025],MATCH("TBA-002",tblKurallar[kural_id],0))+$E161*INDEX(tblKurallar[deger_2025],MATCH("TBA-004",tblKurallar[kural_id],0))+$F161*tba_isverenOran,2),0))</f>
        <v/>
      </c>
      <c r="I161" s="31">
        <f>IF($A161="","",IFERROR(MAX(0,$H161-$G161),0))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0" t="n"/>
      <c r="H162" s="31">
        <f>IF($A162="","",IFERROR(ROUND($C162*INDEX(tblKurallar[deger_2025],MATCH("TBA-001",tblKurallar[kural_id],0))+$D162*INDEX(tblKurallar[deger_2025],MATCH("TBA-002",tblKurallar[kural_id],0))+$E162*INDEX(tblKurallar[deger_2025],MATCH("TBA-004",tblKurallar[kural_id],0))+$F162*tba_isverenOran,2),0))</f>
        <v/>
      </c>
      <c r="I162" s="31">
        <f>IF($A162="","",IFERROR(MAX(0,$H162-$G162),0))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0" t="n"/>
      <c r="H163" s="31">
        <f>IF($A163="","",IFERROR(ROUND($C163*INDEX(tblKurallar[deger_2025],MATCH("TBA-001",tblKurallar[kural_id],0))+$D163*INDEX(tblKurallar[deger_2025],MATCH("TBA-002",tblKurallar[kural_id],0))+$E163*INDEX(tblKurallar[deger_2025],MATCH("TBA-004",tblKurallar[kural_id],0))+$F163*tba_isverenOran,2),0))</f>
        <v/>
      </c>
      <c r="I163" s="31">
        <f>IF($A163="","",IFERROR(MAX(0,$H163-$G163),0))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0" t="n"/>
      <c r="H164" s="31">
        <f>IF($A164="","",IFERROR(ROUND($C164*INDEX(tblKurallar[deger_2025],MATCH("TBA-001",tblKurallar[kural_id],0))+$D164*INDEX(tblKurallar[deger_2025],MATCH("TBA-002",tblKurallar[kural_id],0))+$E164*INDEX(tblKurallar[deger_2025],MATCH("TBA-004",tblKurallar[kural_id],0))+$F164*tba_isverenOran,2),0))</f>
        <v/>
      </c>
      <c r="I164" s="31">
        <f>IF($A164="","",IFERROR(MAX(0,$H164-$G164),0))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0" t="n"/>
      <c r="H165" s="31">
        <f>IF($A165="","",IFERROR(ROUND($C165*INDEX(tblKurallar[deger_2025],MATCH("TBA-001",tblKurallar[kural_id],0))+$D165*INDEX(tblKurallar[deger_2025],MATCH("TBA-002",tblKurallar[kural_id],0))+$E165*INDEX(tblKurallar[deger_2025],MATCH("TBA-004",tblKurallar[kural_id],0))+$F165*tba_isverenOran,2),0))</f>
        <v/>
      </c>
      <c r="I165" s="31">
        <f>IF($A165="","",IFERROR(MAX(0,$H165-$G165),0))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0" t="n"/>
      <c r="H166" s="31">
        <f>IF($A166="","",IFERROR(ROUND($C166*INDEX(tblKurallar[deger_2025],MATCH("TBA-001",tblKurallar[kural_id],0))+$D166*INDEX(tblKurallar[deger_2025],MATCH("TBA-002",tblKurallar[kural_id],0))+$E166*INDEX(tblKurallar[deger_2025],MATCH("TBA-004",tblKurallar[kural_id],0))+$F166*tba_isverenOran,2),0))</f>
        <v/>
      </c>
      <c r="I166" s="31">
        <f>IF($A166="","",IFERROR(MAX(0,$H166-$G166),0))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0" t="n"/>
      <c r="H167" s="31">
        <f>IF($A167="","",IFERROR(ROUND($C167*INDEX(tblKurallar[deger_2025],MATCH("TBA-001",tblKurallar[kural_id],0))+$D167*INDEX(tblKurallar[deger_2025],MATCH("TBA-002",tblKurallar[kural_id],0))+$E167*INDEX(tblKurallar[deger_2025],MATCH("TBA-004",tblKurallar[kural_id],0))+$F167*tba_isverenOran,2),0))</f>
        <v/>
      </c>
      <c r="I167" s="31">
        <f>IF($A167="","",IFERROR(MAX(0,$H167-$G167),0))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0" t="n"/>
      <c r="H168" s="31">
        <f>IF($A168="","",IFERROR(ROUND($C168*INDEX(tblKurallar[deger_2025],MATCH("TBA-001",tblKurallar[kural_id],0))+$D168*INDEX(tblKurallar[deger_2025],MATCH("TBA-002",tblKurallar[kural_id],0))+$E168*INDEX(tblKurallar[deger_2025],MATCH("TBA-004",tblKurallar[kural_id],0))+$F168*tba_isverenOran,2),0))</f>
        <v/>
      </c>
      <c r="I168" s="31">
        <f>IF($A168="","",IFERROR(MAX(0,$H168-$G168),0))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0" t="n"/>
      <c r="H169" s="31">
        <f>IF($A169="","",IFERROR(ROUND($C169*INDEX(tblKurallar[deger_2025],MATCH("TBA-001",tblKurallar[kural_id],0))+$D169*INDEX(tblKurallar[deger_2025],MATCH("TBA-002",tblKurallar[kural_id],0))+$E169*INDEX(tblKurallar[deger_2025],MATCH("TBA-004",tblKurallar[kural_id],0))+$F169*tba_isverenOran,2),0))</f>
        <v/>
      </c>
      <c r="I169" s="31">
        <f>IF($A169="","",IFERROR(MAX(0,$H169-$G169),0))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0" t="n"/>
      <c r="H170" s="31">
        <f>IF($A170="","",IFERROR(ROUND($C170*INDEX(tblKurallar[deger_2025],MATCH("TBA-001",tblKurallar[kural_id],0))+$D170*INDEX(tblKurallar[deger_2025],MATCH("TBA-002",tblKurallar[kural_id],0))+$E170*INDEX(tblKurallar[deger_2025],MATCH("TBA-004",tblKurallar[kural_id],0))+$F170*tba_isverenOran,2),0))</f>
        <v/>
      </c>
      <c r="I170" s="31">
        <f>IF($A170="","",IFERROR(MAX(0,$H170-$G170),0))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0" t="n"/>
      <c r="H171" s="31">
        <f>IF($A171="","",IFERROR(ROUND($C171*INDEX(tblKurallar[deger_2025],MATCH("TBA-001",tblKurallar[kural_id],0))+$D171*INDEX(tblKurallar[deger_2025],MATCH("TBA-002",tblKurallar[kural_id],0))+$E171*INDEX(tblKurallar[deger_2025],MATCH("TBA-004",tblKurallar[kural_id],0))+$F171*tba_isverenOran,2),0))</f>
        <v/>
      </c>
      <c r="I171" s="31">
        <f>IF($A171="","",IFERROR(MAX(0,$H171-$G171),0))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0" t="n"/>
      <c r="H172" s="31">
        <f>IF($A172="","",IFERROR(ROUND($C172*INDEX(tblKurallar[deger_2025],MATCH("TBA-001",tblKurallar[kural_id],0))+$D172*INDEX(tblKurallar[deger_2025],MATCH("TBA-002",tblKurallar[kural_id],0))+$E172*INDEX(tblKurallar[deger_2025],MATCH("TBA-004",tblKurallar[kural_id],0))+$F172*tba_isverenOran,2),0))</f>
        <v/>
      </c>
      <c r="I172" s="31">
        <f>IF($A172="","",IFERROR(MAX(0,$H172-$G172),0))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0" t="n"/>
      <c r="H173" s="31">
        <f>IF($A173="","",IFERROR(ROUND($C173*INDEX(tblKurallar[deger_2025],MATCH("TBA-001",tblKurallar[kural_id],0))+$D173*INDEX(tblKurallar[deger_2025],MATCH("TBA-002",tblKurallar[kural_id],0))+$E173*INDEX(tblKurallar[deger_2025],MATCH("TBA-004",tblKurallar[kural_id],0))+$F173*tba_isverenOran,2),0))</f>
        <v/>
      </c>
      <c r="I173" s="31">
        <f>IF($A173="","",IFERROR(MAX(0,$H173-$G173),0))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0" t="n"/>
      <c r="H174" s="31">
        <f>IF($A174="","",IFERROR(ROUND($C174*INDEX(tblKurallar[deger_2025],MATCH("TBA-001",tblKurallar[kural_id],0))+$D174*INDEX(tblKurallar[deger_2025],MATCH("TBA-002",tblKurallar[kural_id],0))+$E174*INDEX(tblKurallar[deger_2025],MATCH("TBA-004",tblKurallar[kural_id],0))+$F174*tba_isverenOran,2),0))</f>
        <v/>
      </c>
      <c r="I174" s="31">
        <f>IF($A174="","",IFERROR(MAX(0,$H174-$G174),0))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0" t="n"/>
      <c r="H175" s="31">
        <f>IF($A175="","",IFERROR(ROUND($C175*INDEX(tblKurallar[deger_2025],MATCH("TBA-001",tblKurallar[kural_id],0))+$D175*INDEX(tblKurallar[deger_2025],MATCH("TBA-002",tblKurallar[kural_id],0))+$E175*INDEX(tblKurallar[deger_2025],MATCH("TBA-004",tblKurallar[kural_id],0))+$F175*tba_isverenOran,2),0))</f>
        <v/>
      </c>
      <c r="I175" s="31">
        <f>IF($A175="","",IFERROR(MAX(0,$H175-$G175),0))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0" t="n"/>
      <c r="H176" s="31">
        <f>IF($A176="","",IFERROR(ROUND($C176*INDEX(tblKurallar[deger_2025],MATCH("TBA-001",tblKurallar[kural_id],0))+$D176*INDEX(tblKurallar[deger_2025],MATCH("TBA-002",tblKurallar[kural_id],0))+$E176*INDEX(tblKurallar[deger_2025],MATCH("TBA-004",tblKurallar[kural_id],0))+$F176*tba_isverenOran,2),0))</f>
        <v/>
      </c>
      <c r="I176" s="31">
        <f>IF($A176="","",IFERROR(MAX(0,$H176-$G176),0))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0" t="n"/>
      <c r="H177" s="31">
        <f>IF($A177="","",IFERROR(ROUND($C177*INDEX(tblKurallar[deger_2025],MATCH("TBA-001",tblKurallar[kural_id],0))+$D177*INDEX(tblKurallar[deger_2025],MATCH("TBA-002",tblKurallar[kural_id],0))+$E177*INDEX(tblKurallar[deger_2025],MATCH("TBA-004",tblKurallar[kural_id],0))+$F177*tba_isverenOran,2),0))</f>
        <v/>
      </c>
      <c r="I177" s="31">
        <f>IF($A177="","",IFERROR(MAX(0,$H177-$G177),0))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0" t="n"/>
      <c r="H178" s="31">
        <f>IF($A178="","",IFERROR(ROUND($C178*INDEX(tblKurallar[deger_2025],MATCH("TBA-001",tblKurallar[kural_id],0))+$D178*INDEX(tblKurallar[deger_2025],MATCH("TBA-002",tblKurallar[kural_id],0))+$E178*INDEX(tblKurallar[deger_2025],MATCH("TBA-004",tblKurallar[kural_id],0))+$F178*tba_isverenOran,2),0))</f>
        <v/>
      </c>
      <c r="I178" s="31">
        <f>IF($A178="","",IFERROR(MAX(0,$H178-$G178),0))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0" t="n"/>
      <c r="H179" s="31">
        <f>IF($A179="","",IFERROR(ROUND($C179*INDEX(tblKurallar[deger_2025],MATCH("TBA-001",tblKurallar[kural_id],0))+$D179*INDEX(tblKurallar[deger_2025],MATCH("TBA-002",tblKurallar[kural_id],0))+$E179*INDEX(tblKurallar[deger_2025],MATCH("TBA-004",tblKurallar[kural_id],0))+$F179*tba_isverenOran,2),0))</f>
        <v/>
      </c>
      <c r="I179" s="31">
        <f>IF($A179="","",IFERROR(MAX(0,$H179-$G179),0))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0" t="n"/>
      <c r="H180" s="31">
        <f>IF($A180="","",IFERROR(ROUND($C180*INDEX(tblKurallar[deger_2025],MATCH("TBA-001",tblKurallar[kural_id],0))+$D180*INDEX(tblKurallar[deger_2025],MATCH("TBA-002",tblKurallar[kural_id],0))+$E180*INDEX(tblKurallar[deger_2025],MATCH("TBA-004",tblKurallar[kural_id],0))+$F180*tba_isverenOran,2),0))</f>
        <v/>
      </c>
      <c r="I180" s="31">
        <f>IF($A180="","",IFERROR(MAX(0,$H180-$G180),0))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0" t="n"/>
      <c r="H181" s="31">
        <f>IF($A181="","",IFERROR(ROUND($C181*INDEX(tblKurallar[deger_2025],MATCH("TBA-001",tblKurallar[kural_id],0))+$D181*INDEX(tblKurallar[deger_2025],MATCH("TBA-002",tblKurallar[kural_id],0))+$E181*INDEX(tblKurallar[deger_2025],MATCH("TBA-004",tblKurallar[kural_id],0))+$F181*tba_isverenOran,2),0))</f>
        <v/>
      </c>
      <c r="I181" s="31">
        <f>IF($A181="","",IFERROR(MAX(0,$H181-$G181),0))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0" t="n"/>
      <c r="H182" s="31">
        <f>IF($A182="","",IFERROR(ROUND($C182*INDEX(tblKurallar[deger_2025],MATCH("TBA-001",tblKurallar[kural_id],0))+$D182*INDEX(tblKurallar[deger_2025],MATCH("TBA-002",tblKurallar[kural_id],0))+$E182*INDEX(tblKurallar[deger_2025],MATCH("TBA-004",tblKurallar[kural_id],0))+$F182*tba_isverenOran,2),0))</f>
        <v/>
      </c>
      <c r="I182" s="31">
        <f>IF($A182="","",IFERROR(MAX(0,$H182-$G182),0))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0" t="n"/>
      <c r="H183" s="31">
        <f>IF($A183="","",IFERROR(ROUND($C183*INDEX(tblKurallar[deger_2025],MATCH("TBA-001",tblKurallar[kural_id],0))+$D183*INDEX(tblKurallar[deger_2025],MATCH("TBA-002",tblKurallar[kural_id],0))+$E183*INDEX(tblKurallar[deger_2025],MATCH("TBA-004",tblKurallar[kural_id],0))+$F183*tba_isverenOran,2),0))</f>
        <v/>
      </c>
      <c r="I183" s="31">
        <f>IF($A183="","",IFERROR(MAX(0,$H183-$G183),0))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0" t="n"/>
      <c r="H184" s="31">
        <f>IF($A184="","",IFERROR(ROUND($C184*INDEX(tblKurallar[deger_2025],MATCH("TBA-001",tblKurallar[kural_id],0))+$D184*INDEX(tblKurallar[deger_2025],MATCH("TBA-002",tblKurallar[kural_id],0))+$E184*INDEX(tblKurallar[deger_2025],MATCH("TBA-004",tblKurallar[kural_id],0))+$F184*tba_isverenOran,2),0))</f>
        <v/>
      </c>
      <c r="I184" s="31">
        <f>IF($A184="","",IFERROR(MAX(0,$H184-$G184),0))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0" t="n"/>
      <c r="H185" s="31">
        <f>IF($A185="","",IFERROR(ROUND($C185*INDEX(tblKurallar[deger_2025],MATCH("TBA-001",tblKurallar[kural_id],0))+$D185*INDEX(tblKurallar[deger_2025],MATCH("TBA-002",tblKurallar[kural_id],0))+$E185*INDEX(tblKurallar[deger_2025],MATCH("TBA-004",tblKurallar[kural_id],0))+$F185*tba_isverenOran,2),0))</f>
        <v/>
      </c>
      <c r="I185" s="31">
        <f>IF($A185="","",IFERROR(MAX(0,$H185-$G185),0))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0" t="n"/>
      <c r="H186" s="31">
        <f>IF($A186="","",IFERROR(ROUND($C186*INDEX(tblKurallar[deger_2025],MATCH("TBA-001",tblKurallar[kural_id],0))+$D186*INDEX(tblKurallar[deger_2025],MATCH("TBA-002",tblKurallar[kural_id],0))+$E186*INDEX(tblKurallar[deger_2025],MATCH("TBA-004",tblKurallar[kural_id],0))+$F186*tba_isverenOran,2),0))</f>
        <v/>
      </c>
      <c r="I186" s="31">
        <f>IF($A186="","",IFERROR(MAX(0,$H186-$G186),0))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0" t="n"/>
      <c r="H187" s="31">
        <f>IF($A187="","",IFERROR(ROUND($C187*INDEX(tblKurallar[deger_2025],MATCH("TBA-001",tblKurallar[kural_id],0))+$D187*INDEX(tblKurallar[deger_2025],MATCH("TBA-002",tblKurallar[kural_id],0))+$E187*INDEX(tblKurallar[deger_2025],MATCH("TBA-004",tblKurallar[kural_id],0))+$F187*tba_isverenOran,2),0))</f>
        <v/>
      </c>
      <c r="I187" s="31">
        <f>IF($A187="","",IFERROR(MAX(0,$H187-$G187),0))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0" t="n"/>
      <c r="H188" s="31">
        <f>IF($A188="","",IFERROR(ROUND($C188*INDEX(tblKurallar[deger_2025],MATCH("TBA-001",tblKurallar[kural_id],0))+$D188*INDEX(tblKurallar[deger_2025],MATCH("TBA-002",tblKurallar[kural_id],0))+$E188*INDEX(tblKurallar[deger_2025],MATCH("TBA-004",tblKurallar[kural_id],0))+$F188*tba_isverenOran,2),0))</f>
        <v/>
      </c>
      <c r="I188" s="31">
        <f>IF($A188="","",IFERROR(MAX(0,$H188-$G188),0))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0" t="n"/>
      <c r="H189" s="31">
        <f>IF($A189="","",IFERROR(ROUND($C189*INDEX(tblKurallar[deger_2025],MATCH("TBA-001",tblKurallar[kural_id],0))+$D189*INDEX(tblKurallar[deger_2025],MATCH("TBA-002",tblKurallar[kural_id],0))+$E189*INDEX(tblKurallar[deger_2025],MATCH("TBA-004",tblKurallar[kural_id],0))+$F189*tba_isverenOran,2),0))</f>
        <v/>
      </c>
      <c r="I189" s="31">
        <f>IF($A189="","",IFERROR(MAX(0,$H189-$G189),0))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0" t="n"/>
      <c r="H190" s="31">
        <f>IF($A190="","",IFERROR(ROUND($C190*INDEX(tblKurallar[deger_2025],MATCH("TBA-001",tblKurallar[kural_id],0))+$D190*INDEX(tblKurallar[deger_2025],MATCH("TBA-002",tblKurallar[kural_id],0))+$E190*INDEX(tblKurallar[deger_2025],MATCH("TBA-004",tblKurallar[kural_id],0))+$F190*tba_isverenOran,2),0))</f>
        <v/>
      </c>
      <c r="I190" s="31">
        <f>IF($A190="","",IFERROR(MAX(0,$H190-$G190),0))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0" t="n"/>
      <c r="H191" s="31">
        <f>IF($A191="","",IFERROR(ROUND($C191*INDEX(tblKurallar[deger_2025],MATCH("TBA-001",tblKurallar[kural_id],0))+$D191*INDEX(tblKurallar[deger_2025],MATCH("TBA-002",tblKurallar[kural_id],0))+$E191*INDEX(tblKurallar[deger_2025],MATCH("TBA-004",tblKurallar[kural_id],0))+$F191*tba_isverenOran,2),0))</f>
        <v/>
      </c>
      <c r="I191" s="31">
        <f>IF($A191="","",IFERROR(MAX(0,$H191-$G191),0))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0" t="n"/>
      <c r="H192" s="31">
        <f>IF($A192="","",IFERROR(ROUND($C192*INDEX(tblKurallar[deger_2025],MATCH("TBA-001",tblKurallar[kural_id],0))+$D192*INDEX(tblKurallar[deger_2025],MATCH("TBA-002",tblKurallar[kural_id],0))+$E192*INDEX(tblKurallar[deger_2025],MATCH("TBA-004",tblKurallar[kural_id],0))+$F192*tba_isverenOran,2),0))</f>
        <v/>
      </c>
      <c r="I192" s="31">
        <f>IF($A192="","",IFERROR(MAX(0,$H192-$G192),0))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0" t="n"/>
      <c r="H193" s="31">
        <f>IF($A193="","",IFERROR(ROUND($C193*INDEX(tblKurallar[deger_2025],MATCH("TBA-001",tblKurallar[kural_id],0))+$D193*INDEX(tblKurallar[deger_2025],MATCH("TBA-002",tblKurallar[kural_id],0))+$E193*INDEX(tblKurallar[deger_2025],MATCH("TBA-004",tblKurallar[kural_id],0))+$F193*tba_isverenOran,2),0))</f>
        <v/>
      </c>
      <c r="I193" s="31">
        <f>IF($A193="","",IFERROR(MAX(0,$H193-$G193),0))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0" t="n"/>
      <c r="H194" s="31">
        <f>IF($A194="","",IFERROR(ROUND($C194*INDEX(tblKurallar[deger_2025],MATCH("TBA-001",tblKurallar[kural_id],0))+$D194*INDEX(tblKurallar[deger_2025],MATCH("TBA-002",tblKurallar[kural_id],0))+$E194*INDEX(tblKurallar[deger_2025],MATCH("TBA-004",tblKurallar[kural_id],0))+$F194*tba_isverenOran,2),0))</f>
        <v/>
      </c>
      <c r="I194" s="31">
        <f>IF($A194="","",IFERROR(MAX(0,$H194-$G194),0))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0" t="n"/>
      <c r="H195" s="31">
        <f>IF($A195="","",IFERROR(ROUND($C195*INDEX(tblKurallar[deger_2025],MATCH("TBA-001",tblKurallar[kural_id],0))+$D195*INDEX(tblKurallar[deger_2025],MATCH("TBA-002",tblKurallar[kural_id],0))+$E195*INDEX(tblKurallar[deger_2025],MATCH("TBA-004",tblKurallar[kural_id],0))+$F195*tba_isverenOran,2),0))</f>
        <v/>
      </c>
      <c r="I195" s="31">
        <f>IF($A195="","",IFERROR(MAX(0,$H195-$G195),0))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0" t="n"/>
      <c r="H196" s="31">
        <f>IF($A196="","",IFERROR(ROUND($C196*INDEX(tblKurallar[deger_2025],MATCH("TBA-001",tblKurallar[kural_id],0))+$D196*INDEX(tblKurallar[deger_2025],MATCH("TBA-002",tblKurallar[kural_id],0))+$E196*INDEX(tblKurallar[deger_2025],MATCH("TBA-004",tblKurallar[kural_id],0))+$F196*tba_isverenOran,2),0))</f>
        <v/>
      </c>
      <c r="I196" s="31">
        <f>IF($A196="","",IFERROR(MAX(0,$H196-$G196),0))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0" t="n"/>
      <c r="H197" s="31">
        <f>IF($A197="","",IFERROR(ROUND($C197*INDEX(tblKurallar[deger_2025],MATCH("TBA-001",tblKurallar[kural_id],0))+$D197*INDEX(tblKurallar[deger_2025],MATCH("TBA-002",tblKurallar[kural_id],0))+$E197*INDEX(tblKurallar[deger_2025],MATCH("TBA-004",tblKurallar[kural_id],0))+$F197*tba_isverenOran,2),0))</f>
        <v/>
      </c>
      <c r="I197" s="31">
        <f>IF($A197="","",IFERROR(MAX(0,$H197-$G197),0))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0" t="n"/>
      <c r="H198" s="31">
        <f>IF($A198="","",IFERROR(ROUND($C198*INDEX(tblKurallar[deger_2025],MATCH("TBA-001",tblKurallar[kural_id],0))+$D198*INDEX(tblKurallar[deger_2025],MATCH("TBA-002",tblKurallar[kural_id],0))+$E198*INDEX(tblKurallar[deger_2025],MATCH("TBA-004",tblKurallar[kural_id],0))+$F198*tba_isverenOran,2),0))</f>
        <v/>
      </c>
      <c r="I198" s="31">
        <f>IF($A198="","",IFERROR(MAX(0,$H198-$G198),0))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0" t="n"/>
      <c r="H199" s="31">
        <f>IF($A199="","",IFERROR(ROUND($C199*INDEX(tblKurallar[deger_2025],MATCH("TBA-001",tblKurallar[kural_id],0))+$D199*INDEX(tblKurallar[deger_2025],MATCH("TBA-002",tblKurallar[kural_id],0))+$E199*INDEX(tblKurallar[deger_2025],MATCH("TBA-004",tblKurallar[kural_id],0))+$F199*tba_isverenOran,2),0))</f>
        <v/>
      </c>
      <c r="I199" s="31">
        <f>IF($A199="","",IFERROR(MAX(0,$H199-$G199),0))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0" t="n"/>
      <c r="H200" s="31">
        <f>IF($A200="","",IFERROR(ROUND($C200*INDEX(tblKurallar[deger_2025],MATCH("TBA-001",tblKurallar[kural_id],0))+$D200*INDEX(tblKurallar[deger_2025],MATCH("TBA-002",tblKurallar[kural_id],0))+$E200*INDEX(tblKurallar[deger_2025],MATCH("TBA-004",tblKurallar[kural_id],0))+$F200*tba_isverenOran,2),0))</f>
        <v/>
      </c>
      <c r="I200" s="31">
        <f>IF($A200="","",IFERROR(MAX(0,$H200-$G200),0))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0" t="n"/>
      <c r="H201" s="31">
        <f>IF($A201="","",IFERROR(ROUND($C201*INDEX(tblKurallar[deger_2025],MATCH("TBA-001",tblKurallar[kural_id],0))+$D201*INDEX(tblKurallar[deger_2025],MATCH("TBA-002",tblKurallar[kural_id],0))+$E201*INDEX(tblKurallar[deger_2025],MATCH("TBA-004",tblKurallar[kural_id],0))+$F201*tba_isverenOran,2),0))</f>
        <v/>
      </c>
      <c r="I201" s="31">
        <f>IF($A201="","",IFERROR(MAX(0,$H201-$G201),0))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0" t="n"/>
      <c r="H202" s="31">
        <f>IF($A202="","",IFERROR(ROUND($C202*INDEX(tblKurallar[deger_2025],MATCH("TBA-001",tblKurallar[kural_id],0))+$D202*INDEX(tblKurallar[deger_2025],MATCH("TBA-002",tblKurallar[kural_id],0))+$E202*INDEX(tblKurallar[deger_2025],MATCH("TBA-004",tblKurallar[kural_id],0))+$F202*tba_isverenOran,2),0))</f>
        <v/>
      </c>
      <c r="I202" s="31">
        <f>IF($A202="","",IFERROR(MAX(0,$H202-$G202),0))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0" t="n"/>
      <c r="H203" s="31">
        <f>IF($A203="","",IFERROR(ROUND($C203*INDEX(tblKurallar[deger_2025],MATCH("TBA-001",tblKurallar[kural_id],0))+$D203*INDEX(tblKurallar[deger_2025],MATCH("TBA-002",tblKurallar[kural_id],0))+$E203*INDEX(tblKurallar[deger_2025],MATCH("TBA-004",tblKurallar[kural_id],0))+$F203*tba_isverenOran,2),0))</f>
        <v/>
      </c>
      <c r="I203" s="31">
        <f>IF($A203="","",IFERROR(MAX(0,$H203-$G203),0))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0" t="n"/>
      <c r="H204" s="31">
        <f>IF($A204="","",IFERROR(ROUND($C204*INDEX(tblKurallar[deger_2025],MATCH("TBA-001",tblKurallar[kural_id],0))+$D204*INDEX(tblKurallar[deger_2025],MATCH("TBA-002",tblKurallar[kural_id],0))+$E204*INDEX(tblKurallar[deger_2025],MATCH("TBA-004",tblKurallar[kural_id],0))+$F204*tba_isverenOran,2),0))</f>
        <v/>
      </c>
      <c r="I204" s="31">
        <f>IF($A204="","",IFERROR(MAX(0,$H204-$G204),0))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0" t="n"/>
      <c r="H205" s="31">
        <f>IF($A205="","",IFERROR(ROUND($C205*INDEX(tblKurallar[deger_2025],MATCH("TBA-001",tblKurallar[kural_id],0))+$D205*INDEX(tblKurallar[deger_2025],MATCH("TBA-002",tblKurallar[kural_id],0))+$E205*INDEX(tblKurallar[deger_2025],MATCH("TBA-004",tblKurallar[kural_id],0))+$F205*tba_isverenOran,2),0))</f>
        <v/>
      </c>
      <c r="I205" s="31">
        <f>IF($A205="","",IFERROR(MAX(0,$H205-$G205),0))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0" t="n"/>
      <c r="H206" s="31">
        <f>IF($A206="","",IFERROR(ROUND($C206*INDEX(tblKurallar[deger_2025],MATCH("TBA-001",tblKurallar[kural_id],0))+$D206*INDEX(tblKurallar[deger_2025],MATCH("TBA-002",tblKurallar[kural_id],0))+$E206*INDEX(tblKurallar[deger_2025],MATCH("TBA-004",tblKurallar[kural_id],0))+$F206*tba_isverenOran,2),0))</f>
        <v/>
      </c>
      <c r="I206" s="31">
        <f>IF($A206="","",IFERROR(MAX(0,$H206-$G206),0))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0" t="n"/>
      <c r="H207" s="31">
        <f>IF($A207="","",IFERROR(ROUND($C207*INDEX(tblKurallar[deger_2025],MATCH("TBA-001",tblKurallar[kural_id],0))+$D207*INDEX(tblKurallar[deger_2025],MATCH("TBA-002",tblKurallar[kural_id],0))+$E207*INDEX(tblKurallar[deger_2025],MATCH("TBA-004",tblKurallar[kural_id],0))+$F207*tba_isverenOran,2),0))</f>
        <v/>
      </c>
      <c r="I207" s="31">
        <f>IF($A207="","",IFERROR(MAX(0,$H207-$G207),0))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0" t="n"/>
      <c r="H208" s="31">
        <f>IF($A208="","",IFERROR(ROUND($C208*INDEX(tblKurallar[deger_2025],MATCH("TBA-001",tblKurallar[kural_id],0))+$D208*INDEX(tblKurallar[deger_2025],MATCH("TBA-002",tblKurallar[kural_id],0))+$E208*INDEX(tblKurallar[deger_2025],MATCH("TBA-004",tblKurallar[kural_id],0))+$F208*tba_isverenOran,2),0))</f>
        <v/>
      </c>
      <c r="I208" s="31">
        <f>IF($A208="","",IFERROR(MAX(0,$H208-$G208),0))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0" t="n"/>
      <c r="H209" s="31">
        <f>IF($A209="","",IFERROR(ROUND($C209*INDEX(tblKurallar[deger_2025],MATCH("TBA-001",tblKurallar[kural_id],0))+$D209*INDEX(tblKurallar[deger_2025],MATCH("TBA-002",tblKurallar[kural_id],0))+$E209*INDEX(tblKurallar[deger_2025],MATCH("TBA-004",tblKurallar[kural_id],0))+$F209*tba_isverenOran,2),0))</f>
        <v/>
      </c>
      <c r="I209" s="31">
        <f>IF($A209="","",IFERROR(MAX(0,$H209-$G209),0))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0" t="n"/>
      <c r="H210" s="31">
        <f>IF($A210="","",IFERROR(ROUND($C210*INDEX(tblKurallar[deger_2025],MATCH("TBA-001",tblKurallar[kural_id],0))+$D210*INDEX(tblKurallar[deger_2025],MATCH("TBA-002",tblKurallar[kural_id],0))+$E210*INDEX(tblKurallar[deger_2025],MATCH("TBA-004",tblKurallar[kural_id],0))+$F210*tba_isverenOran,2),0))</f>
        <v/>
      </c>
      <c r="I210" s="31">
        <f>IF($A210="","",IFERROR(MAX(0,$H210-$G210),0))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0" t="n"/>
      <c r="H211" s="31">
        <f>IF($A211="","",IFERROR(ROUND($C211*INDEX(tblKurallar[deger_2025],MATCH("TBA-001",tblKurallar[kural_id],0))+$D211*INDEX(tblKurallar[deger_2025],MATCH("TBA-002",tblKurallar[kural_id],0))+$E211*INDEX(tblKurallar[deger_2025],MATCH("TBA-004",tblKurallar[kural_id],0))+$F211*tba_isverenOran,2),0))</f>
        <v/>
      </c>
      <c r="I211" s="31">
        <f>IF($A211="","",IFERROR(MAX(0,$H211-$G211),0))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0" t="n"/>
      <c r="H212" s="31">
        <f>IF($A212="","",IFERROR(ROUND($C212*INDEX(tblKurallar[deger_2025],MATCH("TBA-001",tblKurallar[kural_id],0))+$D212*INDEX(tblKurallar[deger_2025],MATCH("TBA-002",tblKurallar[kural_id],0))+$E212*INDEX(tblKurallar[deger_2025],MATCH("TBA-004",tblKurallar[kural_id],0))+$F212*tba_isverenOran,2),0))</f>
        <v/>
      </c>
      <c r="I212" s="31">
        <f>IF($A212="","",IFERROR(MAX(0,$H212-$G212),0))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0" t="n"/>
      <c r="H213" s="31">
        <f>IF($A213="","",IFERROR(ROUND($C213*INDEX(tblKurallar[deger_2025],MATCH("TBA-001",tblKurallar[kural_id],0))+$D213*INDEX(tblKurallar[deger_2025],MATCH("TBA-002",tblKurallar[kural_id],0))+$E213*INDEX(tblKurallar[deger_2025],MATCH("TBA-004",tblKurallar[kural_id],0))+$F213*tba_isverenOran,2),0))</f>
        <v/>
      </c>
      <c r="I213" s="31">
        <f>IF($A213="","",IFERROR(MAX(0,$H213-$G213),0))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0" t="n"/>
      <c r="H214" s="31">
        <f>IF($A214="","",IFERROR(ROUND($C214*INDEX(tblKurallar[deger_2025],MATCH("TBA-001",tblKurallar[kural_id],0))+$D214*INDEX(tblKurallar[deger_2025],MATCH("TBA-002",tblKurallar[kural_id],0))+$E214*INDEX(tblKurallar[deger_2025],MATCH("TBA-004",tblKurallar[kural_id],0))+$F214*tba_isverenOran,2),0))</f>
        <v/>
      </c>
      <c r="I214" s="31">
        <f>IF($A214="","",IFERROR(MAX(0,$H214-$G214),0))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0" t="n"/>
      <c r="H215" s="31">
        <f>IF($A215="","",IFERROR(ROUND($C215*INDEX(tblKurallar[deger_2025],MATCH("TBA-001",tblKurallar[kural_id],0))+$D215*INDEX(tblKurallar[deger_2025],MATCH("TBA-002",tblKurallar[kural_id],0))+$E215*INDEX(tblKurallar[deger_2025],MATCH("TBA-004",tblKurallar[kural_id],0))+$F215*tba_isverenOran,2),0))</f>
        <v/>
      </c>
      <c r="I215" s="31">
        <f>IF($A215="","",IFERROR(MAX(0,$H215-$G215),0))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0" t="n"/>
      <c r="H216" s="31">
        <f>IF($A216="","",IFERROR(ROUND($C216*INDEX(tblKurallar[deger_2025],MATCH("TBA-001",tblKurallar[kural_id],0))+$D216*INDEX(tblKurallar[deger_2025],MATCH("TBA-002",tblKurallar[kural_id],0))+$E216*INDEX(tblKurallar[deger_2025],MATCH("TBA-004",tblKurallar[kural_id],0))+$F216*tba_isverenOran,2),0))</f>
        <v/>
      </c>
      <c r="I216" s="31">
        <f>IF($A216="","",IFERROR(MAX(0,$H216-$G216),0))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0" t="n"/>
      <c r="H217" s="31">
        <f>IF($A217="","",IFERROR(ROUND($C217*INDEX(tblKurallar[deger_2025],MATCH("TBA-001",tblKurallar[kural_id],0))+$D217*INDEX(tblKurallar[deger_2025],MATCH("TBA-002",tblKurallar[kural_id],0))+$E217*INDEX(tblKurallar[deger_2025],MATCH("TBA-004",tblKurallar[kural_id],0))+$F217*tba_isverenOran,2),0))</f>
        <v/>
      </c>
      <c r="I217" s="31">
        <f>IF($A217="","",IFERROR(MAX(0,$H217-$G217),0))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0" t="n"/>
      <c r="H218" s="31">
        <f>IF($A218="","",IFERROR(ROUND($C218*INDEX(tblKurallar[deger_2025],MATCH("TBA-001",tblKurallar[kural_id],0))+$D218*INDEX(tblKurallar[deger_2025],MATCH("TBA-002",tblKurallar[kural_id],0))+$E218*INDEX(tblKurallar[deger_2025],MATCH("TBA-004",tblKurallar[kural_id],0))+$F218*tba_isverenOran,2),0))</f>
        <v/>
      </c>
      <c r="I218" s="31">
        <f>IF($A218="","",IFERROR(MAX(0,$H218-$G218),0))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0" t="n"/>
      <c r="H219" s="31">
        <f>IF($A219="","",IFERROR(ROUND($C219*INDEX(tblKurallar[deger_2025],MATCH("TBA-001",tblKurallar[kural_id],0))+$D219*INDEX(tblKurallar[deger_2025],MATCH("TBA-002",tblKurallar[kural_id],0))+$E219*INDEX(tblKurallar[deger_2025],MATCH("TBA-004",tblKurallar[kural_id],0))+$F219*tba_isverenOran,2),0))</f>
        <v/>
      </c>
      <c r="I219" s="31">
        <f>IF($A219="","",IFERROR(MAX(0,$H219-$G219),0))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0" t="n"/>
      <c r="H220" s="31">
        <f>IF($A220="","",IFERROR(ROUND($C220*INDEX(tblKurallar[deger_2025],MATCH("TBA-001",tblKurallar[kural_id],0))+$D220*INDEX(tblKurallar[deger_2025],MATCH("TBA-002",tblKurallar[kural_id],0))+$E220*INDEX(tblKurallar[deger_2025],MATCH("TBA-004",tblKurallar[kural_id],0))+$F220*tba_isverenOran,2),0))</f>
        <v/>
      </c>
      <c r="I220" s="31">
        <f>IF($A220="","",IFERROR(MAX(0,$H220-$G220),0))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0" t="n"/>
      <c r="H221" s="31">
        <f>IF($A221="","",IFERROR(ROUND($C221*INDEX(tblKurallar[deger_2025],MATCH("TBA-001",tblKurallar[kural_id],0))+$D221*INDEX(tblKurallar[deger_2025],MATCH("TBA-002",tblKurallar[kural_id],0))+$E221*INDEX(tblKurallar[deger_2025],MATCH("TBA-004",tblKurallar[kural_id],0))+$F221*tba_isverenOran,2),0))</f>
        <v/>
      </c>
      <c r="I221" s="31">
        <f>IF($A221="","",IFERROR(MAX(0,$H221-$G221),0))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0" t="n"/>
      <c r="H222" s="31">
        <f>IF($A222="","",IFERROR(ROUND($C222*INDEX(tblKurallar[deger_2025],MATCH("TBA-001",tblKurallar[kural_id],0))+$D222*INDEX(tblKurallar[deger_2025],MATCH("TBA-002",tblKurallar[kural_id],0))+$E222*INDEX(tblKurallar[deger_2025],MATCH("TBA-004",tblKurallar[kural_id],0))+$F222*tba_isverenOran,2),0))</f>
        <v/>
      </c>
      <c r="I222" s="31">
        <f>IF($A222="","",IFERROR(MAX(0,$H222-$G222),0))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0" t="n"/>
      <c r="H223" s="31">
        <f>IF($A223="","",IFERROR(ROUND($C223*INDEX(tblKurallar[deger_2025],MATCH("TBA-001",tblKurallar[kural_id],0))+$D223*INDEX(tblKurallar[deger_2025],MATCH("TBA-002",tblKurallar[kural_id],0))+$E223*INDEX(tblKurallar[deger_2025],MATCH("TBA-004",tblKurallar[kural_id],0))+$F223*tba_isverenOran,2),0))</f>
        <v/>
      </c>
      <c r="I223" s="31">
        <f>IF($A223="","",IFERROR(MAX(0,$H223-$G223),0))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0" t="n"/>
      <c r="H224" s="31">
        <f>IF($A224="","",IFERROR(ROUND($C224*INDEX(tblKurallar[deger_2025],MATCH("TBA-001",tblKurallar[kural_id],0))+$D224*INDEX(tblKurallar[deger_2025],MATCH("TBA-002",tblKurallar[kural_id],0))+$E224*INDEX(tblKurallar[deger_2025],MATCH("TBA-004",tblKurallar[kural_id],0))+$F224*tba_isverenOran,2),0))</f>
        <v/>
      </c>
      <c r="I224" s="31">
        <f>IF($A224="","",IFERROR(MAX(0,$H224-$G224),0))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0" t="n"/>
      <c r="H225" s="31">
        <f>IF($A225="","",IFERROR(ROUND($C225*INDEX(tblKurallar[deger_2025],MATCH("TBA-001",tblKurallar[kural_id],0))+$D225*INDEX(tblKurallar[deger_2025],MATCH("TBA-002",tblKurallar[kural_id],0))+$E225*INDEX(tblKurallar[deger_2025],MATCH("TBA-004",tblKurallar[kural_id],0))+$F225*tba_isverenOran,2),0))</f>
        <v/>
      </c>
      <c r="I225" s="31">
        <f>IF($A225="","",IFERROR(MAX(0,$H225-$G225),0))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0" t="n"/>
      <c r="H226" s="31">
        <f>IF($A226="","",IFERROR(ROUND($C226*INDEX(tblKurallar[deger_2025],MATCH("TBA-001",tblKurallar[kural_id],0))+$D226*INDEX(tblKurallar[deger_2025],MATCH("TBA-002",tblKurallar[kural_id],0))+$E226*INDEX(tblKurallar[deger_2025],MATCH("TBA-004",tblKurallar[kural_id],0))+$F226*tba_isverenOran,2),0))</f>
        <v/>
      </c>
      <c r="I226" s="31">
        <f>IF($A226="","",IFERROR(MAX(0,$H226-$G226),0))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0" t="n"/>
      <c r="H227" s="31">
        <f>IF($A227="","",IFERROR(ROUND($C227*INDEX(tblKurallar[deger_2025],MATCH("TBA-001",tblKurallar[kural_id],0))+$D227*INDEX(tblKurallar[deger_2025],MATCH("TBA-002",tblKurallar[kural_id],0))+$E227*INDEX(tblKurallar[deger_2025],MATCH("TBA-004",tblKurallar[kural_id],0))+$F227*tba_isverenOran,2),0))</f>
        <v/>
      </c>
      <c r="I227" s="31">
        <f>IF($A227="","",IFERROR(MAX(0,$H227-$G227),0))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0" t="n"/>
      <c r="H228" s="31">
        <f>IF($A228="","",IFERROR(ROUND($C228*INDEX(tblKurallar[deger_2025],MATCH("TBA-001",tblKurallar[kural_id],0))+$D228*INDEX(tblKurallar[deger_2025],MATCH("TBA-002",tblKurallar[kural_id],0))+$E228*INDEX(tblKurallar[deger_2025],MATCH("TBA-004",tblKurallar[kural_id],0))+$F228*tba_isverenOran,2),0))</f>
        <v/>
      </c>
      <c r="I228" s="31">
        <f>IF($A228="","",IFERROR(MAX(0,$H228-$G228),0))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0" t="n"/>
      <c r="H229" s="31">
        <f>IF($A229="","",IFERROR(ROUND($C229*INDEX(tblKurallar[deger_2025],MATCH("TBA-001",tblKurallar[kural_id],0))+$D229*INDEX(tblKurallar[deger_2025],MATCH("TBA-002",tblKurallar[kural_id],0))+$E229*INDEX(tblKurallar[deger_2025],MATCH("TBA-004",tblKurallar[kural_id],0))+$F229*tba_isverenOran,2),0))</f>
        <v/>
      </c>
      <c r="I229" s="31">
        <f>IF($A229="","",IFERROR(MAX(0,$H229-$G229),0))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0" t="n"/>
      <c r="H230" s="31">
        <f>IF($A230="","",IFERROR(ROUND($C230*INDEX(tblKurallar[deger_2025],MATCH("TBA-001",tblKurallar[kural_id],0))+$D230*INDEX(tblKurallar[deger_2025],MATCH("TBA-002",tblKurallar[kural_id],0))+$E230*INDEX(tblKurallar[deger_2025],MATCH("TBA-004",tblKurallar[kural_id],0))+$F230*tba_isverenOran,2),0))</f>
        <v/>
      </c>
      <c r="I230" s="31">
        <f>IF($A230="","",IFERROR(MAX(0,$H230-$G230),0))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0" t="n"/>
      <c r="H231" s="31">
        <f>IF($A231="","",IFERROR(ROUND($C231*INDEX(tblKurallar[deger_2025],MATCH("TBA-001",tblKurallar[kural_id],0))+$D231*INDEX(tblKurallar[deger_2025],MATCH("TBA-002",tblKurallar[kural_id],0))+$E231*INDEX(tblKurallar[deger_2025],MATCH("TBA-004",tblKurallar[kural_id],0))+$F231*tba_isverenOran,2),0))</f>
        <v/>
      </c>
      <c r="I231" s="31">
        <f>IF($A231="","",IFERROR(MAX(0,$H231-$G231),0))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0" t="n"/>
      <c r="H232" s="31">
        <f>IF($A232="","",IFERROR(ROUND($C232*INDEX(tblKurallar[deger_2025],MATCH("TBA-001",tblKurallar[kural_id],0))+$D232*INDEX(tblKurallar[deger_2025],MATCH("TBA-002",tblKurallar[kural_id],0))+$E232*INDEX(tblKurallar[deger_2025],MATCH("TBA-004",tblKurallar[kural_id],0))+$F232*tba_isverenOran,2),0))</f>
        <v/>
      </c>
      <c r="I232" s="31">
        <f>IF($A232="","",IFERROR(MAX(0,$H232-$G232),0))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0" t="n"/>
      <c r="H233" s="31">
        <f>IF($A233="","",IFERROR(ROUND($C233*INDEX(tblKurallar[deger_2025],MATCH("TBA-001",tblKurallar[kural_id],0))+$D233*INDEX(tblKurallar[deger_2025],MATCH("TBA-002",tblKurallar[kural_id],0))+$E233*INDEX(tblKurallar[deger_2025],MATCH("TBA-004",tblKurallar[kural_id],0))+$F233*tba_isverenOran,2),0))</f>
        <v/>
      </c>
      <c r="I233" s="31">
        <f>IF($A233="","",IFERROR(MAX(0,$H233-$G233),0))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0" t="n"/>
      <c r="H234" s="31">
        <f>IF($A234="","",IFERROR(ROUND($C234*INDEX(tblKurallar[deger_2025],MATCH("TBA-001",tblKurallar[kural_id],0))+$D234*INDEX(tblKurallar[deger_2025],MATCH("TBA-002",tblKurallar[kural_id],0))+$E234*INDEX(tblKurallar[deger_2025],MATCH("TBA-004",tblKurallar[kural_id],0))+$F234*tba_isverenOran,2),0))</f>
        <v/>
      </c>
      <c r="I234" s="31">
        <f>IF($A234="","",IFERROR(MAX(0,$H234-$G234),0))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0" t="n"/>
      <c r="H235" s="31">
        <f>IF($A235="","",IFERROR(ROUND($C235*INDEX(tblKurallar[deger_2025],MATCH("TBA-001",tblKurallar[kural_id],0))+$D235*INDEX(tblKurallar[deger_2025],MATCH("TBA-002",tblKurallar[kural_id],0))+$E235*INDEX(tblKurallar[deger_2025],MATCH("TBA-004",tblKurallar[kural_id],0))+$F235*tba_isverenOran,2),0))</f>
        <v/>
      </c>
      <c r="I235" s="31">
        <f>IF($A235="","",IFERROR(MAX(0,$H235-$G235),0))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0" t="n"/>
      <c r="H236" s="31">
        <f>IF($A236="","",IFERROR(ROUND($C236*INDEX(tblKurallar[deger_2025],MATCH("TBA-001",tblKurallar[kural_id],0))+$D236*INDEX(tblKurallar[deger_2025],MATCH("TBA-002",tblKurallar[kural_id],0))+$E236*INDEX(tblKurallar[deger_2025],MATCH("TBA-004",tblKurallar[kural_id],0))+$F236*tba_isverenOran,2),0))</f>
        <v/>
      </c>
      <c r="I236" s="31">
        <f>IF($A236="","",IFERROR(MAX(0,$H236-$G236),0))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0" t="n"/>
      <c r="H237" s="31">
        <f>IF($A237="","",IFERROR(ROUND($C237*INDEX(tblKurallar[deger_2025],MATCH("TBA-001",tblKurallar[kural_id],0))+$D237*INDEX(tblKurallar[deger_2025],MATCH("TBA-002",tblKurallar[kural_id],0))+$E237*INDEX(tblKurallar[deger_2025],MATCH("TBA-004",tblKurallar[kural_id],0))+$F237*tba_isverenOran,2),0))</f>
        <v/>
      </c>
      <c r="I237" s="31">
        <f>IF($A237="","",IFERROR(MAX(0,$H237-$G237),0))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0" t="n"/>
      <c r="H238" s="31">
        <f>IF($A238="","",IFERROR(ROUND($C238*INDEX(tblKurallar[deger_2025],MATCH("TBA-001",tblKurallar[kural_id],0))+$D238*INDEX(tblKurallar[deger_2025],MATCH("TBA-002",tblKurallar[kural_id],0))+$E238*INDEX(tblKurallar[deger_2025],MATCH("TBA-004",tblKurallar[kural_id],0))+$F238*tba_isverenOran,2),0))</f>
        <v/>
      </c>
      <c r="I238" s="31">
        <f>IF($A238="","",IFERROR(MAX(0,$H238-$G238),0))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0" t="n"/>
      <c r="H239" s="31">
        <f>IF($A239="","",IFERROR(ROUND($C239*INDEX(tblKurallar[deger_2025],MATCH("TBA-001",tblKurallar[kural_id],0))+$D239*INDEX(tblKurallar[deger_2025],MATCH("TBA-002",tblKurallar[kural_id],0))+$E239*INDEX(tblKurallar[deger_2025],MATCH("TBA-004",tblKurallar[kural_id],0))+$F239*tba_isverenOran,2),0))</f>
        <v/>
      </c>
      <c r="I239" s="31">
        <f>IF($A239="","",IFERROR(MAX(0,$H239-$G239),0))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0" t="n"/>
      <c r="H240" s="31">
        <f>IF($A240="","",IFERROR(ROUND($C240*INDEX(tblKurallar[deger_2025],MATCH("TBA-001",tblKurallar[kural_id],0))+$D240*INDEX(tblKurallar[deger_2025],MATCH("TBA-002",tblKurallar[kural_id],0))+$E240*INDEX(tblKurallar[deger_2025],MATCH("TBA-004",tblKurallar[kural_id],0))+$F240*tba_isverenOran,2),0))</f>
        <v/>
      </c>
      <c r="I240" s="31">
        <f>IF($A240="","",IFERROR(MAX(0,$H240-$G240),0))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0" t="n"/>
      <c r="H241" s="31">
        <f>IF($A241="","",IFERROR(ROUND($C241*INDEX(tblKurallar[deger_2025],MATCH("TBA-001",tblKurallar[kural_id],0))+$D241*INDEX(tblKurallar[deger_2025],MATCH("TBA-002",tblKurallar[kural_id],0))+$E241*INDEX(tblKurallar[deger_2025],MATCH("TBA-004",tblKurallar[kural_id],0))+$F241*tba_isverenOran,2),0))</f>
        <v/>
      </c>
      <c r="I241" s="31">
        <f>IF($A241="","",IFERROR(MAX(0,$H241-$G241),0))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0" t="n"/>
      <c r="H242" s="31">
        <f>IF($A242="","",IFERROR(ROUND($C242*INDEX(tblKurallar[deger_2025],MATCH("TBA-001",tblKurallar[kural_id],0))+$D242*INDEX(tblKurallar[deger_2025],MATCH("TBA-002",tblKurallar[kural_id],0))+$E242*INDEX(tblKurallar[deger_2025],MATCH("TBA-004",tblKurallar[kural_id],0))+$F242*tba_isverenOran,2),0))</f>
        <v/>
      </c>
      <c r="I242" s="31">
        <f>IF($A242="","",IFERROR(MAX(0,$H242-$G242),0))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0" t="n"/>
      <c r="H243" s="31">
        <f>IF($A243="","",IFERROR(ROUND($C243*INDEX(tblKurallar[deger_2025],MATCH("TBA-001",tblKurallar[kural_id],0))+$D243*INDEX(tblKurallar[deger_2025],MATCH("TBA-002",tblKurallar[kural_id],0))+$E243*INDEX(tblKurallar[deger_2025],MATCH("TBA-004",tblKurallar[kural_id],0))+$F243*tba_isverenOran,2),0))</f>
        <v/>
      </c>
      <c r="I243" s="31">
        <f>IF($A243="","",IFERROR(MAX(0,$H243-$G243),0))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0" t="n"/>
      <c r="H244" s="31">
        <f>IF($A244="","",IFERROR(ROUND($C244*INDEX(tblKurallar[deger_2025],MATCH("TBA-001",tblKurallar[kural_id],0))+$D244*INDEX(tblKurallar[deger_2025],MATCH("TBA-002",tblKurallar[kural_id],0))+$E244*INDEX(tblKurallar[deger_2025],MATCH("TBA-004",tblKurallar[kural_id],0))+$F244*tba_isverenOran,2),0))</f>
        <v/>
      </c>
      <c r="I244" s="31">
        <f>IF($A244="","",IFERROR(MAX(0,$H244-$G244),0))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0" t="n"/>
      <c r="H245" s="31">
        <f>IF($A245="","",IFERROR(ROUND($C245*INDEX(tblKurallar[deger_2025],MATCH("TBA-001",tblKurallar[kural_id],0))+$D245*INDEX(tblKurallar[deger_2025],MATCH("TBA-002",tblKurallar[kural_id],0))+$E245*INDEX(tblKurallar[deger_2025],MATCH("TBA-004",tblKurallar[kural_id],0))+$F245*tba_isverenOran,2),0))</f>
        <v/>
      </c>
      <c r="I245" s="31">
        <f>IF($A245="","",IFERROR(MAX(0,$H245-$G245),0))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0" t="n"/>
      <c r="H246" s="31">
        <f>IF($A246="","",IFERROR(ROUND($C246*INDEX(tblKurallar[deger_2025],MATCH("TBA-001",tblKurallar[kural_id],0))+$D246*INDEX(tblKurallar[deger_2025],MATCH("TBA-002",tblKurallar[kural_id],0))+$E246*INDEX(tblKurallar[deger_2025],MATCH("TBA-004",tblKurallar[kural_id],0))+$F246*tba_isverenOran,2),0))</f>
        <v/>
      </c>
      <c r="I246" s="31">
        <f>IF($A246="","",IFERROR(MAX(0,$H246-$G246),0))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0" t="n"/>
      <c r="H247" s="31">
        <f>IF($A247="","",IFERROR(ROUND($C247*INDEX(tblKurallar[deger_2025],MATCH("TBA-001",tblKurallar[kural_id],0))+$D247*INDEX(tblKurallar[deger_2025],MATCH("TBA-002",tblKurallar[kural_id],0))+$E247*INDEX(tblKurallar[deger_2025],MATCH("TBA-004",tblKurallar[kural_id],0))+$F247*tba_isverenOran,2),0))</f>
        <v/>
      </c>
      <c r="I247" s="31">
        <f>IF($A247="","",IFERROR(MAX(0,$H247-$G247),0))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0" t="n"/>
      <c r="H248" s="31">
        <f>IF($A248="","",IFERROR(ROUND($C248*INDEX(tblKurallar[deger_2025],MATCH("TBA-001",tblKurallar[kural_id],0))+$D248*INDEX(tblKurallar[deger_2025],MATCH("TBA-002",tblKurallar[kural_id],0))+$E248*INDEX(tblKurallar[deger_2025],MATCH("TBA-004",tblKurallar[kural_id],0))+$F248*tba_isverenOran,2),0))</f>
        <v/>
      </c>
      <c r="I248" s="31">
        <f>IF($A248="","",IFERROR(MAX(0,$H248-$G248),0))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0" t="n"/>
      <c r="H249" s="31">
        <f>IF($A249="","",IFERROR(ROUND($C249*INDEX(tblKurallar[deger_2025],MATCH("TBA-001",tblKurallar[kural_id],0))+$D249*INDEX(tblKurallar[deger_2025],MATCH("TBA-002",tblKurallar[kural_id],0))+$E249*INDEX(tblKurallar[deger_2025],MATCH("TBA-004",tblKurallar[kural_id],0))+$F249*tba_isverenOran,2),0))</f>
        <v/>
      </c>
      <c r="I249" s="31">
        <f>IF($A249="","",IFERROR(MAX(0,$H249-$G249),0))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0" t="n"/>
      <c r="H250" s="31">
        <f>IF($A250="","",IFERROR(ROUND($C250*INDEX(tblKurallar[deger_2025],MATCH("TBA-001",tblKurallar[kural_id],0))+$D250*INDEX(tblKurallar[deger_2025],MATCH("TBA-002",tblKurallar[kural_id],0))+$E250*INDEX(tblKurallar[deger_2025],MATCH("TBA-004",tblKurallar[kural_id],0))+$F250*tba_isverenOran,2),0))</f>
        <v/>
      </c>
      <c r="I250" s="31">
        <f>IF($A250="","",IFERROR(MAX(0,$H250-$G250),0))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0" t="n"/>
      <c r="H251" s="31">
        <f>IF($A251="","",IFERROR(ROUND($C251*INDEX(tblKurallar[deger_2025],MATCH("TBA-001",tblKurallar[kural_id],0))+$D251*INDEX(tblKurallar[deger_2025],MATCH("TBA-002",tblKurallar[kural_id],0))+$E251*INDEX(tblKurallar[deger_2025],MATCH("TBA-004",tblKurallar[kural_id],0))+$F251*tba_isverenOran,2),0))</f>
        <v/>
      </c>
      <c r="I251" s="31">
        <f>IF($A251="","",IFERROR(MAX(0,$H251-$G251),0))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0" t="n"/>
      <c r="H252" s="31">
        <f>IF($A252="","",IFERROR(ROUND($C252*INDEX(tblKurallar[deger_2025],MATCH("TBA-001",tblKurallar[kural_id],0))+$D252*INDEX(tblKurallar[deger_2025],MATCH("TBA-002",tblKurallar[kural_id],0))+$E252*INDEX(tblKurallar[deger_2025],MATCH("TBA-004",tblKurallar[kural_id],0))+$F252*tba_isverenOran,2),0))</f>
        <v/>
      </c>
      <c r="I252" s="31">
        <f>IF($A252="","",IFERROR(MAX(0,$H252-$G252),0))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0" t="n"/>
      <c r="H253" s="31">
        <f>IF($A253="","",IFERROR(ROUND($C253*INDEX(tblKurallar[deger_2025],MATCH("TBA-001",tblKurallar[kural_id],0))+$D253*INDEX(tblKurallar[deger_2025],MATCH("TBA-002",tblKurallar[kural_id],0))+$E253*INDEX(tblKurallar[deger_2025],MATCH("TBA-004",tblKurallar[kural_id],0))+$F253*tba_isverenOran,2),0))</f>
        <v/>
      </c>
      <c r="I253" s="31">
        <f>IF($A253="","",IFERROR(MAX(0,$H253-$G253),0))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0" t="n"/>
      <c r="H254" s="31">
        <f>IF($A254="","",IFERROR(ROUND($C254*INDEX(tblKurallar[deger_2025],MATCH("TBA-001",tblKurallar[kural_id],0))+$D254*INDEX(tblKurallar[deger_2025],MATCH("TBA-002",tblKurallar[kural_id],0))+$E254*INDEX(tblKurallar[deger_2025],MATCH("TBA-004",tblKurallar[kural_id],0))+$F254*tba_isverenOran,2),0))</f>
        <v/>
      </c>
      <c r="I254" s="31">
        <f>IF($A254="","",IFERROR(MAX(0,$H254-$G254),0))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0" t="n"/>
      <c r="H255" s="31">
        <f>IF($A255="","",IFERROR(ROUND($C255*INDEX(tblKurallar[deger_2025],MATCH("TBA-001",tblKurallar[kural_id],0))+$D255*INDEX(tblKurallar[deger_2025],MATCH("TBA-002",tblKurallar[kural_id],0))+$E255*INDEX(tblKurallar[deger_2025],MATCH("TBA-004",tblKurallar[kural_id],0))+$F255*tba_isverenOran,2),0))</f>
        <v/>
      </c>
      <c r="I255" s="31">
        <f>IF($A255="","",IFERROR(MAX(0,$H255-$G255),0))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0" t="n"/>
      <c r="H256" s="31">
        <f>IF($A256="","",IFERROR(ROUND($C256*INDEX(tblKurallar[deger_2025],MATCH("TBA-001",tblKurallar[kural_id],0))+$D256*INDEX(tblKurallar[deger_2025],MATCH("TBA-002",tblKurallar[kural_id],0))+$E256*INDEX(tblKurallar[deger_2025],MATCH("TBA-004",tblKurallar[kural_id],0))+$F256*tba_isverenOran,2),0))</f>
        <v/>
      </c>
      <c r="I256" s="31">
        <f>IF($A256="","",IFERROR(MAX(0,$H256-$G256),0))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0" t="n"/>
      <c r="H257" s="31">
        <f>IF($A257="","",IFERROR(ROUND($C257*INDEX(tblKurallar[deger_2025],MATCH("TBA-001",tblKurallar[kural_id],0))+$D257*INDEX(tblKurallar[deger_2025],MATCH("TBA-002",tblKurallar[kural_id],0))+$E257*INDEX(tblKurallar[deger_2025],MATCH("TBA-004",tblKurallar[kural_id],0))+$F257*tba_isverenOran,2),0))</f>
        <v/>
      </c>
      <c r="I257" s="31">
        <f>IF($A257="","",IFERROR(MAX(0,$H257-$G257),0))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0" t="n"/>
      <c r="H258" s="31">
        <f>IF($A258="","",IFERROR(ROUND($C258*INDEX(tblKurallar[deger_2025],MATCH("TBA-001",tblKurallar[kural_id],0))+$D258*INDEX(tblKurallar[deger_2025],MATCH("TBA-002",tblKurallar[kural_id],0))+$E258*INDEX(tblKurallar[deger_2025],MATCH("TBA-004",tblKurallar[kural_id],0))+$F258*tba_isverenOran,2),0))</f>
        <v/>
      </c>
      <c r="I258" s="31">
        <f>IF($A258="","",IFERROR(MAX(0,$H258-$G258),0))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0" t="n"/>
      <c r="H259" s="31">
        <f>IF($A259="","",IFERROR(ROUND($C259*INDEX(tblKurallar[deger_2025],MATCH("TBA-001",tblKurallar[kural_id],0))+$D259*INDEX(tblKurallar[deger_2025],MATCH("TBA-002",tblKurallar[kural_id],0))+$E259*INDEX(tblKurallar[deger_2025],MATCH("TBA-004",tblKurallar[kural_id],0))+$F259*tba_isverenOran,2),0))</f>
        <v/>
      </c>
      <c r="I259" s="31">
        <f>IF($A259="","",IFERROR(MAX(0,$H259-$G259),0))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0" t="n"/>
      <c r="H260" s="31">
        <f>IF($A260="","",IFERROR(ROUND($C260*INDEX(tblKurallar[deger_2025],MATCH("TBA-001",tblKurallar[kural_id],0))+$D260*INDEX(tblKurallar[deger_2025],MATCH("TBA-002",tblKurallar[kural_id],0))+$E260*INDEX(tblKurallar[deger_2025],MATCH("TBA-004",tblKurallar[kural_id],0))+$F260*tba_isverenOran,2),0))</f>
        <v/>
      </c>
      <c r="I260" s="31">
        <f>IF($A260="","",IFERROR(MAX(0,$H260-$G260),0))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0" t="n"/>
      <c r="H261" s="31">
        <f>IF($A261="","",IFERROR(ROUND($C261*INDEX(tblKurallar[deger_2025],MATCH("TBA-001",tblKurallar[kural_id],0))+$D261*INDEX(tblKurallar[deger_2025],MATCH("TBA-002",tblKurallar[kural_id],0))+$E261*INDEX(tblKurallar[deger_2025],MATCH("TBA-004",tblKurallar[kural_id],0))+$F261*tba_isverenOran,2),0))</f>
        <v/>
      </c>
      <c r="I261" s="31">
        <f>IF($A261="","",IFERROR(MAX(0,$H261-$G261),0))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0" t="n"/>
      <c r="H262" s="31">
        <f>IF($A262="","",IFERROR(ROUND($C262*INDEX(tblKurallar[deger_2025],MATCH("TBA-001",tblKurallar[kural_id],0))+$D262*INDEX(tblKurallar[deger_2025],MATCH("TBA-002",tblKurallar[kural_id],0))+$E262*INDEX(tblKurallar[deger_2025],MATCH("TBA-004",tblKurallar[kural_id],0))+$F262*tba_isverenOran,2),0))</f>
        <v/>
      </c>
      <c r="I262" s="31">
        <f>IF($A262="","",IFERROR(MAX(0,$H262-$G262),0))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0" t="n"/>
      <c r="H263" s="31">
        <f>IF($A263="","",IFERROR(ROUND($C263*INDEX(tblKurallar[deger_2025],MATCH("TBA-001",tblKurallar[kural_id],0))+$D263*INDEX(tblKurallar[deger_2025],MATCH("TBA-002",tblKurallar[kural_id],0))+$E263*INDEX(tblKurallar[deger_2025],MATCH("TBA-004",tblKurallar[kural_id],0))+$F263*tba_isverenOran,2),0))</f>
        <v/>
      </c>
      <c r="I263" s="31">
        <f>IF($A263="","",IFERROR(MAX(0,$H263-$G263),0))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0" t="n"/>
      <c r="H264" s="31">
        <f>IF($A264="","",IFERROR(ROUND($C264*INDEX(tblKurallar[deger_2025],MATCH("TBA-001",tblKurallar[kural_id],0))+$D264*INDEX(tblKurallar[deger_2025],MATCH("TBA-002",tblKurallar[kural_id],0))+$E264*INDEX(tblKurallar[deger_2025],MATCH("TBA-004",tblKurallar[kural_id],0))+$F264*tba_isverenOran,2),0))</f>
        <v/>
      </c>
      <c r="I264" s="31">
        <f>IF($A264="","",IFERROR(MAX(0,$H264-$G264),0))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0" t="n"/>
      <c r="H265" s="31">
        <f>IF($A265="","",IFERROR(ROUND($C265*INDEX(tblKurallar[deger_2025],MATCH("TBA-001",tblKurallar[kural_id],0))+$D265*INDEX(tblKurallar[deger_2025],MATCH("TBA-002",tblKurallar[kural_id],0))+$E265*INDEX(tblKurallar[deger_2025],MATCH("TBA-004",tblKurallar[kural_id],0))+$F265*tba_isverenOran,2),0))</f>
        <v/>
      </c>
      <c r="I265" s="31">
        <f>IF($A265="","",IFERROR(MAX(0,$H265-$G265),0))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0" t="n"/>
      <c r="H266" s="31">
        <f>IF($A266="","",IFERROR(ROUND($C266*INDEX(tblKurallar[deger_2025],MATCH("TBA-001",tblKurallar[kural_id],0))+$D266*INDEX(tblKurallar[deger_2025],MATCH("TBA-002",tblKurallar[kural_id],0))+$E266*INDEX(tblKurallar[deger_2025],MATCH("TBA-004",tblKurallar[kural_id],0))+$F266*tba_isverenOran,2),0))</f>
        <v/>
      </c>
      <c r="I266" s="31">
        <f>IF($A266="","",IFERROR(MAX(0,$H266-$G266),0))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0" t="n"/>
      <c r="H267" s="31">
        <f>IF($A267="","",IFERROR(ROUND($C267*INDEX(tblKurallar[deger_2025],MATCH("TBA-001",tblKurallar[kural_id],0))+$D267*INDEX(tblKurallar[deger_2025],MATCH("TBA-002",tblKurallar[kural_id],0))+$E267*INDEX(tblKurallar[deger_2025],MATCH("TBA-004",tblKurallar[kural_id],0))+$F267*tba_isverenOran,2),0))</f>
        <v/>
      </c>
      <c r="I267" s="31">
        <f>IF($A267="","",IFERROR(MAX(0,$H267-$G267),0))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0" t="n"/>
      <c r="H268" s="31">
        <f>IF($A268="","",IFERROR(ROUND($C268*INDEX(tblKurallar[deger_2025],MATCH("TBA-001",tblKurallar[kural_id],0))+$D268*INDEX(tblKurallar[deger_2025],MATCH("TBA-002",tblKurallar[kural_id],0))+$E268*INDEX(tblKurallar[deger_2025],MATCH("TBA-004",tblKurallar[kural_id],0))+$F268*tba_isverenOran,2),0))</f>
        <v/>
      </c>
      <c r="I268" s="31">
        <f>IF($A268="","",IFERROR(MAX(0,$H268-$G268),0))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0" t="n"/>
      <c r="H269" s="31">
        <f>IF($A269="","",IFERROR(ROUND($C269*INDEX(tblKurallar[deger_2025],MATCH("TBA-001",tblKurallar[kural_id],0))+$D269*INDEX(tblKurallar[deger_2025],MATCH("TBA-002",tblKurallar[kural_id],0))+$E269*INDEX(tblKurallar[deger_2025],MATCH("TBA-004",tblKurallar[kural_id],0))+$F269*tba_isverenOran,2),0))</f>
        <v/>
      </c>
      <c r="I269" s="31">
        <f>IF($A269="","",IFERROR(MAX(0,$H269-$G269),0))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0" t="n"/>
      <c r="H270" s="31">
        <f>IF($A270="","",IFERROR(ROUND($C270*INDEX(tblKurallar[deger_2025],MATCH("TBA-001",tblKurallar[kural_id],0))+$D270*INDEX(tblKurallar[deger_2025],MATCH("TBA-002",tblKurallar[kural_id],0))+$E270*INDEX(tblKurallar[deger_2025],MATCH("TBA-004",tblKurallar[kural_id],0))+$F270*tba_isverenOran,2),0))</f>
        <v/>
      </c>
      <c r="I270" s="31">
        <f>IF($A270="","",IFERROR(MAX(0,$H270-$G270),0))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0" t="n"/>
      <c r="H271" s="31">
        <f>IF($A271="","",IFERROR(ROUND($C271*INDEX(tblKurallar[deger_2025],MATCH("TBA-001",tblKurallar[kural_id],0))+$D271*INDEX(tblKurallar[deger_2025],MATCH("TBA-002",tblKurallar[kural_id],0))+$E271*INDEX(tblKurallar[deger_2025],MATCH("TBA-004",tblKurallar[kural_id],0))+$F271*tba_isverenOran,2),0))</f>
        <v/>
      </c>
      <c r="I271" s="31">
        <f>IF($A271="","",IFERROR(MAX(0,$H271-$G271),0))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0" t="n"/>
      <c r="H272" s="31">
        <f>IF($A272="","",IFERROR(ROUND($C272*INDEX(tblKurallar[deger_2025],MATCH("TBA-001",tblKurallar[kural_id],0))+$D272*INDEX(tblKurallar[deger_2025],MATCH("TBA-002",tblKurallar[kural_id],0))+$E272*INDEX(tblKurallar[deger_2025],MATCH("TBA-004",tblKurallar[kural_id],0))+$F272*tba_isverenOran,2),0))</f>
        <v/>
      </c>
      <c r="I272" s="31">
        <f>IF($A272="","",IFERROR(MAX(0,$H272-$G272),0))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0" t="n"/>
      <c r="H273" s="31">
        <f>IF($A273="","",IFERROR(ROUND($C273*INDEX(tblKurallar[deger_2025],MATCH("TBA-001",tblKurallar[kural_id],0))+$D273*INDEX(tblKurallar[deger_2025],MATCH("TBA-002",tblKurallar[kural_id],0))+$E273*INDEX(tblKurallar[deger_2025],MATCH("TBA-004",tblKurallar[kural_id],0))+$F273*tba_isverenOran,2),0))</f>
        <v/>
      </c>
      <c r="I273" s="31">
        <f>IF($A273="","",IFERROR(MAX(0,$H273-$G273),0))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0" t="n"/>
      <c r="H274" s="31">
        <f>IF($A274="","",IFERROR(ROUND($C274*INDEX(tblKurallar[deger_2025],MATCH("TBA-001",tblKurallar[kural_id],0))+$D274*INDEX(tblKurallar[deger_2025],MATCH("TBA-002",tblKurallar[kural_id],0))+$E274*INDEX(tblKurallar[deger_2025],MATCH("TBA-004",tblKurallar[kural_id],0))+$F274*tba_isverenOran,2),0))</f>
        <v/>
      </c>
      <c r="I274" s="31">
        <f>IF($A274="","",IFERROR(MAX(0,$H274-$G274),0))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0" t="n"/>
      <c r="H275" s="31">
        <f>IF($A275="","",IFERROR(ROUND($C275*INDEX(tblKurallar[deger_2025],MATCH("TBA-001",tblKurallar[kural_id],0))+$D275*INDEX(tblKurallar[deger_2025],MATCH("TBA-002",tblKurallar[kural_id],0))+$E275*INDEX(tblKurallar[deger_2025],MATCH("TBA-004",tblKurallar[kural_id],0))+$F275*tba_isverenOran,2),0))</f>
        <v/>
      </c>
      <c r="I275" s="31">
        <f>IF($A275="","",IFERROR(MAX(0,$H275-$G275),0))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0" t="n"/>
      <c r="H276" s="31">
        <f>IF($A276="","",IFERROR(ROUND($C276*INDEX(tblKurallar[deger_2025],MATCH("TBA-001",tblKurallar[kural_id],0))+$D276*INDEX(tblKurallar[deger_2025],MATCH("TBA-002",tblKurallar[kural_id],0))+$E276*INDEX(tblKurallar[deger_2025],MATCH("TBA-004",tblKurallar[kural_id],0))+$F276*tba_isverenOran,2),0))</f>
        <v/>
      </c>
      <c r="I276" s="31">
        <f>IF($A276="","",IFERROR(MAX(0,$H276-$G276),0))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0" t="n"/>
      <c r="H277" s="31">
        <f>IF($A277="","",IFERROR(ROUND($C277*INDEX(tblKurallar[deger_2025],MATCH("TBA-001",tblKurallar[kural_id],0))+$D277*INDEX(tblKurallar[deger_2025],MATCH("TBA-002",tblKurallar[kural_id],0))+$E277*INDEX(tblKurallar[deger_2025],MATCH("TBA-004",tblKurallar[kural_id],0))+$F277*tba_isverenOran,2),0))</f>
        <v/>
      </c>
      <c r="I277" s="31">
        <f>IF($A277="","",IFERROR(MAX(0,$H277-$G277),0))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0" t="n"/>
      <c r="H278" s="31">
        <f>IF($A278="","",IFERROR(ROUND($C278*INDEX(tblKurallar[deger_2025],MATCH("TBA-001",tblKurallar[kural_id],0))+$D278*INDEX(tblKurallar[deger_2025],MATCH("TBA-002",tblKurallar[kural_id],0))+$E278*INDEX(tblKurallar[deger_2025],MATCH("TBA-004",tblKurallar[kural_id],0))+$F278*tba_isverenOran,2),0))</f>
        <v/>
      </c>
      <c r="I278" s="31">
        <f>IF($A278="","",IFERROR(MAX(0,$H278-$G278),0))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0" t="n"/>
      <c r="H279" s="31">
        <f>IF($A279="","",IFERROR(ROUND($C279*INDEX(tblKurallar[deger_2025],MATCH("TBA-001",tblKurallar[kural_id],0))+$D279*INDEX(tblKurallar[deger_2025],MATCH("TBA-002",tblKurallar[kural_id],0))+$E279*INDEX(tblKurallar[deger_2025],MATCH("TBA-004",tblKurallar[kural_id],0))+$F279*tba_isverenOran,2),0))</f>
        <v/>
      </c>
      <c r="I279" s="31">
        <f>IF($A279="","",IFERROR(MAX(0,$H279-$G279),0))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0" t="n"/>
      <c r="H280" s="31">
        <f>IF($A280="","",IFERROR(ROUND($C280*INDEX(tblKurallar[deger_2025],MATCH("TBA-001",tblKurallar[kural_id],0))+$D280*INDEX(tblKurallar[deger_2025],MATCH("TBA-002",tblKurallar[kural_id],0))+$E280*INDEX(tblKurallar[deger_2025],MATCH("TBA-004",tblKurallar[kural_id],0))+$F280*tba_isverenOran,2),0))</f>
        <v/>
      </c>
      <c r="I280" s="31">
        <f>IF($A280="","",IFERROR(MAX(0,$H280-$G280),0))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0" t="n"/>
      <c r="H281" s="31">
        <f>IF($A281="","",IFERROR(ROUND($C281*INDEX(tblKurallar[deger_2025],MATCH("TBA-001",tblKurallar[kural_id],0))+$D281*INDEX(tblKurallar[deger_2025],MATCH("TBA-002",tblKurallar[kural_id],0))+$E281*INDEX(tblKurallar[deger_2025],MATCH("TBA-004",tblKurallar[kural_id],0))+$F281*tba_isverenOran,2),0))</f>
        <v/>
      </c>
      <c r="I281" s="31">
        <f>IF($A281="","",IFERROR(MAX(0,$H281-$G281),0))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0" t="n"/>
      <c r="H282" s="31">
        <f>IF($A282="","",IFERROR(ROUND($C282*INDEX(tblKurallar[deger_2025],MATCH("TBA-001",tblKurallar[kural_id],0))+$D282*INDEX(tblKurallar[deger_2025],MATCH("TBA-002",tblKurallar[kural_id],0))+$E282*INDEX(tblKurallar[deger_2025],MATCH("TBA-004",tblKurallar[kural_id],0))+$F282*tba_isverenOran,2),0))</f>
        <v/>
      </c>
      <c r="I282" s="31">
        <f>IF($A282="","",IFERROR(MAX(0,$H282-$G282),0))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0" t="n"/>
      <c r="H283" s="31">
        <f>IF($A283="","",IFERROR(ROUND($C283*INDEX(tblKurallar[deger_2025],MATCH("TBA-001",tblKurallar[kural_id],0))+$D283*INDEX(tblKurallar[deger_2025],MATCH("TBA-002",tblKurallar[kural_id],0))+$E283*INDEX(tblKurallar[deger_2025],MATCH("TBA-004",tblKurallar[kural_id],0))+$F283*tba_isverenOran,2),0))</f>
        <v/>
      </c>
      <c r="I283" s="31">
        <f>IF($A283="","",IFERROR(MAX(0,$H283-$G283),0))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0" t="n"/>
      <c r="H284" s="31">
        <f>IF($A284="","",IFERROR(ROUND($C284*INDEX(tblKurallar[deger_2025],MATCH("TBA-001",tblKurallar[kural_id],0))+$D284*INDEX(tblKurallar[deger_2025],MATCH("TBA-002",tblKurallar[kural_id],0))+$E284*INDEX(tblKurallar[deger_2025],MATCH("TBA-004",tblKurallar[kural_id],0))+$F284*tba_isverenOran,2),0))</f>
        <v/>
      </c>
      <c r="I284" s="31">
        <f>IF($A284="","",IFERROR(MAX(0,$H284-$G284),0))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0" t="n"/>
      <c r="H285" s="31">
        <f>IF($A285="","",IFERROR(ROUND($C285*INDEX(tblKurallar[deger_2025],MATCH("TBA-001",tblKurallar[kural_id],0))+$D285*INDEX(tblKurallar[deger_2025],MATCH("TBA-002",tblKurallar[kural_id],0))+$E285*INDEX(tblKurallar[deger_2025],MATCH("TBA-004",tblKurallar[kural_id],0))+$F285*tba_isverenOran,2),0))</f>
        <v/>
      </c>
      <c r="I285" s="31">
        <f>IF($A285="","",IFERROR(MAX(0,$H285-$G285),0))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0" t="n"/>
      <c r="H286" s="31">
        <f>IF($A286="","",IFERROR(ROUND($C286*INDEX(tblKurallar[deger_2025],MATCH("TBA-001",tblKurallar[kural_id],0))+$D286*INDEX(tblKurallar[deger_2025],MATCH("TBA-002",tblKurallar[kural_id],0))+$E286*INDEX(tblKurallar[deger_2025],MATCH("TBA-004",tblKurallar[kural_id],0))+$F286*tba_isverenOran,2),0))</f>
        <v/>
      </c>
      <c r="I286" s="31">
        <f>IF($A286="","",IFERROR(MAX(0,$H286-$G286),0))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0" t="n"/>
      <c r="H287" s="31">
        <f>IF($A287="","",IFERROR(ROUND($C287*INDEX(tblKurallar[deger_2025],MATCH("TBA-001",tblKurallar[kural_id],0))+$D287*INDEX(tblKurallar[deger_2025],MATCH("TBA-002",tblKurallar[kural_id],0))+$E287*INDEX(tblKurallar[deger_2025],MATCH("TBA-004",tblKurallar[kural_id],0))+$F287*tba_isverenOran,2),0))</f>
        <v/>
      </c>
      <c r="I287" s="31">
        <f>IF($A287="","",IFERROR(MAX(0,$H287-$G287),0))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0" t="n"/>
      <c r="H288" s="31">
        <f>IF($A288="","",IFERROR(ROUND($C288*INDEX(tblKurallar[deger_2025],MATCH("TBA-001",tblKurallar[kural_id],0))+$D288*INDEX(tblKurallar[deger_2025],MATCH("TBA-002",tblKurallar[kural_id],0))+$E288*INDEX(tblKurallar[deger_2025],MATCH("TBA-004",tblKurallar[kural_id],0))+$F288*tba_isverenOran,2),0))</f>
        <v/>
      </c>
      <c r="I288" s="31">
        <f>IF($A288="","",IFERROR(MAX(0,$H288-$G288),0))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0" t="n"/>
      <c r="H289" s="31">
        <f>IF($A289="","",IFERROR(ROUND($C289*INDEX(tblKurallar[deger_2025],MATCH("TBA-001",tblKurallar[kural_id],0))+$D289*INDEX(tblKurallar[deger_2025],MATCH("TBA-002",tblKurallar[kural_id],0))+$E289*INDEX(tblKurallar[deger_2025],MATCH("TBA-004",tblKurallar[kural_id],0))+$F289*tba_isverenOran,2),0))</f>
        <v/>
      </c>
      <c r="I289" s="31">
        <f>IF($A289="","",IFERROR(MAX(0,$H289-$G289),0))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0" t="n"/>
      <c r="H290" s="31">
        <f>IF($A290="","",IFERROR(ROUND($C290*INDEX(tblKurallar[deger_2025],MATCH("TBA-001",tblKurallar[kural_id],0))+$D290*INDEX(tblKurallar[deger_2025],MATCH("TBA-002",tblKurallar[kural_id],0))+$E290*INDEX(tblKurallar[deger_2025],MATCH("TBA-004",tblKurallar[kural_id],0))+$F290*tba_isverenOran,2),0))</f>
        <v/>
      </c>
      <c r="I290" s="31">
        <f>IF($A290="","",IFERROR(MAX(0,$H290-$G290),0))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0" t="n"/>
      <c r="H291" s="31">
        <f>IF($A291="","",IFERROR(ROUND($C291*INDEX(tblKurallar[deger_2025],MATCH("TBA-001",tblKurallar[kural_id],0))+$D291*INDEX(tblKurallar[deger_2025],MATCH("TBA-002",tblKurallar[kural_id],0))+$E291*INDEX(tblKurallar[deger_2025],MATCH("TBA-004",tblKurallar[kural_id],0))+$F291*tba_isverenOran,2),0))</f>
        <v/>
      </c>
      <c r="I291" s="31">
        <f>IF($A291="","",IFERROR(MAX(0,$H291-$G291),0))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0" t="n"/>
      <c r="H292" s="31">
        <f>IF($A292="","",IFERROR(ROUND($C292*INDEX(tblKurallar[deger_2025],MATCH("TBA-001",tblKurallar[kural_id],0))+$D292*INDEX(tblKurallar[deger_2025],MATCH("TBA-002",tblKurallar[kural_id],0))+$E292*INDEX(tblKurallar[deger_2025],MATCH("TBA-004",tblKurallar[kural_id],0))+$F292*tba_isverenOran,2),0))</f>
        <v/>
      </c>
      <c r="I292" s="31">
        <f>IF($A292="","",IFERROR(MAX(0,$H292-$G292),0))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0" t="n"/>
      <c r="H293" s="31">
        <f>IF($A293="","",IFERROR(ROUND($C293*INDEX(tblKurallar[deger_2025],MATCH("TBA-001",tblKurallar[kural_id],0))+$D293*INDEX(tblKurallar[deger_2025],MATCH("TBA-002",tblKurallar[kural_id],0))+$E293*INDEX(tblKurallar[deger_2025],MATCH("TBA-004",tblKurallar[kural_id],0))+$F293*tba_isverenOran,2),0))</f>
        <v/>
      </c>
      <c r="I293" s="31">
        <f>IF($A293="","",IFERROR(MAX(0,$H293-$G293),0))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0" t="n"/>
      <c r="H294" s="31">
        <f>IF($A294="","",IFERROR(ROUND($C294*INDEX(tblKurallar[deger_2025],MATCH("TBA-001",tblKurallar[kural_id],0))+$D294*INDEX(tblKurallar[deger_2025],MATCH("TBA-002",tblKurallar[kural_id],0))+$E294*INDEX(tblKurallar[deger_2025],MATCH("TBA-004",tblKurallar[kural_id],0))+$F294*tba_isverenOran,2),0))</f>
        <v/>
      </c>
      <c r="I294" s="31">
        <f>IF($A294="","",IFERROR(MAX(0,$H294-$G294),0))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0" t="n"/>
      <c r="H295" s="31">
        <f>IF($A295="","",IFERROR(ROUND($C295*INDEX(tblKurallar[deger_2025],MATCH("TBA-001",tblKurallar[kural_id],0))+$D295*INDEX(tblKurallar[deger_2025],MATCH("TBA-002",tblKurallar[kural_id],0))+$E295*INDEX(tblKurallar[deger_2025],MATCH("TBA-004",tblKurallar[kural_id],0))+$F295*tba_isverenOran,2),0))</f>
        <v/>
      </c>
      <c r="I295" s="31">
        <f>IF($A295="","",IFERROR(MAX(0,$H295-$G295),0))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0" t="n"/>
      <c r="H296" s="31">
        <f>IF($A296="","",IFERROR(ROUND($C296*INDEX(tblKurallar[deger_2025],MATCH("TBA-001",tblKurallar[kural_id],0))+$D296*INDEX(tblKurallar[deger_2025],MATCH("TBA-002",tblKurallar[kural_id],0))+$E296*INDEX(tblKurallar[deger_2025],MATCH("TBA-004",tblKurallar[kural_id],0))+$F296*tba_isverenOran,2),0))</f>
        <v/>
      </c>
      <c r="I296" s="31">
        <f>IF($A296="","",IFERROR(MAX(0,$H296-$G296),0))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0" t="n"/>
      <c r="H297" s="31">
        <f>IF($A297="","",IFERROR(ROUND($C297*INDEX(tblKurallar[deger_2025],MATCH("TBA-001",tblKurallar[kural_id],0))+$D297*INDEX(tblKurallar[deger_2025],MATCH("TBA-002",tblKurallar[kural_id],0))+$E297*INDEX(tblKurallar[deger_2025],MATCH("TBA-004",tblKurallar[kural_id],0))+$F297*tba_isverenOran,2),0))</f>
        <v/>
      </c>
      <c r="I297" s="31">
        <f>IF($A297="","",IFERROR(MAX(0,$H297-$G297),0))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0" t="n"/>
      <c r="H298" s="31">
        <f>IF($A298="","",IFERROR(ROUND($C298*INDEX(tblKurallar[deger_2025],MATCH("TBA-001",tblKurallar[kural_id],0))+$D298*INDEX(tblKurallar[deger_2025],MATCH("TBA-002",tblKurallar[kural_id],0))+$E298*INDEX(tblKurallar[deger_2025],MATCH("TBA-004",tblKurallar[kural_id],0))+$F298*tba_isverenOran,2),0))</f>
        <v/>
      </c>
      <c r="I298" s="31">
        <f>IF($A298="","",IFERROR(MAX(0,$H298-$G298),0))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0" t="n"/>
      <c r="H299" s="31">
        <f>IF($A299="","",IFERROR(ROUND($C299*INDEX(tblKurallar[deger_2025],MATCH("TBA-001",tblKurallar[kural_id],0))+$D299*INDEX(tblKurallar[deger_2025],MATCH("TBA-002",tblKurallar[kural_id],0))+$E299*INDEX(tblKurallar[deger_2025],MATCH("TBA-004",tblKurallar[kural_id],0))+$F299*tba_isverenOran,2),0))</f>
        <v/>
      </c>
      <c r="I299" s="31">
        <f>IF($A299="","",IFERROR(MAX(0,$H299-$G299),0))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0" t="n"/>
      <c r="H300" s="31">
        <f>IF($A300="","",IFERROR(ROUND($C300*INDEX(tblKurallar[deger_2025],MATCH("TBA-001",tblKurallar[kural_id],0))+$D300*INDEX(tblKurallar[deger_2025],MATCH("TBA-002",tblKurallar[kural_id],0))+$E300*INDEX(tblKurallar[deger_2025],MATCH("TBA-004",tblKurallar[kural_id],0))+$F300*tba_isverenOran,2),0))</f>
        <v/>
      </c>
      <c r="I300" s="31">
        <f>IF($A300="","",IFERROR(MAX(0,$H300-$G300),0))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0" t="n"/>
      <c r="H301" s="31">
        <f>IF($A301="","",IFERROR(ROUND($C301*INDEX(tblKurallar[deger_2025],MATCH("TBA-001",tblKurallar[kural_id],0))+$D301*INDEX(tblKurallar[deger_2025],MATCH("TBA-002",tblKurallar[kural_id],0))+$E301*INDEX(tblKurallar[deger_2025],MATCH("TBA-004",tblKurallar[kural_id],0))+$F301*tba_isverenOran,2),0))</f>
        <v/>
      </c>
      <c r="I301" s="31">
        <f>IF($A301="","",IFERROR(MAX(0,$H301-$G301),0))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0" t="n"/>
      <c r="H302" s="31">
        <f>IF($A302="","",IFERROR(ROUND($C302*INDEX(tblKurallar[deger_2025],MATCH("TBA-001",tblKurallar[kural_id],0))+$D302*INDEX(tblKurallar[deger_2025],MATCH("TBA-002",tblKurallar[kural_id],0))+$E302*INDEX(tblKurallar[deger_2025],MATCH("TBA-004",tblKurallar[kural_id],0))+$F302*tba_isverenOran,2),0))</f>
        <v/>
      </c>
      <c r="I302" s="31">
        <f>IF($A302="","",IFERROR(MAX(0,$H302-$G302),0))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0" t="n"/>
      <c r="H303" s="31">
        <f>IF($A303="","",IFERROR(ROUND($C303*INDEX(tblKurallar[deger_2025],MATCH("TBA-001",tblKurallar[kural_id],0))+$D303*INDEX(tblKurallar[deger_2025],MATCH("TBA-002",tblKurallar[kural_id],0))+$E303*INDEX(tblKurallar[deger_2025],MATCH("TBA-004",tblKurallar[kural_id],0))+$F303*tba_isverenOran,2),0))</f>
        <v/>
      </c>
      <c r="I303" s="31">
        <f>IF($A303="","",IFERROR(MAX(0,$H303-$G303),0))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0" t="n"/>
      <c r="H304" s="31">
        <f>IF($A304="","",IFERROR(ROUND($C304*INDEX(tblKurallar[deger_2025],MATCH("TBA-001",tblKurallar[kural_id],0))+$D304*INDEX(tblKurallar[deger_2025],MATCH("TBA-002",tblKurallar[kural_id],0))+$E304*INDEX(tblKurallar[deger_2025],MATCH("TBA-004",tblKurallar[kural_id],0))+$F304*tba_isverenOran,2),0))</f>
        <v/>
      </c>
      <c r="I304" s="31">
        <f>IF($A304="","",IFERROR(MAX(0,$H304-$G304),0))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0" t="n"/>
      <c r="H305" s="31">
        <f>IF($A305="","",IFERROR(ROUND($C305*INDEX(tblKurallar[deger_2025],MATCH("TBA-001",tblKurallar[kural_id],0))+$D305*INDEX(tblKurallar[deger_2025],MATCH("TBA-002",tblKurallar[kural_id],0))+$E305*INDEX(tblKurallar[deger_2025],MATCH("TBA-004",tblKurallar[kural_id],0))+$F305*tba_isverenOran,2),0))</f>
        <v/>
      </c>
      <c r="I305" s="31">
        <f>IF($A305="","",IFERROR(MAX(0,$H305-$G305),0))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0" t="n"/>
      <c r="H306" s="31">
        <f>IF($A306="","",IFERROR(ROUND($C306*INDEX(tblKurallar[deger_2025],MATCH("TBA-001",tblKurallar[kural_id],0))+$D306*INDEX(tblKurallar[deger_2025],MATCH("TBA-002",tblKurallar[kural_id],0))+$E306*INDEX(tblKurallar[deger_2025],MATCH("TBA-004",tblKurallar[kural_id],0))+$F306*tba_isverenOran,2),0))</f>
        <v/>
      </c>
      <c r="I306" s="31">
        <f>IF($A306="","",IFERROR(MAX(0,$H306-$G306),0))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0" t="n"/>
      <c r="H307" s="31">
        <f>IF($A307="","",IFERROR(ROUND($C307*INDEX(tblKurallar[deger_2025],MATCH("TBA-001",tblKurallar[kural_id],0))+$D307*INDEX(tblKurallar[deger_2025],MATCH("TBA-002",tblKurallar[kural_id],0))+$E307*INDEX(tblKurallar[deger_2025],MATCH("TBA-004",tblKurallar[kural_id],0))+$F307*tba_isverenOran,2),0))</f>
        <v/>
      </c>
      <c r="I307" s="31">
        <f>IF($A307="","",IFERROR(MAX(0,$H307-$G307),0))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0" t="n"/>
      <c r="H308" s="31">
        <f>IF($A308="","",IFERROR(ROUND($C308*INDEX(tblKurallar[deger_2025],MATCH("TBA-001",tblKurallar[kural_id],0))+$D308*INDEX(tblKurallar[deger_2025],MATCH("TBA-002",tblKurallar[kural_id],0))+$E308*INDEX(tblKurallar[deger_2025],MATCH("TBA-004",tblKurallar[kural_id],0))+$F308*tba_isverenOran,2),0))</f>
        <v/>
      </c>
      <c r="I308" s="31">
        <f>IF($A308="","",IFERROR(MAX(0,$H308-$G308),0))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0" t="n"/>
      <c r="H309" s="31">
        <f>IF($A309="","",IFERROR(ROUND($C309*INDEX(tblKurallar[deger_2025],MATCH("TBA-001",tblKurallar[kural_id],0))+$D309*INDEX(tblKurallar[deger_2025],MATCH("TBA-002",tblKurallar[kural_id],0))+$E309*INDEX(tblKurallar[deger_2025],MATCH("TBA-004",tblKurallar[kural_id],0))+$F309*tba_isverenOran,2),0))</f>
        <v/>
      </c>
      <c r="I309" s="31">
        <f>IF($A309="","",IFERROR(MAX(0,$H309-$G309),0))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0" t="n"/>
      <c r="H310" s="31">
        <f>IF($A310="","",IFERROR(ROUND($C310*INDEX(tblKurallar[deger_2025],MATCH("TBA-001",tblKurallar[kural_id],0))+$D310*INDEX(tblKurallar[deger_2025],MATCH("TBA-002",tblKurallar[kural_id],0))+$E310*INDEX(tblKurallar[deger_2025],MATCH("TBA-004",tblKurallar[kural_id],0))+$F310*tba_isverenOran,2),0))</f>
        <v/>
      </c>
      <c r="I310" s="31">
        <f>IF($A310="","",IFERROR(MAX(0,$H310-$G310),0))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0" t="n"/>
      <c r="H311" s="31">
        <f>IF($A311="","",IFERROR(ROUND($C311*INDEX(tblKurallar[deger_2025],MATCH("TBA-001",tblKurallar[kural_id],0))+$D311*INDEX(tblKurallar[deger_2025],MATCH("TBA-002",tblKurallar[kural_id],0))+$E311*INDEX(tblKurallar[deger_2025],MATCH("TBA-004",tblKurallar[kural_id],0))+$F311*tba_isverenOran,2),0))</f>
        <v/>
      </c>
      <c r="I311" s="31">
        <f>IF($A311="","",IFERROR(MAX(0,$H311-$G311),0))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0" t="n"/>
      <c r="H312" s="31">
        <f>IF($A312="","",IFERROR(ROUND($C312*INDEX(tblKurallar[deger_2025],MATCH("TBA-001",tblKurallar[kural_id],0))+$D312*INDEX(tblKurallar[deger_2025],MATCH("TBA-002",tblKurallar[kural_id],0))+$E312*INDEX(tblKurallar[deger_2025],MATCH("TBA-004",tblKurallar[kural_id],0))+$F312*tba_isverenOran,2),0))</f>
        <v/>
      </c>
      <c r="I312" s="31">
        <f>IF($A312="","",IFERROR(MAX(0,$H312-$G312),0))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0" t="n"/>
      <c r="H313" s="31">
        <f>IF($A313="","",IFERROR(ROUND($C313*INDEX(tblKurallar[deger_2025],MATCH("TBA-001",tblKurallar[kural_id],0))+$D313*INDEX(tblKurallar[deger_2025],MATCH("TBA-002",tblKurallar[kural_id],0))+$E313*INDEX(tblKurallar[deger_2025],MATCH("TBA-004",tblKurallar[kural_id],0))+$F313*tba_isverenOran,2),0))</f>
        <v/>
      </c>
      <c r="I313" s="31">
        <f>IF($A313="","",IFERROR(MAX(0,$H313-$G313),0))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0" t="n"/>
      <c r="H314" s="31">
        <f>IF($A314="","",IFERROR(ROUND($C314*INDEX(tblKurallar[deger_2025],MATCH("TBA-001",tblKurallar[kural_id],0))+$D314*INDEX(tblKurallar[deger_2025],MATCH("TBA-002",tblKurallar[kural_id],0))+$E314*INDEX(tblKurallar[deger_2025],MATCH("TBA-004",tblKurallar[kural_id],0))+$F314*tba_isverenOran,2),0))</f>
        <v/>
      </c>
      <c r="I314" s="31">
        <f>IF($A314="","",IFERROR(MAX(0,$H314-$G314),0))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0" t="n"/>
      <c r="H315" s="31">
        <f>IF($A315="","",IFERROR(ROUND($C315*INDEX(tblKurallar[deger_2025],MATCH("TBA-001",tblKurallar[kural_id],0))+$D315*INDEX(tblKurallar[deger_2025],MATCH("TBA-002",tblKurallar[kural_id],0))+$E315*INDEX(tblKurallar[deger_2025],MATCH("TBA-004",tblKurallar[kural_id],0))+$F315*tba_isverenOran,2),0))</f>
        <v/>
      </c>
      <c r="I315" s="31">
        <f>IF($A315="","",IFERROR(MAX(0,$H315-$G315),0))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0" t="n"/>
      <c r="H316" s="31">
        <f>IF($A316="","",IFERROR(ROUND($C316*INDEX(tblKurallar[deger_2025],MATCH("TBA-001",tblKurallar[kural_id],0))+$D316*INDEX(tblKurallar[deger_2025],MATCH("TBA-002",tblKurallar[kural_id],0))+$E316*INDEX(tblKurallar[deger_2025],MATCH("TBA-004",tblKurallar[kural_id],0))+$F316*tba_isverenOran,2),0))</f>
        <v/>
      </c>
      <c r="I316" s="31">
        <f>IF($A316="","",IFERROR(MAX(0,$H316-$G316),0))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0" t="n"/>
      <c r="H317" s="31">
        <f>IF($A317="","",IFERROR(ROUND($C317*INDEX(tblKurallar[deger_2025],MATCH("TBA-001",tblKurallar[kural_id],0))+$D317*INDEX(tblKurallar[deger_2025],MATCH("TBA-002",tblKurallar[kural_id],0))+$E317*INDEX(tblKurallar[deger_2025],MATCH("TBA-004",tblKurallar[kural_id],0))+$F317*tba_isverenOran,2),0))</f>
        <v/>
      </c>
      <c r="I317" s="31">
        <f>IF($A317="","",IFERROR(MAX(0,$H317-$G317),0))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0" t="n"/>
      <c r="H318" s="31">
        <f>IF($A318="","",IFERROR(ROUND($C318*INDEX(tblKurallar[deger_2025],MATCH("TBA-001",tblKurallar[kural_id],0))+$D318*INDEX(tblKurallar[deger_2025],MATCH("TBA-002",tblKurallar[kural_id],0))+$E318*INDEX(tblKurallar[deger_2025],MATCH("TBA-004",tblKurallar[kural_id],0))+$F318*tba_isverenOran,2),0))</f>
        <v/>
      </c>
      <c r="I318" s="31">
        <f>IF($A318="","",IFERROR(MAX(0,$H318-$G318),0))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0" t="n"/>
      <c r="H319" s="31">
        <f>IF($A319="","",IFERROR(ROUND($C319*INDEX(tblKurallar[deger_2025],MATCH("TBA-001",tblKurallar[kural_id],0))+$D319*INDEX(tblKurallar[deger_2025],MATCH("TBA-002",tblKurallar[kural_id],0))+$E319*INDEX(tblKurallar[deger_2025],MATCH("TBA-004",tblKurallar[kural_id],0))+$F319*tba_isverenOran,2),0))</f>
        <v/>
      </c>
      <c r="I319" s="31">
        <f>IF($A319="","",IFERROR(MAX(0,$H319-$G319),0))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0" t="n"/>
      <c r="H320" s="31">
        <f>IF($A320="","",IFERROR(ROUND($C320*INDEX(tblKurallar[deger_2025],MATCH("TBA-001",tblKurallar[kural_id],0))+$D320*INDEX(tblKurallar[deger_2025],MATCH("TBA-002",tblKurallar[kural_id],0))+$E320*INDEX(tblKurallar[deger_2025],MATCH("TBA-004",tblKurallar[kural_id],0))+$F320*tba_isverenOran,2),0))</f>
        <v/>
      </c>
      <c r="I320" s="31">
        <f>IF($A320="","",IFERROR(MAX(0,$H320-$G320),0))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0" t="n"/>
      <c r="H321" s="31">
        <f>IF($A321="","",IFERROR(ROUND($C321*INDEX(tblKurallar[deger_2025],MATCH("TBA-001",tblKurallar[kural_id],0))+$D321*INDEX(tblKurallar[deger_2025],MATCH("TBA-002",tblKurallar[kural_id],0))+$E321*INDEX(tblKurallar[deger_2025],MATCH("TBA-004",tblKurallar[kural_id],0))+$F321*tba_isverenOran,2),0))</f>
        <v/>
      </c>
      <c r="I321" s="31">
        <f>IF($A321="","",IFERROR(MAX(0,$H321-$G321),0))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0" t="n"/>
      <c r="H322" s="31">
        <f>IF($A322="","",IFERROR(ROUND($C322*INDEX(tblKurallar[deger_2025],MATCH("TBA-001",tblKurallar[kural_id],0))+$D322*INDEX(tblKurallar[deger_2025],MATCH("TBA-002",tblKurallar[kural_id],0))+$E322*INDEX(tblKurallar[deger_2025],MATCH("TBA-004",tblKurallar[kural_id],0))+$F322*tba_isverenOran,2),0))</f>
        <v/>
      </c>
      <c r="I322" s="31">
        <f>IF($A322="","",IFERROR(MAX(0,$H322-$G322),0))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0" t="n"/>
      <c r="H323" s="31">
        <f>IF($A323="","",IFERROR(ROUND($C323*INDEX(tblKurallar[deger_2025],MATCH("TBA-001",tblKurallar[kural_id],0))+$D323*INDEX(tblKurallar[deger_2025],MATCH("TBA-002",tblKurallar[kural_id],0))+$E323*INDEX(tblKurallar[deger_2025],MATCH("TBA-004",tblKurallar[kural_id],0))+$F323*tba_isverenOran,2),0))</f>
        <v/>
      </c>
      <c r="I323" s="31">
        <f>IF($A323="","",IFERROR(MAX(0,$H323-$G323),0))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0" t="n"/>
      <c r="H324" s="31">
        <f>IF($A324="","",IFERROR(ROUND($C324*INDEX(tblKurallar[deger_2025],MATCH("TBA-001",tblKurallar[kural_id],0))+$D324*INDEX(tblKurallar[deger_2025],MATCH("TBA-002",tblKurallar[kural_id],0))+$E324*INDEX(tblKurallar[deger_2025],MATCH("TBA-004",tblKurallar[kural_id],0))+$F324*tba_isverenOran,2),0))</f>
        <v/>
      </c>
      <c r="I324" s="31">
        <f>IF($A324="","",IFERROR(MAX(0,$H324-$G324),0))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0" t="n"/>
      <c r="H325" s="31">
        <f>IF($A325="","",IFERROR(ROUND($C325*INDEX(tblKurallar[deger_2025],MATCH("TBA-001",tblKurallar[kural_id],0))+$D325*INDEX(tblKurallar[deger_2025],MATCH("TBA-002",tblKurallar[kural_id],0))+$E325*INDEX(tblKurallar[deger_2025],MATCH("TBA-004",tblKurallar[kural_id],0))+$F325*tba_isverenOran,2),0))</f>
        <v/>
      </c>
      <c r="I325" s="31">
        <f>IF($A325="","",IFERROR(MAX(0,$H325-$G325),0))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0" t="n"/>
      <c r="H326" s="31">
        <f>IF($A326="","",IFERROR(ROUND($C326*INDEX(tblKurallar[deger_2025],MATCH("TBA-001",tblKurallar[kural_id],0))+$D326*INDEX(tblKurallar[deger_2025],MATCH("TBA-002",tblKurallar[kural_id],0))+$E326*INDEX(tblKurallar[deger_2025],MATCH("TBA-004",tblKurallar[kural_id],0))+$F326*tba_isverenOran,2),0))</f>
        <v/>
      </c>
      <c r="I326" s="31">
        <f>IF($A326="","",IFERROR(MAX(0,$H326-$G326),0))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0" t="n"/>
      <c r="H327" s="31">
        <f>IF($A327="","",IFERROR(ROUND($C327*INDEX(tblKurallar[deger_2025],MATCH("TBA-001",tblKurallar[kural_id],0))+$D327*INDEX(tblKurallar[deger_2025],MATCH("TBA-002",tblKurallar[kural_id],0))+$E327*INDEX(tblKurallar[deger_2025],MATCH("TBA-004",tblKurallar[kural_id],0))+$F327*tba_isverenOran,2),0))</f>
        <v/>
      </c>
      <c r="I327" s="31">
        <f>IF($A327="","",IFERROR(MAX(0,$H327-$G327),0))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0" t="n"/>
      <c r="H328" s="31">
        <f>IF($A328="","",IFERROR(ROUND($C328*INDEX(tblKurallar[deger_2025],MATCH("TBA-001",tblKurallar[kural_id],0))+$D328*INDEX(tblKurallar[deger_2025],MATCH("TBA-002",tblKurallar[kural_id],0))+$E328*INDEX(tblKurallar[deger_2025],MATCH("TBA-004",tblKurallar[kural_id],0))+$F328*tba_isverenOran,2),0))</f>
        <v/>
      </c>
      <c r="I328" s="31">
        <f>IF($A328="","",IFERROR(MAX(0,$H328-$G328),0))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0" t="n"/>
      <c r="H329" s="31">
        <f>IF($A329="","",IFERROR(ROUND($C329*INDEX(tblKurallar[deger_2025],MATCH("TBA-001",tblKurallar[kural_id],0))+$D329*INDEX(tblKurallar[deger_2025],MATCH("TBA-002",tblKurallar[kural_id],0))+$E329*INDEX(tblKurallar[deger_2025],MATCH("TBA-004",tblKurallar[kural_id],0))+$F329*tba_isverenOran,2),0))</f>
        <v/>
      </c>
      <c r="I329" s="31">
        <f>IF($A329="","",IFERROR(MAX(0,$H329-$G329),0))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0" t="n"/>
      <c r="H330" s="31">
        <f>IF($A330="","",IFERROR(ROUND($C330*INDEX(tblKurallar[deger_2025],MATCH("TBA-001",tblKurallar[kural_id],0))+$D330*INDEX(tblKurallar[deger_2025],MATCH("TBA-002",tblKurallar[kural_id],0))+$E330*INDEX(tblKurallar[deger_2025],MATCH("TBA-004",tblKurallar[kural_id],0))+$F330*tba_isverenOran,2),0))</f>
        <v/>
      </c>
      <c r="I330" s="31">
        <f>IF($A330="","",IFERROR(MAX(0,$H330-$G330),0))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0" t="n"/>
      <c r="H331" s="31">
        <f>IF($A331="","",IFERROR(ROUND($C331*INDEX(tblKurallar[deger_2025],MATCH("TBA-001",tblKurallar[kural_id],0))+$D331*INDEX(tblKurallar[deger_2025],MATCH("TBA-002",tblKurallar[kural_id],0))+$E331*INDEX(tblKurallar[deger_2025],MATCH("TBA-004",tblKurallar[kural_id],0))+$F331*tba_isverenOran,2),0))</f>
        <v/>
      </c>
      <c r="I331" s="31">
        <f>IF($A331="","",IFERROR(MAX(0,$H331-$G331),0))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0" t="n"/>
      <c r="H332" s="31">
        <f>IF($A332="","",IFERROR(ROUND($C332*INDEX(tblKurallar[deger_2025],MATCH("TBA-001",tblKurallar[kural_id],0))+$D332*INDEX(tblKurallar[deger_2025],MATCH("TBA-002",tblKurallar[kural_id],0))+$E332*INDEX(tblKurallar[deger_2025],MATCH("TBA-004",tblKurallar[kural_id],0))+$F332*tba_isverenOran,2),0))</f>
        <v/>
      </c>
      <c r="I332" s="31">
        <f>IF($A332="","",IFERROR(MAX(0,$H332-$G332),0))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0" t="n"/>
      <c r="H333" s="31">
        <f>IF($A333="","",IFERROR(ROUND($C333*INDEX(tblKurallar[deger_2025],MATCH("TBA-001",tblKurallar[kural_id],0))+$D333*INDEX(tblKurallar[deger_2025],MATCH("TBA-002",tblKurallar[kural_id],0))+$E333*INDEX(tblKurallar[deger_2025],MATCH("TBA-004",tblKurallar[kural_id],0))+$F333*tba_isverenOran,2),0))</f>
        <v/>
      </c>
      <c r="I333" s="31">
        <f>IF($A333="","",IFERROR(MAX(0,$H333-$G333),0))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0" t="n"/>
      <c r="H334" s="31">
        <f>IF($A334="","",IFERROR(ROUND($C334*INDEX(tblKurallar[deger_2025],MATCH("TBA-001",tblKurallar[kural_id],0))+$D334*INDEX(tblKurallar[deger_2025],MATCH("TBA-002",tblKurallar[kural_id],0))+$E334*INDEX(tblKurallar[deger_2025],MATCH("TBA-004",tblKurallar[kural_id],0))+$F334*tba_isverenOran,2),0))</f>
        <v/>
      </c>
      <c r="I334" s="31">
        <f>IF($A334="","",IFERROR(MAX(0,$H334-$G334),0))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0" t="n"/>
      <c r="H335" s="31">
        <f>IF($A335="","",IFERROR(ROUND($C335*INDEX(tblKurallar[deger_2025],MATCH("TBA-001",tblKurallar[kural_id],0))+$D335*INDEX(tblKurallar[deger_2025],MATCH("TBA-002",tblKurallar[kural_id],0))+$E335*INDEX(tblKurallar[deger_2025],MATCH("TBA-004",tblKurallar[kural_id],0))+$F335*tba_isverenOran,2),0))</f>
        <v/>
      </c>
      <c r="I335" s="31">
        <f>IF($A335="","",IFERROR(MAX(0,$H335-$G335),0))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0" t="n"/>
      <c r="H336" s="31">
        <f>IF($A336="","",IFERROR(ROUND($C336*INDEX(tblKurallar[deger_2025],MATCH("TBA-001",tblKurallar[kural_id],0))+$D336*INDEX(tblKurallar[deger_2025],MATCH("TBA-002",tblKurallar[kural_id],0))+$E336*INDEX(tblKurallar[deger_2025],MATCH("TBA-004",tblKurallar[kural_id],0))+$F336*tba_isverenOran,2),0))</f>
        <v/>
      </c>
      <c r="I336" s="31">
        <f>IF($A336="","",IFERROR(MAX(0,$H336-$G336),0))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0" t="n"/>
      <c r="H337" s="31">
        <f>IF($A337="","",IFERROR(ROUND($C337*INDEX(tblKurallar[deger_2025],MATCH("TBA-001",tblKurallar[kural_id],0))+$D337*INDEX(tblKurallar[deger_2025],MATCH("TBA-002",tblKurallar[kural_id],0))+$E337*INDEX(tblKurallar[deger_2025],MATCH("TBA-004",tblKurallar[kural_id],0))+$F337*tba_isverenOran,2),0))</f>
        <v/>
      </c>
      <c r="I337" s="31">
        <f>IF($A337="","",IFERROR(MAX(0,$H337-$G337),0))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0" t="n"/>
      <c r="H338" s="31">
        <f>IF($A338="","",IFERROR(ROUND($C338*INDEX(tblKurallar[deger_2025],MATCH("TBA-001",tblKurallar[kural_id],0))+$D338*INDEX(tblKurallar[deger_2025],MATCH("TBA-002",tblKurallar[kural_id],0))+$E338*INDEX(tblKurallar[deger_2025],MATCH("TBA-004",tblKurallar[kural_id],0))+$F338*tba_isverenOran,2),0))</f>
        <v/>
      </c>
      <c r="I338" s="31">
        <f>IF($A338="","",IFERROR(MAX(0,$H338-$G338),0))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0" t="n"/>
      <c r="H339" s="31">
        <f>IF($A339="","",IFERROR(ROUND($C339*INDEX(tblKurallar[deger_2025],MATCH("TBA-001",tblKurallar[kural_id],0))+$D339*INDEX(tblKurallar[deger_2025],MATCH("TBA-002",tblKurallar[kural_id],0))+$E339*INDEX(tblKurallar[deger_2025],MATCH("TBA-004",tblKurallar[kural_id],0))+$F339*tba_isverenOran,2),0))</f>
        <v/>
      </c>
      <c r="I339" s="31">
        <f>IF($A339="","",IFERROR(MAX(0,$H339-$G339),0))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0" t="n"/>
      <c r="H340" s="31">
        <f>IF($A340="","",IFERROR(ROUND($C340*INDEX(tblKurallar[deger_2025],MATCH("TBA-001",tblKurallar[kural_id],0))+$D340*INDEX(tblKurallar[deger_2025],MATCH("TBA-002",tblKurallar[kural_id],0))+$E340*INDEX(tblKurallar[deger_2025],MATCH("TBA-004",tblKurallar[kural_id],0))+$F340*tba_isverenOran,2),0))</f>
        <v/>
      </c>
      <c r="I340" s="31">
        <f>IF($A340="","",IFERROR(MAX(0,$H340-$G340),0))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0" t="n"/>
      <c r="H341" s="31">
        <f>IF($A341="","",IFERROR(ROUND($C341*INDEX(tblKurallar[deger_2025],MATCH("TBA-001",tblKurallar[kural_id],0))+$D341*INDEX(tblKurallar[deger_2025],MATCH("TBA-002",tblKurallar[kural_id],0))+$E341*INDEX(tblKurallar[deger_2025],MATCH("TBA-004",tblKurallar[kural_id],0))+$F341*tba_isverenOran,2),0))</f>
        <v/>
      </c>
      <c r="I341" s="31">
        <f>IF($A341="","",IFERROR(MAX(0,$H341-$G341),0))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0" t="n"/>
      <c r="H342" s="31">
        <f>IF($A342="","",IFERROR(ROUND($C342*INDEX(tblKurallar[deger_2025],MATCH("TBA-001",tblKurallar[kural_id],0))+$D342*INDEX(tblKurallar[deger_2025],MATCH("TBA-002",tblKurallar[kural_id],0))+$E342*INDEX(tblKurallar[deger_2025],MATCH("TBA-004",tblKurallar[kural_id],0))+$F342*tba_isverenOran,2),0))</f>
        <v/>
      </c>
      <c r="I342" s="31">
        <f>IF($A342="","",IFERROR(MAX(0,$H342-$G342),0))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0" t="n"/>
      <c r="H343" s="31">
        <f>IF($A343="","",IFERROR(ROUND($C343*INDEX(tblKurallar[deger_2025],MATCH("TBA-001",tblKurallar[kural_id],0))+$D343*INDEX(tblKurallar[deger_2025],MATCH("TBA-002",tblKurallar[kural_id],0))+$E343*INDEX(tblKurallar[deger_2025],MATCH("TBA-004",tblKurallar[kural_id],0))+$F343*tba_isverenOran,2),0))</f>
        <v/>
      </c>
      <c r="I343" s="31">
        <f>IF($A343="","",IFERROR(MAX(0,$H343-$G343),0))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0" t="n"/>
      <c r="H344" s="31">
        <f>IF($A344="","",IFERROR(ROUND($C344*INDEX(tblKurallar[deger_2025],MATCH("TBA-001",tblKurallar[kural_id],0))+$D344*INDEX(tblKurallar[deger_2025],MATCH("TBA-002",tblKurallar[kural_id],0))+$E344*INDEX(tblKurallar[deger_2025],MATCH("TBA-004",tblKurallar[kural_id],0))+$F344*tba_isverenOran,2),0))</f>
        <v/>
      </c>
      <c r="I344" s="31">
        <f>IF($A344="","",IFERROR(MAX(0,$H344-$G344),0))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0" t="n"/>
      <c r="H345" s="31">
        <f>IF($A345="","",IFERROR(ROUND($C345*INDEX(tblKurallar[deger_2025],MATCH("TBA-001",tblKurallar[kural_id],0))+$D345*INDEX(tblKurallar[deger_2025],MATCH("TBA-002",tblKurallar[kural_id],0))+$E345*INDEX(tblKurallar[deger_2025],MATCH("TBA-004",tblKurallar[kural_id],0))+$F345*tba_isverenOran,2),0))</f>
        <v/>
      </c>
      <c r="I345" s="31">
        <f>IF($A345="","",IFERROR(MAX(0,$H345-$G345),0))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0" t="n"/>
      <c r="H346" s="31">
        <f>IF($A346="","",IFERROR(ROUND($C346*INDEX(tblKurallar[deger_2025],MATCH("TBA-001",tblKurallar[kural_id],0))+$D346*INDEX(tblKurallar[deger_2025],MATCH("TBA-002",tblKurallar[kural_id],0))+$E346*INDEX(tblKurallar[deger_2025],MATCH("TBA-004",tblKurallar[kural_id],0))+$F346*tba_isverenOran,2),0))</f>
        <v/>
      </c>
      <c r="I346" s="31">
        <f>IF($A346="","",IFERROR(MAX(0,$H346-$G346),0))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0" t="n"/>
      <c r="H347" s="31">
        <f>IF($A347="","",IFERROR(ROUND($C347*INDEX(tblKurallar[deger_2025],MATCH("TBA-001",tblKurallar[kural_id],0))+$D347*INDEX(tblKurallar[deger_2025],MATCH("TBA-002",tblKurallar[kural_id],0))+$E347*INDEX(tblKurallar[deger_2025],MATCH("TBA-004",tblKurallar[kural_id],0))+$F347*tba_isverenOran,2),0))</f>
        <v/>
      </c>
      <c r="I347" s="31">
        <f>IF($A347="","",IFERROR(MAX(0,$H347-$G347),0))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0" t="n"/>
      <c r="H348" s="31">
        <f>IF($A348="","",IFERROR(ROUND($C348*INDEX(tblKurallar[deger_2025],MATCH("TBA-001",tblKurallar[kural_id],0))+$D348*INDEX(tblKurallar[deger_2025],MATCH("TBA-002",tblKurallar[kural_id],0))+$E348*INDEX(tblKurallar[deger_2025],MATCH("TBA-004",tblKurallar[kural_id],0))+$F348*tba_isverenOran,2),0))</f>
        <v/>
      </c>
      <c r="I348" s="31">
        <f>IF($A348="","",IFERROR(MAX(0,$H348-$G348),0))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0" t="n"/>
      <c r="H349" s="31">
        <f>IF($A349="","",IFERROR(ROUND($C349*INDEX(tblKurallar[deger_2025],MATCH("TBA-001",tblKurallar[kural_id],0))+$D349*INDEX(tblKurallar[deger_2025],MATCH("TBA-002",tblKurallar[kural_id],0))+$E349*INDEX(tblKurallar[deger_2025],MATCH("TBA-004",tblKurallar[kural_id],0))+$F349*tba_isverenOran,2),0))</f>
        <v/>
      </c>
      <c r="I349" s="31">
        <f>IF($A349="","",IFERROR(MAX(0,$H349-$G349),0))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0" t="n"/>
      <c r="H350" s="31">
        <f>IF($A350="","",IFERROR(ROUND($C350*INDEX(tblKurallar[deger_2025],MATCH("TBA-001",tblKurallar[kural_id],0))+$D350*INDEX(tblKurallar[deger_2025],MATCH("TBA-002",tblKurallar[kural_id],0))+$E350*INDEX(tblKurallar[deger_2025],MATCH("TBA-004",tblKurallar[kural_id],0))+$F350*tba_isverenOran,2),0))</f>
        <v/>
      </c>
      <c r="I350" s="31">
        <f>IF($A350="","",IFERROR(MAX(0,$H350-$G350),0))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0" t="n"/>
      <c r="H351" s="31">
        <f>IF($A351="","",IFERROR(ROUND($C351*INDEX(tblKurallar[deger_2025],MATCH("TBA-001",tblKurallar[kural_id],0))+$D351*INDEX(tblKurallar[deger_2025],MATCH("TBA-002",tblKurallar[kural_id],0))+$E351*INDEX(tblKurallar[deger_2025],MATCH("TBA-004",tblKurallar[kural_id],0))+$F351*tba_isverenOran,2),0))</f>
        <v/>
      </c>
      <c r="I351" s="31">
        <f>IF($A351="","",IFERROR(MAX(0,$H351-$G351),0))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0" t="n"/>
      <c r="H352" s="31">
        <f>IF($A352="","",IFERROR(ROUND($C352*INDEX(tblKurallar[deger_2025],MATCH("TBA-001",tblKurallar[kural_id],0))+$D352*INDEX(tblKurallar[deger_2025],MATCH("TBA-002",tblKurallar[kural_id],0))+$E352*INDEX(tblKurallar[deger_2025],MATCH("TBA-004",tblKurallar[kural_id],0))+$F352*tba_isverenOran,2),0))</f>
        <v/>
      </c>
      <c r="I352" s="31">
        <f>IF($A352="","",IFERROR(MAX(0,$H352-$G352),0))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0" t="n"/>
      <c r="H353" s="31">
        <f>IF($A353="","",IFERROR(ROUND($C353*INDEX(tblKurallar[deger_2025],MATCH("TBA-001",tblKurallar[kural_id],0))+$D353*INDEX(tblKurallar[deger_2025],MATCH("TBA-002",tblKurallar[kural_id],0))+$E353*INDEX(tblKurallar[deger_2025],MATCH("TBA-004",tblKurallar[kural_id],0))+$F353*tba_isverenOran,2),0))</f>
        <v/>
      </c>
      <c r="I353" s="31">
        <f>IF($A353="","",IFERROR(MAX(0,$H353-$G353),0))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0" t="n"/>
      <c r="H354" s="31">
        <f>IF($A354="","",IFERROR(ROUND($C354*INDEX(tblKurallar[deger_2025],MATCH("TBA-001",tblKurallar[kural_id],0))+$D354*INDEX(tblKurallar[deger_2025],MATCH("TBA-002",tblKurallar[kural_id],0))+$E354*INDEX(tblKurallar[deger_2025],MATCH("TBA-004",tblKurallar[kural_id],0))+$F354*tba_isverenOran,2),0))</f>
        <v/>
      </c>
      <c r="I354" s="31">
        <f>IF($A354="","",IFERROR(MAX(0,$H354-$G354),0))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0" t="n"/>
      <c r="H355" s="31">
        <f>IF($A355="","",IFERROR(ROUND($C355*INDEX(tblKurallar[deger_2025],MATCH("TBA-001",tblKurallar[kural_id],0))+$D355*INDEX(tblKurallar[deger_2025],MATCH("TBA-002",tblKurallar[kural_id],0))+$E355*INDEX(tblKurallar[deger_2025],MATCH("TBA-004",tblKurallar[kural_id],0))+$F355*tba_isverenOran,2),0))</f>
        <v/>
      </c>
      <c r="I355" s="31">
        <f>IF($A355="","",IFERROR(MAX(0,$H355-$G355),0))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0" t="n"/>
      <c r="H356" s="31">
        <f>IF($A356="","",IFERROR(ROUND($C356*INDEX(tblKurallar[deger_2025],MATCH("TBA-001",tblKurallar[kural_id],0))+$D356*INDEX(tblKurallar[deger_2025],MATCH("TBA-002",tblKurallar[kural_id],0))+$E356*INDEX(tblKurallar[deger_2025],MATCH("TBA-004",tblKurallar[kural_id],0))+$F356*tba_isverenOran,2),0))</f>
        <v/>
      </c>
      <c r="I356" s="31">
        <f>IF($A356="","",IFERROR(MAX(0,$H356-$G356),0))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0" t="n"/>
      <c r="H357" s="31">
        <f>IF($A357="","",IFERROR(ROUND($C357*INDEX(tblKurallar[deger_2025],MATCH("TBA-001",tblKurallar[kural_id],0))+$D357*INDEX(tblKurallar[deger_2025],MATCH("TBA-002",tblKurallar[kural_id],0))+$E357*INDEX(tblKurallar[deger_2025],MATCH("TBA-004",tblKurallar[kural_id],0))+$F357*tba_isverenOran,2),0))</f>
        <v/>
      </c>
      <c r="I357" s="31">
        <f>IF($A357="","",IFERROR(MAX(0,$H357-$G357),0))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0" t="n"/>
      <c r="H358" s="31">
        <f>IF($A358="","",IFERROR(ROUND($C358*INDEX(tblKurallar[deger_2025],MATCH("TBA-001",tblKurallar[kural_id],0))+$D358*INDEX(tblKurallar[deger_2025],MATCH("TBA-002",tblKurallar[kural_id],0))+$E358*INDEX(tblKurallar[deger_2025],MATCH("TBA-004",tblKurallar[kural_id],0))+$F358*tba_isverenOran,2),0))</f>
        <v/>
      </c>
      <c r="I358" s="31">
        <f>IF($A358="","",IFERROR(MAX(0,$H358-$G358),0))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0" t="n"/>
      <c r="H359" s="31">
        <f>IF($A359="","",IFERROR(ROUND($C359*INDEX(tblKurallar[deger_2025],MATCH("TBA-001",tblKurallar[kural_id],0))+$D359*INDEX(tblKurallar[deger_2025],MATCH("TBA-002",tblKurallar[kural_id],0))+$E359*INDEX(tblKurallar[deger_2025],MATCH("TBA-004",tblKurallar[kural_id],0))+$F359*tba_isverenOran,2),0))</f>
        <v/>
      </c>
      <c r="I359" s="31">
        <f>IF($A359="","",IFERROR(MAX(0,$H359-$G359),0))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0" t="n"/>
      <c r="H360" s="31">
        <f>IF($A360="","",IFERROR(ROUND($C360*INDEX(tblKurallar[deger_2025],MATCH("TBA-001",tblKurallar[kural_id],0))+$D360*INDEX(tblKurallar[deger_2025],MATCH("TBA-002",tblKurallar[kural_id],0))+$E360*INDEX(tblKurallar[deger_2025],MATCH("TBA-004",tblKurallar[kural_id],0))+$F360*tba_isverenOran,2),0))</f>
        <v/>
      </c>
      <c r="I360" s="31">
        <f>IF($A360="","",IFERROR(MAX(0,$H360-$G360),0))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0" t="n"/>
      <c r="H361" s="31">
        <f>IF($A361="","",IFERROR(ROUND($C361*INDEX(tblKurallar[deger_2025],MATCH("TBA-001",tblKurallar[kural_id],0))+$D361*INDEX(tblKurallar[deger_2025],MATCH("TBA-002",tblKurallar[kural_id],0))+$E361*INDEX(tblKurallar[deger_2025],MATCH("TBA-004",tblKurallar[kural_id],0))+$F361*tba_isverenOran,2),0))</f>
        <v/>
      </c>
      <c r="I361" s="31">
        <f>IF($A361="","",IFERROR(MAX(0,$H361-$G361),0))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0" t="n"/>
      <c r="H362" s="31">
        <f>IF($A362="","",IFERROR(ROUND($C362*INDEX(tblKurallar[deger_2025],MATCH("TBA-001",tblKurallar[kural_id],0))+$D362*INDEX(tblKurallar[deger_2025],MATCH("TBA-002",tblKurallar[kural_id],0))+$E362*INDEX(tblKurallar[deger_2025],MATCH("TBA-004",tblKurallar[kural_id],0))+$F362*tba_isverenOran,2),0))</f>
        <v/>
      </c>
      <c r="I362" s="31">
        <f>IF($A362="","",IFERROR(MAX(0,$H362-$G362),0))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0" t="n"/>
      <c r="H363" s="31">
        <f>IF($A363="","",IFERROR(ROUND($C363*INDEX(tblKurallar[deger_2025],MATCH("TBA-001",tblKurallar[kural_id],0))+$D363*INDEX(tblKurallar[deger_2025],MATCH("TBA-002",tblKurallar[kural_id],0))+$E363*INDEX(tblKurallar[deger_2025],MATCH("TBA-004",tblKurallar[kural_id],0))+$F363*tba_isverenOran,2),0))</f>
        <v/>
      </c>
      <c r="I363" s="31">
        <f>IF($A363="","",IFERROR(MAX(0,$H363-$G363),0))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0" t="n"/>
      <c r="H364" s="31">
        <f>IF($A364="","",IFERROR(ROUND($C364*INDEX(tblKurallar[deger_2025],MATCH("TBA-001",tblKurallar[kural_id],0))+$D364*INDEX(tblKurallar[deger_2025],MATCH("TBA-002",tblKurallar[kural_id],0))+$E364*INDEX(tblKurallar[deger_2025],MATCH("TBA-004",tblKurallar[kural_id],0))+$F364*tba_isverenOran,2),0))</f>
        <v/>
      </c>
      <c r="I364" s="31">
        <f>IF($A364="","",IFERROR(MAX(0,$H364-$G364),0))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0" t="n"/>
      <c r="H365" s="31">
        <f>IF($A365="","",IFERROR(ROUND($C365*INDEX(tblKurallar[deger_2025],MATCH("TBA-001",tblKurallar[kural_id],0))+$D365*INDEX(tblKurallar[deger_2025],MATCH("TBA-002",tblKurallar[kural_id],0))+$E365*INDEX(tblKurallar[deger_2025],MATCH("TBA-004",tblKurallar[kural_id],0))+$F365*tba_isverenOran,2),0))</f>
        <v/>
      </c>
      <c r="I365" s="31">
        <f>IF($A365="","",IFERROR(MAX(0,$H365-$G365),0))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0" t="n"/>
      <c r="H366" s="31">
        <f>IF($A366="","",IFERROR(ROUND($C366*INDEX(tblKurallar[deger_2025],MATCH("TBA-001",tblKurallar[kural_id],0))+$D366*INDEX(tblKurallar[deger_2025],MATCH("TBA-002",tblKurallar[kural_id],0))+$E366*INDEX(tblKurallar[deger_2025],MATCH("TBA-004",tblKurallar[kural_id],0))+$F366*tba_isverenOran,2),0))</f>
        <v/>
      </c>
      <c r="I366" s="31">
        <f>IF($A366="","",IFERROR(MAX(0,$H366-$G366),0))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0" t="n"/>
      <c r="H367" s="31">
        <f>IF($A367="","",IFERROR(ROUND($C367*INDEX(tblKurallar[deger_2025],MATCH("TBA-001",tblKurallar[kural_id],0))+$D367*INDEX(tblKurallar[deger_2025],MATCH("TBA-002",tblKurallar[kural_id],0))+$E367*INDEX(tblKurallar[deger_2025],MATCH("TBA-004",tblKurallar[kural_id],0))+$F367*tba_isverenOran,2),0))</f>
        <v/>
      </c>
      <c r="I367" s="31">
        <f>IF($A367="","",IFERROR(MAX(0,$H367-$G367),0))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0" t="n"/>
      <c r="H368" s="31">
        <f>IF($A368="","",IFERROR(ROUND($C368*INDEX(tblKurallar[deger_2025],MATCH("TBA-001",tblKurallar[kural_id],0))+$D368*INDEX(tblKurallar[deger_2025],MATCH("TBA-002",tblKurallar[kural_id],0))+$E368*INDEX(tblKurallar[deger_2025],MATCH("TBA-004",tblKurallar[kural_id],0))+$F368*tba_isverenOran,2),0))</f>
        <v/>
      </c>
      <c r="I368" s="31">
        <f>IF($A368="","",IFERROR(MAX(0,$H368-$G368),0))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0" t="n"/>
      <c r="H369" s="31">
        <f>IF($A369="","",IFERROR(ROUND($C369*INDEX(tblKurallar[deger_2025],MATCH("TBA-001",tblKurallar[kural_id],0))+$D369*INDEX(tblKurallar[deger_2025],MATCH("TBA-002",tblKurallar[kural_id],0))+$E369*INDEX(tblKurallar[deger_2025],MATCH("TBA-004",tblKurallar[kural_id],0))+$F369*tba_isverenOran,2),0))</f>
        <v/>
      </c>
      <c r="I369" s="31">
        <f>IF($A369="","",IFERROR(MAX(0,$H369-$G369),0))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0" t="n"/>
      <c r="H370" s="31">
        <f>IF($A370="","",IFERROR(ROUND($C370*INDEX(tblKurallar[deger_2025],MATCH("TBA-001",tblKurallar[kural_id],0))+$D370*INDEX(tblKurallar[deger_2025],MATCH("TBA-002",tblKurallar[kural_id],0))+$E370*INDEX(tblKurallar[deger_2025],MATCH("TBA-004",tblKurallar[kural_id],0))+$F370*tba_isverenOran,2),0))</f>
        <v/>
      </c>
      <c r="I370" s="31">
        <f>IF($A370="","",IFERROR(MAX(0,$H370-$G370),0))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0" t="n"/>
      <c r="H371" s="31">
        <f>IF($A371="","",IFERROR(ROUND($C371*INDEX(tblKurallar[deger_2025],MATCH("TBA-001",tblKurallar[kural_id],0))+$D371*INDEX(tblKurallar[deger_2025],MATCH("TBA-002",tblKurallar[kural_id],0))+$E371*INDEX(tblKurallar[deger_2025],MATCH("TBA-004",tblKurallar[kural_id],0))+$F371*tba_isverenOran,2),0))</f>
        <v/>
      </c>
      <c r="I371" s="31">
        <f>IF($A371="","",IFERROR(MAX(0,$H371-$G371),0))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0" t="n"/>
      <c r="H372" s="31">
        <f>IF($A372="","",IFERROR(ROUND($C372*INDEX(tblKurallar[deger_2025],MATCH("TBA-001",tblKurallar[kural_id],0))+$D372*INDEX(tblKurallar[deger_2025],MATCH("TBA-002",tblKurallar[kural_id],0))+$E372*INDEX(tblKurallar[deger_2025],MATCH("TBA-004",tblKurallar[kural_id],0))+$F372*tba_isverenOran,2),0))</f>
        <v/>
      </c>
      <c r="I372" s="31">
        <f>IF($A372="","",IFERROR(MAX(0,$H372-$G372),0))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0" t="n"/>
      <c r="H373" s="31">
        <f>IF($A373="","",IFERROR(ROUND($C373*INDEX(tblKurallar[deger_2025],MATCH("TBA-001",tblKurallar[kural_id],0))+$D373*INDEX(tblKurallar[deger_2025],MATCH("TBA-002",tblKurallar[kural_id],0))+$E373*INDEX(tblKurallar[deger_2025],MATCH("TBA-004",tblKurallar[kural_id],0))+$F373*tba_isverenOran,2),0))</f>
        <v/>
      </c>
      <c r="I373" s="31">
        <f>IF($A373="","",IFERROR(MAX(0,$H373-$G373),0))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0" t="n"/>
      <c r="H374" s="31">
        <f>IF($A374="","",IFERROR(ROUND($C374*INDEX(tblKurallar[deger_2025],MATCH("TBA-001",tblKurallar[kural_id],0))+$D374*INDEX(tblKurallar[deger_2025],MATCH("TBA-002",tblKurallar[kural_id],0))+$E374*INDEX(tblKurallar[deger_2025],MATCH("TBA-004",tblKurallar[kural_id],0))+$F374*tba_isverenOran,2),0))</f>
        <v/>
      </c>
      <c r="I374" s="31">
        <f>IF($A374="","",IFERROR(MAX(0,$H374-$G374),0))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0" t="n"/>
      <c r="H375" s="31">
        <f>IF($A375="","",IFERROR(ROUND($C375*INDEX(tblKurallar[deger_2025],MATCH("TBA-001",tblKurallar[kural_id],0))+$D375*INDEX(tblKurallar[deger_2025],MATCH("TBA-002",tblKurallar[kural_id],0))+$E375*INDEX(tblKurallar[deger_2025],MATCH("TBA-004",tblKurallar[kural_id],0))+$F375*tba_isverenOran,2),0))</f>
        <v/>
      </c>
      <c r="I375" s="31">
        <f>IF($A375="","",IFERROR(MAX(0,$H375-$G375),0))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0" t="n"/>
      <c r="H376" s="31">
        <f>IF($A376="","",IFERROR(ROUND($C376*INDEX(tblKurallar[deger_2025],MATCH("TBA-001",tblKurallar[kural_id],0))+$D376*INDEX(tblKurallar[deger_2025],MATCH("TBA-002",tblKurallar[kural_id],0))+$E376*INDEX(tblKurallar[deger_2025],MATCH("TBA-004",tblKurallar[kural_id],0))+$F376*tba_isverenOran,2),0))</f>
        <v/>
      </c>
      <c r="I376" s="31">
        <f>IF($A376="","",IFERROR(MAX(0,$H376-$G376),0))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0" t="n"/>
      <c r="H377" s="31">
        <f>IF($A377="","",IFERROR(ROUND($C377*INDEX(tblKurallar[deger_2025],MATCH("TBA-001",tblKurallar[kural_id],0))+$D377*INDEX(tblKurallar[deger_2025],MATCH("TBA-002",tblKurallar[kural_id],0))+$E377*INDEX(tblKurallar[deger_2025],MATCH("TBA-004",tblKurallar[kural_id],0))+$F377*tba_isverenOran,2),0))</f>
        <v/>
      </c>
      <c r="I377" s="31">
        <f>IF($A377="","",IFERROR(MAX(0,$H377-$G377),0))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0" t="n"/>
      <c r="H378" s="31">
        <f>IF($A378="","",IFERROR(ROUND($C378*INDEX(tblKurallar[deger_2025],MATCH("TBA-001",tblKurallar[kural_id],0))+$D378*INDEX(tblKurallar[deger_2025],MATCH("TBA-002",tblKurallar[kural_id],0))+$E378*INDEX(tblKurallar[deger_2025],MATCH("TBA-004",tblKurallar[kural_id],0))+$F378*tba_isverenOran,2),0))</f>
        <v/>
      </c>
      <c r="I378" s="31">
        <f>IF($A378="","",IFERROR(MAX(0,$H378-$G378),0))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0" t="n"/>
      <c r="H379" s="31">
        <f>IF($A379="","",IFERROR(ROUND($C379*INDEX(tblKurallar[deger_2025],MATCH("TBA-001",tblKurallar[kural_id],0))+$D379*INDEX(tblKurallar[deger_2025],MATCH("TBA-002",tblKurallar[kural_id],0))+$E379*INDEX(tblKurallar[deger_2025],MATCH("TBA-004",tblKurallar[kural_id],0))+$F379*tba_isverenOran,2),0))</f>
        <v/>
      </c>
      <c r="I379" s="31">
        <f>IF($A379="","",IFERROR(MAX(0,$H379-$G379),0))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0" t="n"/>
      <c r="H380" s="31">
        <f>IF($A380="","",IFERROR(ROUND($C380*INDEX(tblKurallar[deger_2025],MATCH("TBA-001",tblKurallar[kural_id],0))+$D380*INDEX(tblKurallar[deger_2025],MATCH("TBA-002",tblKurallar[kural_id],0))+$E380*INDEX(tblKurallar[deger_2025],MATCH("TBA-004",tblKurallar[kural_id],0))+$F380*tba_isverenOran,2),0))</f>
        <v/>
      </c>
      <c r="I380" s="31">
        <f>IF($A380="","",IFERROR(MAX(0,$H380-$G380),0))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0" t="n"/>
      <c r="H381" s="31">
        <f>IF($A381="","",IFERROR(ROUND($C381*INDEX(tblKurallar[deger_2025],MATCH("TBA-001",tblKurallar[kural_id],0))+$D381*INDEX(tblKurallar[deger_2025],MATCH("TBA-002",tblKurallar[kural_id],0))+$E381*INDEX(tblKurallar[deger_2025],MATCH("TBA-004",tblKurallar[kural_id],0))+$F381*tba_isverenOran,2),0))</f>
        <v/>
      </c>
      <c r="I381" s="31">
        <f>IF($A381="","",IFERROR(MAX(0,$H381-$G381),0))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0" t="n"/>
      <c r="H382" s="31">
        <f>IF($A382="","",IFERROR(ROUND($C382*INDEX(tblKurallar[deger_2025],MATCH("TBA-001",tblKurallar[kural_id],0))+$D382*INDEX(tblKurallar[deger_2025],MATCH("TBA-002",tblKurallar[kural_id],0))+$E382*INDEX(tblKurallar[deger_2025],MATCH("TBA-004",tblKurallar[kural_id],0))+$F382*tba_isverenOran,2),0))</f>
        <v/>
      </c>
      <c r="I382" s="31">
        <f>IF($A382="","",IFERROR(MAX(0,$H382-$G382),0))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0" t="n"/>
      <c r="H383" s="31">
        <f>IF($A383="","",IFERROR(ROUND($C383*INDEX(tblKurallar[deger_2025],MATCH("TBA-001",tblKurallar[kural_id],0))+$D383*INDEX(tblKurallar[deger_2025],MATCH("TBA-002",tblKurallar[kural_id],0))+$E383*INDEX(tblKurallar[deger_2025],MATCH("TBA-004",tblKurallar[kural_id],0))+$F383*tba_isverenOran,2),0))</f>
        <v/>
      </c>
      <c r="I383" s="31">
        <f>IF($A383="","",IFERROR(MAX(0,$H383-$G383),0))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0" t="n"/>
      <c r="H384" s="31">
        <f>IF($A384="","",IFERROR(ROUND($C384*INDEX(tblKurallar[deger_2025],MATCH("TBA-001",tblKurallar[kural_id],0))+$D384*INDEX(tblKurallar[deger_2025],MATCH("TBA-002",tblKurallar[kural_id],0))+$E384*INDEX(tblKurallar[deger_2025],MATCH("TBA-004",tblKurallar[kural_id],0))+$F384*tba_isverenOran,2),0))</f>
        <v/>
      </c>
      <c r="I384" s="31">
        <f>IF($A384="","",IFERROR(MAX(0,$H384-$G384),0))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0" t="n"/>
      <c r="H385" s="31">
        <f>IF($A385="","",IFERROR(ROUND($C385*INDEX(tblKurallar[deger_2025],MATCH("TBA-001",tblKurallar[kural_id],0))+$D385*INDEX(tblKurallar[deger_2025],MATCH("TBA-002",tblKurallar[kural_id],0))+$E385*INDEX(tblKurallar[deger_2025],MATCH("TBA-004",tblKurallar[kural_id],0))+$F385*tba_isverenOran,2),0))</f>
        <v/>
      </c>
      <c r="I385" s="31">
        <f>IF($A385="","",IFERROR(MAX(0,$H385-$G385),0))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0" t="n"/>
      <c r="H386" s="31">
        <f>IF($A386="","",IFERROR(ROUND($C386*INDEX(tblKurallar[deger_2025],MATCH("TBA-001",tblKurallar[kural_id],0))+$D386*INDEX(tblKurallar[deger_2025],MATCH("TBA-002",tblKurallar[kural_id],0))+$E386*INDEX(tblKurallar[deger_2025],MATCH("TBA-004",tblKurallar[kural_id],0))+$F386*tba_isverenOran,2),0))</f>
        <v/>
      </c>
      <c r="I386" s="31">
        <f>IF($A386="","",IFERROR(MAX(0,$H386-$G386),0))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0" t="n"/>
      <c r="H387" s="31">
        <f>IF($A387="","",IFERROR(ROUND($C387*INDEX(tblKurallar[deger_2025],MATCH("TBA-001",tblKurallar[kural_id],0))+$D387*INDEX(tblKurallar[deger_2025],MATCH("TBA-002",tblKurallar[kural_id],0))+$E387*INDEX(tblKurallar[deger_2025],MATCH("TBA-004",tblKurallar[kural_id],0))+$F387*tba_isverenOran,2),0))</f>
        <v/>
      </c>
      <c r="I387" s="31">
        <f>IF($A387="","",IFERROR(MAX(0,$H387-$G387),0))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0" t="n"/>
      <c r="H388" s="31">
        <f>IF($A388="","",IFERROR(ROUND($C388*INDEX(tblKurallar[deger_2025],MATCH("TBA-001",tblKurallar[kural_id],0))+$D388*INDEX(tblKurallar[deger_2025],MATCH("TBA-002",tblKurallar[kural_id],0))+$E388*INDEX(tblKurallar[deger_2025],MATCH("TBA-004",tblKurallar[kural_id],0))+$F388*tba_isverenOran,2),0))</f>
        <v/>
      </c>
      <c r="I388" s="31">
        <f>IF($A388="","",IFERROR(MAX(0,$H388-$G388),0))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0" t="n"/>
      <c r="H389" s="31">
        <f>IF($A389="","",IFERROR(ROUND($C389*INDEX(tblKurallar[deger_2025],MATCH("TBA-001",tblKurallar[kural_id],0))+$D389*INDEX(tblKurallar[deger_2025],MATCH("TBA-002",tblKurallar[kural_id],0))+$E389*INDEX(tblKurallar[deger_2025],MATCH("TBA-004",tblKurallar[kural_id],0))+$F389*tba_isverenOran,2),0))</f>
        <v/>
      </c>
      <c r="I389" s="31">
        <f>IF($A389="","",IFERROR(MAX(0,$H389-$G389),0))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0" t="n"/>
      <c r="H390" s="31">
        <f>IF($A390="","",IFERROR(ROUND($C390*INDEX(tblKurallar[deger_2025],MATCH("TBA-001",tblKurallar[kural_id],0))+$D390*INDEX(tblKurallar[deger_2025],MATCH("TBA-002",tblKurallar[kural_id],0))+$E390*INDEX(tblKurallar[deger_2025],MATCH("TBA-004",tblKurallar[kural_id],0))+$F390*tba_isverenOran,2),0))</f>
        <v/>
      </c>
      <c r="I390" s="31">
        <f>IF($A390="","",IFERROR(MAX(0,$H390-$G390),0))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0" t="n"/>
      <c r="H391" s="31">
        <f>IF($A391="","",IFERROR(ROUND($C391*INDEX(tblKurallar[deger_2025],MATCH("TBA-001",tblKurallar[kural_id],0))+$D391*INDEX(tblKurallar[deger_2025],MATCH("TBA-002",tblKurallar[kural_id],0))+$E391*INDEX(tblKurallar[deger_2025],MATCH("TBA-004",tblKurallar[kural_id],0))+$F391*tba_isverenOran,2),0))</f>
        <v/>
      </c>
      <c r="I391" s="31">
        <f>IF($A391="","",IFERROR(MAX(0,$H391-$G391),0))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0" t="n"/>
      <c r="H392" s="31">
        <f>IF($A392="","",IFERROR(ROUND($C392*INDEX(tblKurallar[deger_2025],MATCH("TBA-001",tblKurallar[kural_id],0))+$D392*INDEX(tblKurallar[deger_2025],MATCH("TBA-002",tblKurallar[kural_id],0))+$E392*INDEX(tblKurallar[deger_2025],MATCH("TBA-004",tblKurallar[kural_id],0))+$F392*tba_isverenOran,2),0))</f>
        <v/>
      </c>
      <c r="I392" s="31">
        <f>IF($A392="","",IFERROR(MAX(0,$H392-$G392),0))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0" t="n"/>
      <c r="H393" s="31">
        <f>IF($A393="","",IFERROR(ROUND($C393*INDEX(tblKurallar[deger_2025],MATCH("TBA-001",tblKurallar[kural_id],0))+$D393*INDEX(tblKurallar[deger_2025],MATCH("TBA-002",tblKurallar[kural_id],0))+$E393*INDEX(tblKurallar[deger_2025],MATCH("TBA-004",tblKurallar[kural_id],0))+$F393*tba_isverenOran,2),0))</f>
        <v/>
      </c>
      <c r="I393" s="31">
        <f>IF($A393="","",IFERROR(MAX(0,$H393-$G393),0))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0" t="n"/>
      <c r="H394" s="31">
        <f>IF($A394="","",IFERROR(ROUND($C394*INDEX(tblKurallar[deger_2025],MATCH("TBA-001",tblKurallar[kural_id],0))+$D394*INDEX(tblKurallar[deger_2025],MATCH("TBA-002",tblKurallar[kural_id],0))+$E394*INDEX(tblKurallar[deger_2025],MATCH("TBA-004",tblKurallar[kural_id],0))+$F394*tba_isverenOran,2),0))</f>
        <v/>
      </c>
      <c r="I394" s="31">
        <f>IF($A394="","",IFERROR(MAX(0,$H394-$G394),0))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0" t="n"/>
      <c r="H395" s="31">
        <f>IF($A395="","",IFERROR(ROUND($C395*INDEX(tblKurallar[deger_2025],MATCH("TBA-001",tblKurallar[kural_id],0))+$D395*INDEX(tblKurallar[deger_2025],MATCH("TBA-002",tblKurallar[kural_id],0))+$E395*INDEX(tblKurallar[deger_2025],MATCH("TBA-004",tblKurallar[kural_id],0))+$F395*tba_isverenOran,2),0))</f>
        <v/>
      </c>
      <c r="I395" s="31">
        <f>IF($A395="","",IFERROR(MAX(0,$H395-$G395),0))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0" t="n"/>
      <c r="H396" s="31">
        <f>IF($A396="","",IFERROR(ROUND($C396*INDEX(tblKurallar[deger_2025],MATCH("TBA-001",tblKurallar[kural_id],0))+$D396*INDEX(tblKurallar[deger_2025],MATCH("TBA-002",tblKurallar[kural_id],0))+$E396*INDEX(tblKurallar[deger_2025],MATCH("TBA-004",tblKurallar[kural_id],0))+$F396*tba_isverenOran,2),0))</f>
        <v/>
      </c>
      <c r="I396" s="31">
        <f>IF($A396="","",IFERROR(MAX(0,$H396-$G396),0))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0" t="n"/>
      <c r="H397" s="31">
        <f>IF($A397="","",IFERROR(ROUND($C397*INDEX(tblKurallar[deger_2025],MATCH("TBA-001",tblKurallar[kural_id],0))+$D397*INDEX(tblKurallar[deger_2025],MATCH("TBA-002",tblKurallar[kural_id],0))+$E397*INDEX(tblKurallar[deger_2025],MATCH("TBA-004",tblKurallar[kural_id],0))+$F397*tba_isverenOran,2),0))</f>
        <v/>
      </c>
      <c r="I397" s="31">
        <f>IF($A397="","",IFERROR(MAX(0,$H397-$G397),0))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0" t="n"/>
      <c r="H398" s="31">
        <f>IF($A398="","",IFERROR(ROUND($C398*INDEX(tblKurallar[deger_2025],MATCH("TBA-001",tblKurallar[kural_id],0))+$D398*INDEX(tblKurallar[deger_2025],MATCH("TBA-002",tblKurallar[kural_id],0))+$E398*INDEX(tblKurallar[deger_2025],MATCH("TBA-004",tblKurallar[kural_id],0))+$F398*tba_isverenOran,2),0))</f>
        <v/>
      </c>
      <c r="I398" s="31">
        <f>IF($A398="","",IFERROR(MAX(0,$H398-$G398),0))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0" t="n"/>
      <c r="H399" s="31">
        <f>IF($A399="","",IFERROR(ROUND($C399*INDEX(tblKurallar[deger_2025],MATCH("TBA-001",tblKurallar[kural_id],0))+$D399*INDEX(tblKurallar[deger_2025],MATCH("TBA-002",tblKurallar[kural_id],0))+$E399*INDEX(tblKurallar[deger_2025],MATCH("TBA-004",tblKurallar[kural_id],0))+$F399*tba_isverenOran,2),0))</f>
        <v/>
      </c>
      <c r="I399" s="31">
        <f>IF($A399="","",IFERROR(MAX(0,$H399-$G399),0))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0" t="n"/>
      <c r="H400" s="31">
        <f>IF($A400="","",IFERROR(ROUND($C400*INDEX(tblKurallar[deger_2025],MATCH("TBA-001",tblKurallar[kural_id],0))+$D400*INDEX(tblKurallar[deger_2025],MATCH("TBA-002",tblKurallar[kural_id],0))+$E400*INDEX(tblKurallar[deger_2025],MATCH("TBA-004",tblKurallar[kural_id],0))+$F400*tba_isverenOran,2),0))</f>
        <v/>
      </c>
      <c r="I400" s="31">
        <f>IF($A400="","",IFERROR(MAX(0,$H400-$G400),0))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0" t="n"/>
      <c r="H401" s="31">
        <f>IF($A401="","",IFERROR(ROUND($C401*INDEX(tblKurallar[deger_2025],MATCH("TBA-001",tblKurallar[kural_id],0))+$D401*INDEX(tblKurallar[deger_2025],MATCH("TBA-002",tblKurallar[kural_id],0))+$E401*INDEX(tblKurallar[deger_2025],MATCH("TBA-004",tblKurallar[kural_id],0))+$F401*tba_isverenOran,2),0))</f>
        <v/>
      </c>
      <c r="I401" s="31">
        <f>IF($A401="","",IFERROR(MAX(0,$H401-$G401),0))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0" t="n"/>
      <c r="H402" s="31">
        <f>IF($A402="","",IFERROR(ROUND($C402*INDEX(tblKurallar[deger_2025],MATCH("TBA-001",tblKurallar[kural_id],0))+$D402*INDEX(tblKurallar[deger_2025],MATCH("TBA-002",tblKurallar[kural_id],0))+$E402*INDEX(tblKurallar[deger_2025],MATCH("TBA-004",tblKurallar[kural_id],0))+$F402*tba_isverenOran,2),0))</f>
        <v/>
      </c>
      <c r="I402" s="31">
        <f>IF($A402="","",IFERROR(MAX(0,$H402-$G402),0))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0" t="n"/>
      <c r="H403" s="31">
        <f>IF($A403="","",IFERROR(ROUND($C403*INDEX(tblKurallar[deger_2025],MATCH("TBA-001",tblKurallar[kural_id],0))+$D403*INDEX(tblKurallar[deger_2025],MATCH("TBA-002",tblKurallar[kural_id],0))+$E403*INDEX(tblKurallar[deger_2025],MATCH("TBA-004",tblKurallar[kural_id],0))+$F403*tba_isverenOran,2),0))</f>
        <v/>
      </c>
      <c r="I403" s="31">
        <f>IF($A403="","",IFERROR(MAX(0,$H403-$G403),0))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0" t="n"/>
      <c r="H404" s="31">
        <f>IF($A404="","",IFERROR(ROUND($C404*INDEX(tblKurallar[deger_2025],MATCH("TBA-001",tblKurallar[kural_id],0))+$D404*INDEX(tblKurallar[deger_2025],MATCH("TBA-002",tblKurallar[kural_id],0))+$E404*INDEX(tblKurallar[deger_2025],MATCH("TBA-004",tblKurallar[kural_id],0))+$F404*tba_isverenOran,2),0))</f>
        <v/>
      </c>
      <c r="I404" s="31">
        <f>IF($A404="","",IFERROR(MAX(0,$H404-$G404),0))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0" t="n"/>
      <c r="H405" s="31">
        <f>IF($A405="","",IFERROR(ROUND($C405*INDEX(tblKurallar[deger_2025],MATCH("TBA-001",tblKurallar[kural_id],0))+$D405*INDEX(tblKurallar[deger_2025],MATCH("TBA-002",tblKurallar[kural_id],0))+$E405*INDEX(tblKurallar[deger_2025],MATCH("TBA-004",tblKurallar[kural_id],0))+$F405*tba_isverenOran,2),0))</f>
        <v/>
      </c>
      <c r="I405" s="31">
        <f>IF($A405="","",IFERROR(MAX(0,$H405-$G405),0))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0" t="n"/>
      <c r="H406" s="31">
        <f>IF($A406="","",IFERROR(ROUND($C406*INDEX(tblKurallar[deger_2025],MATCH("TBA-001",tblKurallar[kural_id],0))+$D406*INDEX(tblKurallar[deger_2025],MATCH("TBA-002",tblKurallar[kural_id],0))+$E406*INDEX(tblKurallar[deger_2025],MATCH("TBA-004",tblKurallar[kural_id],0))+$F406*tba_isverenOran,2),0))</f>
        <v/>
      </c>
      <c r="I406" s="31">
        <f>IF($A406="","",IFERROR(MAX(0,$H406-$G406),0))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0" t="n"/>
      <c r="H407" s="31">
        <f>IF($A407="","",IFERROR(ROUND($C407*INDEX(tblKurallar[deger_2025],MATCH("TBA-001",tblKurallar[kural_id],0))+$D407*INDEX(tblKurallar[deger_2025],MATCH("TBA-002",tblKurallar[kural_id],0))+$E407*INDEX(tblKurallar[deger_2025],MATCH("TBA-004",tblKurallar[kural_id],0))+$F407*tba_isverenOran,2),0))</f>
        <v/>
      </c>
      <c r="I407" s="31">
        <f>IF($A407="","",IFERROR(MAX(0,$H407-$G407),0))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0" t="n"/>
      <c r="H408" s="31">
        <f>IF($A408="","",IFERROR(ROUND($C408*INDEX(tblKurallar[deger_2025],MATCH("TBA-001",tblKurallar[kural_id],0))+$D408*INDEX(tblKurallar[deger_2025],MATCH("TBA-002",tblKurallar[kural_id],0))+$E408*INDEX(tblKurallar[deger_2025],MATCH("TBA-004",tblKurallar[kural_id],0))+$F408*tba_isverenOran,2),0))</f>
        <v/>
      </c>
      <c r="I408" s="31">
        <f>IF($A408="","",IFERROR(MAX(0,$H408-$G408),0))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0" t="n"/>
      <c r="H409" s="31">
        <f>IF($A409="","",IFERROR(ROUND($C409*INDEX(tblKurallar[deger_2025],MATCH("TBA-001",tblKurallar[kural_id],0))+$D409*INDEX(tblKurallar[deger_2025],MATCH("TBA-002",tblKurallar[kural_id],0))+$E409*INDEX(tblKurallar[deger_2025],MATCH("TBA-004",tblKurallar[kural_id],0))+$F409*tba_isverenOran,2),0))</f>
        <v/>
      </c>
      <c r="I409" s="31">
        <f>IF($A409="","",IFERROR(MAX(0,$H409-$G409),0))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0" t="n"/>
      <c r="H410" s="31">
        <f>IF($A410="","",IFERROR(ROUND($C410*INDEX(tblKurallar[deger_2025],MATCH("TBA-001",tblKurallar[kural_id],0))+$D410*INDEX(tblKurallar[deger_2025],MATCH("TBA-002",tblKurallar[kural_id],0))+$E410*INDEX(tblKurallar[deger_2025],MATCH("TBA-004",tblKurallar[kural_id],0))+$F410*tba_isverenOran,2),0))</f>
        <v/>
      </c>
      <c r="I410" s="31">
        <f>IF($A410="","",IFERROR(MAX(0,$H410-$G410),0))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0" t="n"/>
      <c r="H411" s="31">
        <f>IF($A411="","",IFERROR(ROUND($C411*INDEX(tblKurallar[deger_2025],MATCH("TBA-001",tblKurallar[kural_id],0))+$D411*INDEX(tblKurallar[deger_2025],MATCH("TBA-002",tblKurallar[kural_id],0))+$E411*INDEX(tblKurallar[deger_2025],MATCH("TBA-004",tblKurallar[kural_id],0))+$F411*tba_isverenOran,2),0))</f>
        <v/>
      </c>
      <c r="I411" s="31">
        <f>IF($A411="","",IFERROR(MAX(0,$H411-$G411),0))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0" t="n"/>
      <c r="H412" s="31">
        <f>IF($A412="","",IFERROR(ROUND($C412*INDEX(tblKurallar[deger_2025],MATCH("TBA-001",tblKurallar[kural_id],0))+$D412*INDEX(tblKurallar[deger_2025],MATCH("TBA-002",tblKurallar[kural_id],0))+$E412*INDEX(tblKurallar[deger_2025],MATCH("TBA-004",tblKurallar[kural_id],0))+$F412*tba_isverenOran,2),0))</f>
        <v/>
      </c>
      <c r="I412" s="31">
        <f>IF($A412="","",IFERROR(MAX(0,$H412-$G412),0))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0" t="n"/>
      <c r="H413" s="31">
        <f>IF($A413="","",IFERROR(ROUND($C413*INDEX(tblKurallar[deger_2025],MATCH("TBA-001",tblKurallar[kural_id],0))+$D413*INDEX(tblKurallar[deger_2025],MATCH("TBA-002",tblKurallar[kural_id],0))+$E413*INDEX(tblKurallar[deger_2025],MATCH("TBA-004",tblKurallar[kural_id],0))+$F413*tba_isverenOran,2),0))</f>
        <v/>
      </c>
      <c r="I413" s="31">
        <f>IF($A413="","",IFERROR(MAX(0,$H413-$G413),0))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0" t="n"/>
      <c r="H414" s="31">
        <f>IF($A414="","",IFERROR(ROUND($C414*INDEX(tblKurallar[deger_2025],MATCH("TBA-001",tblKurallar[kural_id],0))+$D414*INDEX(tblKurallar[deger_2025],MATCH("TBA-002",tblKurallar[kural_id],0))+$E414*INDEX(tblKurallar[deger_2025],MATCH("TBA-004",tblKurallar[kural_id],0))+$F414*tba_isverenOran,2),0))</f>
        <v/>
      </c>
      <c r="I414" s="31">
        <f>IF($A414="","",IFERROR(MAX(0,$H414-$G414),0))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0" t="n"/>
      <c r="H415" s="31">
        <f>IF($A415="","",IFERROR(ROUND($C415*INDEX(tblKurallar[deger_2025],MATCH("TBA-001",tblKurallar[kural_id],0))+$D415*INDEX(tblKurallar[deger_2025],MATCH("TBA-002",tblKurallar[kural_id],0))+$E415*INDEX(tblKurallar[deger_2025],MATCH("TBA-004",tblKurallar[kural_id],0))+$F415*tba_isverenOran,2),0))</f>
        <v/>
      </c>
      <c r="I415" s="31">
        <f>IF($A415="","",IFERROR(MAX(0,$H415-$G415),0))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0" t="n"/>
      <c r="H416" s="31">
        <f>IF($A416="","",IFERROR(ROUND($C416*INDEX(tblKurallar[deger_2025],MATCH("TBA-001",tblKurallar[kural_id],0))+$D416*INDEX(tblKurallar[deger_2025],MATCH("TBA-002",tblKurallar[kural_id],0))+$E416*INDEX(tblKurallar[deger_2025],MATCH("TBA-004",tblKurallar[kural_id],0))+$F416*tba_isverenOran,2),0))</f>
        <v/>
      </c>
      <c r="I416" s="31">
        <f>IF($A416="","",IFERROR(MAX(0,$H416-$G416),0))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0" t="n"/>
      <c r="H417" s="31">
        <f>IF($A417="","",IFERROR(ROUND($C417*INDEX(tblKurallar[deger_2025],MATCH("TBA-001",tblKurallar[kural_id],0))+$D417*INDEX(tblKurallar[deger_2025],MATCH("TBA-002",tblKurallar[kural_id],0))+$E417*INDEX(tblKurallar[deger_2025],MATCH("TBA-004",tblKurallar[kural_id],0))+$F417*tba_isverenOran,2),0))</f>
        <v/>
      </c>
      <c r="I417" s="31">
        <f>IF($A417="","",IFERROR(MAX(0,$H417-$G417),0))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0" t="n"/>
      <c r="H418" s="31">
        <f>IF($A418="","",IFERROR(ROUND($C418*INDEX(tblKurallar[deger_2025],MATCH("TBA-001",tblKurallar[kural_id],0))+$D418*INDEX(tblKurallar[deger_2025],MATCH("TBA-002",tblKurallar[kural_id],0))+$E418*INDEX(tblKurallar[deger_2025],MATCH("TBA-004",tblKurallar[kural_id],0))+$F418*tba_isverenOran,2),0))</f>
        <v/>
      </c>
      <c r="I418" s="31">
        <f>IF($A418="","",IFERROR(MAX(0,$H418-$G418),0))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0" t="n"/>
      <c r="H419" s="31">
        <f>IF($A419="","",IFERROR(ROUND($C419*INDEX(tblKurallar[deger_2025],MATCH("TBA-001",tblKurallar[kural_id],0))+$D419*INDEX(tblKurallar[deger_2025],MATCH("TBA-002",tblKurallar[kural_id],0))+$E419*INDEX(tblKurallar[deger_2025],MATCH("TBA-004",tblKurallar[kural_id],0))+$F419*tba_isverenOran,2),0))</f>
        <v/>
      </c>
      <c r="I419" s="31">
        <f>IF($A419="","",IFERROR(MAX(0,$H419-$G419),0))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0" t="n"/>
      <c r="H420" s="31">
        <f>IF($A420="","",IFERROR(ROUND($C420*INDEX(tblKurallar[deger_2025],MATCH("TBA-001",tblKurallar[kural_id],0))+$D420*INDEX(tblKurallar[deger_2025],MATCH("TBA-002",tblKurallar[kural_id],0))+$E420*INDEX(tblKurallar[deger_2025],MATCH("TBA-004",tblKurallar[kural_id],0))+$F420*tba_isverenOran,2),0))</f>
        <v/>
      </c>
      <c r="I420" s="31">
        <f>IF($A420="","",IFERROR(MAX(0,$H420-$G420),0))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0" t="n"/>
      <c r="H421" s="31">
        <f>IF($A421="","",IFERROR(ROUND($C421*INDEX(tblKurallar[deger_2025],MATCH("TBA-001",tblKurallar[kural_id],0))+$D421*INDEX(tblKurallar[deger_2025],MATCH("TBA-002",tblKurallar[kural_id],0))+$E421*INDEX(tblKurallar[deger_2025],MATCH("TBA-004",tblKurallar[kural_id],0))+$F421*tba_isverenOran,2),0))</f>
        <v/>
      </c>
      <c r="I421" s="31">
        <f>IF($A421="","",IFERROR(MAX(0,$H421-$G421),0))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0" t="n"/>
      <c r="H422" s="31">
        <f>IF($A422="","",IFERROR(ROUND($C422*INDEX(tblKurallar[deger_2025],MATCH("TBA-001",tblKurallar[kural_id],0))+$D422*INDEX(tblKurallar[deger_2025],MATCH("TBA-002",tblKurallar[kural_id],0))+$E422*INDEX(tblKurallar[deger_2025],MATCH("TBA-004",tblKurallar[kural_id],0))+$F422*tba_isverenOran,2),0))</f>
        <v/>
      </c>
      <c r="I422" s="31">
        <f>IF($A422="","",IFERROR(MAX(0,$H422-$G422),0))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0" t="n"/>
      <c r="H423" s="31">
        <f>IF($A423="","",IFERROR(ROUND($C423*INDEX(tblKurallar[deger_2025],MATCH("TBA-001",tblKurallar[kural_id],0))+$D423*INDEX(tblKurallar[deger_2025],MATCH("TBA-002",tblKurallar[kural_id],0))+$E423*INDEX(tblKurallar[deger_2025],MATCH("TBA-004",tblKurallar[kural_id],0))+$F423*tba_isverenOran,2),0))</f>
        <v/>
      </c>
      <c r="I423" s="31">
        <f>IF($A423="","",IFERROR(MAX(0,$H423-$G423),0))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0" t="n"/>
      <c r="H424" s="31">
        <f>IF($A424="","",IFERROR(ROUND($C424*INDEX(tblKurallar[deger_2025],MATCH("TBA-001",tblKurallar[kural_id],0))+$D424*INDEX(tblKurallar[deger_2025],MATCH("TBA-002",tblKurallar[kural_id],0))+$E424*INDEX(tblKurallar[deger_2025],MATCH("TBA-004",tblKurallar[kural_id],0))+$F424*tba_isverenOran,2),0))</f>
        <v/>
      </c>
      <c r="I424" s="31">
        <f>IF($A424="","",IFERROR(MAX(0,$H424-$G424),0))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0" t="n"/>
      <c r="H425" s="31">
        <f>IF($A425="","",IFERROR(ROUND($C425*INDEX(tblKurallar[deger_2025],MATCH("TBA-001",tblKurallar[kural_id],0))+$D425*INDEX(tblKurallar[deger_2025],MATCH("TBA-002",tblKurallar[kural_id],0))+$E425*INDEX(tblKurallar[deger_2025],MATCH("TBA-004",tblKurallar[kural_id],0))+$F425*tba_isverenOran,2),0))</f>
        <v/>
      </c>
      <c r="I425" s="31">
        <f>IF($A425="","",IFERROR(MAX(0,$H425-$G425),0))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0" t="n"/>
      <c r="H426" s="31">
        <f>IF($A426="","",IFERROR(ROUND($C426*INDEX(tblKurallar[deger_2025],MATCH("TBA-001",tblKurallar[kural_id],0))+$D426*INDEX(tblKurallar[deger_2025],MATCH("TBA-002",tblKurallar[kural_id],0))+$E426*INDEX(tblKurallar[deger_2025],MATCH("TBA-004",tblKurallar[kural_id],0))+$F426*tba_isverenOran,2),0))</f>
        <v/>
      </c>
      <c r="I426" s="31">
        <f>IF($A426="","",IFERROR(MAX(0,$H426-$G426),0))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0" t="n"/>
      <c r="H427" s="31">
        <f>IF($A427="","",IFERROR(ROUND($C427*INDEX(tblKurallar[deger_2025],MATCH("TBA-001",tblKurallar[kural_id],0))+$D427*INDEX(tblKurallar[deger_2025],MATCH("TBA-002",tblKurallar[kural_id],0))+$E427*INDEX(tblKurallar[deger_2025],MATCH("TBA-004",tblKurallar[kural_id],0))+$F427*tba_isverenOran,2),0))</f>
        <v/>
      </c>
      <c r="I427" s="31">
        <f>IF($A427="","",IFERROR(MAX(0,$H427-$G427),0))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0" t="n"/>
      <c r="H428" s="31">
        <f>IF($A428="","",IFERROR(ROUND($C428*INDEX(tblKurallar[deger_2025],MATCH("TBA-001",tblKurallar[kural_id],0))+$D428*INDEX(tblKurallar[deger_2025],MATCH("TBA-002",tblKurallar[kural_id],0))+$E428*INDEX(tblKurallar[deger_2025],MATCH("TBA-004",tblKurallar[kural_id],0))+$F428*tba_isverenOran,2),0))</f>
        <v/>
      </c>
      <c r="I428" s="31">
        <f>IF($A428="","",IFERROR(MAX(0,$H428-$G428),0))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0" t="n"/>
      <c r="H429" s="31">
        <f>IF($A429="","",IFERROR(ROUND($C429*INDEX(tblKurallar[deger_2025],MATCH("TBA-001",tblKurallar[kural_id],0))+$D429*INDEX(tblKurallar[deger_2025],MATCH("TBA-002",tblKurallar[kural_id],0))+$E429*INDEX(tblKurallar[deger_2025],MATCH("TBA-004",tblKurallar[kural_id],0))+$F429*tba_isverenOran,2),0))</f>
        <v/>
      </c>
      <c r="I429" s="31">
        <f>IF($A429="","",IFERROR(MAX(0,$H429-$G429),0))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0" t="n"/>
      <c r="H430" s="31">
        <f>IF($A430="","",IFERROR(ROUND($C430*INDEX(tblKurallar[deger_2025],MATCH("TBA-001",tblKurallar[kural_id],0))+$D430*INDEX(tblKurallar[deger_2025],MATCH("TBA-002",tblKurallar[kural_id],0))+$E430*INDEX(tblKurallar[deger_2025],MATCH("TBA-004",tblKurallar[kural_id],0))+$F430*tba_isverenOran,2),0))</f>
        <v/>
      </c>
      <c r="I430" s="31">
        <f>IF($A430="","",IFERROR(MAX(0,$H430-$G430),0))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0" t="n"/>
      <c r="H431" s="31">
        <f>IF($A431="","",IFERROR(ROUND($C431*INDEX(tblKurallar[deger_2025],MATCH("TBA-001",tblKurallar[kural_id],0))+$D431*INDEX(tblKurallar[deger_2025],MATCH("TBA-002",tblKurallar[kural_id],0))+$E431*INDEX(tblKurallar[deger_2025],MATCH("TBA-004",tblKurallar[kural_id],0))+$F431*tba_isverenOran,2),0))</f>
        <v/>
      </c>
      <c r="I431" s="31">
        <f>IF($A431="","",IFERROR(MAX(0,$H431-$G431),0))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0" t="n"/>
      <c r="H432" s="31">
        <f>IF($A432="","",IFERROR(ROUND($C432*INDEX(tblKurallar[deger_2025],MATCH("TBA-001",tblKurallar[kural_id],0))+$D432*INDEX(tblKurallar[deger_2025],MATCH("TBA-002",tblKurallar[kural_id],0))+$E432*INDEX(tblKurallar[deger_2025],MATCH("TBA-004",tblKurallar[kural_id],0))+$F432*tba_isverenOran,2),0))</f>
        <v/>
      </c>
      <c r="I432" s="31">
        <f>IF($A432="","",IFERROR(MAX(0,$H432-$G432),0))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0" t="n"/>
      <c r="H433" s="31">
        <f>IF($A433="","",IFERROR(ROUND($C433*INDEX(tblKurallar[deger_2025],MATCH("TBA-001",tblKurallar[kural_id],0))+$D433*INDEX(tblKurallar[deger_2025],MATCH("TBA-002",tblKurallar[kural_id],0))+$E433*INDEX(tblKurallar[deger_2025],MATCH("TBA-004",tblKurallar[kural_id],0))+$F433*tba_isverenOran,2),0))</f>
        <v/>
      </c>
      <c r="I433" s="31">
        <f>IF($A433="","",IFERROR(MAX(0,$H433-$G433),0))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0" t="n"/>
      <c r="H434" s="31">
        <f>IF($A434="","",IFERROR(ROUND($C434*INDEX(tblKurallar[deger_2025],MATCH("TBA-001",tblKurallar[kural_id],0))+$D434*INDEX(tblKurallar[deger_2025],MATCH("TBA-002",tblKurallar[kural_id],0))+$E434*INDEX(tblKurallar[deger_2025],MATCH("TBA-004",tblKurallar[kural_id],0))+$F434*tba_isverenOran,2),0))</f>
        <v/>
      </c>
      <c r="I434" s="31">
        <f>IF($A434="","",IFERROR(MAX(0,$H434-$G434),0))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0" t="n"/>
      <c r="H435" s="31">
        <f>IF($A435="","",IFERROR(ROUND($C435*INDEX(tblKurallar[deger_2025],MATCH("TBA-001",tblKurallar[kural_id],0))+$D435*INDEX(tblKurallar[deger_2025],MATCH("TBA-002",tblKurallar[kural_id],0))+$E435*INDEX(tblKurallar[deger_2025],MATCH("TBA-004",tblKurallar[kural_id],0))+$F435*tba_isverenOran,2),0))</f>
        <v/>
      </c>
      <c r="I435" s="31">
        <f>IF($A435="","",IFERROR(MAX(0,$H435-$G435),0))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0" t="n"/>
      <c r="H436" s="31">
        <f>IF($A436="","",IFERROR(ROUND($C436*INDEX(tblKurallar[deger_2025],MATCH("TBA-001",tblKurallar[kural_id],0))+$D436*INDEX(tblKurallar[deger_2025],MATCH("TBA-002",tblKurallar[kural_id],0))+$E436*INDEX(tblKurallar[deger_2025],MATCH("TBA-004",tblKurallar[kural_id],0))+$F436*tba_isverenOran,2),0))</f>
        <v/>
      </c>
      <c r="I436" s="31">
        <f>IF($A436="","",IFERROR(MAX(0,$H436-$G436),0))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0" t="n"/>
      <c r="H437" s="31">
        <f>IF($A437="","",IFERROR(ROUND($C437*INDEX(tblKurallar[deger_2025],MATCH("TBA-001",tblKurallar[kural_id],0))+$D437*INDEX(tblKurallar[deger_2025],MATCH("TBA-002",tblKurallar[kural_id],0))+$E437*INDEX(tblKurallar[deger_2025],MATCH("TBA-004",tblKurallar[kural_id],0))+$F437*tba_isverenOran,2),0))</f>
        <v/>
      </c>
      <c r="I437" s="31">
        <f>IF($A437="","",IFERROR(MAX(0,$H437-$G437),0))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0" t="n"/>
      <c r="H438" s="31">
        <f>IF($A438="","",IFERROR(ROUND($C438*INDEX(tblKurallar[deger_2025],MATCH("TBA-001",tblKurallar[kural_id],0))+$D438*INDEX(tblKurallar[deger_2025],MATCH("TBA-002",tblKurallar[kural_id],0))+$E438*INDEX(tblKurallar[deger_2025],MATCH("TBA-004",tblKurallar[kural_id],0))+$F438*tba_isverenOran,2),0))</f>
        <v/>
      </c>
      <c r="I438" s="31">
        <f>IF($A438="","",IFERROR(MAX(0,$H438-$G438),0))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0" t="n"/>
      <c r="H439" s="31">
        <f>IF($A439="","",IFERROR(ROUND($C439*INDEX(tblKurallar[deger_2025],MATCH("TBA-001",tblKurallar[kural_id],0))+$D439*INDEX(tblKurallar[deger_2025],MATCH("TBA-002",tblKurallar[kural_id],0))+$E439*INDEX(tblKurallar[deger_2025],MATCH("TBA-004",tblKurallar[kural_id],0))+$F439*tba_isverenOran,2),0))</f>
        <v/>
      </c>
      <c r="I439" s="31">
        <f>IF($A439="","",IFERROR(MAX(0,$H439-$G439),0))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0" t="n"/>
      <c r="H440" s="31">
        <f>IF($A440="","",IFERROR(ROUND($C440*INDEX(tblKurallar[deger_2025],MATCH("TBA-001",tblKurallar[kural_id],0))+$D440*INDEX(tblKurallar[deger_2025],MATCH("TBA-002",tblKurallar[kural_id],0))+$E440*INDEX(tblKurallar[deger_2025],MATCH("TBA-004",tblKurallar[kural_id],0))+$F440*tba_isverenOran,2),0))</f>
        <v/>
      </c>
      <c r="I440" s="31">
        <f>IF($A440="","",IFERROR(MAX(0,$H440-$G440),0))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0" t="n"/>
      <c r="H441" s="31">
        <f>IF($A441="","",IFERROR(ROUND($C441*INDEX(tblKurallar[deger_2025],MATCH("TBA-001",tblKurallar[kural_id],0))+$D441*INDEX(tblKurallar[deger_2025],MATCH("TBA-002",tblKurallar[kural_id],0))+$E441*INDEX(tblKurallar[deger_2025],MATCH("TBA-004",tblKurallar[kural_id],0))+$F441*tba_isverenOran,2),0))</f>
        <v/>
      </c>
      <c r="I441" s="31">
        <f>IF($A441="","",IFERROR(MAX(0,$H441-$G441),0))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0" t="n"/>
      <c r="H442" s="31">
        <f>IF($A442="","",IFERROR(ROUND($C442*INDEX(tblKurallar[deger_2025],MATCH("TBA-001",tblKurallar[kural_id],0))+$D442*INDEX(tblKurallar[deger_2025],MATCH("TBA-002",tblKurallar[kural_id],0))+$E442*INDEX(tblKurallar[deger_2025],MATCH("TBA-004",tblKurallar[kural_id],0))+$F442*tba_isverenOran,2),0))</f>
        <v/>
      </c>
      <c r="I442" s="31">
        <f>IF($A442="","",IFERROR(MAX(0,$H442-$G442),0))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0" t="n"/>
      <c r="H443" s="31">
        <f>IF($A443="","",IFERROR(ROUND($C443*INDEX(tblKurallar[deger_2025],MATCH("TBA-001",tblKurallar[kural_id],0))+$D443*INDEX(tblKurallar[deger_2025],MATCH("TBA-002",tblKurallar[kural_id],0))+$E443*INDEX(tblKurallar[deger_2025],MATCH("TBA-004",tblKurallar[kural_id],0))+$F443*tba_isverenOran,2),0))</f>
        <v/>
      </c>
      <c r="I443" s="31">
        <f>IF($A443="","",IFERROR(MAX(0,$H443-$G443),0))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0" t="n"/>
      <c r="H444" s="31">
        <f>IF($A444="","",IFERROR(ROUND($C444*INDEX(tblKurallar[deger_2025],MATCH("TBA-001",tblKurallar[kural_id],0))+$D444*INDEX(tblKurallar[deger_2025],MATCH("TBA-002",tblKurallar[kural_id],0))+$E444*INDEX(tblKurallar[deger_2025],MATCH("TBA-004",tblKurallar[kural_id],0))+$F444*tba_isverenOran,2),0))</f>
        <v/>
      </c>
      <c r="I444" s="31">
        <f>IF($A444="","",IFERROR(MAX(0,$H444-$G444),0))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0" t="n"/>
      <c r="H445" s="31">
        <f>IF($A445="","",IFERROR(ROUND($C445*INDEX(tblKurallar[deger_2025],MATCH("TBA-001",tblKurallar[kural_id],0))+$D445*INDEX(tblKurallar[deger_2025],MATCH("TBA-002",tblKurallar[kural_id],0))+$E445*INDEX(tblKurallar[deger_2025],MATCH("TBA-004",tblKurallar[kural_id],0))+$F445*tba_isverenOran,2),0))</f>
        <v/>
      </c>
      <c r="I445" s="31">
        <f>IF($A445="","",IFERROR(MAX(0,$H445-$G445),0))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0" t="n"/>
      <c r="H446" s="31">
        <f>IF($A446="","",IFERROR(ROUND($C446*INDEX(tblKurallar[deger_2025],MATCH("TBA-001",tblKurallar[kural_id],0))+$D446*INDEX(tblKurallar[deger_2025],MATCH("TBA-002",tblKurallar[kural_id],0))+$E446*INDEX(tblKurallar[deger_2025],MATCH("TBA-004",tblKurallar[kural_id],0))+$F446*tba_isverenOran,2),0))</f>
        <v/>
      </c>
      <c r="I446" s="31">
        <f>IF($A446="","",IFERROR(MAX(0,$H446-$G446),0))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0" t="n"/>
      <c r="H447" s="31">
        <f>IF($A447="","",IFERROR(ROUND($C447*INDEX(tblKurallar[deger_2025],MATCH("TBA-001",tblKurallar[kural_id],0))+$D447*INDEX(tblKurallar[deger_2025],MATCH("TBA-002",tblKurallar[kural_id],0))+$E447*INDEX(tblKurallar[deger_2025],MATCH("TBA-004",tblKurallar[kural_id],0))+$F447*tba_isverenOran,2),0))</f>
        <v/>
      </c>
      <c r="I447" s="31">
        <f>IF($A447="","",IFERROR(MAX(0,$H447-$G447),0))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0" t="n"/>
      <c r="H448" s="31">
        <f>IF($A448="","",IFERROR(ROUND($C448*INDEX(tblKurallar[deger_2025],MATCH("TBA-001",tblKurallar[kural_id],0))+$D448*INDEX(tblKurallar[deger_2025],MATCH("TBA-002",tblKurallar[kural_id],0))+$E448*INDEX(tblKurallar[deger_2025],MATCH("TBA-004",tblKurallar[kural_id],0))+$F448*tba_isverenOran,2),0))</f>
        <v/>
      </c>
      <c r="I448" s="31">
        <f>IF($A448="","",IFERROR(MAX(0,$H448-$G448),0))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0" t="n"/>
      <c r="H449" s="31">
        <f>IF($A449="","",IFERROR(ROUND($C449*INDEX(tblKurallar[deger_2025],MATCH("TBA-001",tblKurallar[kural_id],0))+$D449*INDEX(tblKurallar[deger_2025],MATCH("TBA-002",tblKurallar[kural_id],0))+$E449*INDEX(tblKurallar[deger_2025],MATCH("TBA-004",tblKurallar[kural_id],0))+$F449*tba_isverenOran,2),0))</f>
        <v/>
      </c>
      <c r="I449" s="31">
        <f>IF($A449="","",IFERROR(MAX(0,$H449-$G449),0))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0" t="n"/>
      <c r="H450" s="31">
        <f>IF($A450="","",IFERROR(ROUND($C450*INDEX(tblKurallar[deger_2025],MATCH("TBA-001",tblKurallar[kural_id],0))+$D450*INDEX(tblKurallar[deger_2025],MATCH("TBA-002",tblKurallar[kural_id],0))+$E450*INDEX(tblKurallar[deger_2025],MATCH("TBA-004",tblKurallar[kural_id],0))+$F450*tba_isverenOran,2),0))</f>
        <v/>
      </c>
      <c r="I450" s="31">
        <f>IF($A450="","",IFERROR(MAX(0,$H450-$G450),0))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0" t="n"/>
      <c r="H451" s="31">
        <f>IF($A451="","",IFERROR(ROUND($C451*INDEX(tblKurallar[deger_2025],MATCH("TBA-001",tblKurallar[kural_id],0))+$D451*INDEX(tblKurallar[deger_2025],MATCH("TBA-002",tblKurallar[kural_id],0))+$E451*INDEX(tblKurallar[deger_2025],MATCH("TBA-004",tblKurallar[kural_id],0))+$F451*tba_isverenOran,2),0))</f>
        <v/>
      </c>
      <c r="I451" s="31">
        <f>IF($A451="","",IFERROR(MAX(0,$H451-$G451),0))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0" t="n"/>
      <c r="H452" s="31">
        <f>IF($A452="","",IFERROR(ROUND($C452*INDEX(tblKurallar[deger_2025],MATCH("TBA-001",tblKurallar[kural_id],0))+$D452*INDEX(tblKurallar[deger_2025],MATCH("TBA-002",tblKurallar[kural_id],0))+$E452*INDEX(tblKurallar[deger_2025],MATCH("TBA-004",tblKurallar[kural_id],0))+$F452*tba_isverenOran,2),0))</f>
        <v/>
      </c>
      <c r="I452" s="31">
        <f>IF($A452="","",IFERROR(MAX(0,$H452-$G452),0))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0" t="n"/>
      <c r="H453" s="31">
        <f>IF($A453="","",IFERROR(ROUND($C453*INDEX(tblKurallar[deger_2025],MATCH("TBA-001",tblKurallar[kural_id],0))+$D453*INDEX(tblKurallar[deger_2025],MATCH("TBA-002",tblKurallar[kural_id],0))+$E453*INDEX(tblKurallar[deger_2025],MATCH("TBA-004",tblKurallar[kural_id],0))+$F453*tba_isverenOran,2),0))</f>
        <v/>
      </c>
      <c r="I453" s="31">
        <f>IF($A453="","",IFERROR(MAX(0,$H453-$G453),0))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0" t="n"/>
      <c r="H454" s="31">
        <f>IF($A454="","",IFERROR(ROUND($C454*INDEX(tblKurallar[deger_2025],MATCH("TBA-001",tblKurallar[kural_id],0))+$D454*INDEX(tblKurallar[deger_2025],MATCH("TBA-002",tblKurallar[kural_id],0))+$E454*INDEX(tblKurallar[deger_2025],MATCH("TBA-004",tblKurallar[kural_id],0))+$F454*tba_isverenOran,2),0))</f>
        <v/>
      </c>
      <c r="I454" s="31">
        <f>IF($A454="","",IFERROR(MAX(0,$H454-$G454),0))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0" t="n"/>
      <c r="H455" s="31">
        <f>IF($A455="","",IFERROR(ROUND($C455*INDEX(tblKurallar[deger_2025],MATCH("TBA-001",tblKurallar[kural_id],0))+$D455*INDEX(tblKurallar[deger_2025],MATCH("TBA-002",tblKurallar[kural_id],0))+$E455*INDEX(tblKurallar[deger_2025],MATCH("TBA-004",tblKurallar[kural_id],0))+$F455*tba_isverenOran,2),0))</f>
        <v/>
      </c>
      <c r="I455" s="31">
        <f>IF($A455="","",IFERROR(MAX(0,$H455-$G455),0))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0" t="n"/>
      <c r="H456" s="31">
        <f>IF($A456="","",IFERROR(ROUND($C456*INDEX(tblKurallar[deger_2025],MATCH("TBA-001",tblKurallar[kural_id],0))+$D456*INDEX(tblKurallar[deger_2025],MATCH("TBA-002",tblKurallar[kural_id],0))+$E456*INDEX(tblKurallar[deger_2025],MATCH("TBA-004",tblKurallar[kural_id],0))+$F456*tba_isverenOran,2),0))</f>
        <v/>
      </c>
      <c r="I456" s="31">
        <f>IF($A456="","",IFERROR(MAX(0,$H456-$G456),0))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0" t="n"/>
      <c r="H457" s="31">
        <f>IF($A457="","",IFERROR(ROUND($C457*INDEX(tblKurallar[deger_2025],MATCH("TBA-001",tblKurallar[kural_id],0))+$D457*INDEX(tblKurallar[deger_2025],MATCH("TBA-002",tblKurallar[kural_id],0))+$E457*INDEX(tblKurallar[deger_2025],MATCH("TBA-004",tblKurallar[kural_id],0))+$F457*tba_isverenOran,2),0))</f>
        <v/>
      </c>
      <c r="I457" s="31">
        <f>IF($A457="","",IFERROR(MAX(0,$H457-$G457),0))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0" t="n"/>
      <c r="H458" s="31">
        <f>IF($A458="","",IFERROR(ROUND($C458*INDEX(tblKurallar[deger_2025],MATCH("TBA-001",tblKurallar[kural_id],0))+$D458*INDEX(tblKurallar[deger_2025],MATCH("TBA-002",tblKurallar[kural_id],0))+$E458*INDEX(tblKurallar[deger_2025],MATCH("TBA-004",tblKurallar[kural_id],0))+$F458*tba_isverenOran,2),0))</f>
        <v/>
      </c>
      <c r="I458" s="31">
        <f>IF($A458="","",IFERROR(MAX(0,$H458-$G458),0))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0" t="n"/>
      <c r="H459" s="31">
        <f>IF($A459="","",IFERROR(ROUND($C459*INDEX(tblKurallar[deger_2025],MATCH("TBA-001",tblKurallar[kural_id],0))+$D459*INDEX(tblKurallar[deger_2025],MATCH("TBA-002",tblKurallar[kural_id],0))+$E459*INDEX(tblKurallar[deger_2025],MATCH("TBA-004",tblKurallar[kural_id],0))+$F459*tba_isverenOran,2),0))</f>
        <v/>
      </c>
      <c r="I459" s="31">
        <f>IF($A459="","",IFERROR(MAX(0,$H459-$G459),0))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0" t="n"/>
      <c r="H460" s="31">
        <f>IF($A460="","",IFERROR(ROUND($C460*INDEX(tblKurallar[deger_2025],MATCH("TBA-001",tblKurallar[kural_id],0))+$D460*INDEX(tblKurallar[deger_2025],MATCH("TBA-002",tblKurallar[kural_id],0))+$E460*INDEX(tblKurallar[deger_2025],MATCH("TBA-004",tblKurallar[kural_id],0))+$F460*tba_isverenOran,2),0))</f>
        <v/>
      </c>
      <c r="I460" s="31">
        <f>IF($A460="","",IFERROR(MAX(0,$H460-$G460),0))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0" t="n"/>
      <c r="H461" s="31">
        <f>IF($A461="","",IFERROR(ROUND($C461*INDEX(tblKurallar[deger_2025],MATCH("TBA-001",tblKurallar[kural_id],0))+$D461*INDEX(tblKurallar[deger_2025],MATCH("TBA-002",tblKurallar[kural_id],0))+$E461*INDEX(tblKurallar[deger_2025],MATCH("TBA-004",tblKurallar[kural_id],0))+$F461*tba_isverenOran,2),0))</f>
        <v/>
      </c>
      <c r="I461" s="31">
        <f>IF($A461="","",IFERROR(MAX(0,$H461-$G461),0))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0" t="n"/>
      <c r="H462" s="31">
        <f>IF($A462="","",IFERROR(ROUND($C462*INDEX(tblKurallar[deger_2025],MATCH("TBA-001",tblKurallar[kural_id],0))+$D462*INDEX(tblKurallar[deger_2025],MATCH("TBA-002",tblKurallar[kural_id],0))+$E462*INDEX(tblKurallar[deger_2025],MATCH("TBA-004",tblKurallar[kural_id],0))+$F462*tba_isverenOran,2),0))</f>
        <v/>
      </c>
      <c r="I462" s="31">
        <f>IF($A462="","",IFERROR(MAX(0,$H462-$G462),0))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0" t="n"/>
      <c r="H463" s="31">
        <f>IF($A463="","",IFERROR(ROUND($C463*INDEX(tblKurallar[deger_2025],MATCH("TBA-001",tblKurallar[kural_id],0))+$D463*INDEX(tblKurallar[deger_2025],MATCH("TBA-002",tblKurallar[kural_id],0))+$E463*INDEX(tblKurallar[deger_2025],MATCH("TBA-004",tblKurallar[kural_id],0))+$F463*tba_isverenOran,2),0))</f>
        <v/>
      </c>
      <c r="I463" s="31">
        <f>IF($A463="","",IFERROR(MAX(0,$H463-$G463),0))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0" t="n"/>
      <c r="H464" s="31">
        <f>IF($A464="","",IFERROR(ROUND($C464*INDEX(tblKurallar[deger_2025],MATCH("TBA-001",tblKurallar[kural_id],0))+$D464*INDEX(tblKurallar[deger_2025],MATCH("TBA-002",tblKurallar[kural_id],0))+$E464*INDEX(tblKurallar[deger_2025],MATCH("TBA-004",tblKurallar[kural_id],0))+$F464*tba_isverenOran,2),0))</f>
        <v/>
      </c>
      <c r="I464" s="31">
        <f>IF($A464="","",IFERROR(MAX(0,$H464-$G464),0))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0" t="n"/>
      <c r="H465" s="31">
        <f>IF($A465="","",IFERROR(ROUND($C465*INDEX(tblKurallar[deger_2025],MATCH("TBA-001",tblKurallar[kural_id],0))+$D465*INDEX(tblKurallar[deger_2025],MATCH("TBA-002",tblKurallar[kural_id],0))+$E465*INDEX(tblKurallar[deger_2025],MATCH("TBA-004",tblKurallar[kural_id],0))+$F465*tba_isverenOran,2),0))</f>
        <v/>
      </c>
      <c r="I465" s="31">
        <f>IF($A465="","",IFERROR(MAX(0,$H465-$G465),0))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0" t="n"/>
      <c r="H466" s="31">
        <f>IF($A466="","",IFERROR(ROUND($C466*INDEX(tblKurallar[deger_2025],MATCH("TBA-001",tblKurallar[kural_id],0))+$D466*INDEX(tblKurallar[deger_2025],MATCH("TBA-002",tblKurallar[kural_id],0))+$E466*INDEX(tblKurallar[deger_2025],MATCH("TBA-004",tblKurallar[kural_id],0))+$F466*tba_isverenOran,2),0))</f>
        <v/>
      </c>
      <c r="I466" s="31">
        <f>IF($A466="","",IFERROR(MAX(0,$H466-$G466),0))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0" t="n"/>
      <c r="H467" s="31">
        <f>IF($A467="","",IFERROR(ROUND($C467*INDEX(tblKurallar[deger_2025],MATCH("TBA-001",tblKurallar[kural_id],0))+$D467*INDEX(tblKurallar[deger_2025],MATCH("TBA-002",tblKurallar[kural_id],0))+$E467*INDEX(tblKurallar[deger_2025],MATCH("TBA-004",tblKurallar[kural_id],0))+$F467*tba_isverenOran,2),0))</f>
        <v/>
      </c>
      <c r="I467" s="31">
        <f>IF($A467="","",IFERROR(MAX(0,$H467-$G467),0))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0" t="n"/>
      <c r="H468" s="31">
        <f>IF($A468="","",IFERROR(ROUND($C468*INDEX(tblKurallar[deger_2025],MATCH("TBA-001",tblKurallar[kural_id],0))+$D468*INDEX(tblKurallar[deger_2025],MATCH("TBA-002",tblKurallar[kural_id],0))+$E468*INDEX(tblKurallar[deger_2025],MATCH("TBA-004",tblKurallar[kural_id],0))+$F468*tba_isverenOran,2),0))</f>
        <v/>
      </c>
      <c r="I468" s="31">
        <f>IF($A468="","",IFERROR(MAX(0,$H468-$G468),0))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0" t="n"/>
      <c r="H469" s="31">
        <f>IF($A469="","",IFERROR(ROUND($C469*INDEX(tblKurallar[deger_2025],MATCH("TBA-001",tblKurallar[kural_id],0))+$D469*INDEX(tblKurallar[deger_2025],MATCH("TBA-002",tblKurallar[kural_id],0))+$E469*INDEX(tblKurallar[deger_2025],MATCH("TBA-004",tblKurallar[kural_id],0))+$F469*tba_isverenOran,2),0))</f>
        <v/>
      </c>
      <c r="I469" s="31">
        <f>IF($A469="","",IFERROR(MAX(0,$H469-$G469),0))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0" t="n"/>
      <c r="H470" s="31">
        <f>IF($A470="","",IFERROR(ROUND($C470*INDEX(tblKurallar[deger_2025],MATCH("TBA-001",tblKurallar[kural_id],0))+$D470*INDEX(tblKurallar[deger_2025],MATCH("TBA-002",tblKurallar[kural_id],0))+$E470*INDEX(tblKurallar[deger_2025],MATCH("TBA-004",tblKurallar[kural_id],0))+$F470*tba_isverenOran,2),0))</f>
        <v/>
      </c>
      <c r="I470" s="31">
        <f>IF($A470="","",IFERROR(MAX(0,$H470-$G470),0))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0" t="n"/>
      <c r="H471" s="31">
        <f>IF($A471="","",IFERROR(ROUND($C471*INDEX(tblKurallar[deger_2025],MATCH("TBA-001",tblKurallar[kural_id],0))+$D471*INDEX(tblKurallar[deger_2025],MATCH("TBA-002",tblKurallar[kural_id],0))+$E471*INDEX(tblKurallar[deger_2025],MATCH("TBA-004",tblKurallar[kural_id],0))+$F471*tba_isverenOran,2),0))</f>
        <v/>
      </c>
      <c r="I471" s="31">
        <f>IF($A471="","",IFERROR(MAX(0,$H471-$G471),0))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0" t="n"/>
      <c r="H472" s="31">
        <f>IF($A472="","",IFERROR(ROUND($C472*INDEX(tblKurallar[deger_2025],MATCH("TBA-001",tblKurallar[kural_id],0))+$D472*INDEX(tblKurallar[deger_2025],MATCH("TBA-002",tblKurallar[kural_id],0))+$E472*INDEX(tblKurallar[deger_2025],MATCH("TBA-004",tblKurallar[kural_id],0))+$F472*tba_isverenOran,2),0))</f>
        <v/>
      </c>
      <c r="I472" s="31">
        <f>IF($A472="","",IFERROR(MAX(0,$H472-$G472),0))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0" t="n"/>
      <c r="H473" s="31">
        <f>IF($A473="","",IFERROR(ROUND($C473*INDEX(tblKurallar[deger_2025],MATCH("TBA-001",tblKurallar[kural_id],0))+$D473*INDEX(tblKurallar[deger_2025],MATCH("TBA-002",tblKurallar[kural_id],0))+$E473*INDEX(tblKurallar[deger_2025],MATCH("TBA-004",tblKurallar[kural_id],0))+$F473*tba_isverenOran,2),0))</f>
        <v/>
      </c>
      <c r="I473" s="31">
        <f>IF($A473="","",IFERROR(MAX(0,$H473-$G473),0))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0" t="n"/>
      <c r="H474" s="31">
        <f>IF($A474="","",IFERROR(ROUND($C474*INDEX(tblKurallar[deger_2025],MATCH("TBA-001",tblKurallar[kural_id],0))+$D474*INDEX(tblKurallar[deger_2025],MATCH("TBA-002",tblKurallar[kural_id],0))+$E474*INDEX(tblKurallar[deger_2025],MATCH("TBA-004",tblKurallar[kural_id],0))+$F474*tba_isverenOran,2),0))</f>
        <v/>
      </c>
      <c r="I474" s="31">
        <f>IF($A474="","",IFERROR(MAX(0,$H474-$G474),0))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0" t="n"/>
      <c r="H475" s="31">
        <f>IF($A475="","",IFERROR(ROUND($C475*INDEX(tblKurallar[deger_2025],MATCH("TBA-001",tblKurallar[kural_id],0))+$D475*INDEX(tblKurallar[deger_2025],MATCH("TBA-002",tblKurallar[kural_id],0))+$E475*INDEX(tblKurallar[deger_2025],MATCH("TBA-004",tblKurallar[kural_id],0))+$F475*tba_isverenOran,2),0))</f>
        <v/>
      </c>
      <c r="I475" s="31">
        <f>IF($A475="","",IFERROR(MAX(0,$H475-$G475),0))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0" t="n"/>
      <c r="H476" s="31">
        <f>IF($A476="","",IFERROR(ROUND($C476*INDEX(tblKurallar[deger_2025],MATCH("TBA-001",tblKurallar[kural_id],0))+$D476*INDEX(tblKurallar[deger_2025],MATCH("TBA-002",tblKurallar[kural_id],0))+$E476*INDEX(tblKurallar[deger_2025],MATCH("TBA-004",tblKurallar[kural_id],0))+$F476*tba_isverenOran,2),0))</f>
        <v/>
      </c>
      <c r="I476" s="31">
        <f>IF($A476="","",IFERROR(MAX(0,$H476-$G476),0))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0" t="n"/>
      <c r="H477" s="31">
        <f>IF($A477="","",IFERROR(ROUND($C477*INDEX(tblKurallar[deger_2025],MATCH("TBA-001",tblKurallar[kural_id],0))+$D477*INDEX(tblKurallar[deger_2025],MATCH("TBA-002",tblKurallar[kural_id],0))+$E477*INDEX(tblKurallar[deger_2025],MATCH("TBA-004",tblKurallar[kural_id],0))+$F477*tba_isverenOran,2),0))</f>
        <v/>
      </c>
      <c r="I477" s="31">
        <f>IF($A477="","",IFERROR(MAX(0,$H477-$G477),0))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0" t="n"/>
      <c r="H478" s="31">
        <f>IF($A478="","",IFERROR(ROUND($C478*INDEX(tblKurallar[deger_2025],MATCH("TBA-001",tblKurallar[kural_id],0))+$D478*INDEX(tblKurallar[deger_2025],MATCH("TBA-002",tblKurallar[kural_id],0))+$E478*INDEX(tblKurallar[deger_2025],MATCH("TBA-004",tblKurallar[kural_id],0))+$F478*tba_isverenOran,2),0))</f>
        <v/>
      </c>
      <c r="I478" s="31">
        <f>IF($A478="","",IFERROR(MAX(0,$H478-$G478),0))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0" t="n"/>
      <c r="H479" s="31">
        <f>IF($A479="","",IFERROR(ROUND($C479*INDEX(tblKurallar[deger_2025],MATCH("TBA-001",tblKurallar[kural_id],0))+$D479*INDEX(tblKurallar[deger_2025],MATCH("TBA-002",tblKurallar[kural_id],0))+$E479*INDEX(tblKurallar[deger_2025],MATCH("TBA-004",tblKurallar[kural_id],0))+$F479*tba_isverenOran,2),0))</f>
        <v/>
      </c>
      <c r="I479" s="31">
        <f>IF($A479="","",IFERROR(MAX(0,$H479-$G479),0))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0" t="n"/>
      <c r="H480" s="31">
        <f>IF($A480="","",IFERROR(ROUND($C480*INDEX(tblKurallar[deger_2025],MATCH("TBA-001",tblKurallar[kural_id],0))+$D480*INDEX(tblKurallar[deger_2025],MATCH("TBA-002",tblKurallar[kural_id],0))+$E480*INDEX(tblKurallar[deger_2025],MATCH("TBA-004",tblKurallar[kural_id],0))+$F480*tba_isverenOran,2),0))</f>
        <v/>
      </c>
      <c r="I480" s="31">
        <f>IF($A480="","",IFERROR(MAX(0,$H480-$G480),0))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0" t="n"/>
      <c r="H481" s="31">
        <f>IF($A481="","",IFERROR(ROUND($C481*INDEX(tblKurallar[deger_2025],MATCH("TBA-001",tblKurallar[kural_id],0))+$D481*INDEX(tblKurallar[deger_2025],MATCH("TBA-002",tblKurallar[kural_id],0))+$E481*INDEX(tblKurallar[deger_2025],MATCH("TBA-004",tblKurallar[kural_id],0))+$F481*tba_isverenOran,2),0))</f>
        <v/>
      </c>
      <c r="I481" s="31">
        <f>IF($A481="","",IFERROR(MAX(0,$H481-$G481),0))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0" t="n"/>
      <c r="H482" s="31">
        <f>IF($A482="","",IFERROR(ROUND($C482*INDEX(tblKurallar[deger_2025],MATCH("TBA-001",tblKurallar[kural_id],0))+$D482*INDEX(tblKurallar[deger_2025],MATCH("TBA-002",tblKurallar[kural_id],0))+$E482*INDEX(tblKurallar[deger_2025],MATCH("TBA-004",tblKurallar[kural_id],0))+$F482*tba_isverenOran,2),0))</f>
        <v/>
      </c>
      <c r="I482" s="31">
        <f>IF($A482="","",IFERROR(MAX(0,$H482-$G482),0))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0" t="n"/>
      <c r="H483" s="31">
        <f>IF($A483="","",IFERROR(ROUND($C483*INDEX(tblKurallar[deger_2025],MATCH("TBA-001",tblKurallar[kural_id],0))+$D483*INDEX(tblKurallar[deger_2025],MATCH("TBA-002",tblKurallar[kural_id],0))+$E483*INDEX(tblKurallar[deger_2025],MATCH("TBA-004",tblKurallar[kural_id],0))+$F483*tba_isverenOran,2),0))</f>
        <v/>
      </c>
      <c r="I483" s="31">
        <f>IF($A483="","",IFERROR(MAX(0,$H483-$G483),0))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0" t="n"/>
      <c r="H484" s="31">
        <f>IF($A484="","",IFERROR(ROUND($C484*INDEX(tblKurallar[deger_2025],MATCH("TBA-001",tblKurallar[kural_id],0))+$D484*INDEX(tblKurallar[deger_2025],MATCH("TBA-002",tblKurallar[kural_id],0))+$E484*INDEX(tblKurallar[deger_2025],MATCH("TBA-004",tblKurallar[kural_id],0))+$F484*tba_isverenOran,2),0))</f>
        <v/>
      </c>
      <c r="I484" s="31">
        <f>IF($A484="","",IFERROR(MAX(0,$H484-$G484),0))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0" t="n"/>
      <c r="H485" s="31">
        <f>IF($A485="","",IFERROR(ROUND($C485*INDEX(tblKurallar[deger_2025],MATCH("TBA-001",tblKurallar[kural_id],0))+$D485*INDEX(tblKurallar[deger_2025],MATCH("TBA-002",tblKurallar[kural_id],0))+$E485*INDEX(tblKurallar[deger_2025],MATCH("TBA-004",tblKurallar[kural_id],0))+$F485*tba_isverenOran,2),0))</f>
        <v/>
      </c>
      <c r="I485" s="31">
        <f>IF($A485="","",IFERROR(MAX(0,$H485-$G485),0))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0" t="n"/>
      <c r="H486" s="31">
        <f>IF($A486="","",IFERROR(ROUND($C486*INDEX(tblKurallar[deger_2025],MATCH("TBA-001",tblKurallar[kural_id],0))+$D486*INDEX(tblKurallar[deger_2025],MATCH("TBA-002",tblKurallar[kural_id],0))+$E486*INDEX(tblKurallar[deger_2025],MATCH("TBA-004",tblKurallar[kural_id],0))+$F486*tba_isverenOran,2),0))</f>
        <v/>
      </c>
      <c r="I486" s="31">
        <f>IF($A486="","",IFERROR(MAX(0,$H486-$G486),0))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0" t="n"/>
      <c r="H487" s="31">
        <f>IF($A487="","",IFERROR(ROUND($C487*INDEX(tblKurallar[deger_2025],MATCH("TBA-001",tblKurallar[kural_id],0))+$D487*INDEX(tblKurallar[deger_2025],MATCH("TBA-002",tblKurallar[kural_id],0))+$E487*INDEX(tblKurallar[deger_2025],MATCH("TBA-004",tblKurallar[kural_id],0))+$F487*tba_isverenOran,2),0))</f>
        <v/>
      </c>
      <c r="I487" s="31">
        <f>IF($A487="","",IFERROR(MAX(0,$H487-$G487),0))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0" t="n"/>
      <c r="H488" s="31">
        <f>IF($A488="","",IFERROR(ROUND($C488*INDEX(tblKurallar[deger_2025],MATCH("TBA-001",tblKurallar[kural_id],0))+$D488*INDEX(tblKurallar[deger_2025],MATCH("TBA-002",tblKurallar[kural_id],0))+$E488*INDEX(tblKurallar[deger_2025],MATCH("TBA-004",tblKurallar[kural_id],0))+$F488*tba_isverenOran,2),0))</f>
        <v/>
      </c>
      <c r="I488" s="31">
        <f>IF($A488="","",IFERROR(MAX(0,$H488-$G488),0))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0" t="n"/>
      <c r="H489" s="31">
        <f>IF($A489="","",IFERROR(ROUND($C489*INDEX(tblKurallar[deger_2025],MATCH("TBA-001",tblKurallar[kural_id],0))+$D489*INDEX(tblKurallar[deger_2025],MATCH("TBA-002",tblKurallar[kural_id],0))+$E489*INDEX(tblKurallar[deger_2025],MATCH("TBA-004",tblKurallar[kural_id],0))+$F489*tba_isverenOran,2),0))</f>
        <v/>
      </c>
      <c r="I489" s="31">
        <f>IF($A489="","",IFERROR(MAX(0,$H489-$G489),0))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0" t="n"/>
      <c r="H490" s="31">
        <f>IF($A490="","",IFERROR(ROUND($C490*INDEX(tblKurallar[deger_2025],MATCH("TBA-001",tblKurallar[kural_id],0))+$D490*INDEX(tblKurallar[deger_2025],MATCH("TBA-002",tblKurallar[kural_id],0))+$E490*INDEX(tblKurallar[deger_2025],MATCH("TBA-004",tblKurallar[kural_id],0))+$F490*tba_isverenOran,2),0))</f>
        <v/>
      </c>
      <c r="I490" s="31">
        <f>IF($A490="","",IFERROR(MAX(0,$H490-$G490),0))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0" t="n"/>
      <c r="H491" s="31">
        <f>IF($A491="","",IFERROR(ROUND($C491*INDEX(tblKurallar[deger_2025],MATCH("TBA-001",tblKurallar[kural_id],0))+$D491*INDEX(tblKurallar[deger_2025],MATCH("TBA-002",tblKurallar[kural_id],0))+$E491*INDEX(tblKurallar[deger_2025],MATCH("TBA-004",tblKurallar[kural_id],0))+$F491*tba_isverenOran,2),0))</f>
        <v/>
      </c>
      <c r="I491" s="31">
        <f>IF($A491="","",IFERROR(MAX(0,$H491-$G491),0))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0" t="n"/>
      <c r="H492" s="31">
        <f>IF($A492="","",IFERROR(ROUND($C492*INDEX(tblKurallar[deger_2025],MATCH("TBA-001",tblKurallar[kural_id],0))+$D492*INDEX(tblKurallar[deger_2025],MATCH("TBA-002",tblKurallar[kural_id],0))+$E492*INDEX(tblKurallar[deger_2025],MATCH("TBA-004",tblKurallar[kural_id],0))+$F492*tba_isverenOran,2),0))</f>
        <v/>
      </c>
      <c r="I492" s="31">
        <f>IF($A492="","",IFERROR(MAX(0,$H492-$G492),0))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0" t="n"/>
      <c r="H493" s="31">
        <f>IF($A493="","",IFERROR(ROUND($C493*INDEX(tblKurallar[deger_2025],MATCH("TBA-001",tblKurallar[kural_id],0))+$D493*INDEX(tblKurallar[deger_2025],MATCH("TBA-002",tblKurallar[kural_id],0))+$E493*INDEX(tblKurallar[deger_2025],MATCH("TBA-004",tblKurallar[kural_id],0))+$F493*tba_isverenOran,2),0))</f>
        <v/>
      </c>
      <c r="I493" s="31">
        <f>IF($A493="","",IFERROR(MAX(0,$H493-$G493),0))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0" t="n"/>
      <c r="H494" s="31">
        <f>IF($A494="","",IFERROR(ROUND($C494*INDEX(tblKurallar[deger_2025],MATCH("TBA-001",tblKurallar[kural_id],0))+$D494*INDEX(tblKurallar[deger_2025],MATCH("TBA-002",tblKurallar[kural_id],0))+$E494*INDEX(tblKurallar[deger_2025],MATCH("TBA-004",tblKurallar[kural_id],0))+$F494*tba_isverenOran,2),0))</f>
        <v/>
      </c>
      <c r="I494" s="31">
        <f>IF($A494="","",IFERROR(MAX(0,$H494-$G494),0))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0" t="n"/>
      <c r="H495" s="31">
        <f>IF($A495="","",IFERROR(ROUND($C495*INDEX(tblKurallar[deger_2025],MATCH("TBA-001",tblKurallar[kural_id],0))+$D495*INDEX(tblKurallar[deger_2025],MATCH("TBA-002",tblKurallar[kural_id],0))+$E495*INDEX(tblKurallar[deger_2025],MATCH("TBA-004",tblKurallar[kural_id],0))+$F495*tba_isverenOran,2),0))</f>
        <v/>
      </c>
      <c r="I495" s="31">
        <f>IF($A495="","",IFERROR(MAX(0,$H495-$G495),0))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0" t="n"/>
      <c r="H496" s="31">
        <f>IF($A496="","",IFERROR(ROUND($C496*INDEX(tblKurallar[deger_2025],MATCH("TBA-001",tblKurallar[kural_id],0))+$D496*INDEX(tblKurallar[deger_2025],MATCH("TBA-002",tblKurallar[kural_id],0))+$E496*INDEX(tblKurallar[deger_2025],MATCH("TBA-004",tblKurallar[kural_id],0))+$F496*tba_isverenOran,2),0))</f>
        <v/>
      </c>
      <c r="I496" s="31">
        <f>IF($A496="","",IFERROR(MAX(0,$H496-$G496),0))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0" t="n"/>
      <c r="H497" s="31">
        <f>IF($A497="","",IFERROR(ROUND($C497*INDEX(tblKurallar[deger_2025],MATCH("TBA-001",tblKurallar[kural_id],0))+$D497*INDEX(tblKurallar[deger_2025],MATCH("TBA-002",tblKurallar[kural_id],0))+$E497*INDEX(tblKurallar[deger_2025],MATCH("TBA-004",tblKurallar[kural_id],0))+$F497*tba_isverenOran,2),0))</f>
        <v/>
      </c>
      <c r="I497" s="31">
        <f>IF($A497="","",IFERROR(MAX(0,$H497-$G497),0))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0" t="n"/>
      <c r="H498" s="31">
        <f>IF($A498="","",IFERROR(ROUND($C498*INDEX(tblKurallar[deger_2025],MATCH("TBA-001",tblKurallar[kural_id],0))+$D498*INDEX(tblKurallar[deger_2025],MATCH("TBA-002",tblKurallar[kural_id],0))+$E498*INDEX(tblKurallar[deger_2025],MATCH("TBA-004",tblKurallar[kural_id],0))+$F498*tba_isverenOran,2),0))</f>
        <v/>
      </c>
      <c r="I498" s="31">
        <f>IF($A498="","",IFERROR(MAX(0,$H498-$G498),0))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0" t="n"/>
      <c r="H499" s="31">
        <f>IF($A499="","",IFERROR(ROUND($C499*INDEX(tblKurallar[deger_2025],MATCH("TBA-001",tblKurallar[kural_id],0))+$D499*INDEX(tblKurallar[deger_2025],MATCH("TBA-002",tblKurallar[kural_id],0))+$E499*INDEX(tblKurallar[deger_2025],MATCH("TBA-004",tblKurallar[kural_id],0))+$F499*tba_isverenOran,2),0))</f>
        <v/>
      </c>
      <c r="I499" s="31">
        <f>IF($A499="","",IFERROR(MAX(0,$H499-$G499),0))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0" t="n"/>
      <c r="H500" s="31">
        <f>IF($A500="","",IFERROR(ROUND($C500*INDEX(tblKurallar[deger_2025],MATCH("TBA-001",tblKurallar[kural_id],0))+$D500*INDEX(tblKurallar[deger_2025],MATCH("TBA-002",tblKurallar[kural_id],0))+$E500*INDEX(tblKurallar[deger_2025],MATCH("TBA-004",tblKurallar[kural_id],0))+$F500*tba_isverenOran,2),0))</f>
        <v/>
      </c>
      <c r="I500" s="31">
        <f>IF($A500="","",IFERROR(MAX(0,$H500-$G500),0))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0" t="n"/>
      <c r="H501" s="31">
        <f>IF($A501="","",IFERROR(ROUND($C501*INDEX(tblKurallar[deger_2025],MATCH("TBA-001",tblKurallar[kural_id],0))+$D501*INDEX(tblKurallar[deger_2025],MATCH("TBA-002",tblKurallar[kural_id],0))+$E501*INDEX(tblKurallar[deger_2025],MATCH("TBA-004",tblKurallar[kural_id],0))+$F501*tba_isverenOran,2),0))</f>
        <v/>
      </c>
      <c r="I501" s="31">
        <f>IF($A501="","",IFERROR(MAX(0,$H501-$G501),0))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0" t="n"/>
      <c r="H502" s="31">
        <f>IF($A502="","",IFERROR(ROUND($C502*INDEX(tblKurallar[deger_2025],MATCH("TBA-001",tblKurallar[kural_id],0))+$D502*INDEX(tblKurallar[deger_2025],MATCH("TBA-002",tblKurallar[kural_id],0))+$E502*INDEX(tblKurallar[deger_2025],MATCH("TBA-004",tblKurallar[kural_id],0))+$F502*tba_isverenOran,2),0))</f>
        <v/>
      </c>
      <c r="I502" s="31">
        <f>IF($A502="","",IFERROR(MAX(0,$H502-$G502),0))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0" t="n"/>
      <c r="H503" s="31">
        <f>IF($A503="","",IFERROR(ROUND($C503*INDEX(tblKurallar[deger_2025],MATCH("TBA-001",tblKurallar[kural_id],0))+$D503*INDEX(tblKurallar[deger_2025],MATCH("TBA-002",tblKurallar[kural_id],0))+$E503*INDEX(tblKurallar[deger_2025],MATCH("TBA-004",tblKurallar[kural_id],0))+$F503*tba_isverenOran,2),0))</f>
        <v/>
      </c>
      <c r="I503" s="31">
        <f>IF($A503="","",IFERROR(MAX(0,$H503-$G503),0))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0" t="n"/>
      <c r="H504" s="31">
        <f>IF($A504="","",IFERROR(ROUND($C504*INDEX(tblKurallar[deger_2025],MATCH("TBA-001",tblKurallar[kural_id],0))+$D504*INDEX(tblKurallar[deger_2025],MATCH("TBA-002",tblKurallar[kural_id],0))+$E504*INDEX(tblKurallar[deger_2025],MATCH("TBA-004",tblKurallar[kural_id],0))+$F504*tba_isverenOran,2),0))</f>
        <v/>
      </c>
      <c r="I504" s="31">
        <f>IF($A504="","",IFERROR(MAX(0,$H504-$G504),0))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0" t="n"/>
      <c r="H505" s="31">
        <f>IF($A505="","",IFERROR(ROUND($C505*INDEX(tblKurallar[deger_2025],MATCH("TBA-001",tblKurallar[kural_id],0))+$D505*INDEX(tblKurallar[deger_2025],MATCH("TBA-002",tblKurallar[kural_id],0))+$E505*INDEX(tblKurallar[deger_2025],MATCH("TBA-004",tblKurallar[kural_id],0))+$F505*tba_isverenOran,2),0))</f>
        <v/>
      </c>
      <c r="I505" s="31">
        <f>IF($A505="","",IFERROR(MAX(0,$H505-$G505),0))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0" t="n"/>
      <c r="H506" s="31">
        <f>IF($A506="","",IFERROR(ROUND($C506*INDEX(tblKurallar[deger_2025],MATCH("TBA-001",tblKurallar[kural_id],0))+$D506*INDEX(tblKurallar[deger_2025],MATCH("TBA-002",tblKurallar[kural_id],0))+$E506*INDEX(tblKurallar[deger_2025],MATCH("TBA-004",tblKurallar[kural_id],0))+$F506*tba_isverenOran,2),0))</f>
        <v/>
      </c>
      <c r="I506" s="31">
        <f>IF($A506="","",IFERROR(MAX(0,$H506-$G506),0))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0" t="n"/>
      <c r="H507" s="31">
        <f>IF($A507="","",IFERROR(ROUND($C507*INDEX(tblKurallar[deger_2025],MATCH("TBA-001",tblKurallar[kural_id],0))+$D507*INDEX(tblKurallar[deger_2025],MATCH("TBA-002",tblKurallar[kural_id],0))+$E507*INDEX(tblKurallar[deger_2025],MATCH("TBA-004",tblKurallar[kural_id],0))+$F507*tba_isverenOran,2),0))</f>
        <v/>
      </c>
      <c r="I507" s="31">
        <f>IF($A507="","",IFERROR(MAX(0,$H507-$G507),0))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0" t="n"/>
      <c r="H508" s="31">
        <f>IF($A508="","",IFERROR(ROUND($C508*INDEX(tblKurallar[deger_2025],MATCH("TBA-001",tblKurallar[kural_id],0))+$D508*INDEX(tblKurallar[deger_2025],MATCH("TBA-002",tblKurallar[kural_id],0))+$E508*INDEX(tblKurallar[deger_2025],MATCH("TBA-004",tblKurallar[kural_id],0))+$F508*tba_isverenOran,2),0))</f>
        <v/>
      </c>
      <c r="I508" s="31">
        <f>IF($A508="","",IFERROR(MAX(0,$H508-$G508),0))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0" t="n"/>
      <c r="H509" s="31">
        <f>IF($A509="","",IFERROR(ROUND($C509*INDEX(tblKurallar[deger_2025],MATCH("TBA-001",tblKurallar[kural_id],0))+$D509*INDEX(tblKurallar[deger_2025],MATCH("TBA-002",tblKurallar[kural_id],0))+$E509*INDEX(tblKurallar[deger_2025],MATCH("TBA-004",tblKurallar[kural_id],0))+$F509*tba_isverenOran,2),0))</f>
        <v/>
      </c>
      <c r="I509" s="31">
        <f>IF($A509="","",IFERROR(MAX(0,$H509-$G509),0))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0" t="n"/>
      <c r="H510" s="31">
        <f>IF($A510="","",IFERROR(ROUND($C510*INDEX(tblKurallar[deger_2025],MATCH("TBA-001",tblKurallar[kural_id],0))+$D510*INDEX(tblKurallar[deger_2025],MATCH("TBA-002",tblKurallar[kural_id],0))+$E510*INDEX(tblKurallar[deger_2025],MATCH("TBA-004",tblKurallar[kural_id],0))+$F510*tba_isverenOran,2),0))</f>
        <v/>
      </c>
      <c r="I510" s="31">
        <f>IF($A510="","",IFERROR(MAX(0,$H510-$G510),0))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0" t="n"/>
      <c r="H511" s="31">
        <f>IF($A511="","",IFERROR(ROUND($C511*INDEX(tblKurallar[deger_2025],MATCH("TBA-001",tblKurallar[kural_id],0))+$D511*INDEX(tblKurallar[deger_2025],MATCH("TBA-002",tblKurallar[kural_id],0))+$E511*INDEX(tblKurallar[deger_2025],MATCH("TBA-004",tblKurallar[kural_id],0))+$F511*tba_isverenOran,2),0))</f>
        <v/>
      </c>
      <c r="I511" s="31">
        <f>IF($A511="","",IFERROR(MAX(0,$H511-$G511),0))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0" t="n"/>
      <c r="H512" s="31">
        <f>IF($A512="","",IFERROR(ROUND($C512*INDEX(tblKurallar[deger_2025],MATCH("TBA-001",tblKurallar[kural_id],0))+$D512*INDEX(tblKurallar[deger_2025],MATCH("TBA-002",tblKurallar[kural_id],0))+$E512*INDEX(tblKurallar[deger_2025],MATCH("TBA-004",tblKurallar[kural_id],0))+$F512*tba_isverenOran,2),0))</f>
        <v/>
      </c>
      <c r="I512" s="31">
        <f>IF($A512="","",IFERROR(MAX(0,$H512-$G512),0))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0" t="n"/>
      <c r="H513" s="31">
        <f>IF($A513="","",IFERROR(ROUND($C513*INDEX(tblKurallar[deger_2025],MATCH("TBA-001",tblKurallar[kural_id],0))+$D513*INDEX(tblKurallar[deger_2025],MATCH("TBA-002",tblKurallar[kural_id],0))+$E513*INDEX(tblKurallar[deger_2025],MATCH("TBA-004",tblKurallar[kural_id],0))+$F513*tba_isverenOran,2),0))</f>
        <v/>
      </c>
      <c r="I513" s="31">
        <f>IF($A513="","",IFERROR(MAX(0,$H513-$G513),0))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0" t="n"/>
      <c r="H514" s="31">
        <f>IF($A514="","",IFERROR(ROUND($C514*INDEX(tblKurallar[deger_2025],MATCH("TBA-001",tblKurallar[kural_id],0))+$D514*INDEX(tblKurallar[deger_2025],MATCH("TBA-002",tblKurallar[kural_id],0))+$E514*INDEX(tblKurallar[deger_2025],MATCH("TBA-004",tblKurallar[kural_id],0))+$F514*tba_isverenOran,2),0))</f>
        <v/>
      </c>
      <c r="I514" s="31">
        <f>IF($A514="","",IFERROR(MAX(0,$H514-$G514),0))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0" t="n"/>
      <c r="H515" s="31">
        <f>IF($A515="","",IFERROR(ROUND($C515*INDEX(tblKurallar[deger_2025],MATCH("TBA-001",tblKurallar[kural_id],0))+$D515*INDEX(tblKurallar[deger_2025],MATCH("TBA-002",tblKurallar[kural_id],0))+$E515*INDEX(tblKurallar[deger_2025],MATCH("TBA-004",tblKurallar[kural_id],0))+$F515*tba_isverenOran,2),0))</f>
        <v/>
      </c>
      <c r="I515" s="31">
        <f>IF($A515="","",IFERROR(MAX(0,$H515-$G515),0))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0" t="n"/>
      <c r="H516" s="31">
        <f>IF($A516="","",IFERROR(ROUND($C516*INDEX(tblKurallar[deger_2025],MATCH("TBA-001",tblKurallar[kural_id],0))+$D516*INDEX(tblKurallar[deger_2025],MATCH("TBA-002",tblKurallar[kural_id],0))+$E516*INDEX(tblKurallar[deger_2025],MATCH("TBA-004",tblKurallar[kural_id],0))+$F516*tba_isverenOran,2),0))</f>
        <v/>
      </c>
      <c r="I516" s="31">
        <f>IF($A516="","",IFERROR(MAX(0,$H516-$G516),0))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0" t="n"/>
      <c r="H517" s="31">
        <f>IF($A517="","",IFERROR(ROUND($C517*INDEX(tblKurallar[deger_2025],MATCH("TBA-001",tblKurallar[kural_id],0))+$D517*INDEX(tblKurallar[deger_2025],MATCH("TBA-002",tblKurallar[kural_id],0))+$E517*INDEX(tblKurallar[deger_2025],MATCH("TBA-004",tblKurallar[kural_id],0))+$F517*tba_isverenOran,2),0))</f>
        <v/>
      </c>
      <c r="I517" s="31">
        <f>IF($A517="","",IFERROR(MAX(0,$H517-$G517),0))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0" t="n"/>
      <c r="H518" s="31">
        <f>IF($A518="","",IFERROR(ROUND($C518*INDEX(tblKurallar[deger_2025],MATCH("TBA-001",tblKurallar[kural_id],0))+$D518*INDEX(tblKurallar[deger_2025],MATCH("TBA-002",tblKurallar[kural_id],0))+$E518*INDEX(tblKurallar[deger_2025],MATCH("TBA-004",tblKurallar[kural_id],0))+$F518*tba_isverenOran,2),0))</f>
        <v/>
      </c>
      <c r="I518" s="31">
        <f>IF($A518="","",IFERROR(MAX(0,$H518-$G518),0))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0" t="n"/>
      <c r="H519" s="31">
        <f>IF($A519="","",IFERROR(ROUND($C519*INDEX(tblKurallar[deger_2025],MATCH("TBA-001",tblKurallar[kural_id],0))+$D519*INDEX(tblKurallar[deger_2025],MATCH("TBA-002",tblKurallar[kural_id],0))+$E519*INDEX(tblKurallar[deger_2025],MATCH("TBA-004",tblKurallar[kural_id],0))+$F519*tba_isverenOran,2),0))</f>
        <v/>
      </c>
      <c r="I519" s="31">
        <f>IF($A519="","",IFERROR(MAX(0,$H519-$G519),0))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0" t="n"/>
      <c r="H520" s="31">
        <f>IF($A520="","",IFERROR(ROUND($C520*INDEX(tblKurallar[deger_2025],MATCH("TBA-001",tblKurallar[kural_id],0))+$D520*INDEX(tblKurallar[deger_2025],MATCH("TBA-002",tblKurallar[kural_id],0))+$E520*INDEX(tblKurallar[deger_2025],MATCH("TBA-004",tblKurallar[kural_id],0))+$F520*tba_isverenOran,2),0))</f>
        <v/>
      </c>
      <c r="I520" s="31">
        <f>IF($A520="","",IFERROR(MAX(0,$H520-$G520),0))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0" t="n"/>
      <c r="H521" s="31">
        <f>IF($A521="","",IFERROR(ROUND($C521*INDEX(tblKurallar[deger_2025],MATCH("TBA-001",tblKurallar[kural_id],0))+$D521*INDEX(tblKurallar[deger_2025],MATCH("TBA-002",tblKurallar[kural_id],0))+$E521*INDEX(tblKurallar[deger_2025],MATCH("TBA-004",tblKurallar[kural_id],0))+$F521*tba_isverenOran,2),0))</f>
        <v/>
      </c>
      <c r="I521" s="31">
        <f>IF($A521="","",IFERROR(MAX(0,$H521-$G521),0))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0" t="n"/>
      <c r="H522" s="31">
        <f>IF($A522="","",IFERROR(ROUND($C522*INDEX(tblKurallar[deger_2025],MATCH("TBA-001",tblKurallar[kural_id],0))+$D522*INDEX(tblKurallar[deger_2025],MATCH("TBA-002",tblKurallar[kural_id],0))+$E522*INDEX(tblKurallar[deger_2025],MATCH("TBA-004",tblKurallar[kural_id],0))+$F522*tba_isverenOran,2),0))</f>
        <v/>
      </c>
      <c r="I522" s="31">
        <f>IF($A522="","",IFERROR(MAX(0,$H522-$G522),0))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0" t="n"/>
      <c r="H523" s="31">
        <f>IF($A523="","",IFERROR(ROUND($C523*INDEX(tblKurallar[deger_2025],MATCH("TBA-001",tblKurallar[kural_id],0))+$D523*INDEX(tblKurallar[deger_2025],MATCH("TBA-002",tblKurallar[kural_id],0))+$E523*INDEX(tblKurallar[deger_2025],MATCH("TBA-004",tblKurallar[kural_id],0))+$F523*tba_isverenOran,2),0))</f>
        <v/>
      </c>
      <c r="I523" s="31">
        <f>IF($A523="","",IFERROR(MAX(0,$H523-$G523),0))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0" t="n"/>
      <c r="H524" s="31">
        <f>IF($A524="","",IFERROR(ROUND($C524*INDEX(tblKurallar[deger_2025],MATCH("TBA-001",tblKurallar[kural_id],0))+$D524*INDEX(tblKurallar[deger_2025],MATCH("TBA-002",tblKurallar[kural_id],0))+$E524*INDEX(tblKurallar[deger_2025],MATCH("TBA-004",tblKurallar[kural_id],0))+$F524*tba_isverenOran,2),0))</f>
        <v/>
      </c>
      <c r="I524" s="31">
        <f>IF($A524="","",IFERROR(MAX(0,$H524-$G524),0))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0" t="n"/>
      <c r="H525" s="31">
        <f>IF($A525="","",IFERROR(ROUND($C525*INDEX(tblKurallar[deger_2025],MATCH("TBA-001",tblKurallar[kural_id],0))+$D525*INDEX(tblKurallar[deger_2025],MATCH("TBA-002",tblKurallar[kural_id],0))+$E525*INDEX(tblKurallar[deger_2025],MATCH("TBA-004",tblKurallar[kural_id],0))+$F525*tba_isverenOran,2),0))</f>
        <v/>
      </c>
      <c r="I525" s="31">
        <f>IF($A525="","",IFERROR(MAX(0,$H525-$G525),0))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0" t="n"/>
      <c r="H526" s="31">
        <f>IF($A526="","",IFERROR(ROUND($C526*INDEX(tblKurallar[deger_2025],MATCH("TBA-001",tblKurallar[kural_id],0))+$D526*INDEX(tblKurallar[deger_2025],MATCH("TBA-002",tblKurallar[kural_id],0))+$E526*INDEX(tblKurallar[deger_2025],MATCH("TBA-004",tblKurallar[kural_id],0))+$F526*tba_isverenOran,2),0))</f>
        <v/>
      </c>
      <c r="I526" s="31">
        <f>IF($A526="","",IFERROR(MAX(0,$H526-$G526),0))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0" t="n"/>
      <c r="H527" s="31">
        <f>IF($A527="","",IFERROR(ROUND($C527*INDEX(tblKurallar[deger_2025],MATCH("TBA-001",tblKurallar[kural_id],0))+$D527*INDEX(tblKurallar[deger_2025],MATCH("TBA-002",tblKurallar[kural_id],0))+$E527*INDEX(tblKurallar[deger_2025],MATCH("TBA-004",tblKurallar[kural_id],0))+$F527*tba_isverenOran,2),0))</f>
        <v/>
      </c>
      <c r="I527" s="31">
        <f>IF($A527="","",IFERROR(MAX(0,$H527-$G527),0))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0" t="n"/>
      <c r="H528" s="31">
        <f>IF($A528="","",IFERROR(ROUND($C528*INDEX(tblKurallar[deger_2025],MATCH("TBA-001",tblKurallar[kural_id],0))+$D528*INDEX(tblKurallar[deger_2025],MATCH("TBA-002",tblKurallar[kural_id],0))+$E528*INDEX(tblKurallar[deger_2025],MATCH("TBA-004",tblKurallar[kural_id],0))+$F528*tba_isverenOran,2),0))</f>
        <v/>
      </c>
      <c r="I528" s="31">
        <f>IF($A528="","",IFERROR(MAX(0,$H528-$G528),0))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0" t="n"/>
      <c r="H529" s="31">
        <f>IF($A529="","",IFERROR(ROUND($C529*INDEX(tblKurallar[deger_2025],MATCH("TBA-001",tblKurallar[kural_id],0))+$D529*INDEX(tblKurallar[deger_2025],MATCH("TBA-002",tblKurallar[kural_id],0))+$E529*INDEX(tblKurallar[deger_2025],MATCH("TBA-004",tblKurallar[kural_id],0))+$F529*tba_isverenOran,2),0))</f>
        <v/>
      </c>
      <c r="I529" s="31">
        <f>IF($A529="","",IFERROR(MAX(0,$H529-$G529),0))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0" t="n"/>
      <c r="H530" s="31">
        <f>IF($A530="","",IFERROR(ROUND($C530*INDEX(tblKurallar[deger_2025],MATCH("TBA-001",tblKurallar[kural_id],0))+$D530*INDEX(tblKurallar[deger_2025],MATCH("TBA-002",tblKurallar[kural_id],0))+$E530*INDEX(tblKurallar[deger_2025],MATCH("TBA-004",tblKurallar[kural_id],0))+$F530*tba_isverenOran,2),0))</f>
        <v/>
      </c>
      <c r="I530" s="31">
        <f>IF($A530="","",IFERROR(MAX(0,$H530-$G530),0))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0" t="n"/>
      <c r="H531" s="31">
        <f>IF($A531="","",IFERROR(ROUND($C531*INDEX(tblKurallar[deger_2025],MATCH("TBA-001",tblKurallar[kural_id],0))+$D531*INDEX(tblKurallar[deger_2025],MATCH("TBA-002",tblKurallar[kural_id],0))+$E531*INDEX(tblKurallar[deger_2025],MATCH("TBA-004",tblKurallar[kural_id],0))+$F531*tba_isverenOran,2),0))</f>
        <v/>
      </c>
      <c r="I531" s="31">
        <f>IF($A531="","",IFERROR(MAX(0,$H531-$G531),0))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0" t="n"/>
      <c r="H532" s="31">
        <f>IF($A532="","",IFERROR(ROUND($C532*INDEX(tblKurallar[deger_2025],MATCH("TBA-001",tblKurallar[kural_id],0))+$D532*INDEX(tblKurallar[deger_2025],MATCH("TBA-002",tblKurallar[kural_id],0))+$E532*INDEX(tblKurallar[deger_2025],MATCH("TBA-004",tblKurallar[kural_id],0))+$F532*tba_isverenOran,2),0))</f>
        <v/>
      </c>
      <c r="I532" s="31">
        <f>IF($A532="","",IFERROR(MAX(0,$H532-$G532),0))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0" t="n"/>
      <c r="H533" s="31">
        <f>IF($A533="","",IFERROR(ROUND($C533*INDEX(tblKurallar[deger_2025],MATCH("TBA-001",tblKurallar[kural_id],0))+$D533*INDEX(tblKurallar[deger_2025],MATCH("TBA-002",tblKurallar[kural_id],0))+$E533*INDEX(tblKurallar[deger_2025],MATCH("TBA-004",tblKurallar[kural_id],0))+$F533*tba_isverenOran,2),0))</f>
        <v/>
      </c>
      <c r="I533" s="31">
        <f>IF($A533="","",IFERROR(MAX(0,$H533-$G533),0))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0" t="n"/>
      <c r="H534" s="31">
        <f>IF($A534="","",IFERROR(ROUND($C534*INDEX(tblKurallar[deger_2025],MATCH("TBA-001",tblKurallar[kural_id],0))+$D534*INDEX(tblKurallar[deger_2025],MATCH("TBA-002",tblKurallar[kural_id],0))+$E534*INDEX(tblKurallar[deger_2025],MATCH("TBA-004",tblKurallar[kural_id],0))+$F534*tba_isverenOran,2),0))</f>
        <v/>
      </c>
      <c r="I534" s="31">
        <f>IF($A534="","",IFERROR(MAX(0,$H534-$G534),0))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0" t="n"/>
      <c r="H535" s="31">
        <f>IF($A535="","",IFERROR(ROUND($C535*INDEX(tblKurallar[deger_2025],MATCH("TBA-001",tblKurallar[kural_id],0))+$D535*INDEX(tblKurallar[deger_2025],MATCH("TBA-002",tblKurallar[kural_id],0))+$E535*INDEX(tblKurallar[deger_2025],MATCH("TBA-004",tblKurallar[kural_id],0))+$F535*tba_isverenOran,2),0))</f>
        <v/>
      </c>
      <c r="I535" s="31">
        <f>IF($A535="","",IFERROR(MAX(0,$H535-$G535),0))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0" t="n"/>
      <c r="H536" s="31">
        <f>IF($A536="","",IFERROR(ROUND($C536*INDEX(tblKurallar[deger_2025],MATCH("TBA-001",tblKurallar[kural_id],0))+$D536*INDEX(tblKurallar[deger_2025],MATCH("TBA-002",tblKurallar[kural_id],0))+$E536*INDEX(tblKurallar[deger_2025],MATCH("TBA-004",tblKurallar[kural_id],0))+$F536*tba_isverenOran,2),0))</f>
        <v/>
      </c>
      <c r="I536" s="31">
        <f>IF($A536="","",IFERROR(MAX(0,$H536-$G536),0))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0" t="n"/>
      <c r="H537" s="31">
        <f>IF($A537="","",IFERROR(ROUND($C537*INDEX(tblKurallar[deger_2025],MATCH("TBA-001",tblKurallar[kural_id],0))+$D537*INDEX(tblKurallar[deger_2025],MATCH("TBA-002",tblKurallar[kural_id],0))+$E537*INDEX(tblKurallar[deger_2025],MATCH("TBA-004",tblKurallar[kural_id],0))+$F537*tba_isverenOran,2),0))</f>
        <v/>
      </c>
      <c r="I537" s="31">
        <f>IF($A537="","",IFERROR(MAX(0,$H537-$G537),0))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0" t="n"/>
      <c r="H538" s="31">
        <f>IF($A538="","",IFERROR(ROUND($C538*INDEX(tblKurallar[deger_2025],MATCH("TBA-001",tblKurallar[kural_id],0))+$D538*INDEX(tblKurallar[deger_2025],MATCH("TBA-002",tblKurallar[kural_id],0))+$E538*INDEX(tblKurallar[deger_2025],MATCH("TBA-004",tblKurallar[kural_id],0))+$F538*tba_isverenOran,2),0))</f>
        <v/>
      </c>
      <c r="I538" s="31">
        <f>IF($A538="","",IFERROR(MAX(0,$H538-$G538),0))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0" t="n"/>
      <c r="H539" s="31">
        <f>IF($A539="","",IFERROR(ROUND($C539*INDEX(tblKurallar[deger_2025],MATCH("TBA-001",tblKurallar[kural_id],0))+$D539*INDEX(tblKurallar[deger_2025],MATCH("TBA-002",tblKurallar[kural_id],0))+$E539*INDEX(tblKurallar[deger_2025],MATCH("TBA-004",tblKurallar[kural_id],0))+$F539*tba_isverenOran,2),0))</f>
        <v/>
      </c>
      <c r="I539" s="31">
        <f>IF($A539="","",IFERROR(MAX(0,$H539-$G539),0))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0" t="n"/>
      <c r="H540" s="31">
        <f>IF($A540="","",IFERROR(ROUND($C540*INDEX(tblKurallar[deger_2025],MATCH("TBA-001",tblKurallar[kural_id],0))+$D540*INDEX(tblKurallar[deger_2025],MATCH("TBA-002",tblKurallar[kural_id],0))+$E540*INDEX(tblKurallar[deger_2025],MATCH("TBA-004",tblKurallar[kural_id],0))+$F540*tba_isverenOran,2),0))</f>
        <v/>
      </c>
      <c r="I540" s="31">
        <f>IF($A540="","",IFERROR(MAX(0,$H540-$G540),0))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0" t="n"/>
      <c r="H541" s="31">
        <f>IF($A541="","",IFERROR(ROUND($C541*INDEX(tblKurallar[deger_2025],MATCH("TBA-001",tblKurallar[kural_id],0))+$D541*INDEX(tblKurallar[deger_2025],MATCH("TBA-002",tblKurallar[kural_id],0))+$E541*INDEX(tblKurallar[deger_2025],MATCH("TBA-004",tblKurallar[kural_id],0))+$F541*tba_isverenOran,2),0))</f>
        <v/>
      </c>
      <c r="I541" s="31">
        <f>IF($A541="","",IFERROR(MAX(0,$H541-$G541),0))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0" t="n"/>
      <c r="H542" s="31">
        <f>IF($A542="","",IFERROR(ROUND($C542*INDEX(tblKurallar[deger_2025],MATCH("TBA-001",tblKurallar[kural_id],0))+$D542*INDEX(tblKurallar[deger_2025],MATCH("TBA-002",tblKurallar[kural_id],0))+$E542*INDEX(tblKurallar[deger_2025],MATCH("TBA-004",tblKurallar[kural_id],0))+$F542*tba_isverenOran,2),0))</f>
        <v/>
      </c>
      <c r="I542" s="31">
        <f>IF($A542="","",IFERROR(MAX(0,$H542-$G542),0))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0" t="n"/>
      <c r="H543" s="31">
        <f>IF($A543="","",IFERROR(ROUND($C543*INDEX(tblKurallar[deger_2025],MATCH("TBA-001",tblKurallar[kural_id],0))+$D543*INDEX(tblKurallar[deger_2025],MATCH("TBA-002",tblKurallar[kural_id],0))+$E543*INDEX(tblKurallar[deger_2025],MATCH("TBA-004",tblKurallar[kural_id],0))+$F543*tba_isverenOran,2),0))</f>
        <v/>
      </c>
      <c r="I543" s="31">
        <f>IF($A543="","",IFERROR(MAX(0,$H543-$G543),0))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0" t="n"/>
      <c r="H544" s="31">
        <f>IF($A544="","",IFERROR(ROUND($C544*INDEX(tblKurallar[deger_2025],MATCH("TBA-001",tblKurallar[kural_id],0))+$D544*INDEX(tblKurallar[deger_2025],MATCH("TBA-002",tblKurallar[kural_id],0))+$E544*INDEX(tblKurallar[deger_2025],MATCH("TBA-004",tblKurallar[kural_id],0))+$F544*tba_isverenOran,2),0))</f>
        <v/>
      </c>
      <c r="I544" s="31">
        <f>IF($A544="","",IFERROR(MAX(0,$H544-$G544),0))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0" t="n"/>
      <c r="H545" s="31">
        <f>IF($A545="","",IFERROR(ROUND($C545*INDEX(tblKurallar[deger_2025],MATCH("TBA-001",tblKurallar[kural_id],0))+$D545*INDEX(tblKurallar[deger_2025],MATCH("TBA-002",tblKurallar[kural_id],0))+$E545*INDEX(tblKurallar[deger_2025],MATCH("TBA-004",tblKurallar[kural_id],0))+$F545*tba_isverenOran,2),0))</f>
        <v/>
      </c>
      <c r="I545" s="31">
        <f>IF($A545="","",IFERROR(MAX(0,$H545-$G545),0))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0" t="n"/>
      <c r="H546" s="31">
        <f>IF($A546="","",IFERROR(ROUND($C546*INDEX(tblKurallar[deger_2025],MATCH("TBA-001",tblKurallar[kural_id],0))+$D546*INDEX(tblKurallar[deger_2025],MATCH("TBA-002",tblKurallar[kural_id],0))+$E546*INDEX(tblKurallar[deger_2025],MATCH("TBA-004",tblKurallar[kural_id],0))+$F546*tba_isverenOran,2),0))</f>
        <v/>
      </c>
      <c r="I546" s="31">
        <f>IF($A546="","",IFERROR(MAX(0,$H546-$G546),0))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0" t="n"/>
      <c r="H547" s="31">
        <f>IF($A547="","",IFERROR(ROUND($C547*INDEX(tblKurallar[deger_2025],MATCH("TBA-001",tblKurallar[kural_id],0))+$D547*INDEX(tblKurallar[deger_2025],MATCH("TBA-002",tblKurallar[kural_id],0))+$E547*INDEX(tblKurallar[deger_2025],MATCH("TBA-004",tblKurallar[kural_id],0))+$F547*tba_isverenOran,2),0))</f>
        <v/>
      </c>
      <c r="I547" s="31">
        <f>IF($A547="","",IFERROR(MAX(0,$H547-$G547),0))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0" t="n"/>
      <c r="H548" s="31">
        <f>IF($A548="","",IFERROR(ROUND($C548*INDEX(tblKurallar[deger_2025],MATCH("TBA-001",tblKurallar[kural_id],0))+$D548*INDEX(tblKurallar[deger_2025],MATCH("TBA-002",tblKurallar[kural_id],0))+$E548*INDEX(tblKurallar[deger_2025],MATCH("TBA-004",tblKurallar[kural_id],0))+$F548*tba_isverenOran,2),0))</f>
        <v/>
      </c>
      <c r="I548" s="31">
        <f>IF($A548="","",IFERROR(MAX(0,$H548-$G548),0))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0" t="n"/>
      <c r="H549" s="31">
        <f>IF($A549="","",IFERROR(ROUND($C549*INDEX(tblKurallar[deger_2025],MATCH("TBA-001",tblKurallar[kural_id],0))+$D549*INDEX(tblKurallar[deger_2025],MATCH("TBA-002",tblKurallar[kural_id],0))+$E549*INDEX(tblKurallar[deger_2025],MATCH("TBA-004",tblKurallar[kural_id],0))+$F549*tba_isverenOran,2),0))</f>
        <v/>
      </c>
      <c r="I549" s="31">
        <f>IF($A549="","",IFERROR(MAX(0,$H549-$G549),0))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0" t="n"/>
      <c r="H550" s="31">
        <f>IF($A550="","",IFERROR(ROUND($C550*INDEX(tblKurallar[deger_2025],MATCH("TBA-001",tblKurallar[kural_id],0))+$D550*INDEX(tblKurallar[deger_2025],MATCH("TBA-002",tblKurallar[kural_id],0))+$E550*INDEX(tblKurallar[deger_2025],MATCH("TBA-004",tblKurallar[kural_id],0))+$F550*tba_isverenOran,2),0))</f>
        <v/>
      </c>
      <c r="I550" s="31">
        <f>IF($A550="","",IFERROR(MAX(0,$H550-$G550),0))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0" t="n"/>
      <c r="H551" s="31">
        <f>IF($A551="","",IFERROR(ROUND($C551*INDEX(tblKurallar[deger_2025],MATCH("TBA-001",tblKurallar[kural_id],0))+$D551*INDEX(tblKurallar[deger_2025],MATCH("TBA-002",tblKurallar[kural_id],0))+$E551*INDEX(tblKurallar[deger_2025],MATCH("TBA-004",tblKurallar[kural_id],0))+$F551*tba_isverenOran,2),0))</f>
        <v/>
      </c>
      <c r="I551" s="31">
        <f>IF($A551="","",IFERROR(MAX(0,$H551-$G551),0))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0" t="n"/>
      <c r="H552" s="31">
        <f>IF($A552="","",IFERROR(ROUND($C552*INDEX(tblKurallar[deger_2025],MATCH("TBA-001",tblKurallar[kural_id],0))+$D552*INDEX(tblKurallar[deger_2025],MATCH("TBA-002",tblKurallar[kural_id],0))+$E552*INDEX(tblKurallar[deger_2025],MATCH("TBA-004",tblKurallar[kural_id],0))+$F552*tba_isverenOran,2),0))</f>
        <v/>
      </c>
      <c r="I552" s="31">
        <f>IF($A552="","",IFERROR(MAX(0,$H552-$G552),0))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0" t="n"/>
      <c r="H553" s="31">
        <f>IF($A553="","",IFERROR(ROUND($C553*INDEX(tblKurallar[deger_2025],MATCH("TBA-001",tblKurallar[kural_id],0))+$D553*INDEX(tblKurallar[deger_2025],MATCH("TBA-002",tblKurallar[kural_id],0))+$E553*INDEX(tblKurallar[deger_2025],MATCH("TBA-004",tblKurallar[kural_id],0))+$F553*tba_isverenOran,2),0))</f>
        <v/>
      </c>
      <c r="I553" s="31">
        <f>IF($A553="","",IFERROR(MAX(0,$H553-$G553),0))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0" t="n"/>
      <c r="H554" s="31">
        <f>IF($A554="","",IFERROR(ROUND($C554*INDEX(tblKurallar[deger_2025],MATCH("TBA-001",tblKurallar[kural_id],0))+$D554*INDEX(tblKurallar[deger_2025],MATCH("TBA-002",tblKurallar[kural_id],0))+$E554*INDEX(tblKurallar[deger_2025],MATCH("TBA-004",tblKurallar[kural_id],0))+$F554*tba_isverenOran,2),0))</f>
        <v/>
      </c>
      <c r="I554" s="31">
        <f>IF($A554="","",IFERROR(MAX(0,$H554-$G554),0))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0" t="n"/>
      <c r="H555" s="31">
        <f>IF($A555="","",IFERROR(ROUND($C555*INDEX(tblKurallar[deger_2025],MATCH("TBA-001",tblKurallar[kural_id],0))+$D555*INDEX(tblKurallar[deger_2025],MATCH("TBA-002",tblKurallar[kural_id],0))+$E555*INDEX(tblKurallar[deger_2025],MATCH("TBA-004",tblKurallar[kural_id],0))+$F555*tba_isverenOran,2),0))</f>
        <v/>
      </c>
      <c r="I555" s="31">
        <f>IF($A555="","",IFERROR(MAX(0,$H555-$G555),0))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0" t="n"/>
      <c r="H556" s="31">
        <f>IF($A556="","",IFERROR(ROUND($C556*INDEX(tblKurallar[deger_2025],MATCH("TBA-001",tblKurallar[kural_id],0))+$D556*INDEX(tblKurallar[deger_2025],MATCH("TBA-002",tblKurallar[kural_id],0))+$E556*INDEX(tblKurallar[deger_2025],MATCH("TBA-004",tblKurallar[kural_id],0))+$F556*tba_isverenOran,2),0))</f>
        <v/>
      </c>
      <c r="I556" s="31">
        <f>IF($A556="","",IFERROR(MAX(0,$H556-$G556),0))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0" t="n"/>
      <c r="H557" s="31">
        <f>IF($A557="","",IFERROR(ROUND($C557*INDEX(tblKurallar[deger_2025],MATCH("TBA-001",tblKurallar[kural_id],0))+$D557*INDEX(tblKurallar[deger_2025],MATCH("TBA-002",tblKurallar[kural_id],0))+$E557*INDEX(tblKurallar[deger_2025],MATCH("TBA-004",tblKurallar[kural_id],0))+$F557*tba_isverenOran,2),0))</f>
        <v/>
      </c>
      <c r="I557" s="31">
        <f>IF($A557="","",IFERROR(MAX(0,$H557-$G557),0))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0" t="n"/>
      <c r="H558" s="31">
        <f>IF($A558="","",IFERROR(ROUND($C558*INDEX(tblKurallar[deger_2025],MATCH("TBA-001",tblKurallar[kural_id],0))+$D558*INDEX(tblKurallar[deger_2025],MATCH("TBA-002",tblKurallar[kural_id],0))+$E558*INDEX(tblKurallar[deger_2025],MATCH("TBA-004",tblKurallar[kural_id],0))+$F558*tba_isverenOran,2),0))</f>
        <v/>
      </c>
      <c r="I558" s="31">
        <f>IF($A558="","",IFERROR(MAX(0,$H558-$G558),0))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0" t="n"/>
      <c r="H559" s="31">
        <f>IF($A559="","",IFERROR(ROUND($C559*INDEX(tblKurallar[deger_2025],MATCH("TBA-001",tblKurallar[kural_id],0))+$D559*INDEX(tblKurallar[deger_2025],MATCH("TBA-002",tblKurallar[kural_id],0))+$E559*INDEX(tblKurallar[deger_2025],MATCH("TBA-004",tblKurallar[kural_id],0))+$F559*tba_isverenOran,2),0))</f>
        <v/>
      </c>
      <c r="I559" s="31">
        <f>IF($A559="","",IFERROR(MAX(0,$H559-$G559),0))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0" t="n"/>
      <c r="H560" s="31">
        <f>IF($A560="","",IFERROR(ROUND($C560*INDEX(tblKurallar[deger_2025],MATCH("TBA-001",tblKurallar[kural_id],0))+$D560*INDEX(tblKurallar[deger_2025],MATCH("TBA-002",tblKurallar[kural_id],0))+$E560*INDEX(tblKurallar[deger_2025],MATCH("TBA-004",tblKurallar[kural_id],0))+$F560*tba_isverenOran,2),0))</f>
        <v/>
      </c>
      <c r="I560" s="31">
        <f>IF($A560="","",IFERROR(MAX(0,$H560-$G560),0))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0" t="n"/>
      <c r="H561" s="31">
        <f>IF($A561="","",IFERROR(ROUND($C561*INDEX(tblKurallar[deger_2025],MATCH("TBA-001",tblKurallar[kural_id],0))+$D561*INDEX(tblKurallar[deger_2025],MATCH("TBA-002",tblKurallar[kural_id],0))+$E561*INDEX(tblKurallar[deger_2025],MATCH("TBA-004",tblKurallar[kural_id],0))+$F561*tba_isverenOran,2),0))</f>
        <v/>
      </c>
      <c r="I561" s="31">
        <f>IF($A561="","",IFERROR(MAX(0,$H561-$G561),0))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0" t="n"/>
      <c r="H562" s="31">
        <f>IF($A562="","",IFERROR(ROUND($C562*INDEX(tblKurallar[deger_2025],MATCH("TBA-001",tblKurallar[kural_id],0))+$D562*INDEX(tblKurallar[deger_2025],MATCH("TBA-002",tblKurallar[kural_id],0))+$E562*INDEX(tblKurallar[deger_2025],MATCH("TBA-004",tblKurallar[kural_id],0))+$F562*tba_isverenOran,2),0))</f>
        <v/>
      </c>
      <c r="I562" s="31">
        <f>IF($A562="","",IFERROR(MAX(0,$H562-$G562),0))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0" t="n"/>
      <c r="H563" s="31">
        <f>IF($A563="","",IFERROR(ROUND($C563*INDEX(tblKurallar[deger_2025],MATCH("TBA-001",tblKurallar[kural_id],0))+$D563*INDEX(tblKurallar[deger_2025],MATCH("TBA-002",tblKurallar[kural_id],0))+$E563*INDEX(tblKurallar[deger_2025],MATCH("TBA-004",tblKurallar[kural_id],0))+$F563*tba_isverenOran,2),0))</f>
        <v/>
      </c>
      <c r="I563" s="31">
        <f>IF($A563="","",IFERROR(MAX(0,$H563-$G563),0))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0" t="n"/>
      <c r="H564" s="31">
        <f>IF($A564="","",IFERROR(ROUND($C564*INDEX(tblKurallar[deger_2025],MATCH("TBA-001",tblKurallar[kural_id],0))+$D564*INDEX(tblKurallar[deger_2025],MATCH("TBA-002",tblKurallar[kural_id],0))+$E564*INDEX(tblKurallar[deger_2025],MATCH("TBA-004",tblKurallar[kural_id],0))+$F564*tba_isverenOran,2),0))</f>
        <v/>
      </c>
      <c r="I564" s="31">
        <f>IF($A564="","",IFERROR(MAX(0,$H564-$G564),0))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0" t="n"/>
      <c r="H565" s="31">
        <f>IF($A565="","",IFERROR(ROUND($C565*INDEX(tblKurallar[deger_2025],MATCH("TBA-001",tblKurallar[kural_id],0))+$D565*INDEX(tblKurallar[deger_2025],MATCH("TBA-002",tblKurallar[kural_id],0))+$E565*INDEX(tblKurallar[deger_2025],MATCH("TBA-004",tblKurallar[kural_id],0))+$F565*tba_isverenOran,2),0))</f>
        <v/>
      </c>
      <c r="I565" s="31">
        <f>IF($A565="","",IFERROR(MAX(0,$H565-$G565),0))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0" t="n"/>
      <c r="H566" s="31">
        <f>IF($A566="","",IFERROR(ROUND($C566*INDEX(tblKurallar[deger_2025],MATCH("TBA-001",tblKurallar[kural_id],0))+$D566*INDEX(tblKurallar[deger_2025],MATCH("TBA-002",tblKurallar[kural_id],0))+$E566*INDEX(tblKurallar[deger_2025],MATCH("TBA-004",tblKurallar[kural_id],0))+$F566*tba_isverenOran,2),0))</f>
        <v/>
      </c>
      <c r="I566" s="31">
        <f>IF($A566="","",IFERROR(MAX(0,$H566-$G566),0))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0" t="n"/>
      <c r="H567" s="31">
        <f>IF($A567="","",IFERROR(ROUND($C567*INDEX(tblKurallar[deger_2025],MATCH("TBA-001",tblKurallar[kural_id],0))+$D567*INDEX(tblKurallar[deger_2025],MATCH("TBA-002",tblKurallar[kural_id],0))+$E567*INDEX(tblKurallar[deger_2025],MATCH("TBA-004",tblKurallar[kural_id],0))+$F567*tba_isverenOran,2),0))</f>
        <v/>
      </c>
      <c r="I567" s="31">
        <f>IF($A567="","",IFERROR(MAX(0,$H567-$G567),0))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0" t="n"/>
      <c r="H568" s="31">
        <f>IF($A568="","",IFERROR(ROUND($C568*INDEX(tblKurallar[deger_2025],MATCH("TBA-001",tblKurallar[kural_id],0))+$D568*INDEX(tblKurallar[deger_2025],MATCH("TBA-002",tblKurallar[kural_id],0))+$E568*INDEX(tblKurallar[deger_2025],MATCH("TBA-004",tblKurallar[kural_id],0))+$F568*tba_isverenOran,2),0))</f>
        <v/>
      </c>
      <c r="I568" s="31">
        <f>IF($A568="","",IFERROR(MAX(0,$H568-$G568),0))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0" t="n"/>
      <c r="H569" s="31">
        <f>IF($A569="","",IFERROR(ROUND($C569*INDEX(tblKurallar[deger_2025],MATCH("TBA-001",tblKurallar[kural_id],0))+$D569*INDEX(tblKurallar[deger_2025],MATCH("TBA-002",tblKurallar[kural_id],0))+$E569*INDEX(tblKurallar[deger_2025],MATCH("TBA-004",tblKurallar[kural_id],0))+$F569*tba_isverenOran,2),0))</f>
        <v/>
      </c>
      <c r="I569" s="31">
        <f>IF($A569="","",IFERROR(MAX(0,$H569-$G569),0))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0" t="n"/>
      <c r="H570" s="31">
        <f>IF($A570="","",IFERROR(ROUND($C570*INDEX(tblKurallar[deger_2025],MATCH("TBA-001",tblKurallar[kural_id],0))+$D570*INDEX(tblKurallar[deger_2025],MATCH("TBA-002",tblKurallar[kural_id],0))+$E570*INDEX(tblKurallar[deger_2025],MATCH("TBA-004",tblKurallar[kural_id],0))+$F570*tba_isverenOran,2),0))</f>
        <v/>
      </c>
      <c r="I570" s="31">
        <f>IF($A570="","",IFERROR(MAX(0,$H570-$G570),0))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0" t="n"/>
      <c r="H571" s="31">
        <f>IF($A571="","",IFERROR(ROUND($C571*INDEX(tblKurallar[deger_2025],MATCH("TBA-001",tblKurallar[kural_id],0))+$D571*INDEX(tblKurallar[deger_2025],MATCH("TBA-002",tblKurallar[kural_id],0))+$E571*INDEX(tblKurallar[deger_2025],MATCH("TBA-004",tblKurallar[kural_id],0))+$F571*tba_isverenOran,2),0))</f>
        <v/>
      </c>
      <c r="I571" s="31">
        <f>IF($A571="","",IFERROR(MAX(0,$H571-$G571),0))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0" t="n"/>
      <c r="H572" s="31">
        <f>IF($A572="","",IFERROR(ROUND($C572*INDEX(tblKurallar[deger_2025],MATCH("TBA-001",tblKurallar[kural_id],0))+$D572*INDEX(tblKurallar[deger_2025],MATCH("TBA-002",tblKurallar[kural_id],0))+$E572*INDEX(tblKurallar[deger_2025],MATCH("TBA-004",tblKurallar[kural_id],0))+$F572*tba_isverenOran,2),0))</f>
        <v/>
      </c>
      <c r="I572" s="31">
        <f>IF($A572="","",IFERROR(MAX(0,$H572-$G572),0))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0" t="n"/>
      <c r="H573" s="31">
        <f>IF($A573="","",IFERROR(ROUND($C573*INDEX(tblKurallar[deger_2025],MATCH("TBA-001",tblKurallar[kural_id],0))+$D573*INDEX(tblKurallar[deger_2025],MATCH("TBA-002",tblKurallar[kural_id],0))+$E573*INDEX(tblKurallar[deger_2025],MATCH("TBA-004",tblKurallar[kural_id],0))+$F573*tba_isverenOran,2),0))</f>
        <v/>
      </c>
      <c r="I573" s="31">
        <f>IF($A573="","",IFERROR(MAX(0,$H573-$G573),0))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0" t="n"/>
      <c r="H574" s="31">
        <f>IF($A574="","",IFERROR(ROUND($C574*INDEX(tblKurallar[deger_2025],MATCH("TBA-001",tblKurallar[kural_id],0))+$D574*INDEX(tblKurallar[deger_2025],MATCH("TBA-002",tblKurallar[kural_id],0))+$E574*INDEX(tblKurallar[deger_2025],MATCH("TBA-004",tblKurallar[kural_id],0))+$F574*tba_isverenOran,2),0))</f>
        <v/>
      </c>
      <c r="I574" s="31">
        <f>IF($A574="","",IFERROR(MAX(0,$H574-$G574),0))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0" t="n"/>
      <c r="H575" s="31">
        <f>IF($A575="","",IFERROR(ROUND($C575*INDEX(tblKurallar[deger_2025],MATCH("TBA-001",tblKurallar[kural_id],0))+$D575*INDEX(tblKurallar[deger_2025],MATCH("TBA-002",tblKurallar[kural_id],0))+$E575*INDEX(tblKurallar[deger_2025],MATCH("TBA-004",tblKurallar[kural_id],0))+$F575*tba_isverenOran,2),0))</f>
        <v/>
      </c>
      <c r="I575" s="31">
        <f>IF($A575="","",IFERROR(MAX(0,$H575-$G575),0))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0" t="n"/>
      <c r="H576" s="31">
        <f>IF($A576="","",IFERROR(ROUND($C576*INDEX(tblKurallar[deger_2025],MATCH("TBA-001",tblKurallar[kural_id],0))+$D576*INDEX(tblKurallar[deger_2025],MATCH("TBA-002",tblKurallar[kural_id],0))+$E576*INDEX(tblKurallar[deger_2025],MATCH("TBA-004",tblKurallar[kural_id],0))+$F576*tba_isverenOran,2),0))</f>
        <v/>
      </c>
      <c r="I576" s="31">
        <f>IF($A576="","",IFERROR(MAX(0,$H576-$G576),0))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0" t="n"/>
      <c r="H577" s="31">
        <f>IF($A577="","",IFERROR(ROUND($C577*INDEX(tblKurallar[deger_2025],MATCH("TBA-001",tblKurallar[kural_id],0))+$D577*INDEX(tblKurallar[deger_2025],MATCH("TBA-002",tblKurallar[kural_id],0))+$E577*INDEX(tblKurallar[deger_2025],MATCH("TBA-004",tblKurallar[kural_id],0))+$F577*tba_isverenOran,2),0))</f>
        <v/>
      </c>
      <c r="I577" s="31">
        <f>IF($A577="","",IFERROR(MAX(0,$H577-$G577),0))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0" t="n"/>
      <c r="H578" s="31">
        <f>IF($A578="","",IFERROR(ROUND($C578*INDEX(tblKurallar[deger_2025],MATCH("TBA-001",tblKurallar[kural_id],0))+$D578*INDEX(tblKurallar[deger_2025],MATCH("TBA-002",tblKurallar[kural_id],0))+$E578*INDEX(tblKurallar[deger_2025],MATCH("TBA-004",tblKurallar[kural_id],0))+$F578*tba_isverenOran,2),0))</f>
        <v/>
      </c>
      <c r="I578" s="31">
        <f>IF($A578="","",IFERROR(MAX(0,$H578-$G578),0))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0" t="n"/>
      <c r="H579" s="31">
        <f>IF($A579="","",IFERROR(ROUND($C579*INDEX(tblKurallar[deger_2025],MATCH("TBA-001",tblKurallar[kural_id],0))+$D579*INDEX(tblKurallar[deger_2025],MATCH("TBA-002",tblKurallar[kural_id],0))+$E579*INDEX(tblKurallar[deger_2025],MATCH("TBA-004",tblKurallar[kural_id],0))+$F579*tba_isverenOran,2),0))</f>
        <v/>
      </c>
      <c r="I579" s="31">
        <f>IF($A579="","",IFERROR(MAX(0,$H579-$G579),0))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0" t="n"/>
      <c r="H580" s="31">
        <f>IF($A580="","",IFERROR(ROUND($C580*INDEX(tblKurallar[deger_2025],MATCH("TBA-001",tblKurallar[kural_id],0))+$D580*INDEX(tblKurallar[deger_2025],MATCH("TBA-002",tblKurallar[kural_id],0))+$E580*INDEX(tblKurallar[deger_2025],MATCH("TBA-004",tblKurallar[kural_id],0))+$F580*tba_isverenOran,2),0))</f>
        <v/>
      </c>
      <c r="I580" s="31">
        <f>IF($A580="","",IFERROR(MAX(0,$H580-$G580),0))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0" t="n"/>
      <c r="H581" s="31">
        <f>IF($A581="","",IFERROR(ROUND($C581*INDEX(tblKurallar[deger_2025],MATCH("TBA-001",tblKurallar[kural_id],0))+$D581*INDEX(tblKurallar[deger_2025],MATCH("TBA-002",tblKurallar[kural_id],0))+$E581*INDEX(tblKurallar[deger_2025],MATCH("TBA-004",tblKurallar[kural_id],0))+$F581*tba_isverenOran,2),0))</f>
        <v/>
      </c>
      <c r="I581" s="31">
        <f>IF($A581="","",IFERROR(MAX(0,$H581-$G581),0))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0" t="n"/>
      <c r="H582" s="31">
        <f>IF($A582="","",IFERROR(ROUND($C582*INDEX(tblKurallar[deger_2025],MATCH("TBA-001",tblKurallar[kural_id],0))+$D582*INDEX(tblKurallar[deger_2025],MATCH("TBA-002",tblKurallar[kural_id],0))+$E582*INDEX(tblKurallar[deger_2025],MATCH("TBA-004",tblKurallar[kural_id],0))+$F582*tba_isverenOran,2),0))</f>
        <v/>
      </c>
      <c r="I582" s="31">
        <f>IF($A582="","",IFERROR(MAX(0,$H582-$G582),0))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0" t="n"/>
      <c r="H583" s="31">
        <f>IF($A583="","",IFERROR(ROUND($C583*INDEX(tblKurallar[deger_2025],MATCH("TBA-001",tblKurallar[kural_id],0))+$D583*INDEX(tblKurallar[deger_2025],MATCH("TBA-002",tblKurallar[kural_id],0))+$E583*INDEX(tblKurallar[deger_2025],MATCH("TBA-004",tblKurallar[kural_id],0))+$F583*tba_isverenOran,2),0))</f>
        <v/>
      </c>
      <c r="I583" s="31">
        <f>IF($A583="","",IFERROR(MAX(0,$H583-$G583),0))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0" t="n"/>
      <c r="H584" s="31">
        <f>IF($A584="","",IFERROR(ROUND($C584*INDEX(tblKurallar[deger_2025],MATCH("TBA-001",tblKurallar[kural_id],0))+$D584*INDEX(tblKurallar[deger_2025],MATCH("TBA-002",tblKurallar[kural_id],0))+$E584*INDEX(tblKurallar[deger_2025],MATCH("TBA-004",tblKurallar[kural_id],0))+$F584*tba_isverenOran,2),0))</f>
        <v/>
      </c>
      <c r="I584" s="31">
        <f>IF($A584="","",IFERROR(MAX(0,$H584-$G584),0))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0" t="n"/>
      <c r="H585" s="31">
        <f>IF($A585="","",IFERROR(ROUND($C585*INDEX(tblKurallar[deger_2025],MATCH("TBA-001",tblKurallar[kural_id],0))+$D585*INDEX(tblKurallar[deger_2025],MATCH("TBA-002",tblKurallar[kural_id],0))+$E585*INDEX(tblKurallar[deger_2025],MATCH("TBA-004",tblKurallar[kural_id],0))+$F585*tba_isverenOran,2),0))</f>
        <v/>
      </c>
      <c r="I585" s="31">
        <f>IF($A585="","",IFERROR(MAX(0,$H585-$G585),0))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0" t="n"/>
      <c r="H586" s="31">
        <f>IF($A586="","",IFERROR(ROUND($C586*INDEX(tblKurallar[deger_2025],MATCH("TBA-001",tblKurallar[kural_id],0))+$D586*INDEX(tblKurallar[deger_2025],MATCH("TBA-002",tblKurallar[kural_id],0))+$E586*INDEX(tblKurallar[deger_2025],MATCH("TBA-004",tblKurallar[kural_id],0))+$F586*tba_isverenOran,2),0))</f>
        <v/>
      </c>
      <c r="I586" s="31">
        <f>IF($A586="","",IFERROR(MAX(0,$H586-$G586),0))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0" t="n"/>
      <c r="H587" s="31">
        <f>IF($A587="","",IFERROR(ROUND($C587*INDEX(tblKurallar[deger_2025],MATCH("TBA-001",tblKurallar[kural_id],0))+$D587*INDEX(tblKurallar[deger_2025],MATCH("TBA-002",tblKurallar[kural_id],0))+$E587*INDEX(tblKurallar[deger_2025],MATCH("TBA-004",tblKurallar[kural_id],0))+$F587*tba_isverenOran,2),0))</f>
        <v/>
      </c>
      <c r="I587" s="31">
        <f>IF($A587="","",IFERROR(MAX(0,$H587-$G587),0))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0" t="n"/>
      <c r="H588" s="31">
        <f>IF($A588="","",IFERROR(ROUND($C588*INDEX(tblKurallar[deger_2025],MATCH("TBA-001",tblKurallar[kural_id],0))+$D588*INDEX(tblKurallar[deger_2025],MATCH("TBA-002",tblKurallar[kural_id],0))+$E588*INDEX(tblKurallar[deger_2025],MATCH("TBA-004",tblKurallar[kural_id],0))+$F588*tba_isverenOran,2),0))</f>
        <v/>
      </c>
      <c r="I588" s="31">
        <f>IF($A588="","",IFERROR(MAX(0,$H588-$G588),0))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0" t="n"/>
      <c r="H589" s="31">
        <f>IF($A589="","",IFERROR(ROUND($C589*INDEX(tblKurallar[deger_2025],MATCH("TBA-001",tblKurallar[kural_id],0))+$D589*INDEX(tblKurallar[deger_2025],MATCH("TBA-002",tblKurallar[kural_id],0))+$E589*INDEX(tblKurallar[deger_2025],MATCH("TBA-004",tblKurallar[kural_id],0))+$F589*tba_isverenOran,2),0))</f>
        <v/>
      </c>
      <c r="I589" s="31">
        <f>IF($A589="","",IFERROR(MAX(0,$H589-$G589),0))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0" t="n"/>
      <c r="H590" s="31">
        <f>IF($A590="","",IFERROR(ROUND($C590*INDEX(tblKurallar[deger_2025],MATCH("TBA-001",tblKurallar[kural_id],0))+$D590*INDEX(tblKurallar[deger_2025],MATCH("TBA-002",tblKurallar[kural_id],0))+$E590*INDEX(tblKurallar[deger_2025],MATCH("TBA-004",tblKurallar[kural_id],0))+$F590*tba_isverenOran,2),0))</f>
        <v/>
      </c>
      <c r="I590" s="31">
        <f>IF($A590="","",IFERROR(MAX(0,$H590-$G590),0))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0" t="n"/>
      <c r="H591" s="31">
        <f>IF($A591="","",IFERROR(ROUND($C591*INDEX(tblKurallar[deger_2025],MATCH("TBA-001",tblKurallar[kural_id],0))+$D591*INDEX(tblKurallar[deger_2025],MATCH("TBA-002",tblKurallar[kural_id],0))+$E591*INDEX(tblKurallar[deger_2025],MATCH("TBA-004",tblKurallar[kural_id],0))+$F591*tba_isverenOran,2),0))</f>
        <v/>
      </c>
      <c r="I591" s="31">
        <f>IF($A591="","",IFERROR(MAX(0,$H591-$G591),0))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0" t="n"/>
      <c r="H592" s="31">
        <f>IF($A592="","",IFERROR(ROUND($C592*INDEX(tblKurallar[deger_2025],MATCH("TBA-001",tblKurallar[kural_id],0))+$D592*INDEX(tblKurallar[deger_2025],MATCH("TBA-002",tblKurallar[kural_id],0))+$E592*INDEX(tblKurallar[deger_2025],MATCH("TBA-004",tblKurallar[kural_id],0))+$F592*tba_isverenOran,2),0))</f>
        <v/>
      </c>
      <c r="I592" s="31">
        <f>IF($A592="","",IFERROR(MAX(0,$H592-$G592),0))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0" t="n"/>
      <c r="H593" s="31">
        <f>IF($A593="","",IFERROR(ROUND($C593*INDEX(tblKurallar[deger_2025],MATCH("TBA-001",tblKurallar[kural_id],0))+$D593*INDEX(tblKurallar[deger_2025],MATCH("TBA-002",tblKurallar[kural_id],0))+$E593*INDEX(tblKurallar[deger_2025],MATCH("TBA-004",tblKurallar[kural_id],0))+$F593*tba_isverenOran,2),0))</f>
        <v/>
      </c>
      <c r="I593" s="31">
        <f>IF($A593="","",IFERROR(MAX(0,$H593-$G593),0))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0" t="n"/>
      <c r="H594" s="31">
        <f>IF($A594="","",IFERROR(ROUND($C594*INDEX(tblKurallar[deger_2025],MATCH("TBA-001",tblKurallar[kural_id],0))+$D594*INDEX(tblKurallar[deger_2025],MATCH("TBA-002",tblKurallar[kural_id],0))+$E594*INDEX(tblKurallar[deger_2025],MATCH("TBA-004",tblKurallar[kural_id],0))+$F594*tba_isverenOran,2),0))</f>
        <v/>
      </c>
      <c r="I594" s="31">
        <f>IF($A594="","",IFERROR(MAX(0,$H594-$G594),0))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0" t="n"/>
      <c r="H595" s="31">
        <f>IF($A595="","",IFERROR(ROUND($C595*INDEX(tblKurallar[deger_2025],MATCH("TBA-001",tblKurallar[kural_id],0))+$D595*INDEX(tblKurallar[deger_2025],MATCH("TBA-002",tblKurallar[kural_id],0))+$E595*INDEX(tblKurallar[deger_2025],MATCH("TBA-004",tblKurallar[kural_id],0))+$F595*tba_isverenOran,2),0))</f>
        <v/>
      </c>
      <c r="I595" s="31">
        <f>IF($A595="","",IFERROR(MAX(0,$H595-$G595),0))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0" t="n"/>
      <c r="H596" s="31">
        <f>IF($A596="","",IFERROR(ROUND($C596*INDEX(tblKurallar[deger_2025],MATCH("TBA-001",tblKurallar[kural_id],0))+$D596*INDEX(tblKurallar[deger_2025],MATCH("TBA-002",tblKurallar[kural_id],0))+$E596*INDEX(tblKurallar[deger_2025],MATCH("TBA-004",tblKurallar[kural_id],0))+$F596*tba_isverenOran,2),0))</f>
        <v/>
      </c>
      <c r="I596" s="31">
        <f>IF($A596="","",IFERROR(MAX(0,$H596-$G596),0))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0" t="n"/>
      <c r="H597" s="31">
        <f>IF($A597="","",IFERROR(ROUND($C597*INDEX(tblKurallar[deger_2025],MATCH("TBA-001",tblKurallar[kural_id],0))+$D597*INDEX(tblKurallar[deger_2025],MATCH("TBA-002",tblKurallar[kural_id],0))+$E597*INDEX(tblKurallar[deger_2025],MATCH("TBA-004",tblKurallar[kural_id],0))+$F597*tba_isverenOran,2),0))</f>
        <v/>
      </c>
      <c r="I597" s="31">
        <f>IF($A597="","",IFERROR(MAX(0,$H597-$G597),0))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0" t="n"/>
      <c r="H598" s="31">
        <f>IF($A598="","",IFERROR(ROUND($C598*INDEX(tblKurallar[deger_2025],MATCH("TBA-001",tblKurallar[kural_id],0))+$D598*INDEX(tblKurallar[deger_2025],MATCH("TBA-002",tblKurallar[kural_id],0))+$E598*INDEX(tblKurallar[deger_2025],MATCH("TBA-004",tblKurallar[kural_id],0))+$F598*tba_isverenOran,2),0))</f>
        <v/>
      </c>
      <c r="I598" s="31">
        <f>IF($A598="","",IFERROR(MAX(0,$H598-$G598),0))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0" t="n"/>
      <c r="H599" s="31">
        <f>IF($A599="","",IFERROR(ROUND($C599*INDEX(tblKurallar[deger_2025],MATCH("TBA-001",tblKurallar[kural_id],0))+$D599*INDEX(tblKurallar[deger_2025],MATCH("TBA-002",tblKurallar[kural_id],0))+$E599*INDEX(tblKurallar[deger_2025],MATCH("TBA-004",tblKurallar[kural_id],0))+$F599*tba_isverenOran,2),0))</f>
        <v/>
      </c>
      <c r="I599" s="31">
        <f>IF($A599="","",IFERROR(MAX(0,$H599-$G599),0))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0" t="n"/>
      <c r="H600" s="31">
        <f>IF($A600="","",IFERROR(ROUND($C600*INDEX(tblKurallar[deger_2025],MATCH("TBA-001",tblKurallar[kural_id],0))+$D600*INDEX(tblKurallar[deger_2025],MATCH("TBA-002",tblKurallar[kural_id],0))+$E600*INDEX(tblKurallar[deger_2025],MATCH("TBA-004",tblKurallar[kural_id],0))+$F600*tba_isverenOran,2),0))</f>
        <v/>
      </c>
      <c r="I600" s="31">
        <f>IF($A600="","",IFERROR(MAX(0,$H600-$G600),0))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0" t="n"/>
      <c r="H601" s="31">
        <f>IF($A601="","",IFERROR(ROUND($C601*INDEX(tblKurallar[deger_2025],MATCH("TBA-001",tblKurallar[kural_id],0))+$D601*INDEX(tblKurallar[deger_2025],MATCH("TBA-002",tblKurallar[kural_id],0))+$E601*INDEX(tblKurallar[deger_2025],MATCH("TBA-004",tblKurallar[kural_id],0))+$F601*tba_isverenOran,2),0))</f>
        <v/>
      </c>
      <c r="I601" s="31">
        <f>IF($A601="","",IFERROR(MAX(0,$H601-$G601),0))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0" t="n"/>
      <c r="H602" s="31">
        <f>IF($A602="","",IFERROR(ROUND($C602*INDEX(tblKurallar[deger_2025],MATCH("TBA-001",tblKurallar[kural_id],0))+$D602*INDEX(tblKurallar[deger_2025],MATCH("TBA-002",tblKurallar[kural_id],0))+$E602*INDEX(tblKurallar[deger_2025],MATCH("TBA-004",tblKurallar[kural_id],0))+$F602*tba_isverenOran,2),0))</f>
        <v/>
      </c>
      <c r="I602" s="31">
        <f>IF($A602="","",IFERROR(MAX(0,$H602-$G602),0))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0" t="n"/>
      <c r="H603" s="31">
        <f>IF($A603="","",IFERROR(ROUND($C603*INDEX(tblKurallar[deger_2025],MATCH("TBA-001",tblKurallar[kural_id],0))+$D603*INDEX(tblKurallar[deger_2025],MATCH("TBA-002",tblKurallar[kural_id],0))+$E603*INDEX(tblKurallar[deger_2025],MATCH("TBA-004",tblKurallar[kural_id],0))+$F603*tba_isverenOran,2),0))</f>
        <v/>
      </c>
      <c r="I603" s="31">
        <f>IF($A603="","",IFERROR(MAX(0,$H603-$G603),0))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0" t="n"/>
      <c r="H604" s="31">
        <f>IF($A604="","",IFERROR(ROUND($C604*INDEX(tblKurallar[deger_2025],MATCH("TBA-001",tblKurallar[kural_id],0))+$D604*INDEX(tblKurallar[deger_2025],MATCH("TBA-002",tblKurallar[kural_id],0))+$E604*INDEX(tblKurallar[deger_2025],MATCH("TBA-004",tblKurallar[kural_id],0))+$F604*tba_isverenOran,2),0))</f>
        <v/>
      </c>
      <c r="I604" s="31">
        <f>IF($A604="","",IFERROR(MAX(0,$H604-$G604),0))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0" t="n"/>
      <c r="H605" s="31">
        <f>IF($A605="","",IFERROR(ROUND($C605*INDEX(tblKurallar[deger_2025],MATCH("TBA-001",tblKurallar[kural_id],0))+$D605*INDEX(tblKurallar[deger_2025],MATCH("TBA-002",tblKurallar[kural_id],0))+$E605*INDEX(tblKurallar[deger_2025],MATCH("TBA-004",tblKurallar[kural_id],0))+$F605*tba_isverenOran,2),0))</f>
        <v/>
      </c>
      <c r="I605" s="31">
        <f>IF($A605="","",IFERROR(MAX(0,$H605-$G605),0))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0" t="n"/>
      <c r="H606" s="31">
        <f>IF($A606="","",IFERROR(ROUND($C606*INDEX(tblKurallar[deger_2025],MATCH("TBA-001",tblKurallar[kural_id],0))+$D606*INDEX(tblKurallar[deger_2025],MATCH("TBA-002",tblKurallar[kural_id],0))+$E606*INDEX(tblKurallar[deger_2025],MATCH("TBA-004",tblKurallar[kural_id],0))+$F606*tba_isverenOran,2),0))</f>
        <v/>
      </c>
      <c r="I606" s="31">
        <f>IF($A606="","",IFERROR(MAX(0,$H606-$G606),0))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0" t="n"/>
      <c r="H607" s="31">
        <f>IF($A607="","",IFERROR(ROUND($C607*INDEX(tblKurallar[deger_2025],MATCH("TBA-001",tblKurallar[kural_id],0))+$D607*INDEX(tblKurallar[deger_2025],MATCH("TBA-002",tblKurallar[kural_id],0))+$E607*INDEX(tblKurallar[deger_2025],MATCH("TBA-004",tblKurallar[kural_id],0))+$F607*tba_isverenOran,2),0))</f>
        <v/>
      </c>
      <c r="I607" s="31">
        <f>IF($A607="","",IFERROR(MAX(0,$H607-$G607),0))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0" t="n"/>
      <c r="H608" s="31">
        <f>IF($A608="","",IFERROR(ROUND($C608*INDEX(tblKurallar[deger_2025],MATCH("TBA-001",tblKurallar[kural_id],0))+$D608*INDEX(tblKurallar[deger_2025],MATCH("TBA-002",tblKurallar[kural_id],0))+$E608*INDEX(tblKurallar[deger_2025],MATCH("TBA-004",tblKurallar[kural_id],0))+$F608*tba_isverenOran,2),0))</f>
        <v/>
      </c>
      <c r="I608" s="31">
        <f>IF($A608="","",IFERROR(MAX(0,$H608-$G608),0))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0" t="n"/>
      <c r="H609" s="31">
        <f>IF($A609="","",IFERROR(ROUND($C609*INDEX(tblKurallar[deger_2025],MATCH("TBA-001",tblKurallar[kural_id],0))+$D609*INDEX(tblKurallar[deger_2025],MATCH("TBA-002",tblKurallar[kural_id],0))+$E609*INDEX(tblKurallar[deger_2025],MATCH("TBA-004",tblKurallar[kural_id],0))+$F609*tba_isverenOran,2),0))</f>
        <v/>
      </c>
      <c r="I609" s="31">
        <f>IF($A609="","",IFERROR(MAX(0,$H609-$G609),0))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0" t="n"/>
      <c r="H610" s="31">
        <f>IF($A610="","",IFERROR(ROUND($C610*INDEX(tblKurallar[deger_2025],MATCH("TBA-001",tblKurallar[kural_id],0))+$D610*INDEX(tblKurallar[deger_2025],MATCH("TBA-002",tblKurallar[kural_id],0))+$E610*INDEX(tblKurallar[deger_2025],MATCH("TBA-004",tblKurallar[kural_id],0))+$F610*tba_isverenOran,2),0))</f>
        <v/>
      </c>
      <c r="I610" s="31">
        <f>IF($A610="","",IFERROR(MAX(0,$H610-$G610),0))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0" t="n"/>
      <c r="H611" s="31">
        <f>IF($A611="","",IFERROR(ROUND($C611*INDEX(tblKurallar[deger_2025],MATCH("TBA-001",tblKurallar[kural_id],0))+$D611*INDEX(tblKurallar[deger_2025],MATCH("TBA-002",tblKurallar[kural_id],0))+$E611*INDEX(tblKurallar[deger_2025],MATCH("TBA-004",tblKurallar[kural_id],0))+$F611*tba_isverenOran,2),0))</f>
        <v/>
      </c>
      <c r="I611" s="31">
        <f>IF($A611="","",IFERROR(MAX(0,$H611-$G611),0))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0" t="n"/>
      <c r="H612" s="31">
        <f>IF($A612="","",IFERROR(ROUND($C612*INDEX(tblKurallar[deger_2025],MATCH("TBA-001",tblKurallar[kural_id],0))+$D612*INDEX(tblKurallar[deger_2025],MATCH("TBA-002",tblKurallar[kural_id],0))+$E612*INDEX(tblKurallar[deger_2025],MATCH("TBA-004",tblKurallar[kural_id],0))+$F612*tba_isverenOran,2),0))</f>
        <v/>
      </c>
      <c r="I612" s="31">
        <f>IF($A612="","",IFERROR(MAX(0,$H612-$G612),0))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0" t="n"/>
      <c r="H613" s="31">
        <f>IF($A613="","",IFERROR(ROUND($C613*INDEX(tblKurallar[deger_2025],MATCH("TBA-001",tblKurallar[kural_id],0))+$D613*INDEX(tblKurallar[deger_2025],MATCH("TBA-002",tblKurallar[kural_id],0))+$E613*INDEX(tblKurallar[deger_2025],MATCH("TBA-004",tblKurallar[kural_id],0))+$F613*tba_isverenOran,2),0))</f>
        <v/>
      </c>
      <c r="I613" s="31">
        <f>IF($A613="","",IFERROR(MAX(0,$H613-$G613),0))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0" t="n"/>
      <c r="H614" s="31">
        <f>IF($A614="","",IFERROR(ROUND($C614*INDEX(tblKurallar[deger_2025],MATCH("TBA-001",tblKurallar[kural_id],0))+$D614*INDEX(tblKurallar[deger_2025],MATCH("TBA-002",tblKurallar[kural_id],0))+$E614*INDEX(tblKurallar[deger_2025],MATCH("TBA-004",tblKurallar[kural_id],0))+$F614*tba_isverenOran,2),0))</f>
        <v/>
      </c>
      <c r="I614" s="31">
        <f>IF($A614="","",IFERROR(MAX(0,$H614-$G614),0))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0" t="n"/>
      <c r="H615" s="31">
        <f>IF($A615="","",IFERROR(ROUND($C615*INDEX(tblKurallar[deger_2025],MATCH("TBA-001",tblKurallar[kural_id],0))+$D615*INDEX(tblKurallar[deger_2025],MATCH("TBA-002",tblKurallar[kural_id],0))+$E615*INDEX(tblKurallar[deger_2025],MATCH("TBA-004",tblKurallar[kural_id],0))+$F615*tba_isverenOran,2),0))</f>
        <v/>
      </c>
      <c r="I615" s="31">
        <f>IF($A615="","",IFERROR(MAX(0,$H615-$G615),0))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0" t="n"/>
      <c r="H616" s="31">
        <f>IF($A616="","",IFERROR(ROUND($C616*INDEX(tblKurallar[deger_2025],MATCH("TBA-001",tblKurallar[kural_id],0))+$D616*INDEX(tblKurallar[deger_2025],MATCH("TBA-002",tblKurallar[kural_id],0))+$E616*INDEX(tblKurallar[deger_2025],MATCH("TBA-004",tblKurallar[kural_id],0))+$F616*tba_isverenOran,2),0))</f>
        <v/>
      </c>
      <c r="I616" s="31">
        <f>IF($A616="","",IFERROR(MAX(0,$H616-$G616),0))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0" t="n"/>
      <c r="H617" s="31">
        <f>IF($A617="","",IFERROR(ROUND($C617*INDEX(tblKurallar[deger_2025],MATCH("TBA-001",tblKurallar[kural_id],0))+$D617*INDEX(tblKurallar[deger_2025],MATCH("TBA-002",tblKurallar[kural_id],0))+$E617*INDEX(tblKurallar[deger_2025],MATCH("TBA-004",tblKurallar[kural_id],0))+$F617*tba_isverenOran,2),0))</f>
        <v/>
      </c>
      <c r="I617" s="31">
        <f>IF($A617="","",IFERROR(MAX(0,$H617-$G617),0))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0" t="n"/>
      <c r="H618" s="31">
        <f>IF($A618="","",IFERROR(ROUND($C618*INDEX(tblKurallar[deger_2025],MATCH("TBA-001",tblKurallar[kural_id],0))+$D618*INDEX(tblKurallar[deger_2025],MATCH("TBA-002",tblKurallar[kural_id],0))+$E618*INDEX(tblKurallar[deger_2025],MATCH("TBA-004",tblKurallar[kural_id],0))+$F618*tba_isverenOran,2),0))</f>
        <v/>
      </c>
      <c r="I618" s="31">
        <f>IF($A618="","",IFERROR(MAX(0,$H618-$G618),0))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0" t="n"/>
      <c r="H619" s="31">
        <f>IF($A619="","",IFERROR(ROUND($C619*INDEX(tblKurallar[deger_2025],MATCH("TBA-001",tblKurallar[kural_id],0))+$D619*INDEX(tblKurallar[deger_2025],MATCH("TBA-002",tblKurallar[kural_id],0))+$E619*INDEX(tblKurallar[deger_2025],MATCH("TBA-004",tblKurallar[kural_id],0))+$F619*tba_isverenOran,2),0))</f>
        <v/>
      </c>
      <c r="I619" s="31">
        <f>IF($A619="","",IFERROR(MAX(0,$H619-$G619),0))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0" t="n"/>
      <c r="H620" s="31">
        <f>IF($A620="","",IFERROR(ROUND($C620*INDEX(tblKurallar[deger_2025],MATCH("TBA-001",tblKurallar[kural_id],0))+$D620*INDEX(tblKurallar[deger_2025],MATCH("TBA-002",tblKurallar[kural_id],0))+$E620*INDEX(tblKurallar[deger_2025],MATCH("TBA-004",tblKurallar[kural_id],0))+$F620*tba_isverenOran,2),0))</f>
        <v/>
      </c>
      <c r="I620" s="31">
        <f>IF($A620="","",IFERROR(MAX(0,$H620-$G620),0))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0" t="n"/>
      <c r="H621" s="31">
        <f>IF($A621="","",IFERROR(ROUND($C621*INDEX(tblKurallar[deger_2025],MATCH("TBA-001",tblKurallar[kural_id],0))+$D621*INDEX(tblKurallar[deger_2025],MATCH("TBA-002",tblKurallar[kural_id],0))+$E621*INDEX(tblKurallar[deger_2025],MATCH("TBA-004",tblKurallar[kural_id],0))+$F621*tba_isverenOran,2),0))</f>
        <v/>
      </c>
      <c r="I621" s="31">
        <f>IF($A621="","",IFERROR(MAX(0,$H621-$G621),0))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0" t="n"/>
      <c r="H622" s="31">
        <f>IF($A622="","",IFERROR(ROUND($C622*INDEX(tblKurallar[deger_2025],MATCH("TBA-001",tblKurallar[kural_id],0))+$D622*INDEX(tblKurallar[deger_2025],MATCH("TBA-002",tblKurallar[kural_id],0))+$E622*INDEX(tblKurallar[deger_2025],MATCH("TBA-004",tblKurallar[kural_id],0))+$F622*tba_isverenOran,2),0))</f>
        <v/>
      </c>
      <c r="I622" s="31">
        <f>IF($A622="","",IFERROR(MAX(0,$H622-$G622),0))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0" t="n"/>
      <c r="H623" s="31">
        <f>IF($A623="","",IFERROR(ROUND($C623*INDEX(tblKurallar[deger_2025],MATCH("TBA-001",tblKurallar[kural_id],0))+$D623*INDEX(tblKurallar[deger_2025],MATCH("TBA-002",tblKurallar[kural_id],0))+$E623*INDEX(tblKurallar[deger_2025],MATCH("TBA-004",tblKurallar[kural_id],0))+$F623*tba_isverenOran,2),0))</f>
        <v/>
      </c>
      <c r="I623" s="31">
        <f>IF($A623="","",IFERROR(MAX(0,$H623-$G623),0))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0" t="n"/>
      <c r="H624" s="31">
        <f>IF($A624="","",IFERROR(ROUND($C624*INDEX(tblKurallar[deger_2025],MATCH("TBA-001",tblKurallar[kural_id],0))+$D624*INDEX(tblKurallar[deger_2025],MATCH("TBA-002",tblKurallar[kural_id],0))+$E624*INDEX(tblKurallar[deger_2025],MATCH("TBA-004",tblKurallar[kural_id],0))+$F624*tba_isverenOran,2),0))</f>
        <v/>
      </c>
      <c r="I624" s="31">
        <f>IF($A624="","",IFERROR(MAX(0,$H624-$G624),0))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0" t="n"/>
      <c r="H625" s="31">
        <f>IF($A625="","",IFERROR(ROUND($C625*INDEX(tblKurallar[deger_2025],MATCH("TBA-001",tblKurallar[kural_id],0))+$D625*INDEX(tblKurallar[deger_2025],MATCH("TBA-002",tblKurallar[kural_id],0))+$E625*INDEX(tblKurallar[deger_2025],MATCH("TBA-004",tblKurallar[kural_id],0))+$F625*tba_isverenOran,2),0))</f>
        <v/>
      </c>
      <c r="I625" s="31">
        <f>IF($A625="","",IFERROR(MAX(0,$H625-$G625),0))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0" t="n"/>
      <c r="H626" s="31">
        <f>IF($A626="","",IFERROR(ROUND($C626*INDEX(tblKurallar[deger_2025],MATCH("TBA-001",tblKurallar[kural_id],0))+$D626*INDEX(tblKurallar[deger_2025],MATCH("TBA-002",tblKurallar[kural_id],0))+$E626*INDEX(tblKurallar[deger_2025],MATCH("TBA-004",tblKurallar[kural_id],0))+$F626*tba_isverenOran,2),0))</f>
        <v/>
      </c>
      <c r="I626" s="31">
        <f>IF($A626="","",IFERROR(MAX(0,$H626-$G626),0))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0" t="n"/>
      <c r="H627" s="31">
        <f>IF($A627="","",IFERROR(ROUND($C627*INDEX(tblKurallar[deger_2025],MATCH("TBA-001",tblKurallar[kural_id],0))+$D627*INDEX(tblKurallar[deger_2025],MATCH("TBA-002",tblKurallar[kural_id],0))+$E627*INDEX(tblKurallar[deger_2025],MATCH("TBA-004",tblKurallar[kural_id],0))+$F627*tba_isverenOran,2),0))</f>
        <v/>
      </c>
      <c r="I627" s="31">
        <f>IF($A627="","",IFERROR(MAX(0,$H627-$G627),0))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0" t="n"/>
      <c r="H628" s="31">
        <f>IF($A628="","",IFERROR(ROUND($C628*INDEX(tblKurallar[deger_2025],MATCH("TBA-001",tblKurallar[kural_id],0))+$D628*INDEX(tblKurallar[deger_2025],MATCH("TBA-002",tblKurallar[kural_id],0))+$E628*INDEX(tblKurallar[deger_2025],MATCH("TBA-004",tblKurallar[kural_id],0))+$F628*tba_isverenOran,2),0))</f>
        <v/>
      </c>
      <c r="I628" s="31">
        <f>IF($A628="","",IFERROR(MAX(0,$H628-$G628),0))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0" t="n"/>
      <c r="H629" s="31">
        <f>IF($A629="","",IFERROR(ROUND($C629*INDEX(tblKurallar[deger_2025],MATCH("TBA-001",tblKurallar[kural_id],0))+$D629*INDEX(tblKurallar[deger_2025],MATCH("TBA-002",tblKurallar[kural_id],0))+$E629*INDEX(tblKurallar[deger_2025],MATCH("TBA-004",tblKurallar[kural_id],0))+$F629*tba_isverenOran,2),0))</f>
        <v/>
      </c>
      <c r="I629" s="31">
        <f>IF($A629="","",IFERROR(MAX(0,$H629-$G629),0))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0" t="n"/>
      <c r="H630" s="31">
        <f>IF($A630="","",IFERROR(ROUND($C630*INDEX(tblKurallar[deger_2025],MATCH("TBA-001",tblKurallar[kural_id],0))+$D630*INDEX(tblKurallar[deger_2025],MATCH("TBA-002",tblKurallar[kural_id],0))+$E630*INDEX(tblKurallar[deger_2025],MATCH("TBA-004",tblKurallar[kural_id],0))+$F630*tba_isverenOran,2),0))</f>
        <v/>
      </c>
      <c r="I630" s="31">
        <f>IF($A630="","",IFERROR(MAX(0,$H630-$G630),0))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0" t="n"/>
      <c r="H631" s="31">
        <f>IF($A631="","",IFERROR(ROUND($C631*INDEX(tblKurallar[deger_2025],MATCH("TBA-001",tblKurallar[kural_id],0))+$D631*INDEX(tblKurallar[deger_2025],MATCH("TBA-002",tblKurallar[kural_id],0))+$E631*INDEX(tblKurallar[deger_2025],MATCH("TBA-004",tblKurallar[kural_id],0))+$F631*tba_isverenOran,2),0))</f>
        <v/>
      </c>
      <c r="I631" s="31">
        <f>IF($A631="","",IFERROR(MAX(0,$H631-$G631),0))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0" t="n"/>
      <c r="H632" s="31">
        <f>IF($A632="","",IFERROR(ROUND($C632*INDEX(tblKurallar[deger_2025],MATCH("TBA-001",tblKurallar[kural_id],0))+$D632*INDEX(tblKurallar[deger_2025],MATCH("TBA-002",tblKurallar[kural_id],0))+$E632*INDEX(tblKurallar[deger_2025],MATCH("TBA-004",tblKurallar[kural_id],0))+$F632*tba_isverenOran,2),0))</f>
        <v/>
      </c>
      <c r="I632" s="31">
        <f>IF($A632="","",IFERROR(MAX(0,$H632-$G632),0))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0" t="n"/>
      <c r="H633" s="31">
        <f>IF($A633="","",IFERROR(ROUND($C633*INDEX(tblKurallar[deger_2025],MATCH("TBA-001",tblKurallar[kural_id],0))+$D633*INDEX(tblKurallar[deger_2025],MATCH("TBA-002",tblKurallar[kural_id],0))+$E633*INDEX(tblKurallar[deger_2025],MATCH("TBA-004",tblKurallar[kural_id],0))+$F633*tba_isverenOran,2),0))</f>
        <v/>
      </c>
      <c r="I633" s="31">
        <f>IF($A633="","",IFERROR(MAX(0,$H633-$G633),0))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0" t="n"/>
      <c r="H634" s="31">
        <f>IF($A634="","",IFERROR(ROUND($C634*INDEX(tblKurallar[deger_2025],MATCH("TBA-001",tblKurallar[kural_id],0))+$D634*INDEX(tblKurallar[deger_2025],MATCH("TBA-002",tblKurallar[kural_id],0))+$E634*INDEX(tblKurallar[deger_2025],MATCH("TBA-004",tblKurallar[kural_id],0))+$F634*tba_isverenOran,2),0))</f>
        <v/>
      </c>
      <c r="I634" s="31">
        <f>IF($A634="","",IFERROR(MAX(0,$H634-$G634),0))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0" t="n"/>
      <c r="H635" s="31">
        <f>IF($A635="","",IFERROR(ROUND($C635*INDEX(tblKurallar[deger_2025],MATCH("TBA-001",tblKurallar[kural_id],0))+$D635*INDEX(tblKurallar[deger_2025],MATCH("TBA-002",tblKurallar[kural_id],0))+$E635*INDEX(tblKurallar[deger_2025],MATCH("TBA-004",tblKurallar[kural_id],0))+$F635*tba_isverenOran,2),0))</f>
        <v/>
      </c>
      <c r="I635" s="31">
        <f>IF($A635="","",IFERROR(MAX(0,$H635-$G635),0))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0" t="n"/>
      <c r="H636" s="31">
        <f>IF($A636="","",IFERROR(ROUND($C636*INDEX(tblKurallar[deger_2025],MATCH("TBA-001",tblKurallar[kural_id],0))+$D636*INDEX(tblKurallar[deger_2025],MATCH("TBA-002",tblKurallar[kural_id],0))+$E636*INDEX(tblKurallar[deger_2025],MATCH("TBA-004",tblKurallar[kural_id],0))+$F636*tba_isverenOran,2),0))</f>
        <v/>
      </c>
      <c r="I636" s="31">
        <f>IF($A636="","",IFERROR(MAX(0,$H636-$G636),0))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0" t="n"/>
      <c r="H637" s="31">
        <f>IF($A637="","",IFERROR(ROUND($C637*INDEX(tblKurallar[deger_2025],MATCH("TBA-001",tblKurallar[kural_id],0))+$D637*INDEX(tblKurallar[deger_2025],MATCH("TBA-002",tblKurallar[kural_id],0))+$E637*INDEX(tblKurallar[deger_2025],MATCH("TBA-004",tblKurallar[kural_id],0))+$F637*tba_isverenOran,2),0))</f>
        <v/>
      </c>
      <c r="I637" s="31">
        <f>IF($A637="","",IFERROR(MAX(0,$H637-$G637),0))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0" t="n"/>
      <c r="H638" s="31">
        <f>IF($A638="","",IFERROR(ROUND($C638*INDEX(tblKurallar[deger_2025],MATCH("TBA-001",tblKurallar[kural_id],0))+$D638*INDEX(tblKurallar[deger_2025],MATCH("TBA-002",tblKurallar[kural_id],0))+$E638*INDEX(tblKurallar[deger_2025],MATCH("TBA-004",tblKurallar[kural_id],0))+$F638*tba_isverenOran,2),0))</f>
        <v/>
      </c>
      <c r="I638" s="31">
        <f>IF($A638="","",IFERROR(MAX(0,$H638-$G638),0))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0" t="n"/>
      <c r="H639" s="31">
        <f>IF($A639="","",IFERROR(ROUND($C639*INDEX(tblKurallar[deger_2025],MATCH("TBA-001",tblKurallar[kural_id],0))+$D639*INDEX(tblKurallar[deger_2025],MATCH("TBA-002",tblKurallar[kural_id],0))+$E639*INDEX(tblKurallar[deger_2025],MATCH("TBA-004",tblKurallar[kural_id],0))+$F639*tba_isverenOran,2),0))</f>
        <v/>
      </c>
      <c r="I639" s="31">
        <f>IF($A639="","",IFERROR(MAX(0,$H639-$G639),0))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0" t="n"/>
      <c r="H640" s="31">
        <f>IF($A640="","",IFERROR(ROUND($C640*INDEX(tblKurallar[deger_2025],MATCH("TBA-001",tblKurallar[kural_id],0))+$D640*INDEX(tblKurallar[deger_2025],MATCH("TBA-002",tblKurallar[kural_id],0))+$E640*INDEX(tblKurallar[deger_2025],MATCH("TBA-004",tblKurallar[kural_id],0))+$F640*tba_isverenOran,2),0))</f>
        <v/>
      </c>
      <c r="I640" s="31">
        <f>IF($A640="","",IFERROR(MAX(0,$H640-$G640),0))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0" t="n"/>
      <c r="H641" s="31">
        <f>IF($A641="","",IFERROR(ROUND($C641*INDEX(tblKurallar[deger_2025],MATCH("TBA-001",tblKurallar[kural_id],0))+$D641*INDEX(tblKurallar[deger_2025],MATCH("TBA-002",tblKurallar[kural_id],0))+$E641*INDEX(tblKurallar[deger_2025],MATCH("TBA-004",tblKurallar[kural_id],0))+$F641*tba_isverenOran,2),0))</f>
        <v/>
      </c>
      <c r="I641" s="31">
        <f>IF($A641="","",IFERROR(MAX(0,$H641-$G641),0))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0" t="n"/>
      <c r="H642" s="31">
        <f>IF($A642="","",IFERROR(ROUND($C642*INDEX(tblKurallar[deger_2025],MATCH("TBA-001",tblKurallar[kural_id],0))+$D642*INDEX(tblKurallar[deger_2025],MATCH("TBA-002",tblKurallar[kural_id],0))+$E642*INDEX(tblKurallar[deger_2025],MATCH("TBA-004",tblKurallar[kural_id],0))+$F642*tba_isverenOran,2),0))</f>
        <v/>
      </c>
      <c r="I642" s="31">
        <f>IF($A642="","",IFERROR(MAX(0,$H642-$G642),0))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0" t="n"/>
      <c r="H643" s="31">
        <f>IF($A643="","",IFERROR(ROUND($C643*INDEX(tblKurallar[deger_2025],MATCH("TBA-001",tblKurallar[kural_id],0))+$D643*INDEX(tblKurallar[deger_2025],MATCH("TBA-002",tblKurallar[kural_id],0))+$E643*INDEX(tblKurallar[deger_2025],MATCH("TBA-004",tblKurallar[kural_id],0))+$F643*tba_isverenOran,2),0))</f>
        <v/>
      </c>
      <c r="I643" s="31">
        <f>IF($A643="","",IFERROR(MAX(0,$H643-$G643),0))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0" t="n"/>
      <c r="H644" s="31">
        <f>IF($A644="","",IFERROR(ROUND($C644*INDEX(tblKurallar[deger_2025],MATCH("TBA-001",tblKurallar[kural_id],0))+$D644*INDEX(tblKurallar[deger_2025],MATCH("TBA-002",tblKurallar[kural_id],0))+$E644*INDEX(tblKurallar[deger_2025],MATCH("TBA-004",tblKurallar[kural_id],0))+$F644*tba_isverenOran,2),0))</f>
        <v/>
      </c>
      <c r="I644" s="31">
        <f>IF($A644="","",IFERROR(MAX(0,$H644-$G644),0))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0" t="n"/>
      <c r="H645" s="31">
        <f>IF($A645="","",IFERROR(ROUND($C645*INDEX(tblKurallar[deger_2025],MATCH("TBA-001",tblKurallar[kural_id],0))+$D645*INDEX(tblKurallar[deger_2025],MATCH("TBA-002",tblKurallar[kural_id],0))+$E645*INDEX(tblKurallar[deger_2025],MATCH("TBA-004",tblKurallar[kural_id],0))+$F645*tba_isverenOran,2),0))</f>
        <v/>
      </c>
      <c r="I645" s="31">
        <f>IF($A645="","",IFERROR(MAX(0,$H645-$G645),0))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0" t="n"/>
      <c r="H646" s="31">
        <f>IF($A646="","",IFERROR(ROUND($C646*INDEX(tblKurallar[deger_2025],MATCH("TBA-001",tblKurallar[kural_id],0))+$D646*INDEX(tblKurallar[deger_2025],MATCH("TBA-002",tblKurallar[kural_id],0))+$E646*INDEX(tblKurallar[deger_2025],MATCH("TBA-004",tblKurallar[kural_id],0))+$F646*tba_isverenOran,2),0))</f>
        <v/>
      </c>
      <c r="I646" s="31">
        <f>IF($A646="","",IFERROR(MAX(0,$H646-$G646),0))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0" t="n"/>
      <c r="H647" s="31">
        <f>IF($A647="","",IFERROR(ROUND($C647*INDEX(tblKurallar[deger_2025],MATCH("TBA-001",tblKurallar[kural_id],0))+$D647*INDEX(tblKurallar[deger_2025],MATCH("TBA-002",tblKurallar[kural_id],0))+$E647*INDEX(tblKurallar[deger_2025],MATCH("TBA-004",tblKurallar[kural_id],0))+$F647*tba_isverenOran,2),0))</f>
        <v/>
      </c>
      <c r="I647" s="31">
        <f>IF($A647="","",IFERROR(MAX(0,$H647-$G647),0))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0" t="n"/>
      <c r="H648" s="31">
        <f>IF($A648="","",IFERROR(ROUND($C648*INDEX(tblKurallar[deger_2025],MATCH("TBA-001",tblKurallar[kural_id],0))+$D648*INDEX(tblKurallar[deger_2025],MATCH("TBA-002",tblKurallar[kural_id],0))+$E648*INDEX(tblKurallar[deger_2025],MATCH("TBA-004",tblKurallar[kural_id],0))+$F648*tba_isverenOran,2),0))</f>
        <v/>
      </c>
      <c r="I648" s="31">
        <f>IF($A648="","",IFERROR(MAX(0,$H648-$G648),0))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0" t="n"/>
      <c r="H649" s="31">
        <f>IF($A649="","",IFERROR(ROUND($C649*INDEX(tblKurallar[deger_2025],MATCH("TBA-001",tblKurallar[kural_id],0))+$D649*INDEX(tblKurallar[deger_2025],MATCH("TBA-002",tblKurallar[kural_id],0))+$E649*INDEX(tblKurallar[deger_2025],MATCH("TBA-004",tblKurallar[kural_id],0))+$F649*tba_isverenOran,2),0))</f>
        <v/>
      </c>
      <c r="I649" s="31">
        <f>IF($A649="","",IFERROR(MAX(0,$H649-$G649),0))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0" t="n"/>
      <c r="H650" s="31">
        <f>IF($A650="","",IFERROR(ROUND($C650*INDEX(tblKurallar[deger_2025],MATCH("TBA-001",tblKurallar[kural_id],0))+$D650*INDEX(tblKurallar[deger_2025],MATCH("TBA-002",tblKurallar[kural_id],0))+$E650*INDEX(tblKurallar[deger_2025],MATCH("TBA-004",tblKurallar[kural_id],0))+$F650*tba_isverenOran,2),0))</f>
        <v/>
      </c>
      <c r="I650" s="31">
        <f>IF($A650="","",IFERROR(MAX(0,$H650-$G650),0))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0" t="n"/>
      <c r="H651" s="31">
        <f>IF($A651="","",IFERROR(ROUND($C651*INDEX(tblKurallar[deger_2025],MATCH("TBA-001",tblKurallar[kural_id],0))+$D651*INDEX(tblKurallar[deger_2025],MATCH("TBA-002",tblKurallar[kural_id],0))+$E651*INDEX(tblKurallar[deger_2025],MATCH("TBA-004",tblKurallar[kural_id],0))+$F651*tba_isverenOran,2),0))</f>
        <v/>
      </c>
      <c r="I651" s="31">
        <f>IF($A651="","",IFERROR(MAX(0,$H651-$G651),0))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0" t="n"/>
      <c r="H652" s="31">
        <f>IF($A652="","",IFERROR(ROUND($C652*INDEX(tblKurallar[deger_2025],MATCH("TBA-001",tblKurallar[kural_id],0))+$D652*INDEX(tblKurallar[deger_2025],MATCH("TBA-002",tblKurallar[kural_id],0))+$E652*INDEX(tblKurallar[deger_2025],MATCH("TBA-004",tblKurallar[kural_id],0))+$F652*tba_isverenOran,2),0))</f>
        <v/>
      </c>
      <c r="I652" s="31">
        <f>IF($A652="","",IFERROR(MAX(0,$H652-$G652),0))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0" t="n"/>
      <c r="H653" s="31">
        <f>IF($A653="","",IFERROR(ROUND($C653*INDEX(tblKurallar[deger_2025],MATCH("TBA-001",tblKurallar[kural_id],0))+$D653*INDEX(tblKurallar[deger_2025],MATCH("TBA-002",tblKurallar[kural_id],0))+$E653*INDEX(tblKurallar[deger_2025],MATCH("TBA-004",tblKurallar[kural_id],0))+$F653*tba_isverenOran,2),0))</f>
        <v/>
      </c>
      <c r="I653" s="31">
        <f>IF($A653="","",IFERROR(MAX(0,$H653-$G653),0))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0" t="n"/>
      <c r="H654" s="31">
        <f>IF($A654="","",IFERROR(ROUND($C654*INDEX(tblKurallar[deger_2025],MATCH("TBA-001",tblKurallar[kural_id],0))+$D654*INDEX(tblKurallar[deger_2025],MATCH("TBA-002",tblKurallar[kural_id],0))+$E654*INDEX(tblKurallar[deger_2025],MATCH("TBA-004",tblKurallar[kural_id],0))+$F654*tba_isverenOran,2),0))</f>
        <v/>
      </c>
      <c r="I654" s="31">
        <f>IF($A654="","",IFERROR(MAX(0,$H654-$G654),0))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0" t="n"/>
      <c r="H655" s="31">
        <f>IF($A655="","",IFERROR(ROUND($C655*INDEX(tblKurallar[deger_2025],MATCH("TBA-001",tblKurallar[kural_id],0))+$D655*INDEX(tblKurallar[deger_2025],MATCH("TBA-002",tblKurallar[kural_id],0))+$E655*INDEX(tblKurallar[deger_2025],MATCH("TBA-004",tblKurallar[kural_id],0))+$F655*tba_isverenOran,2),0))</f>
        <v/>
      </c>
      <c r="I655" s="31">
        <f>IF($A655="","",IFERROR(MAX(0,$H655-$G655),0))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0" t="n"/>
      <c r="H656" s="31">
        <f>IF($A656="","",IFERROR(ROUND($C656*INDEX(tblKurallar[deger_2025],MATCH("TBA-001",tblKurallar[kural_id],0))+$D656*INDEX(tblKurallar[deger_2025],MATCH("TBA-002",tblKurallar[kural_id],0))+$E656*INDEX(tblKurallar[deger_2025],MATCH("TBA-004",tblKurallar[kural_id],0))+$F656*tba_isverenOran,2),0))</f>
        <v/>
      </c>
      <c r="I656" s="31">
        <f>IF($A656="","",IFERROR(MAX(0,$H656-$G656),0))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0" t="n"/>
      <c r="H657" s="31">
        <f>IF($A657="","",IFERROR(ROUND($C657*INDEX(tblKurallar[deger_2025],MATCH("TBA-001",tblKurallar[kural_id],0))+$D657*INDEX(tblKurallar[deger_2025],MATCH("TBA-002",tblKurallar[kural_id],0))+$E657*INDEX(tblKurallar[deger_2025],MATCH("TBA-004",tblKurallar[kural_id],0))+$F657*tba_isverenOran,2),0))</f>
        <v/>
      </c>
      <c r="I657" s="31">
        <f>IF($A657="","",IFERROR(MAX(0,$H657-$G657),0))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0" t="n"/>
      <c r="H658" s="31">
        <f>IF($A658="","",IFERROR(ROUND($C658*INDEX(tblKurallar[deger_2025],MATCH("TBA-001",tblKurallar[kural_id],0))+$D658*INDEX(tblKurallar[deger_2025],MATCH("TBA-002",tblKurallar[kural_id],0))+$E658*INDEX(tblKurallar[deger_2025],MATCH("TBA-004",tblKurallar[kural_id],0))+$F658*tba_isverenOran,2),0))</f>
        <v/>
      </c>
      <c r="I658" s="31">
        <f>IF($A658="","",IFERROR(MAX(0,$H658-$G658),0))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0" t="n"/>
      <c r="H659" s="31">
        <f>IF($A659="","",IFERROR(ROUND($C659*INDEX(tblKurallar[deger_2025],MATCH("TBA-001",tblKurallar[kural_id],0))+$D659*INDEX(tblKurallar[deger_2025],MATCH("TBA-002",tblKurallar[kural_id],0))+$E659*INDEX(tblKurallar[deger_2025],MATCH("TBA-004",tblKurallar[kural_id],0))+$F659*tba_isverenOran,2),0))</f>
        <v/>
      </c>
      <c r="I659" s="31">
        <f>IF($A659="","",IFERROR(MAX(0,$H659-$G659),0))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0" t="n"/>
      <c r="H660" s="31">
        <f>IF($A660="","",IFERROR(ROUND($C660*INDEX(tblKurallar[deger_2025],MATCH("TBA-001",tblKurallar[kural_id],0))+$D660*INDEX(tblKurallar[deger_2025],MATCH("TBA-002",tblKurallar[kural_id],0))+$E660*INDEX(tblKurallar[deger_2025],MATCH("TBA-004",tblKurallar[kural_id],0))+$F660*tba_isverenOran,2),0))</f>
        <v/>
      </c>
      <c r="I660" s="31">
        <f>IF($A660="","",IFERROR(MAX(0,$H660-$G660),0))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0" t="n"/>
      <c r="H661" s="31">
        <f>IF($A661="","",IFERROR(ROUND($C661*INDEX(tblKurallar[deger_2025],MATCH("TBA-001",tblKurallar[kural_id],0))+$D661*INDEX(tblKurallar[deger_2025],MATCH("TBA-002",tblKurallar[kural_id],0))+$E661*INDEX(tblKurallar[deger_2025],MATCH("TBA-004",tblKurallar[kural_id],0))+$F661*tba_isverenOran,2),0))</f>
        <v/>
      </c>
      <c r="I661" s="31">
        <f>IF($A661="","",IFERROR(MAX(0,$H661-$G661),0))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0" t="n"/>
      <c r="H662" s="31">
        <f>IF($A662="","",IFERROR(ROUND($C662*INDEX(tblKurallar[deger_2025],MATCH("TBA-001",tblKurallar[kural_id],0))+$D662*INDEX(tblKurallar[deger_2025],MATCH("TBA-002",tblKurallar[kural_id],0))+$E662*INDEX(tblKurallar[deger_2025],MATCH("TBA-004",tblKurallar[kural_id],0))+$F662*tba_isverenOran,2),0))</f>
        <v/>
      </c>
      <c r="I662" s="31">
        <f>IF($A662="","",IFERROR(MAX(0,$H662-$G662),0))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0" t="n"/>
      <c r="H663" s="31">
        <f>IF($A663="","",IFERROR(ROUND($C663*INDEX(tblKurallar[deger_2025],MATCH("TBA-001",tblKurallar[kural_id],0))+$D663*INDEX(tblKurallar[deger_2025],MATCH("TBA-002",tblKurallar[kural_id],0))+$E663*INDEX(tblKurallar[deger_2025],MATCH("TBA-004",tblKurallar[kural_id],0))+$F663*tba_isverenOran,2),0))</f>
        <v/>
      </c>
      <c r="I663" s="31">
        <f>IF($A663="","",IFERROR(MAX(0,$H663-$G663),0))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0" t="n"/>
      <c r="H664" s="31">
        <f>IF($A664="","",IFERROR(ROUND($C664*INDEX(tblKurallar[deger_2025],MATCH("TBA-001",tblKurallar[kural_id],0))+$D664*INDEX(tblKurallar[deger_2025],MATCH("TBA-002",tblKurallar[kural_id],0))+$E664*INDEX(tblKurallar[deger_2025],MATCH("TBA-004",tblKurallar[kural_id],0))+$F664*tba_isverenOran,2),0))</f>
        <v/>
      </c>
      <c r="I664" s="31">
        <f>IF($A664="","",IFERROR(MAX(0,$H664-$G664),0))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0" t="n"/>
      <c r="H665" s="31">
        <f>IF($A665="","",IFERROR(ROUND($C665*INDEX(tblKurallar[deger_2025],MATCH("TBA-001",tblKurallar[kural_id],0))+$D665*INDEX(tblKurallar[deger_2025],MATCH("TBA-002",tblKurallar[kural_id],0))+$E665*INDEX(tblKurallar[deger_2025],MATCH("TBA-004",tblKurallar[kural_id],0))+$F665*tba_isverenOran,2),0))</f>
        <v/>
      </c>
      <c r="I665" s="31">
        <f>IF($A665="","",IFERROR(MAX(0,$H665-$G665),0))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0" t="n"/>
      <c r="H666" s="31">
        <f>IF($A666="","",IFERROR(ROUND($C666*INDEX(tblKurallar[deger_2025],MATCH("TBA-001",tblKurallar[kural_id],0))+$D666*INDEX(tblKurallar[deger_2025],MATCH("TBA-002",tblKurallar[kural_id],0))+$E666*INDEX(tblKurallar[deger_2025],MATCH("TBA-004",tblKurallar[kural_id],0))+$F666*tba_isverenOran,2),0))</f>
        <v/>
      </c>
      <c r="I666" s="31">
        <f>IF($A666="","",IFERROR(MAX(0,$H666-$G666),0))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0" t="n"/>
      <c r="H667" s="31">
        <f>IF($A667="","",IFERROR(ROUND($C667*INDEX(tblKurallar[deger_2025],MATCH("TBA-001",tblKurallar[kural_id],0))+$D667*INDEX(tblKurallar[deger_2025],MATCH("TBA-002",tblKurallar[kural_id],0))+$E667*INDEX(tblKurallar[deger_2025],MATCH("TBA-004",tblKurallar[kural_id],0))+$F667*tba_isverenOran,2),0))</f>
        <v/>
      </c>
      <c r="I667" s="31">
        <f>IF($A667="","",IFERROR(MAX(0,$H667-$G667),0))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0" t="n"/>
      <c r="H668" s="31">
        <f>IF($A668="","",IFERROR(ROUND($C668*INDEX(tblKurallar[deger_2025],MATCH("TBA-001",tblKurallar[kural_id],0))+$D668*INDEX(tblKurallar[deger_2025],MATCH("TBA-002",tblKurallar[kural_id],0))+$E668*INDEX(tblKurallar[deger_2025],MATCH("TBA-004",tblKurallar[kural_id],0))+$F668*tba_isverenOran,2),0))</f>
        <v/>
      </c>
      <c r="I668" s="31">
        <f>IF($A668="","",IFERROR(MAX(0,$H668-$G668),0))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0" t="n"/>
      <c r="H669" s="31">
        <f>IF($A669="","",IFERROR(ROUND($C669*INDEX(tblKurallar[deger_2025],MATCH("TBA-001",tblKurallar[kural_id],0))+$D669*INDEX(tblKurallar[deger_2025],MATCH("TBA-002",tblKurallar[kural_id],0))+$E669*INDEX(tblKurallar[deger_2025],MATCH("TBA-004",tblKurallar[kural_id],0))+$F669*tba_isverenOran,2),0))</f>
        <v/>
      </c>
      <c r="I669" s="31">
        <f>IF($A669="","",IFERROR(MAX(0,$H669-$G669),0))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0" t="n"/>
      <c r="H670" s="31">
        <f>IF($A670="","",IFERROR(ROUND($C670*INDEX(tblKurallar[deger_2025],MATCH("TBA-001",tblKurallar[kural_id],0))+$D670*INDEX(tblKurallar[deger_2025],MATCH("TBA-002",tblKurallar[kural_id],0))+$E670*INDEX(tblKurallar[deger_2025],MATCH("TBA-004",tblKurallar[kural_id],0))+$F670*tba_isverenOran,2),0))</f>
        <v/>
      </c>
      <c r="I670" s="31">
        <f>IF($A670="","",IFERROR(MAX(0,$H670-$G670),0))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0" t="n"/>
      <c r="H671" s="31">
        <f>IF($A671="","",IFERROR(ROUND($C671*INDEX(tblKurallar[deger_2025],MATCH("TBA-001",tblKurallar[kural_id],0))+$D671*INDEX(tblKurallar[deger_2025],MATCH("TBA-002",tblKurallar[kural_id],0))+$E671*INDEX(tblKurallar[deger_2025],MATCH("TBA-004",tblKurallar[kural_id],0))+$F671*tba_isverenOran,2),0))</f>
        <v/>
      </c>
      <c r="I671" s="31">
        <f>IF($A671="","",IFERROR(MAX(0,$H671-$G671),0))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0" t="n"/>
      <c r="H672" s="31">
        <f>IF($A672="","",IFERROR(ROUND($C672*INDEX(tblKurallar[deger_2025],MATCH("TBA-001",tblKurallar[kural_id],0))+$D672*INDEX(tblKurallar[deger_2025],MATCH("TBA-002",tblKurallar[kural_id],0))+$E672*INDEX(tblKurallar[deger_2025],MATCH("TBA-004",tblKurallar[kural_id],0))+$F672*tba_isverenOran,2),0))</f>
        <v/>
      </c>
      <c r="I672" s="31">
        <f>IF($A672="","",IFERROR(MAX(0,$H672-$G672),0))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0" t="n"/>
      <c r="H673" s="31">
        <f>IF($A673="","",IFERROR(ROUND($C673*INDEX(tblKurallar[deger_2025],MATCH("TBA-001",tblKurallar[kural_id],0))+$D673*INDEX(tblKurallar[deger_2025],MATCH("TBA-002",tblKurallar[kural_id],0))+$E673*INDEX(tblKurallar[deger_2025],MATCH("TBA-004",tblKurallar[kural_id],0))+$F673*tba_isverenOran,2),0))</f>
        <v/>
      </c>
      <c r="I673" s="31">
        <f>IF($A673="","",IFERROR(MAX(0,$H673-$G673),0))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0" t="n"/>
      <c r="H674" s="31">
        <f>IF($A674="","",IFERROR(ROUND($C674*INDEX(tblKurallar[deger_2025],MATCH("TBA-001",tblKurallar[kural_id],0))+$D674*INDEX(tblKurallar[deger_2025],MATCH("TBA-002",tblKurallar[kural_id],0))+$E674*INDEX(tblKurallar[deger_2025],MATCH("TBA-004",tblKurallar[kural_id],0))+$F674*tba_isverenOran,2),0))</f>
        <v/>
      </c>
      <c r="I674" s="31">
        <f>IF($A674="","",IFERROR(MAX(0,$H674-$G674),0))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0" t="n"/>
      <c r="H675" s="31">
        <f>IF($A675="","",IFERROR(ROUND($C675*INDEX(tblKurallar[deger_2025],MATCH("TBA-001",tblKurallar[kural_id],0))+$D675*INDEX(tblKurallar[deger_2025],MATCH("TBA-002",tblKurallar[kural_id],0))+$E675*INDEX(tblKurallar[deger_2025],MATCH("TBA-004",tblKurallar[kural_id],0))+$F675*tba_isverenOran,2),0))</f>
        <v/>
      </c>
      <c r="I675" s="31">
        <f>IF($A675="","",IFERROR(MAX(0,$H675-$G675),0))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0" t="n"/>
      <c r="H676" s="31">
        <f>IF($A676="","",IFERROR(ROUND($C676*INDEX(tblKurallar[deger_2025],MATCH("TBA-001",tblKurallar[kural_id],0))+$D676*INDEX(tblKurallar[deger_2025],MATCH("TBA-002",tblKurallar[kural_id],0))+$E676*INDEX(tblKurallar[deger_2025],MATCH("TBA-004",tblKurallar[kural_id],0))+$F676*tba_isverenOran,2),0))</f>
        <v/>
      </c>
      <c r="I676" s="31">
        <f>IF($A676="","",IFERROR(MAX(0,$H676-$G676),0))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0" t="n"/>
      <c r="H677" s="31">
        <f>IF($A677="","",IFERROR(ROUND($C677*INDEX(tblKurallar[deger_2025],MATCH("TBA-001",tblKurallar[kural_id],0))+$D677*INDEX(tblKurallar[deger_2025],MATCH("TBA-002",tblKurallar[kural_id],0))+$E677*INDEX(tblKurallar[deger_2025],MATCH("TBA-004",tblKurallar[kural_id],0))+$F677*tba_isverenOran,2),0))</f>
        <v/>
      </c>
      <c r="I677" s="31">
        <f>IF($A677="","",IFERROR(MAX(0,$H677-$G677),0))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0" t="n"/>
      <c r="H678" s="31">
        <f>IF($A678="","",IFERROR(ROUND($C678*INDEX(tblKurallar[deger_2025],MATCH("TBA-001",tblKurallar[kural_id],0))+$D678*INDEX(tblKurallar[deger_2025],MATCH("TBA-002",tblKurallar[kural_id],0))+$E678*INDEX(tblKurallar[deger_2025],MATCH("TBA-004",tblKurallar[kural_id],0))+$F678*tba_isverenOran,2),0))</f>
        <v/>
      </c>
      <c r="I678" s="31">
        <f>IF($A678="","",IFERROR(MAX(0,$H678-$G678),0))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0" t="n"/>
      <c r="H679" s="31">
        <f>IF($A679="","",IFERROR(ROUND($C679*INDEX(tblKurallar[deger_2025],MATCH("TBA-001",tblKurallar[kural_id],0))+$D679*INDEX(tblKurallar[deger_2025],MATCH("TBA-002",tblKurallar[kural_id],0))+$E679*INDEX(tblKurallar[deger_2025],MATCH("TBA-004",tblKurallar[kural_id],0))+$F679*tba_isverenOran,2),0))</f>
        <v/>
      </c>
      <c r="I679" s="31">
        <f>IF($A679="","",IFERROR(MAX(0,$H679-$G679),0))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0" t="n"/>
      <c r="H680" s="31">
        <f>IF($A680="","",IFERROR(ROUND($C680*INDEX(tblKurallar[deger_2025],MATCH("TBA-001",tblKurallar[kural_id],0))+$D680*INDEX(tblKurallar[deger_2025],MATCH("TBA-002",tblKurallar[kural_id],0))+$E680*INDEX(tblKurallar[deger_2025],MATCH("TBA-004",tblKurallar[kural_id],0))+$F680*tba_isverenOran,2),0))</f>
        <v/>
      </c>
      <c r="I680" s="31">
        <f>IF($A680="","",IFERROR(MAX(0,$H680-$G680),0))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0" t="n"/>
      <c r="H681" s="31">
        <f>IF($A681="","",IFERROR(ROUND($C681*INDEX(tblKurallar[deger_2025],MATCH("TBA-001",tblKurallar[kural_id],0))+$D681*INDEX(tblKurallar[deger_2025],MATCH("TBA-002",tblKurallar[kural_id],0))+$E681*INDEX(tblKurallar[deger_2025],MATCH("TBA-004",tblKurallar[kural_id],0))+$F681*tba_isverenOran,2),0))</f>
        <v/>
      </c>
      <c r="I681" s="31">
        <f>IF($A681="","",IFERROR(MAX(0,$H681-$G681),0))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0" t="n"/>
      <c r="H682" s="31">
        <f>IF($A682="","",IFERROR(ROUND($C682*INDEX(tblKurallar[deger_2025],MATCH("TBA-001",tblKurallar[kural_id],0))+$D682*INDEX(tblKurallar[deger_2025],MATCH("TBA-002",tblKurallar[kural_id],0))+$E682*INDEX(tblKurallar[deger_2025],MATCH("TBA-004",tblKurallar[kural_id],0))+$F682*tba_isverenOran,2),0))</f>
        <v/>
      </c>
      <c r="I682" s="31">
        <f>IF($A682="","",IFERROR(MAX(0,$H682-$G682),0))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0" t="n"/>
      <c r="H683" s="31">
        <f>IF($A683="","",IFERROR(ROUND($C683*INDEX(tblKurallar[deger_2025],MATCH("TBA-001",tblKurallar[kural_id],0))+$D683*INDEX(tblKurallar[deger_2025],MATCH("TBA-002",tblKurallar[kural_id],0))+$E683*INDEX(tblKurallar[deger_2025],MATCH("TBA-004",tblKurallar[kural_id],0))+$F683*tba_isverenOran,2),0))</f>
        <v/>
      </c>
      <c r="I683" s="31">
        <f>IF($A683="","",IFERROR(MAX(0,$H683-$G683),0))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0" t="n"/>
      <c r="H684" s="31">
        <f>IF($A684="","",IFERROR(ROUND($C684*INDEX(tblKurallar[deger_2025],MATCH("TBA-001",tblKurallar[kural_id],0))+$D684*INDEX(tblKurallar[deger_2025],MATCH("TBA-002",tblKurallar[kural_id],0))+$E684*INDEX(tblKurallar[deger_2025],MATCH("TBA-004",tblKurallar[kural_id],0))+$F684*tba_isverenOran,2),0))</f>
        <v/>
      </c>
      <c r="I684" s="31">
        <f>IF($A684="","",IFERROR(MAX(0,$H684-$G684),0))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0" t="n"/>
      <c r="H685" s="31">
        <f>IF($A685="","",IFERROR(ROUND($C685*INDEX(tblKurallar[deger_2025],MATCH("TBA-001",tblKurallar[kural_id],0))+$D685*INDEX(tblKurallar[deger_2025],MATCH("TBA-002",tblKurallar[kural_id],0))+$E685*INDEX(tblKurallar[deger_2025],MATCH("TBA-004",tblKurallar[kural_id],0))+$F685*tba_isverenOran,2),0))</f>
        <v/>
      </c>
      <c r="I685" s="31">
        <f>IF($A685="","",IFERROR(MAX(0,$H685-$G685),0))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0" t="n"/>
      <c r="H686" s="31">
        <f>IF($A686="","",IFERROR(ROUND($C686*INDEX(tblKurallar[deger_2025],MATCH("TBA-001",tblKurallar[kural_id],0))+$D686*INDEX(tblKurallar[deger_2025],MATCH("TBA-002",tblKurallar[kural_id],0))+$E686*INDEX(tblKurallar[deger_2025],MATCH("TBA-004",tblKurallar[kural_id],0))+$F686*tba_isverenOran,2),0))</f>
        <v/>
      </c>
      <c r="I686" s="31">
        <f>IF($A686="","",IFERROR(MAX(0,$H686-$G686),0))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0" t="n"/>
      <c r="H687" s="31">
        <f>IF($A687="","",IFERROR(ROUND($C687*INDEX(tblKurallar[deger_2025],MATCH("TBA-001",tblKurallar[kural_id],0))+$D687*INDEX(tblKurallar[deger_2025],MATCH("TBA-002",tblKurallar[kural_id],0))+$E687*INDEX(tblKurallar[deger_2025],MATCH("TBA-004",tblKurallar[kural_id],0))+$F687*tba_isverenOran,2),0))</f>
        <v/>
      </c>
      <c r="I687" s="31">
        <f>IF($A687="","",IFERROR(MAX(0,$H687-$G687),0))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0" t="n"/>
      <c r="H688" s="31">
        <f>IF($A688="","",IFERROR(ROUND($C688*INDEX(tblKurallar[deger_2025],MATCH("TBA-001",tblKurallar[kural_id],0))+$D688*INDEX(tblKurallar[deger_2025],MATCH("TBA-002",tblKurallar[kural_id],0))+$E688*INDEX(tblKurallar[deger_2025],MATCH("TBA-004",tblKurallar[kural_id],0))+$F688*tba_isverenOran,2),0))</f>
        <v/>
      </c>
      <c r="I688" s="31">
        <f>IF($A688="","",IFERROR(MAX(0,$H688-$G688),0))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0" t="n"/>
      <c r="H689" s="31">
        <f>IF($A689="","",IFERROR(ROUND($C689*INDEX(tblKurallar[deger_2025],MATCH("TBA-001",tblKurallar[kural_id],0))+$D689*INDEX(tblKurallar[deger_2025],MATCH("TBA-002",tblKurallar[kural_id],0))+$E689*INDEX(tblKurallar[deger_2025],MATCH("TBA-004",tblKurallar[kural_id],0))+$F689*tba_isverenOran,2),0))</f>
        <v/>
      </c>
      <c r="I689" s="31">
        <f>IF($A689="","",IFERROR(MAX(0,$H689-$G689),0))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0" t="n"/>
      <c r="H690" s="31">
        <f>IF($A690="","",IFERROR(ROUND($C690*INDEX(tblKurallar[deger_2025],MATCH("TBA-001",tblKurallar[kural_id],0))+$D690*INDEX(tblKurallar[deger_2025],MATCH("TBA-002",tblKurallar[kural_id],0))+$E690*INDEX(tblKurallar[deger_2025],MATCH("TBA-004",tblKurallar[kural_id],0))+$F690*tba_isverenOran,2),0))</f>
        <v/>
      </c>
      <c r="I690" s="31">
        <f>IF($A690="","",IFERROR(MAX(0,$H690-$G690),0))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0" t="n"/>
      <c r="H691" s="31">
        <f>IF($A691="","",IFERROR(ROUND($C691*INDEX(tblKurallar[deger_2025],MATCH("TBA-001",tblKurallar[kural_id],0))+$D691*INDEX(tblKurallar[deger_2025],MATCH("TBA-002",tblKurallar[kural_id],0))+$E691*INDEX(tblKurallar[deger_2025],MATCH("TBA-004",tblKurallar[kural_id],0))+$F691*tba_isverenOran,2),0))</f>
        <v/>
      </c>
      <c r="I691" s="31">
        <f>IF($A691="","",IFERROR(MAX(0,$H691-$G691),0))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0" t="n"/>
      <c r="H692" s="31">
        <f>IF($A692="","",IFERROR(ROUND($C692*INDEX(tblKurallar[deger_2025],MATCH("TBA-001",tblKurallar[kural_id],0))+$D692*INDEX(tblKurallar[deger_2025],MATCH("TBA-002",tblKurallar[kural_id],0))+$E692*INDEX(tblKurallar[deger_2025],MATCH("TBA-004",tblKurallar[kural_id],0))+$F692*tba_isverenOran,2),0))</f>
        <v/>
      </c>
      <c r="I692" s="31">
        <f>IF($A692="","",IFERROR(MAX(0,$H692-$G692),0))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0" t="n"/>
      <c r="H693" s="31">
        <f>IF($A693="","",IFERROR(ROUND($C693*INDEX(tblKurallar[deger_2025],MATCH("TBA-001",tblKurallar[kural_id],0))+$D693*INDEX(tblKurallar[deger_2025],MATCH("TBA-002",tblKurallar[kural_id],0))+$E693*INDEX(tblKurallar[deger_2025],MATCH("TBA-004",tblKurallar[kural_id],0))+$F693*tba_isverenOran,2),0))</f>
        <v/>
      </c>
      <c r="I693" s="31">
        <f>IF($A693="","",IFERROR(MAX(0,$H693-$G693),0))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0" t="n"/>
      <c r="H694" s="31">
        <f>IF($A694="","",IFERROR(ROUND($C694*INDEX(tblKurallar[deger_2025],MATCH("TBA-001",tblKurallar[kural_id],0))+$D694*INDEX(tblKurallar[deger_2025],MATCH("TBA-002",tblKurallar[kural_id],0))+$E694*INDEX(tblKurallar[deger_2025],MATCH("TBA-004",tblKurallar[kural_id],0))+$F694*tba_isverenOran,2),0))</f>
        <v/>
      </c>
      <c r="I694" s="31">
        <f>IF($A694="","",IFERROR(MAX(0,$H694-$G694),0))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0" t="n"/>
      <c r="H695" s="31">
        <f>IF($A695="","",IFERROR(ROUND($C695*INDEX(tblKurallar[deger_2025],MATCH("TBA-001",tblKurallar[kural_id],0))+$D695*INDEX(tblKurallar[deger_2025],MATCH("TBA-002",tblKurallar[kural_id],0))+$E695*INDEX(tblKurallar[deger_2025],MATCH("TBA-004",tblKurallar[kural_id],0))+$F695*tba_isverenOran,2),0))</f>
        <v/>
      </c>
      <c r="I695" s="31">
        <f>IF($A695="","",IFERROR(MAX(0,$H695-$G695),0))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0" t="n"/>
      <c r="H696" s="31">
        <f>IF($A696="","",IFERROR(ROUND($C696*INDEX(tblKurallar[deger_2025],MATCH("TBA-001",tblKurallar[kural_id],0))+$D696*INDEX(tblKurallar[deger_2025],MATCH("TBA-002",tblKurallar[kural_id],0))+$E696*INDEX(tblKurallar[deger_2025],MATCH("TBA-004",tblKurallar[kural_id],0))+$F696*tba_isverenOran,2),0))</f>
        <v/>
      </c>
      <c r="I696" s="31">
        <f>IF($A696="","",IFERROR(MAX(0,$H696-$G696),0))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0" t="n"/>
      <c r="H697" s="31">
        <f>IF($A697="","",IFERROR(ROUND($C697*INDEX(tblKurallar[deger_2025],MATCH("TBA-001",tblKurallar[kural_id],0))+$D697*INDEX(tblKurallar[deger_2025],MATCH("TBA-002",tblKurallar[kural_id],0))+$E697*INDEX(tblKurallar[deger_2025],MATCH("TBA-004",tblKurallar[kural_id],0))+$F697*tba_isverenOran,2),0))</f>
        <v/>
      </c>
      <c r="I697" s="31">
        <f>IF($A697="","",IFERROR(MAX(0,$H697-$G697),0))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0" t="n"/>
      <c r="H698" s="31">
        <f>IF($A698="","",IFERROR(ROUND($C698*INDEX(tblKurallar[deger_2025],MATCH("TBA-001",tblKurallar[kural_id],0))+$D698*INDEX(tblKurallar[deger_2025],MATCH("TBA-002",tblKurallar[kural_id],0))+$E698*INDEX(tblKurallar[deger_2025],MATCH("TBA-004",tblKurallar[kural_id],0))+$F698*tba_isverenOran,2),0))</f>
        <v/>
      </c>
      <c r="I698" s="31">
        <f>IF($A698="","",IFERROR(MAX(0,$H698-$G698),0))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0" t="n"/>
      <c r="H699" s="31">
        <f>IF($A699="","",IFERROR(ROUND($C699*INDEX(tblKurallar[deger_2025],MATCH("TBA-001",tblKurallar[kural_id],0))+$D699*INDEX(tblKurallar[deger_2025],MATCH("TBA-002",tblKurallar[kural_id],0))+$E699*INDEX(tblKurallar[deger_2025],MATCH("TBA-004",tblKurallar[kural_id],0))+$F699*tba_isverenOran,2),0))</f>
        <v/>
      </c>
      <c r="I699" s="31">
        <f>IF($A699="","",IFERROR(MAX(0,$H699-$G699),0))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0" t="n"/>
      <c r="H700" s="31">
        <f>IF($A700="","",IFERROR(ROUND($C700*INDEX(tblKurallar[deger_2025],MATCH("TBA-001",tblKurallar[kural_id],0))+$D700*INDEX(tblKurallar[deger_2025],MATCH("TBA-002",tblKurallar[kural_id],0))+$E700*INDEX(tblKurallar[deger_2025],MATCH("TBA-004",tblKurallar[kural_id],0))+$F700*tba_isverenOran,2),0))</f>
        <v/>
      </c>
      <c r="I700" s="31">
        <f>IF($A700="","",IFERROR(MAX(0,$H700-$G700),0))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0" t="n"/>
      <c r="H701" s="31">
        <f>IF($A701="","",IFERROR(ROUND($C701*INDEX(tblKurallar[deger_2025],MATCH("TBA-001",tblKurallar[kural_id],0))+$D701*INDEX(tblKurallar[deger_2025],MATCH("TBA-002",tblKurallar[kural_id],0))+$E701*INDEX(tblKurallar[deger_2025],MATCH("TBA-004",tblKurallar[kural_id],0))+$F701*tba_isverenOran,2),0))</f>
        <v/>
      </c>
      <c r="I701" s="31">
        <f>IF($A701="","",IFERROR(MAX(0,$H701-$G701),0))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0" t="n"/>
      <c r="H702" s="31">
        <f>IF($A702="","",IFERROR(ROUND($C702*INDEX(tblKurallar[deger_2025],MATCH("TBA-001",tblKurallar[kural_id],0))+$D702*INDEX(tblKurallar[deger_2025],MATCH("TBA-002",tblKurallar[kural_id],0))+$E702*INDEX(tblKurallar[deger_2025],MATCH("TBA-004",tblKurallar[kural_id],0))+$F702*tba_isverenOran,2),0))</f>
        <v/>
      </c>
      <c r="I702" s="31">
        <f>IF($A702="","",IFERROR(MAX(0,$H702-$G702),0))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0" t="n"/>
      <c r="H703" s="31">
        <f>IF($A703="","",IFERROR(ROUND($C703*INDEX(tblKurallar[deger_2025],MATCH("TBA-001",tblKurallar[kural_id],0))+$D703*INDEX(tblKurallar[deger_2025],MATCH("TBA-002",tblKurallar[kural_id],0))+$E703*INDEX(tblKurallar[deger_2025],MATCH("TBA-004",tblKurallar[kural_id],0))+$F703*tba_isverenOran,2),0))</f>
        <v/>
      </c>
      <c r="I703" s="31">
        <f>IF($A703="","",IFERROR(MAX(0,$H703-$G703),0))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0" t="n"/>
      <c r="H704" s="31">
        <f>IF($A704="","",IFERROR(ROUND($C704*INDEX(tblKurallar[deger_2025],MATCH("TBA-001",tblKurallar[kural_id],0))+$D704*INDEX(tblKurallar[deger_2025],MATCH("TBA-002",tblKurallar[kural_id],0))+$E704*INDEX(tblKurallar[deger_2025],MATCH("TBA-004",tblKurallar[kural_id],0))+$F704*tba_isverenOran,2),0))</f>
        <v/>
      </c>
      <c r="I704" s="31">
        <f>IF($A704="","",IFERROR(MAX(0,$H704-$G704),0))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0" t="n"/>
      <c r="H705" s="31">
        <f>IF($A705="","",IFERROR(ROUND($C705*INDEX(tblKurallar[deger_2025],MATCH("TBA-001",tblKurallar[kural_id],0))+$D705*INDEX(tblKurallar[deger_2025],MATCH("TBA-002",tblKurallar[kural_id],0))+$E705*INDEX(tblKurallar[deger_2025],MATCH("TBA-004",tblKurallar[kural_id],0))+$F705*tba_isverenOran,2),0))</f>
        <v/>
      </c>
      <c r="I705" s="31">
        <f>IF($A705="","",IFERROR(MAX(0,$H705-$G705),0))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0" t="n"/>
      <c r="H706" s="31">
        <f>IF($A706="","",IFERROR(ROUND($C706*INDEX(tblKurallar[deger_2025],MATCH("TBA-001",tblKurallar[kural_id],0))+$D706*INDEX(tblKurallar[deger_2025],MATCH("TBA-002",tblKurallar[kural_id],0))+$E706*INDEX(tblKurallar[deger_2025],MATCH("TBA-004",tblKurallar[kural_id],0))+$F706*tba_isverenOran,2),0))</f>
        <v/>
      </c>
      <c r="I706" s="31">
        <f>IF($A706="","",IFERROR(MAX(0,$H706-$G706),0))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0" t="n"/>
      <c r="H707" s="31">
        <f>IF($A707="","",IFERROR(ROUND($C707*INDEX(tblKurallar[deger_2025],MATCH("TBA-001",tblKurallar[kural_id],0))+$D707*INDEX(tblKurallar[deger_2025],MATCH("TBA-002",tblKurallar[kural_id],0))+$E707*INDEX(tblKurallar[deger_2025],MATCH("TBA-004",tblKurallar[kural_id],0))+$F707*tba_isverenOran,2),0))</f>
        <v/>
      </c>
      <c r="I707" s="31">
        <f>IF($A707="","",IFERROR(MAX(0,$H707-$G707),0))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0" t="n"/>
      <c r="H708" s="31">
        <f>IF($A708="","",IFERROR(ROUND($C708*INDEX(tblKurallar[deger_2025],MATCH("TBA-001",tblKurallar[kural_id],0))+$D708*INDEX(tblKurallar[deger_2025],MATCH("TBA-002",tblKurallar[kural_id],0))+$E708*INDEX(tblKurallar[deger_2025],MATCH("TBA-004",tblKurallar[kural_id],0))+$F708*tba_isverenOran,2),0))</f>
        <v/>
      </c>
      <c r="I708" s="31">
        <f>IF($A708="","",IFERROR(MAX(0,$H708-$G708),0))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0" t="n"/>
      <c r="H709" s="31">
        <f>IF($A709="","",IFERROR(ROUND($C709*INDEX(tblKurallar[deger_2025],MATCH("TBA-001",tblKurallar[kural_id],0))+$D709*INDEX(tblKurallar[deger_2025],MATCH("TBA-002",tblKurallar[kural_id],0))+$E709*INDEX(tblKurallar[deger_2025],MATCH("TBA-004",tblKurallar[kural_id],0))+$F709*tba_isverenOran,2),0))</f>
        <v/>
      </c>
      <c r="I709" s="31">
        <f>IF($A709="","",IFERROR(MAX(0,$H709-$G709),0))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0" t="n"/>
      <c r="H710" s="31">
        <f>IF($A710="","",IFERROR(ROUND($C710*INDEX(tblKurallar[deger_2025],MATCH("TBA-001",tblKurallar[kural_id],0))+$D710*INDEX(tblKurallar[deger_2025],MATCH("TBA-002",tblKurallar[kural_id],0))+$E710*INDEX(tblKurallar[deger_2025],MATCH("TBA-004",tblKurallar[kural_id],0))+$F710*tba_isverenOran,2),0))</f>
        <v/>
      </c>
      <c r="I710" s="31">
        <f>IF($A710="","",IFERROR(MAX(0,$H710-$G710),0))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0" t="n"/>
      <c r="H711" s="31">
        <f>IF($A711="","",IFERROR(ROUND($C711*INDEX(tblKurallar[deger_2025],MATCH("TBA-001",tblKurallar[kural_id],0))+$D711*INDEX(tblKurallar[deger_2025],MATCH("TBA-002",tblKurallar[kural_id],0))+$E711*INDEX(tblKurallar[deger_2025],MATCH("TBA-004",tblKurallar[kural_id],0))+$F711*tba_isverenOran,2),0))</f>
        <v/>
      </c>
      <c r="I711" s="31">
        <f>IF($A711="","",IFERROR(MAX(0,$H711-$G711),0))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0" t="n"/>
      <c r="H712" s="31">
        <f>IF($A712="","",IFERROR(ROUND($C712*INDEX(tblKurallar[deger_2025],MATCH("TBA-001",tblKurallar[kural_id],0))+$D712*INDEX(tblKurallar[deger_2025],MATCH("TBA-002",tblKurallar[kural_id],0))+$E712*INDEX(tblKurallar[deger_2025],MATCH("TBA-004",tblKurallar[kural_id],0))+$F712*tba_isverenOran,2),0))</f>
        <v/>
      </c>
      <c r="I712" s="31">
        <f>IF($A712="","",IFERROR(MAX(0,$H712-$G712),0))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0" t="n"/>
      <c r="H713" s="31">
        <f>IF($A713="","",IFERROR(ROUND($C713*INDEX(tblKurallar[deger_2025],MATCH("TBA-001",tblKurallar[kural_id],0))+$D713*INDEX(tblKurallar[deger_2025],MATCH("TBA-002",tblKurallar[kural_id],0))+$E713*INDEX(tblKurallar[deger_2025],MATCH("TBA-004",tblKurallar[kural_id],0))+$F713*tba_isverenOran,2),0))</f>
        <v/>
      </c>
      <c r="I713" s="31">
        <f>IF($A713="","",IFERROR(MAX(0,$H713-$G713),0))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0" t="n"/>
      <c r="H714" s="31">
        <f>IF($A714="","",IFERROR(ROUND($C714*INDEX(tblKurallar[deger_2025],MATCH("TBA-001",tblKurallar[kural_id],0))+$D714*INDEX(tblKurallar[deger_2025],MATCH("TBA-002",tblKurallar[kural_id],0))+$E714*INDEX(tblKurallar[deger_2025],MATCH("TBA-004",tblKurallar[kural_id],0))+$F714*tba_isverenOran,2),0))</f>
        <v/>
      </c>
      <c r="I714" s="31">
        <f>IF($A714="","",IFERROR(MAX(0,$H714-$G714),0))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0" t="n"/>
      <c r="H715" s="31">
        <f>IF($A715="","",IFERROR(ROUND($C715*INDEX(tblKurallar[deger_2025],MATCH("TBA-001",tblKurallar[kural_id],0))+$D715*INDEX(tblKurallar[deger_2025],MATCH("TBA-002",tblKurallar[kural_id],0))+$E715*INDEX(tblKurallar[deger_2025],MATCH("TBA-004",tblKurallar[kural_id],0))+$F715*tba_isverenOran,2),0))</f>
        <v/>
      </c>
      <c r="I715" s="31">
        <f>IF($A715="","",IFERROR(MAX(0,$H715-$G715),0))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0" t="n"/>
      <c r="H716" s="31">
        <f>IF($A716="","",IFERROR(ROUND($C716*INDEX(tblKurallar[deger_2025],MATCH("TBA-001",tblKurallar[kural_id],0))+$D716*INDEX(tblKurallar[deger_2025],MATCH("TBA-002",tblKurallar[kural_id],0))+$E716*INDEX(tblKurallar[deger_2025],MATCH("TBA-004",tblKurallar[kural_id],0))+$F716*tba_isverenOran,2),0))</f>
        <v/>
      </c>
      <c r="I716" s="31">
        <f>IF($A716="","",IFERROR(MAX(0,$H716-$G716),0))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0" t="n"/>
      <c r="H717" s="31">
        <f>IF($A717="","",IFERROR(ROUND($C717*INDEX(tblKurallar[deger_2025],MATCH("TBA-001",tblKurallar[kural_id],0))+$D717*INDEX(tblKurallar[deger_2025],MATCH("TBA-002",tblKurallar[kural_id],0))+$E717*INDEX(tblKurallar[deger_2025],MATCH("TBA-004",tblKurallar[kural_id],0))+$F717*tba_isverenOran,2),0))</f>
        <v/>
      </c>
      <c r="I717" s="31">
        <f>IF($A717="","",IFERROR(MAX(0,$H717-$G717),0))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0" t="n"/>
      <c r="H718" s="31">
        <f>IF($A718="","",IFERROR(ROUND($C718*INDEX(tblKurallar[deger_2025],MATCH("TBA-001",tblKurallar[kural_id],0))+$D718*INDEX(tblKurallar[deger_2025],MATCH("TBA-002",tblKurallar[kural_id],0))+$E718*INDEX(tblKurallar[deger_2025],MATCH("TBA-004",tblKurallar[kural_id],0))+$F718*tba_isverenOran,2),0))</f>
        <v/>
      </c>
      <c r="I718" s="31">
        <f>IF($A718="","",IFERROR(MAX(0,$H718-$G718),0))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0" t="n"/>
      <c r="H719" s="31">
        <f>IF($A719="","",IFERROR(ROUND($C719*INDEX(tblKurallar[deger_2025],MATCH("TBA-001",tblKurallar[kural_id],0))+$D719*INDEX(tblKurallar[deger_2025],MATCH("TBA-002",tblKurallar[kural_id],0))+$E719*INDEX(tblKurallar[deger_2025],MATCH("TBA-004",tblKurallar[kural_id],0))+$F719*tba_isverenOran,2),0))</f>
        <v/>
      </c>
      <c r="I719" s="31">
        <f>IF($A719="","",IFERROR(MAX(0,$H719-$G719),0))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0" t="n"/>
      <c r="H720" s="31">
        <f>IF($A720="","",IFERROR(ROUND($C720*INDEX(tblKurallar[deger_2025],MATCH("TBA-001",tblKurallar[kural_id],0))+$D720*INDEX(tblKurallar[deger_2025],MATCH("TBA-002",tblKurallar[kural_id],0))+$E720*INDEX(tblKurallar[deger_2025],MATCH("TBA-004",tblKurallar[kural_id],0))+$F720*tba_isverenOran,2),0))</f>
        <v/>
      </c>
      <c r="I720" s="31">
        <f>IF($A720="","",IFERROR(MAX(0,$H720-$G720),0))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0" t="n"/>
      <c r="H721" s="31">
        <f>IF($A721="","",IFERROR(ROUND($C721*INDEX(tblKurallar[deger_2025],MATCH("TBA-001",tblKurallar[kural_id],0))+$D721*INDEX(tblKurallar[deger_2025],MATCH("TBA-002",tblKurallar[kural_id],0))+$E721*INDEX(tblKurallar[deger_2025],MATCH("TBA-004",tblKurallar[kural_id],0))+$F721*tba_isverenOran,2),0))</f>
        <v/>
      </c>
      <c r="I721" s="31">
        <f>IF($A721="","",IFERROR(MAX(0,$H721-$G721),0))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0" t="n"/>
      <c r="H722" s="31">
        <f>IF($A722="","",IFERROR(ROUND($C722*INDEX(tblKurallar[deger_2025],MATCH("TBA-001",tblKurallar[kural_id],0))+$D722*INDEX(tblKurallar[deger_2025],MATCH("TBA-002",tblKurallar[kural_id],0))+$E722*INDEX(tblKurallar[deger_2025],MATCH("TBA-004",tblKurallar[kural_id],0))+$F722*tba_isverenOran,2),0))</f>
        <v/>
      </c>
      <c r="I722" s="31">
        <f>IF($A722="","",IFERROR(MAX(0,$H722-$G722),0))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0" t="n"/>
      <c r="H723" s="31">
        <f>IF($A723="","",IFERROR(ROUND($C723*INDEX(tblKurallar[deger_2025],MATCH("TBA-001",tblKurallar[kural_id],0))+$D723*INDEX(tblKurallar[deger_2025],MATCH("TBA-002",tblKurallar[kural_id],0))+$E723*INDEX(tblKurallar[deger_2025],MATCH("TBA-004",tblKurallar[kural_id],0))+$F723*tba_isverenOran,2),0))</f>
        <v/>
      </c>
      <c r="I723" s="31">
        <f>IF($A723="","",IFERROR(MAX(0,$H723-$G723),0))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0" t="n"/>
      <c r="H724" s="31">
        <f>IF($A724="","",IFERROR(ROUND($C724*INDEX(tblKurallar[deger_2025],MATCH("TBA-001",tblKurallar[kural_id],0))+$D724*INDEX(tblKurallar[deger_2025],MATCH("TBA-002",tblKurallar[kural_id],0))+$E724*INDEX(tblKurallar[deger_2025],MATCH("TBA-004",tblKurallar[kural_id],0))+$F724*tba_isverenOran,2),0))</f>
        <v/>
      </c>
      <c r="I724" s="31">
        <f>IF($A724="","",IFERROR(MAX(0,$H724-$G724),0))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0" t="n"/>
      <c r="H725" s="31">
        <f>IF($A725="","",IFERROR(ROUND($C725*INDEX(tblKurallar[deger_2025],MATCH("TBA-001",tblKurallar[kural_id],0))+$D725*INDEX(tblKurallar[deger_2025],MATCH("TBA-002",tblKurallar[kural_id],0))+$E725*INDEX(tblKurallar[deger_2025],MATCH("TBA-004",tblKurallar[kural_id],0))+$F725*tba_isverenOran,2),0))</f>
        <v/>
      </c>
      <c r="I725" s="31">
        <f>IF($A725="","",IFERROR(MAX(0,$H725-$G725),0))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0" t="n"/>
      <c r="H726" s="31">
        <f>IF($A726="","",IFERROR(ROUND($C726*INDEX(tblKurallar[deger_2025],MATCH("TBA-001",tblKurallar[kural_id],0))+$D726*INDEX(tblKurallar[deger_2025],MATCH("TBA-002",tblKurallar[kural_id],0))+$E726*INDEX(tblKurallar[deger_2025],MATCH("TBA-004",tblKurallar[kural_id],0))+$F726*tba_isverenOran,2),0))</f>
        <v/>
      </c>
      <c r="I726" s="31">
        <f>IF($A726="","",IFERROR(MAX(0,$H726-$G726),0))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0" t="n"/>
      <c r="H727" s="31">
        <f>IF($A727="","",IFERROR(ROUND($C727*INDEX(tblKurallar[deger_2025],MATCH("TBA-001",tblKurallar[kural_id],0))+$D727*INDEX(tblKurallar[deger_2025],MATCH("TBA-002",tblKurallar[kural_id],0))+$E727*INDEX(tblKurallar[deger_2025],MATCH("TBA-004",tblKurallar[kural_id],0))+$F727*tba_isverenOran,2),0))</f>
        <v/>
      </c>
      <c r="I727" s="31">
        <f>IF($A727="","",IFERROR(MAX(0,$H727-$G727),0))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0" t="n"/>
      <c r="H728" s="31">
        <f>IF($A728="","",IFERROR(ROUND($C728*INDEX(tblKurallar[deger_2025],MATCH("TBA-001",tblKurallar[kural_id],0))+$D728*INDEX(tblKurallar[deger_2025],MATCH("TBA-002",tblKurallar[kural_id],0))+$E728*INDEX(tblKurallar[deger_2025],MATCH("TBA-004",tblKurallar[kural_id],0))+$F728*tba_isverenOran,2),0))</f>
        <v/>
      </c>
      <c r="I728" s="31">
        <f>IF($A728="","",IFERROR(MAX(0,$H728-$G728),0))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0" t="n"/>
      <c r="H729" s="31">
        <f>IF($A729="","",IFERROR(ROUND($C729*INDEX(tblKurallar[deger_2025],MATCH("TBA-001",tblKurallar[kural_id],0))+$D729*INDEX(tblKurallar[deger_2025],MATCH("TBA-002",tblKurallar[kural_id],0))+$E729*INDEX(tblKurallar[deger_2025],MATCH("TBA-004",tblKurallar[kural_id],0))+$F729*tba_isverenOran,2),0))</f>
        <v/>
      </c>
      <c r="I729" s="31">
        <f>IF($A729="","",IFERROR(MAX(0,$H729-$G729),0))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0" t="n"/>
      <c r="H730" s="31">
        <f>IF($A730="","",IFERROR(ROUND($C730*INDEX(tblKurallar[deger_2025],MATCH("TBA-001",tblKurallar[kural_id],0))+$D730*INDEX(tblKurallar[deger_2025],MATCH("TBA-002",tblKurallar[kural_id],0))+$E730*INDEX(tblKurallar[deger_2025],MATCH("TBA-004",tblKurallar[kural_id],0))+$F730*tba_isverenOran,2),0))</f>
        <v/>
      </c>
      <c r="I730" s="31">
        <f>IF($A730="","",IFERROR(MAX(0,$H730-$G730),0))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0" t="n"/>
      <c r="H731" s="31">
        <f>IF($A731="","",IFERROR(ROUND($C731*INDEX(tblKurallar[deger_2025],MATCH("TBA-001",tblKurallar[kural_id],0))+$D731*INDEX(tblKurallar[deger_2025],MATCH("TBA-002",tblKurallar[kural_id],0))+$E731*INDEX(tblKurallar[deger_2025],MATCH("TBA-004",tblKurallar[kural_id],0))+$F731*tba_isverenOran,2),0))</f>
        <v/>
      </c>
      <c r="I731" s="31">
        <f>IF($A731="","",IFERROR(MAX(0,$H731-$G731),0))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0" t="n"/>
      <c r="H732" s="31">
        <f>IF($A732="","",IFERROR(ROUND($C732*INDEX(tblKurallar[deger_2025],MATCH("TBA-001",tblKurallar[kural_id],0))+$D732*INDEX(tblKurallar[deger_2025],MATCH("TBA-002",tblKurallar[kural_id],0))+$E732*INDEX(tblKurallar[deger_2025],MATCH("TBA-004",tblKurallar[kural_id],0))+$F732*tba_isverenOran,2),0))</f>
        <v/>
      </c>
      <c r="I732" s="31">
        <f>IF($A732="","",IFERROR(MAX(0,$H732-$G732),0))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0" t="n"/>
      <c r="H733" s="31">
        <f>IF($A733="","",IFERROR(ROUND($C733*INDEX(tblKurallar[deger_2025],MATCH("TBA-001",tblKurallar[kural_id],0))+$D733*INDEX(tblKurallar[deger_2025],MATCH("TBA-002",tblKurallar[kural_id],0))+$E733*INDEX(tblKurallar[deger_2025],MATCH("TBA-004",tblKurallar[kural_id],0))+$F733*tba_isverenOran,2),0))</f>
        <v/>
      </c>
      <c r="I733" s="31">
        <f>IF($A733="","",IFERROR(MAX(0,$H733-$G733),0))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0" t="n"/>
      <c r="H734" s="31">
        <f>IF($A734="","",IFERROR(ROUND($C734*INDEX(tblKurallar[deger_2025],MATCH("TBA-001",tblKurallar[kural_id],0))+$D734*INDEX(tblKurallar[deger_2025],MATCH("TBA-002",tblKurallar[kural_id],0))+$E734*INDEX(tblKurallar[deger_2025],MATCH("TBA-004",tblKurallar[kural_id],0))+$F734*tba_isverenOran,2),0))</f>
        <v/>
      </c>
      <c r="I734" s="31">
        <f>IF($A734="","",IFERROR(MAX(0,$H734-$G734),0))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0" t="n"/>
      <c r="H735" s="31">
        <f>IF($A735="","",IFERROR(ROUND($C735*INDEX(tblKurallar[deger_2025],MATCH("TBA-001",tblKurallar[kural_id],0))+$D735*INDEX(tblKurallar[deger_2025],MATCH("TBA-002",tblKurallar[kural_id],0))+$E735*INDEX(tblKurallar[deger_2025],MATCH("TBA-004",tblKurallar[kural_id],0))+$F735*tba_isverenOran,2),0))</f>
        <v/>
      </c>
      <c r="I735" s="31">
        <f>IF($A735="","",IFERROR(MAX(0,$H735-$G735),0))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0" t="n"/>
      <c r="H736" s="31">
        <f>IF($A736="","",IFERROR(ROUND($C736*INDEX(tblKurallar[deger_2025],MATCH("TBA-001",tblKurallar[kural_id],0))+$D736*INDEX(tblKurallar[deger_2025],MATCH("TBA-002",tblKurallar[kural_id],0))+$E736*INDEX(tblKurallar[deger_2025],MATCH("TBA-004",tblKurallar[kural_id],0))+$F736*tba_isverenOran,2),0))</f>
        <v/>
      </c>
      <c r="I736" s="31">
        <f>IF($A736="","",IFERROR(MAX(0,$H736-$G736),0))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0" t="n"/>
      <c r="H737" s="31">
        <f>IF($A737="","",IFERROR(ROUND($C737*INDEX(tblKurallar[deger_2025],MATCH("TBA-001",tblKurallar[kural_id],0))+$D737*INDEX(tblKurallar[deger_2025],MATCH("TBA-002",tblKurallar[kural_id],0))+$E737*INDEX(tblKurallar[deger_2025],MATCH("TBA-004",tblKurallar[kural_id],0))+$F737*tba_isverenOran,2),0))</f>
        <v/>
      </c>
      <c r="I737" s="31">
        <f>IF($A737="","",IFERROR(MAX(0,$H737-$G737),0))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0" t="n"/>
      <c r="H738" s="31">
        <f>IF($A738="","",IFERROR(ROUND($C738*INDEX(tblKurallar[deger_2025],MATCH("TBA-001",tblKurallar[kural_id],0))+$D738*INDEX(tblKurallar[deger_2025],MATCH("TBA-002",tblKurallar[kural_id],0))+$E738*INDEX(tblKurallar[deger_2025],MATCH("TBA-004",tblKurallar[kural_id],0))+$F738*tba_isverenOran,2),0))</f>
        <v/>
      </c>
      <c r="I738" s="31">
        <f>IF($A738="","",IFERROR(MAX(0,$H738-$G738),0))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0" t="n"/>
      <c r="H739" s="31">
        <f>IF($A739="","",IFERROR(ROUND($C739*INDEX(tblKurallar[deger_2025],MATCH("TBA-001",tblKurallar[kural_id],0))+$D739*INDEX(tblKurallar[deger_2025],MATCH("TBA-002",tblKurallar[kural_id],0))+$E739*INDEX(tblKurallar[deger_2025],MATCH("TBA-004",tblKurallar[kural_id],0))+$F739*tba_isverenOran,2),0))</f>
        <v/>
      </c>
      <c r="I739" s="31">
        <f>IF($A739="","",IFERROR(MAX(0,$H739-$G739),0))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0" t="n"/>
      <c r="H740" s="31">
        <f>IF($A740="","",IFERROR(ROUND($C740*INDEX(tblKurallar[deger_2025],MATCH("TBA-001",tblKurallar[kural_id],0))+$D740*INDEX(tblKurallar[deger_2025],MATCH("TBA-002",tblKurallar[kural_id],0))+$E740*INDEX(tblKurallar[deger_2025],MATCH("TBA-004",tblKurallar[kural_id],0))+$F740*tba_isverenOran,2),0))</f>
        <v/>
      </c>
      <c r="I740" s="31">
        <f>IF($A740="","",IFERROR(MAX(0,$H740-$G740),0))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0" t="n"/>
      <c r="H741" s="31">
        <f>IF($A741="","",IFERROR(ROUND($C741*INDEX(tblKurallar[deger_2025],MATCH("TBA-001",tblKurallar[kural_id],0))+$D741*INDEX(tblKurallar[deger_2025],MATCH("TBA-002",tblKurallar[kural_id],0))+$E741*INDEX(tblKurallar[deger_2025],MATCH("TBA-004",tblKurallar[kural_id],0))+$F741*tba_isverenOran,2),0))</f>
        <v/>
      </c>
      <c r="I741" s="31">
        <f>IF($A741="","",IFERROR(MAX(0,$H741-$G741),0))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0" t="n"/>
      <c r="H742" s="31">
        <f>IF($A742="","",IFERROR(ROUND($C742*INDEX(tblKurallar[deger_2025],MATCH("TBA-001",tblKurallar[kural_id],0))+$D742*INDEX(tblKurallar[deger_2025],MATCH("TBA-002",tblKurallar[kural_id],0))+$E742*INDEX(tblKurallar[deger_2025],MATCH("TBA-004",tblKurallar[kural_id],0))+$F742*tba_isverenOran,2),0))</f>
        <v/>
      </c>
      <c r="I742" s="31">
        <f>IF($A742="","",IFERROR(MAX(0,$H742-$G742),0))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0" t="n"/>
      <c r="H743" s="31">
        <f>IF($A743="","",IFERROR(ROUND($C743*INDEX(tblKurallar[deger_2025],MATCH("TBA-001",tblKurallar[kural_id],0))+$D743*INDEX(tblKurallar[deger_2025],MATCH("TBA-002",tblKurallar[kural_id],0))+$E743*INDEX(tblKurallar[deger_2025],MATCH("TBA-004",tblKurallar[kural_id],0))+$F743*tba_isverenOran,2),0))</f>
        <v/>
      </c>
      <c r="I743" s="31">
        <f>IF($A743="","",IFERROR(MAX(0,$H743-$G743),0))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0" t="n"/>
      <c r="H744" s="31">
        <f>IF($A744="","",IFERROR(ROUND($C744*INDEX(tblKurallar[deger_2025],MATCH("TBA-001",tblKurallar[kural_id],0))+$D744*INDEX(tblKurallar[deger_2025],MATCH("TBA-002",tblKurallar[kural_id],0))+$E744*INDEX(tblKurallar[deger_2025],MATCH("TBA-004",tblKurallar[kural_id],0))+$F744*tba_isverenOran,2),0))</f>
        <v/>
      </c>
      <c r="I744" s="31">
        <f>IF($A744="","",IFERROR(MAX(0,$H744-$G744),0))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0" t="n"/>
      <c r="H745" s="31">
        <f>IF($A745="","",IFERROR(ROUND($C745*INDEX(tblKurallar[deger_2025],MATCH("TBA-001",tblKurallar[kural_id],0))+$D745*INDEX(tblKurallar[deger_2025],MATCH("TBA-002",tblKurallar[kural_id],0))+$E745*INDEX(tblKurallar[deger_2025],MATCH("TBA-004",tblKurallar[kural_id],0))+$F745*tba_isverenOran,2),0))</f>
        <v/>
      </c>
      <c r="I745" s="31">
        <f>IF($A745="","",IFERROR(MAX(0,$H745-$G745),0))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0" t="n"/>
      <c r="H746" s="31">
        <f>IF($A746="","",IFERROR(ROUND($C746*INDEX(tblKurallar[deger_2025],MATCH("TBA-001",tblKurallar[kural_id],0))+$D746*INDEX(tblKurallar[deger_2025],MATCH("TBA-002",tblKurallar[kural_id],0))+$E746*INDEX(tblKurallar[deger_2025],MATCH("TBA-004",tblKurallar[kural_id],0))+$F746*tba_isverenOran,2),0))</f>
        <v/>
      </c>
      <c r="I746" s="31">
        <f>IF($A746="","",IFERROR(MAX(0,$H746-$G746),0))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0" t="n"/>
      <c r="H747" s="31">
        <f>IF($A747="","",IFERROR(ROUND($C747*INDEX(tblKurallar[deger_2025],MATCH("TBA-001",tblKurallar[kural_id],0))+$D747*INDEX(tblKurallar[deger_2025],MATCH("TBA-002",tblKurallar[kural_id],0))+$E747*INDEX(tblKurallar[deger_2025],MATCH("TBA-004",tblKurallar[kural_id],0))+$F747*tba_isverenOran,2),0))</f>
        <v/>
      </c>
      <c r="I747" s="31">
        <f>IF($A747="","",IFERROR(MAX(0,$H747-$G747),0))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0" t="n"/>
      <c r="H748" s="31">
        <f>IF($A748="","",IFERROR(ROUND($C748*INDEX(tblKurallar[deger_2025],MATCH("TBA-001",tblKurallar[kural_id],0))+$D748*INDEX(tblKurallar[deger_2025],MATCH("TBA-002",tblKurallar[kural_id],0))+$E748*INDEX(tblKurallar[deger_2025],MATCH("TBA-004",tblKurallar[kural_id],0))+$F748*tba_isverenOran,2),0))</f>
        <v/>
      </c>
      <c r="I748" s="31">
        <f>IF($A748="","",IFERROR(MAX(0,$H748-$G748),0))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0" t="n"/>
      <c r="H749" s="31">
        <f>IF($A749="","",IFERROR(ROUND($C749*INDEX(tblKurallar[deger_2025],MATCH("TBA-001",tblKurallar[kural_id],0))+$D749*INDEX(tblKurallar[deger_2025],MATCH("TBA-002",tblKurallar[kural_id],0))+$E749*INDEX(tblKurallar[deger_2025],MATCH("TBA-004",tblKurallar[kural_id],0))+$F749*tba_isverenOran,2),0))</f>
        <v/>
      </c>
      <c r="I749" s="31">
        <f>IF($A749="","",IFERROR(MAX(0,$H749-$G749),0))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0" t="n"/>
      <c r="H750" s="31">
        <f>IF($A750="","",IFERROR(ROUND($C750*INDEX(tblKurallar[deger_2025],MATCH("TBA-001",tblKurallar[kural_id],0))+$D750*INDEX(tblKurallar[deger_2025],MATCH("TBA-002",tblKurallar[kural_id],0))+$E750*INDEX(tblKurallar[deger_2025],MATCH("TBA-004",tblKurallar[kural_id],0))+$F750*tba_isverenOran,2),0))</f>
        <v/>
      </c>
      <c r="I750" s="31">
        <f>IF($A750="","",IFERROR(MAX(0,$H750-$G750),0))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0" t="n"/>
      <c r="H751" s="31">
        <f>IF($A751="","",IFERROR(ROUND($C751*INDEX(tblKurallar[deger_2025],MATCH("TBA-001",tblKurallar[kural_id],0))+$D751*INDEX(tblKurallar[deger_2025],MATCH("TBA-002",tblKurallar[kural_id],0))+$E751*INDEX(tblKurallar[deger_2025],MATCH("TBA-004",tblKurallar[kural_id],0))+$F751*tba_isverenOran,2),0))</f>
        <v/>
      </c>
      <c r="I751" s="31">
        <f>IF($A751="","",IFERROR(MAX(0,$H751-$G751),0))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0" t="n"/>
      <c r="H752" s="31">
        <f>IF($A752="","",IFERROR(ROUND($C752*INDEX(tblKurallar[deger_2025],MATCH("TBA-001",tblKurallar[kural_id],0))+$D752*INDEX(tblKurallar[deger_2025],MATCH("TBA-002",tblKurallar[kural_id],0))+$E752*INDEX(tblKurallar[deger_2025],MATCH("TBA-004",tblKurallar[kural_id],0))+$F752*tba_isverenOran,2),0))</f>
        <v/>
      </c>
      <c r="I752" s="31">
        <f>IF($A752="","",IFERROR(MAX(0,$H752-$G752),0))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0" t="n"/>
      <c r="H753" s="31">
        <f>IF($A753="","",IFERROR(ROUND($C753*INDEX(tblKurallar[deger_2025],MATCH("TBA-001",tblKurallar[kural_id],0))+$D753*INDEX(tblKurallar[deger_2025],MATCH("TBA-002",tblKurallar[kural_id],0))+$E753*INDEX(tblKurallar[deger_2025],MATCH("TBA-004",tblKurallar[kural_id],0))+$F753*tba_isverenOran,2),0))</f>
        <v/>
      </c>
      <c r="I753" s="31">
        <f>IF($A753="","",IFERROR(MAX(0,$H753-$G753),0))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0" t="n"/>
      <c r="H754" s="31">
        <f>IF($A754="","",IFERROR(ROUND($C754*INDEX(tblKurallar[deger_2025],MATCH("TBA-001",tblKurallar[kural_id],0))+$D754*INDEX(tblKurallar[deger_2025],MATCH("TBA-002",tblKurallar[kural_id],0))+$E754*INDEX(tblKurallar[deger_2025],MATCH("TBA-004",tblKurallar[kural_id],0))+$F754*tba_isverenOran,2),0))</f>
        <v/>
      </c>
      <c r="I754" s="31">
        <f>IF($A754="","",IFERROR(MAX(0,$H754-$G754),0))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0" t="n"/>
      <c r="H755" s="31">
        <f>IF($A755="","",IFERROR(ROUND($C755*INDEX(tblKurallar[deger_2025],MATCH("TBA-001",tblKurallar[kural_id],0))+$D755*INDEX(tblKurallar[deger_2025],MATCH("TBA-002",tblKurallar[kural_id],0))+$E755*INDEX(tblKurallar[deger_2025],MATCH("TBA-004",tblKurallar[kural_id],0))+$F755*tba_isverenOran,2),0))</f>
        <v/>
      </c>
      <c r="I755" s="31">
        <f>IF($A755="","",IFERROR(MAX(0,$H755-$G755),0))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0" t="n"/>
      <c r="H756" s="31">
        <f>IF($A756="","",IFERROR(ROUND($C756*INDEX(tblKurallar[deger_2025],MATCH("TBA-001",tblKurallar[kural_id],0))+$D756*INDEX(tblKurallar[deger_2025],MATCH("TBA-002",tblKurallar[kural_id],0))+$E756*INDEX(tblKurallar[deger_2025],MATCH("TBA-004",tblKurallar[kural_id],0))+$F756*tba_isverenOran,2),0))</f>
        <v/>
      </c>
      <c r="I756" s="31">
        <f>IF($A756="","",IFERROR(MAX(0,$H756-$G756),0))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0" t="n"/>
      <c r="H757" s="31">
        <f>IF($A757="","",IFERROR(ROUND($C757*INDEX(tblKurallar[deger_2025],MATCH("TBA-001",tblKurallar[kural_id],0))+$D757*INDEX(tblKurallar[deger_2025],MATCH("TBA-002",tblKurallar[kural_id],0))+$E757*INDEX(tblKurallar[deger_2025],MATCH("TBA-004",tblKurallar[kural_id],0))+$F757*tba_isverenOran,2),0))</f>
        <v/>
      </c>
      <c r="I757" s="31">
        <f>IF($A757="","",IFERROR(MAX(0,$H757-$G757),0))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0" t="n"/>
      <c r="H758" s="31">
        <f>IF($A758="","",IFERROR(ROUND($C758*INDEX(tblKurallar[deger_2025],MATCH("TBA-001",tblKurallar[kural_id],0))+$D758*INDEX(tblKurallar[deger_2025],MATCH("TBA-002",tblKurallar[kural_id],0))+$E758*INDEX(tblKurallar[deger_2025],MATCH("TBA-004",tblKurallar[kural_id],0))+$F758*tba_isverenOran,2),0))</f>
        <v/>
      </c>
      <c r="I758" s="31">
        <f>IF($A758="","",IFERROR(MAX(0,$H758-$G758),0))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0" t="n"/>
      <c r="H759" s="31">
        <f>IF($A759="","",IFERROR(ROUND($C759*INDEX(tblKurallar[deger_2025],MATCH("TBA-001",tblKurallar[kural_id],0))+$D759*INDEX(tblKurallar[deger_2025],MATCH("TBA-002",tblKurallar[kural_id],0))+$E759*INDEX(tblKurallar[deger_2025],MATCH("TBA-004",tblKurallar[kural_id],0))+$F759*tba_isverenOran,2),0))</f>
        <v/>
      </c>
      <c r="I759" s="31">
        <f>IF($A759="","",IFERROR(MAX(0,$H759-$G759),0))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0" t="n"/>
      <c r="H760" s="31">
        <f>IF($A760="","",IFERROR(ROUND($C760*INDEX(tblKurallar[deger_2025],MATCH("TBA-001",tblKurallar[kural_id],0))+$D760*INDEX(tblKurallar[deger_2025],MATCH("TBA-002",tblKurallar[kural_id],0))+$E760*INDEX(tblKurallar[deger_2025],MATCH("TBA-004",tblKurallar[kural_id],0))+$F760*tba_isverenOran,2),0))</f>
        <v/>
      </c>
      <c r="I760" s="31">
        <f>IF($A760="","",IFERROR(MAX(0,$H760-$G760),0))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0" t="n"/>
      <c r="H761" s="31">
        <f>IF($A761="","",IFERROR(ROUND($C761*INDEX(tblKurallar[deger_2025],MATCH("TBA-001",tblKurallar[kural_id],0))+$D761*INDEX(tblKurallar[deger_2025],MATCH("TBA-002",tblKurallar[kural_id],0))+$E761*INDEX(tblKurallar[deger_2025],MATCH("TBA-004",tblKurallar[kural_id],0))+$F761*tba_isverenOran,2),0))</f>
        <v/>
      </c>
      <c r="I761" s="31">
        <f>IF($A761="","",IFERROR(MAX(0,$H761-$G761),0))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0" t="n"/>
      <c r="H762" s="31">
        <f>IF($A762="","",IFERROR(ROUND($C762*INDEX(tblKurallar[deger_2025],MATCH("TBA-001",tblKurallar[kural_id],0))+$D762*INDEX(tblKurallar[deger_2025],MATCH("TBA-002",tblKurallar[kural_id],0))+$E762*INDEX(tblKurallar[deger_2025],MATCH("TBA-004",tblKurallar[kural_id],0))+$F762*tba_isverenOran,2),0))</f>
        <v/>
      </c>
      <c r="I762" s="31">
        <f>IF($A762="","",IFERROR(MAX(0,$H762-$G762),0))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0" t="n"/>
      <c r="H763" s="31">
        <f>IF($A763="","",IFERROR(ROUND($C763*INDEX(tblKurallar[deger_2025],MATCH("TBA-001",tblKurallar[kural_id],0))+$D763*INDEX(tblKurallar[deger_2025],MATCH("TBA-002",tblKurallar[kural_id],0))+$E763*INDEX(tblKurallar[deger_2025],MATCH("TBA-004",tblKurallar[kural_id],0))+$F763*tba_isverenOran,2),0))</f>
        <v/>
      </c>
      <c r="I763" s="31">
        <f>IF($A763="","",IFERROR(MAX(0,$H763-$G763),0))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0" t="n"/>
      <c r="H764" s="31">
        <f>IF($A764="","",IFERROR(ROUND($C764*INDEX(tblKurallar[deger_2025],MATCH("TBA-001",tblKurallar[kural_id],0))+$D764*INDEX(tblKurallar[deger_2025],MATCH("TBA-002",tblKurallar[kural_id],0))+$E764*INDEX(tblKurallar[deger_2025],MATCH("TBA-004",tblKurallar[kural_id],0))+$F764*tba_isverenOran,2),0))</f>
        <v/>
      </c>
      <c r="I764" s="31">
        <f>IF($A764="","",IFERROR(MAX(0,$H764-$G764),0))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0" t="n"/>
      <c r="H765" s="31">
        <f>IF($A765="","",IFERROR(ROUND($C765*INDEX(tblKurallar[deger_2025],MATCH("TBA-001",tblKurallar[kural_id],0))+$D765*INDEX(tblKurallar[deger_2025],MATCH("TBA-002",tblKurallar[kural_id],0))+$E765*INDEX(tblKurallar[deger_2025],MATCH("TBA-004",tblKurallar[kural_id],0))+$F765*tba_isverenOran,2),0))</f>
        <v/>
      </c>
      <c r="I765" s="31">
        <f>IF($A765="","",IFERROR(MAX(0,$H765-$G765),0))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0" t="n"/>
      <c r="H766" s="31">
        <f>IF($A766="","",IFERROR(ROUND($C766*INDEX(tblKurallar[deger_2025],MATCH("TBA-001",tblKurallar[kural_id],0))+$D766*INDEX(tblKurallar[deger_2025],MATCH("TBA-002",tblKurallar[kural_id],0))+$E766*INDEX(tblKurallar[deger_2025],MATCH("TBA-004",tblKurallar[kural_id],0))+$F766*tba_isverenOran,2),0))</f>
        <v/>
      </c>
      <c r="I766" s="31">
        <f>IF($A766="","",IFERROR(MAX(0,$H766-$G766),0))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0" t="n"/>
      <c r="H767" s="31">
        <f>IF($A767="","",IFERROR(ROUND($C767*INDEX(tblKurallar[deger_2025],MATCH("TBA-001",tblKurallar[kural_id],0))+$D767*INDEX(tblKurallar[deger_2025],MATCH("TBA-002",tblKurallar[kural_id],0))+$E767*INDEX(tblKurallar[deger_2025],MATCH("TBA-004",tblKurallar[kural_id],0))+$F767*tba_isverenOran,2),0))</f>
        <v/>
      </c>
      <c r="I767" s="31">
        <f>IF($A767="","",IFERROR(MAX(0,$H767-$G767),0))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0" t="n"/>
      <c r="H768" s="31">
        <f>IF($A768="","",IFERROR(ROUND($C768*INDEX(tblKurallar[deger_2025],MATCH("TBA-001",tblKurallar[kural_id],0))+$D768*INDEX(tblKurallar[deger_2025],MATCH("TBA-002",tblKurallar[kural_id],0))+$E768*INDEX(tblKurallar[deger_2025],MATCH("TBA-004",tblKurallar[kural_id],0))+$F768*tba_isverenOran,2),0))</f>
        <v/>
      </c>
      <c r="I768" s="31">
        <f>IF($A768="","",IFERROR(MAX(0,$H768-$G768),0))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0" t="n"/>
      <c r="H769" s="31">
        <f>IF($A769="","",IFERROR(ROUND($C769*INDEX(tblKurallar[deger_2025],MATCH("TBA-001",tblKurallar[kural_id],0))+$D769*INDEX(tblKurallar[deger_2025],MATCH("TBA-002",tblKurallar[kural_id],0))+$E769*INDEX(tblKurallar[deger_2025],MATCH("TBA-004",tblKurallar[kural_id],0))+$F769*tba_isverenOran,2),0))</f>
        <v/>
      </c>
      <c r="I769" s="31">
        <f>IF($A769="","",IFERROR(MAX(0,$H769-$G769),0))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0" t="n"/>
      <c r="H770" s="31">
        <f>IF($A770="","",IFERROR(ROUND($C770*INDEX(tblKurallar[deger_2025],MATCH("TBA-001",tblKurallar[kural_id],0))+$D770*INDEX(tblKurallar[deger_2025],MATCH("TBA-002",tblKurallar[kural_id],0))+$E770*INDEX(tblKurallar[deger_2025],MATCH("TBA-004",tblKurallar[kural_id],0))+$F770*tba_isverenOran,2),0))</f>
        <v/>
      </c>
      <c r="I770" s="31">
        <f>IF($A770="","",IFERROR(MAX(0,$H770-$G770),0))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0" t="n"/>
      <c r="H771" s="31">
        <f>IF($A771="","",IFERROR(ROUND($C771*INDEX(tblKurallar[deger_2025],MATCH("TBA-001",tblKurallar[kural_id],0))+$D771*INDEX(tblKurallar[deger_2025],MATCH("TBA-002",tblKurallar[kural_id],0))+$E771*INDEX(tblKurallar[deger_2025],MATCH("TBA-004",tblKurallar[kural_id],0))+$F771*tba_isverenOran,2),0))</f>
        <v/>
      </c>
      <c r="I771" s="31">
        <f>IF($A771="","",IFERROR(MAX(0,$H771-$G771),0))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0" t="n"/>
      <c r="H772" s="31">
        <f>IF($A772="","",IFERROR(ROUND($C772*INDEX(tblKurallar[deger_2025],MATCH("TBA-001",tblKurallar[kural_id],0))+$D772*INDEX(tblKurallar[deger_2025],MATCH("TBA-002",tblKurallar[kural_id],0))+$E772*INDEX(tblKurallar[deger_2025],MATCH("TBA-004",tblKurallar[kural_id],0))+$F772*tba_isverenOran,2),0))</f>
        <v/>
      </c>
      <c r="I772" s="31">
        <f>IF($A772="","",IFERROR(MAX(0,$H772-$G772),0))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0" t="n"/>
      <c r="H773" s="31">
        <f>IF($A773="","",IFERROR(ROUND($C773*INDEX(tblKurallar[deger_2025],MATCH("TBA-001",tblKurallar[kural_id],0))+$D773*INDEX(tblKurallar[deger_2025],MATCH("TBA-002",tblKurallar[kural_id],0))+$E773*INDEX(tblKurallar[deger_2025],MATCH("TBA-004",tblKurallar[kural_id],0))+$F773*tba_isverenOran,2),0))</f>
        <v/>
      </c>
      <c r="I773" s="31">
        <f>IF($A773="","",IFERROR(MAX(0,$H773-$G773),0))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0" t="n"/>
      <c r="H774" s="31">
        <f>IF($A774="","",IFERROR(ROUND($C774*INDEX(tblKurallar[deger_2025],MATCH("TBA-001",tblKurallar[kural_id],0))+$D774*INDEX(tblKurallar[deger_2025],MATCH("TBA-002",tblKurallar[kural_id],0))+$E774*INDEX(tblKurallar[deger_2025],MATCH("TBA-004",tblKurallar[kural_id],0))+$F774*tba_isverenOran,2),0))</f>
        <v/>
      </c>
      <c r="I774" s="31">
        <f>IF($A774="","",IFERROR(MAX(0,$H774-$G774),0))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0" t="n"/>
      <c r="H775" s="31">
        <f>IF($A775="","",IFERROR(ROUND($C775*INDEX(tblKurallar[deger_2025],MATCH("TBA-001",tblKurallar[kural_id],0))+$D775*INDEX(tblKurallar[deger_2025],MATCH("TBA-002",tblKurallar[kural_id],0))+$E775*INDEX(tblKurallar[deger_2025],MATCH("TBA-004",tblKurallar[kural_id],0))+$F775*tba_isverenOran,2),0))</f>
        <v/>
      </c>
      <c r="I775" s="31">
        <f>IF($A775="","",IFERROR(MAX(0,$H775-$G775),0))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0" t="n"/>
      <c r="H776" s="31">
        <f>IF($A776="","",IFERROR(ROUND($C776*INDEX(tblKurallar[deger_2025],MATCH("TBA-001",tblKurallar[kural_id],0))+$D776*INDEX(tblKurallar[deger_2025],MATCH("TBA-002",tblKurallar[kural_id],0))+$E776*INDEX(tblKurallar[deger_2025],MATCH("TBA-004",tblKurallar[kural_id],0))+$F776*tba_isverenOran,2),0))</f>
        <v/>
      </c>
      <c r="I776" s="31">
        <f>IF($A776="","",IFERROR(MAX(0,$H776-$G776),0))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0" t="n"/>
      <c r="H777" s="31">
        <f>IF($A777="","",IFERROR(ROUND($C777*INDEX(tblKurallar[deger_2025],MATCH("TBA-001",tblKurallar[kural_id],0))+$D777*INDEX(tblKurallar[deger_2025],MATCH("TBA-002",tblKurallar[kural_id],0))+$E777*INDEX(tblKurallar[deger_2025],MATCH("TBA-004",tblKurallar[kural_id],0))+$F777*tba_isverenOran,2),0))</f>
        <v/>
      </c>
      <c r="I777" s="31">
        <f>IF($A777="","",IFERROR(MAX(0,$H777-$G777),0))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0" t="n"/>
      <c r="H778" s="31">
        <f>IF($A778="","",IFERROR(ROUND($C778*INDEX(tblKurallar[deger_2025],MATCH("TBA-001",tblKurallar[kural_id],0))+$D778*INDEX(tblKurallar[deger_2025],MATCH("TBA-002",tblKurallar[kural_id],0))+$E778*INDEX(tblKurallar[deger_2025],MATCH("TBA-004",tblKurallar[kural_id],0))+$F778*tba_isverenOran,2),0))</f>
        <v/>
      </c>
      <c r="I778" s="31">
        <f>IF($A778="","",IFERROR(MAX(0,$H778-$G778),0))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0" t="n"/>
      <c r="H779" s="31">
        <f>IF($A779="","",IFERROR(ROUND($C779*INDEX(tblKurallar[deger_2025],MATCH("TBA-001",tblKurallar[kural_id],0))+$D779*INDEX(tblKurallar[deger_2025],MATCH("TBA-002",tblKurallar[kural_id],0))+$E779*INDEX(tblKurallar[deger_2025],MATCH("TBA-004",tblKurallar[kural_id],0))+$F779*tba_isverenOran,2),0))</f>
        <v/>
      </c>
      <c r="I779" s="31">
        <f>IF($A779="","",IFERROR(MAX(0,$H779-$G779),0))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0" t="n"/>
      <c r="H780" s="31">
        <f>IF($A780="","",IFERROR(ROUND($C780*INDEX(tblKurallar[deger_2025],MATCH("TBA-001",tblKurallar[kural_id],0))+$D780*INDEX(tblKurallar[deger_2025],MATCH("TBA-002",tblKurallar[kural_id],0))+$E780*INDEX(tblKurallar[deger_2025],MATCH("TBA-004",tblKurallar[kural_id],0))+$F780*tba_isverenOran,2),0))</f>
        <v/>
      </c>
      <c r="I780" s="31">
        <f>IF($A780="","",IFERROR(MAX(0,$H780-$G780),0))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0" t="n"/>
      <c r="H781" s="31">
        <f>IF($A781="","",IFERROR(ROUND($C781*INDEX(tblKurallar[deger_2025],MATCH("TBA-001",tblKurallar[kural_id],0))+$D781*INDEX(tblKurallar[deger_2025],MATCH("TBA-002",tblKurallar[kural_id],0))+$E781*INDEX(tblKurallar[deger_2025],MATCH("TBA-004",tblKurallar[kural_id],0))+$F781*tba_isverenOran,2),0))</f>
        <v/>
      </c>
      <c r="I781" s="31">
        <f>IF($A781="","",IFERROR(MAX(0,$H781-$G781),0))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0" t="n"/>
      <c r="H782" s="31">
        <f>IF($A782="","",IFERROR(ROUND($C782*INDEX(tblKurallar[deger_2025],MATCH("TBA-001",tblKurallar[kural_id],0))+$D782*INDEX(tblKurallar[deger_2025],MATCH("TBA-002",tblKurallar[kural_id],0))+$E782*INDEX(tblKurallar[deger_2025],MATCH("TBA-004",tblKurallar[kural_id],0))+$F782*tba_isverenOran,2),0))</f>
        <v/>
      </c>
      <c r="I782" s="31">
        <f>IF($A782="","",IFERROR(MAX(0,$H782-$G782),0))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0" t="n"/>
      <c r="H783" s="31">
        <f>IF($A783="","",IFERROR(ROUND($C783*INDEX(tblKurallar[deger_2025],MATCH("TBA-001",tblKurallar[kural_id],0))+$D783*INDEX(tblKurallar[deger_2025],MATCH("TBA-002",tblKurallar[kural_id],0))+$E783*INDEX(tblKurallar[deger_2025],MATCH("TBA-004",tblKurallar[kural_id],0))+$F783*tba_isverenOran,2),0))</f>
        <v/>
      </c>
      <c r="I783" s="31">
        <f>IF($A783="","",IFERROR(MAX(0,$H783-$G783),0))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0" t="n"/>
      <c r="H784" s="31">
        <f>IF($A784="","",IFERROR(ROUND($C784*INDEX(tblKurallar[deger_2025],MATCH("TBA-001",tblKurallar[kural_id],0))+$D784*INDEX(tblKurallar[deger_2025],MATCH("TBA-002",tblKurallar[kural_id],0))+$E784*INDEX(tblKurallar[deger_2025],MATCH("TBA-004",tblKurallar[kural_id],0))+$F784*tba_isverenOran,2),0))</f>
        <v/>
      </c>
      <c r="I784" s="31">
        <f>IF($A784="","",IFERROR(MAX(0,$H784-$G784),0))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0" t="n"/>
      <c r="H785" s="31">
        <f>IF($A785="","",IFERROR(ROUND($C785*INDEX(tblKurallar[deger_2025],MATCH("TBA-001",tblKurallar[kural_id],0))+$D785*INDEX(tblKurallar[deger_2025],MATCH("TBA-002",tblKurallar[kural_id],0))+$E785*INDEX(tblKurallar[deger_2025],MATCH("TBA-004",tblKurallar[kural_id],0))+$F785*tba_isverenOran,2),0))</f>
        <v/>
      </c>
      <c r="I785" s="31">
        <f>IF($A785="","",IFERROR(MAX(0,$H785-$G785),0))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0" t="n"/>
      <c r="H786" s="31">
        <f>IF($A786="","",IFERROR(ROUND($C786*INDEX(tblKurallar[deger_2025],MATCH("TBA-001",tblKurallar[kural_id],0))+$D786*INDEX(tblKurallar[deger_2025],MATCH("TBA-002",tblKurallar[kural_id],0))+$E786*INDEX(tblKurallar[deger_2025],MATCH("TBA-004",tblKurallar[kural_id],0))+$F786*tba_isverenOran,2),0))</f>
        <v/>
      </c>
      <c r="I786" s="31">
        <f>IF($A786="","",IFERROR(MAX(0,$H786-$G786),0))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0" t="n"/>
      <c r="H787" s="31">
        <f>IF($A787="","",IFERROR(ROUND($C787*INDEX(tblKurallar[deger_2025],MATCH("TBA-001",tblKurallar[kural_id],0))+$D787*INDEX(tblKurallar[deger_2025],MATCH("TBA-002",tblKurallar[kural_id],0))+$E787*INDEX(tblKurallar[deger_2025],MATCH("TBA-004",tblKurallar[kural_id],0))+$F787*tba_isverenOran,2),0))</f>
        <v/>
      </c>
      <c r="I787" s="31">
        <f>IF($A787="","",IFERROR(MAX(0,$H787-$G787),0))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0" t="n"/>
      <c r="H788" s="31">
        <f>IF($A788="","",IFERROR(ROUND($C788*INDEX(tblKurallar[deger_2025],MATCH("TBA-001",tblKurallar[kural_id],0))+$D788*INDEX(tblKurallar[deger_2025],MATCH("TBA-002",tblKurallar[kural_id],0))+$E788*INDEX(tblKurallar[deger_2025],MATCH("TBA-004",tblKurallar[kural_id],0))+$F788*tba_isverenOran,2),0))</f>
        <v/>
      </c>
      <c r="I788" s="31">
        <f>IF($A788="","",IFERROR(MAX(0,$H788-$G788),0))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0" t="n"/>
      <c r="H789" s="31">
        <f>IF($A789="","",IFERROR(ROUND($C789*INDEX(tblKurallar[deger_2025],MATCH("TBA-001",tblKurallar[kural_id],0))+$D789*INDEX(tblKurallar[deger_2025],MATCH("TBA-002",tblKurallar[kural_id],0))+$E789*INDEX(tblKurallar[deger_2025],MATCH("TBA-004",tblKurallar[kural_id],0))+$F789*tba_isverenOran,2),0))</f>
        <v/>
      </c>
      <c r="I789" s="31">
        <f>IF($A789="","",IFERROR(MAX(0,$H789-$G789),0))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0" t="n"/>
      <c r="H790" s="31">
        <f>IF($A790="","",IFERROR(ROUND($C790*INDEX(tblKurallar[deger_2025],MATCH("TBA-001",tblKurallar[kural_id],0))+$D790*INDEX(tblKurallar[deger_2025],MATCH("TBA-002",tblKurallar[kural_id],0))+$E790*INDEX(tblKurallar[deger_2025],MATCH("TBA-004",tblKurallar[kural_id],0))+$F790*tba_isverenOran,2),0))</f>
        <v/>
      </c>
      <c r="I790" s="31">
        <f>IF($A790="","",IFERROR(MAX(0,$H790-$G790),0))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0" t="n"/>
      <c r="H791" s="31">
        <f>IF($A791="","",IFERROR(ROUND($C791*INDEX(tblKurallar[deger_2025],MATCH("TBA-001",tblKurallar[kural_id],0))+$D791*INDEX(tblKurallar[deger_2025],MATCH("TBA-002",tblKurallar[kural_id],0))+$E791*INDEX(tblKurallar[deger_2025],MATCH("TBA-004",tblKurallar[kural_id],0))+$F791*tba_isverenOran,2),0))</f>
        <v/>
      </c>
      <c r="I791" s="31">
        <f>IF($A791="","",IFERROR(MAX(0,$H791-$G791),0))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0" t="n"/>
      <c r="H792" s="31">
        <f>IF($A792="","",IFERROR(ROUND($C792*INDEX(tblKurallar[deger_2025],MATCH("TBA-001",tblKurallar[kural_id],0))+$D792*INDEX(tblKurallar[deger_2025],MATCH("TBA-002",tblKurallar[kural_id],0))+$E792*INDEX(tblKurallar[deger_2025],MATCH("TBA-004",tblKurallar[kural_id],0))+$F792*tba_isverenOran,2),0))</f>
        <v/>
      </c>
      <c r="I792" s="31">
        <f>IF($A792="","",IFERROR(MAX(0,$H792-$G792),0))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0" t="n"/>
      <c r="H793" s="31">
        <f>IF($A793="","",IFERROR(ROUND($C793*INDEX(tblKurallar[deger_2025],MATCH("TBA-001",tblKurallar[kural_id],0))+$D793*INDEX(tblKurallar[deger_2025],MATCH("TBA-002",tblKurallar[kural_id],0))+$E793*INDEX(tblKurallar[deger_2025],MATCH("TBA-004",tblKurallar[kural_id],0))+$F793*tba_isverenOran,2),0))</f>
        <v/>
      </c>
      <c r="I793" s="31">
        <f>IF($A793="","",IFERROR(MAX(0,$H793-$G793),0))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0" t="n"/>
      <c r="H794" s="31">
        <f>IF($A794="","",IFERROR(ROUND($C794*INDEX(tblKurallar[deger_2025],MATCH("TBA-001",tblKurallar[kural_id],0))+$D794*INDEX(tblKurallar[deger_2025],MATCH("TBA-002",tblKurallar[kural_id],0))+$E794*INDEX(tblKurallar[deger_2025],MATCH("TBA-004",tblKurallar[kural_id],0))+$F794*tba_isverenOran,2),0))</f>
        <v/>
      </c>
      <c r="I794" s="31">
        <f>IF($A794="","",IFERROR(MAX(0,$H794-$G794),0))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0" t="n"/>
      <c r="H795" s="31">
        <f>IF($A795="","",IFERROR(ROUND($C795*INDEX(tblKurallar[deger_2025],MATCH("TBA-001",tblKurallar[kural_id],0))+$D795*INDEX(tblKurallar[deger_2025],MATCH("TBA-002",tblKurallar[kural_id],0))+$E795*INDEX(tblKurallar[deger_2025],MATCH("TBA-004",tblKurallar[kural_id],0))+$F795*tba_isverenOran,2),0))</f>
        <v/>
      </c>
      <c r="I795" s="31">
        <f>IF($A795="","",IFERROR(MAX(0,$H795-$G795),0))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0" t="n"/>
      <c r="H796" s="31">
        <f>IF($A796="","",IFERROR(ROUND($C796*INDEX(tblKurallar[deger_2025],MATCH("TBA-001",tblKurallar[kural_id],0))+$D796*INDEX(tblKurallar[deger_2025],MATCH("TBA-002",tblKurallar[kural_id],0))+$E796*INDEX(tblKurallar[deger_2025],MATCH("TBA-004",tblKurallar[kural_id],0))+$F796*tba_isverenOran,2),0))</f>
        <v/>
      </c>
      <c r="I796" s="31">
        <f>IF($A796="","",IFERROR(MAX(0,$H796-$G796),0))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0" t="n"/>
      <c r="H797" s="31">
        <f>IF($A797="","",IFERROR(ROUND($C797*INDEX(tblKurallar[deger_2025],MATCH("TBA-001",tblKurallar[kural_id],0))+$D797*INDEX(tblKurallar[deger_2025],MATCH("TBA-002",tblKurallar[kural_id],0))+$E797*INDEX(tblKurallar[deger_2025],MATCH("TBA-004",tblKurallar[kural_id],0))+$F797*tba_isverenOran,2),0))</f>
        <v/>
      </c>
      <c r="I797" s="31">
        <f>IF($A797="","",IFERROR(MAX(0,$H797-$G797),0))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0" t="n"/>
      <c r="H798" s="31">
        <f>IF($A798="","",IFERROR(ROUND($C798*INDEX(tblKurallar[deger_2025],MATCH("TBA-001",tblKurallar[kural_id],0))+$D798*INDEX(tblKurallar[deger_2025],MATCH("TBA-002",tblKurallar[kural_id],0))+$E798*INDEX(tblKurallar[deger_2025],MATCH("TBA-004",tblKurallar[kural_id],0))+$F798*tba_isverenOran,2),0))</f>
        <v/>
      </c>
      <c r="I798" s="31">
        <f>IF($A798="","",IFERROR(MAX(0,$H798-$G798),0))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0" t="n"/>
      <c r="H799" s="31">
        <f>IF($A799="","",IFERROR(ROUND($C799*INDEX(tblKurallar[deger_2025],MATCH("TBA-001",tblKurallar[kural_id],0))+$D799*INDEX(tblKurallar[deger_2025],MATCH("TBA-002",tblKurallar[kural_id],0))+$E799*INDEX(tblKurallar[deger_2025],MATCH("TBA-004",tblKurallar[kural_id],0))+$F799*tba_isverenOran,2),0))</f>
        <v/>
      </c>
      <c r="I799" s="31">
        <f>IF($A799="","",IFERROR(MAX(0,$H799-$G799),0))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0" t="n"/>
      <c r="H800" s="31">
        <f>IF($A800="","",IFERROR(ROUND($C800*INDEX(tblKurallar[deger_2025],MATCH("TBA-001",tblKurallar[kural_id],0))+$D800*INDEX(tblKurallar[deger_2025],MATCH("TBA-002",tblKurallar[kural_id],0))+$E800*INDEX(tblKurallar[deger_2025],MATCH("TBA-004",tblKurallar[kural_id],0))+$F800*tba_isverenOran,2),0))</f>
        <v/>
      </c>
      <c r="I800" s="31">
        <f>IF($A800="","",IFERROR(MAX(0,$H800-$G800),0))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0" t="n"/>
      <c r="H801" s="31">
        <f>IF($A801="","",IFERROR(ROUND($C801*INDEX(tblKurallar[deger_2025],MATCH("TBA-001",tblKurallar[kural_id],0))+$D801*INDEX(tblKurallar[deger_2025],MATCH("TBA-002",tblKurallar[kural_id],0))+$E801*INDEX(tblKurallar[deger_2025],MATCH("TBA-004",tblKurallar[kural_id],0))+$F801*tba_isverenOran,2),0))</f>
        <v/>
      </c>
      <c r="I801" s="31">
        <f>IF($A801="","",IFERROR(MAX(0,$H801-$G801),0))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0" t="n"/>
      <c r="H802" s="31">
        <f>IF($A802="","",IFERROR(ROUND($C802*INDEX(tblKurallar[deger_2025],MATCH("TBA-001",tblKurallar[kural_id],0))+$D802*INDEX(tblKurallar[deger_2025],MATCH("TBA-002",tblKurallar[kural_id],0))+$E802*INDEX(tblKurallar[deger_2025],MATCH("TBA-004",tblKurallar[kural_id],0))+$F802*tba_isverenOran,2),0))</f>
        <v/>
      </c>
      <c r="I802" s="31">
        <f>IF($A802="","",IFERROR(MAX(0,$H802-$G802),0))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0" t="n"/>
      <c r="H803" s="31">
        <f>IF($A803="","",IFERROR(ROUND($C803*INDEX(tblKurallar[deger_2025],MATCH("TBA-001",tblKurallar[kural_id],0))+$D803*INDEX(tblKurallar[deger_2025],MATCH("TBA-002",tblKurallar[kural_id],0))+$E803*INDEX(tblKurallar[deger_2025],MATCH("TBA-004",tblKurallar[kural_id],0))+$F803*tba_isverenOran,2),0))</f>
        <v/>
      </c>
      <c r="I803" s="31">
        <f>IF($A803="","",IFERROR(MAX(0,$H803-$G803),0))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0" t="n"/>
      <c r="H804" s="31">
        <f>IF($A804="","",IFERROR(ROUND($C804*INDEX(tblKurallar[deger_2025],MATCH("TBA-001",tblKurallar[kural_id],0))+$D804*INDEX(tblKurallar[deger_2025],MATCH("TBA-002",tblKurallar[kural_id],0))+$E804*INDEX(tblKurallar[deger_2025],MATCH("TBA-004",tblKurallar[kural_id],0))+$F804*tba_isverenOran,2),0))</f>
        <v/>
      </c>
      <c r="I804" s="31">
        <f>IF($A804="","",IFERROR(MAX(0,$H804-$G804),0))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0" t="n"/>
      <c r="H805" s="31">
        <f>IF($A805="","",IFERROR(ROUND($C805*INDEX(tblKurallar[deger_2025],MATCH("TBA-001",tblKurallar[kural_id],0))+$D805*INDEX(tblKurallar[deger_2025],MATCH("TBA-002",tblKurallar[kural_id],0))+$E805*INDEX(tblKurallar[deger_2025],MATCH("TBA-004",tblKurallar[kural_id],0))+$F805*tba_isverenOran,2),0))</f>
        <v/>
      </c>
      <c r="I805" s="31">
        <f>IF($A805="","",IFERROR(MAX(0,$H805-$G805),0))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0" t="n"/>
      <c r="H806" s="31">
        <f>IF($A806="","",IFERROR(ROUND($C806*INDEX(tblKurallar[deger_2025],MATCH("TBA-001",tblKurallar[kural_id],0))+$D806*INDEX(tblKurallar[deger_2025],MATCH("TBA-002",tblKurallar[kural_id],0))+$E806*INDEX(tblKurallar[deger_2025],MATCH("TBA-004",tblKurallar[kural_id],0))+$F806*tba_isverenOran,2),0))</f>
        <v/>
      </c>
      <c r="I806" s="31">
        <f>IF($A806="","",IFERROR(MAX(0,$H806-$G806),0))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0" t="n"/>
      <c r="H807" s="31">
        <f>IF($A807="","",IFERROR(ROUND($C807*INDEX(tblKurallar[deger_2025],MATCH("TBA-001",tblKurallar[kural_id],0))+$D807*INDEX(tblKurallar[deger_2025],MATCH("TBA-002",tblKurallar[kural_id],0))+$E807*INDEX(tblKurallar[deger_2025],MATCH("TBA-004",tblKurallar[kural_id],0))+$F807*tba_isverenOran,2),0))</f>
        <v/>
      </c>
      <c r="I807" s="31">
        <f>IF($A807="","",IFERROR(MAX(0,$H807-$G807),0))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0" t="n"/>
      <c r="H808" s="31">
        <f>IF($A808="","",IFERROR(ROUND($C808*INDEX(tblKurallar[deger_2025],MATCH("TBA-001",tblKurallar[kural_id],0))+$D808*INDEX(tblKurallar[deger_2025],MATCH("TBA-002",tblKurallar[kural_id],0))+$E808*INDEX(tblKurallar[deger_2025],MATCH("TBA-004",tblKurallar[kural_id],0))+$F808*tba_isverenOran,2),0))</f>
        <v/>
      </c>
      <c r="I808" s="31">
        <f>IF($A808="","",IFERROR(MAX(0,$H808-$G808),0))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0" t="n"/>
      <c r="H809" s="31">
        <f>IF($A809="","",IFERROR(ROUND($C809*INDEX(tblKurallar[deger_2025],MATCH("TBA-001",tblKurallar[kural_id],0))+$D809*INDEX(tblKurallar[deger_2025],MATCH("TBA-002",tblKurallar[kural_id],0))+$E809*INDEX(tblKurallar[deger_2025],MATCH("TBA-004",tblKurallar[kural_id],0))+$F809*tba_isverenOran,2),0))</f>
        <v/>
      </c>
      <c r="I809" s="31">
        <f>IF($A809="","",IFERROR(MAX(0,$H809-$G809),0))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0" t="n"/>
      <c r="H810" s="31">
        <f>IF($A810="","",IFERROR(ROUND($C810*INDEX(tblKurallar[deger_2025],MATCH("TBA-001",tblKurallar[kural_id],0))+$D810*INDEX(tblKurallar[deger_2025],MATCH("TBA-002",tblKurallar[kural_id],0))+$E810*INDEX(tblKurallar[deger_2025],MATCH("TBA-004",tblKurallar[kural_id],0))+$F810*tba_isverenOran,2),0))</f>
        <v/>
      </c>
      <c r="I810" s="31">
        <f>IF($A810="","",IFERROR(MAX(0,$H810-$G810),0))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0" t="n"/>
      <c r="H811" s="31">
        <f>IF($A811="","",IFERROR(ROUND($C811*INDEX(tblKurallar[deger_2025],MATCH("TBA-001",tblKurallar[kural_id],0))+$D811*INDEX(tblKurallar[deger_2025],MATCH("TBA-002",tblKurallar[kural_id],0))+$E811*INDEX(tblKurallar[deger_2025],MATCH("TBA-004",tblKurallar[kural_id],0))+$F811*tba_isverenOran,2),0))</f>
        <v/>
      </c>
      <c r="I811" s="31">
        <f>IF($A811="","",IFERROR(MAX(0,$H811-$G811),0))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0" t="n"/>
      <c r="H812" s="31">
        <f>IF($A812="","",IFERROR(ROUND($C812*INDEX(tblKurallar[deger_2025],MATCH("TBA-001",tblKurallar[kural_id],0))+$D812*INDEX(tblKurallar[deger_2025],MATCH("TBA-002",tblKurallar[kural_id],0))+$E812*INDEX(tblKurallar[deger_2025],MATCH("TBA-004",tblKurallar[kural_id],0))+$F812*tba_isverenOran,2),0))</f>
        <v/>
      </c>
      <c r="I812" s="31">
        <f>IF($A812="","",IFERROR(MAX(0,$H812-$G812),0))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0" t="n"/>
      <c r="H813" s="31">
        <f>IF($A813="","",IFERROR(ROUND($C813*INDEX(tblKurallar[deger_2025],MATCH("TBA-001",tblKurallar[kural_id],0))+$D813*INDEX(tblKurallar[deger_2025],MATCH("TBA-002",tblKurallar[kural_id],0))+$E813*INDEX(tblKurallar[deger_2025],MATCH("TBA-004",tblKurallar[kural_id],0))+$F813*tba_isverenOran,2),0))</f>
        <v/>
      </c>
      <c r="I813" s="31">
        <f>IF($A813="","",IFERROR(MAX(0,$H813-$G813),0))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0" t="n"/>
      <c r="H814" s="31">
        <f>IF($A814="","",IFERROR(ROUND($C814*INDEX(tblKurallar[deger_2025],MATCH("TBA-001",tblKurallar[kural_id],0))+$D814*INDEX(tblKurallar[deger_2025],MATCH("TBA-002",tblKurallar[kural_id],0))+$E814*INDEX(tblKurallar[deger_2025],MATCH("TBA-004",tblKurallar[kural_id],0))+$F814*tba_isverenOran,2),0))</f>
        <v/>
      </c>
      <c r="I814" s="31">
        <f>IF($A814="","",IFERROR(MAX(0,$H814-$G814),0))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0" t="n"/>
      <c r="H815" s="31">
        <f>IF($A815="","",IFERROR(ROUND($C815*INDEX(tblKurallar[deger_2025],MATCH("TBA-001",tblKurallar[kural_id],0))+$D815*INDEX(tblKurallar[deger_2025],MATCH("TBA-002",tblKurallar[kural_id],0))+$E815*INDEX(tblKurallar[deger_2025],MATCH("TBA-004",tblKurallar[kural_id],0))+$F815*tba_isverenOran,2),0))</f>
        <v/>
      </c>
      <c r="I815" s="31">
        <f>IF($A815="","",IFERROR(MAX(0,$H815-$G815),0))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0" t="n"/>
      <c r="H816" s="31">
        <f>IF($A816="","",IFERROR(ROUND($C816*INDEX(tblKurallar[deger_2025],MATCH("TBA-001",tblKurallar[kural_id],0))+$D816*INDEX(tblKurallar[deger_2025],MATCH("TBA-002",tblKurallar[kural_id],0))+$E816*INDEX(tblKurallar[deger_2025],MATCH("TBA-004",tblKurallar[kural_id],0))+$F816*tba_isverenOran,2),0))</f>
        <v/>
      </c>
      <c r="I816" s="31">
        <f>IF($A816="","",IFERROR(MAX(0,$H816-$G816),0))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0" t="n"/>
      <c r="H817" s="31">
        <f>IF($A817="","",IFERROR(ROUND($C817*INDEX(tblKurallar[deger_2025],MATCH("TBA-001",tblKurallar[kural_id],0))+$D817*INDEX(tblKurallar[deger_2025],MATCH("TBA-002",tblKurallar[kural_id],0))+$E817*INDEX(tblKurallar[deger_2025],MATCH("TBA-004",tblKurallar[kural_id],0))+$F817*tba_isverenOran,2),0))</f>
        <v/>
      </c>
      <c r="I817" s="31">
        <f>IF($A817="","",IFERROR(MAX(0,$H817-$G817),0))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0" t="n"/>
      <c r="H818" s="31">
        <f>IF($A818="","",IFERROR(ROUND($C818*INDEX(tblKurallar[deger_2025],MATCH("TBA-001",tblKurallar[kural_id],0))+$D818*INDEX(tblKurallar[deger_2025],MATCH("TBA-002",tblKurallar[kural_id],0))+$E818*INDEX(tblKurallar[deger_2025],MATCH("TBA-004",tblKurallar[kural_id],0))+$F818*tba_isverenOran,2),0))</f>
        <v/>
      </c>
      <c r="I818" s="31">
        <f>IF($A818="","",IFERROR(MAX(0,$H818-$G818),0))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0" t="n"/>
      <c r="H819" s="31">
        <f>IF($A819="","",IFERROR(ROUND($C819*INDEX(tblKurallar[deger_2025],MATCH("TBA-001",tblKurallar[kural_id],0))+$D819*INDEX(tblKurallar[deger_2025],MATCH("TBA-002",tblKurallar[kural_id],0))+$E819*INDEX(tblKurallar[deger_2025],MATCH("TBA-004",tblKurallar[kural_id],0))+$F819*tba_isverenOran,2),0))</f>
        <v/>
      </c>
      <c r="I819" s="31">
        <f>IF($A819="","",IFERROR(MAX(0,$H819-$G819),0))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0" t="n"/>
      <c r="H820" s="31">
        <f>IF($A820="","",IFERROR(ROUND($C820*INDEX(tblKurallar[deger_2025],MATCH("TBA-001",tblKurallar[kural_id],0))+$D820*INDEX(tblKurallar[deger_2025],MATCH("TBA-002",tblKurallar[kural_id],0))+$E820*INDEX(tblKurallar[deger_2025],MATCH("TBA-004",tblKurallar[kural_id],0))+$F820*tba_isverenOran,2),0))</f>
        <v/>
      </c>
      <c r="I820" s="31">
        <f>IF($A820="","",IFERROR(MAX(0,$H820-$G820),0))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0" t="n"/>
      <c r="H821" s="31">
        <f>IF($A821="","",IFERROR(ROUND($C821*INDEX(tblKurallar[deger_2025],MATCH("TBA-001",tblKurallar[kural_id],0))+$D821*INDEX(tblKurallar[deger_2025],MATCH("TBA-002",tblKurallar[kural_id],0))+$E821*INDEX(tblKurallar[deger_2025],MATCH("TBA-004",tblKurallar[kural_id],0))+$F821*tba_isverenOran,2),0))</f>
        <v/>
      </c>
      <c r="I821" s="31">
        <f>IF($A821="","",IFERROR(MAX(0,$H821-$G821),0))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0" t="n"/>
      <c r="H822" s="31">
        <f>IF($A822="","",IFERROR(ROUND($C822*INDEX(tblKurallar[deger_2025],MATCH("TBA-001",tblKurallar[kural_id],0))+$D822*INDEX(tblKurallar[deger_2025],MATCH("TBA-002",tblKurallar[kural_id],0))+$E822*INDEX(tblKurallar[deger_2025],MATCH("TBA-004",tblKurallar[kural_id],0))+$F822*tba_isverenOran,2),0))</f>
        <v/>
      </c>
      <c r="I822" s="31">
        <f>IF($A822="","",IFERROR(MAX(0,$H822-$G822),0))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0" t="n"/>
      <c r="H823" s="31">
        <f>IF($A823="","",IFERROR(ROUND($C823*INDEX(tblKurallar[deger_2025],MATCH("TBA-001",tblKurallar[kural_id],0))+$D823*INDEX(tblKurallar[deger_2025],MATCH("TBA-002",tblKurallar[kural_id],0))+$E823*INDEX(tblKurallar[deger_2025],MATCH("TBA-004",tblKurallar[kural_id],0))+$F823*tba_isverenOran,2),0))</f>
        <v/>
      </c>
      <c r="I823" s="31">
        <f>IF($A823="","",IFERROR(MAX(0,$H823-$G823),0))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0" t="n"/>
      <c r="H824" s="31">
        <f>IF($A824="","",IFERROR(ROUND($C824*INDEX(tblKurallar[deger_2025],MATCH("TBA-001",tblKurallar[kural_id],0))+$D824*INDEX(tblKurallar[deger_2025],MATCH("TBA-002",tblKurallar[kural_id],0))+$E824*INDEX(tblKurallar[deger_2025],MATCH("TBA-004",tblKurallar[kural_id],0))+$F824*tba_isverenOran,2),0))</f>
        <v/>
      </c>
      <c r="I824" s="31">
        <f>IF($A824="","",IFERROR(MAX(0,$H824-$G824),0))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0" t="n"/>
      <c r="H825" s="31">
        <f>IF($A825="","",IFERROR(ROUND($C825*INDEX(tblKurallar[deger_2025],MATCH("TBA-001",tblKurallar[kural_id],0))+$D825*INDEX(tblKurallar[deger_2025],MATCH("TBA-002",tblKurallar[kural_id],0))+$E825*INDEX(tblKurallar[deger_2025],MATCH("TBA-004",tblKurallar[kural_id],0))+$F825*tba_isverenOran,2),0))</f>
        <v/>
      </c>
      <c r="I825" s="31">
        <f>IF($A825="","",IFERROR(MAX(0,$H825-$G825),0))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0" t="n"/>
      <c r="H826" s="31">
        <f>IF($A826="","",IFERROR(ROUND($C826*INDEX(tblKurallar[deger_2025],MATCH("TBA-001",tblKurallar[kural_id],0))+$D826*INDEX(tblKurallar[deger_2025],MATCH("TBA-002",tblKurallar[kural_id],0))+$E826*INDEX(tblKurallar[deger_2025],MATCH("TBA-004",tblKurallar[kural_id],0))+$F826*tba_isverenOran,2),0))</f>
        <v/>
      </c>
      <c r="I826" s="31">
        <f>IF($A826="","",IFERROR(MAX(0,$H826-$G826),0))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0" t="n"/>
      <c r="H827" s="31">
        <f>IF($A827="","",IFERROR(ROUND($C827*INDEX(tblKurallar[deger_2025],MATCH("TBA-001",tblKurallar[kural_id],0))+$D827*INDEX(tblKurallar[deger_2025],MATCH("TBA-002",tblKurallar[kural_id],0))+$E827*INDEX(tblKurallar[deger_2025],MATCH("TBA-004",tblKurallar[kural_id],0))+$F827*tba_isverenOran,2),0))</f>
        <v/>
      </c>
      <c r="I827" s="31">
        <f>IF($A827="","",IFERROR(MAX(0,$H827-$G827),0))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0" t="n"/>
      <c r="H828" s="31">
        <f>IF($A828="","",IFERROR(ROUND($C828*INDEX(tblKurallar[deger_2025],MATCH("TBA-001",tblKurallar[kural_id],0))+$D828*INDEX(tblKurallar[deger_2025],MATCH("TBA-002",tblKurallar[kural_id],0))+$E828*INDEX(tblKurallar[deger_2025],MATCH("TBA-004",tblKurallar[kural_id],0))+$F828*tba_isverenOran,2),0))</f>
        <v/>
      </c>
      <c r="I828" s="31">
        <f>IF($A828="","",IFERROR(MAX(0,$H828-$G828),0))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0" t="n"/>
      <c r="H829" s="31">
        <f>IF($A829="","",IFERROR(ROUND($C829*INDEX(tblKurallar[deger_2025],MATCH("TBA-001",tblKurallar[kural_id],0))+$D829*INDEX(tblKurallar[deger_2025],MATCH("TBA-002",tblKurallar[kural_id],0))+$E829*INDEX(tblKurallar[deger_2025],MATCH("TBA-004",tblKurallar[kural_id],0))+$F829*tba_isverenOran,2),0))</f>
        <v/>
      </c>
      <c r="I829" s="31">
        <f>IF($A829="","",IFERROR(MAX(0,$H829-$G829),0))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0" t="n"/>
      <c r="H830" s="31">
        <f>IF($A830="","",IFERROR(ROUND($C830*INDEX(tblKurallar[deger_2025],MATCH("TBA-001",tblKurallar[kural_id],0))+$D830*INDEX(tblKurallar[deger_2025],MATCH("TBA-002",tblKurallar[kural_id],0))+$E830*INDEX(tblKurallar[deger_2025],MATCH("TBA-004",tblKurallar[kural_id],0))+$F830*tba_isverenOran,2),0))</f>
        <v/>
      </c>
      <c r="I830" s="31">
        <f>IF($A830="","",IFERROR(MAX(0,$H830-$G830),0))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0" t="n"/>
      <c r="H831" s="31">
        <f>IF($A831="","",IFERROR(ROUND($C831*INDEX(tblKurallar[deger_2025],MATCH("TBA-001",tblKurallar[kural_id],0))+$D831*INDEX(tblKurallar[deger_2025],MATCH("TBA-002",tblKurallar[kural_id],0))+$E831*INDEX(tblKurallar[deger_2025],MATCH("TBA-004",tblKurallar[kural_id],0))+$F831*tba_isverenOran,2),0))</f>
        <v/>
      </c>
      <c r="I831" s="31">
        <f>IF($A831="","",IFERROR(MAX(0,$H831-$G831),0))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0" t="n"/>
      <c r="H832" s="31">
        <f>IF($A832="","",IFERROR(ROUND($C832*INDEX(tblKurallar[deger_2025],MATCH("TBA-001",tblKurallar[kural_id],0))+$D832*INDEX(tblKurallar[deger_2025],MATCH("TBA-002",tblKurallar[kural_id],0))+$E832*INDEX(tblKurallar[deger_2025],MATCH("TBA-004",tblKurallar[kural_id],0))+$F832*tba_isverenOran,2),0))</f>
        <v/>
      </c>
      <c r="I832" s="31">
        <f>IF($A832="","",IFERROR(MAX(0,$H832-$G832),0))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0" t="n"/>
      <c r="H833" s="31">
        <f>IF($A833="","",IFERROR(ROUND($C833*INDEX(tblKurallar[deger_2025],MATCH("TBA-001",tblKurallar[kural_id],0))+$D833*INDEX(tblKurallar[deger_2025],MATCH("TBA-002",tblKurallar[kural_id],0))+$E833*INDEX(tblKurallar[deger_2025],MATCH("TBA-004",tblKurallar[kural_id],0))+$F833*tba_isverenOran,2),0))</f>
        <v/>
      </c>
      <c r="I833" s="31">
        <f>IF($A833="","",IFERROR(MAX(0,$H833-$G833),0))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0" t="n"/>
      <c r="H834" s="31">
        <f>IF($A834="","",IFERROR(ROUND($C834*INDEX(tblKurallar[deger_2025],MATCH("TBA-001",tblKurallar[kural_id],0))+$D834*INDEX(tblKurallar[deger_2025],MATCH("TBA-002",tblKurallar[kural_id],0))+$E834*INDEX(tblKurallar[deger_2025],MATCH("TBA-004",tblKurallar[kural_id],0))+$F834*tba_isverenOran,2),0))</f>
        <v/>
      </c>
      <c r="I834" s="31">
        <f>IF($A834="","",IFERROR(MAX(0,$H834-$G834),0))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0" t="n"/>
      <c r="H835" s="31">
        <f>IF($A835="","",IFERROR(ROUND($C835*INDEX(tblKurallar[deger_2025],MATCH("TBA-001",tblKurallar[kural_id],0))+$D835*INDEX(tblKurallar[deger_2025],MATCH("TBA-002",tblKurallar[kural_id],0))+$E835*INDEX(tblKurallar[deger_2025],MATCH("TBA-004",tblKurallar[kural_id],0))+$F835*tba_isverenOran,2),0))</f>
        <v/>
      </c>
      <c r="I835" s="31">
        <f>IF($A835="","",IFERROR(MAX(0,$H835-$G835),0))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0" t="n"/>
      <c r="H836" s="31">
        <f>IF($A836="","",IFERROR(ROUND($C836*INDEX(tblKurallar[deger_2025],MATCH("TBA-001",tblKurallar[kural_id],0))+$D836*INDEX(tblKurallar[deger_2025],MATCH("TBA-002",tblKurallar[kural_id],0))+$E836*INDEX(tblKurallar[deger_2025],MATCH("TBA-004",tblKurallar[kural_id],0))+$F836*tba_isverenOran,2),0))</f>
        <v/>
      </c>
      <c r="I836" s="31">
        <f>IF($A836="","",IFERROR(MAX(0,$H836-$G836),0))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0" t="n"/>
      <c r="H837" s="31">
        <f>IF($A837="","",IFERROR(ROUND($C837*INDEX(tblKurallar[deger_2025],MATCH("TBA-001",tblKurallar[kural_id],0))+$D837*INDEX(tblKurallar[deger_2025],MATCH("TBA-002",tblKurallar[kural_id],0))+$E837*INDEX(tblKurallar[deger_2025],MATCH("TBA-004",tblKurallar[kural_id],0))+$F837*tba_isverenOran,2),0))</f>
        <v/>
      </c>
      <c r="I837" s="31">
        <f>IF($A837="","",IFERROR(MAX(0,$H837-$G837),0))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0" t="n"/>
      <c r="H838" s="31">
        <f>IF($A838="","",IFERROR(ROUND($C838*INDEX(tblKurallar[deger_2025],MATCH("TBA-001",tblKurallar[kural_id],0))+$D838*INDEX(tblKurallar[deger_2025],MATCH("TBA-002",tblKurallar[kural_id],0))+$E838*INDEX(tblKurallar[deger_2025],MATCH("TBA-004",tblKurallar[kural_id],0))+$F838*tba_isverenOran,2),0))</f>
        <v/>
      </c>
      <c r="I838" s="31">
        <f>IF($A838="","",IFERROR(MAX(0,$H838-$G838),0))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0" t="n"/>
      <c r="H839" s="31">
        <f>IF($A839="","",IFERROR(ROUND($C839*INDEX(tblKurallar[deger_2025],MATCH("TBA-001",tblKurallar[kural_id],0))+$D839*INDEX(tblKurallar[deger_2025],MATCH("TBA-002",tblKurallar[kural_id],0))+$E839*INDEX(tblKurallar[deger_2025],MATCH("TBA-004",tblKurallar[kural_id],0))+$F839*tba_isverenOran,2),0))</f>
        <v/>
      </c>
      <c r="I839" s="31">
        <f>IF($A839="","",IFERROR(MAX(0,$H839-$G839),0))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0" t="n"/>
      <c r="H840" s="31">
        <f>IF($A840="","",IFERROR(ROUND($C840*INDEX(tblKurallar[deger_2025],MATCH("TBA-001",tblKurallar[kural_id],0))+$D840*INDEX(tblKurallar[deger_2025],MATCH("TBA-002",tblKurallar[kural_id],0))+$E840*INDEX(tblKurallar[deger_2025],MATCH("TBA-004",tblKurallar[kural_id],0))+$F840*tba_isverenOran,2),0))</f>
        <v/>
      </c>
      <c r="I840" s="31">
        <f>IF($A840="","",IFERROR(MAX(0,$H840-$G840),0))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0" t="n"/>
      <c r="H841" s="31">
        <f>IF($A841="","",IFERROR(ROUND($C841*INDEX(tblKurallar[deger_2025],MATCH("TBA-001",tblKurallar[kural_id],0))+$D841*INDEX(tblKurallar[deger_2025],MATCH("TBA-002",tblKurallar[kural_id],0))+$E841*INDEX(tblKurallar[deger_2025],MATCH("TBA-004",tblKurallar[kural_id],0))+$F841*tba_isverenOran,2),0))</f>
        <v/>
      </c>
      <c r="I841" s="31">
        <f>IF($A841="","",IFERROR(MAX(0,$H841-$G841),0))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0" t="n"/>
      <c r="H842" s="31">
        <f>IF($A842="","",IFERROR(ROUND($C842*INDEX(tblKurallar[deger_2025],MATCH("TBA-001",tblKurallar[kural_id],0))+$D842*INDEX(tblKurallar[deger_2025],MATCH("TBA-002",tblKurallar[kural_id],0))+$E842*INDEX(tblKurallar[deger_2025],MATCH("TBA-004",tblKurallar[kural_id],0))+$F842*tba_isverenOran,2),0))</f>
        <v/>
      </c>
      <c r="I842" s="31">
        <f>IF($A842="","",IFERROR(MAX(0,$H842-$G842),0))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0" t="n"/>
      <c r="H843" s="31">
        <f>IF($A843="","",IFERROR(ROUND($C843*INDEX(tblKurallar[deger_2025],MATCH("TBA-001",tblKurallar[kural_id],0))+$D843*INDEX(tblKurallar[deger_2025],MATCH("TBA-002",tblKurallar[kural_id],0))+$E843*INDEX(tblKurallar[deger_2025],MATCH("TBA-004",tblKurallar[kural_id],0))+$F843*tba_isverenOran,2),0))</f>
        <v/>
      </c>
      <c r="I843" s="31">
        <f>IF($A843="","",IFERROR(MAX(0,$H843-$G843),0))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0" t="n"/>
      <c r="H844" s="31">
        <f>IF($A844="","",IFERROR(ROUND($C844*INDEX(tblKurallar[deger_2025],MATCH("TBA-001",tblKurallar[kural_id],0))+$D844*INDEX(tblKurallar[deger_2025],MATCH("TBA-002",tblKurallar[kural_id],0))+$E844*INDEX(tblKurallar[deger_2025],MATCH("TBA-004",tblKurallar[kural_id],0))+$F844*tba_isverenOran,2),0))</f>
        <v/>
      </c>
      <c r="I844" s="31">
        <f>IF($A844="","",IFERROR(MAX(0,$H844-$G844),0))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0" t="n"/>
      <c r="H845" s="31">
        <f>IF($A845="","",IFERROR(ROUND($C845*INDEX(tblKurallar[deger_2025],MATCH("TBA-001",tblKurallar[kural_id],0))+$D845*INDEX(tblKurallar[deger_2025],MATCH("TBA-002",tblKurallar[kural_id],0))+$E845*INDEX(tblKurallar[deger_2025],MATCH("TBA-004",tblKurallar[kural_id],0))+$F845*tba_isverenOran,2),0))</f>
        <v/>
      </c>
      <c r="I845" s="31">
        <f>IF($A845="","",IFERROR(MAX(0,$H845-$G845),0))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0" t="n"/>
      <c r="H846" s="31">
        <f>IF($A846="","",IFERROR(ROUND($C846*INDEX(tblKurallar[deger_2025],MATCH("TBA-001",tblKurallar[kural_id],0))+$D846*INDEX(tblKurallar[deger_2025],MATCH("TBA-002",tblKurallar[kural_id],0))+$E846*INDEX(tblKurallar[deger_2025],MATCH("TBA-004",tblKurallar[kural_id],0))+$F846*tba_isverenOran,2),0))</f>
        <v/>
      </c>
      <c r="I846" s="31">
        <f>IF($A846="","",IFERROR(MAX(0,$H846-$G846),0))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0" t="n"/>
      <c r="H847" s="31">
        <f>IF($A847="","",IFERROR(ROUND($C847*INDEX(tblKurallar[deger_2025],MATCH("TBA-001",tblKurallar[kural_id],0))+$D847*INDEX(tblKurallar[deger_2025],MATCH("TBA-002",tblKurallar[kural_id],0))+$E847*INDEX(tblKurallar[deger_2025],MATCH("TBA-004",tblKurallar[kural_id],0))+$F847*tba_isverenOran,2),0))</f>
        <v/>
      </c>
      <c r="I847" s="31">
        <f>IF($A847="","",IFERROR(MAX(0,$H847-$G847),0))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0" t="n"/>
      <c r="H848" s="31">
        <f>IF($A848="","",IFERROR(ROUND($C848*INDEX(tblKurallar[deger_2025],MATCH("TBA-001",tblKurallar[kural_id],0))+$D848*INDEX(tblKurallar[deger_2025],MATCH("TBA-002",tblKurallar[kural_id],0))+$E848*INDEX(tblKurallar[deger_2025],MATCH("TBA-004",tblKurallar[kural_id],0))+$F848*tba_isverenOran,2),0))</f>
        <v/>
      </c>
      <c r="I848" s="31">
        <f>IF($A848="","",IFERROR(MAX(0,$H848-$G848),0))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0" t="n"/>
      <c r="H849" s="31">
        <f>IF($A849="","",IFERROR(ROUND($C849*INDEX(tblKurallar[deger_2025],MATCH("TBA-001",tblKurallar[kural_id],0))+$D849*INDEX(tblKurallar[deger_2025],MATCH("TBA-002",tblKurallar[kural_id],0))+$E849*INDEX(tblKurallar[deger_2025],MATCH("TBA-004",tblKurallar[kural_id],0))+$F849*tba_isverenOran,2),0))</f>
        <v/>
      </c>
      <c r="I849" s="31">
        <f>IF($A849="","",IFERROR(MAX(0,$H849-$G849),0))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0" t="n"/>
      <c r="H850" s="31">
        <f>IF($A850="","",IFERROR(ROUND($C850*INDEX(tblKurallar[deger_2025],MATCH("TBA-001",tblKurallar[kural_id],0))+$D850*INDEX(tblKurallar[deger_2025],MATCH("TBA-002",tblKurallar[kural_id],0))+$E850*INDEX(tblKurallar[deger_2025],MATCH("TBA-004",tblKurallar[kural_id],0))+$F850*tba_isverenOran,2),0))</f>
        <v/>
      </c>
      <c r="I850" s="31">
        <f>IF($A850="","",IFERROR(MAX(0,$H850-$G850),0))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0" t="n"/>
      <c r="H851" s="31">
        <f>IF($A851="","",IFERROR(ROUND($C851*INDEX(tblKurallar[deger_2025],MATCH("TBA-001",tblKurallar[kural_id],0))+$D851*INDEX(tblKurallar[deger_2025],MATCH("TBA-002",tblKurallar[kural_id],0))+$E851*INDEX(tblKurallar[deger_2025],MATCH("TBA-004",tblKurallar[kural_id],0))+$F851*tba_isverenOran,2),0))</f>
        <v/>
      </c>
      <c r="I851" s="31">
        <f>IF($A851="","",IFERROR(MAX(0,$H851-$G851),0))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0" t="n"/>
      <c r="H852" s="31">
        <f>IF($A852="","",IFERROR(ROUND($C852*INDEX(tblKurallar[deger_2025],MATCH("TBA-001",tblKurallar[kural_id],0))+$D852*INDEX(tblKurallar[deger_2025],MATCH("TBA-002",tblKurallar[kural_id],0))+$E852*INDEX(tblKurallar[deger_2025],MATCH("TBA-004",tblKurallar[kural_id],0))+$F852*tba_isverenOran,2),0))</f>
        <v/>
      </c>
      <c r="I852" s="31">
        <f>IF($A852="","",IFERROR(MAX(0,$H852-$G852),0))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0" t="n"/>
      <c r="H853" s="31">
        <f>IF($A853="","",IFERROR(ROUND($C853*INDEX(tblKurallar[deger_2025],MATCH("TBA-001",tblKurallar[kural_id],0))+$D853*INDEX(tblKurallar[deger_2025],MATCH("TBA-002",tblKurallar[kural_id],0))+$E853*INDEX(tblKurallar[deger_2025],MATCH("TBA-004",tblKurallar[kural_id],0))+$F853*tba_isverenOran,2),0))</f>
        <v/>
      </c>
      <c r="I853" s="31">
        <f>IF($A853="","",IFERROR(MAX(0,$H853-$G853),0))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0" t="n"/>
      <c r="H854" s="31">
        <f>IF($A854="","",IFERROR(ROUND($C854*INDEX(tblKurallar[deger_2025],MATCH("TBA-001",tblKurallar[kural_id],0))+$D854*INDEX(tblKurallar[deger_2025],MATCH("TBA-002",tblKurallar[kural_id],0))+$E854*INDEX(tblKurallar[deger_2025],MATCH("TBA-004",tblKurallar[kural_id],0))+$F854*tba_isverenOran,2),0))</f>
        <v/>
      </c>
      <c r="I854" s="31">
        <f>IF($A854="","",IFERROR(MAX(0,$H854-$G854),0))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0" t="n"/>
      <c r="H855" s="31">
        <f>IF($A855="","",IFERROR(ROUND($C855*INDEX(tblKurallar[deger_2025],MATCH("TBA-001",tblKurallar[kural_id],0))+$D855*INDEX(tblKurallar[deger_2025],MATCH("TBA-002",tblKurallar[kural_id],0))+$E855*INDEX(tblKurallar[deger_2025],MATCH("TBA-004",tblKurallar[kural_id],0))+$F855*tba_isverenOran,2),0))</f>
        <v/>
      </c>
      <c r="I855" s="31">
        <f>IF($A855="","",IFERROR(MAX(0,$H855-$G855),0))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0" t="n"/>
      <c r="H856" s="31">
        <f>IF($A856="","",IFERROR(ROUND($C856*INDEX(tblKurallar[deger_2025],MATCH("TBA-001",tblKurallar[kural_id],0))+$D856*INDEX(tblKurallar[deger_2025],MATCH("TBA-002",tblKurallar[kural_id],0))+$E856*INDEX(tblKurallar[deger_2025],MATCH("TBA-004",tblKurallar[kural_id],0))+$F856*tba_isverenOran,2),0))</f>
        <v/>
      </c>
      <c r="I856" s="31">
        <f>IF($A856="","",IFERROR(MAX(0,$H856-$G856),0))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0" t="n"/>
      <c r="H857" s="31">
        <f>IF($A857="","",IFERROR(ROUND($C857*INDEX(tblKurallar[deger_2025],MATCH("TBA-001",tblKurallar[kural_id],0))+$D857*INDEX(tblKurallar[deger_2025],MATCH("TBA-002",tblKurallar[kural_id],0))+$E857*INDEX(tblKurallar[deger_2025],MATCH("TBA-004",tblKurallar[kural_id],0))+$F857*tba_isverenOran,2),0))</f>
        <v/>
      </c>
      <c r="I857" s="31">
        <f>IF($A857="","",IFERROR(MAX(0,$H857-$G857),0))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0" t="n"/>
      <c r="H858" s="31">
        <f>IF($A858="","",IFERROR(ROUND($C858*INDEX(tblKurallar[deger_2025],MATCH("TBA-001",tblKurallar[kural_id],0))+$D858*INDEX(tblKurallar[deger_2025],MATCH("TBA-002",tblKurallar[kural_id],0))+$E858*INDEX(tblKurallar[deger_2025],MATCH("TBA-004",tblKurallar[kural_id],0))+$F858*tba_isverenOran,2),0))</f>
        <v/>
      </c>
      <c r="I858" s="31">
        <f>IF($A858="","",IFERROR(MAX(0,$H858-$G858),0))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0" t="n"/>
      <c r="H859" s="31">
        <f>IF($A859="","",IFERROR(ROUND($C859*INDEX(tblKurallar[deger_2025],MATCH("TBA-001",tblKurallar[kural_id],0))+$D859*INDEX(tblKurallar[deger_2025],MATCH("TBA-002",tblKurallar[kural_id],0))+$E859*INDEX(tblKurallar[deger_2025],MATCH("TBA-004",tblKurallar[kural_id],0))+$F859*tba_isverenOran,2),0))</f>
        <v/>
      </c>
      <c r="I859" s="31">
        <f>IF($A859="","",IFERROR(MAX(0,$H859-$G859),0))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0" t="n"/>
      <c r="H860" s="31">
        <f>IF($A860="","",IFERROR(ROUND($C860*INDEX(tblKurallar[deger_2025],MATCH("TBA-001",tblKurallar[kural_id],0))+$D860*INDEX(tblKurallar[deger_2025],MATCH("TBA-002",tblKurallar[kural_id],0))+$E860*INDEX(tblKurallar[deger_2025],MATCH("TBA-004",tblKurallar[kural_id],0))+$F860*tba_isverenOran,2),0))</f>
        <v/>
      </c>
      <c r="I860" s="31">
        <f>IF($A860="","",IFERROR(MAX(0,$H860-$G860),0))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0" t="n"/>
      <c r="H861" s="31">
        <f>IF($A861="","",IFERROR(ROUND($C861*INDEX(tblKurallar[deger_2025],MATCH("TBA-001",tblKurallar[kural_id],0))+$D861*INDEX(tblKurallar[deger_2025],MATCH("TBA-002",tblKurallar[kural_id],0))+$E861*INDEX(tblKurallar[deger_2025],MATCH("TBA-004",tblKurallar[kural_id],0))+$F861*tba_isverenOran,2),0))</f>
        <v/>
      </c>
      <c r="I861" s="31">
        <f>IF($A861="","",IFERROR(MAX(0,$H861-$G861),0))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0" t="n"/>
      <c r="H862" s="31">
        <f>IF($A862="","",IFERROR(ROUND($C862*INDEX(tblKurallar[deger_2025],MATCH("TBA-001",tblKurallar[kural_id],0))+$D862*INDEX(tblKurallar[deger_2025],MATCH("TBA-002",tblKurallar[kural_id],0))+$E862*INDEX(tblKurallar[deger_2025],MATCH("TBA-004",tblKurallar[kural_id],0))+$F862*tba_isverenOran,2),0))</f>
        <v/>
      </c>
      <c r="I862" s="31">
        <f>IF($A862="","",IFERROR(MAX(0,$H862-$G862),0))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0" t="n"/>
      <c r="H863" s="31">
        <f>IF($A863="","",IFERROR(ROUND($C863*INDEX(tblKurallar[deger_2025],MATCH("TBA-001",tblKurallar[kural_id],0))+$D863*INDEX(tblKurallar[deger_2025],MATCH("TBA-002",tblKurallar[kural_id],0))+$E863*INDEX(tblKurallar[deger_2025],MATCH("TBA-004",tblKurallar[kural_id],0))+$F863*tba_isverenOran,2),0))</f>
        <v/>
      </c>
      <c r="I863" s="31">
        <f>IF($A863="","",IFERROR(MAX(0,$H863-$G863),0))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0" t="n"/>
      <c r="H864" s="31">
        <f>IF($A864="","",IFERROR(ROUND($C864*INDEX(tblKurallar[deger_2025],MATCH("TBA-001",tblKurallar[kural_id],0))+$D864*INDEX(tblKurallar[deger_2025],MATCH("TBA-002",tblKurallar[kural_id],0))+$E864*INDEX(tblKurallar[deger_2025],MATCH("TBA-004",tblKurallar[kural_id],0))+$F864*tba_isverenOran,2),0))</f>
        <v/>
      </c>
      <c r="I864" s="31">
        <f>IF($A864="","",IFERROR(MAX(0,$H864-$G864),0))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0" t="n"/>
      <c r="H865" s="31">
        <f>IF($A865="","",IFERROR(ROUND($C865*INDEX(tblKurallar[deger_2025],MATCH("TBA-001",tblKurallar[kural_id],0))+$D865*INDEX(tblKurallar[deger_2025],MATCH("TBA-002",tblKurallar[kural_id],0))+$E865*INDEX(tblKurallar[deger_2025],MATCH("TBA-004",tblKurallar[kural_id],0))+$F865*tba_isverenOran,2),0))</f>
        <v/>
      </c>
      <c r="I865" s="31">
        <f>IF($A865="","",IFERROR(MAX(0,$H865-$G865),0))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0" t="n"/>
      <c r="H866" s="31">
        <f>IF($A866="","",IFERROR(ROUND($C866*INDEX(tblKurallar[deger_2025],MATCH("TBA-001",tblKurallar[kural_id],0))+$D866*INDEX(tblKurallar[deger_2025],MATCH("TBA-002",tblKurallar[kural_id],0))+$E866*INDEX(tblKurallar[deger_2025],MATCH("TBA-004",tblKurallar[kural_id],0))+$F866*tba_isverenOran,2),0))</f>
        <v/>
      </c>
      <c r="I866" s="31">
        <f>IF($A866="","",IFERROR(MAX(0,$H866-$G866),0))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0" t="n"/>
      <c r="H867" s="31">
        <f>IF($A867="","",IFERROR(ROUND($C867*INDEX(tblKurallar[deger_2025],MATCH("TBA-001",tblKurallar[kural_id],0))+$D867*INDEX(tblKurallar[deger_2025],MATCH("TBA-002",tblKurallar[kural_id],0))+$E867*INDEX(tblKurallar[deger_2025],MATCH("TBA-004",tblKurallar[kural_id],0))+$F867*tba_isverenOran,2),0))</f>
        <v/>
      </c>
      <c r="I867" s="31">
        <f>IF($A867="","",IFERROR(MAX(0,$H867-$G867),0))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0" t="n"/>
      <c r="H868" s="31">
        <f>IF($A868="","",IFERROR(ROUND($C868*INDEX(tblKurallar[deger_2025],MATCH("TBA-001",tblKurallar[kural_id],0))+$D868*INDEX(tblKurallar[deger_2025],MATCH("TBA-002",tblKurallar[kural_id],0))+$E868*INDEX(tblKurallar[deger_2025],MATCH("TBA-004",tblKurallar[kural_id],0))+$F868*tba_isverenOran,2),0))</f>
        <v/>
      </c>
      <c r="I868" s="31">
        <f>IF($A868="","",IFERROR(MAX(0,$H868-$G868),0))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0" t="n"/>
      <c r="H869" s="31">
        <f>IF($A869="","",IFERROR(ROUND($C869*INDEX(tblKurallar[deger_2025],MATCH("TBA-001",tblKurallar[kural_id],0))+$D869*INDEX(tblKurallar[deger_2025],MATCH("TBA-002",tblKurallar[kural_id],0))+$E869*INDEX(tblKurallar[deger_2025],MATCH("TBA-004",tblKurallar[kural_id],0))+$F869*tba_isverenOran,2),0))</f>
        <v/>
      </c>
      <c r="I869" s="31">
        <f>IF($A869="","",IFERROR(MAX(0,$H869-$G869),0))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0" t="n"/>
      <c r="H870" s="31">
        <f>IF($A870="","",IFERROR(ROUND($C870*INDEX(tblKurallar[deger_2025],MATCH("TBA-001",tblKurallar[kural_id],0))+$D870*INDEX(tblKurallar[deger_2025],MATCH("TBA-002",tblKurallar[kural_id],0))+$E870*INDEX(tblKurallar[deger_2025],MATCH("TBA-004",tblKurallar[kural_id],0))+$F870*tba_isverenOran,2),0))</f>
        <v/>
      </c>
      <c r="I870" s="31">
        <f>IF($A870="","",IFERROR(MAX(0,$H870-$G870),0))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0" t="n"/>
      <c r="H871" s="31">
        <f>IF($A871="","",IFERROR(ROUND($C871*INDEX(tblKurallar[deger_2025],MATCH("TBA-001",tblKurallar[kural_id],0))+$D871*INDEX(tblKurallar[deger_2025],MATCH("TBA-002",tblKurallar[kural_id],0))+$E871*INDEX(tblKurallar[deger_2025],MATCH("TBA-004",tblKurallar[kural_id],0))+$F871*tba_isverenOran,2),0))</f>
        <v/>
      </c>
      <c r="I871" s="31">
        <f>IF($A871="","",IFERROR(MAX(0,$H871-$G871),0))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0" t="n"/>
      <c r="H872" s="31">
        <f>IF($A872="","",IFERROR(ROUND($C872*INDEX(tblKurallar[deger_2025],MATCH("TBA-001",tblKurallar[kural_id],0))+$D872*INDEX(tblKurallar[deger_2025],MATCH("TBA-002",tblKurallar[kural_id],0))+$E872*INDEX(tblKurallar[deger_2025],MATCH("TBA-004",tblKurallar[kural_id],0))+$F872*tba_isverenOran,2),0))</f>
        <v/>
      </c>
      <c r="I872" s="31">
        <f>IF($A872="","",IFERROR(MAX(0,$H872-$G872),0))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0" t="n"/>
      <c r="H873" s="31">
        <f>IF($A873="","",IFERROR(ROUND($C873*INDEX(tblKurallar[deger_2025],MATCH("TBA-001",tblKurallar[kural_id],0))+$D873*INDEX(tblKurallar[deger_2025],MATCH("TBA-002",tblKurallar[kural_id],0))+$E873*INDEX(tblKurallar[deger_2025],MATCH("TBA-004",tblKurallar[kural_id],0))+$F873*tba_isverenOran,2),0))</f>
        <v/>
      </c>
      <c r="I873" s="31">
        <f>IF($A873="","",IFERROR(MAX(0,$H873-$G873),0))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0" t="n"/>
      <c r="H874" s="31">
        <f>IF($A874="","",IFERROR(ROUND($C874*INDEX(tblKurallar[deger_2025],MATCH("TBA-001",tblKurallar[kural_id],0))+$D874*INDEX(tblKurallar[deger_2025],MATCH("TBA-002",tblKurallar[kural_id],0))+$E874*INDEX(tblKurallar[deger_2025],MATCH("TBA-004",tblKurallar[kural_id],0))+$F874*tba_isverenOran,2),0))</f>
        <v/>
      </c>
      <c r="I874" s="31">
        <f>IF($A874="","",IFERROR(MAX(0,$H874-$G874),0))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0" t="n"/>
      <c r="H875" s="31">
        <f>IF($A875="","",IFERROR(ROUND($C875*INDEX(tblKurallar[deger_2025],MATCH("TBA-001",tblKurallar[kural_id],0))+$D875*INDEX(tblKurallar[deger_2025],MATCH("TBA-002",tblKurallar[kural_id],0))+$E875*INDEX(tblKurallar[deger_2025],MATCH("TBA-004",tblKurallar[kural_id],0))+$F875*tba_isverenOran,2),0))</f>
        <v/>
      </c>
      <c r="I875" s="31">
        <f>IF($A875="","",IFERROR(MAX(0,$H875-$G875),0))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0" t="n"/>
      <c r="H876" s="31">
        <f>IF($A876="","",IFERROR(ROUND($C876*INDEX(tblKurallar[deger_2025],MATCH("TBA-001",tblKurallar[kural_id],0))+$D876*INDEX(tblKurallar[deger_2025],MATCH("TBA-002",tblKurallar[kural_id],0))+$E876*INDEX(tblKurallar[deger_2025],MATCH("TBA-004",tblKurallar[kural_id],0))+$F876*tba_isverenOran,2),0))</f>
        <v/>
      </c>
      <c r="I876" s="31">
        <f>IF($A876="","",IFERROR(MAX(0,$H876-$G876),0))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0" t="n"/>
      <c r="H877" s="31">
        <f>IF($A877="","",IFERROR(ROUND($C877*INDEX(tblKurallar[deger_2025],MATCH("TBA-001",tblKurallar[kural_id],0))+$D877*INDEX(tblKurallar[deger_2025],MATCH("TBA-002",tblKurallar[kural_id],0))+$E877*INDEX(tblKurallar[deger_2025],MATCH("TBA-004",tblKurallar[kural_id],0))+$F877*tba_isverenOran,2),0))</f>
        <v/>
      </c>
      <c r="I877" s="31">
        <f>IF($A877="","",IFERROR(MAX(0,$H877-$G877),0))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0" t="n"/>
      <c r="H878" s="31">
        <f>IF($A878="","",IFERROR(ROUND($C878*INDEX(tblKurallar[deger_2025],MATCH("TBA-001",tblKurallar[kural_id],0))+$D878*INDEX(tblKurallar[deger_2025],MATCH("TBA-002",tblKurallar[kural_id],0))+$E878*INDEX(tblKurallar[deger_2025],MATCH("TBA-004",tblKurallar[kural_id],0))+$F878*tba_isverenOran,2),0))</f>
        <v/>
      </c>
      <c r="I878" s="31">
        <f>IF($A878="","",IFERROR(MAX(0,$H878-$G878),0))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0" t="n"/>
      <c r="H879" s="31">
        <f>IF($A879="","",IFERROR(ROUND($C879*INDEX(tblKurallar[deger_2025],MATCH("TBA-001",tblKurallar[kural_id],0))+$D879*INDEX(tblKurallar[deger_2025],MATCH("TBA-002",tblKurallar[kural_id],0))+$E879*INDEX(tblKurallar[deger_2025],MATCH("TBA-004",tblKurallar[kural_id],0))+$F879*tba_isverenOran,2),0))</f>
        <v/>
      </c>
      <c r="I879" s="31">
        <f>IF($A879="","",IFERROR(MAX(0,$H879-$G879),0))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0" t="n"/>
      <c r="H880" s="31">
        <f>IF($A880="","",IFERROR(ROUND($C880*INDEX(tblKurallar[deger_2025],MATCH("TBA-001",tblKurallar[kural_id],0))+$D880*INDEX(tblKurallar[deger_2025],MATCH("TBA-002",tblKurallar[kural_id],0))+$E880*INDEX(tblKurallar[deger_2025],MATCH("TBA-004",tblKurallar[kural_id],0))+$F880*tba_isverenOran,2),0))</f>
        <v/>
      </c>
      <c r="I880" s="31">
        <f>IF($A880="","",IFERROR(MAX(0,$H880-$G880),0))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0" t="n"/>
      <c r="H881" s="31">
        <f>IF($A881="","",IFERROR(ROUND($C881*INDEX(tblKurallar[deger_2025],MATCH("TBA-001",tblKurallar[kural_id],0))+$D881*INDEX(tblKurallar[deger_2025],MATCH("TBA-002",tblKurallar[kural_id],0))+$E881*INDEX(tblKurallar[deger_2025],MATCH("TBA-004",tblKurallar[kural_id],0))+$F881*tba_isverenOran,2),0))</f>
        <v/>
      </c>
      <c r="I881" s="31">
        <f>IF($A881="","",IFERROR(MAX(0,$H881-$G881),0))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0" t="n"/>
      <c r="H882" s="31">
        <f>IF($A882="","",IFERROR(ROUND($C882*INDEX(tblKurallar[deger_2025],MATCH("TBA-001",tblKurallar[kural_id],0))+$D882*INDEX(tblKurallar[deger_2025],MATCH("TBA-002",tblKurallar[kural_id],0))+$E882*INDEX(tblKurallar[deger_2025],MATCH("TBA-004",tblKurallar[kural_id],0))+$F882*tba_isverenOran,2),0))</f>
        <v/>
      </c>
      <c r="I882" s="31">
        <f>IF($A882="","",IFERROR(MAX(0,$H882-$G882),0))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0" t="n"/>
      <c r="H883" s="31">
        <f>IF($A883="","",IFERROR(ROUND($C883*INDEX(tblKurallar[deger_2025],MATCH("TBA-001",tblKurallar[kural_id],0))+$D883*INDEX(tblKurallar[deger_2025],MATCH("TBA-002",tblKurallar[kural_id],0))+$E883*INDEX(tblKurallar[deger_2025],MATCH("TBA-004",tblKurallar[kural_id],0))+$F883*tba_isverenOran,2),0))</f>
        <v/>
      </c>
      <c r="I883" s="31">
        <f>IF($A883="","",IFERROR(MAX(0,$H883-$G883),0))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0" t="n"/>
      <c r="H884" s="31">
        <f>IF($A884="","",IFERROR(ROUND($C884*INDEX(tblKurallar[deger_2025],MATCH("TBA-001",tblKurallar[kural_id],0))+$D884*INDEX(tblKurallar[deger_2025],MATCH("TBA-002",tblKurallar[kural_id],0))+$E884*INDEX(tblKurallar[deger_2025],MATCH("TBA-004",tblKurallar[kural_id],0))+$F884*tba_isverenOran,2),0))</f>
        <v/>
      </c>
      <c r="I884" s="31">
        <f>IF($A884="","",IFERROR(MAX(0,$H884-$G884),0))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0" t="n"/>
      <c r="H885" s="31">
        <f>IF($A885="","",IFERROR(ROUND($C885*INDEX(tblKurallar[deger_2025],MATCH("TBA-001",tblKurallar[kural_id],0))+$D885*INDEX(tblKurallar[deger_2025],MATCH("TBA-002",tblKurallar[kural_id],0))+$E885*INDEX(tblKurallar[deger_2025],MATCH("TBA-004",tblKurallar[kural_id],0))+$F885*tba_isverenOran,2),0))</f>
        <v/>
      </c>
      <c r="I885" s="31">
        <f>IF($A885="","",IFERROR(MAX(0,$H885-$G885),0))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0" t="n"/>
      <c r="H886" s="31">
        <f>IF($A886="","",IFERROR(ROUND($C886*INDEX(tblKurallar[deger_2025],MATCH("TBA-001",tblKurallar[kural_id],0))+$D886*INDEX(tblKurallar[deger_2025],MATCH("TBA-002",tblKurallar[kural_id],0))+$E886*INDEX(tblKurallar[deger_2025],MATCH("TBA-004",tblKurallar[kural_id],0))+$F886*tba_isverenOran,2),0))</f>
        <v/>
      </c>
      <c r="I886" s="31">
        <f>IF($A886="","",IFERROR(MAX(0,$H886-$G886),0))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0" t="n"/>
      <c r="H887" s="31">
        <f>IF($A887="","",IFERROR(ROUND($C887*INDEX(tblKurallar[deger_2025],MATCH("TBA-001",tblKurallar[kural_id],0))+$D887*INDEX(tblKurallar[deger_2025],MATCH("TBA-002",tblKurallar[kural_id],0))+$E887*INDEX(tblKurallar[deger_2025],MATCH("TBA-004",tblKurallar[kural_id],0))+$F887*tba_isverenOran,2),0))</f>
        <v/>
      </c>
      <c r="I887" s="31">
        <f>IF($A887="","",IFERROR(MAX(0,$H887-$G887),0))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0" t="n"/>
      <c r="H888" s="31">
        <f>IF($A888="","",IFERROR(ROUND($C888*INDEX(tblKurallar[deger_2025],MATCH("TBA-001",tblKurallar[kural_id],0))+$D888*INDEX(tblKurallar[deger_2025],MATCH("TBA-002",tblKurallar[kural_id],0))+$E888*INDEX(tblKurallar[deger_2025],MATCH("TBA-004",tblKurallar[kural_id],0))+$F888*tba_isverenOran,2),0))</f>
        <v/>
      </c>
      <c r="I888" s="31">
        <f>IF($A888="","",IFERROR(MAX(0,$H888-$G888),0))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0" t="n"/>
      <c r="H889" s="31">
        <f>IF($A889="","",IFERROR(ROUND($C889*INDEX(tblKurallar[deger_2025],MATCH("TBA-001",tblKurallar[kural_id],0))+$D889*INDEX(tblKurallar[deger_2025],MATCH("TBA-002",tblKurallar[kural_id],0))+$E889*INDEX(tblKurallar[deger_2025],MATCH("TBA-004",tblKurallar[kural_id],0))+$F889*tba_isverenOran,2),0))</f>
        <v/>
      </c>
      <c r="I889" s="31">
        <f>IF($A889="","",IFERROR(MAX(0,$H889-$G889),0))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0" t="n"/>
      <c r="H890" s="31">
        <f>IF($A890="","",IFERROR(ROUND($C890*INDEX(tblKurallar[deger_2025],MATCH("TBA-001",tblKurallar[kural_id],0))+$D890*INDEX(tblKurallar[deger_2025],MATCH("TBA-002",tblKurallar[kural_id],0))+$E890*INDEX(tblKurallar[deger_2025],MATCH("TBA-004",tblKurallar[kural_id],0))+$F890*tba_isverenOran,2),0))</f>
        <v/>
      </c>
      <c r="I890" s="31">
        <f>IF($A890="","",IFERROR(MAX(0,$H890-$G890),0))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0" t="n"/>
      <c r="H891" s="31">
        <f>IF($A891="","",IFERROR(ROUND($C891*INDEX(tblKurallar[deger_2025],MATCH("TBA-001",tblKurallar[kural_id],0))+$D891*INDEX(tblKurallar[deger_2025],MATCH("TBA-002",tblKurallar[kural_id],0))+$E891*INDEX(tblKurallar[deger_2025],MATCH("TBA-004",tblKurallar[kural_id],0))+$F891*tba_isverenOran,2),0))</f>
        <v/>
      </c>
      <c r="I891" s="31">
        <f>IF($A891="","",IFERROR(MAX(0,$H891-$G891),0))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0" t="n"/>
      <c r="H892" s="31">
        <f>IF($A892="","",IFERROR(ROUND($C892*INDEX(tblKurallar[deger_2025],MATCH("TBA-001",tblKurallar[kural_id],0))+$D892*INDEX(tblKurallar[deger_2025],MATCH("TBA-002",tblKurallar[kural_id],0))+$E892*INDEX(tblKurallar[deger_2025],MATCH("TBA-004",tblKurallar[kural_id],0))+$F892*tba_isverenOran,2),0))</f>
        <v/>
      </c>
      <c r="I892" s="31">
        <f>IF($A892="","",IFERROR(MAX(0,$H892-$G892),0))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0" t="n"/>
      <c r="H893" s="31">
        <f>IF($A893="","",IFERROR(ROUND($C893*INDEX(tblKurallar[deger_2025],MATCH("TBA-001",tblKurallar[kural_id],0))+$D893*INDEX(tblKurallar[deger_2025],MATCH("TBA-002",tblKurallar[kural_id],0))+$E893*INDEX(tblKurallar[deger_2025],MATCH("TBA-004",tblKurallar[kural_id],0))+$F893*tba_isverenOran,2),0))</f>
        <v/>
      </c>
      <c r="I893" s="31">
        <f>IF($A893="","",IFERROR(MAX(0,$H893-$G893),0))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0" t="n"/>
      <c r="H894" s="31">
        <f>IF($A894="","",IFERROR(ROUND($C894*INDEX(tblKurallar[deger_2025],MATCH("TBA-001",tblKurallar[kural_id],0))+$D894*INDEX(tblKurallar[deger_2025],MATCH("TBA-002",tblKurallar[kural_id],0))+$E894*INDEX(tblKurallar[deger_2025],MATCH("TBA-004",tblKurallar[kural_id],0))+$F894*tba_isverenOran,2),0))</f>
        <v/>
      </c>
      <c r="I894" s="31">
        <f>IF($A894="","",IFERROR(MAX(0,$H894-$G894),0))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0" t="n"/>
      <c r="H895" s="31">
        <f>IF($A895="","",IFERROR(ROUND($C895*INDEX(tblKurallar[deger_2025],MATCH("TBA-001",tblKurallar[kural_id],0))+$D895*INDEX(tblKurallar[deger_2025],MATCH("TBA-002",tblKurallar[kural_id],0))+$E895*INDEX(tblKurallar[deger_2025],MATCH("TBA-004",tblKurallar[kural_id],0))+$F895*tba_isverenOran,2),0))</f>
        <v/>
      </c>
      <c r="I895" s="31">
        <f>IF($A895="","",IFERROR(MAX(0,$H895-$G895),0))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0" t="n"/>
      <c r="H896" s="31">
        <f>IF($A896="","",IFERROR(ROUND($C896*INDEX(tblKurallar[deger_2025],MATCH("TBA-001",tblKurallar[kural_id],0))+$D896*INDEX(tblKurallar[deger_2025],MATCH("TBA-002",tblKurallar[kural_id],0))+$E896*INDEX(tblKurallar[deger_2025],MATCH("TBA-004",tblKurallar[kural_id],0))+$F896*tba_isverenOran,2),0))</f>
        <v/>
      </c>
      <c r="I896" s="31">
        <f>IF($A896="","",IFERROR(MAX(0,$H896-$G896),0))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0" t="n"/>
      <c r="H897" s="31">
        <f>IF($A897="","",IFERROR(ROUND($C897*INDEX(tblKurallar[deger_2025],MATCH("TBA-001",tblKurallar[kural_id],0))+$D897*INDEX(tblKurallar[deger_2025],MATCH("TBA-002",tblKurallar[kural_id],0))+$E897*INDEX(tblKurallar[deger_2025],MATCH("TBA-004",tblKurallar[kural_id],0))+$F897*tba_isverenOran,2),0))</f>
        <v/>
      </c>
      <c r="I897" s="31">
        <f>IF($A897="","",IFERROR(MAX(0,$H897-$G897),0))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0" t="n"/>
      <c r="H898" s="31">
        <f>IF($A898="","",IFERROR(ROUND($C898*INDEX(tblKurallar[deger_2025],MATCH("TBA-001",tblKurallar[kural_id],0))+$D898*INDEX(tblKurallar[deger_2025],MATCH("TBA-002",tblKurallar[kural_id],0))+$E898*INDEX(tblKurallar[deger_2025],MATCH("TBA-004",tblKurallar[kural_id],0))+$F898*tba_isverenOran,2),0))</f>
        <v/>
      </c>
      <c r="I898" s="31">
        <f>IF($A898="","",IFERROR(MAX(0,$H898-$G898),0))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0" t="n"/>
      <c r="H899" s="31">
        <f>IF($A899="","",IFERROR(ROUND($C899*INDEX(tblKurallar[deger_2025],MATCH("TBA-001",tblKurallar[kural_id],0))+$D899*INDEX(tblKurallar[deger_2025],MATCH("TBA-002",tblKurallar[kural_id],0))+$E899*INDEX(tblKurallar[deger_2025],MATCH("TBA-004",tblKurallar[kural_id],0))+$F899*tba_isverenOran,2),0))</f>
        <v/>
      </c>
      <c r="I899" s="31">
        <f>IF($A899="","",IFERROR(MAX(0,$H899-$G899),0))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0" t="n"/>
      <c r="H900" s="31">
        <f>IF($A900="","",IFERROR(ROUND($C900*INDEX(tblKurallar[deger_2025],MATCH("TBA-001",tblKurallar[kural_id],0))+$D900*INDEX(tblKurallar[deger_2025],MATCH("TBA-002",tblKurallar[kural_id],0))+$E900*INDEX(tblKurallar[deger_2025],MATCH("TBA-004",tblKurallar[kural_id],0))+$F900*tba_isverenOran,2),0))</f>
        <v/>
      </c>
      <c r="I900" s="31">
        <f>IF($A900="","",IFERROR(MAX(0,$H900-$G900),0))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0" t="n"/>
      <c r="H901" s="31">
        <f>IF($A901="","",IFERROR(ROUND($C901*INDEX(tblKurallar[deger_2025],MATCH("TBA-001",tblKurallar[kural_id],0))+$D901*INDEX(tblKurallar[deger_2025],MATCH("TBA-002",tblKurallar[kural_id],0))+$E901*INDEX(tblKurallar[deger_2025],MATCH("TBA-004",tblKurallar[kural_id],0))+$F901*tba_isverenOran,2),0))</f>
        <v/>
      </c>
      <c r="I901" s="31">
        <f>IF($A901="","",IFERROR(MAX(0,$H901-$G901),0))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0" t="n"/>
      <c r="H902" s="31">
        <f>IF($A902="","",IFERROR(ROUND($C902*INDEX(tblKurallar[deger_2025],MATCH("TBA-001",tblKurallar[kural_id],0))+$D902*INDEX(tblKurallar[deger_2025],MATCH("TBA-002",tblKurallar[kural_id],0))+$E902*INDEX(tblKurallar[deger_2025],MATCH("TBA-004",tblKurallar[kural_id],0))+$F902*tba_isverenOran,2),0))</f>
        <v/>
      </c>
      <c r="I902" s="31">
        <f>IF($A902="","",IFERROR(MAX(0,$H902-$G902),0))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0" t="n"/>
      <c r="H903" s="31">
        <f>IF($A903="","",IFERROR(ROUND($C903*INDEX(tblKurallar[deger_2025],MATCH("TBA-001",tblKurallar[kural_id],0))+$D903*INDEX(tblKurallar[deger_2025],MATCH("TBA-002",tblKurallar[kural_id],0))+$E903*INDEX(tblKurallar[deger_2025],MATCH("TBA-004",tblKurallar[kural_id],0))+$F903*tba_isverenOran,2),0))</f>
        <v/>
      </c>
      <c r="I903" s="31">
        <f>IF($A903="","",IFERROR(MAX(0,$H903-$G903),0))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0" t="n"/>
      <c r="H904" s="31">
        <f>IF($A904="","",IFERROR(ROUND($C904*INDEX(tblKurallar[deger_2025],MATCH("TBA-001",tblKurallar[kural_id],0))+$D904*INDEX(tblKurallar[deger_2025],MATCH("TBA-002",tblKurallar[kural_id],0))+$E904*INDEX(tblKurallar[deger_2025],MATCH("TBA-004",tblKurallar[kural_id],0))+$F904*tba_isverenOran,2),0))</f>
        <v/>
      </c>
      <c r="I904" s="31">
        <f>IF($A904="","",IFERROR(MAX(0,$H904-$G904),0))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0" t="n"/>
      <c r="H905" s="31">
        <f>IF($A905="","",IFERROR(ROUND($C905*INDEX(tblKurallar[deger_2025],MATCH("TBA-001",tblKurallar[kural_id],0))+$D905*INDEX(tblKurallar[deger_2025],MATCH("TBA-002",tblKurallar[kural_id],0))+$E905*INDEX(tblKurallar[deger_2025],MATCH("TBA-004",tblKurallar[kural_id],0))+$F905*tba_isverenOran,2),0))</f>
        <v/>
      </c>
      <c r="I905" s="31">
        <f>IF($A905="","",IFERROR(MAX(0,$H905-$G905),0))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0" t="n"/>
      <c r="H906" s="31">
        <f>IF($A906="","",IFERROR(ROUND($C906*INDEX(tblKurallar[deger_2025],MATCH("TBA-001",tblKurallar[kural_id],0))+$D906*INDEX(tblKurallar[deger_2025],MATCH("TBA-002",tblKurallar[kural_id],0))+$E906*INDEX(tblKurallar[deger_2025],MATCH("TBA-004",tblKurallar[kural_id],0))+$F906*tba_isverenOran,2),0))</f>
        <v/>
      </c>
      <c r="I906" s="31">
        <f>IF($A906="","",IFERROR(MAX(0,$H906-$G906),0))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0" t="n"/>
      <c r="H907" s="31">
        <f>IF($A907="","",IFERROR(ROUND($C907*INDEX(tblKurallar[deger_2025],MATCH("TBA-001",tblKurallar[kural_id],0))+$D907*INDEX(tblKurallar[deger_2025],MATCH("TBA-002",tblKurallar[kural_id],0))+$E907*INDEX(tblKurallar[deger_2025],MATCH("TBA-004",tblKurallar[kural_id],0))+$F907*tba_isverenOran,2),0))</f>
        <v/>
      </c>
      <c r="I907" s="31">
        <f>IF($A907="","",IFERROR(MAX(0,$H907-$G907),0))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0" t="n"/>
      <c r="H908" s="31">
        <f>IF($A908="","",IFERROR(ROUND($C908*INDEX(tblKurallar[deger_2025],MATCH("TBA-001",tblKurallar[kural_id],0))+$D908*INDEX(tblKurallar[deger_2025],MATCH("TBA-002",tblKurallar[kural_id],0))+$E908*INDEX(tblKurallar[deger_2025],MATCH("TBA-004",tblKurallar[kural_id],0))+$F908*tba_isverenOran,2),0))</f>
        <v/>
      </c>
      <c r="I908" s="31">
        <f>IF($A908="","",IFERROR(MAX(0,$H908-$G908),0))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0" t="n"/>
      <c r="H909" s="31">
        <f>IF($A909="","",IFERROR(ROUND($C909*INDEX(tblKurallar[deger_2025],MATCH("TBA-001",tblKurallar[kural_id],0))+$D909*INDEX(tblKurallar[deger_2025],MATCH("TBA-002",tblKurallar[kural_id],0))+$E909*INDEX(tblKurallar[deger_2025],MATCH("TBA-004",tblKurallar[kural_id],0))+$F909*tba_isverenOran,2),0))</f>
        <v/>
      </c>
      <c r="I909" s="31">
        <f>IF($A909="","",IFERROR(MAX(0,$H909-$G909),0))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0" t="n"/>
      <c r="H910" s="31">
        <f>IF($A910="","",IFERROR(ROUND($C910*INDEX(tblKurallar[deger_2025],MATCH("TBA-001",tblKurallar[kural_id],0))+$D910*INDEX(tblKurallar[deger_2025],MATCH("TBA-002",tblKurallar[kural_id],0))+$E910*INDEX(tblKurallar[deger_2025],MATCH("TBA-004",tblKurallar[kural_id],0))+$F910*tba_isverenOran,2),0))</f>
        <v/>
      </c>
      <c r="I910" s="31">
        <f>IF($A910="","",IFERROR(MAX(0,$H910-$G910),0))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0" t="n"/>
      <c r="H911" s="31">
        <f>IF($A911="","",IFERROR(ROUND($C911*INDEX(tblKurallar[deger_2025],MATCH("TBA-001",tblKurallar[kural_id],0))+$D911*INDEX(tblKurallar[deger_2025],MATCH("TBA-002",tblKurallar[kural_id],0))+$E911*INDEX(tblKurallar[deger_2025],MATCH("TBA-004",tblKurallar[kural_id],0))+$F911*tba_isverenOran,2),0))</f>
        <v/>
      </c>
      <c r="I911" s="31">
        <f>IF($A911="","",IFERROR(MAX(0,$H911-$G911),0))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0" t="n"/>
      <c r="H912" s="31">
        <f>IF($A912="","",IFERROR(ROUND($C912*INDEX(tblKurallar[deger_2025],MATCH("TBA-001",tblKurallar[kural_id],0))+$D912*INDEX(tblKurallar[deger_2025],MATCH("TBA-002",tblKurallar[kural_id],0))+$E912*INDEX(tblKurallar[deger_2025],MATCH("TBA-004",tblKurallar[kural_id],0))+$F912*tba_isverenOran,2),0))</f>
        <v/>
      </c>
      <c r="I912" s="31">
        <f>IF($A912="","",IFERROR(MAX(0,$H912-$G912),0))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0" t="n"/>
      <c r="H913" s="31">
        <f>IF($A913="","",IFERROR(ROUND($C913*INDEX(tblKurallar[deger_2025],MATCH("TBA-001",tblKurallar[kural_id],0))+$D913*INDEX(tblKurallar[deger_2025],MATCH("TBA-002",tblKurallar[kural_id],0))+$E913*INDEX(tblKurallar[deger_2025],MATCH("TBA-004",tblKurallar[kural_id],0))+$F913*tba_isverenOran,2),0))</f>
        <v/>
      </c>
      <c r="I913" s="31">
        <f>IF($A913="","",IFERROR(MAX(0,$H913-$G913),0))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0" t="n"/>
      <c r="H914" s="31">
        <f>IF($A914="","",IFERROR(ROUND($C914*INDEX(tblKurallar[deger_2025],MATCH("TBA-001",tblKurallar[kural_id],0))+$D914*INDEX(tblKurallar[deger_2025],MATCH("TBA-002",tblKurallar[kural_id],0))+$E914*INDEX(tblKurallar[deger_2025],MATCH("TBA-004",tblKurallar[kural_id],0))+$F914*tba_isverenOran,2),0))</f>
        <v/>
      </c>
      <c r="I914" s="31">
        <f>IF($A914="","",IFERROR(MAX(0,$H914-$G914),0))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0" t="n"/>
      <c r="H915" s="31">
        <f>IF($A915="","",IFERROR(ROUND($C915*INDEX(tblKurallar[deger_2025],MATCH("TBA-001",tblKurallar[kural_id],0))+$D915*INDEX(tblKurallar[deger_2025],MATCH("TBA-002",tblKurallar[kural_id],0))+$E915*INDEX(tblKurallar[deger_2025],MATCH("TBA-004",tblKurallar[kural_id],0))+$F915*tba_isverenOran,2),0))</f>
        <v/>
      </c>
      <c r="I915" s="31">
        <f>IF($A915="","",IFERROR(MAX(0,$H915-$G915),0))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0" t="n"/>
      <c r="H916" s="31">
        <f>IF($A916="","",IFERROR(ROUND($C916*INDEX(tblKurallar[deger_2025],MATCH("TBA-001",tblKurallar[kural_id],0))+$D916*INDEX(tblKurallar[deger_2025],MATCH("TBA-002",tblKurallar[kural_id],0))+$E916*INDEX(tblKurallar[deger_2025],MATCH("TBA-004",tblKurallar[kural_id],0))+$F916*tba_isverenOran,2),0))</f>
        <v/>
      </c>
      <c r="I916" s="31">
        <f>IF($A916="","",IFERROR(MAX(0,$H916-$G916),0))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0" t="n"/>
      <c r="H917" s="31">
        <f>IF($A917="","",IFERROR(ROUND($C917*INDEX(tblKurallar[deger_2025],MATCH("TBA-001",tblKurallar[kural_id],0))+$D917*INDEX(tblKurallar[deger_2025],MATCH("TBA-002",tblKurallar[kural_id],0))+$E917*INDEX(tblKurallar[deger_2025],MATCH("TBA-004",tblKurallar[kural_id],0))+$F917*tba_isverenOran,2),0))</f>
        <v/>
      </c>
      <c r="I917" s="31">
        <f>IF($A917="","",IFERROR(MAX(0,$H917-$G917),0))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0" t="n"/>
      <c r="H918" s="31">
        <f>IF($A918="","",IFERROR(ROUND($C918*INDEX(tblKurallar[deger_2025],MATCH("TBA-001",tblKurallar[kural_id],0))+$D918*INDEX(tblKurallar[deger_2025],MATCH("TBA-002",tblKurallar[kural_id],0))+$E918*INDEX(tblKurallar[deger_2025],MATCH("TBA-004",tblKurallar[kural_id],0))+$F918*tba_isverenOran,2),0))</f>
        <v/>
      </c>
      <c r="I918" s="31">
        <f>IF($A918="","",IFERROR(MAX(0,$H918-$G918),0))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0" t="n"/>
      <c r="H919" s="31">
        <f>IF($A919="","",IFERROR(ROUND($C919*INDEX(tblKurallar[deger_2025],MATCH("TBA-001",tblKurallar[kural_id],0))+$D919*INDEX(tblKurallar[deger_2025],MATCH("TBA-002",tblKurallar[kural_id],0))+$E919*INDEX(tblKurallar[deger_2025],MATCH("TBA-004",tblKurallar[kural_id],0))+$F919*tba_isverenOran,2),0))</f>
        <v/>
      </c>
      <c r="I919" s="31">
        <f>IF($A919="","",IFERROR(MAX(0,$H919-$G919),0))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0" t="n"/>
      <c r="H920" s="31">
        <f>IF($A920="","",IFERROR(ROUND($C920*INDEX(tblKurallar[deger_2025],MATCH("TBA-001",tblKurallar[kural_id],0))+$D920*INDEX(tblKurallar[deger_2025],MATCH("TBA-002",tblKurallar[kural_id],0))+$E920*INDEX(tblKurallar[deger_2025],MATCH("TBA-004",tblKurallar[kural_id],0))+$F920*tba_isverenOran,2),0))</f>
        <v/>
      </c>
      <c r="I920" s="31">
        <f>IF($A920="","",IFERROR(MAX(0,$H920-$G920),0))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0" t="n"/>
      <c r="H921" s="31">
        <f>IF($A921="","",IFERROR(ROUND($C921*INDEX(tblKurallar[deger_2025],MATCH("TBA-001",tblKurallar[kural_id],0))+$D921*INDEX(tblKurallar[deger_2025],MATCH("TBA-002",tblKurallar[kural_id],0))+$E921*INDEX(tblKurallar[deger_2025],MATCH("TBA-004",tblKurallar[kural_id],0))+$F921*tba_isverenOran,2),0))</f>
        <v/>
      </c>
      <c r="I921" s="31">
        <f>IF($A921="","",IFERROR(MAX(0,$H921-$G921),0))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0" t="n"/>
      <c r="H922" s="31">
        <f>IF($A922="","",IFERROR(ROUND($C922*INDEX(tblKurallar[deger_2025],MATCH("TBA-001",tblKurallar[kural_id],0))+$D922*INDEX(tblKurallar[deger_2025],MATCH("TBA-002",tblKurallar[kural_id],0))+$E922*INDEX(tblKurallar[deger_2025],MATCH("TBA-004",tblKurallar[kural_id],0))+$F922*tba_isverenOran,2),0))</f>
        <v/>
      </c>
      <c r="I922" s="31">
        <f>IF($A922="","",IFERROR(MAX(0,$H922-$G922),0))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0" t="n"/>
      <c r="H923" s="31">
        <f>IF($A923="","",IFERROR(ROUND($C923*INDEX(tblKurallar[deger_2025],MATCH("TBA-001",tblKurallar[kural_id],0))+$D923*INDEX(tblKurallar[deger_2025],MATCH("TBA-002",tblKurallar[kural_id],0))+$E923*INDEX(tblKurallar[deger_2025],MATCH("TBA-004",tblKurallar[kural_id],0))+$F923*tba_isverenOran,2),0))</f>
        <v/>
      </c>
      <c r="I923" s="31">
        <f>IF($A923="","",IFERROR(MAX(0,$H923-$G923),0))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0" t="n"/>
      <c r="H924" s="31">
        <f>IF($A924="","",IFERROR(ROUND($C924*INDEX(tblKurallar[deger_2025],MATCH("TBA-001",tblKurallar[kural_id],0))+$D924*INDEX(tblKurallar[deger_2025],MATCH("TBA-002",tblKurallar[kural_id],0))+$E924*INDEX(tblKurallar[deger_2025],MATCH("TBA-004",tblKurallar[kural_id],0))+$F924*tba_isverenOran,2),0))</f>
        <v/>
      </c>
      <c r="I924" s="31">
        <f>IF($A924="","",IFERROR(MAX(0,$H924-$G924),0))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0" t="n"/>
      <c r="H925" s="31">
        <f>IF($A925="","",IFERROR(ROUND($C925*INDEX(tblKurallar[deger_2025],MATCH("TBA-001",tblKurallar[kural_id],0))+$D925*INDEX(tblKurallar[deger_2025],MATCH("TBA-002",tblKurallar[kural_id],0))+$E925*INDEX(tblKurallar[deger_2025],MATCH("TBA-004",tblKurallar[kural_id],0))+$F925*tba_isverenOran,2),0))</f>
        <v/>
      </c>
      <c r="I925" s="31">
        <f>IF($A925="","",IFERROR(MAX(0,$H925-$G925),0))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0" t="n"/>
      <c r="H926" s="31">
        <f>IF($A926="","",IFERROR(ROUND($C926*INDEX(tblKurallar[deger_2025],MATCH("TBA-001",tblKurallar[kural_id],0))+$D926*INDEX(tblKurallar[deger_2025],MATCH("TBA-002",tblKurallar[kural_id],0))+$E926*INDEX(tblKurallar[deger_2025],MATCH("TBA-004",tblKurallar[kural_id],0))+$F926*tba_isverenOran,2),0))</f>
        <v/>
      </c>
      <c r="I926" s="31">
        <f>IF($A926="","",IFERROR(MAX(0,$H926-$G926),0))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0" t="n"/>
      <c r="H927" s="31">
        <f>IF($A927="","",IFERROR(ROUND($C927*INDEX(tblKurallar[deger_2025],MATCH("TBA-001",tblKurallar[kural_id],0))+$D927*INDEX(tblKurallar[deger_2025],MATCH("TBA-002",tblKurallar[kural_id],0))+$E927*INDEX(tblKurallar[deger_2025],MATCH("TBA-004",tblKurallar[kural_id],0))+$F927*tba_isverenOran,2),0))</f>
        <v/>
      </c>
      <c r="I927" s="31">
        <f>IF($A927="","",IFERROR(MAX(0,$H927-$G927),0))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0" t="n"/>
      <c r="H928" s="31">
        <f>IF($A928="","",IFERROR(ROUND($C928*INDEX(tblKurallar[deger_2025],MATCH("TBA-001",tblKurallar[kural_id],0))+$D928*INDEX(tblKurallar[deger_2025],MATCH("TBA-002",tblKurallar[kural_id],0))+$E928*INDEX(tblKurallar[deger_2025],MATCH("TBA-004",tblKurallar[kural_id],0))+$F928*tba_isverenOran,2),0))</f>
        <v/>
      </c>
      <c r="I928" s="31">
        <f>IF($A928="","",IFERROR(MAX(0,$H928-$G928),0))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0" t="n"/>
      <c r="H929" s="31">
        <f>IF($A929="","",IFERROR(ROUND($C929*INDEX(tblKurallar[deger_2025],MATCH("TBA-001",tblKurallar[kural_id],0))+$D929*INDEX(tblKurallar[deger_2025],MATCH("TBA-002",tblKurallar[kural_id],0))+$E929*INDEX(tblKurallar[deger_2025],MATCH("TBA-004",tblKurallar[kural_id],0))+$F929*tba_isverenOran,2),0))</f>
        <v/>
      </c>
      <c r="I929" s="31">
        <f>IF($A929="","",IFERROR(MAX(0,$H929-$G929),0))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0" t="n"/>
      <c r="H930" s="31">
        <f>IF($A930="","",IFERROR(ROUND($C930*INDEX(tblKurallar[deger_2025],MATCH("TBA-001",tblKurallar[kural_id],0))+$D930*INDEX(tblKurallar[deger_2025],MATCH("TBA-002",tblKurallar[kural_id],0))+$E930*INDEX(tblKurallar[deger_2025],MATCH("TBA-004",tblKurallar[kural_id],0))+$F930*tba_isverenOran,2),0))</f>
        <v/>
      </c>
      <c r="I930" s="31">
        <f>IF($A930="","",IFERROR(MAX(0,$H930-$G930),0))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0" t="n"/>
      <c r="H931" s="31">
        <f>IF($A931="","",IFERROR(ROUND($C931*INDEX(tblKurallar[deger_2025],MATCH("TBA-001",tblKurallar[kural_id],0))+$D931*INDEX(tblKurallar[deger_2025],MATCH("TBA-002",tblKurallar[kural_id],0))+$E931*INDEX(tblKurallar[deger_2025],MATCH("TBA-004",tblKurallar[kural_id],0))+$F931*tba_isverenOran,2),0))</f>
        <v/>
      </c>
      <c r="I931" s="31">
        <f>IF($A931="","",IFERROR(MAX(0,$H931-$G931),0))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0" t="n"/>
      <c r="H932" s="31">
        <f>IF($A932="","",IFERROR(ROUND($C932*INDEX(tblKurallar[deger_2025],MATCH("TBA-001",tblKurallar[kural_id],0))+$D932*INDEX(tblKurallar[deger_2025],MATCH("TBA-002",tblKurallar[kural_id],0))+$E932*INDEX(tblKurallar[deger_2025],MATCH("TBA-004",tblKurallar[kural_id],0))+$F932*tba_isverenOran,2),0))</f>
        <v/>
      </c>
      <c r="I932" s="31">
        <f>IF($A932="","",IFERROR(MAX(0,$H932-$G932),0))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0" t="n"/>
      <c r="H933" s="31">
        <f>IF($A933="","",IFERROR(ROUND($C933*INDEX(tblKurallar[deger_2025],MATCH("TBA-001",tblKurallar[kural_id],0))+$D933*INDEX(tblKurallar[deger_2025],MATCH("TBA-002",tblKurallar[kural_id],0))+$E933*INDEX(tblKurallar[deger_2025],MATCH("TBA-004",tblKurallar[kural_id],0))+$F933*tba_isverenOran,2),0))</f>
        <v/>
      </c>
      <c r="I933" s="31">
        <f>IF($A933="","",IFERROR(MAX(0,$H933-$G933),0))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0" t="n"/>
      <c r="H934" s="31">
        <f>IF($A934="","",IFERROR(ROUND($C934*INDEX(tblKurallar[deger_2025],MATCH("TBA-001",tblKurallar[kural_id],0))+$D934*INDEX(tblKurallar[deger_2025],MATCH("TBA-002",tblKurallar[kural_id],0))+$E934*INDEX(tblKurallar[deger_2025],MATCH("TBA-004",tblKurallar[kural_id],0))+$F934*tba_isverenOran,2),0))</f>
        <v/>
      </c>
      <c r="I934" s="31">
        <f>IF($A934="","",IFERROR(MAX(0,$H934-$G934),0))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0" t="n"/>
      <c r="H935" s="31">
        <f>IF($A935="","",IFERROR(ROUND($C935*INDEX(tblKurallar[deger_2025],MATCH("TBA-001",tblKurallar[kural_id],0))+$D935*INDEX(tblKurallar[deger_2025],MATCH("TBA-002",tblKurallar[kural_id],0))+$E935*INDEX(tblKurallar[deger_2025],MATCH("TBA-004",tblKurallar[kural_id],0))+$F935*tba_isverenOran,2),0))</f>
        <v/>
      </c>
      <c r="I935" s="31">
        <f>IF($A935="","",IFERROR(MAX(0,$H935-$G935),0))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0" t="n"/>
      <c r="H936" s="31">
        <f>IF($A936="","",IFERROR(ROUND($C936*INDEX(tblKurallar[deger_2025],MATCH("TBA-001",tblKurallar[kural_id],0))+$D936*INDEX(tblKurallar[deger_2025],MATCH("TBA-002",tblKurallar[kural_id],0))+$E936*INDEX(tblKurallar[deger_2025],MATCH("TBA-004",tblKurallar[kural_id],0))+$F936*tba_isverenOran,2),0))</f>
        <v/>
      </c>
      <c r="I936" s="31">
        <f>IF($A936="","",IFERROR(MAX(0,$H936-$G936),0))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0" t="n"/>
      <c r="H937" s="31">
        <f>IF($A937="","",IFERROR(ROUND($C937*INDEX(tblKurallar[deger_2025],MATCH("TBA-001",tblKurallar[kural_id],0))+$D937*INDEX(tblKurallar[deger_2025],MATCH("TBA-002",tblKurallar[kural_id],0))+$E937*INDEX(tblKurallar[deger_2025],MATCH("TBA-004",tblKurallar[kural_id],0))+$F937*tba_isverenOran,2),0))</f>
        <v/>
      </c>
      <c r="I937" s="31">
        <f>IF($A937="","",IFERROR(MAX(0,$H937-$G937),0))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0" t="n"/>
      <c r="H938" s="31">
        <f>IF($A938="","",IFERROR(ROUND($C938*INDEX(tblKurallar[deger_2025],MATCH("TBA-001",tblKurallar[kural_id],0))+$D938*INDEX(tblKurallar[deger_2025],MATCH("TBA-002",tblKurallar[kural_id],0))+$E938*INDEX(tblKurallar[deger_2025],MATCH("TBA-004",tblKurallar[kural_id],0))+$F938*tba_isverenOran,2),0))</f>
        <v/>
      </c>
      <c r="I938" s="31">
        <f>IF($A938="","",IFERROR(MAX(0,$H938-$G938),0))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0" t="n"/>
      <c r="H939" s="31">
        <f>IF($A939="","",IFERROR(ROUND($C939*INDEX(tblKurallar[deger_2025],MATCH("TBA-001",tblKurallar[kural_id],0))+$D939*INDEX(tblKurallar[deger_2025],MATCH("TBA-002",tblKurallar[kural_id],0))+$E939*INDEX(tblKurallar[deger_2025],MATCH("TBA-004",tblKurallar[kural_id],0))+$F939*tba_isverenOran,2),0))</f>
        <v/>
      </c>
      <c r="I939" s="31">
        <f>IF($A939="","",IFERROR(MAX(0,$H939-$G939),0))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0" t="n"/>
      <c r="H940" s="31">
        <f>IF($A940="","",IFERROR(ROUND($C940*INDEX(tblKurallar[deger_2025],MATCH("TBA-001",tblKurallar[kural_id],0))+$D940*INDEX(tblKurallar[deger_2025],MATCH("TBA-002",tblKurallar[kural_id],0))+$E940*INDEX(tblKurallar[deger_2025],MATCH("TBA-004",tblKurallar[kural_id],0))+$F940*tba_isverenOran,2),0))</f>
        <v/>
      </c>
      <c r="I940" s="31">
        <f>IF($A940="","",IFERROR(MAX(0,$H940-$G940),0))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0" t="n"/>
      <c r="H941" s="31">
        <f>IF($A941="","",IFERROR(ROUND($C941*INDEX(tblKurallar[deger_2025],MATCH("TBA-001",tblKurallar[kural_id],0))+$D941*INDEX(tblKurallar[deger_2025],MATCH("TBA-002",tblKurallar[kural_id],0))+$E941*INDEX(tblKurallar[deger_2025],MATCH("TBA-004",tblKurallar[kural_id],0))+$F941*tba_isverenOran,2),0))</f>
        <v/>
      </c>
      <c r="I941" s="31">
        <f>IF($A941="","",IFERROR(MAX(0,$H941-$G941),0))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0" t="n"/>
      <c r="H942" s="31">
        <f>IF($A942="","",IFERROR(ROUND($C942*INDEX(tblKurallar[deger_2025],MATCH("TBA-001",tblKurallar[kural_id],0))+$D942*INDEX(tblKurallar[deger_2025],MATCH("TBA-002",tblKurallar[kural_id],0))+$E942*INDEX(tblKurallar[deger_2025],MATCH("TBA-004",tblKurallar[kural_id],0))+$F942*tba_isverenOran,2),0))</f>
        <v/>
      </c>
      <c r="I942" s="31">
        <f>IF($A942="","",IFERROR(MAX(0,$H942-$G942),0))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0" t="n"/>
      <c r="H943" s="31">
        <f>IF($A943="","",IFERROR(ROUND($C943*INDEX(tblKurallar[deger_2025],MATCH("TBA-001",tblKurallar[kural_id],0))+$D943*INDEX(tblKurallar[deger_2025],MATCH("TBA-002",tblKurallar[kural_id],0))+$E943*INDEX(tblKurallar[deger_2025],MATCH("TBA-004",tblKurallar[kural_id],0))+$F943*tba_isverenOran,2),0))</f>
        <v/>
      </c>
      <c r="I943" s="31">
        <f>IF($A943="","",IFERROR(MAX(0,$H943-$G943),0))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0" t="n"/>
      <c r="H944" s="31">
        <f>IF($A944="","",IFERROR(ROUND($C944*INDEX(tblKurallar[deger_2025],MATCH("TBA-001",tblKurallar[kural_id],0))+$D944*INDEX(tblKurallar[deger_2025],MATCH("TBA-002",tblKurallar[kural_id],0))+$E944*INDEX(tblKurallar[deger_2025],MATCH("TBA-004",tblKurallar[kural_id],0))+$F944*tba_isverenOran,2),0))</f>
        <v/>
      </c>
      <c r="I944" s="31">
        <f>IF($A944="","",IFERROR(MAX(0,$H944-$G944),0))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0" t="n"/>
      <c r="H945" s="31">
        <f>IF($A945="","",IFERROR(ROUND($C945*INDEX(tblKurallar[deger_2025],MATCH("TBA-001",tblKurallar[kural_id],0))+$D945*INDEX(tblKurallar[deger_2025],MATCH("TBA-002",tblKurallar[kural_id],0))+$E945*INDEX(tblKurallar[deger_2025],MATCH("TBA-004",tblKurallar[kural_id],0))+$F945*tba_isverenOran,2),0))</f>
        <v/>
      </c>
      <c r="I945" s="31">
        <f>IF($A945="","",IFERROR(MAX(0,$H945-$G945),0))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0" t="n"/>
      <c r="H946" s="31">
        <f>IF($A946="","",IFERROR(ROUND($C946*INDEX(tblKurallar[deger_2025],MATCH("TBA-001",tblKurallar[kural_id],0))+$D946*INDEX(tblKurallar[deger_2025],MATCH("TBA-002",tblKurallar[kural_id],0))+$E946*INDEX(tblKurallar[deger_2025],MATCH("TBA-004",tblKurallar[kural_id],0))+$F946*tba_isverenOran,2),0))</f>
        <v/>
      </c>
      <c r="I946" s="31">
        <f>IF($A946="","",IFERROR(MAX(0,$H946-$G946),0))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0" t="n"/>
      <c r="H947" s="31">
        <f>IF($A947="","",IFERROR(ROUND($C947*INDEX(tblKurallar[deger_2025],MATCH("TBA-001",tblKurallar[kural_id],0))+$D947*INDEX(tblKurallar[deger_2025],MATCH("TBA-002",tblKurallar[kural_id],0))+$E947*INDEX(tblKurallar[deger_2025],MATCH("TBA-004",tblKurallar[kural_id],0))+$F947*tba_isverenOran,2),0))</f>
        <v/>
      </c>
      <c r="I947" s="31">
        <f>IF($A947="","",IFERROR(MAX(0,$H947-$G947),0))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0" t="n"/>
      <c r="H948" s="31">
        <f>IF($A948="","",IFERROR(ROUND($C948*INDEX(tblKurallar[deger_2025],MATCH("TBA-001",tblKurallar[kural_id],0))+$D948*INDEX(tblKurallar[deger_2025],MATCH("TBA-002",tblKurallar[kural_id],0))+$E948*INDEX(tblKurallar[deger_2025],MATCH("TBA-004",tblKurallar[kural_id],0))+$F948*tba_isverenOran,2),0))</f>
        <v/>
      </c>
      <c r="I948" s="31">
        <f>IF($A948="","",IFERROR(MAX(0,$H948-$G948),0))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0" t="n"/>
      <c r="H949" s="31">
        <f>IF($A949="","",IFERROR(ROUND($C949*INDEX(tblKurallar[deger_2025],MATCH("TBA-001",tblKurallar[kural_id],0))+$D949*INDEX(tblKurallar[deger_2025],MATCH("TBA-002",tblKurallar[kural_id],0))+$E949*INDEX(tblKurallar[deger_2025],MATCH("TBA-004",tblKurallar[kural_id],0))+$F949*tba_isverenOran,2),0))</f>
        <v/>
      </c>
      <c r="I949" s="31">
        <f>IF($A949="","",IFERROR(MAX(0,$H949-$G949),0))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0" t="n"/>
      <c r="H950" s="31">
        <f>IF($A950="","",IFERROR(ROUND($C950*INDEX(tblKurallar[deger_2025],MATCH("TBA-001",tblKurallar[kural_id],0))+$D950*INDEX(tblKurallar[deger_2025],MATCH("TBA-002",tblKurallar[kural_id],0))+$E950*INDEX(tblKurallar[deger_2025],MATCH("TBA-004",tblKurallar[kural_id],0))+$F950*tba_isverenOran,2),0))</f>
        <v/>
      </c>
      <c r="I950" s="31">
        <f>IF($A950="","",IFERROR(MAX(0,$H950-$G950),0))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0" t="n"/>
      <c r="H951" s="31">
        <f>IF($A951="","",IFERROR(ROUND($C951*INDEX(tblKurallar[deger_2025],MATCH("TBA-001",tblKurallar[kural_id],0))+$D951*INDEX(tblKurallar[deger_2025],MATCH("TBA-002",tblKurallar[kural_id],0))+$E951*INDEX(tblKurallar[deger_2025],MATCH("TBA-004",tblKurallar[kural_id],0))+$F951*tba_isverenOran,2),0))</f>
        <v/>
      </c>
      <c r="I951" s="31">
        <f>IF($A951="","",IFERROR(MAX(0,$H951-$G951),0))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0" t="n"/>
      <c r="H952" s="31">
        <f>IF($A952="","",IFERROR(ROUND($C952*INDEX(tblKurallar[deger_2025],MATCH("TBA-001",tblKurallar[kural_id],0))+$D952*INDEX(tblKurallar[deger_2025],MATCH("TBA-002",tblKurallar[kural_id],0))+$E952*INDEX(tblKurallar[deger_2025],MATCH("TBA-004",tblKurallar[kural_id],0))+$F952*tba_isverenOran,2),0))</f>
        <v/>
      </c>
      <c r="I952" s="31">
        <f>IF($A952="","",IFERROR(MAX(0,$H952-$G952),0))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0" t="n"/>
      <c r="H953" s="31">
        <f>IF($A953="","",IFERROR(ROUND($C953*INDEX(tblKurallar[deger_2025],MATCH("TBA-001",tblKurallar[kural_id],0))+$D953*INDEX(tblKurallar[deger_2025],MATCH("TBA-002",tblKurallar[kural_id],0))+$E953*INDEX(tblKurallar[deger_2025],MATCH("TBA-004",tblKurallar[kural_id],0))+$F953*tba_isverenOran,2),0))</f>
        <v/>
      </c>
      <c r="I953" s="31">
        <f>IF($A953="","",IFERROR(MAX(0,$H953-$G953),0))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0" t="n"/>
      <c r="H954" s="31">
        <f>IF($A954="","",IFERROR(ROUND($C954*INDEX(tblKurallar[deger_2025],MATCH("TBA-001",tblKurallar[kural_id],0))+$D954*INDEX(tblKurallar[deger_2025],MATCH("TBA-002",tblKurallar[kural_id],0))+$E954*INDEX(tblKurallar[deger_2025],MATCH("TBA-004",tblKurallar[kural_id],0))+$F954*tba_isverenOran,2),0))</f>
        <v/>
      </c>
      <c r="I954" s="31">
        <f>IF($A954="","",IFERROR(MAX(0,$H954-$G954),0))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0" t="n"/>
      <c r="H955" s="31">
        <f>IF($A955="","",IFERROR(ROUND($C955*INDEX(tblKurallar[deger_2025],MATCH("TBA-001",tblKurallar[kural_id],0))+$D955*INDEX(tblKurallar[deger_2025],MATCH("TBA-002",tblKurallar[kural_id],0))+$E955*INDEX(tblKurallar[deger_2025],MATCH("TBA-004",tblKurallar[kural_id],0))+$F955*tba_isverenOran,2),0))</f>
        <v/>
      </c>
      <c r="I955" s="31">
        <f>IF($A955="","",IFERROR(MAX(0,$H955-$G955),0))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0" t="n"/>
      <c r="H956" s="31">
        <f>IF($A956="","",IFERROR(ROUND($C956*INDEX(tblKurallar[deger_2025],MATCH("TBA-001",tblKurallar[kural_id],0))+$D956*INDEX(tblKurallar[deger_2025],MATCH("TBA-002",tblKurallar[kural_id],0))+$E956*INDEX(tblKurallar[deger_2025],MATCH("TBA-004",tblKurallar[kural_id],0))+$F956*tba_isverenOran,2),0))</f>
        <v/>
      </c>
      <c r="I956" s="31">
        <f>IF($A956="","",IFERROR(MAX(0,$H956-$G956),0))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0" t="n"/>
      <c r="H957" s="31">
        <f>IF($A957="","",IFERROR(ROUND($C957*INDEX(tblKurallar[deger_2025],MATCH("TBA-001",tblKurallar[kural_id],0))+$D957*INDEX(tblKurallar[deger_2025],MATCH("TBA-002",tblKurallar[kural_id],0))+$E957*INDEX(tblKurallar[deger_2025],MATCH("TBA-004",tblKurallar[kural_id],0))+$F957*tba_isverenOran,2),0))</f>
        <v/>
      </c>
      <c r="I957" s="31">
        <f>IF($A957="","",IFERROR(MAX(0,$H957-$G957),0))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0" t="n"/>
      <c r="H958" s="31">
        <f>IF($A958="","",IFERROR(ROUND($C958*INDEX(tblKurallar[deger_2025],MATCH("TBA-001",tblKurallar[kural_id],0))+$D958*INDEX(tblKurallar[deger_2025],MATCH("TBA-002",tblKurallar[kural_id],0))+$E958*INDEX(tblKurallar[deger_2025],MATCH("TBA-004",tblKurallar[kural_id],0))+$F958*tba_isverenOran,2),0))</f>
        <v/>
      </c>
      <c r="I958" s="31">
        <f>IF($A958="","",IFERROR(MAX(0,$H958-$G958),0))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0" t="n"/>
      <c r="H959" s="31">
        <f>IF($A959="","",IFERROR(ROUND($C959*INDEX(tblKurallar[deger_2025],MATCH("TBA-001",tblKurallar[kural_id],0))+$D959*INDEX(tblKurallar[deger_2025],MATCH("TBA-002",tblKurallar[kural_id],0))+$E959*INDEX(tblKurallar[deger_2025],MATCH("TBA-004",tblKurallar[kural_id],0))+$F959*tba_isverenOran,2),0))</f>
        <v/>
      </c>
      <c r="I959" s="31">
        <f>IF($A959="","",IFERROR(MAX(0,$H959-$G959),0))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0" t="n"/>
      <c r="H960" s="31">
        <f>IF($A960="","",IFERROR(ROUND($C960*INDEX(tblKurallar[deger_2025],MATCH("TBA-001",tblKurallar[kural_id],0))+$D960*INDEX(tblKurallar[deger_2025],MATCH("TBA-002",tblKurallar[kural_id],0))+$E960*INDEX(tblKurallar[deger_2025],MATCH("TBA-004",tblKurallar[kural_id],0))+$F960*tba_isverenOran,2),0))</f>
        <v/>
      </c>
      <c r="I960" s="31">
        <f>IF($A960="","",IFERROR(MAX(0,$H960-$G960),0))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0" t="n"/>
      <c r="H961" s="31">
        <f>IF($A961="","",IFERROR(ROUND($C961*INDEX(tblKurallar[deger_2025],MATCH("TBA-001",tblKurallar[kural_id],0))+$D961*INDEX(tblKurallar[deger_2025],MATCH("TBA-002",tblKurallar[kural_id],0))+$E961*INDEX(tblKurallar[deger_2025],MATCH("TBA-004",tblKurallar[kural_id],0))+$F961*tba_isverenOran,2),0))</f>
        <v/>
      </c>
      <c r="I961" s="31">
        <f>IF($A961="","",IFERROR(MAX(0,$H961-$G961),0))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0" t="n"/>
      <c r="H962" s="31">
        <f>IF($A962="","",IFERROR(ROUND($C962*INDEX(tblKurallar[deger_2025],MATCH("TBA-001",tblKurallar[kural_id],0))+$D962*INDEX(tblKurallar[deger_2025],MATCH("TBA-002",tblKurallar[kural_id],0))+$E962*INDEX(tblKurallar[deger_2025],MATCH("TBA-004",tblKurallar[kural_id],0))+$F962*tba_isverenOran,2),0))</f>
        <v/>
      </c>
      <c r="I962" s="31">
        <f>IF($A962="","",IFERROR(MAX(0,$H962-$G962),0))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0" t="n"/>
      <c r="H963" s="31">
        <f>IF($A963="","",IFERROR(ROUND($C963*INDEX(tblKurallar[deger_2025],MATCH("TBA-001",tblKurallar[kural_id],0))+$D963*INDEX(tblKurallar[deger_2025],MATCH("TBA-002",tblKurallar[kural_id],0))+$E963*INDEX(tblKurallar[deger_2025],MATCH("TBA-004",tblKurallar[kural_id],0))+$F963*tba_isverenOran,2),0))</f>
        <v/>
      </c>
      <c r="I963" s="31">
        <f>IF($A963="","",IFERROR(MAX(0,$H963-$G963),0))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0" t="n"/>
      <c r="H964" s="31">
        <f>IF($A964="","",IFERROR(ROUND($C964*INDEX(tblKurallar[deger_2025],MATCH("TBA-001",tblKurallar[kural_id],0))+$D964*INDEX(tblKurallar[deger_2025],MATCH("TBA-002",tblKurallar[kural_id],0))+$E964*INDEX(tblKurallar[deger_2025],MATCH("TBA-004",tblKurallar[kural_id],0))+$F964*tba_isverenOran,2),0))</f>
        <v/>
      </c>
      <c r="I964" s="31">
        <f>IF($A964="","",IFERROR(MAX(0,$H964-$G964),0))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0" t="n"/>
      <c r="H965" s="31">
        <f>IF($A965="","",IFERROR(ROUND($C965*INDEX(tblKurallar[deger_2025],MATCH("TBA-001",tblKurallar[kural_id],0))+$D965*INDEX(tblKurallar[deger_2025],MATCH("TBA-002",tblKurallar[kural_id],0))+$E965*INDEX(tblKurallar[deger_2025],MATCH("TBA-004",tblKurallar[kural_id],0))+$F965*tba_isverenOran,2),0))</f>
        <v/>
      </c>
      <c r="I965" s="31">
        <f>IF($A965="","",IFERROR(MAX(0,$H965-$G965),0))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0" t="n"/>
      <c r="H966" s="31">
        <f>IF($A966="","",IFERROR(ROUND($C966*INDEX(tblKurallar[deger_2025],MATCH("TBA-001",tblKurallar[kural_id],0))+$D966*INDEX(tblKurallar[deger_2025],MATCH("TBA-002",tblKurallar[kural_id],0))+$E966*INDEX(tblKurallar[deger_2025],MATCH("TBA-004",tblKurallar[kural_id],0))+$F966*tba_isverenOran,2),0))</f>
        <v/>
      </c>
      <c r="I966" s="31">
        <f>IF($A966="","",IFERROR(MAX(0,$H966-$G966),0))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0" t="n"/>
      <c r="H967" s="31">
        <f>IF($A967="","",IFERROR(ROUND($C967*INDEX(tblKurallar[deger_2025],MATCH("TBA-001",tblKurallar[kural_id],0))+$D967*INDEX(tblKurallar[deger_2025],MATCH("TBA-002",tblKurallar[kural_id],0))+$E967*INDEX(tblKurallar[deger_2025],MATCH("TBA-004",tblKurallar[kural_id],0))+$F967*tba_isverenOran,2),0))</f>
        <v/>
      </c>
      <c r="I967" s="31">
        <f>IF($A967="","",IFERROR(MAX(0,$H967-$G967),0))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0" t="n"/>
      <c r="H968" s="31">
        <f>IF($A968="","",IFERROR(ROUND($C968*INDEX(tblKurallar[deger_2025],MATCH("TBA-001",tblKurallar[kural_id],0))+$D968*INDEX(tblKurallar[deger_2025],MATCH("TBA-002",tblKurallar[kural_id],0))+$E968*INDEX(tblKurallar[deger_2025],MATCH("TBA-004",tblKurallar[kural_id],0))+$F968*tba_isverenOran,2),0))</f>
        <v/>
      </c>
      <c r="I968" s="31">
        <f>IF($A968="","",IFERROR(MAX(0,$H968-$G968),0))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0" t="n"/>
      <c r="H969" s="31">
        <f>IF($A969="","",IFERROR(ROUND($C969*INDEX(tblKurallar[deger_2025],MATCH("TBA-001",tblKurallar[kural_id],0))+$D969*INDEX(tblKurallar[deger_2025],MATCH("TBA-002",tblKurallar[kural_id],0))+$E969*INDEX(tblKurallar[deger_2025],MATCH("TBA-004",tblKurallar[kural_id],0))+$F969*tba_isverenOran,2),0))</f>
        <v/>
      </c>
      <c r="I969" s="31">
        <f>IF($A969="","",IFERROR(MAX(0,$H969-$G969),0))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0" t="n"/>
      <c r="H970" s="31">
        <f>IF($A970="","",IFERROR(ROUND($C970*INDEX(tblKurallar[deger_2025],MATCH("TBA-001",tblKurallar[kural_id],0))+$D970*INDEX(tblKurallar[deger_2025],MATCH("TBA-002",tblKurallar[kural_id],0))+$E970*INDEX(tblKurallar[deger_2025],MATCH("TBA-004",tblKurallar[kural_id],0))+$F970*tba_isverenOran,2),0))</f>
        <v/>
      </c>
      <c r="I970" s="31">
        <f>IF($A970="","",IFERROR(MAX(0,$H970-$G970),0))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0" t="n"/>
      <c r="H971" s="31">
        <f>IF($A971="","",IFERROR(ROUND($C971*INDEX(tblKurallar[deger_2025],MATCH("TBA-001",tblKurallar[kural_id],0))+$D971*INDEX(tblKurallar[deger_2025],MATCH("TBA-002",tblKurallar[kural_id],0))+$E971*INDEX(tblKurallar[deger_2025],MATCH("TBA-004",tblKurallar[kural_id],0))+$F971*tba_isverenOran,2),0))</f>
        <v/>
      </c>
      <c r="I971" s="31">
        <f>IF($A971="","",IFERROR(MAX(0,$H971-$G971),0))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0" t="n"/>
      <c r="H972" s="31">
        <f>IF($A972="","",IFERROR(ROUND($C972*INDEX(tblKurallar[deger_2025],MATCH("TBA-001",tblKurallar[kural_id],0))+$D972*INDEX(tblKurallar[deger_2025],MATCH("TBA-002",tblKurallar[kural_id],0))+$E972*INDEX(tblKurallar[deger_2025],MATCH("TBA-004",tblKurallar[kural_id],0))+$F972*tba_isverenOran,2),0))</f>
        <v/>
      </c>
      <c r="I972" s="31">
        <f>IF($A972="","",IFERROR(MAX(0,$H972-$G972),0))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0" t="n"/>
      <c r="H973" s="31">
        <f>IF($A973="","",IFERROR(ROUND($C973*INDEX(tblKurallar[deger_2025],MATCH("TBA-001",tblKurallar[kural_id],0))+$D973*INDEX(tblKurallar[deger_2025],MATCH("TBA-002",tblKurallar[kural_id],0))+$E973*INDEX(tblKurallar[deger_2025],MATCH("TBA-004",tblKurallar[kural_id],0))+$F973*tba_isverenOran,2),0))</f>
        <v/>
      </c>
      <c r="I973" s="31">
        <f>IF($A973="","",IFERROR(MAX(0,$H973-$G973),0))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0" t="n"/>
      <c r="H974" s="31">
        <f>IF($A974="","",IFERROR(ROUND($C974*INDEX(tblKurallar[deger_2025],MATCH("TBA-001",tblKurallar[kural_id],0))+$D974*INDEX(tblKurallar[deger_2025],MATCH("TBA-002",tblKurallar[kural_id],0))+$E974*INDEX(tblKurallar[deger_2025],MATCH("TBA-004",tblKurallar[kural_id],0))+$F974*tba_isverenOran,2),0))</f>
        <v/>
      </c>
      <c r="I974" s="31">
        <f>IF($A974="","",IFERROR(MAX(0,$H974-$G974),0))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0" t="n"/>
      <c r="H975" s="31">
        <f>IF($A975="","",IFERROR(ROUND($C975*INDEX(tblKurallar[deger_2025],MATCH("TBA-001",tblKurallar[kural_id],0))+$D975*INDEX(tblKurallar[deger_2025],MATCH("TBA-002",tblKurallar[kural_id],0))+$E975*INDEX(tblKurallar[deger_2025],MATCH("TBA-004",tblKurallar[kural_id],0))+$F975*tba_isverenOran,2),0))</f>
        <v/>
      </c>
      <c r="I975" s="31">
        <f>IF($A975="","",IFERROR(MAX(0,$H975-$G975),0))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0" t="n"/>
      <c r="H976" s="31">
        <f>IF($A976="","",IFERROR(ROUND($C976*INDEX(tblKurallar[deger_2025],MATCH("TBA-001",tblKurallar[kural_id],0))+$D976*INDEX(tblKurallar[deger_2025],MATCH("TBA-002",tblKurallar[kural_id],0))+$E976*INDEX(tblKurallar[deger_2025],MATCH("TBA-004",tblKurallar[kural_id],0))+$F976*tba_isverenOran,2),0))</f>
        <v/>
      </c>
      <c r="I976" s="31">
        <f>IF($A976="","",IFERROR(MAX(0,$H976-$G976),0))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0" t="n"/>
      <c r="H977" s="31">
        <f>IF($A977="","",IFERROR(ROUND($C977*INDEX(tblKurallar[deger_2025],MATCH("TBA-001",tblKurallar[kural_id],0))+$D977*INDEX(tblKurallar[deger_2025],MATCH("TBA-002",tblKurallar[kural_id],0))+$E977*INDEX(tblKurallar[deger_2025],MATCH("TBA-004",tblKurallar[kural_id],0))+$F977*tba_isverenOran,2),0))</f>
        <v/>
      </c>
      <c r="I977" s="31">
        <f>IF($A977="","",IFERROR(MAX(0,$H977-$G977),0))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0" t="n"/>
      <c r="H978" s="31">
        <f>IF($A978="","",IFERROR(ROUND($C978*INDEX(tblKurallar[deger_2025],MATCH("TBA-001",tblKurallar[kural_id],0))+$D978*INDEX(tblKurallar[deger_2025],MATCH("TBA-002",tblKurallar[kural_id],0))+$E978*INDEX(tblKurallar[deger_2025],MATCH("TBA-004",tblKurallar[kural_id],0))+$F978*tba_isverenOran,2),0))</f>
        <v/>
      </c>
      <c r="I978" s="31">
        <f>IF($A978="","",IFERROR(MAX(0,$H978-$G978),0))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0" t="n"/>
      <c r="H979" s="31">
        <f>IF($A979="","",IFERROR(ROUND($C979*INDEX(tblKurallar[deger_2025],MATCH("TBA-001",tblKurallar[kural_id],0))+$D979*INDEX(tblKurallar[deger_2025],MATCH("TBA-002",tblKurallar[kural_id],0))+$E979*INDEX(tblKurallar[deger_2025],MATCH("TBA-004",tblKurallar[kural_id],0))+$F979*tba_isverenOran,2),0))</f>
        <v/>
      </c>
      <c r="I979" s="31">
        <f>IF($A979="","",IFERROR(MAX(0,$H979-$G979),0))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0" t="n"/>
      <c r="H980" s="31">
        <f>IF($A980="","",IFERROR(ROUND($C980*INDEX(tblKurallar[deger_2025],MATCH("TBA-001",tblKurallar[kural_id],0))+$D980*INDEX(tblKurallar[deger_2025],MATCH("TBA-002",tblKurallar[kural_id],0))+$E980*INDEX(tblKurallar[deger_2025],MATCH("TBA-004",tblKurallar[kural_id],0))+$F980*tba_isverenOran,2),0))</f>
        <v/>
      </c>
      <c r="I980" s="31">
        <f>IF($A980="","",IFERROR(MAX(0,$H980-$G980),0))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0" t="n"/>
      <c r="H981" s="31">
        <f>IF($A981="","",IFERROR(ROUND($C981*INDEX(tblKurallar[deger_2025],MATCH("TBA-001",tblKurallar[kural_id],0))+$D981*INDEX(tblKurallar[deger_2025],MATCH("TBA-002",tblKurallar[kural_id],0))+$E981*INDEX(tblKurallar[deger_2025],MATCH("TBA-004",tblKurallar[kural_id],0))+$F981*tba_isverenOran,2),0))</f>
        <v/>
      </c>
      <c r="I981" s="31">
        <f>IF($A981="","",IFERROR(MAX(0,$H981-$G981),0))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0" t="n"/>
      <c r="H982" s="31">
        <f>IF($A982="","",IFERROR(ROUND($C982*INDEX(tblKurallar[deger_2025],MATCH("TBA-001",tblKurallar[kural_id],0))+$D982*INDEX(tblKurallar[deger_2025],MATCH("TBA-002",tblKurallar[kural_id],0))+$E982*INDEX(tblKurallar[deger_2025],MATCH("TBA-004",tblKurallar[kural_id],0))+$F982*tba_isverenOran,2),0))</f>
        <v/>
      </c>
      <c r="I982" s="31">
        <f>IF($A982="","",IFERROR(MAX(0,$H982-$G982),0))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0" t="n"/>
      <c r="H983" s="31">
        <f>IF($A983="","",IFERROR(ROUND($C983*INDEX(tblKurallar[deger_2025],MATCH("TBA-001",tblKurallar[kural_id],0))+$D983*INDEX(tblKurallar[deger_2025],MATCH("TBA-002",tblKurallar[kural_id],0))+$E983*INDEX(tblKurallar[deger_2025],MATCH("TBA-004",tblKurallar[kural_id],0))+$F983*tba_isverenOran,2),0))</f>
        <v/>
      </c>
      <c r="I983" s="31">
        <f>IF($A983="","",IFERROR(MAX(0,$H983-$G983),0))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0" t="n"/>
      <c r="H984" s="31">
        <f>IF($A984="","",IFERROR(ROUND($C984*INDEX(tblKurallar[deger_2025],MATCH("TBA-001",tblKurallar[kural_id],0))+$D984*INDEX(tblKurallar[deger_2025],MATCH("TBA-002",tblKurallar[kural_id],0))+$E984*INDEX(tblKurallar[deger_2025],MATCH("TBA-004",tblKurallar[kural_id],0))+$F984*tba_isverenOran,2),0))</f>
        <v/>
      </c>
      <c r="I984" s="31">
        <f>IF($A984="","",IFERROR(MAX(0,$H984-$G984),0))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0" t="n"/>
      <c r="H985" s="31">
        <f>IF($A985="","",IFERROR(ROUND($C985*INDEX(tblKurallar[deger_2025],MATCH("TBA-001",tblKurallar[kural_id],0))+$D985*INDEX(tblKurallar[deger_2025],MATCH("TBA-002",tblKurallar[kural_id],0))+$E985*INDEX(tblKurallar[deger_2025],MATCH("TBA-004",tblKurallar[kural_id],0))+$F985*tba_isverenOran,2),0))</f>
        <v/>
      </c>
      <c r="I985" s="31">
        <f>IF($A985="","",IFERROR(MAX(0,$H985-$G985),0))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0" t="n"/>
      <c r="H986" s="31">
        <f>IF($A986="","",IFERROR(ROUND($C986*INDEX(tblKurallar[deger_2025],MATCH("TBA-001",tblKurallar[kural_id],0))+$D986*INDEX(tblKurallar[deger_2025],MATCH("TBA-002",tblKurallar[kural_id],0))+$E986*INDEX(tblKurallar[deger_2025],MATCH("TBA-004",tblKurallar[kural_id],0))+$F986*tba_isverenOran,2),0))</f>
        <v/>
      </c>
      <c r="I986" s="31">
        <f>IF($A986="","",IFERROR(MAX(0,$H986-$G986),0))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0" t="n"/>
      <c r="H987" s="31">
        <f>IF($A987="","",IFERROR(ROUND($C987*INDEX(tblKurallar[deger_2025],MATCH("TBA-001",tblKurallar[kural_id],0))+$D987*INDEX(tblKurallar[deger_2025],MATCH("TBA-002",tblKurallar[kural_id],0))+$E987*INDEX(tblKurallar[deger_2025],MATCH("TBA-004",tblKurallar[kural_id],0))+$F987*tba_isverenOran,2),0))</f>
        <v/>
      </c>
      <c r="I987" s="31">
        <f>IF($A987="","",IFERROR(MAX(0,$H987-$G987),0))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0" t="n"/>
      <c r="H988" s="31">
        <f>IF($A988="","",IFERROR(ROUND($C988*INDEX(tblKurallar[deger_2025],MATCH("TBA-001",tblKurallar[kural_id],0))+$D988*INDEX(tblKurallar[deger_2025],MATCH("TBA-002",tblKurallar[kural_id],0))+$E988*INDEX(tblKurallar[deger_2025],MATCH("TBA-004",tblKurallar[kural_id],0))+$F988*tba_isverenOran,2),0))</f>
        <v/>
      </c>
      <c r="I988" s="31">
        <f>IF($A988="","",IFERROR(MAX(0,$H988-$G988),0))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0" t="n"/>
      <c r="H989" s="31">
        <f>IF($A989="","",IFERROR(ROUND($C989*INDEX(tblKurallar[deger_2025],MATCH("TBA-001",tblKurallar[kural_id],0))+$D989*INDEX(tblKurallar[deger_2025],MATCH("TBA-002",tblKurallar[kural_id],0))+$E989*INDEX(tblKurallar[deger_2025],MATCH("TBA-004",tblKurallar[kural_id],0))+$F989*tba_isverenOran,2),0))</f>
        <v/>
      </c>
      <c r="I989" s="31">
        <f>IF($A989="","",IFERROR(MAX(0,$H989-$G989),0))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0" t="n"/>
      <c r="H990" s="31">
        <f>IF($A990="","",IFERROR(ROUND($C990*INDEX(tblKurallar[deger_2025],MATCH("TBA-001",tblKurallar[kural_id],0))+$D990*INDEX(tblKurallar[deger_2025],MATCH("TBA-002",tblKurallar[kural_id],0))+$E990*INDEX(tblKurallar[deger_2025],MATCH("TBA-004",tblKurallar[kural_id],0))+$F990*tba_isverenOran,2),0))</f>
        <v/>
      </c>
      <c r="I990" s="31">
        <f>IF($A990="","",IFERROR(MAX(0,$H990-$G990),0))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0" t="n"/>
      <c r="H991" s="31">
        <f>IF($A991="","",IFERROR(ROUND($C991*INDEX(tblKurallar[deger_2025],MATCH("TBA-001",tblKurallar[kural_id],0))+$D991*INDEX(tblKurallar[deger_2025],MATCH("TBA-002",tblKurallar[kural_id],0))+$E991*INDEX(tblKurallar[deger_2025],MATCH("TBA-004",tblKurallar[kural_id],0))+$F991*tba_isverenOran,2),0))</f>
        <v/>
      </c>
      <c r="I991" s="31">
        <f>IF($A991="","",IFERROR(MAX(0,$H991-$G991),0))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0" t="n"/>
      <c r="H992" s="31">
        <f>IF($A992="","",IFERROR(ROUND($C992*INDEX(tblKurallar[deger_2025],MATCH("TBA-001",tblKurallar[kural_id],0))+$D992*INDEX(tblKurallar[deger_2025],MATCH("TBA-002",tblKurallar[kural_id],0))+$E992*INDEX(tblKurallar[deger_2025],MATCH("TBA-004",tblKurallar[kural_id],0))+$F992*tba_isverenOran,2),0))</f>
        <v/>
      </c>
      <c r="I992" s="31">
        <f>IF($A992="","",IFERROR(MAX(0,$H992-$G992),0))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0" t="n"/>
      <c r="H993" s="31">
        <f>IF($A993="","",IFERROR(ROUND($C993*INDEX(tblKurallar[deger_2025],MATCH("TBA-001",tblKurallar[kural_id],0))+$D993*INDEX(tblKurallar[deger_2025],MATCH("TBA-002",tblKurallar[kural_id],0))+$E993*INDEX(tblKurallar[deger_2025],MATCH("TBA-004",tblKurallar[kural_id],0))+$F993*tba_isverenOran,2),0))</f>
        <v/>
      </c>
      <c r="I993" s="31">
        <f>IF($A993="","",IFERROR(MAX(0,$H993-$G993),0))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0" t="n"/>
      <c r="H994" s="31">
        <f>IF($A994="","",IFERROR(ROUND($C994*INDEX(tblKurallar[deger_2025],MATCH("TBA-001",tblKurallar[kural_id],0))+$D994*INDEX(tblKurallar[deger_2025],MATCH("TBA-002",tblKurallar[kural_id],0))+$E994*INDEX(tblKurallar[deger_2025],MATCH("TBA-004",tblKurallar[kural_id],0))+$F994*tba_isverenOran,2),0))</f>
        <v/>
      </c>
      <c r="I994" s="31">
        <f>IF($A994="","",IFERROR(MAX(0,$H994-$G994),0))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0" t="n"/>
      <c r="H995" s="31">
        <f>IF($A995="","",IFERROR(ROUND($C995*INDEX(tblKurallar[deger_2025],MATCH("TBA-001",tblKurallar[kural_id],0))+$D995*INDEX(tblKurallar[deger_2025],MATCH("TBA-002",tblKurallar[kural_id],0))+$E995*INDEX(tblKurallar[deger_2025],MATCH("TBA-004",tblKurallar[kural_id],0))+$F995*tba_isverenOran,2),0))</f>
        <v/>
      </c>
      <c r="I995" s="31">
        <f>IF($A995="","",IFERROR(MAX(0,$H995-$G995),0))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0" t="n"/>
      <c r="H996" s="31">
        <f>IF($A996="","",IFERROR(ROUND($C996*INDEX(tblKurallar[deger_2025],MATCH("TBA-001",tblKurallar[kural_id],0))+$D996*INDEX(tblKurallar[deger_2025],MATCH("TBA-002",tblKurallar[kural_id],0))+$E996*INDEX(tblKurallar[deger_2025],MATCH("TBA-004",tblKurallar[kural_id],0))+$F996*tba_isverenOran,2),0))</f>
        <v/>
      </c>
      <c r="I996" s="31">
        <f>IF($A996="","",IFERROR(MAX(0,$H996-$G996),0))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0" t="n"/>
      <c r="H997" s="31">
        <f>IF($A997="","",IFERROR(ROUND($C997*INDEX(tblKurallar[deger_2025],MATCH("TBA-001",tblKurallar[kural_id],0))+$D997*INDEX(tblKurallar[deger_2025],MATCH("TBA-002",tblKurallar[kural_id],0))+$E997*INDEX(tblKurallar[deger_2025],MATCH("TBA-004",tblKurallar[kural_id],0))+$F997*tba_isverenOran,2),0))</f>
        <v/>
      </c>
      <c r="I997" s="31">
        <f>IF($A997="","",IFERROR(MAX(0,$H997-$G997),0))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0" t="n"/>
      <c r="H998" s="31">
        <f>IF($A998="","",IFERROR(ROUND($C998*INDEX(tblKurallar[deger_2025],MATCH("TBA-001",tblKurallar[kural_id],0))+$D998*INDEX(tblKurallar[deger_2025],MATCH("TBA-002",tblKurallar[kural_id],0))+$E998*INDEX(tblKurallar[deger_2025],MATCH("TBA-004",tblKurallar[kural_id],0))+$F998*tba_isverenOran,2),0))</f>
        <v/>
      </c>
      <c r="I998" s="31">
        <f>IF($A998="","",IFERROR(MAX(0,$H998-$G998),0))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0" t="n"/>
      <c r="H999" s="31">
        <f>IF($A999="","",IFERROR(ROUND($C999*INDEX(tblKurallar[deger_2025],MATCH("TBA-001",tblKurallar[kural_id],0))+$D999*INDEX(tblKurallar[deger_2025],MATCH("TBA-002",tblKurallar[kural_id],0))+$E999*INDEX(tblKurallar[deger_2025],MATCH("TBA-004",tblKurallar[kural_id],0))+$F999*tba_isverenOran,2),0))</f>
        <v/>
      </c>
      <c r="I999" s="31">
        <f>IF($A999="","",IFERROR(MAX(0,$H999-$G999),0))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0" t="n"/>
      <c r="H1000" s="31">
        <f>IF($A1000="","",IFERROR(ROUND($C1000*INDEX(tblKurallar[deger_2025],MATCH("TBA-001",tblKurallar[kural_id],0))+$D1000*INDEX(tblKurallar[deger_2025],MATCH("TBA-002",tblKurallar[kural_id],0))+$E1000*INDEX(tblKurallar[deger_2025],MATCH("TBA-004",tblKurallar[kural_id],0))+$F1000*tba_isverenOran,2),0))</f>
        <v/>
      </c>
      <c r="I1000" s="31">
        <f>IF($A1000="","",IFERROR(MAX(0,$H1000-$G1000),0))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0" t="n"/>
      <c r="H1001" s="31">
        <f>IF($A1001="","",IFERROR(ROUND($C1001*INDEX(tblKurallar[deger_2025],MATCH("TBA-001",tblKurallar[kural_id],0))+$D1001*INDEX(tblKurallar[deger_2025],MATCH("TBA-002",tblKurallar[kural_id],0))+$E1001*INDEX(tblKurallar[deger_2025],MATCH("TBA-004",tblKurallar[kural_id],0))+$F1001*tba_isverenOran,2),0))</f>
        <v/>
      </c>
      <c r="I1001" s="31">
        <f>IF($A1001="","",IFERROR(MAX(0,$H1001-$G1001),0))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0" t="n"/>
      <c r="H1002" s="31">
        <f>IF($A1002="","",IFERROR(ROUND($C1002*INDEX(tblKurallar[deger_2025],MATCH("TBA-001",tblKurallar[kural_id],0))+$D1002*INDEX(tblKurallar[deger_2025],MATCH("TBA-002",tblKurallar[kural_id],0))+$E1002*INDEX(tblKurallar[deger_2025],MATCH("TBA-004",tblKurallar[kural_id],0))+$F1002*tba_isverenOran,2),0))</f>
        <v/>
      </c>
      <c r="I1002" s="31">
        <f>IF($A1002="","",IFERROR(MAX(0,$H1002-$G1002),0))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0" t="n"/>
      <c r="H1003" s="31">
        <f>IF($A1003="","",IFERROR(ROUND($C1003*INDEX(tblKurallar[deger_2025],MATCH("TBA-001",tblKurallar[kural_id],0))+$D1003*INDEX(tblKurallar[deger_2025],MATCH("TBA-002",tblKurallar[kural_id],0))+$E1003*INDEX(tblKurallar[deger_2025],MATCH("TBA-004",tblKurallar[kural_id],0))+$F1003*tba_isverenOran,2),0))</f>
        <v/>
      </c>
      <c r="I1003" s="31">
        <f>IF($A1003="","",IFERROR(MAX(0,$H1003-$G1003),0))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0" t="n"/>
      <c r="H1004" s="31">
        <f>IF($A1004="","",IFERROR(ROUND($C1004*INDEX(tblKurallar[deger_2025],MATCH("TBA-001",tblKurallar[kural_id],0))+$D1004*INDEX(tblKurallar[deger_2025],MATCH("TBA-002",tblKurallar[kural_id],0))+$E1004*INDEX(tblKurallar[deger_2025],MATCH("TBA-004",tblKurallar[kural_id],0))+$F1004*tba_isverenOran,2),0))</f>
        <v/>
      </c>
      <c r="I1004" s="31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595959"/>
    <outlinePr summaryBelow="1" summaryRight="1"/>
    <pageSetUpPr/>
  </sheetPr>
  <dimension ref="A1:T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Teşvikli Bordro ve En Avantajlı Teşvik Seçen</t>
        </is>
      </c>
    </row>
    <row r="3">
      <c r="A3" s="10" t="inlineStr">
        <is>
          <t>Doğrulama listeleri</t>
        </is>
      </c>
    </row>
    <row r="5">
      <c r="A5" s="39" t="inlineStr">
        <is>
          <t>Yıllar</t>
        </is>
      </c>
      <c r="C5" s="39" t="inlineStr">
        <is>
          <t>Yorum A/B</t>
        </is>
      </c>
      <c r="E5" s="39" t="inlineStr">
        <is>
          <t>Evet/Hayır</t>
        </is>
      </c>
      <c r="G5" s="39" t="inlineStr">
        <is>
          <t>Teşvik kodu</t>
        </is>
      </c>
    </row>
    <row r="6">
      <c r="A6" s="60" t="n">
        <v>2025</v>
      </c>
      <c r="C6" s="57" t="inlineStr">
        <is>
          <t>A</t>
        </is>
      </c>
      <c r="E6" s="57" t="inlineStr">
        <is>
          <t>Evet</t>
        </is>
      </c>
      <c r="G6" s="57" t="inlineStr">
        <is>
          <t>TBA-001</t>
        </is>
      </c>
    </row>
    <row r="7">
      <c r="A7" s="60" t="n">
        <v>2026</v>
      </c>
      <c r="C7" s="57" t="inlineStr">
        <is>
          <t>B</t>
        </is>
      </c>
      <c r="E7" s="57" t="inlineStr">
        <is>
          <t>Hayır</t>
        </is>
      </c>
      <c r="G7" s="57" t="inlineStr">
        <is>
          <t>TBA-002</t>
        </is>
      </c>
    </row>
    <row r="8">
      <c r="A8" s="60" t="n">
        <v>2027</v>
      </c>
      <c r="G8" s="57" t="inlineStr">
        <is>
          <t>TBA-004</t>
        </is>
      </c>
    </row>
    <row r="9">
      <c r="G9" s="57" t="inlineStr">
        <is>
          <t>TBA-ENG</t>
        </is>
      </c>
    </row>
    <row r="10">
      <c r="G10" s="57" t="inlineStr">
        <is>
          <t>YOK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Teşvikli Bordro ve En Avantajlı Teşvik Seçen</t>
        </is>
      </c>
    </row>
    <row r="3">
      <c r="A3" s="21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43" t="n">
        <v>2025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11.08.2026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11.08.2026</t>
        </is>
      </c>
      <c r="H7" s="61">
        <f>IF(A7="","",IF(B7="","EKSİK","TAM"))</f>
        <v/>
      </c>
    </row>
    <row r="8">
      <c r="A8" s="24" t="inlineStr">
        <is>
          <t>tba_tolerans</t>
        </is>
      </c>
      <c r="B8" s="42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11.08.2026</t>
        </is>
      </c>
      <c r="H8" s="61">
        <f>IF(A8="","",IF(B8="","EKSİK","TAM"))</f>
        <v/>
      </c>
    </row>
    <row r="9">
      <c r="A9" s="24" t="inlineStr">
        <is>
          <t>tba_kacirilanEsik</t>
        </is>
      </c>
      <c r="B9" s="42" t="n">
        <v>15000</v>
      </c>
      <c r="C9" s="24" t="inlineStr">
        <is>
          <t>TL</t>
        </is>
      </c>
      <c r="D9" s="24" t="inlineStr">
        <is>
          <t>PANO kaçırılan uyarı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11.08.2026</t>
        </is>
      </c>
      <c r="H9" s="61">
        <f>IF(A9="","",IF(B9="","EKSİK","TAM"))</f>
        <v/>
      </c>
    </row>
    <row r="10">
      <c r="A10" s="24" t="inlineStr">
        <is>
          <t>tba_senaryoIyi</t>
        </is>
      </c>
      <c r="B10" s="41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11.08.2026</t>
        </is>
      </c>
      <c r="H10" s="61">
        <f>IF(A10="","",IF(B10="","EKSİK","TAM"))</f>
        <v/>
      </c>
    </row>
    <row r="11">
      <c r="A11" s="24" t="inlineStr">
        <is>
          <t>tba_senaryoKotu</t>
        </is>
      </c>
      <c r="B11" s="41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11.08.2026</t>
        </is>
      </c>
      <c r="H11" s="61">
        <f>IF(A11="","",IF(B11="","EKSİK","TAM"))</f>
        <v/>
      </c>
    </row>
    <row r="12">
      <c r="A12" s="24" t="inlineStr">
        <is>
          <t>tba_oranArtisPuan</t>
        </is>
      </c>
      <c r="B12" s="41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11.08.2026</t>
        </is>
      </c>
      <c r="H12" s="61">
        <f>IF(A12="","",IF(B12="","EKSİK","TAM"))</f>
        <v/>
      </c>
    </row>
    <row r="13">
      <c r="A13" s="24" t="inlineStr">
        <is>
          <t>tba_tahminAlt</t>
        </is>
      </c>
      <c r="B13" s="41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11.08.2026</t>
        </is>
      </c>
      <c r="H13" s="61">
        <f>IF(A13="","",IF(B13="","EKSİK","TAM"))</f>
        <v/>
      </c>
    </row>
    <row r="14">
      <c r="A14" s="24" t="inlineStr">
        <is>
          <t>tba_tahminUst</t>
        </is>
      </c>
      <c r="B14" s="41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11.08.2026</t>
        </is>
      </c>
      <c r="H14" s="61">
        <f>IF(A14="","",IF(B14="","EKSİK","TAM"))</f>
        <v/>
      </c>
    </row>
    <row r="15">
      <c r="A15" s="24" t="inlineStr">
        <is>
          <t>tba_tornadoMatrah</t>
        </is>
      </c>
      <c r="B15" s="41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11.08.2026</t>
        </is>
      </c>
      <c r="H15" s="61">
        <f>IF(A15="","",IF(B15="","EKSİK","TAM"))</f>
        <v/>
      </c>
    </row>
    <row r="16">
      <c r="A16" s="24" t="inlineStr">
        <is>
          <t>tba_tornadoMevcut</t>
        </is>
      </c>
      <c r="B16" s="41" t="n">
        <v>0.95</v>
      </c>
      <c r="C16" s="24" t="inlineStr">
        <is>
          <t>çarpan</t>
        </is>
      </c>
      <c r="D16" s="24" t="inlineStr">
        <is>
          <t>Tornado mevcut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11.08.2026</t>
        </is>
      </c>
      <c r="H16" s="61">
        <f>IF(A16="","",IF(B16="","EKSİK","TAM"))</f>
        <v/>
      </c>
    </row>
    <row r="17">
      <c r="A17" s="24" t="inlineStr">
        <is>
          <t>tba_isverenOran</t>
        </is>
      </c>
      <c r="B17" s="41" t="n">
        <v>0.205</v>
      </c>
      <c r="C17" s="24" t="inlineStr">
        <is>
          <t>oran</t>
        </is>
      </c>
      <c r="D17" s="24" t="inlineStr">
        <is>
          <t>İşveren SGK payı (engelli)</t>
        </is>
      </c>
      <c r="E17" s="24" t="inlineStr">
        <is>
          <t>5510 s.K.</t>
        </is>
      </c>
      <c r="F17" s="24" t="inlineStr">
        <is>
          <t>01.01.2025</t>
        </is>
      </c>
      <c r="G17" s="24" t="inlineStr">
        <is>
          <t>11.08.2026</t>
        </is>
      </c>
      <c r="H17" s="61">
        <f>IF(A17="","",IF(B17="","EKSİK","TAM"))</f>
        <v/>
      </c>
    </row>
    <row r="18">
      <c r="A18" s="24" t="inlineStr">
        <is>
          <t>tba_yuzdelikOran</t>
        </is>
      </c>
      <c r="B18" s="41" t="n">
        <v>0.9</v>
      </c>
      <c r="C18" s="24" t="inlineStr">
        <is>
          <t>oran</t>
        </is>
      </c>
      <c r="D18" s="24" t="inlineStr">
        <is>
          <t>Yüzdelik P90</t>
        </is>
      </c>
      <c r="E18" s="24" t="inlineStr">
        <is>
          <t>İstatistik</t>
        </is>
      </c>
      <c r="F18" s="24" t="inlineStr">
        <is>
          <t>01.01.2025</t>
        </is>
      </c>
      <c r="G18" s="24" t="inlineStr">
        <is>
          <t>11.08.2026</t>
        </is>
      </c>
      <c r="H18" s="61">
        <f>IF(A18="","",IF(B18="","EKSİK","TAM"))</f>
        <v/>
      </c>
    </row>
    <row r="19">
      <c r="A19" s="24" t="inlineStr">
        <is>
          <t>tba_parmakIzi</t>
        </is>
      </c>
      <c r="B19" s="63" t="inlineStr">
        <is>
          <t>e06280a23d0445ab</t>
        </is>
      </c>
      <c r="C19" s="24" t="inlineStr">
        <is>
          <t>metin</t>
        </is>
      </c>
      <c r="D19" s="24" t="inlineStr">
        <is>
          <t>Dosya parmak izi etiketi</t>
        </is>
      </c>
      <c r="E19" s="24" t="inlineStr">
        <is>
          <t>Üretim</t>
        </is>
      </c>
      <c r="F19" s="24" t="inlineStr">
        <is>
          <t>01.01.2025</t>
        </is>
      </c>
      <c r="G19" s="24" t="inlineStr">
        <is>
          <t>11.08.2026</t>
        </is>
      </c>
      <c r="H19" s="61">
        <f>IF(A19="","",IF(B19="","EKSİK","TAM"))</f>
        <v/>
      </c>
    </row>
    <row r="20">
      <c r="A20" s="24" t="inlineStr">
        <is>
          <t>dosya_surumu</t>
        </is>
      </c>
      <c r="B20" s="63" t="inlineStr">
        <is>
          <t>1.0.0</t>
        </is>
      </c>
      <c r="C20" s="24" t="inlineStr">
        <is>
          <t>metin</t>
        </is>
      </c>
      <c r="D20" s="24" t="inlineStr">
        <is>
          <t>Ürün sürümü</t>
        </is>
      </c>
      <c r="E20" s="24" t="inlineStr">
        <is>
          <t>ExcelArşiv</t>
        </is>
      </c>
      <c r="F20" s="24" t="inlineStr">
        <is>
          <t>01.01.2025</t>
        </is>
      </c>
      <c r="G20" s="24" t="inlineStr">
        <is>
          <t>11.08.2026</t>
        </is>
      </c>
      <c r="H20" s="61">
        <f>IF(A20="","",IF(B20="","EKSİK","TAM"))</f>
        <v/>
      </c>
    </row>
    <row r="21">
      <c r="A21" s="24" t="inlineStr">
        <is>
          <t>tba_girisBeklenen</t>
        </is>
      </c>
      <c r="B21" s="43" t="n">
        <v>11</v>
      </c>
      <c r="C21" s="24" t="inlineStr">
        <is>
          <t>adet</t>
        </is>
      </c>
      <c r="D21" s="24" t="inlineStr">
        <is>
          <t>Zorunlu giriş alanı sayısı</t>
        </is>
      </c>
      <c r="E21" s="24" t="inlineStr">
        <is>
          <t>Ürün mimarisi</t>
        </is>
      </c>
      <c r="F21" s="24" t="inlineStr">
        <is>
          <t>01.01.2025</t>
        </is>
      </c>
      <c r="G21" s="24" t="inlineStr">
        <is>
          <t>11.08.2026</t>
        </is>
      </c>
      <c r="H21" s="61">
        <f>IF(A21="","",IF(B21="","EKSİK","TAM"))</f>
        <v/>
      </c>
    </row>
    <row r="22">
      <c r="A22" s="24" t="inlineStr">
        <is>
          <t>tba_riskDusuk</t>
        </is>
      </c>
      <c r="B22" s="43" t="n">
        <v>15</v>
      </c>
      <c r="C22" s="24" t="inlineStr">
        <is>
          <t>puan</t>
        </is>
      </c>
      <c r="D22" s="24" t="inlineStr">
        <is>
          <t>Düşük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11.08.2026</t>
        </is>
      </c>
      <c r="H22" s="61">
        <f>IF(A22="","",IF(B22="","EKSİK","TAM"))</f>
        <v/>
      </c>
    </row>
    <row r="23">
      <c r="A23" s="24" t="inlineStr">
        <is>
          <t>tba_riskOrta</t>
        </is>
      </c>
      <c r="B23" s="43" t="n">
        <v>55</v>
      </c>
      <c r="C23" s="24" t="inlineStr">
        <is>
          <t>puan</t>
        </is>
      </c>
      <c r="D23" s="24" t="inlineStr">
        <is>
          <t>Orta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11.08.2026</t>
        </is>
      </c>
      <c r="H23" s="61">
        <f>IF(A23="","",IF(B23="","EKSİK","TAM"))</f>
        <v/>
      </c>
    </row>
    <row r="24">
      <c r="A24" s="24" t="inlineStr">
        <is>
          <t>tba_riskYuksek</t>
        </is>
      </c>
      <c r="B24" s="43" t="n">
        <v>85</v>
      </c>
      <c r="C24" s="24" t="inlineStr">
        <is>
          <t>puan</t>
        </is>
      </c>
      <c r="D24" s="24" t="inlineStr">
        <is>
          <t>Yüksek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11.08.2026</t>
        </is>
      </c>
      <c r="H24" s="61">
        <f>IF(A24="","",IF(B24="","EKSİK","TAM"))</f>
        <v/>
      </c>
    </row>
    <row r="25">
      <c r="A25" s="24" t="inlineStr">
        <is>
          <t>tba_riskEsikOran</t>
        </is>
      </c>
      <c r="B25" s="41" t="n">
        <v>0.5</v>
      </c>
      <c r="C25" s="24" t="inlineStr">
        <is>
          <t>oran</t>
        </is>
      </c>
      <c r="D25" s="24" t="inlineStr">
        <is>
          <t>Yüksek risk kaçırılan/potansiyel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11.08.2026</t>
        </is>
      </c>
      <c r="H25" s="61">
        <f>IF(A25="","",IF(B25="","EKSİK","TAM"))</f>
        <v/>
      </c>
    </row>
    <row r="26">
      <c r="A26" s="24" t="inlineStr">
        <is>
          <t>tba_yilTaban</t>
        </is>
      </c>
      <c r="B26" s="43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11.08.2026</t>
        </is>
      </c>
      <c r="H26" s="61">
        <f>IF(A26="","",IF(B26="","EKSİK","TAM"))</f>
        <v/>
      </c>
    </row>
    <row r="27">
      <c r="A27" s="24" t="inlineStr">
        <is>
          <t>tba_yuvarMax</t>
        </is>
      </c>
      <c r="B27" s="43" t="n">
        <v>10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11.08.2026</t>
        </is>
      </c>
      <c r="H27" s="61">
        <f>IF(A27="","",IF(B27="","EKSİK","TAM"))</f>
        <v/>
      </c>
    </row>
    <row r="28">
      <c r="A28" s="24" t="inlineStr">
        <is>
          <t>tba_azamiMatrahEsik</t>
        </is>
      </c>
      <c r="B28" s="42" t="n">
        <v>100000000</v>
      </c>
      <c r="C28" s="24" t="inlineStr">
        <is>
          <t>TL</t>
        </is>
      </c>
      <c r="D28" s="24" t="inlineStr">
        <is>
          <t>Uç matrah eşiği (Ö2)</t>
        </is>
      </c>
      <c r="E28" s="24" t="inlineStr">
        <is>
          <t>İç politika</t>
        </is>
      </c>
      <c r="F28" s="24" t="inlineStr">
        <is>
          <t>01.01.2025</t>
        </is>
      </c>
      <c r="G28" s="24" t="inlineStr">
        <is>
          <t>11.08.2026</t>
        </is>
      </c>
      <c r="H28" s="61">
        <f>IF(A28="","",IF(B28="","EKSİK","TAM"))</f>
        <v/>
      </c>
    </row>
    <row r="29">
      <c r="A29" s="24" t="inlineStr">
        <is>
          <t>vaka_matrah_1</t>
        </is>
      </c>
      <c r="B29" s="42" t="n">
        <v>300000</v>
      </c>
      <c r="C29" s="24" t="inlineStr">
        <is>
          <t>TL</t>
        </is>
      </c>
      <c r="D29" s="24" t="inlineStr">
        <is>
          <t>Vaka1 5 puan matrah</t>
        </is>
      </c>
      <c r="E29" s="24" t="inlineStr">
        <is>
          <t>Tebliğ örneği</t>
        </is>
      </c>
      <c r="F29" s="24" t="inlineStr">
        <is>
          <t>01.01.2025</t>
        </is>
      </c>
      <c r="G29" s="24" t="inlineStr">
        <is>
          <t>11.08.2026</t>
        </is>
      </c>
      <c r="H29" s="61">
        <f>IF(A29="","",IF(B29="","EKSİK","TAM"))</f>
        <v/>
      </c>
    </row>
    <row r="30">
      <c r="A30" s="24" t="inlineStr">
        <is>
          <t>vaka_matrah_2</t>
        </is>
      </c>
      <c r="B30" s="42" t="n">
        <v>100000</v>
      </c>
      <c r="C30" s="24" t="inlineStr">
        <is>
          <t>TL</t>
        </is>
      </c>
      <c r="D30" s="24" t="inlineStr">
        <is>
          <t>Vaka2 ilave matrah</t>
        </is>
      </c>
      <c r="E30" s="24" t="inlineStr">
        <is>
          <t>Tebliğ örneği</t>
        </is>
      </c>
      <c r="F30" s="24" t="inlineStr">
        <is>
          <t>01.01.2025</t>
        </is>
      </c>
      <c r="G30" s="24" t="inlineStr">
        <is>
          <t>11.08.2026</t>
        </is>
      </c>
      <c r="H30" s="61">
        <f>IF(A30="","",IF(B30="","EKSİK","TAM"))</f>
        <v/>
      </c>
    </row>
    <row r="31">
      <c r="A31" s="24" t="inlineStr">
        <is>
          <t>vaka_tavan</t>
        </is>
      </c>
      <c r="B31" s="42" t="n">
        <v>150000</v>
      </c>
      <c r="C31" s="24" t="inlineStr">
        <is>
          <t>TL</t>
        </is>
      </c>
      <c r="D31" s="24" t="inlineStr">
        <is>
          <t>Vaka4 tavan</t>
        </is>
      </c>
      <c r="E31" s="24" t="inlineStr">
        <is>
          <t>Tebliğ örneği</t>
        </is>
      </c>
      <c r="F31" s="24" t="inlineStr">
        <is>
          <t>01.01.2025</t>
        </is>
      </c>
      <c r="G31" s="24" t="inlineStr">
        <is>
          <t>11.08.2026</t>
        </is>
      </c>
      <c r="H31" s="61">
        <f>IF(A31="","",IF(B31="","EKSİK","TAM"))</f>
        <v/>
      </c>
    </row>
    <row r="33">
      <c r="B33" s="64" t="inlineStr">
        <is>
          <t>Parametre satırları yukarıda; ad tanımları B kolonuna bağlı.</t>
        </is>
      </c>
    </row>
    <row r="35">
      <c r="B35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Teşvikli Bordro ve En Avantajlı Teşvik Seçen</t>
        </is>
      </c>
    </row>
    <row r="3">
      <c r="A3" s="21" t="inlineStr">
        <is>
          <t>Karar kuralları</t>
        </is>
      </c>
    </row>
    <row r="5">
      <c r="A5" s="47" t="inlineStr">
        <is>
          <t>• VERİ YOK — BORDRO satırı yoksa hesap yapılmaz.</t>
        </is>
      </c>
    </row>
    <row r="6">
      <c r="A6" s="47" t="inlineStr">
        <is>
          <t>• UYGUN — mevcut teşvik ≥ potansiyel (kaçırılan = 0).</t>
        </is>
      </c>
    </row>
    <row r="7">
      <c r="A7" s="47" t="inlineStr">
        <is>
          <t>• İNCELE — kaçırılan &gt; 0 ama eşik altında; gözden geçirin.</t>
        </is>
      </c>
    </row>
    <row r="8">
      <c r="A8" s="47" t="inlineStr">
        <is>
          <t>• UYGULA — kaçırılan ≥ eşik; kişi başı en avantajlı teşvik kodunu uygulayın.</t>
        </is>
      </c>
    </row>
    <row r="10">
      <c r="A10" s="65" t="inlineStr">
        <is>
          <t>Belirsizlik beyanları (M05)</t>
        </is>
      </c>
    </row>
    <row r="11">
      <c r="A11" s="66" t="inlineStr">
        <is>
          <t>Bu nokta mevzuatta tartışmalıdır; dosya yorum A ve yorum B sonucunu yan yana gösterir: tesvik_birikim_sirasi</t>
        </is>
      </c>
    </row>
    <row r="13">
      <c r="A13" s="10" t="inlineStr">
        <is>
          <t>Yorum A</t>
        </is>
      </c>
      <c r="B13" s="47" t="inlineStr">
        <is>
          <t>Uygun teşvik kalemleri birikimli toplanır (5 puan + ilave + kadın/genç + engelli). Bu nokta mevzuatta tartışmalıdır; sonuç yorum B ile yan yana okunmalıdır.</t>
        </is>
      </c>
    </row>
    <row r="14">
      <c r="A14" s="10" t="inlineStr">
        <is>
          <t>Yorum B</t>
        </is>
      </c>
      <c r="B14" s="47" t="inlineStr">
        <is>
          <t>Aynı dönemde yalnızca en yüksek tek teşvik kalemi alınır. Dosya her iki yorumun sonucunu MOTOR'da üretir.</t>
        </is>
      </c>
    </row>
    <row r="16">
      <c r="A16" s="10" t="inlineStr">
        <is>
          <t>Kullanım sırası</t>
        </is>
      </c>
    </row>
    <row r="17">
      <c r="A17" s="47" t="inlineStr">
        <is>
          <t>GIRDI → BORDRO (çalışan satırları) → KURALLAR → MOTOR → SENARYO → VAKALAR → PANO → KANIT_RAPORU → AYARLAR.</t>
        </is>
      </c>
    </row>
    <row r="19">
      <c r="A19" s="67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2026-08-14T18:08:06Z</dcterms:created>
  <dcterms:modified xmlns:dcterms="http://purl.org/dc/terms/" xmlns:xsi="http://www.w3.org/2001/XMLSchema-instance" xsi:type="dcterms:W3CDTF">2026-09-25T14:23:30Z</dcterms:modified>
</cp:coreProperties>
</file>