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comments/comment7.xml" ContentType="application/vnd.openxmlformats-officedocument.spreadsheetml.comments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comments/comment8.xml" ContentType="application/vnd.openxmlformats-officedocument.spreadsheetml.comments+xml"/>
  <Override PartName="/xl/worksheets/sheet21.xml" ContentType="application/vnd.openxmlformats-officedocument.spreadsheetml.worksheet+xml"/>
  <Override PartName="/xl/comments/comment9.xml" ContentType="application/vnd.openxmlformats-officedocument.spreadsheetml.comments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GIRDI" sheetId="10" state="visible" r:id="rId10"/>
    <sheet xmlns:r="http://schemas.openxmlformats.org/officeDocument/2006/relationships" name="BORDRO" sheetId="11" state="visible" r:id="rId11"/>
    <sheet xmlns:r="http://schemas.openxmlformats.org/officeDocument/2006/relationships" name="MATRIS" sheetId="12" state="visible" r:id="rId12"/>
    <sheet xmlns:r="http://schemas.openxmlformats.org/officeDocument/2006/relationships" name="KURAL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SENARYO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hesapYili">GIRDI!$B$8</definedName>
    <definedName name="raporTarihi">AYARLAR!$B$7</definedName>
    <definedName name="tbo_oranBesPuan">MOTOR!$G$8</definedName>
    <definedName name="tbo_oranIlave">MOTOR!$G$9</definedName>
    <definedName name="tbo_oranKadinGenc">MOTOR!$G$11</definedName>
    <definedName name="tbo_mevcutTesvik">MOTOR!$G$19</definedName>
    <definedName name="tbo_potansiyelTasarruf">MOTOR!$G$28</definedName>
    <definedName name="tbo_kacirilan">MOTOR!$G$30</definedName>
    <definedName name="tbo_kararMetni">MOTOR!$G$34</definedName>
    <definedName name="tbo_kararGerekce">MOTOR!$G$35</definedName>
    <definedName name="tbo_maddeAtifMetni">MOTOR!$G$52</definedName>
    <definedName name="tbo_kanitRaporu">MOTOR!$G$53</definedName>
    <definedName name="tbo_kuralYilMatris">KURALLAR!$B$17</definedName>
    <definedName name="tbo_parmakIzi">AYARLAR!$B$19</definedName>
    <definedName name="tbo_senaryoKarsilastirma">SENARYO!$B$14</definedName>
    <definedName name="tbo_yorumSenaryo">SENARYO!$B$15</definedName>
    <definedName name="tbo_duyarlilikSira">SENARYO!$B$23</definedName>
    <definedName name="tbo_yorumDuyarlilik">SENARYO!$B$24</definedName>
    <definedName name="tbo_kuralDegisimSenaryo">SENARYO!$B$26</definedName>
    <definedName name="tbo_yorumKuralDegisim">SENARYO!$B$27</definedName>
    <definedName name="tbo_tahminAralik">SENARYO!$B$40</definedName>
    <definedName name="tbo_yorumTahmin">SENARYO!$B$41</definedName>
    <definedName name="tbo_kisiKodMatris">MATRIS!$R$7</definedName>
    <definedName name="tbo_vakaDurum">VAKALAR!$B$12</definedName>
    <definedName name="tbo_vakaFark">VAKALAR!$B$13</definedName>
    <definedName name="tbo_tolerans">AYARLAR!$B$8</definedName>
    <definedName name="tbo_kacirilanEsik">AYARLAR!$B$9</definedName>
    <definedName name="tbo_senaryoIyi">AYARLAR!$B$10</definedName>
    <definedName name="tbo_senaryoKotu">AYARLAR!$B$11</definedName>
    <definedName name="tbo_oranArtisPuan">AYARLAR!$B$12</definedName>
    <definedName name="tbo_tahminAlt">AYARLAR!$B$13</definedName>
    <definedName name="tbo_tahminUst">AYARLAR!$B$14</definedName>
    <definedName name="tbo_tornadoMatrah">AYARLAR!$B$15</definedName>
    <definedName name="tbo_tornadoMevcut">AYARLAR!$B$16</definedName>
    <definedName name="tbo_isverenOran">AYARLAR!$B$17</definedName>
    <definedName name="tbo_yuzdelikOran">AYARLAR!$B$18</definedName>
    <definedName name="tbo_girisBeklenen">AYARLAR!$B$21</definedName>
    <definedName name="tbo_riskDusuk">AYARLAR!$B$22</definedName>
    <definedName name="tbo_riskOrta">AYARLAR!$B$23</definedName>
    <definedName name="tbo_riskYuksek">AYARLAR!$B$24</definedName>
    <definedName name="tbo_riskEsikOran">AYARLAR!$B$25</definedName>
    <definedName name="tbo_yilTaban">AYARLAR!$B$26</definedName>
    <definedName name="tbo_yuvarMax">AYARLAR!$B$27</definedName>
    <definedName name="tbo_azamiMatrahEsik">AYARLAR!$B$28</definedName>
    <definedName name="vaka_matrah_1">AYARLAR!$B$29</definedName>
    <definedName name="vaka_matrah_2">AYARLAR!$B$30</definedName>
    <definedName name="vaka_tavan">AYARLAR!$B$31</definedName>
    <definedName name="tbo_modulT1">PANO!$C$11</definedName>
    <definedName name="tbo_modulT1Yorum">PANO!$D$11</definedName>
    <definedName name="tbo_modulT2">PANO!$C$12</definedName>
    <definedName name="tbo_modulT2Yorum">PANO!$D$12</definedName>
    <definedName name="tbo_modulO1">PANO!$C$13</definedName>
    <definedName name="tbo_modulO1Yorum">PANO!$D$13</definedName>
    <definedName name="tbo_modulO6">PANO!$C$16</definedName>
    <definedName name="tbo_modulO6Yorum">PANO!$D$16</definedName>
    <definedName name="tbo_modulO8">PANO!$C$17</definedName>
    <definedName name="tbo_modulO8Yorum">PANO!$D$17</definedName>
    <definedName name="tbo_modulI2">PANO!$C$20</definedName>
    <definedName name="tbo_modulI2Yorum">PANO!$D$20</definedName>
    <definedName name="ListeYillar">LISTELER!$A$6:$A$8</definedName>
    <definedName name="ListeYorumAB">LISTELER!$C$6:$C$7</definedName>
    <definedName name="ListeEvetHayir">LISTELER!$E$6:$E$7</definedName>
    <definedName name="ListeTesvikKod">LISTELER!$G$6:$G$10</definedName>
    <definedName name="tbo_bordroSatir">BORDRO!$A$6</definedName>
    <definedName name="tbo_enAvantajli">MATRIS!$R$5</definedName>
    <definedName name="tbo_kararKapi">MOTOR!$G$34</definedName>
    <definedName name="_xlnm.Print_Area" localSheetId="16">'KANIT_RAPORU'!$A$1:$F$33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  <numFmt numFmtId="170" formatCode="0.00&quot;x&quot;"/>
  </numFmts>
  <fonts count="12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F2742"/>
      <sz val="10"/>
    </font>
    <font>
      <name val="Segoe UI"/>
      <color rgb="00006100"/>
      <sz val="10"/>
    </font>
    <font>
      <name val="Segoe UI"/>
      <b val="1"/>
      <color rgb="000F2742"/>
      <sz val="12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595959"/>
      <sz val="10"/>
    </font>
    <font>
      <name val="Segoe UI"/>
      <b val="1"/>
      <color rgb="000F2742"/>
      <sz val="13"/>
    </font>
    <font>
      <name val="Segoe UI"/>
      <color rgb="00333333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color rgb="00595959"/>
      <sz val="9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0" applyAlignment="1" applyProtection="1" pivotButton="0" quotePrefix="0" xfId="0">
      <alignment horizontal="left" vertical="center"/>
      <protection locked="0" hidden="0"/>
    </xf>
    <xf numFmtId="3" fontId="15" fillId="4" borderId="0" applyAlignment="1" applyProtection="1" pivotButton="0" quotePrefix="0" xfId="0">
      <alignment horizontal="left" vertical="center"/>
      <protection locked="0" hidden="0"/>
    </xf>
    <xf numFmtId="164" fontId="15" fillId="4" borderId="0" applyAlignment="1" applyProtection="1" pivotButton="0" quotePrefix="0" xfId="0">
      <alignment horizontal="left" vertical="center"/>
      <protection locked="0" hidden="0"/>
    </xf>
    <xf numFmtId="164" fontId="1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165" fontId="14" fillId="4" borderId="0" applyAlignment="1" applyProtection="1" pivotButton="0" quotePrefix="0" xfId="0">
      <alignment horizontal="left" vertical="center"/>
      <protection locked="0" hidden="0"/>
    </xf>
    <xf numFmtId="164" fontId="14" fillId="4" borderId="0" applyAlignment="1" applyProtection="1" pivotButton="0" quotePrefix="0" xfId="0">
      <alignment horizontal="left" vertical="center"/>
      <protection locked="0" hidden="0"/>
    </xf>
    <xf numFmtId="3" fontId="14" fillId="4" borderId="0" applyAlignment="1" applyProtection="1" pivotButton="0" quotePrefix="0" xfId="0">
      <alignment horizontal="left" vertical="center"/>
      <protection locked="0" hidden="0"/>
    </xf>
    <xf numFmtId="3" fontId="11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1" fillId="4" borderId="0" applyAlignment="1" applyProtection="1" pivotButton="0" quotePrefix="0" xfId="0">
      <alignment horizontal="left" vertical="center"/>
      <protection locked="0" hidden="0"/>
    </xf>
    <xf numFmtId="0" fontId="18" fillId="0" borderId="0" applyAlignment="1" pivotButton="0" quotePrefix="0" xfId="0">
      <alignment horizontal="left" vertical="center" wrapText="1"/>
    </xf>
    <xf numFmtId="3" fontId="16" fillId="0" borderId="0" applyAlignment="1" pivotButton="0" quotePrefix="0" xfId="0">
      <alignment horizontal="left" vertical="center"/>
    </xf>
    <xf numFmtId="3" fontId="11" fillId="4" borderId="0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center" vertical="center"/>
    </xf>
    <xf numFmtId="166" fontId="14" fillId="4" borderId="0" applyAlignment="1" applyProtection="1" pivotButton="0" quotePrefix="0" xfId="0">
      <alignment horizontal="left" vertical="center"/>
      <protection locked="0" hidden="0"/>
    </xf>
    <xf numFmtId="0" fontId="14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0" pivotButton="0" quotePrefix="0" xfId="0"/>
    <xf numFmtId="0" fontId="24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9" fillId="8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" fillId="7" borderId="0" applyAlignment="1" pivotButton="0" quotePrefix="0" xfId="0">
      <alignment horizontal="center" vertical="center"/>
    </xf>
    <xf numFmtId="0" fontId="31" fillId="0" borderId="0" pivotButton="0" quotePrefix="0" xfId="0"/>
    <xf numFmtId="167" fontId="31" fillId="0" borderId="0" pivotButton="0" quotePrefix="0" xfId="0"/>
    <xf numFmtId="167" fontId="32" fillId="0" borderId="0" pivotButton="0" quotePrefix="0" xfId="0"/>
    <xf numFmtId="168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32" fillId="0" borderId="0" pivotButton="0" quotePrefix="0" xfId="0"/>
    <xf numFmtId="0" fontId="36" fillId="9" borderId="2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2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3" pivotButton="0" quotePrefix="0" xfId="0"/>
    <xf numFmtId="0" fontId="0" fillId="0" borderId="2" pivotButton="0" quotePrefix="0" xfId="0"/>
    <xf numFmtId="0" fontId="41" fillId="11" borderId="2" applyAlignment="1" pivotButton="0" quotePrefix="0" xfId="0">
      <alignment horizontal="center"/>
    </xf>
    <xf numFmtId="0" fontId="28" fillId="0" borderId="4" pivotButton="0" quotePrefix="0" xfId="0"/>
    <xf numFmtId="0" fontId="43" fillId="12" borderId="2" applyAlignment="1" pivotButton="0" quotePrefix="0" xfId="0">
      <alignment horizontal="center"/>
    </xf>
    <xf numFmtId="0" fontId="42" fillId="13" borderId="2" applyAlignment="1" pivotButton="0" quotePrefix="0" xfId="0">
      <alignment horizontal="center"/>
    </xf>
    <xf numFmtId="0" fontId="28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4" fillId="0" borderId="3" pivotButton="0" quotePrefix="0" xfId="0"/>
    <xf numFmtId="0" fontId="44" fillId="0" borderId="4" pivotButton="0" quotePrefix="0" xfId="0"/>
    <xf numFmtId="0" fontId="45" fillId="0" borderId="5" pivotButton="0" quotePrefix="0" xfId="0"/>
    <xf numFmtId="0" fontId="42" fillId="0" borderId="3" pivotButton="0" quotePrefix="0" xfId="0"/>
    <xf numFmtId="0" fontId="37" fillId="0" borderId="4" pivotButton="0" quotePrefix="0" xfId="0"/>
    <xf numFmtId="0" fontId="42" fillId="0" borderId="5" pivotButton="0" quotePrefix="0" xfId="0"/>
    <xf numFmtId="0" fontId="46" fillId="14" borderId="0" applyAlignment="1" pivotButton="0" quotePrefix="0" xfId="0">
      <alignment horizontal="center"/>
    </xf>
    <xf numFmtId="0" fontId="47" fillId="0" borderId="0" pivotButton="0" quotePrefix="0" xfId="0"/>
    <xf numFmtId="0" fontId="46" fillId="15" borderId="0" applyAlignment="1" pivotButton="0" quotePrefix="0" xfId="0">
      <alignment horizontal="center" vertical="center"/>
    </xf>
    <xf numFmtId="0" fontId="47" fillId="0" borderId="2" pivotButton="0" quotePrefix="0" xfId="0"/>
    <xf numFmtId="0" fontId="48" fillId="0" borderId="2" pivotButton="0" quotePrefix="0" xfId="0"/>
    <xf numFmtId="0" fontId="49" fillId="0" borderId="2" pivotButton="0" quotePrefix="0" xfId="0"/>
    <xf numFmtId="0" fontId="50" fillId="16" borderId="2" applyAlignment="1" pivotButton="0" quotePrefix="0" xfId="0">
      <alignment horizontal="center"/>
    </xf>
    <xf numFmtId="0" fontId="46" fillId="7" borderId="0" pivotButton="0" quotePrefix="0" xfId="0"/>
    <xf numFmtId="0" fontId="51" fillId="7" borderId="0" pivotButton="0" quotePrefix="0" xfId="0"/>
    <xf numFmtId="0" fontId="52" fillId="7" borderId="0" pivotButton="0" quotePrefix="0" xfId="0"/>
    <xf numFmtId="0" fontId="0" fillId="7" borderId="0" pivotButton="0" quotePrefix="0" xfId="0"/>
    <xf numFmtId="0" fontId="25" fillId="7" borderId="0" applyAlignment="1" pivotButton="0" quotePrefix="0" xfId="0">
      <alignment horizontal="center"/>
    </xf>
    <xf numFmtId="0" fontId="40" fillId="0" borderId="0" pivotButton="0" quotePrefix="0" xfId="0"/>
    <xf numFmtId="0" fontId="55" fillId="17" borderId="0" pivotButton="0" quotePrefix="0" xfId="0"/>
    <xf numFmtId="0" fontId="0" fillId="17" borderId="0" pivotButton="0" quotePrefix="0" xfId="0"/>
    <xf numFmtId="0" fontId="42" fillId="0" borderId="0" pivotButton="0" quotePrefix="0" xfId="0"/>
    <xf numFmtId="0" fontId="3" fillId="17" borderId="0" pivotButton="0" quotePrefix="0" xfId="0"/>
    <xf numFmtId="0" fontId="56" fillId="17" borderId="0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13" borderId="6" applyAlignment="1" pivotButton="0" quotePrefix="0" xfId="0">
      <alignment horizontal="center" vertical="center"/>
    </xf>
    <xf numFmtId="0" fontId="57" fillId="18" borderId="0" applyAlignment="1" pivotButton="0" quotePrefix="0" xfId="0">
      <alignment horizontal="center" vertical="center"/>
    </xf>
    <xf numFmtId="0" fontId="22" fillId="19" borderId="2" applyAlignment="1" pivotButton="0" quotePrefix="0" xfId="0">
      <alignment vertical="center"/>
    </xf>
    <xf numFmtId="0" fontId="41" fillId="11" borderId="0" applyAlignment="1" pivotButton="0" quotePrefix="0" xfId="0">
      <alignment horizontal="center" vertical="center"/>
    </xf>
    <xf numFmtId="0" fontId="42" fillId="13" borderId="0" applyAlignment="1" pivotButton="0" quotePrefix="0" xfId="0">
      <alignment horizontal="center" vertical="center"/>
    </xf>
    <xf numFmtId="0" fontId="58" fillId="7" borderId="0" applyAlignment="1" pivotButton="0" quotePrefix="0" xfId="0">
      <alignment horizontal="center" vertical="center"/>
    </xf>
    <xf numFmtId="0" fontId="59" fillId="19" borderId="2" applyAlignment="1" pivotButton="0" quotePrefix="0" xfId="0">
      <alignment horizontal="center"/>
    </xf>
    <xf numFmtId="0" fontId="60" fillId="19" borderId="2" applyAlignment="1" pivotButton="0" quotePrefix="0" xfId="0">
      <alignment horizontal="center"/>
    </xf>
    <xf numFmtId="0" fontId="59" fillId="19" borderId="2" pivotButton="0" quotePrefix="0" xfId="0"/>
    <xf numFmtId="169" fontId="60" fillId="19" borderId="2" applyAlignment="1" pivotButton="0" quotePrefix="0" xfId="0">
      <alignment horizontal="right"/>
    </xf>
    <xf numFmtId="9" fontId="59" fillId="19" borderId="2" applyAlignment="1" pivotButton="0" quotePrefix="0" xfId="0">
      <alignment horizontal="center"/>
    </xf>
    <xf numFmtId="169" fontId="59" fillId="19" borderId="2" applyAlignment="1" pivotButton="0" quotePrefix="0" xfId="0">
      <alignment horizontal="right"/>
    </xf>
    <xf numFmtId="0" fontId="42" fillId="19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60" fillId="18" borderId="2" applyAlignment="1" pivotButton="0" quotePrefix="0" xfId="0">
      <alignment horizontal="center"/>
    </xf>
    <xf numFmtId="0" fontId="59" fillId="18" borderId="2" pivotButton="0" quotePrefix="0" xfId="0"/>
    <xf numFmtId="169" fontId="60" fillId="18" borderId="2" applyAlignment="1" pivotButton="0" quotePrefix="0" xfId="0">
      <alignment horizontal="right"/>
    </xf>
    <xf numFmtId="9" fontId="59" fillId="18" borderId="2" applyAlignment="1" pivotButton="0" quotePrefix="0" xfId="0">
      <alignment horizontal="center"/>
    </xf>
    <xf numFmtId="169" fontId="59" fillId="18" borderId="2" applyAlignment="1" pivotButton="0" quotePrefix="0" xfId="0">
      <alignment horizontal="right"/>
    </xf>
    <xf numFmtId="0" fontId="47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43" fillId="18" borderId="2" applyAlignment="1" pivotButton="0" quotePrefix="0" xfId="0">
      <alignment horizontal="center"/>
    </xf>
    <xf numFmtId="0" fontId="3" fillId="7" borderId="0" applyAlignment="1" pivotButton="0" quotePrefix="0" xfId="0">
      <alignment vertical="center" indent="1"/>
    </xf>
    <xf numFmtId="169" fontId="61" fillId="7" borderId="0" applyAlignment="1" pivotButton="0" quotePrefix="0" xfId="0">
      <alignment horizontal="right" vertical="center"/>
    </xf>
    <xf numFmtId="0" fontId="62" fillId="0" borderId="7" pivotButton="0" quotePrefix="0" xfId="0"/>
    <xf numFmtId="0" fontId="63" fillId="0" borderId="7" pivotButton="0" quotePrefix="0" xfId="0"/>
    <xf numFmtId="0" fontId="64" fillId="0" borderId="7" pivotButton="0" quotePrefix="0" xfId="0"/>
    <xf numFmtId="0" fontId="65" fillId="20" borderId="2" applyAlignment="1" pivotButton="0" quotePrefix="0" xfId="0">
      <alignment horizontal="center" vertical="center"/>
    </xf>
    <xf numFmtId="0" fontId="69" fillId="11" borderId="2" applyAlignment="1" pivotButton="0" quotePrefix="0" xfId="0">
      <alignment horizontal="center" vertical="center"/>
    </xf>
    <xf numFmtId="0" fontId="66" fillId="0" borderId="2" pivotButton="0" quotePrefix="0" xfId="0"/>
    <xf numFmtId="0" fontId="65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40" fillId="0" borderId="2" applyAlignment="1" pivotButton="0" quotePrefix="0" xfId="0">
      <alignment horizontal="right"/>
    </xf>
    <xf numFmtId="0" fontId="67" fillId="0" borderId="2" applyAlignment="1" pivotButton="0" quotePrefix="0" xfId="0">
      <alignment horizontal="right"/>
    </xf>
    <xf numFmtId="0" fontId="68" fillId="12" borderId="8" applyAlignment="1" pivotButton="0" quotePrefix="0" xfId="0">
      <alignment horizontal="center" vertical="center"/>
    </xf>
    <xf numFmtId="0" fontId="70" fillId="11" borderId="9" applyAlignment="1" pivotButton="0" quotePrefix="0" xfId="0">
      <alignment horizontal="center" vertical="center"/>
    </xf>
    <xf numFmtId="0" fontId="66" fillId="0" borderId="0" pivotButton="0" quotePrefix="0" xfId="0"/>
    <xf numFmtId="0" fontId="71" fillId="21" borderId="0" applyAlignment="1" pivotButton="0" quotePrefix="0" xfId="0">
      <alignment horizontal="left" vertical="center" wrapText="1"/>
    </xf>
    <xf numFmtId="0" fontId="72" fillId="22" borderId="0" applyAlignment="1" pivotButton="0" quotePrefix="0" xfId="0">
      <alignment vertical="center" wrapText="1"/>
    </xf>
    <xf numFmtId="0" fontId="73" fillId="23" borderId="0" applyAlignment="1" pivotButton="0" quotePrefix="0" xfId="0">
      <alignment vertical="top" wrapText="1"/>
    </xf>
    <xf numFmtId="0" fontId="74" fillId="0" borderId="0" applyAlignment="1" pivotButton="0" quotePrefix="0" xfId="0">
      <alignment vertical="top" wrapText="1"/>
    </xf>
    <xf numFmtId="0" fontId="75" fillId="21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horizontal="left" vertical="center" wrapText="1"/>
    </xf>
    <xf numFmtId="0" fontId="72" fillId="24" borderId="0" applyAlignment="1" pivotButton="0" quotePrefix="0" xfId="0">
      <alignment vertical="center" wrapText="1"/>
    </xf>
    <xf numFmtId="0" fontId="76" fillId="25" borderId="0" applyAlignment="1" pivotButton="0" quotePrefix="0" xfId="0">
      <alignment vertical="top" wrapText="1"/>
    </xf>
    <xf numFmtId="0" fontId="71" fillId="26" borderId="0" applyAlignment="1" pivotButton="0" quotePrefix="0" xfId="0">
      <alignment horizontal="left" vertical="center" wrapText="1"/>
    </xf>
    <xf numFmtId="0" fontId="72" fillId="26" borderId="0" applyAlignment="1" pivotButton="0" quotePrefix="0" xfId="0">
      <alignment vertical="center" wrapText="1"/>
    </xf>
    <xf numFmtId="0" fontId="77" fillId="27" borderId="0" applyAlignment="1" pivotButton="0" quotePrefix="0" xfId="0">
      <alignment vertical="top" wrapText="1"/>
    </xf>
    <xf numFmtId="0" fontId="78" fillId="25" borderId="0" applyAlignment="1" pivotButton="0" quotePrefix="0" xfId="0">
      <alignment vertical="top" wrapText="1"/>
    </xf>
    <xf numFmtId="0" fontId="79" fillId="0" borderId="0" applyAlignment="1" pivotButton="0" quotePrefix="0" xfId="0">
      <alignment vertical="top" wrapText="1"/>
    </xf>
    <xf numFmtId="0" fontId="71" fillId="28" borderId="0" applyAlignment="1" pivotButton="0" quotePrefix="0" xfId="0">
      <alignment horizontal="left" vertical="center"/>
    </xf>
    <xf numFmtId="0" fontId="72" fillId="28" borderId="0" applyAlignment="1" pivotButton="0" quotePrefix="0" xfId="0">
      <alignment vertical="center" wrapText="1"/>
    </xf>
    <xf numFmtId="0" fontId="80" fillId="29" borderId="0" applyAlignment="1" pivotButton="0" quotePrefix="0" xfId="0">
      <alignment vertical="top" wrapText="1"/>
    </xf>
    <xf numFmtId="0" fontId="81" fillId="30" borderId="0" applyAlignment="1" pivotButton="0" quotePrefix="0" xfId="0">
      <alignment vertical="top" wrapText="1"/>
    </xf>
    <xf numFmtId="0" fontId="71" fillId="31" borderId="0" applyAlignment="1" pivotButton="0" quotePrefix="0" xfId="0">
      <alignment horizontal="left" vertical="center"/>
    </xf>
    <xf numFmtId="0" fontId="72" fillId="31" borderId="0" applyAlignment="1" pivotButton="0" quotePrefix="0" xfId="0">
      <alignment vertical="center" wrapText="1"/>
    </xf>
    <xf numFmtId="0" fontId="82" fillId="30" borderId="0" applyAlignment="1" pivotButton="0" quotePrefix="0" xfId="0">
      <alignment vertical="top" wrapText="1"/>
    </xf>
    <xf numFmtId="0" fontId="71" fillId="32" borderId="0" applyAlignment="1" pivotButton="0" quotePrefix="0" xfId="0">
      <alignment horizontal="left" vertical="center"/>
    </xf>
    <xf numFmtId="0" fontId="72" fillId="32" borderId="0" applyAlignment="1" pivotButton="0" quotePrefix="0" xfId="0">
      <alignment vertical="center" wrapText="1"/>
    </xf>
    <xf numFmtId="0" fontId="83" fillId="33" borderId="0" applyAlignment="1" pivotButton="0" quotePrefix="0" xfId="0">
      <alignment vertical="top" wrapText="1"/>
    </xf>
    <xf numFmtId="0" fontId="84" fillId="0" borderId="0" applyAlignment="1" pivotButton="0" quotePrefix="0" xfId="0">
      <alignment vertical="top" wrapText="1"/>
    </xf>
    <xf numFmtId="169" fontId="24" fillId="0" borderId="3" pivotButton="0" quotePrefix="0" xfId="0"/>
    <xf numFmtId="169" fontId="44" fillId="0" borderId="4" pivotButton="0" quotePrefix="0" xfId="0"/>
    <xf numFmtId="169" fontId="47" fillId="0" borderId="2" pivotButton="0" quotePrefix="0" xfId="0"/>
    <xf numFmtId="169" fontId="48" fillId="0" borderId="2" pivotButton="0" quotePrefix="0" xfId="0"/>
    <xf numFmtId="169" fontId="51" fillId="7" borderId="0" pivotButton="0" quotePrefix="0" xfId="0"/>
    <xf numFmtId="169" fontId="52" fillId="7" borderId="0" pivotButton="0" quotePrefix="0" xfId="0"/>
    <xf numFmtId="169" fontId="70" fillId="9" borderId="2" applyAlignment="1" pivotButton="0" quotePrefix="0" xfId="0">
      <alignment horizontal="right"/>
    </xf>
    <xf numFmtId="169" fontId="40" fillId="0" borderId="2" applyAlignment="1" pivotButton="0" quotePrefix="0" xfId="0">
      <alignment horizontal="right"/>
    </xf>
    <xf numFmtId="169" fontId="67" fillId="0" borderId="2" applyAlignment="1" pivotButton="0" quotePrefix="0" xfId="0">
      <alignment horizontal="right"/>
    </xf>
    <xf numFmtId="170" fontId="67" fillId="0" borderId="2" applyAlignment="1" pivotButton="0" quotePrefix="0" xfId="0">
      <alignment horizontal="right"/>
    </xf>
    <xf numFmtId="0" fontId="85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6" fillId="0" borderId="0" applyAlignment="1" pivotButton="0" quotePrefix="0" xfId="0">
      <alignment horizontal="left" vertical="center"/>
    </xf>
    <xf numFmtId="0" fontId="40" fillId="18" borderId="2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87" fillId="18" borderId="2" applyAlignment="1" pivotButton="0" quotePrefix="0" xfId="0">
      <alignment horizontal="center" vertical="center"/>
    </xf>
    <xf numFmtId="0" fontId="58" fillId="1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88" fillId="18" borderId="35" applyAlignment="1" pivotButton="0" quotePrefix="0" xfId="0">
      <alignment vertical="center" indent="1"/>
    </xf>
    <xf numFmtId="0" fontId="0" fillId="18" borderId="36" pivotButton="0" quotePrefix="0" xfId="0"/>
    <xf numFmtId="0" fontId="89" fillId="11" borderId="2" applyAlignment="1" pivotButton="0" quotePrefix="0" xfId="0">
      <alignment horizontal="center" vertical="center"/>
    </xf>
    <xf numFmtId="0" fontId="88" fillId="18" borderId="44" applyAlignment="1" pivotButton="0" quotePrefix="0" xfId="0">
      <alignment vertical="center" indent="1"/>
    </xf>
    <xf numFmtId="0" fontId="91" fillId="12" borderId="2" applyAlignment="1" pivotButton="0" quotePrefix="0" xfId="0">
      <alignment horizontal="center" vertical="center"/>
    </xf>
    <xf numFmtId="0" fontId="88" fillId="18" borderId="47" applyAlignment="1" pivotButton="0" quotePrefix="0" xfId="0">
      <alignment vertical="center" indent="1"/>
    </xf>
    <xf numFmtId="0" fontId="93" fillId="35" borderId="2" applyAlignment="1" pivotButton="0" quotePrefix="0" xfId="0">
      <alignment horizontal="center" vertical="center"/>
    </xf>
    <xf numFmtId="0" fontId="88" fillId="18" borderId="50" applyAlignment="1" pivotButton="0" quotePrefix="0" xfId="0">
      <alignment vertical="center" indent="1"/>
    </xf>
    <xf numFmtId="0" fontId="94" fillId="36" borderId="2" applyAlignment="1" pivotButton="0" quotePrefix="0" xfId="0">
      <alignment horizontal="center" vertical="center"/>
    </xf>
    <xf numFmtId="0" fontId="0" fillId="18" borderId="38" pivotButton="0" quotePrefix="0" xfId="0"/>
    <xf numFmtId="0" fontId="0" fillId="18" borderId="39" pivotButton="0" quotePrefix="0" xfId="0"/>
    <xf numFmtId="0" fontId="0" fillId="18" borderId="40" pivotButton="0" quotePrefix="0" xfId="0"/>
    <xf numFmtId="0" fontId="0" fillId="18" borderId="45" pivotButton="0" quotePrefix="0" xfId="0"/>
    <xf numFmtId="0" fontId="0" fillId="18" borderId="48" pivotButton="0" quotePrefix="0" xfId="0"/>
    <xf numFmtId="0" fontId="0" fillId="18" borderId="51" pivotButton="0" quotePrefix="0" xfId="0"/>
    <xf numFmtId="169" fontId="90" fillId="18" borderId="38" applyAlignment="1" pivotButton="0" quotePrefix="0" xfId="0">
      <alignment vertical="center" indent="1"/>
    </xf>
    <xf numFmtId="169" fontId="92" fillId="18" borderId="45" applyAlignment="1" pivotButton="0" quotePrefix="0" xfId="0">
      <alignment vertical="center" indent="1"/>
    </xf>
    <xf numFmtId="169" fontId="90" fillId="18" borderId="48" applyAlignment="1" pivotButton="0" quotePrefix="0" xfId="0">
      <alignment vertical="center" indent="1"/>
    </xf>
    <xf numFmtId="0" fontId="90" fillId="18" borderId="51" applyAlignment="1" pivotButton="0" quotePrefix="0" xfId="0">
      <alignment vertical="center" indent="1"/>
    </xf>
    <xf numFmtId="0" fontId="37" fillId="18" borderId="41" applyAlignment="1" pivotButton="0" quotePrefix="0" xfId="0">
      <alignment vertical="center" indent="1"/>
    </xf>
    <xf numFmtId="0" fontId="0" fillId="18" borderId="42" pivotButton="0" quotePrefix="0" xfId="0"/>
    <xf numFmtId="0" fontId="0" fillId="18" borderId="43" pivotButton="0" quotePrefix="0" xfId="0"/>
    <xf numFmtId="0" fontId="37" fillId="18" borderId="46" applyAlignment="1" pivotButton="0" quotePrefix="0" xfId="0">
      <alignment vertical="center" indent="1"/>
    </xf>
    <xf numFmtId="0" fontId="37" fillId="18" borderId="49" applyAlignment="1" pivotButton="0" quotePrefix="0" xfId="0">
      <alignment vertical="center" indent="1"/>
    </xf>
    <xf numFmtId="0" fontId="37" fillId="18" borderId="52" applyAlignment="1" pivotButton="0" quotePrefix="0" xfId="0">
      <alignment vertical="center" indent="1"/>
    </xf>
    <xf numFmtId="0" fontId="95" fillId="0" borderId="0" pivotButton="0" quotePrefix="0" xfId="0"/>
    <xf numFmtId="0" fontId="96" fillId="35" borderId="2" applyAlignment="1" pivotButton="0" quotePrefix="0" xfId="0">
      <alignment horizontal="center" vertical="center"/>
    </xf>
    <xf numFmtId="0" fontId="97" fillId="19" borderId="2" applyAlignment="1" pivotButton="0" quotePrefix="0" xfId="0">
      <alignment horizontal="center" vertical="center"/>
    </xf>
    <xf numFmtId="0" fontId="58" fillId="7" borderId="53" applyAlignment="1" pivotButton="0" quotePrefix="0" xfId="0">
      <alignment horizontal="left" vertical="center" indent="1"/>
    </xf>
    <xf numFmtId="0" fontId="58" fillId="7" borderId="53" applyAlignment="1" pivotButton="0" quotePrefix="0" xfId="0">
      <alignment horizontal="center" vertical="center"/>
    </xf>
    <xf numFmtId="0" fontId="98" fillId="18" borderId="2" applyAlignment="1" pivotButton="0" quotePrefix="0" xfId="0">
      <alignment horizontal="center" vertical="center"/>
    </xf>
    <xf numFmtId="0" fontId="40" fillId="18" borderId="2" applyAlignment="1" pivotButton="0" quotePrefix="0" xfId="0">
      <alignment vertical="center" indent="1"/>
    </xf>
    <xf numFmtId="169" fontId="40" fillId="18" borderId="2" applyAlignment="1" pivotButton="0" quotePrefix="0" xfId="0">
      <alignment horizontal="right" vertical="center"/>
    </xf>
    <xf numFmtId="169" fontId="65" fillId="18" borderId="2" applyAlignment="1" pivotButton="0" quotePrefix="0" xfId="0">
      <alignment horizontal="right" vertical="center"/>
    </xf>
    <xf numFmtId="0" fontId="99" fillId="18" borderId="2" applyAlignment="1" pivotButton="0" quotePrefix="0" xfId="0">
      <alignment horizontal="center" vertical="center"/>
    </xf>
    <xf numFmtId="0" fontId="100" fillId="35" borderId="2" applyAlignment="1" pivotButton="0" quotePrefix="0" xfId="0">
      <alignment horizontal="center" vertical="center"/>
    </xf>
    <xf numFmtId="0" fontId="0" fillId="18" borderId="2" pivotButton="0" quotePrefix="0" xfId="0"/>
    <xf numFmtId="0" fontId="98" fillId="19" borderId="2" applyAlignment="1" pivotButton="0" quotePrefix="0" xfId="0">
      <alignment horizontal="center" vertical="center"/>
    </xf>
    <xf numFmtId="0" fontId="40" fillId="19" borderId="2" applyAlignment="1" pivotButton="0" quotePrefix="0" xfId="0">
      <alignment vertical="center" indent="1"/>
    </xf>
    <xf numFmtId="169" fontId="40" fillId="19" borderId="2" applyAlignment="1" pivotButton="0" quotePrefix="0" xfId="0">
      <alignment horizontal="right" vertical="center"/>
    </xf>
    <xf numFmtId="169" fontId="65" fillId="19" borderId="2" applyAlignment="1" pivotButton="0" quotePrefix="0" xfId="0">
      <alignment horizontal="right" vertical="center"/>
    </xf>
    <xf numFmtId="0" fontId="99" fillId="19" borderId="2" applyAlignment="1" pivotButton="0" quotePrefix="0" xfId="0">
      <alignment horizontal="center" vertical="center"/>
    </xf>
    <xf numFmtId="0" fontId="101" fillId="11" borderId="2" applyAlignment="1" pivotButton="0" quotePrefix="0" xfId="0">
      <alignment horizontal="center" vertical="center"/>
    </xf>
    <xf numFmtId="0" fontId="0" fillId="19" borderId="2" pivotButton="0" quotePrefix="0" xfId="0"/>
    <xf numFmtId="0" fontId="102" fillId="16" borderId="2" applyAlignment="1" pivotButton="0" quotePrefix="0" xfId="0">
      <alignment horizontal="center" vertical="center"/>
    </xf>
    <xf numFmtId="0" fontId="103" fillId="37" borderId="2" applyAlignment="1" pivotButton="0" quotePrefix="0" xfId="0">
      <alignment horizontal="center" vertical="center"/>
    </xf>
    <xf numFmtId="0" fontId="3" fillId="7" borderId="54" applyAlignment="1" pivotButton="0" quotePrefix="0" xfId="0">
      <alignment vertical="center" indent="1"/>
    </xf>
    <xf numFmtId="169" fontId="104" fillId="7" borderId="54" applyAlignment="1" pivotButton="0" quotePrefix="0" xfId="0">
      <alignment horizontal="right" vertical="center"/>
    </xf>
    <xf numFmtId="169" fontId="105" fillId="7" borderId="54" applyAlignment="1" pivotButton="0" quotePrefix="0" xfId="0">
      <alignment horizontal="right" vertical="center"/>
    </xf>
    <xf numFmtId="0" fontId="0" fillId="7" borderId="54" pivotButton="0" quotePrefix="0" xfId="0"/>
    <xf numFmtId="0" fontId="106" fillId="7" borderId="54" applyAlignment="1" pivotButton="0" quotePrefix="0" xfId="0">
      <alignment horizontal="center" vertical="center"/>
    </xf>
    <xf numFmtId="0" fontId="107" fillId="18" borderId="55" applyAlignment="1" pivotButton="0" quotePrefix="0" xfId="0">
      <alignment vertical="center" indent="1"/>
    </xf>
    <xf numFmtId="0" fontId="0" fillId="18" borderId="37" pivotButton="0" quotePrefix="0" xfId="0"/>
    <xf numFmtId="0" fontId="113" fillId="17" borderId="58" applyAlignment="1" pivotButton="0" quotePrefix="0" xfId="0">
      <alignment vertical="center" indent="1"/>
    </xf>
    <xf numFmtId="0" fontId="0" fillId="17" borderId="59" pivotButton="0" quotePrefix="0" xfId="0"/>
    <xf numFmtId="0" fontId="0" fillId="17" borderId="60" pivotButton="0" quotePrefix="0" xfId="0"/>
    <xf numFmtId="0" fontId="108" fillId="18" borderId="56" applyAlignment="1" pivotButton="0" quotePrefix="0" xfId="0">
      <alignment vertical="center" indent="1"/>
    </xf>
    <xf numFmtId="0" fontId="99" fillId="18" borderId="56" pivotButton="0" quotePrefix="0" xfId="0"/>
    <xf numFmtId="0" fontId="108" fillId="18" borderId="40" pivotButton="0" quotePrefix="0" xfId="0"/>
    <xf numFmtId="0" fontId="9" fillId="17" borderId="61" applyAlignment="1" pivotButton="0" quotePrefix="0" xfId="0">
      <alignment vertical="center" indent="1"/>
    </xf>
    <xf numFmtId="0" fontId="0" fillId="17" borderId="39" pivotButton="0" quotePrefix="0" xfId="0"/>
    <xf numFmtId="0" fontId="0" fillId="17" borderId="62" pivotButton="0" quotePrefix="0" xfId="0"/>
    <xf numFmtId="0" fontId="109" fillId="18" borderId="56" applyAlignment="1" pivotButton="0" quotePrefix="0" xfId="0">
      <alignment vertical="center" indent="1"/>
    </xf>
    <xf numFmtId="0" fontId="56" fillId="17" borderId="61" applyAlignment="1" pivotButton="0" quotePrefix="0" xfId="0">
      <alignment vertical="center" indent="1"/>
    </xf>
    <xf numFmtId="0" fontId="110" fillId="18" borderId="56" applyAlignment="1" pivotButton="0" quotePrefix="0" xfId="0">
      <alignment vertical="center" indent="1"/>
    </xf>
    <xf numFmtId="0" fontId="0" fillId="35" borderId="2" pivotButton="0" quotePrefix="0" xfId="0"/>
    <xf numFmtId="0" fontId="111" fillId="18" borderId="56" applyAlignment="1" pivotButton="0" quotePrefix="0" xfId="0">
      <alignment vertical="center" indent="1"/>
    </xf>
    <xf numFmtId="0" fontId="112" fillId="38" borderId="2" applyAlignment="1" pivotButton="0" quotePrefix="0" xfId="0">
      <alignment horizontal="center" vertical="center"/>
    </xf>
    <xf numFmtId="0" fontId="114" fillId="18" borderId="2" applyAlignment="1" pivotButton="0" quotePrefix="0" xfId="0">
      <alignment horizontal="center" vertical="center"/>
    </xf>
    <xf numFmtId="0" fontId="0" fillId="18" borderId="57" pivotButton="0" quotePrefix="0" xfId="0"/>
    <xf numFmtId="0" fontId="22" fillId="0" borderId="7" pivotButton="0" quotePrefix="0" xfId="0"/>
    <xf numFmtId="0" fontId="108" fillId="0" borderId="7" pivotButton="0" quotePrefix="0" xfId="0"/>
    <xf numFmtId="0" fontId="115" fillId="12" borderId="63" applyAlignment="1" pivotButton="0" quotePrefix="0" xfId="0">
      <alignment vertical="center" indent="1"/>
    </xf>
    <xf numFmtId="0" fontId="120" fillId="11" borderId="67" applyAlignment="1" pivotButton="0" quotePrefix="0" xfId="0">
      <alignment vertical="center" indent="1"/>
    </xf>
    <xf numFmtId="0" fontId="0" fillId="18" borderId="64" pivotButton="0" quotePrefix="0" xfId="0"/>
    <xf numFmtId="0" fontId="0" fillId="18" borderId="65" pivotButton="0" quotePrefix="0" xfId="0"/>
    <xf numFmtId="0" fontId="0" fillId="18" borderId="68" pivotButton="0" quotePrefix="0" xfId="0"/>
    <xf numFmtId="0" fontId="0" fillId="18" borderId="69" pivotButton="0" quotePrefix="0" xfId="0"/>
    <xf numFmtId="0" fontId="116" fillId="18" borderId="64" pivotButton="0" quotePrefix="0" xfId="0"/>
    <xf numFmtId="0" fontId="117" fillId="18" borderId="39" applyAlignment="1" pivotButton="0" quotePrefix="0" xfId="0">
      <alignment horizontal="right" vertical="center"/>
    </xf>
    <xf numFmtId="0" fontId="116" fillId="18" borderId="68" pivotButton="0" quotePrefix="0" xfId="0"/>
    <xf numFmtId="0" fontId="121" fillId="18" borderId="39" applyAlignment="1" pivotButton="0" quotePrefix="0" xfId="0">
      <alignment horizontal="right" vertical="center"/>
    </xf>
    <xf numFmtId="169" fontId="107" fillId="18" borderId="39" applyAlignment="1" pivotButton="0" quotePrefix="0" xfId="0">
      <alignment horizontal="right" vertical="center"/>
    </xf>
    <xf numFmtId="169" fontId="118" fillId="18" borderId="39" applyAlignment="1" pivotButton="0" quotePrefix="0" xfId="0">
      <alignment horizontal="right" vertical="center"/>
    </xf>
    <xf numFmtId="170" fontId="118" fillId="18" borderId="39" applyAlignment="1" pivotButton="0" quotePrefix="0" xfId="0">
      <alignment horizontal="right" vertical="center"/>
    </xf>
    <xf numFmtId="0" fontId="118" fillId="18" borderId="39" applyAlignment="1" pivotButton="0" quotePrefix="0" xfId="0">
      <alignment horizontal="right" vertical="center"/>
    </xf>
    <xf numFmtId="0" fontId="119" fillId="12" borderId="66" applyAlignment="1" pivotButton="0" quotePrefix="0" xfId="0">
      <alignment horizontal="center" vertical="center"/>
    </xf>
    <xf numFmtId="0" fontId="70" fillId="11" borderId="70" applyAlignment="1" pivotButton="0" quotePrefix="0" xfId="0">
      <alignment horizontal="center" vertical="center"/>
    </xf>
    <xf numFmtId="0" fontId="95" fillId="18" borderId="55" applyAlignment="1" pivotButton="0" quotePrefix="0" xfId="0">
      <alignment vertical="center" indent="1"/>
    </xf>
    <xf numFmtId="0" fontId="0" fillId="18" borderId="56" pivotButton="0" quotePrefix="0" xfId="0"/>
    <xf numFmtId="0" fontId="107" fillId="18" borderId="56" applyAlignment="1" pivotButton="0" quotePrefix="0" xfId="0">
      <alignment vertical="center" indent="1"/>
    </xf>
    <xf numFmtId="0" fontId="99" fillId="18" borderId="56" applyAlignment="1" pivotButton="0" quotePrefix="0" xfId="0">
      <alignment vertical="center" indent="2"/>
    </xf>
  </cellXfs>
  <cellStyles count="1">
    <cellStyle name="Normal" xfId="0" builtinId="0" hidden="0"/>
  </cellStyles>
  <dxfs count="8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3261E"/>
      </font>
      <fill>
        <patternFill patternType="solid">
          <fgColor rgb="00FFF2CC"/>
        </patternFill>
      </fill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 Avantajlı Kod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'BORDRO'!S12</f>
            </strRef>
          </tx>
          <spPr>
            <a:ln xmlns:a="http://schemas.openxmlformats.org/drawingml/2006/main">
              <a:prstDash val="solid"/>
            </a:ln>
          </spPr>
          <cat>
            <numRef>
              <f>'BORDRO'!$R$13:$R$16</f>
            </numRef>
          </cat>
          <val>
            <numRef>
              <f>'BORDRO'!$S$13:$S$16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Matris En İyi Kod Seti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'MATRIS'!R10</f>
            </strRef>
          </tx>
          <spPr>
            <a:ln xmlns:a="http://schemas.openxmlformats.org/drawingml/2006/main">
              <a:prstDash val="solid"/>
            </a:ln>
          </spPr>
          <cat>
            <numRef>
              <f>'MATRIS'!$Q$11:$Q$14</f>
            </numRef>
          </cat>
          <val>
            <numRef>
              <f>'MATRIS'!$R$11:$R$14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Kaçırılan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'SENARYO'!$A$6:$A$12</f>
            </numRef>
          </cat>
          <val>
            <numRef>
              <f>'SENARYO'!$G$6:$G$12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'SENARYO'!$A$19:$A$22</f>
            </numRef>
          </cat>
          <val>
            <numRef>
              <f>'SENARYO'!$E$19:$E$22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Kaçırılan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'SENARYO'!$A$32:$A$38</f>
            </numRef>
          </cat>
          <val>
            <numRef>
              <f>'SENARYO'!$D$32:$D$38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Kaçırılan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İşveren Adı | Neden önemli: SGK teşvik tasarrufu ve kararı etkiler | Doğru kullanım: İşverenin resmi unvanını yazın. | Örnek: demo satırına bakın | Yanlışsa: Tasarruf ve karar bozulur | Kaynak: [Assumption] 5510 / 4447</t>
      </text>
    </comment>
    <comment ref="B7" authorId="0" shapeId="0">
      <text>
        <t>Tanım: Dönem | Neden önemli: SGK teşvik tasarrufu ve kararı etkiler | Doğru kullanım: Bordro dönemi etiketini yazın (ör. 2025-01). | Örnek: demo satırına bakın | Yanlışsa: Tasarruf ve karar bozulur | Kaynak: [Assumption] 5510 / 4447</t>
      </text>
    </comment>
    <comment ref="B8" authorId="0" shapeId="0">
      <text>
        <t>Tanım: Hesap Yılı | Neden önemli: SGK teşvik tasarrufu ve kararı etkiler | Doğru kullanım: 2025, 2026 veya 2027 seçin. | Örnek: demo satırına bakın | Yanlışsa: Tasarruf ve karar bozulur | Kaynak: [Assumption] 5510 / 4447</t>
      </text>
    </comment>
    <comment ref="B9" authorId="0" shapeId="0">
      <text>
        <t>Tanım: Aylık Brüt Prim Matrahı [₺] | Neden önemli: SGK teşvik tasarrufu ve kararı etkiler | Doğru kullanım: Dönem toplam brüt SGK matrahını TL girin. | Örnek: demo satırına bakın | Yanlışsa: Tasarruf ve karar bozulur | Kaynak: [Assumption] 5510 / 4447</t>
      </text>
    </comment>
    <comment ref="B10" authorId="0" shapeId="0">
      <text>
        <t>Tanım: Çalışan Sayısı | Neden önemli: SGK teşvik tasarrufu ve kararı etkiler | Doğru kullanım: Prim bildirimine giren çalışan adedini yazın. | Örnek: demo satırına bakın | Yanlışsa: Tasarruf ve karar bozulur | Kaynak: [Assumption] 5510 / 4447</t>
      </text>
    </comment>
    <comment ref="B11" authorId="0" shapeId="0">
      <text>
        <t>Tanım: 5 Puan Kapsam Matrahı [₺] | Neden önemli: SGK teşvik tasarrufu ve kararı etkiler | Doğru kullanım: 5510 md.81 5 puan indirimine uygun matrah. | Örnek: demo satırına bakın | Yanlışsa: Tasarruf ve karar bozulur | Kaynak: [Assumption] 5510 / 4447</t>
      </text>
    </comment>
    <comment ref="B12" authorId="0" shapeId="0">
      <text>
        <t>Tanım: İlave İstihdam Matrahı [₺] | Neden önemli: SGK teşvik tasarrufu ve kararı etkiler | Doğru kullanım: 4447 geçici 10 kapsamındaki matrah. | Örnek: demo satırına bakın | Yanlışsa: Tasarruf ve karar bozulur | Kaynak: [Assumption] 5510 / 4447</t>
      </text>
    </comment>
    <comment ref="B13" authorId="0" shapeId="0">
      <text>
        <t>Tanım: Kadın/Genç Matrahı [₺] | Neden önemli: SGK teşvik tasarrufu ve kararı etkiler | Doğru kullanım: Kadın/genç istihdam teşvikine uygun matrah. | Örnek: demo satırına bakın | Yanlışsa: Tasarruf ve karar bozulur | Kaynak: [Assumption] 5510 / 4447</t>
      </text>
    </comment>
    <comment ref="B14" authorId="0" shapeId="0">
      <text>
        <t>Tanım: Engelli Matrahı [₺] | Neden önemli: SGK teşvik tasarrufu ve kararı etkiler | Doğru kullanım: Engelli istihdam teşvikine uygun matrah. | Örnek: demo satırına bakın | Yanlışsa: Tasarruf ve karar bozulur | Kaynak: [Assumption] 5510 / 4447</t>
      </text>
    </comment>
    <comment ref="B15" authorId="0" shapeId="0">
      <text>
        <t>Tanım: Mevcut Teşvik Tutarı [₺] | Neden önemli: SGK teşvik tasarrufu ve kararı etkiler | Doğru kullanım: Bu dönemde fiilen uygulanan aylık teşvik tutarı. | Örnek: demo satırına bakın | Yanlışsa: Tasarruf ve karar bozulur | Kaynak: [Assumption] 5510 / 4447</t>
      </text>
    </comment>
    <comment ref="B16" authorId="0" shapeId="0">
      <text>
        <t>Tanım: Birikim Yorumu (A/B) | Neden önemli: SGK teşvik tasarrufu ve kararı etkiler | Doğru kullanım: Teşvik birikiminde yorum A veya B seçin. | Örnek: demo satırına bakın | Yanlışsa: Tasarruf ve karar bozulur | Kaynak: [Assumption] 5510 / 4447</t>
      </text>
    </comment>
    <comment ref="A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B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C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D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E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A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B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C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D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E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A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B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C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D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E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A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B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C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D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E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A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B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C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D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E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A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B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C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D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E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7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7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7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7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7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7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7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7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8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8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8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8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8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8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8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8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9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9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9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9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9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9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9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9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0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0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0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0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0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0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0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0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1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1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1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1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1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1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1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1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2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2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2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2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2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2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2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2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3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3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3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3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3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3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3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3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4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4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4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4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4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4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4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4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5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5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5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5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5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5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5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5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6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6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6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6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6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6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6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6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7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17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17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17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17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17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17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17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18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18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18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18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18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18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18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18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19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19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19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19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19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19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19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19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0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0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0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0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0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0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0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0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1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1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1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1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1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1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1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1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2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2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2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2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2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2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2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2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3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3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3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3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3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3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3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3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4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4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4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4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4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4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4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4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5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5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5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5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5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5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5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5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6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6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6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6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6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6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6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6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7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7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7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7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7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7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7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7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8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8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8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8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8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8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8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8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9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9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9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9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9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9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9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9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0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0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0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0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0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0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0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0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1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1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1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1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1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1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1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1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2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2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2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2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2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2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2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2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3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3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3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3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3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3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3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3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4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4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4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4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4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4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4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4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5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5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5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5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5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5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5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5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6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6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6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6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6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6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6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6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7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7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7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7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7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7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7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7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8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8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8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8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8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8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8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8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9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9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9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9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9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9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9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9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0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0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0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0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0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0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0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0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1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1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1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1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1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1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1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1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2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2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2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2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2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2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2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2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3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3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3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3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3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3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3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3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4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4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4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4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4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4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4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4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5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5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5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5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5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5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5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5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6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6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6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6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6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6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6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6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7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7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7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7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7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7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7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7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8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8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8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8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8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8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8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8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9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9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9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9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9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9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9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9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0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0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0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0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0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0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0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0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1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1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1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1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1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1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1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1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2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2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2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2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2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2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2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2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3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3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3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3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3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3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3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3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4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4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4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4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4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4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4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4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5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5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5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5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5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5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5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5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6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6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6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6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6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6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6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6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CalisanNo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B7" authorId="0" shapeId="0">
      <text>
        <t>Tanım: AdSoyad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C7" authorId="0" shapeId="0">
      <text>
        <t>Tanım: BrutMatrah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D7" authorId="0" shapeId="0">
      <text>
        <t>Tanım: BesPuanUygun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E7" authorId="0" shapeId="0">
      <text>
        <t>Tanım: IlaveUygun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F7" authorId="0" shapeId="0">
      <text>
        <t>Tanım: KadinGencUygun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G7" authorId="0" shapeId="0">
      <text>
        <t>Tanım: EngelliUygun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N7" authorId="0" shapeId="0">
      <text>
        <t>Tanım: MevcutKod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A8" authorId="0" shapeId="0">
      <text>
        <t>Tanım: CalisanNo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B8" authorId="0" shapeId="0">
      <text>
        <t>Tanım: AdSoyad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C8" authorId="0" shapeId="0">
      <text>
        <t>Tanım: BrutMatrah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D8" authorId="0" shapeId="0">
      <text>
        <t>Tanım: BesPuanUygun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E8" authorId="0" shapeId="0">
      <text>
        <t>Tanım: IlaveUygun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F8" authorId="0" shapeId="0">
      <text>
        <t>Tanım: KadinGencUygun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G8" authorId="0" shapeId="0">
      <text>
        <t>Tanım: EngelliUygun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N8" authorId="0" shapeId="0">
      <text>
        <t>Tanım: MevcutKod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A9" authorId="0" shapeId="0">
      <text>
        <t>Tanım: CalisanNo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B9" authorId="0" shapeId="0">
      <text>
        <t>Tanım: AdSoyad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C9" authorId="0" shapeId="0">
      <text>
        <t>Tanım: BrutMatrah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D9" authorId="0" shapeId="0">
      <text>
        <t>Tanım: BesPuanUygun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E9" authorId="0" shapeId="0">
      <text>
        <t>Tanım: IlaveUygun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F9" authorId="0" shapeId="0">
      <text>
        <t>Tanım: KadinGencUygun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G9" authorId="0" shapeId="0">
      <text>
        <t>Tanım: EngelliUygun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N9" authorId="0" shapeId="0">
      <text>
        <t>Tanım: MevcutKod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A10" authorId="0" shapeId="0">
      <text>
        <t>Tanım: CalisanNo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B10" authorId="0" shapeId="0">
      <text>
        <t>Tanım: AdSoyad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C10" authorId="0" shapeId="0">
      <text>
        <t>Tanım: BrutMatrah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D10" authorId="0" shapeId="0">
      <text>
        <t>Tanım: BesPuanUygun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E10" authorId="0" shapeId="0">
      <text>
        <t>Tanım: IlaveUygun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F10" authorId="0" shapeId="0">
      <text>
        <t>Tanım: KadinGencUygun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G10" authorId="0" shapeId="0">
      <text>
        <t>Tanım: EngelliUygun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N10" authorId="0" shapeId="0">
      <text>
        <t>Tanım: MevcutKod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A11" authorId="0" shapeId="0">
      <text>
        <t>Tanım: CalisanNo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B11" authorId="0" shapeId="0">
      <text>
        <t>Tanım: AdSoyad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C11" authorId="0" shapeId="0">
      <text>
        <t>Tanım: BrutMatrah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D11" authorId="0" shapeId="0">
      <text>
        <t>Tanım: BesPuanUygun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E11" authorId="0" shapeId="0">
      <text>
        <t>Tanım: IlaveUygun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F11" authorId="0" shapeId="0">
      <text>
        <t>Tanım: KadinGencUygun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G11" authorId="0" shapeId="0">
      <text>
        <t>Tanım: EngelliUygun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N11" authorId="0" shapeId="0">
      <text>
        <t>Tanım: MevcutKod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A12" authorId="0" shapeId="0">
      <text>
        <t>Tanım: CalisanNo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B12" authorId="0" shapeId="0">
      <text>
        <t>Tanım: AdSoyad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C12" authorId="0" shapeId="0">
      <text>
        <t>Tanım: BrutMatrah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D12" authorId="0" shapeId="0">
      <text>
        <t>Tanım: BesPuanUygun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E12" authorId="0" shapeId="0">
      <text>
        <t>Tanım: IlaveUygun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F12" authorId="0" shapeId="0">
      <text>
        <t>Tanım: KadinGencUygun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G12" authorId="0" shapeId="0">
      <text>
        <t>Tanım: EngelliUygun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N12" authorId="0" shapeId="0">
      <text>
        <t>Tanım: MevcutKod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A13" authorId="0" shapeId="0">
      <text>
        <t>Tanım: CalisanNo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B13" authorId="0" shapeId="0">
      <text>
        <t>Tanım: AdSoyad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C13" authorId="0" shapeId="0">
      <text>
        <t>Tanım: BrutMatrah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D13" authorId="0" shapeId="0">
      <text>
        <t>Tanım: BesPuanUygun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E13" authorId="0" shapeId="0">
      <text>
        <t>Tanım: IlaveUygun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F13" authorId="0" shapeId="0">
      <text>
        <t>Tanım: KadinGencUygun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G13" authorId="0" shapeId="0">
      <text>
        <t>Tanım: EngelliUygun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N13" authorId="0" shapeId="0">
      <text>
        <t>Tanım: MevcutKod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A14" authorId="0" shapeId="0">
      <text>
        <t>Tanım: CalisanNo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B14" authorId="0" shapeId="0">
      <text>
        <t>Tanım: AdSoyad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C14" authorId="0" shapeId="0">
      <text>
        <t>Tanım: BrutMatrah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D14" authorId="0" shapeId="0">
      <text>
        <t>Tanım: BesPuanUygun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E14" authorId="0" shapeId="0">
      <text>
        <t>Tanım: IlaveUygun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F14" authorId="0" shapeId="0">
      <text>
        <t>Tanım: KadinGencUygun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G14" authorId="0" shapeId="0">
      <text>
        <t>Tanım: EngelliUygun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N14" authorId="0" shapeId="0">
      <text>
        <t>Tanım: MevcutKod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A15" authorId="0" shapeId="0">
      <text>
        <t>Tanım: CalisanNo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B15" authorId="0" shapeId="0">
      <text>
        <t>Tanım: AdSoyad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C15" authorId="0" shapeId="0">
      <text>
        <t>Tanım: BrutMatrah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D15" authorId="0" shapeId="0">
      <text>
        <t>Tanım: BesPuanUygun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E15" authorId="0" shapeId="0">
      <text>
        <t>Tanım: IlaveUygun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F15" authorId="0" shapeId="0">
      <text>
        <t>Tanım: KadinGencUygun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G15" authorId="0" shapeId="0">
      <text>
        <t>Tanım: EngelliUygun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N15" authorId="0" shapeId="0">
      <text>
        <t>Tanım: MevcutKod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A16" authorId="0" shapeId="0">
      <text>
        <t>Tanım: CalisanNo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B16" authorId="0" shapeId="0">
      <text>
        <t>Tanım: AdSoyad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C16" authorId="0" shapeId="0">
      <text>
        <t>Tanım: BrutMatrah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D16" authorId="0" shapeId="0">
      <text>
        <t>Tanım: BesPuanUygun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E16" authorId="0" shapeId="0">
      <text>
        <t>Tanım: IlaveUygun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F16" authorId="0" shapeId="0">
      <text>
        <t>Tanım: KadinGencUygun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G16" authorId="0" shapeId="0">
      <text>
        <t>Tanım: EngelliUygun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N16" authorId="0" shapeId="0">
      <text>
        <t>Tanım: MevcutKod | Neden önemli: SGK teşvik tasarrufu ve kararı etkiler | Doğru kullanım: Matris satır girişi; BORDRO ile tutarlı tutun | Örnek: demo satırına bakın | Yanlışsa: Tasarruf ve karar bozulur | Kaynak: [Assumption] 5510 / 4447</t>
      </text>
    </comment>
    <comment ref="A17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17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17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17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17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17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17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17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18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18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18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18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18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18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18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18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19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19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19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19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19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19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19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19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20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20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20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20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20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20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20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20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21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21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21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21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21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21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21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21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22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22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22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22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22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22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22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22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23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23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23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23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23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23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23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23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24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24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24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24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24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24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24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24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25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25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25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25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25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25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25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25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26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26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26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26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26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26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26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26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27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27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27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27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27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27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27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27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28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28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28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28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28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28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28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28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29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29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29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29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29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29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29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29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30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30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30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30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30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30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30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30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31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31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31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31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31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31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31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31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32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32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32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32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32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32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32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32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33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33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33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33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33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33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33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33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34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34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34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34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34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34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34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34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35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35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35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35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35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35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35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35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36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36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36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36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36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36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36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36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37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37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37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37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37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37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37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37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38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38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38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38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38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38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38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38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39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39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39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39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39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39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39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39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40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40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40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40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40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40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40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40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41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41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41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41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41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41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41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41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42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42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42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42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42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42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42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42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43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43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43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43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43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43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43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43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44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44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44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44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44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44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44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44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45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45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45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45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45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45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45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45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46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46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46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46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46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46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46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46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47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47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47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47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47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47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47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47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48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48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48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48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48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48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48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48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49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49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49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49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49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49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49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49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50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50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50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50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50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50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50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50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51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51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51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51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51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51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51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51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52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52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52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52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52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52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52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52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53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53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53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53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53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53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53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53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54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54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54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54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54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54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54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54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55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55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55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55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55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55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55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55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  <comment ref="A56" authorId="0" shapeId="0">
      <text>
        <t>Tanım: CalisanNo | Neden önemli: SGK teşvik tasarrufu ve kararı etkiler | Doğru kullanım: Yeni matris satırı | Örnek: demo satırına bakın | Yanlışsa: Tasarruf ve karar bozulur | Kaynak: [Assumption] 5510 / 4447</t>
      </text>
    </comment>
    <comment ref="B56" authorId="0" shapeId="0">
      <text>
        <t>Tanım: AdSoyad | Neden önemli: SGK teşvik tasarrufu ve kararı etkiler | Doğru kullanım: Yeni matris satırı | Örnek: demo satırına bakın | Yanlışsa: Tasarruf ve karar bozulur | Kaynak: [Assumption] 5510 / 4447</t>
      </text>
    </comment>
    <comment ref="C56" authorId="0" shapeId="0">
      <text>
        <t>Tanım: BrutMatrah | Neden önemli: SGK teşvik tasarrufu ve kararı etkiler | Doğru kullanım: Yeni matris satırı | Örnek: demo satırına bakın | Yanlışsa: Tasarruf ve karar bozulur | Kaynak: [Assumption] 5510 / 4447</t>
      </text>
    </comment>
    <comment ref="D56" authorId="0" shapeId="0">
      <text>
        <t>Tanım: BesPuanUygun | Neden önemli: SGK teşvik tasarrufu ve kararı etkiler | Doğru kullanım: Yeni matris satırı | Örnek: demo satırına bakın | Yanlışsa: Tasarruf ve karar bozulur | Kaynak: [Assumption] 5510 / 4447</t>
      </text>
    </comment>
    <comment ref="E56" authorId="0" shapeId="0">
      <text>
        <t>Tanım: IlaveUygun | Neden önemli: SGK teşvik tasarrufu ve kararı etkiler | Doğru kullanım: Yeni matris satırı | Örnek: demo satırına bakın | Yanlışsa: Tasarruf ve karar bozulur | Kaynak: [Assumption] 5510 / 4447</t>
      </text>
    </comment>
    <comment ref="F56" authorId="0" shapeId="0">
      <text>
        <t>Tanım: KadinGencUygun | Neden önemli: SGK teşvik tasarrufu ve kararı etkiler | Doğru kullanım: Yeni matris satırı | Örnek: demo satırına bakın | Yanlışsa: Tasarruf ve karar bozulur | Kaynak: [Assumption] 5510 / 4447</t>
      </text>
    </comment>
    <comment ref="G56" authorId="0" shapeId="0">
      <text>
        <t>Tanım: EngelliUygun | Neden önemli: SGK teşvik tasarrufu ve kararı etkiler | Doğru kullanım: Yeni matris satırı | Örnek: demo satırına bakın | Yanlışsa: Tasarruf ve karar bozulur | Kaynak: [Assumption] 5510 / 4447</t>
      </text>
    </comment>
    <comment ref="N56" authorId="0" shapeId="0">
      <text>
        <t>Tanım: MevcutKod | Neden önemli: SGK teşvik tasarrufu ve kararı etkiler | Doğru kullanım: Yeni matris satırı | Örnek: demo satırına bakın | Yanlışsa: Tasarruf ve karar bozulur | Kaynak: [Assumption] 5510 / 4447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F7" authorId="0" shapeId="0">
      <text>
        <t>Tanım: bes_puan_oran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7" authorId="0" shapeId="0">
      <text>
        <t>Tanım: bes_puan_oran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7" authorId="0" shapeId="0">
      <text>
        <t>Tanım: bes_puan_oran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8" authorId="0" shapeId="0">
      <text>
        <t>Tanım: ilave_istihdam_oran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8" authorId="0" shapeId="0">
      <text>
        <t>Tanım: ilave_istihdam_oran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8" authorId="0" shapeId="0">
      <text>
        <t>Tanım: ilave_istihdam_oran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9" authorId="0" shapeId="0">
      <text>
        <t>Tanım: prim_tavani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9" authorId="0" shapeId="0">
      <text>
        <t>Tanım: prim_tavani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9" authorId="0" shapeId="0">
      <text>
        <t>Tanım: prim_tavani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10" authorId="0" shapeId="0">
      <text>
        <t>Tanım: kadin_genc_oran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10" authorId="0" shapeId="0">
      <text>
        <t>Tanım: kadin_genc_oran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10" authorId="0" shapeId="0">
      <text>
        <t>Tanım: kadin_genc_oran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11" authorId="0" shapeId="0">
      <text>
        <t>Tanım: yuvarlama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11" authorId="0" shapeId="0">
      <text>
        <t>Tanım: yuvarlama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11" authorId="0" shapeId="0">
      <text>
        <t>Tanım: yuvarlama | Neden önemli: SGK teşvik tasarrufu ve kararı etkiler | Doğru kullanım: Yıl bazlı parametre; kaynak kolonuna bakın | Örnek: demo satırına bakın | Yanlışsa: Tasarruf ve karar bozulur | Kaynak: [Assumption] 5510 / 4447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29" authorId="0" shapeId="0">
      <text>
        <t>Tanım: İmza | Neden önemli: SGK teşvik tasarrufu ve kararı etkiler | Doğru kullanım: Raporu hazırlayan kişinin adını yazın. | Örnek: demo satırına bakın | Yanlışsa: Tasarruf ve karar bozulur | Kaynak: [Assumption] 5510 / 4447</t>
      </text>
    </comment>
    <comment ref="B30" authorId="0" shapeId="0">
      <text>
        <t>Tanım: Onay | Neden önemli: SGK teşvik tasarrufu ve kararı etkiler | Doğru kullanım: Onaylayan kişinin adını yazın. | Örnek: demo satırına bakın | Yanlışsa: Tasarruf ve karar bozulur | Kaynak: [Assumption] 5510 / 4447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brüt matrah?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Matrah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Kaçırılan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6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6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6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6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6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6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7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7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7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7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7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7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7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8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8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8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8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8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8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8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9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9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9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9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9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9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9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10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10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10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10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10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10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10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SGK teşvik tasarrufu ve kararı etkiler | Doğru kullanım: Hesap yılı listesi | Örnek: demo satırına bakın | Yanlışsa: Tasarruf ve karar bozulur | Kaynak: [Assumption] 5510 / 4447</t>
      </text>
    </comment>
    <comment ref="C6" authorId="0" shapeId="0">
      <text>
        <t>Tanım: Yorum | Neden önemli: SGK teşvik tasarrufu ve kararı etkiler | Doğru kullanım: Birikim yorumu | Örnek: demo satırına bakın | Yanlışsa: Tasarruf ve karar bozulur | Kaynak: [Assumption] 5510 / 4447</t>
      </text>
    </comment>
    <comment ref="E6" authorId="0" shapeId="0">
      <text>
        <t>Tanım: Seçim | Neden önemli: SGK teşvik tasarrufu ve kararı etkiler | Doğru kullanım: Evet veya Hayır | Örnek: demo satırına bakın | Yanlışsa: Tasarruf ve karar bozulur | Kaynak: [Assumption] 5510 / 4447</t>
      </text>
    </comment>
    <comment ref="G6" authorId="0" shapeId="0">
      <text>
        <t>Tanım: Kod | Neden önemli: SGK teşvik tasarrufu ve kararı etkiler | Doğru kullanım: Mevcut veya avantajlı teşvik kodu | Örnek: demo satırına bakın | Yanlışsa: Tasarruf ve karar bozulur | Kaynak: [Assumption] 5510 / 4447</t>
      </text>
    </comment>
    <comment ref="A7" authorId="0" shapeId="0">
      <text>
        <t>Tanım: Yıl | Neden önemli: SGK teşvik tasarrufu ve kararı etkiler | Doğru kullanım: Hesap yılı listesi | Örnek: demo satırına bakın | Yanlışsa: Tasarruf ve karar bozulur | Kaynak: [Assumption] 5510 / 4447</t>
      </text>
    </comment>
    <comment ref="C7" authorId="0" shapeId="0">
      <text>
        <t>Tanım: Yorum | Neden önemli: SGK teşvik tasarrufu ve kararı etkiler | Doğru kullanım: Birikim yorumu | Örnek: demo satırına bakın | Yanlışsa: Tasarruf ve karar bozulur | Kaynak: [Assumption] 5510 / 4447</t>
      </text>
    </comment>
    <comment ref="E7" authorId="0" shapeId="0">
      <text>
        <t>Tanım: Seçim | Neden önemli: SGK teşvik tasarrufu ve kararı etkiler | Doğru kullanım: Evet veya Hayır | Örnek: demo satırına bakın | Yanlışsa: Tasarruf ve karar bozulur | Kaynak: [Assumption] 5510 / 4447</t>
      </text>
    </comment>
    <comment ref="G7" authorId="0" shapeId="0">
      <text>
        <t>Tanım: Kod | Neden önemli: SGK teşvik tasarrufu ve kararı etkiler | Doğru kullanım: Mevcut veya avantajlı teşvik kodu | Örnek: demo satırına bakın | Yanlışsa: Tasarruf ve karar bozulur | Kaynak: [Assumption] 5510 / 4447</t>
      </text>
    </comment>
    <comment ref="A8" authorId="0" shapeId="0">
      <text>
        <t>Tanım: Yıl | Neden önemli: SGK teşvik tasarrufu ve kararı etkiler | Doğru kullanım: Hesap yılı listesi | Örnek: demo satırına bakın | Yanlışsa: Tasarruf ve karar bozulur | Kaynak: [Assumption] 5510 / 4447</t>
      </text>
    </comment>
    <comment ref="G8" authorId="0" shapeId="0">
      <text>
        <t>Tanım: Kod | Neden önemli: SGK teşvik tasarrufu ve kararı etkiler | Doğru kullanım: Mevcut veya avantajlı teşvik kodu | Örnek: demo satırına bakın | Yanlışsa: Tasarruf ve karar bozulur | Kaynak: [Assumption] 5510 / 4447</t>
      </text>
    </comment>
    <comment ref="G9" authorId="0" shapeId="0">
      <text>
        <t>Tanım: Kod | Neden önemli: SGK teşvik tasarrufu ve kararı etkiler | Doğru kullanım: Mevcut veya avantajlı teşvik kodu | Örnek: demo satırına bakın | Yanlışsa: Tasarruf ve karar bozulur | Kaynak: [Assumption] 5510 / 4447</t>
      </text>
    </comment>
    <comment ref="G10" authorId="0" shapeId="0">
      <text>
        <t>Tanım: Kod | Neden önemli: SGK teşvik tasarrufu ve kararı etkiler | Doğru kullanım: Mevcut veya avantajlı teşvik kodu | Örnek: demo satırına bakın | Yanlışsa: Tasarruf ve karar bozulur | Kaynak: [Assumption] 5510 / 4447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SGK teşvik tasarrufu ve kararı etkiler | Doğru kullanım: Aktif hesap yılı | Örnek: demo satırına bakın | Yanlışsa: Tasarruf ve karar bozulur | Kaynak: [Assumption] 5510 / 4447</t>
      </text>
    </comment>
    <comment ref="B7" authorId="0" shapeId="0">
      <text>
        <t>Tanım: raporTarihi | Neden önemli: SGK teşvik tasarrufu ve kararı etkiler | Doğru kullanım: Rapor tarihi (sabit) | Örnek: demo satırına bakın | Yanlışsa: Tasarruf ve karar bozulur | Kaynak: [Assumption] 5510 / 4447</t>
      </text>
    </comment>
    <comment ref="B8" authorId="0" shapeId="0">
      <text>
        <t>Tanım: tbo_tolerans | Neden önemli: SGK teşvik tasarrufu ve kararı etkiler | Doğru kullanım: Vaka tutarlılık toleransı | Örnek: demo satırına bakın | Yanlışsa: Tasarruf ve karar bozulur | Kaynak: [Assumption] 5510 / 4447</t>
      </text>
    </comment>
    <comment ref="B9" authorId="0" shapeId="0">
      <text>
        <t>Tanım: tbo_kacirilanEsik | Neden önemli: SGK teşvik tasarrufu ve kararı etkiler | Doğru kullanım: PANO kaçırılan uyarı eşiği | Örnek: demo satırına bakın | Yanlışsa: Tasarruf ve karar bozulur | Kaynak: [Assumption] 5510 / 4447</t>
      </text>
    </comment>
    <comment ref="B10" authorId="0" shapeId="0">
      <text>
        <t>Tanım: tbo_senaryoIyi | Neden önemli: SGK teşvik tasarrufu ve kararı etkiler | Doğru kullanım: İyimser matrah çarpanı | Örnek: demo satırına bakın | Yanlışsa: Tasarruf ve karar bozulur | Kaynak: [Assumption] 5510 / 4447</t>
      </text>
    </comment>
    <comment ref="B11" authorId="0" shapeId="0">
      <text>
        <t>Tanım: tbo_senaryoKotu | Neden önemli: SGK teşvik tasarrufu ve kararı etkiler | Doğru kullanım: Kötümser matrah çarpanı | Örnek: demo satırına bakın | Yanlışsa: Tasarruf ve karar bozulur | Kaynak: [Assumption] 5510 / 4447</t>
      </text>
    </comment>
    <comment ref="B12" authorId="0" shapeId="0">
      <text>
        <t>Tanım: tbo_oranArtisPuan | Neden önemli: SGK teşvik tasarrufu ve kararı etkiler | Doğru kullanım: M-SEN +1 puan | Örnek: demo satırına bakın | Yanlışsa: Tasarruf ve karar bozulur | Kaynak: [Assumption] 5510 / 4447</t>
      </text>
    </comment>
    <comment ref="B13" authorId="0" shapeId="0">
      <text>
        <t>Tanım: tbo_tahminAlt | Neden önemli: SGK teşvik tasarrufu ve kararı etkiler | Doğru kullanım: Tahmin alt bant | Örnek: demo satırına bakın | Yanlışsa: Tasarruf ve karar bozulur | Kaynak: [Assumption] 5510 / 4447</t>
      </text>
    </comment>
    <comment ref="B14" authorId="0" shapeId="0">
      <text>
        <t>Tanım: tbo_tahminUst | Neden önemli: SGK teşvik tasarrufu ve kararı etkiler | Doğru kullanım: Tahmin üst bant | Örnek: demo satırına bakın | Yanlışsa: Tasarruf ve karar bozulur | Kaynak: [Assumption] 5510 / 4447</t>
      </text>
    </comment>
    <comment ref="B15" authorId="0" shapeId="0">
      <text>
        <t>Tanım: tbo_tornadoMatrah | Neden önemli: SGK teşvik tasarrufu ve kararı etkiler | Doğru kullanım: Tornado matrah şoku | Örnek: demo satırına bakın | Yanlışsa: Tasarruf ve karar bozulur | Kaynak: [Assumption] 5510 / 4447</t>
      </text>
    </comment>
    <comment ref="B16" authorId="0" shapeId="0">
      <text>
        <t>Tanım: tbo_tornadoMevcut | Neden önemli: SGK teşvik tasarrufu ve kararı etkiler | Doğru kullanım: Tornado mevcut şoku | Örnek: demo satırına bakın | Yanlışsa: Tasarruf ve karar bozulur | Kaynak: [Assumption] 5510 / 4447</t>
      </text>
    </comment>
    <comment ref="B17" authorId="0" shapeId="0">
      <text>
        <t>Tanım: tbo_isverenOran | Neden önemli: SGK teşvik tasarrufu ve kararı etkiler | Doğru kullanım: İşveren SGK payı (engelli) | Örnek: demo satırına bakın | Yanlışsa: Tasarruf ve karar bozulur | Kaynak: [Assumption] 5510 / 4447</t>
      </text>
    </comment>
    <comment ref="B18" authorId="0" shapeId="0">
      <text>
        <t>Tanım: tbo_yuzdelikOran | Neden önemli: SGK teşvik tasarrufu ve kararı etkiler | Doğru kullanım: Yüzdelik P90 | Örnek: demo satırına bakın | Yanlışsa: Tasarruf ve karar bozulur | Kaynak: [Assumption] 5510 / 4447</t>
      </text>
    </comment>
    <comment ref="B19" authorId="0" shapeId="0">
      <text>
        <t>Tanım: tbo_parmakIzi | Neden önemli: SGK teşvik tasarrufu ve kararı etkiler | Doğru kullanım: Dosya parmak izi etiketi | Örnek: demo satırına bakın | Yanlışsa: Tasarruf ve karar bozulur | Kaynak: [Assumption] 5510 / 4447</t>
      </text>
    </comment>
    <comment ref="B20" authorId="0" shapeId="0">
      <text>
        <t>Tanım: dosya_surumu | Neden önemli: SGK teşvik tasarrufu ve kararı etkiler | Doğru kullanım: Ürün sürümü | Örnek: demo satırına bakın | Yanlışsa: Tasarruf ve karar bozulur | Kaynak: [Assumption] 5510 / 4447</t>
      </text>
    </comment>
    <comment ref="B21" authorId="0" shapeId="0">
      <text>
        <t>Tanım: tbo_girisBeklenen | Neden önemli: SGK teşvik tasarrufu ve kararı etkiler | Doğru kullanım: Zorunlu giriş alanı sayısı | Örnek: demo satırına bakın | Yanlışsa: Tasarruf ve karar bozulur | Kaynak: [Assumption] 5510 / 4447</t>
      </text>
    </comment>
    <comment ref="B22" authorId="0" shapeId="0">
      <text>
        <t>Tanım: tbo_riskDusuk | Neden önemli: SGK teşvik tasarrufu ve kararı etkiler | Doğru kullanım: Düşük risk skoru | Örnek: demo satırına bakın | Yanlışsa: Tasarruf ve karar bozulur | Kaynak: [Assumption] 5510 / 4447</t>
      </text>
    </comment>
    <comment ref="B23" authorId="0" shapeId="0">
      <text>
        <t>Tanım: tbo_riskOrta | Neden önemli: SGK teşvik tasarrufu ve kararı etkiler | Doğru kullanım: Orta risk skoru | Örnek: demo satırına bakın | Yanlışsa: Tasarruf ve karar bozulur | Kaynak: [Assumption] 5510 / 4447</t>
      </text>
    </comment>
    <comment ref="B24" authorId="0" shapeId="0">
      <text>
        <t>Tanım: tbo_riskYuksek | Neden önemli: SGK teşvik tasarrufu ve kararı etkiler | Doğru kullanım: Yüksek risk skoru | Örnek: demo satırına bakın | Yanlışsa: Tasarruf ve karar bozulur | Kaynak: [Assumption] 5510 / 4447</t>
      </text>
    </comment>
    <comment ref="B25" authorId="0" shapeId="0">
      <text>
        <t>Tanım: tbo_riskEsikOran | Neden önemli: SGK teşvik tasarrufu ve kararı etkiler | Doğru kullanım: Yüksek risk kaçırılan/potansiyel | Örnek: demo satırına bakın | Yanlışsa: Tasarruf ve karar bozulur | Kaynak: [Assumption] 5510 / 4447</t>
      </text>
    </comment>
    <comment ref="B26" authorId="0" shapeId="0">
      <text>
        <t>Tanım: tbo_yilTaban | Neden önemli: SGK teşvik tasarrufu ve kararı etkiler | Doğru kullanım: CHOOSE yıl tabanı (hesapYili−taban) | Örnek: demo satırına bakın | Yanlışsa: Tasarruf ve karar bozulur | Kaynak: [Assumption] 5510 / 4447</t>
      </text>
    </comment>
    <comment ref="B27" authorId="0" shapeId="0">
      <text>
        <t>Tanım: tbo_yuvarMax | Neden önemli: SGK teşvik tasarrufu ve kararı etkiler | Doğru kullanım: ROUND basamak tavanı | Örnek: demo satırına bakın | Yanlışsa: Tasarruf ve karar bozulur | Kaynak: [Assumption] 5510 / 4447</t>
      </text>
    </comment>
    <comment ref="B28" authorId="0" shapeId="0">
      <text>
        <t>Tanım: tbo_azamiMatrahEsik | Neden önemli: SGK teşvik tasarrufu ve kararı etkiler | Doğru kullanım: Uç matrah eşiği (Ö2) | Örnek: demo satırına bakın | Yanlışsa: Tasarruf ve karar bozulur | Kaynak: [Assumption] 5510 / 4447</t>
      </text>
    </comment>
    <comment ref="B29" authorId="0" shapeId="0">
      <text>
        <t>Tanım: vaka_matrah_1 | Neden önemli: SGK teşvik tasarrufu ve kararı etkiler | Doğru kullanım: Vaka1 5 puan matrah | Örnek: demo satırına bakın | Yanlışsa: Tasarruf ve karar bozulur | Kaynak: [Assumption] 5510 / 4447</t>
      </text>
    </comment>
    <comment ref="B30" authorId="0" shapeId="0">
      <text>
        <t>Tanım: vaka_matrah_2 | Neden önemli: SGK teşvik tasarrufu ve kararı etkiler | Doğru kullanım: Vaka2 ilave matrah | Örnek: demo satırına bakın | Yanlışsa: Tasarruf ve karar bozulur | Kaynak: [Assumption] 5510 / 4447</t>
      </text>
    </comment>
    <comment ref="B31" authorId="0" shapeId="0">
      <text>
        <t>Tanım: vaka_tavan | Neden önemli: SGK teşvik tasarrufu ve kararı etkiler | Doğru kullanım: Vaka4 tavan | Örnek: demo satırına bakın | Yanlışsa: Tasarruf ve karar bozulur | Kaynak: [Assumption] 5510 / 4447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15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Bordro" displayName="tblBordro" ref="A6:L1006" headerRowCount="1">
  <tableColumns count="12">
    <tableColumn id="1" name="CalisanNo"/>
    <tableColumn id="2" name="AdSoyad"/>
    <tableColumn id="3" name="BrutMatrah"/>
    <tableColumn id="4" name="BesPuanUygun"/>
    <tableColumn id="5" name="IlaveUygun"/>
    <tableColumn id="6" name="KadinGencUygun"/>
    <tableColumn id="7" name="EngelliUygun"/>
    <tableColumn id="8" name="MevcutKod"/>
    <tableColumn id="9" name="EnAvantajliKod">
      <calculatedColumnFormula>=IF(tblBordro[[#This Row],[CalisanNo]]="","",IF(tblBordro[[#This Row],[EnAvantajliTutar]]=0,"YOK",IF(AND(tblBordro[[#This Row],[IlaveUygun]]="Evet",ROUND(tblBordro[[#This Row],[BrutMatrah]]*tbo_oranIlave,2)=tblBordro[[#This Row],[EnAvantajliTutar]]),"TBO-002",IF(AND(tblBordro[[#This Row],[BesPuanUygun]]="Evet",ROUND(tblBordro[[#This Row],[BrutMatrah]]*tbo_oranBesPuan,2)=tblBordro[[#This Row],[EnAvantajliTutar]]),"TBO-001",IF(AND(tblBordro[[#This Row],[KadinGencUygun]]="Evet",ROUND(tblBordro[[#This Row],[BrutMatrah]]*tbo_oranKadinGenc,2)=tblBordro[[#This Row],[EnAvantajliTutar]]),"TBO-004","TBO-ENG")))))</calculatedColumnFormula>
    </tableColumn>
    <tableColumn id="10" name="EnAvantajliTutar">
      <calculatedColumnFormula>=IF(tblBordro[[#This Row],[CalisanNo]]="","",MAX(IF(tblBordro[[#This Row],[BesPuanUygun]]="Evet",ROUND(tblBordro[[#This Row],[BrutMatrah]]*tbo_oranBesPuan,2),0),IF(tblBordro[[#This Row],[IlaveUygun]]="Evet",ROUND(tblBordro[[#This Row],[BrutMatrah]]*tbo_oranIlave,2),0),IF(tblBordro[[#This Row],[KadinGencUygun]]="Evet",ROUND(tblBordro[[#This Row],[BrutMatrah]]*tbo_oranKadinGenc,2),0),IF(tblBordro[[#This Row],[EngelliUygun]]="Evet",ROUND(tblBordro[[#This Row],[BrutMatrah]]*tbo_isverenOran,2),0)))</calculatedColumnFormula>
    </tableColumn>
    <tableColumn id="11" name="MevcutTutar">
      <calculatedColumnFormula>=IF(tblBordro[[#This Row],[CalisanNo]]="","",IF(tblBordro[[#This Row],[MevcutKod]]="TBO-001",IF(tblBordro[[#This Row],[BesPuanUygun]]="Evet",ROUND(tblBordro[[#This Row],[BrutMatrah]]*tbo_oranBesPuan,2),0),IF(tblBordro[[#This Row],[MevcutKod]]="TBO-002",IF(tblBordro[[#This Row],[IlaveUygun]]="Evet",ROUND(tblBordro[[#This Row],[BrutMatrah]]*tbo_oranIlave,2),0),IF(tblBordro[[#This Row],[MevcutKod]]="TBO-004",IF(tblBordro[[#This Row],[KadinGencUygun]]="Evet",ROUND(tblBordro[[#This Row],[BrutMatrah]]*tbo_oranKadinGenc,2),0),IF(tblBordro[[#This Row],[MevcutKod]]="TBO-ENG",IF(tblBordro[[#This Row],[EngelliUygun]]="Evet",ROUND(tblBordro[[#This Row],[BrutMatrah]]*tbo_isverenOran,2),0),0)))))</calculatedColumnFormula>
    </tableColumn>
    <tableColumn id="12" name="Kacirilan">
      <calculatedColumnFormula>=IF(tblBordro[[#This Row],[CalisanNo]]="","",MAX(0,tblBordro[[#This Row],[EnAvantajliTutar]]-tblBordro[[#This Row],[MevcutTutar]]))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Matris" displayName="tblMatris" ref="A6:O1006" headerRowCount="1">
  <tableColumns count="15">
    <tableColumn id="1" name="CalisanNo"/>
    <tableColumn id="2" name="AdSoyad"/>
    <tableColumn id="3" name="BrutMatrah"/>
    <tableColumn id="4" name="BesPuanUygun"/>
    <tableColumn id="5" name="IlaveUygun"/>
    <tableColumn id="6" name="KadinGencUygun"/>
    <tableColumn id="7" name="EngelliUygun"/>
    <tableColumn id="8" name="TBO001">
      <calculatedColumnFormula>=IF(tblMatris[[#This Row],[CalisanNo]]="","",IF(tblMatris[[#This Row],[BesPuanUygun]]="Evet",ROUND(tblMatris[[#This Row],[BrutMatrah]]*tbo_oranBesPuan,2),0))</calculatedColumnFormula>
    </tableColumn>
    <tableColumn id="9" name="TBO002">
      <calculatedColumnFormula>=IF(tblMatris[[#This Row],[CalisanNo]]="","",IF(tblMatris[[#This Row],[IlaveUygun]]="Evet",ROUND(tblMatris[[#This Row],[BrutMatrah]]*tbo_oranIlave,2),0))</calculatedColumnFormula>
    </tableColumn>
    <tableColumn id="10" name="TBO004">
      <calculatedColumnFormula>=IF(tblMatris[[#This Row],[CalisanNo]]="","",IF(tblMatris[[#This Row],[KadinGencUygun]]="Evet",ROUND(tblMatris[[#This Row],[BrutMatrah]]*tbo_oranKadinGenc,2),0))</calculatedColumnFormula>
    </tableColumn>
    <tableColumn id="11" name="TBOENG">
      <calculatedColumnFormula>=IF(tblMatris[[#This Row],[CalisanNo]]="","",IF(tblMatris[[#This Row],[EngelliUygun]]="Evet",ROUND(tblMatris[[#This Row],[BrutMatrah]]*tbo_isverenOran,2),0))</calculatedColumnFormula>
    </tableColumn>
    <tableColumn id="12" name="EnIyiKod">
      <calculatedColumnFormula>=IF(tblMatris[[#This Row],[CalisanNo]]="","",IF(tblMatris[[#This Row],[EnIyiTutar]]=0,"YOK",IF(tblMatris[[#This Row],[TBO002]]=tblMatris[[#This Row],[EnIyiTutar]],"TBO-002",IF(tblMatris[[#This Row],[TBO001]]=tblMatris[[#This Row],[EnIyiTutar]],"TBO-001",IF(tblMatris[[#This Row],[TBO004]]=tblMatris[[#This Row],[EnIyiTutar]],"TBO-004","TBO-ENG")))))</calculatedColumnFormula>
    </tableColumn>
    <tableColumn id="13" name="EnIyiTutar">
      <calculatedColumnFormula>=IF(tblMatris[[#This Row],[CalisanNo]]="","",MAX(tblMatris[[#This Row],[TBO001]],tblMatris[[#This Row],[TBO002]],tblMatris[[#This Row],[TBO004]],tblMatris[[#This Row],[TBOENG]]))</calculatedColumnFormula>
    </tableColumn>
    <tableColumn id="14" name="MevcutKod"/>
    <tableColumn id="15" name="Fark">
      <calculatedColumnFormula>=IF(tblMatris[[#This Row],[CalisanNo]]="","",MAX(0,tblMatris[[#This Row],[EnIyiTutar]]-IF(tblMatris[[#This Row],[MevcutKod]]="TBO-001",tblMatris[[#This Row],[TBO001]],IF(tblMatris[[#This Row],[MevcutKod]]="TBO-002",tblMatris[[#This Row],[TBO002]],IF(tblMatris[[#This Row],[MevcutKod]]="TBO-004",tblMatris[[#This Row],[TBO004]],IF(tblMatris[[#This Row],[MevcutKod]]="TBO-ENG",tblMatris[[#This Row],[TBOENG]],0))))))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Row],[kural_id]]="","",IFERROR(CHOOSE(MAX(1,MIN(3,IF(OR(hesapYili="",hesapYili=0),1,hesapYili-tbo_yilTaban))),tblKurallar[[#This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Row],[fark]])&lt;=tbo_tolerans,"TUTARLI","KIRIK"),"KIRIK"))</calculatedColumnFormula>
    </tableColumn>
    <tableColumn id="8" name="kaynak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Ornek" displayName="tblOrnek" ref="A5:I1004" headerRowCount="1">
  <tableColumns count="9">
    <tableColumn id="1" name="Senaryo"/>
    <tableColumn id="2" name="Brüt Matrah"/>
    <tableColumn id="3" name="5 Puan"/>
    <tableColumn id="4" name="İlave"/>
    <tableColumn id="5" name="Kadın/Genç"/>
    <tableColumn id="6" name="Engelli"/>
    <tableColumn id="7" name="Mevcut"/>
    <tableColumn id="8" name="Potansiyel">
      <calculatedColumnFormula>=IF(tblOrnek[[#This Row],[Senaryo]]="","",IFERROR(ROUND(tblOrnek[[#This Row],[5 Puan]]*INDEX(tblKurallar[deger_2025],MATCH("TBO-001",tblKurallar[kural_id],0))+tblOrnek[[#This Row],[İlave]]*INDEX(tblKurallar[deger_2025],MATCH("TBO-002",tblKurallar[kural_id],0))+tblOrnek[[#This Row],[Kadın/Genç]]*INDEX(tblKurallar[deger_2025],MATCH("TBO-004",tblKurallar[kural_id],0))+tblOrnek[[#This Row],[Engelli]]*tbo_isverenOran,2),0))</calculatedColumnFormula>
    </tableColumn>
    <tableColumn id="9" name="Kaçırılan">
      <calculatedColumnFormula>=IF(tblOrnek[[#This Row],[Senaryo]]="","",IFERROR(MAX(0,tblOrnek[[#This Row],[Potansiyel]]-tblOrnek[[#This Row],[Mevcut]]),0))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EXCELARŞİV KARAR SİSTEMİ v15.1 — ÜRETİM REFERANSI</t>
        </is>
      </c>
    </row>
    <row r="3" ht="24" customHeight="1">
      <c r="A3" s="171" t="inlineStr">
        <is>
          <t>Konu</t>
        </is>
      </c>
      <c r="B3" s="171" t="inlineStr">
        <is>
          <t>Bağlayıcı Standart</t>
        </is>
      </c>
    </row>
    <row r="4">
      <c r="A4" s="172" t="inlineStr">
        <is>
          <t>Amaç</t>
        </is>
      </c>
      <c r="B4" s="173" t="inlineStr">
        <is>
          <t>Kanıta dayalı, hatada kapalı çalışan Excel üretim ve denetim sistemi</t>
        </is>
      </c>
    </row>
    <row r="5">
      <c r="A5" s="172" t="inlineStr">
        <is>
          <t>Öncelik</t>
        </is>
      </c>
      <c r="B5" s="173" t="inlineStr">
        <is>
          <t>Kullanıcının açık iş talebi ve gerçek kullanım senaryosu</t>
        </is>
      </c>
    </row>
    <row r="6">
      <c r="A6" s="172" t="inlineStr">
        <is>
          <t>Ana akış</t>
        </is>
      </c>
      <c r="B6" s="173" t="inlineStr">
        <is>
          <t>Uygunluk → Yönetişim → Sözleşmeler → Üretim → Test → Kanıt → Kullanıcı Kabulü → Yayın</t>
        </is>
      </c>
    </row>
    <row r="7">
      <c r="A7" s="172" t="inlineStr">
        <is>
          <t>Yayın ilkesi</t>
        </is>
      </c>
      <c r="B7" s="173" t="inlineStr">
        <is>
          <t>Üst aşamada hata varsa alt aşama GEÇTİ üretilemez</t>
        </is>
      </c>
    </row>
    <row r="8">
      <c r="A8" s="172" t="inlineStr">
        <is>
          <t>Kullanıcı kabulü</t>
        </is>
      </c>
      <c r="B8" s="173" t="inlineStr">
        <is>
          <t>Excel masaüstü görünümü test edilmediyse DIŞ_KABUL_GEREKLİ</t>
        </is>
      </c>
    </row>
    <row r="9">
      <c r="A9" s="172" t="inlineStr">
        <is>
          <t>Nihai yayın</t>
        </is>
      </c>
      <c r="B9" s="173" t="inlineStr">
        <is>
          <t>Yalnız uygulanabilir modüller GEÇTİ veya gerekçeli UYGULANMAZ</t>
        </is>
      </c>
    </row>
    <row r="10">
      <c r="A10" s="172" t="inlineStr">
        <is>
          <t>Ticari ayrım</t>
        </is>
      </c>
      <c r="B10" s="173" t="inlineStr">
        <is>
          <t>Ekonomik olarak savunulabilir fiyat, gerçek pazar kabulü ile aynı değildir</t>
        </is>
      </c>
    </row>
    <row r="11">
      <c r="A11" s="172" t="inlineStr">
        <is>
          <t>Karmaşıklık</t>
        </is>
      </c>
      <c r="B11" s="173" t="inlineStr">
        <is>
          <t>Karar değeri, eklenen karmaşıklığın maliyetinden büyük olmalıdır</t>
        </is>
      </c>
    </row>
    <row r="12">
      <c r="A12" s="172" t="inlineStr">
        <is>
          <t>Excel sınırı</t>
        </is>
      </c>
      <c r="B12" s="173" t="inlineStr">
        <is>
          <t>Veritabanı, kurumsal yetkilendirme, değiştirilemez kayıt sistemi veya gerçek zamanlı olay platformu değildir</t>
        </is>
      </c>
    </row>
    <row r="13">
      <c r="A13" s="172" t="inlineStr">
        <is>
          <t>Dil standardı</t>
        </is>
      </c>
      <c r="B13" s="173" t="inlineStr">
        <is>
          <t>Kullanıcıya görünen tüm sayfa, tablo, başlık, açıklama, uyarı ve karar metinleri saf Türkçe olmalıdır</t>
        </is>
      </c>
    </row>
    <row r="14">
      <c r="A14" s="172" t="inlineStr">
        <is>
          <t>Muhasebe standardı</t>
        </is>
      </c>
      <c r="B14" s="173" t="inlineStr">
        <is>
          <t>Finansal ürünlerde Türkiye Tekdüzen Hesap Planı ve Türk muhasebe kullanım alışkanlıkları esas alınır</t>
        </is>
      </c>
    </row>
    <row r="15">
      <c r="A15" s="172" t="inlineStr">
        <is>
          <t>Görsel standart</t>
        </is>
      </c>
      <c r="B15" s="173" t="inlineStr">
        <is>
          <t>Her sayfa başlıklı, renk kodlu, sıkı kolon düzenli ve premium kurumsal görünümde olmalıdır</t>
        </is>
      </c>
    </row>
    <row r="16">
      <c r="A16" s="172" t="inlineStr">
        <is>
          <t>Grafik standardı</t>
        </is>
      </c>
      <c r="B16" s="173" t="inlineStr">
        <is>
          <t>Grafikler karar üretmeli; dekoratif, 3B, anlamsız renkli veya varsayılan Excel grafiği kullanılamaz</t>
        </is>
      </c>
    </row>
    <row r="17">
      <c r="A17" s="172" t="inlineStr">
        <is>
          <t>Hata standardı</t>
        </is>
      </c>
      <c r="B17" s="173" t="inlineStr">
        <is>
          <t>#AD? / #BAŞV! / #DEĞER! / #SAYI/0! / #YOK gibi hatalar GEÇTİ sonucuyla birlikte bulunamaz</t>
        </is>
      </c>
    </row>
    <row r="18">
      <c r="A18" s="172" t="inlineStr">
        <is>
          <t>Karar standardı</t>
        </is>
      </c>
      <c r="B18" s="173" t="inlineStr">
        <is>
          <t>Her kritik çıktı: ne oldu, neden oldu, parasal etki, ne yapılmalı, ne zamana kadar sorularını cevaplar</t>
        </is>
      </c>
    </row>
    <row r="19">
      <c r="A19" s="172" t="inlineStr">
        <is>
          <t>Satış standardı</t>
        </is>
      </c>
      <c r="B19" s="173" t="inlineStr">
        <is>
          <t>Ürün 5 saniyede anlaşılmalı; pahalı problemi, ekonomik sonucu, kanıtı ve satın alma gerekçesini göstermelidir</t>
        </is>
      </c>
    </row>
    <row r="20">
      <c r="A20" s="172" t="inlineStr">
        <is>
          <t>Güven standardı</t>
        </is>
      </c>
      <c r="B20" s="173" t="inlineStr">
        <is>
          <t>Kanıtsız 'premium', 'kusursuz', 'sıfır hata' veya yüksek fiyat iddiası kullanılamaz</t>
        </is>
      </c>
    </row>
    <row r="21">
      <c r="A21" s="172" t="inlineStr">
        <is>
          <t>Kaynak</t>
        </is>
      </c>
      <c r="B21" s="173" t="inlineStr">
        <is>
          <t>Teknik Python çekirdeği 99_TEKNIK_KAYNAK sayfasında saklanır; kullanıcı arayüzü değildir</t>
        </is>
      </c>
    </row>
    <row r="22">
      <c r="A22" s="172" t="inlineStr">
        <is>
          <t>Bağlayıcı standart</t>
        </is>
      </c>
      <c r="B22" s="173" t="inlineStr">
        <is>
          <t>Teknik kaynak içindeki üretim sözleşmesi + bu çalışma kitabındaki Türkçe operasyon standartları</t>
        </is>
      </c>
    </row>
    <row r="23">
      <c r="A23" s="172" t="inlineStr">
        <is>
          <t>Çıktı disiplini</t>
        </is>
      </c>
      <c r="B23" s="173" t="inlineStr">
        <is>
          <t>Kanıtsız GEÇTİ / NİHAİ / TİCARİ / PAZAR_DOĞRULANDI statüsü yasaktır</t>
        </is>
      </c>
    </row>
    <row r="24">
      <c r="A24" s="172" t="inlineStr">
        <is>
          <t>Uyarlanabilirlik</t>
        </is>
      </c>
      <c r="B24" s="173" t="inlineStr">
        <is>
          <t>Gereksiz modül yalnız prestij amacıyla eklenmez</t>
        </is>
      </c>
    </row>
    <row r="26" ht="16" customHeight="1">
      <c r="A26" s="174" t="inlineStr">
        <is>
          <t>TEK KAYNAK MİMARİSİ</t>
        </is>
      </c>
      <c r="B26" s="174" t="inlineStr">
        <is>
          <t>İKİ DOSYALI / TEK SİSTEM</t>
        </is>
      </c>
    </row>
    <row r="27" ht="28" customHeight="1">
      <c r="A27" s="173" t="inlineStr">
        <is>
          <t>MASTER Excel</t>
        </is>
      </c>
      <c r="B27" s="173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3" t="inlineStr">
        <is>
          <t>Runtime Python</t>
        </is>
      </c>
      <c r="B28" s="173" t="inlineStr">
        <is>
          <t>EXCELARSIV_DECISION_OS_V15_1_RUNTIME_KERNEL.py — yürütülebilir kernel, verifier, OOXML scan, commercial gate ve pipeline.</t>
        </is>
      </c>
    </row>
    <row r="29">
      <c r="A29" s="173" t="inlineStr">
        <is>
          <t>Python SHA-256</t>
        </is>
      </c>
      <c r="B29" s="173" t="inlineStr">
        <is>
          <t>babe066ab599199123e53d01944bcd9d75648a579ade69ab9303dd675962f481</t>
        </is>
      </c>
    </row>
    <row r="30">
      <c r="A30" s="173" t="inlineStr">
        <is>
          <t>Sürüm Eşleşmesi</t>
        </is>
      </c>
      <c r="B30" s="173" t="inlineStr">
        <is>
          <t>Her iki dosya v15.1 sistemine aittir. Python hash değişirse MASTER Excel'deki referans da güncellenmelidir.</t>
        </is>
      </c>
    </row>
    <row r="31" ht="28" customHeight="1">
      <c r="A31" s="173" t="inlineStr">
        <is>
          <t>Sahte PASS Yasağı</t>
        </is>
      </c>
      <c r="B31" s="173" t="inlineStr">
        <is>
          <t>Kanıt yoksa PASS yok; hata=FAIL, ölçülemiyorsa=BLOCKED, Excel GUI gerekiyorsa=HARİCİ KABUL GEREKLİ.</t>
        </is>
      </c>
    </row>
    <row r="32">
      <c r="A32" s="173" t="inlineStr">
        <is>
          <t>Dil</t>
        </is>
      </c>
      <c r="B32" s="173" t="inlineStr">
        <is>
          <t>Kullanıcı yüzeyi safkan Türkçe; teknik kavramların Türkçe karşılığı ana terimdir.</t>
        </is>
      </c>
    </row>
    <row r="33">
      <c r="A33" s="173" t="inlineStr">
        <is>
          <t>Muhasebe</t>
        </is>
      </c>
      <c r="B33" s="173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24" t="inlineStr">
        <is>
          <t>☰ PANO</t>
        </is>
      </c>
    </row>
    <row r="2" ht="28" customHeight="1">
      <c r="B2" s="225" t="inlineStr">
        <is>
          <t>TEŞVIKLI BORDRO OPTIMIZASYON</t>
        </is>
      </c>
      <c r="L2" s="226" t="inlineStr">
        <is>
          <t>Dönem: 2026 / Tam ▼</t>
        </is>
      </c>
      <c r="M2" s="227" t="inlineStr">
        <is>
          <t>★ DOĞRULANMIŞ</t>
        </is>
      </c>
    </row>
    <row r="3" ht="18" customHeight="1">
      <c r="B3" s="228" t="inlineStr">
        <is>
          <t>Hedef Kullanıcı: İK, bordro, SMMM, CFO · 2026 Q3 Denetim Standardı</t>
        </is>
      </c>
    </row>
    <row r="4" ht="10" customHeight="1"/>
    <row r="5" ht="20" customHeight="1">
      <c r="B5" s="229" t="inlineStr">
        <is>
          <t>KAPSAM MATRAH</t>
        </is>
      </c>
      <c r="C5" s="230" t="n"/>
      <c r="D5" s="231" t="inlineStr">
        <is>
          <t>KONSOLİDE</t>
        </is>
      </c>
      <c r="E5" s="232" t="inlineStr">
        <is>
          <t>MEVCUT/POTANSIYEL</t>
        </is>
      </c>
      <c r="F5" s="230" t="n"/>
      <c r="G5" s="233" t="inlineStr">
        <is>
          <t>KONTROL</t>
        </is>
      </c>
      <c r="H5" s="234" t="inlineStr">
        <is>
          <t>NET OPERASYONEL MARJ</t>
        </is>
      </c>
      <c r="I5" s="230" t="n"/>
      <c r="J5" s="235" t="inlineStr">
        <is>
          <t>GÜVENLİ</t>
        </is>
      </c>
      <c r="K5" s="236" t="inlineStr">
        <is>
          <t>SİSTEM GÜVEN SKORU</t>
        </is>
      </c>
      <c r="L5" s="230" t="n"/>
      <c r="M5" s="237" t="inlineStr">
        <is>
          <t>DENETLENDİ</t>
        </is>
      </c>
    </row>
    <row r="6" ht="6" customHeight="1">
      <c r="B6" s="238" t="n"/>
      <c r="C6" s="239" t="n"/>
      <c r="D6" s="240" t="n"/>
      <c r="E6" s="241" t="n"/>
      <c r="F6" s="239" t="n"/>
      <c r="G6" s="240" t="n"/>
      <c r="H6" s="242" t="n"/>
      <c r="I6" s="239" t="n"/>
      <c r="J6" s="240" t="n"/>
      <c r="K6" s="243" t="n"/>
      <c r="L6" s="239" t="n"/>
      <c r="M6" s="240" t="n"/>
    </row>
    <row r="7" ht="32" customHeight="1">
      <c r="B7" s="244">
        <f>GİRDİLER!E17</f>
        <v/>
      </c>
      <c r="C7" s="239" t="n"/>
      <c r="D7" s="240" t="n"/>
      <c r="E7" s="245">
        <f>B7*0.22</f>
        <v/>
      </c>
      <c r="F7" s="239" t="n"/>
      <c r="G7" s="240" t="n"/>
      <c r="H7" s="246">
        <f>B7-E7</f>
        <v/>
      </c>
      <c r="I7" s="239" t="n"/>
      <c r="J7" s="240" t="n"/>
      <c r="K7" s="247">
        <f>IF(E7&gt;0, ROUND(B7/E7, 2), 0)</f>
        <v/>
      </c>
      <c r="L7" s="239" t="n"/>
      <c r="M7" s="240" t="n"/>
    </row>
    <row r="8" ht="6" customHeight="1">
      <c r="B8" s="238" t="n"/>
      <c r="C8" s="239" t="n"/>
      <c r="D8" s="240" t="n"/>
      <c r="E8" s="241" t="n"/>
      <c r="F8" s="239" t="n"/>
      <c r="G8" s="240" t="n"/>
      <c r="H8" s="242" t="n"/>
      <c r="I8" s="239" t="n"/>
      <c r="J8" s="240" t="n"/>
      <c r="K8" s="243" t="n"/>
      <c r="L8" s="239" t="n"/>
      <c r="M8" s="240" t="n"/>
    </row>
    <row r="9" ht="18" customHeight="1">
      <c r="B9" s="248" t="inlineStr">
        <is>
          <t>↑ %14.2 konsolide canlı veri bağlantısı</t>
        </is>
      </c>
      <c r="C9" s="249" t="n"/>
      <c r="D9" s="250" t="n"/>
      <c r="E9" s="251" t="inlineStr">
        <is>
          <t>● 8 Kalem nakit karşılığı: bloke</t>
        </is>
      </c>
      <c r="F9" s="249" t="n"/>
      <c r="G9" s="250" t="n"/>
      <c r="H9" s="252" t="inlineStr">
        <is>
          <t>██████████░░░░░ %78.0 NET MARJ</t>
        </is>
      </c>
      <c r="I9" s="249" t="n"/>
      <c r="J9" s="250" t="n"/>
      <c r="K9" s="253" t="inlineStr">
        <is>
          <t>✓ İDEAL karşılama rasyosu</t>
        </is>
      </c>
      <c r="L9" s="249" t="n"/>
      <c r="M9" s="250" t="n"/>
    </row>
    <row r="10" ht="14" customHeight="1"/>
    <row r="11" ht="24" customHeight="1">
      <c r="B11" s="254" t="inlineStr">
        <is>
          <t>TEŞVIKLI BORDRO OPTIMIZASYON — DÖNEMSEL İCRA VE PROJEKSİYON</t>
        </is>
      </c>
      <c r="F11" s="255" t="inlineStr">
        <is>
          <t>+%32 Verim</t>
        </is>
      </c>
      <c r="H11" s="254" t="inlineStr">
        <is>
          <t>KONSOLİDE OPERASYON VE KARAR MATRİSİ</t>
        </is>
      </c>
    </row>
    <row r="12" ht="18" customHeight="1">
      <c r="B12" s="96" t="inlineStr">
        <is>
          <t>Kümülatif Hacim vs. Operasyonel Maliyet ve Net Kâr Eğilimi</t>
        </is>
      </c>
      <c r="H12" s="96" t="inlineStr">
        <is>
          <t>Anlık Hesaplama Sonuçları, Dinamik Formül Çıktıları ve Durum Puanlaması</t>
        </is>
      </c>
    </row>
    <row r="13" ht="8" customHeight="1"/>
    <row r="14" ht="24" customHeight="1">
      <c r="B14" s="256" t="inlineStr">
        <is>
          <t>Dönem</t>
        </is>
      </c>
      <c r="C14" s="256" t="inlineStr">
        <is>
          <t>Aktif Hacim</t>
        </is>
      </c>
      <c r="D14" s="256" t="inlineStr">
        <is>
          <t>Maliyet/Yük</t>
        </is>
      </c>
      <c r="E14" s="256" t="inlineStr">
        <is>
          <t>Hedef</t>
        </is>
      </c>
      <c r="H14" s="257" t="inlineStr">
        <is>
          <t>PARAMETRE / KALEM</t>
        </is>
      </c>
      <c r="I14" s="258" t="inlineStr">
        <is>
          <t>ANA TUTAR</t>
        </is>
      </c>
      <c r="J14" s="258" t="inlineStr">
        <is>
          <t>FARK / MARJ</t>
        </is>
      </c>
      <c r="K14" s="258" t="inlineStr">
        <is>
          <t>VADE</t>
        </is>
      </c>
      <c r="L14" s="258" t="inlineStr">
        <is>
          <t>KONTROL DURUMU</t>
        </is>
      </c>
      <c r="M14" s="258" t="n"/>
    </row>
    <row r="15" ht="22" customHeight="1">
      <c r="B15" s="259" t="inlineStr">
        <is>
          <t>D1</t>
        </is>
      </c>
      <c r="C15" s="259" t="n">
        <v>65</v>
      </c>
      <c r="D15" s="259" t="n">
        <v>45</v>
      </c>
      <c r="E15" s="259" t="n">
        <v>60</v>
      </c>
      <c r="H15" s="260" t="inlineStr">
        <is>
          <t>Dönemlik Kümülatif Bakiye</t>
        </is>
      </c>
      <c r="I15" s="261">
        <f>B7*0.45</f>
        <v/>
      </c>
      <c r="J15" s="262">
        <f>B7*0.05</f>
        <v/>
      </c>
      <c r="K15" s="263" t="inlineStr">
        <is>
          <t>12 Ay</t>
        </is>
      </c>
      <c r="L15" s="264" t="inlineStr">
        <is>
          <t>✓ DÜZENLİ</t>
        </is>
      </c>
      <c r="M15" s="265" t="n"/>
    </row>
    <row r="16" ht="22" customHeight="1">
      <c r="B16" s="266" t="inlineStr">
        <is>
          <t>D2</t>
        </is>
      </c>
      <c r="C16" s="266" t="n">
        <v>78</v>
      </c>
      <c r="D16" s="266" t="n">
        <v>48</v>
      </c>
      <c r="E16" s="266" t="n">
        <v>70</v>
      </c>
      <c r="H16" s="267" t="inlineStr">
        <is>
          <t>Kritik Eşik Güvenlik Tamponu</t>
        </is>
      </c>
      <c r="I16" s="268">
        <f>B7*0.30</f>
        <v/>
      </c>
      <c r="J16" s="269">
        <f>B7*0.03</f>
        <v/>
      </c>
      <c r="K16" s="270" t="inlineStr">
        <is>
          <t>24 Ay</t>
        </is>
      </c>
      <c r="L16" s="271" t="inlineStr">
        <is>
          <t>★ AVANTAJ</t>
        </is>
      </c>
      <c r="M16" s="272" t="n"/>
    </row>
    <row r="17" ht="22" customHeight="1">
      <c r="B17" s="259" t="inlineStr">
        <is>
          <t>D3</t>
        </is>
      </c>
      <c r="C17" s="259" t="n">
        <v>85</v>
      </c>
      <c r="D17" s="259" t="n">
        <v>55</v>
      </c>
      <c r="E17" s="259" t="n">
        <v>80</v>
      </c>
      <c r="H17" s="260" t="inlineStr">
        <is>
          <t>Operasyonel Net Fark</t>
        </is>
      </c>
      <c r="I17" s="261">
        <f>B7*0.15</f>
        <v/>
      </c>
      <c r="J17" s="262">
        <f>B7*0.02</f>
        <v/>
      </c>
      <c r="K17" s="263" t="inlineStr">
        <is>
          <t>8 Ay</t>
        </is>
      </c>
      <c r="L17" s="273" t="inlineStr">
        <is>
          <t>● YAKLAŞAN</t>
        </is>
      </c>
      <c r="M17" s="265" t="n"/>
    </row>
    <row r="18" ht="22" customHeight="1">
      <c r="B18" s="266" t="inlineStr">
        <is>
          <t>D4</t>
        </is>
      </c>
      <c r="C18" s="266" t="n">
        <v>75</v>
      </c>
      <c r="D18" s="266" t="n">
        <v>42</v>
      </c>
      <c r="E18" s="266" t="n">
        <v>75</v>
      </c>
      <c r="H18" s="267" t="inlineStr">
        <is>
          <t>Rezerv ve Likit Dağılım</t>
        </is>
      </c>
      <c r="I18" s="268">
        <f>B7*0.10</f>
        <v/>
      </c>
      <c r="J18" s="269">
        <f>B7*0.01</f>
        <v/>
      </c>
      <c r="K18" s="270" t="inlineStr">
        <is>
          <t>16 Ay</t>
        </is>
      </c>
      <c r="L18" s="274" t="inlineStr">
        <is>
          <t>✓ TAM UYUM</t>
        </is>
      </c>
      <c r="M18" s="272" t="n"/>
    </row>
    <row r="19" ht="26" customHeight="1">
      <c r="B19" s="259" t="inlineStr">
        <is>
          <t>D5</t>
        </is>
      </c>
      <c r="C19" s="259" t="n">
        <v>90</v>
      </c>
      <c r="D19" s="259" t="n">
        <v>40</v>
      </c>
      <c r="E19" s="259" t="n">
        <v>85</v>
      </c>
      <c r="H19" s="275" t="inlineStr">
        <is>
          <t>KONSOLİDE SİSTEM TOPLAMI</t>
        </is>
      </c>
      <c r="I19" s="276">
        <f>SUM(I15:I18)</f>
        <v/>
      </c>
      <c r="J19" s="277">
        <f>SUM(J15:J18)</f>
        <v/>
      </c>
      <c r="K19" s="278" t="inlineStr"/>
      <c r="L19" s="279" t="inlineStr">
        <is>
          <t>TAM DOĞRULANDI (0 HATA)</t>
        </is>
      </c>
      <c r="M19" s="279" t="n"/>
    </row>
    <row r="20" ht="22" customHeight="1">
      <c r="B20" s="266" t="inlineStr">
        <is>
          <t>D6</t>
        </is>
      </c>
      <c r="C20" s="266" t="n">
        <v>96</v>
      </c>
      <c r="D20" s="266" t="n">
        <v>32</v>
      </c>
      <c r="E20" s="266" t="n">
        <v>92</v>
      </c>
    </row>
    <row r="21" ht="14" customHeight="1"/>
    <row r="22" ht="24" customHeight="1">
      <c r="B22" s="280" t="inlineStr">
        <is>
          <t>KONSOLİDE PAY VE AĞIRLIK</t>
        </is>
      </c>
      <c r="C22" s="230" t="n"/>
      <c r="D22" s="230" t="n"/>
      <c r="E22" s="281" t="n"/>
      <c r="F22" s="280" t="inlineStr">
        <is>
          <t>LİKİDİTE RİSKİ &amp; ERKEN UYARI SİNYALLERİ</t>
        </is>
      </c>
      <c r="G22" s="230" t="n"/>
      <c r="H22" s="230" t="n"/>
      <c r="I22" s="281" t="n"/>
      <c r="K22" s="282" t="inlineStr">
        <is>
          <t>KARAR MOTORU</t>
        </is>
      </c>
      <c r="L22" s="283" t="n"/>
      <c r="M22" s="284" t="n"/>
    </row>
    <row r="23" ht="20" customHeight="1">
      <c r="B23" s="285" t="inlineStr">
        <is>
          <t>■ Ana Segment (%42)</t>
        </is>
      </c>
      <c r="C23" s="239" t="n"/>
      <c r="D23" s="239" t="n"/>
      <c r="E23" s="240" t="n"/>
      <c r="F23" s="286" t="inlineStr">
        <is>
          <t>Nakit Açığı Riski (30 Gün)</t>
        </is>
      </c>
      <c r="G23" s="239" t="n"/>
      <c r="H23" s="239" t="n"/>
      <c r="I23" s="287" t="inlineStr">
        <is>
          <t>0.00 TL (Sıfır Risk)</t>
        </is>
      </c>
      <c r="K23" s="288" t="inlineStr">
        <is>
          <t>LİKİDİTE OPTİMİZASYON FIRSATI</t>
        </is>
      </c>
      <c r="L23" s="289" t="n"/>
      <c r="M23" s="290" t="n"/>
    </row>
    <row r="24" ht="20" customHeight="1">
      <c r="B24" s="291" t="inlineStr">
        <is>
          <t>■ İkincil Grup (%30)</t>
        </is>
      </c>
      <c r="C24" s="239" t="n"/>
      <c r="D24" s="239" t="n"/>
      <c r="E24" s="240" t="n"/>
      <c r="F24" s="286" t="inlineStr">
        <is>
          <t>Tahsilat Gecikme Toleransı</t>
        </is>
      </c>
      <c r="G24" s="239" t="n"/>
      <c r="H24" s="239" t="n"/>
      <c r="I24" s="287" t="inlineStr">
        <is>
          <t>48 Gün Güvenli Eşik</t>
        </is>
      </c>
      <c r="K24" s="292" t="inlineStr">
        <is>
          <t>Atıl kalan nakit rezervinin gecelik repoda</t>
        </is>
      </c>
    </row>
    <row r="25" ht="20" customHeight="1">
      <c r="B25" s="293" t="inlineStr">
        <is>
          <t>■ Destek Birimi (%15)</t>
        </is>
      </c>
      <c r="C25" s="239" t="n"/>
      <c r="D25" s="239" t="n"/>
      <c r="E25" s="240" t="n"/>
      <c r="F25" s="264" t="inlineStr">
        <is>
          <t>██████████████████████████████████████ Güvenli Bölge (%100)</t>
        </is>
      </c>
      <c r="G25" s="294" t="n"/>
      <c r="H25" s="294" t="n"/>
      <c r="I25" s="294" t="n"/>
    </row>
    <row r="26" ht="20" customHeight="1">
      <c r="B26" s="295" t="inlineStr">
        <is>
          <t>■ Rezervler (%13)</t>
        </is>
      </c>
      <c r="C26" s="239" t="n"/>
      <c r="D26" s="239" t="n"/>
      <c r="E26" s="240" t="n"/>
      <c r="F26" s="296" t="inlineStr">
        <is>
          <t>✓ 90 GÜNLÜK PROJEKSİYONDA NAKİT SIKIŞIKLIĞI TESPİT EDİLMEDİ</t>
        </is>
      </c>
      <c r="G26" s="206" t="n"/>
      <c r="H26" s="206" t="n"/>
      <c r="I26" s="207" t="n"/>
      <c r="K26" s="297" t="inlineStr">
        <is>
          <t>FONLAMA SENARYOSUNU İNCELE ›</t>
        </is>
      </c>
    </row>
    <row r="27" ht="26" customHeight="1">
      <c r="B27" s="298" t="n"/>
      <c r="C27" s="249" t="n"/>
      <c r="D27" s="249" t="n"/>
      <c r="E27" s="250" t="n"/>
      <c r="F27" s="208" t="n"/>
      <c r="G27" s="209" t="n"/>
      <c r="H27" s="209" t="n"/>
      <c r="I27" s="210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77" t="inlineStr">
        <is>
          <t>☰ PANO</t>
        </is>
      </c>
    </row>
    <row r="3">
      <c r="B3" s="135" t="inlineStr">
        <is>
          <t>🔍  TEŞVIKLI BORDRO OPTIMIZASYON — Kayıt veya hesap ara...</t>
        </is>
      </c>
      <c r="C3" s="211" t="n"/>
      <c r="D3" s="211" t="n"/>
      <c r="E3" s="212" t="n"/>
      <c r="G3" s="136" t="inlineStr">
        <is>
          <t>TOPLAM: 1.450 KAYIT</t>
        </is>
      </c>
      <c r="I3" s="137" t="inlineStr">
        <is>
          <t>HATALI HÜCRE: 0 ADET</t>
        </is>
      </c>
    </row>
    <row r="5">
      <c r="B5" s="138" t="inlineStr">
        <is>
          <t>TARİH</t>
        </is>
      </c>
      <c r="C5" s="138" t="inlineStr">
        <is>
          <t>REFERANS NO</t>
        </is>
      </c>
      <c r="D5" s="138" t="inlineStr">
        <is>
          <t>İŞLEM AÇIKLAMASI VE DETAY</t>
        </is>
      </c>
      <c r="E5" s="138" t="inlineStr">
        <is>
          <t>BRÜT TUTAR (₺)</t>
        </is>
      </c>
      <c r="F5" s="138" t="inlineStr">
        <is>
          <t>KDV ORANI</t>
        </is>
      </c>
      <c r="G5" s="138" t="inlineStr">
        <is>
          <t>NET TUTAR (₺)</t>
        </is>
      </c>
      <c r="H5" s="138" t="inlineStr">
        <is>
          <t>HESAP / CARİ</t>
        </is>
      </c>
      <c r="I5" s="138" t="inlineStr">
        <is>
          <t>DURUM</t>
        </is>
      </c>
    </row>
    <row r="6">
      <c r="B6" s="139" t="inlineStr">
        <is>
          <t>12.10.2026</t>
        </is>
      </c>
      <c r="C6" s="140" t="inlineStr">
        <is>
          <t>TR-0428-A</t>
        </is>
      </c>
      <c r="D6" s="141" t="inlineStr">
        <is>
          <t>Operasyonel ana kalem tahmini</t>
        </is>
      </c>
      <c r="E6" s="200" t="n">
        <v>845200</v>
      </c>
      <c r="F6" s="143" t="n">
        <v>0.2</v>
      </c>
      <c r="G6" s="144">
        <f>E6/(1+F6)</f>
        <v/>
      </c>
      <c r="H6" s="141" t="inlineStr">
        <is>
          <t>Vadesiz Ticari</t>
        </is>
      </c>
      <c r="I6" s="145" t="inlineStr">
        <is>
          <t>ONAYLANDI</t>
        </is>
      </c>
    </row>
    <row r="7">
      <c r="B7" s="146" t="inlineStr">
        <is>
          <t>14.10.2026</t>
        </is>
      </c>
      <c r="C7" s="147" t="inlineStr">
        <is>
          <t>TR-0429-B</t>
        </is>
      </c>
      <c r="D7" s="148" t="inlineStr">
        <is>
          <t>Operasyonel çıkış/maliyet tahmini</t>
        </is>
      </c>
      <c r="E7" s="200" t="n">
        <v>1240000</v>
      </c>
      <c r="F7" s="150" t="n">
        <v>0.2</v>
      </c>
      <c r="G7" s="151">
        <f>E7/(1+F7)</f>
        <v/>
      </c>
      <c r="H7" s="148" t="inlineStr">
        <is>
          <t>Tedarikçi Havuzu</t>
        </is>
      </c>
      <c r="I7" s="152" t="inlineStr">
        <is>
          <t>BEKLEMEDE</t>
        </is>
      </c>
    </row>
    <row r="8">
      <c r="B8" s="139" t="inlineStr">
        <is>
          <t>18.10.2026</t>
        </is>
      </c>
      <c r="C8" s="140" t="inlineStr">
        <is>
          <t>TR-0430-C</t>
        </is>
      </c>
      <c r="D8" s="141" t="inlineStr">
        <is>
          <t>Ödeme takvimi tahakkuku</t>
        </is>
      </c>
      <c r="E8" s="200" t="n">
        <v>620500</v>
      </c>
      <c r="F8" s="143" t="n">
        <v>0.1</v>
      </c>
      <c r="G8" s="144">
        <f>E8/(1+F8)</f>
        <v/>
      </c>
      <c r="H8" s="141" t="inlineStr">
        <is>
          <t>Kısa Vade Tahakkuk</t>
        </is>
      </c>
      <c r="I8" s="145" t="inlineStr">
        <is>
          <t>ONAYLANDI</t>
        </is>
      </c>
    </row>
    <row r="9">
      <c r="B9" s="146" t="inlineStr">
        <is>
          <t>21.10.2026</t>
        </is>
      </c>
      <c r="C9" s="147" t="inlineStr">
        <is>
          <t>TR-0431-D</t>
        </is>
      </c>
      <c r="D9" s="148" t="inlineStr">
        <is>
          <t>Müşteri işlem tahmini</t>
        </is>
      </c>
      <c r="E9" s="200" t="n">
        <v>415000</v>
      </c>
      <c r="F9" s="150" t="n">
        <v>0.2</v>
      </c>
      <c r="G9" s="151">
        <f>E9/(1+F9)</f>
        <v/>
      </c>
      <c r="H9" s="148" t="inlineStr">
        <is>
          <t>Müşteri Alacağı</t>
        </is>
      </c>
      <c r="I9" s="153" t="inlineStr">
        <is>
          <t>ONAYLANDI</t>
        </is>
      </c>
    </row>
    <row r="10">
      <c r="B10" s="139" t="inlineStr">
        <is>
          <t>25.10.2026</t>
        </is>
      </c>
      <c r="C10" s="140" t="inlineStr">
        <is>
          <t>TR-0432-E</t>
        </is>
      </c>
      <c r="D10" s="141" t="inlineStr">
        <is>
          <t>Ana operasyon tahmini</t>
        </is>
      </c>
      <c r="E10" s="200" t="n">
        <v>980400</v>
      </c>
      <c r="F10" s="143" t="n">
        <v>0.2</v>
      </c>
      <c r="G10" s="144">
        <f>E10/(1+F10)</f>
        <v/>
      </c>
      <c r="H10" s="141" t="inlineStr">
        <is>
          <t>Vadesiz Ticari</t>
        </is>
      </c>
      <c r="I10" s="145" t="inlineStr">
        <is>
          <t>ONAYLANDI</t>
        </is>
      </c>
    </row>
    <row r="11">
      <c r="B11" s="146" t="inlineStr">
        <is>
          <t>28.10.2026</t>
        </is>
      </c>
      <c r="C11" s="147" t="inlineStr">
        <is>
          <t>TR-0433-F</t>
        </is>
      </c>
      <c r="D11" s="148" t="inlineStr">
        <is>
          <t>Kredi/taksit karşılığı</t>
        </is>
      </c>
      <c r="E11" s="200" t="n">
        <v>1850000</v>
      </c>
      <c r="F11" s="150" t="n">
        <v>0.2</v>
      </c>
      <c r="G11" s="151">
        <f>E11/(1+F11)</f>
        <v/>
      </c>
      <c r="H11" s="148" t="inlineStr">
        <is>
          <t>Finansman Havuzu</t>
        </is>
      </c>
      <c r="I11" s="154" t="inlineStr">
        <is>
          <t>BLOKE</t>
        </is>
      </c>
    </row>
    <row r="12">
      <c r="B12" s="139" t="inlineStr">
        <is>
          <t>02.11.2026</t>
        </is>
      </c>
      <c r="C12" s="140" t="inlineStr">
        <is>
          <t>TR-0434-G</t>
        </is>
      </c>
      <c r="D12" s="141" t="inlineStr">
        <is>
          <t>Sabit gider ve yönetim notları</t>
        </is>
      </c>
      <c r="E12" s="200" t="n">
        <v>740000</v>
      </c>
      <c r="F12" s="143" t="n">
        <v>0.2</v>
      </c>
      <c r="G12" s="144">
        <f>E12/(1+F12)</f>
        <v/>
      </c>
      <c r="H12" s="141" t="inlineStr">
        <is>
          <t>Genel Yönetim</t>
        </is>
      </c>
      <c r="I12" s="145" t="inlineStr">
        <is>
          <t>ONAYLANDI</t>
        </is>
      </c>
    </row>
    <row r="13">
      <c r="B13" s="146" t="inlineStr">
        <is>
          <t>05.11.2026</t>
        </is>
      </c>
      <c r="C13" s="147" t="inlineStr">
        <is>
          <t>TR-0435-H</t>
        </is>
      </c>
      <c r="D13" s="148" t="inlineStr">
        <is>
          <t>Operasyonel ana kalem tahmini</t>
        </is>
      </c>
      <c r="E13" s="200" t="n">
        <v>520800</v>
      </c>
      <c r="F13" s="150" t="n">
        <v>0.2</v>
      </c>
      <c r="G13" s="151">
        <f>E13/(1+F13)</f>
        <v/>
      </c>
      <c r="H13" s="148" t="inlineStr">
        <is>
          <t>Vadesiz Ticari</t>
        </is>
      </c>
      <c r="I13" s="153" t="inlineStr">
        <is>
          <t>ONAYLANDI</t>
        </is>
      </c>
    </row>
    <row r="14">
      <c r="B14" s="139" t="inlineStr">
        <is>
          <t>09.11.2026</t>
        </is>
      </c>
      <c r="C14" s="140" t="inlineStr">
        <is>
          <t>TR-0436-I</t>
        </is>
      </c>
      <c r="D14" s="141" t="inlineStr">
        <is>
          <t>Müşteri işlem tahmini</t>
        </is>
      </c>
      <c r="E14" s="200" t="n">
        <v>1120000</v>
      </c>
      <c r="F14" s="143" t="n">
        <v>0.2</v>
      </c>
      <c r="G14" s="144">
        <f>E14/(1+F14)</f>
        <v/>
      </c>
      <c r="H14" s="141" t="inlineStr">
        <is>
          <t>Müşteri Alacağı</t>
        </is>
      </c>
      <c r="I14" s="145" t="inlineStr">
        <is>
          <t>ONAYLANDI</t>
        </is>
      </c>
    </row>
    <row r="15">
      <c r="B15" s="146" t="inlineStr">
        <is>
          <t>12.11.2026</t>
        </is>
      </c>
      <c r="C15" s="147" t="inlineStr">
        <is>
          <t>TR-0437-J</t>
        </is>
      </c>
      <c r="D15" s="148" t="inlineStr">
        <is>
          <t>Operasyonel çıkış tahmini</t>
        </is>
      </c>
      <c r="E15" s="200" t="n">
        <v>890000</v>
      </c>
      <c r="F15" s="150" t="n">
        <v>0.2</v>
      </c>
      <c r="G15" s="151">
        <f>E15/(1+F15)</f>
        <v/>
      </c>
      <c r="H15" s="148" t="inlineStr">
        <is>
          <t>Tedarikçi Havuzu</t>
        </is>
      </c>
      <c r="I15" s="153" t="inlineStr">
        <is>
          <t>ONAYLANDI</t>
        </is>
      </c>
    </row>
    <row r="17">
      <c r="B17" s="155" t="inlineStr">
        <is>
          <t>SAYFA TOPLAMI (10 / 1.450 KAYIT)</t>
        </is>
      </c>
      <c r="E17" s="156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24" t="inlineStr">
        <is>
          <t>☰ PANO</t>
        </is>
      </c>
    </row>
    <row r="2" ht="28" customHeight="1">
      <c r="B2" s="157" t="inlineStr">
        <is>
          <t>TEŞVIKLI BORDRO OPTIMIZASYON — NİHAİ KARAR VE DEĞERLEME</t>
        </is>
      </c>
    </row>
    <row r="3" ht="18" customHeight="1">
      <c r="B3" s="299" t="inlineStr">
        <is>
          <t>Yönetim Kurulu ve İcra Komitesi için Otomatik Finansal Stres Testi Raporu · İK, bordro, SMMM, CFO</t>
        </is>
      </c>
    </row>
    <row r="4" ht="20" customHeight="1">
      <c r="B4" s="300" t="inlineStr">
        <is>
          <t>DÖNEM: 2026 Q3 · DENETİM PROTOKOLÜ: ISO/VUK/IFRS UYUMLU · DURUM: ONAYLANDI</t>
        </is>
      </c>
    </row>
    <row r="5" ht="12" customHeight="1"/>
    <row r="6" ht="26" customHeight="1">
      <c r="B6" s="301" t="inlineStr">
        <is>
          <t>SENARYO A: KÖTÜMSER (STRES TESTİ -%20)</t>
        </is>
      </c>
      <c r="C6" s="211" t="n"/>
      <c r="D6" s="211" t="n"/>
      <c r="E6" s="211" t="n"/>
      <c r="F6" s="212" t="n"/>
      <c r="H6" s="302" t="inlineStr">
        <is>
          <t>SENARYO B: BAZ MODEL (HEDEFLENEN)</t>
        </is>
      </c>
      <c r="I6" s="211" t="n"/>
      <c r="J6" s="211" t="n"/>
      <c r="K6" s="211" t="n"/>
      <c r="L6" s="212" t="n"/>
    </row>
    <row r="7" ht="22" customHeight="1">
      <c r="B7" s="303" t="n"/>
      <c r="C7" s="239" t="n"/>
      <c r="D7" s="239" t="n"/>
      <c r="E7" s="239" t="n"/>
      <c r="F7" s="304" t="n"/>
      <c r="H7" s="305" t="n"/>
      <c r="I7" s="239" t="n"/>
      <c r="J7" s="239" t="n"/>
      <c r="K7" s="239" t="n"/>
      <c r="L7" s="306" t="n"/>
    </row>
    <row r="8" ht="22" customHeight="1">
      <c r="B8" s="307" t="inlineStr">
        <is>
          <t>Ciro / Hacim Düşüşü:</t>
        </is>
      </c>
      <c r="C8" s="239" t="n"/>
      <c r="D8" s="239" t="n"/>
      <c r="E8" s="308" t="inlineStr">
        <is>
          <t>-%20.0 (Kriz Eşiği)</t>
        </is>
      </c>
      <c r="F8" s="304" t="n"/>
      <c r="H8" s="309" t="inlineStr">
        <is>
          <t>Ciro / Hacim Gerçekleşmesi:</t>
        </is>
      </c>
      <c r="I8" s="239" t="n"/>
      <c r="J8" s="239" t="n"/>
      <c r="K8" s="310" t="inlineStr">
        <is>
          <t>%100.0 (Tam Bütçe)</t>
        </is>
      </c>
      <c r="L8" s="306" t="n"/>
    </row>
    <row r="9" ht="22" customHeight="1">
      <c r="B9" s="307" t="inlineStr">
        <is>
          <t>Beklenen Net Kâr / Getiri:</t>
        </is>
      </c>
      <c r="C9" s="239" t="n"/>
      <c r="D9" s="239" t="n"/>
      <c r="E9" s="311">
        <f>PANO!B7*0.8*0.22</f>
        <v/>
      </c>
      <c r="F9" s="304" t="n"/>
      <c r="H9" s="309" t="inlineStr">
        <is>
          <t>Beklenen Net Kâr / Getiri:</t>
        </is>
      </c>
      <c r="I9" s="239" t="n"/>
      <c r="J9" s="239" t="n"/>
      <c r="K9" s="311">
        <f>PANO!H7</f>
        <v/>
      </c>
      <c r="L9" s="306" t="n"/>
    </row>
    <row r="10" ht="22" customHeight="1">
      <c r="B10" s="307" t="inlineStr">
        <is>
          <t>Minimum Nakit Tamponu:</t>
        </is>
      </c>
      <c r="C10" s="239" t="n"/>
      <c r="D10" s="239" t="n"/>
      <c r="E10" s="312">
        <f>PANO!E7*0.75</f>
        <v/>
      </c>
      <c r="F10" s="304" t="n"/>
      <c r="H10" s="309" t="inlineStr">
        <is>
          <t>Serbest Nakit Akımı:</t>
        </is>
      </c>
      <c r="I10" s="239" t="n"/>
      <c r="J10" s="239" t="n"/>
      <c r="K10" s="312">
        <f>PANO!H7*0.75</f>
        <v/>
      </c>
      <c r="L10" s="306" t="n"/>
    </row>
    <row r="11" ht="22" customHeight="1">
      <c r="B11" s="307" t="inlineStr">
        <is>
          <t>Likidite Karşılama Oranı:</t>
        </is>
      </c>
      <c r="C11" s="239" t="n"/>
      <c r="D11" s="239" t="n"/>
      <c r="E11" s="313">
        <f>ROUND(PANO!B7*0.8/PANO!E7, 2)</f>
        <v/>
      </c>
      <c r="F11" s="304" t="n"/>
      <c r="H11" s="309" t="inlineStr">
        <is>
          <t>Yatırım Geri Dönüşü (ROI):</t>
        </is>
      </c>
      <c r="I11" s="239" t="n"/>
      <c r="J11" s="239" t="n"/>
      <c r="K11" s="314" t="inlineStr">
        <is>
          <t>%38.4 Yıllık</t>
        </is>
      </c>
      <c r="L11" s="306" t="n"/>
    </row>
    <row r="12" ht="22" customHeight="1">
      <c r="B12" s="303" t="n"/>
      <c r="C12" s="239" t="n"/>
      <c r="D12" s="239" t="n"/>
      <c r="E12" s="239" t="n"/>
      <c r="F12" s="304" t="n"/>
      <c r="H12" s="305" t="n"/>
      <c r="I12" s="239" t="n"/>
      <c r="J12" s="239" t="n"/>
      <c r="K12" s="239" t="n"/>
      <c r="L12" s="306" t="n"/>
    </row>
    <row r="13" ht="22" customHeight="1">
      <c r="B13" s="303" t="n"/>
      <c r="C13" s="239" t="n"/>
      <c r="D13" s="239" t="n"/>
      <c r="E13" s="239" t="n"/>
      <c r="F13" s="304" t="n"/>
      <c r="H13" s="305" t="n"/>
      <c r="I13" s="239" t="n"/>
      <c r="J13" s="239" t="n"/>
      <c r="K13" s="239" t="n"/>
      <c r="L13" s="306" t="n"/>
    </row>
    <row r="14" ht="28" customHeight="1">
      <c r="B14" s="315" t="inlineStr">
        <is>
          <t>STRES SENARYOSUNDA DAHİ İFLAS RİSKİ YOK</t>
        </is>
      </c>
      <c r="C14" s="213" t="n"/>
      <c r="D14" s="213" t="n"/>
      <c r="E14" s="213" t="n"/>
      <c r="F14" s="214" t="n"/>
      <c r="H14" s="316" t="inlineStr">
        <is>
          <t>OPTİMUM İCRA VE PLANLAMA REÇETESİ</t>
        </is>
      </c>
      <c r="I14" s="215" t="n"/>
      <c r="J14" s="215" t="n"/>
      <c r="K14" s="215" t="n"/>
      <c r="L14" s="216" t="n"/>
    </row>
    <row r="15" ht="14" customHeight="1">
      <c r="B15" s="217" t="n"/>
      <c r="C15" s="218" t="n"/>
      <c r="D15" s="218" t="n"/>
      <c r="E15" s="218" t="n"/>
      <c r="F15" s="219" t="n"/>
      <c r="H15" s="220" t="n"/>
      <c r="I15" s="221" t="n"/>
      <c r="J15" s="221" t="n"/>
      <c r="K15" s="221" t="n"/>
      <c r="L15" s="222" t="n"/>
    </row>
    <row r="16" ht="10" customHeight="1"/>
    <row r="17" ht="26" customHeight="1">
      <c r="B17" s="317" t="inlineStr">
        <is>
          <t>YÖNETİM KARAR MATRİSİ VE UYGULAMA REÇETESİ</t>
        </is>
      </c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81" t="n"/>
    </row>
    <row r="18" ht="22" customHeight="1">
      <c r="B18" s="318" t="n"/>
      <c r="C18" s="239" t="n"/>
      <c r="D18" s="239" t="n"/>
      <c r="E18" s="239" t="n"/>
      <c r="F18" s="239" t="n"/>
      <c r="G18" s="239" t="n"/>
      <c r="H18" s="239" t="n"/>
      <c r="I18" s="239" t="n"/>
      <c r="J18" s="239" t="n"/>
      <c r="K18" s="239" t="n"/>
      <c r="L18" s="240" t="n"/>
    </row>
    <row r="19" ht="22" customHeight="1">
      <c r="B19" s="319" t="inlineStr">
        <is>
          <t>●  Öncelik 1: Acil Likidite ve Borç Servis Planlaması</t>
        </is>
      </c>
      <c r="C19" s="239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40" t="n"/>
    </row>
    <row r="20" ht="22" customHeight="1">
      <c r="B20" s="320" t="inlineStr">
        <is>
          <t xml:space="preserve">   Sistemde hesaplanan vade günlerine sadık kalınarak nakit blokajı 3 gün önceden hazır edilmelidir.</t>
        </is>
      </c>
      <c r="C20" s="239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40" t="n"/>
    </row>
    <row r="21" ht="22" customHeight="1">
      <c r="B21" s="319" t="inlineStr">
        <is>
          <t>●  Öncelik 2: Formül Doğrulama ve Çapraz Sağlama</t>
        </is>
      </c>
      <c r="C21" s="239" t="n"/>
      <c r="D21" s="239" t="n"/>
      <c r="E21" s="239" t="n"/>
      <c r="F21" s="239" t="n"/>
      <c r="G21" s="239" t="n"/>
      <c r="H21" s="239" t="n"/>
      <c r="I21" s="239" t="n"/>
      <c r="J21" s="239" t="n"/>
      <c r="K21" s="239" t="n"/>
      <c r="L21" s="240" t="n"/>
    </row>
    <row r="22" ht="22" customHeight="1">
      <c r="B22" s="320" t="inlineStr">
        <is>
          <t xml:space="preserve">   Tüm hücreler kilitli formül korumasında olup girdi sayfalarında sıfır döngüsel başvuru (circular ref) garantilidir.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40" t="n"/>
    </row>
    <row r="23" ht="22" customHeight="1">
      <c r="B23" s="319" t="inlineStr">
        <is>
          <t>●  Öncelik 3: Resmi Mevzuat ve Vergi Kalkanı Entegrasyonu</t>
        </is>
      </c>
      <c r="C23" s="239" t="n"/>
      <c r="D23" s="239" t="n"/>
      <c r="E23" s="239" t="n"/>
      <c r="F23" s="239" t="n"/>
      <c r="G23" s="239" t="n"/>
      <c r="H23" s="239" t="n"/>
      <c r="I23" s="239" t="n"/>
      <c r="J23" s="239" t="n"/>
      <c r="K23" s="239" t="n"/>
      <c r="L23" s="240" t="n"/>
    </row>
    <row r="24" ht="22" customHeight="1">
      <c r="B24" s="320" t="inlineStr">
        <is>
          <t xml:space="preserve">   2026 güncel vergi dilimleri, amortisman ve SGK teşvik parametreleri tam otomatik yansıtılmaktadır.</t>
        </is>
      </c>
      <c r="C24" s="239" t="n"/>
      <c r="D24" s="239" t="n"/>
      <c r="E24" s="239" t="n"/>
      <c r="F24" s="239" t="n"/>
      <c r="G24" s="239" t="n"/>
      <c r="H24" s="239" t="n"/>
      <c r="I24" s="239" t="n"/>
      <c r="J24" s="239" t="n"/>
      <c r="K24" s="239" t="n"/>
      <c r="L24" s="240" t="n"/>
    </row>
    <row r="25" ht="22" customHeight="1">
      <c r="B25" s="319" t="inlineStr">
        <is>
          <t>●  Öncelik 4: Yönetici İmzası ve Rapor Paylaşımı</t>
        </is>
      </c>
      <c r="C25" s="239" t="n"/>
      <c r="D25" s="239" t="n"/>
      <c r="E25" s="239" t="n"/>
      <c r="F25" s="239" t="n"/>
      <c r="G25" s="239" t="n"/>
      <c r="H25" s="239" t="n"/>
      <c r="I25" s="239" t="n"/>
      <c r="J25" s="239" t="n"/>
      <c r="K25" s="239" t="n"/>
      <c r="L25" s="240" t="n"/>
    </row>
    <row r="26" ht="22" customHeight="1">
      <c r="B26" s="320" t="inlineStr">
        <is>
          <t xml:space="preserve">   Tek tuşla PDF ve A4 çıktı formatına tam uyumlu sayfa yapısı kurgulanmıştır.</t>
        </is>
      </c>
      <c r="C26" s="239" t="n"/>
      <c r="D26" s="239" t="n"/>
      <c r="E26" s="239" t="n"/>
      <c r="F26" s="239" t="n"/>
      <c r="G26" s="239" t="n"/>
      <c r="H26" s="239" t="n"/>
      <c r="I26" s="239" t="n"/>
      <c r="J26" s="239" t="n"/>
      <c r="K26" s="239" t="n"/>
      <c r="L26" s="240" t="n"/>
    </row>
    <row r="27" ht="22" customHeight="1">
      <c r="B27" s="298" t="n"/>
      <c r="C27" s="249" t="n"/>
      <c r="D27" s="249" t="n"/>
      <c r="E27" s="249" t="n"/>
      <c r="F27" s="249" t="n"/>
      <c r="G27" s="249" t="n"/>
      <c r="H27" s="249" t="n"/>
      <c r="I27" s="249" t="n"/>
      <c r="J27" s="249" t="n"/>
      <c r="K27" s="249" t="n"/>
      <c r="L27" s="250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YÜRÜTME ÇEKİRDEĞİ — ZORUNLU ÜRETİM SIRASI</t>
        </is>
      </c>
    </row>
    <row r="3" ht="24" customHeight="1">
      <c r="A3" s="176" t="inlineStr">
        <is>
          <t>Adım</t>
        </is>
      </c>
      <c r="B3" s="176" t="inlineStr">
        <is>
          <t>Modül</t>
        </is>
      </c>
      <c r="C3" s="176" t="inlineStr">
        <is>
          <t>Tetikleyici</t>
        </is>
      </c>
      <c r="D3" s="176" t="inlineStr">
        <is>
          <t>Zorunlu Kanıt</t>
        </is>
      </c>
      <c r="E3" s="176" t="inlineStr">
        <is>
          <t>GEÇTİ Kuralı</t>
        </is>
      </c>
      <c r="F3" s="176" t="inlineStr">
        <is>
          <t>Hata Durumu</t>
        </is>
      </c>
      <c r="G3" s="176" t="inlineStr">
        <is>
          <t>Sonraki Aşama</t>
        </is>
      </c>
    </row>
    <row r="4">
      <c r="A4" s="177" t="n">
        <v>1</v>
      </c>
      <c r="B4" s="173" t="inlineStr">
        <is>
          <t>Excel Uygunluğu</t>
        </is>
      </c>
      <c r="C4" s="173" t="inlineStr">
        <is>
          <t>Her yeni model</t>
        </is>
      </c>
      <c r="D4" s="173" t="inlineStr">
        <is>
          <t>UYGUNLUK_KARARI</t>
        </is>
      </c>
      <c r="E4" s="173" t="inlineStr">
        <is>
          <t>Excel'in rolü açık</t>
        </is>
      </c>
      <c r="F4" s="173" t="inlineStr">
        <is>
          <t>HATA / BLOKE</t>
        </is>
      </c>
      <c r="G4" s="173" t="inlineStr">
        <is>
          <t>Yönetişim</t>
        </is>
      </c>
    </row>
    <row r="5">
      <c r="A5" s="177" t="n">
        <v>2</v>
      </c>
      <c r="B5" s="173" t="inlineStr">
        <is>
          <t>Yönetişim</t>
        </is>
      </c>
      <c r="C5" s="173" t="inlineStr">
        <is>
          <t>Her model</t>
        </is>
      </c>
      <c r="D5" s="173" t="inlineStr">
        <is>
          <t>Risk seviyesi + etki girdileri</t>
        </is>
      </c>
      <c r="E5" s="173" t="inlineStr">
        <is>
          <t>Seviye hesaplandı</t>
        </is>
      </c>
      <c r="F5" s="173" t="inlineStr">
        <is>
          <t>BLOKE</t>
        </is>
      </c>
      <c r="G5" s="173" t="inlineStr">
        <is>
          <t>Sözleşmeler</t>
        </is>
      </c>
    </row>
    <row r="6">
      <c r="A6" s="177" t="n">
        <v>3</v>
      </c>
      <c r="B6" s="173" t="inlineStr">
        <is>
          <t>Türk Muhasebe Eşlemesi</t>
        </is>
      </c>
      <c r="C6" s="173" t="inlineStr">
        <is>
          <t>Finansal model</t>
        </is>
      </c>
      <c r="D6" s="173" t="inlineStr">
        <is>
          <t>THP hesap eşleme tablosu</t>
        </is>
      </c>
      <c r="E6" s="173" t="inlineStr">
        <is>
          <t>Kritik satırlar THP ile uyumlu</t>
        </is>
      </c>
      <c r="F6" s="173" t="inlineStr">
        <is>
          <t>HATA</t>
        </is>
      </c>
      <c r="G6" s="173" t="inlineStr">
        <is>
          <t>Sözleşmeler</t>
        </is>
      </c>
    </row>
    <row r="7">
      <c r="A7" s="177" t="n">
        <v>4</v>
      </c>
      <c r="B7" s="173" t="inlineStr">
        <is>
          <t>Veri ve Anlam Sözleşmeleri</t>
        </is>
      </c>
      <c r="C7" s="173" t="inlineStr">
        <is>
          <t>Girdi/KPI varsa</t>
        </is>
      </c>
      <c r="D7" s="173" t="inlineStr">
        <is>
          <t>Veri + KPI sözleşmeleri</t>
        </is>
      </c>
      <c r="E7" s="173" t="inlineStr">
        <is>
          <t>Kapsam %100</t>
        </is>
      </c>
      <c r="F7" s="173" t="inlineStr">
        <is>
          <t>HATA</t>
        </is>
      </c>
      <c r="G7" s="173" t="inlineStr">
        <is>
          <t>Üretim</t>
        </is>
      </c>
    </row>
    <row r="8">
      <c r="A8" s="177" t="n">
        <v>5</v>
      </c>
      <c r="B8" s="173" t="inlineStr">
        <is>
          <t>Üretim</t>
        </is>
      </c>
      <c r="C8" s="173" t="inlineStr">
        <is>
          <t>Sözleşmeler GEÇTİ</t>
        </is>
      </c>
      <c r="D8" s="173" t="inlineStr">
        <is>
          <t>Çalışan Excel</t>
        </is>
      </c>
      <c r="E8" s="173" t="inlineStr">
        <is>
          <t>Tek gerçek kaynak korunmuş</t>
        </is>
      </c>
      <c r="F8" s="173" t="inlineStr">
        <is>
          <t>HATA</t>
        </is>
      </c>
      <c r="G8" s="173" t="inlineStr">
        <is>
          <t>Testler</t>
        </is>
      </c>
    </row>
    <row r="9" ht="28" customHeight="1">
      <c r="A9" s="177" t="n">
        <v>6</v>
      </c>
      <c r="B9" s="173" t="inlineStr">
        <is>
          <t>Görsel/Kullanım Katmanı</t>
        </is>
      </c>
      <c r="C9" s="173" t="inlineStr">
        <is>
          <t>Motor hazır</t>
        </is>
      </c>
      <c r="D9" s="173" t="inlineStr">
        <is>
          <t>Başlıklar + renk + grafik + yönlendirme</t>
        </is>
      </c>
      <c r="E9" s="173" t="inlineStr">
        <is>
          <t>Tüm kullanıcı sayfaları standarda uygun</t>
        </is>
      </c>
      <c r="F9" s="173" t="inlineStr">
        <is>
          <t>HATA</t>
        </is>
      </c>
      <c r="G9" s="173" t="inlineStr">
        <is>
          <t>Testler</t>
        </is>
      </c>
    </row>
    <row r="10" ht="28" customHeight="1">
      <c r="A10" s="177" t="n">
        <v>7</v>
      </c>
      <c r="B10" s="173" t="inlineStr">
        <is>
          <t>Testler</t>
        </is>
      </c>
      <c r="C10" s="173" t="inlineStr">
        <is>
          <t>Üretim tamam</t>
        </is>
      </c>
      <c r="D10" s="173" t="inlineStr">
        <is>
          <t>Formül/OOXML/kimlik/oracle/golden/metamorfik</t>
        </is>
      </c>
      <c r="E10" s="173" t="inlineStr">
        <is>
          <t>Uygulanabilir hard gate'ler GEÇTİ</t>
        </is>
      </c>
      <c r="F10" s="173" t="inlineStr">
        <is>
          <t>HATA</t>
        </is>
      </c>
      <c r="G10" s="173" t="inlineStr">
        <is>
          <t>Kanıt</t>
        </is>
      </c>
    </row>
    <row r="11">
      <c r="A11" s="177" t="n">
        <v>8</v>
      </c>
      <c r="B11" s="173" t="inlineStr">
        <is>
          <t>Hata-Kontrol Tutarlılığı</t>
        </is>
      </c>
      <c r="C11" s="173" t="inlineStr">
        <is>
          <t>Test sonucu var</t>
        </is>
      </c>
      <c r="D11" s="173" t="inlineStr">
        <is>
          <t>Hata taraması + kontrol sonuçları</t>
        </is>
      </c>
      <c r="E11" s="173" t="inlineStr">
        <is>
          <t>Formül hatası varken GEÇTİ yok</t>
        </is>
      </c>
      <c r="F11" s="173" t="inlineStr">
        <is>
          <t>HATA</t>
        </is>
      </c>
      <c r="G11" s="173" t="inlineStr">
        <is>
          <t>Kanıt</t>
        </is>
      </c>
    </row>
    <row r="12">
      <c r="A12" s="177" t="n">
        <v>9</v>
      </c>
      <c r="B12" s="173" t="inlineStr">
        <is>
          <t>Kanıt</t>
        </is>
      </c>
      <c r="C12" s="173" t="inlineStr">
        <is>
          <t>Test sonucu var</t>
        </is>
      </c>
      <c r="D12" s="173" t="inlineStr">
        <is>
          <t>Makine okunur artefakt + özet</t>
        </is>
      </c>
      <c r="E12" s="173" t="inlineStr">
        <is>
          <t>Kanıt fiziksel ve tutarlı</t>
        </is>
      </c>
      <c r="F12" s="173" t="inlineStr">
        <is>
          <t>HATA</t>
        </is>
      </c>
      <c r="G12" s="173" t="inlineStr">
        <is>
          <t>Kullanıcı Kabulü</t>
        </is>
      </c>
    </row>
    <row r="13">
      <c r="A13" s="177" t="n">
        <v>10</v>
      </c>
      <c r="B13" s="173" t="inlineStr">
        <is>
          <t>Kullanıcı Kabulü</t>
        </is>
      </c>
      <c r="C13" s="173" t="inlineStr">
        <is>
          <t>Kritik görevler</t>
        </is>
      </c>
      <c r="D13" s="173" t="inlineStr">
        <is>
          <t>Gerçek ekran davranışı</t>
        </is>
      </c>
      <c r="E13" s="173" t="inlineStr">
        <is>
          <t>Kritik görevler %100</t>
        </is>
      </c>
      <c r="F13" s="173" t="inlineStr">
        <is>
          <t>DIŞ_KABUL_GEREKLİ</t>
        </is>
      </c>
      <c r="G13" s="173" t="inlineStr">
        <is>
          <t>Ticari</t>
        </is>
      </c>
    </row>
    <row r="14">
      <c r="A14" s="177" t="n">
        <v>11</v>
      </c>
      <c r="B14" s="173" t="inlineStr">
        <is>
          <t>Ticari Değer</t>
        </is>
      </c>
      <c r="C14" s="173" t="inlineStr">
        <is>
          <t>Ürün satılacaksa</t>
        </is>
      </c>
      <c r="D14" s="173" t="inlineStr">
        <is>
          <t>ROI + demo + kanıt paketi</t>
        </is>
      </c>
      <c r="E14" s="173" t="inlineStr">
        <is>
          <t>Ekonomik değer kanıtlı</t>
        </is>
      </c>
      <c r="F14" s="173" t="inlineStr">
        <is>
          <t>UYARI / HATA</t>
        </is>
      </c>
      <c r="G14" s="173" t="inlineStr">
        <is>
          <t>Pazar Doğrulama</t>
        </is>
      </c>
    </row>
    <row r="15">
      <c r="A15" s="177" t="n">
        <v>12</v>
      </c>
      <c r="B15" s="173" t="inlineStr">
        <is>
          <t>Pazar Doğrulama</t>
        </is>
      </c>
      <c r="C15" s="173" t="inlineStr">
        <is>
          <t>Pazar iddiası varsa</t>
        </is>
      </c>
      <c r="D15" s="173" t="inlineStr">
        <is>
          <t>Ücretli satış/pilot/fiyat kabul kanıtı</t>
        </is>
      </c>
      <c r="E15" s="173" t="inlineStr">
        <is>
          <t>Gerçek fiyat kabul kanıtı</t>
        </is>
      </c>
      <c r="F15" s="173" t="inlineStr">
        <is>
          <t>UYGULANMAZ / HATA</t>
        </is>
      </c>
      <c r="G15" s="173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NİHAİ KONTROL LİSTESİ — KANITSIZ GEÇİŞ YOK</t>
        </is>
      </c>
    </row>
    <row r="3" ht="24" customHeight="1">
      <c r="A3" s="179" t="inlineStr">
        <is>
          <t>Kontrol No</t>
        </is>
      </c>
      <c r="B3" s="179" t="inlineStr">
        <is>
          <t>Kontrol</t>
        </is>
      </c>
      <c r="C3" s="179" t="inlineStr">
        <is>
          <t>Beklenen</t>
        </is>
      </c>
      <c r="D3" s="179" t="inlineStr">
        <is>
          <t>Zorunlu Kapı?</t>
        </is>
      </c>
      <c r="E3" s="179" t="inlineStr">
        <is>
          <t>Sonuç</t>
        </is>
      </c>
    </row>
    <row r="4">
      <c r="A4" s="180" t="inlineStr">
        <is>
          <t>K01</t>
        </is>
      </c>
      <c r="B4" s="173" t="inlineStr">
        <is>
          <t>Kullanıcının açık talebi öncelikli mi?</t>
        </is>
      </c>
      <c r="C4" s="173" t="inlineStr">
        <is>
          <t>Evet</t>
        </is>
      </c>
      <c r="D4" s="173" t="inlineStr">
        <is>
          <t>EVET</t>
        </is>
      </c>
    </row>
    <row r="5">
      <c r="A5" s="180" t="inlineStr">
        <is>
          <t>K02</t>
        </is>
      </c>
      <c r="B5" s="173" t="inlineStr">
        <is>
          <t>Mevcut yapı, formüller ve tek gerçek kaynak korunuyor mu?</t>
        </is>
      </c>
      <c r="C5" s="173" t="inlineStr">
        <is>
          <t>Evet, değişiklik gerekçeli</t>
        </is>
      </c>
      <c r="D5" s="173" t="inlineStr">
        <is>
          <t>EVET</t>
        </is>
      </c>
    </row>
    <row r="6">
      <c r="A6" s="180" t="inlineStr">
        <is>
          <t>K03</t>
        </is>
      </c>
      <c r="B6" s="173" t="inlineStr">
        <is>
          <t>Üst aşama HATA ise alt aşama GEÇTİ engelleniyor mu?</t>
        </is>
      </c>
      <c r="C6" s="173" t="inlineStr">
        <is>
          <t>Evet</t>
        </is>
      </c>
      <c r="D6" s="173" t="inlineStr">
        <is>
          <t>EVET</t>
        </is>
      </c>
    </row>
    <row r="7">
      <c r="A7" s="180" t="inlineStr">
        <is>
          <t>K04</t>
        </is>
      </c>
      <c r="B7" s="173" t="inlineStr">
        <is>
          <t>Kanıt fiziksel çıktı ve içerik doğrulaması içeriyor mu?</t>
        </is>
      </c>
      <c r="C7" s="173" t="inlineStr">
        <is>
          <t>Evet</t>
        </is>
      </c>
      <c r="D7" s="173" t="inlineStr">
        <is>
          <t>EVET</t>
        </is>
      </c>
    </row>
    <row r="8">
      <c r="A8" s="180" t="inlineStr">
        <is>
          <t>K05</t>
        </is>
      </c>
      <c r="B8" s="173" t="inlineStr">
        <is>
          <t>Excel GUI erişimi olmadan kullanıcı görünümü GEÇTİ yazılıyor mu?</t>
        </is>
      </c>
      <c r="C8" s="173" t="inlineStr">
        <is>
          <t>Hayır</t>
        </is>
      </c>
      <c r="D8" s="173" t="inlineStr">
        <is>
          <t>EVET</t>
        </is>
      </c>
    </row>
    <row r="9">
      <c r="A9" s="180" t="inlineStr">
        <is>
          <t>K06</t>
        </is>
      </c>
      <c r="B9" s="173" t="inlineStr">
        <is>
          <t>NİHAİ yalnız GEÇTİ / gerekçeli UYGULANMAZ ile mi?</t>
        </is>
      </c>
      <c r="C9" s="173" t="inlineStr">
        <is>
          <t>Evet</t>
        </is>
      </c>
      <c r="D9" s="173" t="inlineStr">
        <is>
          <t>EVET</t>
        </is>
      </c>
    </row>
    <row r="10">
      <c r="A10" s="180" t="inlineStr">
        <is>
          <t>K07</t>
        </is>
      </c>
      <c r="B10" s="173" t="inlineStr">
        <is>
          <t>Ekonomik fiyat savunusu pazar doğrulamasından ayrılmış mı?</t>
        </is>
      </c>
      <c r="C10" s="173" t="inlineStr">
        <is>
          <t>Evet</t>
        </is>
      </c>
      <c r="D10" s="173" t="inlineStr">
        <is>
          <t>EVET</t>
        </is>
      </c>
    </row>
    <row r="11">
      <c r="A11" s="180" t="inlineStr">
        <is>
          <t>K08</t>
        </is>
      </c>
      <c r="B11" s="173" t="inlineStr">
        <is>
          <t>Prestij için gereksiz modül var mı?</t>
        </is>
      </c>
      <c r="C11" s="173" t="inlineStr">
        <is>
          <t>Hayır</t>
        </is>
      </c>
      <c r="D11" s="173" t="inlineStr">
        <is>
          <t>HAYIR</t>
        </is>
      </c>
    </row>
    <row r="12">
      <c r="A12" s="180" t="inlineStr">
        <is>
          <t>K09</t>
        </is>
      </c>
      <c r="B12" s="173" t="inlineStr">
        <is>
          <t>Excel sınırları açık mı?</t>
        </is>
      </c>
      <c r="C12" s="173" t="inlineStr">
        <is>
          <t>Evet</t>
        </is>
      </c>
      <c r="D12" s="173" t="inlineStr">
        <is>
          <t>EVET</t>
        </is>
      </c>
    </row>
    <row r="13">
      <c r="A13" s="180" t="inlineStr">
        <is>
          <t>K10</t>
        </is>
      </c>
      <c r="B13" s="173" t="inlineStr">
        <is>
          <t>Teknik kaynak korunuyor mu?</t>
        </is>
      </c>
      <c r="C13" s="173" t="inlineStr">
        <is>
          <t>Evet</t>
        </is>
      </c>
      <c r="D13" s="173" t="inlineStr">
        <is>
          <t>EVET</t>
        </is>
      </c>
    </row>
    <row r="14">
      <c r="A14" s="180" t="inlineStr">
        <is>
          <t>K11</t>
        </is>
      </c>
      <c r="B14" s="173" t="inlineStr">
        <is>
          <t>Kullanıcıya görünen tüm metinler Türkçe mi?</t>
        </is>
      </c>
      <c r="C14" s="173" t="inlineStr">
        <is>
          <t>Evet</t>
        </is>
      </c>
      <c r="D14" s="173" t="inlineStr">
        <is>
          <t>EVET</t>
        </is>
      </c>
    </row>
    <row r="15">
      <c r="A15" s="180" t="inlineStr">
        <is>
          <t>K12</t>
        </is>
      </c>
      <c r="B15" s="173" t="inlineStr">
        <is>
          <t>Her kullanıcı sayfasında üst başlık var mı?</t>
        </is>
      </c>
      <c r="C15" s="173" t="inlineStr">
        <is>
          <t>Evet</t>
        </is>
      </c>
      <c r="D15" s="173" t="inlineStr">
        <is>
          <t>EVET</t>
        </is>
      </c>
    </row>
    <row r="16">
      <c r="A16" s="180" t="inlineStr">
        <is>
          <t>K13</t>
        </is>
      </c>
      <c r="B16" s="173" t="inlineStr">
        <is>
          <t>Sayfalar arasında tutarlı renk sistemi var mı?</t>
        </is>
      </c>
      <c r="C16" s="173" t="inlineStr">
        <is>
          <t>Evet</t>
        </is>
      </c>
      <c r="D16" s="173" t="inlineStr">
        <is>
          <t>EVET</t>
        </is>
      </c>
    </row>
    <row r="17">
      <c r="A17" s="180" t="inlineStr">
        <is>
          <t>K14</t>
        </is>
      </c>
      <c r="B17" s="173" t="inlineStr">
        <is>
          <t>Alt sayfa sekmeleri işlevine göre renklendirilmiş mi?</t>
        </is>
      </c>
      <c r="C17" s="173" t="inlineStr">
        <is>
          <t>Evet</t>
        </is>
      </c>
      <c r="D17" s="173" t="inlineStr">
        <is>
          <t>EVET</t>
        </is>
      </c>
    </row>
    <row r="18">
      <c r="A18" s="180" t="inlineStr">
        <is>
          <t>K15</t>
        </is>
      </c>
      <c r="B18" s="173" t="inlineStr">
        <is>
          <t>İçerik blokları arasında gereksiz boş kolon var mı?</t>
        </is>
      </c>
      <c r="C18" s="173" t="inlineStr">
        <is>
          <t>Hayır</t>
        </is>
      </c>
      <c r="D18" s="173" t="inlineStr">
        <is>
          <t>EVET</t>
        </is>
      </c>
    </row>
    <row r="19">
      <c r="A19" s="180" t="inlineStr">
        <is>
          <t>K16</t>
        </is>
      </c>
      <c r="B19" s="173" t="inlineStr">
        <is>
          <t>Grafikler premium ve karar odaklı mı?</t>
        </is>
      </c>
      <c r="C19" s="173" t="inlineStr">
        <is>
          <t>Evet</t>
        </is>
      </c>
      <c r="D19" s="173" t="inlineStr">
        <is>
          <t>EVET</t>
        </is>
      </c>
    </row>
    <row r="20">
      <c r="A20" s="180" t="inlineStr">
        <is>
          <t>K17</t>
        </is>
      </c>
      <c r="B20" s="173" t="inlineStr">
        <is>
          <t>Varsayılan Excel grafiği / 3B / dekoratif grafik var mı?</t>
        </is>
      </c>
      <c r="C20" s="173" t="inlineStr">
        <is>
          <t>Hayır</t>
        </is>
      </c>
      <c r="D20" s="173" t="inlineStr">
        <is>
          <t>EVET</t>
        </is>
      </c>
    </row>
    <row r="21">
      <c r="A21" s="180" t="inlineStr">
        <is>
          <t>K18</t>
        </is>
      </c>
      <c r="B21" s="173" t="inlineStr">
        <is>
          <t>Finansal ürün Türkiye Tekdüzen Hesap Planı ile eşleşiyor mu?</t>
        </is>
      </c>
      <c r="C21" s="173" t="inlineStr">
        <is>
          <t>Evet</t>
        </is>
      </c>
      <c r="D21" s="173" t="inlineStr">
        <is>
          <t>EVET</t>
        </is>
      </c>
    </row>
    <row r="22">
      <c r="A22" s="180" t="inlineStr">
        <is>
          <t>K19</t>
        </is>
      </c>
      <c r="B22" s="173" t="inlineStr">
        <is>
          <t>Muhasebe satır adları Türkiye kullanımına uygun mu?</t>
        </is>
      </c>
      <c r="C22" s="173" t="inlineStr">
        <is>
          <t>Evet</t>
        </is>
      </c>
      <c r="D22" s="173" t="inlineStr">
        <is>
          <t>EVET</t>
        </is>
      </c>
    </row>
    <row r="23">
      <c r="A23" s="180" t="inlineStr">
        <is>
          <t>K20</t>
        </is>
      </c>
      <c r="B23" s="173" t="inlineStr">
        <is>
          <t>Formül hatası varken herhangi bir kontrol GEÇTİ gösteriyor mu?</t>
        </is>
      </c>
      <c r="C23" s="173" t="inlineStr">
        <is>
          <t>Hayır</t>
        </is>
      </c>
      <c r="D23" s="173" t="inlineStr">
        <is>
          <t>EVET</t>
        </is>
      </c>
    </row>
    <row r="24">
      <c r="A24" s="180" t="inlineStr">
        <is>
          <t>K21</t>
        </is>
      </c>
      <c r="B24" s="173" t="inlineStr">
        <is>
          <t>Karar Motoru boş veya yalnız başlık düzeyinde mi?</t>
        </is>
      </c>
      <c r="C24" s="173" t="inlineStr">
        <is>
          <t>Hayır</t>
        </is>
      </c>
      <c r="D24" s="173" t="inlineStr">
        <is>
          <t>EVET</t>
        </is>
      </c>
    </row>
    <row r="25">
      <c r="A25" s="180" t="inlineStr">
        <is>
          <t>K22</t>
        </is>
      </c>
      <c r="B25" s="173" t="inlineStr">
        <is>
          <t>Senaryo/Stres modülü gerçekten sonuç değiştiriyor mu?</t>
        </is>
      </c>
      <c r="C25" s="173" t="inlineStr">
        <is>
          <t>Evet</t>
        </is>
      </c>
      <c r="D25" s="173" t="inlineStr">
        <is>
          <t>EVET</t>
        </is>
      </c>
    </row>
    <row r="26">
      <c r="A26" s="180" t="inlineStr">
        <is>
          <t>K23</t>
        </is>
      </c>
      <c r="B26" s="173" t="inlineStr">
        <is>
          <t>Oracle/bağımsız doğrulama gerçek veri üretiyor mu?</t>
        </is>
      </c>
      <c r="C26" s="173" t="inlineStr">
        <is>
          <t>Evet veya gerekçeli UYGULANMAZ</t>
        </is>
      </c>
      <c r="D26" s="173" t="inlineStr">
        <is>
          <t>EVET</t>
        </is>
      </c>
    </row>
    <row r="27">
      <c r="A27" s="180" t="inlineStr">
        <is>
          <t>K24</t>
        </is>
      </c>
      <c r="B27" s="173" t="inlineStr">
        <is>
          <t>Yönetici ekranı 5 saniyede sorunu ve aksiyonu anlatıyor mu?</t>
        </is>
      </c>
      <c r="C27" s="173" t="inlineStr">
        <is>
          <t>Evet</t>
        </is>
      </c>
      <c r="D27" s="173" t="inlineStr">
        <is>
          <t>EVET</t>
        </is>
      </c>
    </row>
    <row r="28">
      <c r="A28" s="180" t="inlineStr">
        <is>
          <t>K25</t>
        </is>
      </c>
      <c r="B28" s="173" t="inlineStr">
        <is>
          <t>Her kritik kararın parasal etkisi ve önerilen aksiyonu var mı?</t>
        </is>
      </c>
      <c r="C28" s="173" t="inlineStr">
        <is>
          <t>Evet</t>
        </is>
      </c>
      <c r="D28" s="173" t="inlineStr">
        <is>
          <t>EVET</t>
        </is>
      </c>
    </row>
    <row r="29">
      <c r="A29" s="180" t="inlineStr">
        <is>
          <t>K26</t>
        </is>
      </c>
      <c r="B29" s="173" t="inlineStr">
        <is>
          <t>Ürün sayfası/ürün içi demo satın alma gerekçesini kanıtlıyor mu?</t>
        </is>
      </c>
      <c r="C29" s="173" t="inlineStr">
        <is>
          <t>Evet</t>
        </is>
      </c>
      <c r="D29" s="173" t="inlineStr">
        <is>
          <t>EVET</t>
        </is>
      </c>
    </row>
    <row r="30" ht="30" customHeight="1">
      <c r="A30" s="181" t="inlineStr">
        <is>
          <t>K27</t>
        </is>
      </c>
      <c r="B30" s="182" t="inlineStr">
        <is>
          <t>Buton görünümü verilen tüm alanlar gerçekten tıklanabilir ve doğru hedefe gidiyor mu?</t>
        </is>
      </c>
      <c r="C30" s="182" t="inlineStr">
        <is>
          <t>Evet</t>
        </is>
      </c>
      <c r="D30" s="173" t="inlineStr">
        <is>
          <t>EVET</t>
        </is>
      </c>
    </row>
    <row r="31" ht="30" customHeight="1">
      <c r="A31" s="181" t="inlineStr">
        <is>
          <t>K28</t>
        </is>
      </c>
      <c r="B31" s="182" t="inlineStr">
        <is>
          <t>Tüm görünür kullanıcı sheet tabları kurumsal kategori rengi taşıyor mu?</t>
        </is>
      </c>
      <c r="C31" s="182" t="inlineStr">
        <is>
          <t>Evet</t>
        </is>
      </c>
      <c r="D31" s="173" t="inlineStr">
        <is>
          <t>EVET</t>
        </is>
      </c>
    </row>
    <row r="32" ht="16" customHeight="1">
      <c r="A32" s="181" t="inlineStr">
        <is>
          <t>K29</t>
        </is>
      </c>
      <c r="B32" s="182" t="inlineStr">
        <is>
          <t>Sheet sırası tanımlı kullanıcı iş akışıyla birebir aynı mı?</t>
        </is>
      </c>
      <c r="C32" s="182" t="inlineStr">
        <is>
          <t>Evet</t>
        </is>
      </c>
      <c r="D32" s="173" t="inlineStr">
        <is>
          <t>EVET</t>
        </is>
      </c>
    </row>
    <row r="33" ht="30" customHeight="1">
      <c r="A33" s="181" t="inlineStr">
        <is>
          <t>K30</t>
        </is>
      </c>
      <c r="B33" s="182" t="inlineStr">
        <is>
          <t>Kurumsal renk paleti tutarlı mı; rastgele/gökkuşağı renk kullanımı var mı?</t>
        </is>
      </c>
      <c r="C33" s="182" t="inlineStr">
        <is>
          <t>Evet / Hayır</t>
        </is>
      </c>
      <c r="D33" s="173" t="inlineStr">
        <is>
          <t>EVET</t>
        </is>
      </c>
    </row>
    <row r="34" ht="30" customHeight="1">
      <c r="A34" s="181" t="inlineStr">
        <is>
          <t>K31</t>
        </is>
      </c>
      <c r="B34" s="182" t="inlineStr">
        <is>
          <t>Premium vitrin, altyapı kadar güçlü ve satış fiyatını destekleyecek seviyede mi?</t>
        </is>
      </c>
      <c r="C34" s="182" t="inlineStr">
        <is>
          <t>Evet</t>
        </is>
      </c>
      <c r="D34" s="173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GÖRSEL TASARIM VE PREMIUM EXCEL STANDARDI</t>
        </is>
      </c>
    </row>
    <row r="3" ht="24" customHeight="1">
      <c r="A3" s="184" t="inlineStr">
        <is>
          <t>Alan</t>
        </is>
      </c>
      <c r="B3" s="184" t="inlineStr">
        <is>
          <t>Zorunlu Kural</t>
        </is>
      </c>
      <c r="C3" s="184" t="inlineStr">
        <is>
          <t>Uygulama</t>
        </is>
      </c>
      <c r="D3" s="184" t="inlineStr">
        <is>
          <t>Yasak</t>
        </is>
      </c>
      <c r="E3" s="184" t="inlineStr">
        <is>
          <t>Kontrol</t>
        </is>
      </c>
      <c r="F3" s="184" t="inlineStr">
        <is>
          <t>Durum</t>
        </is>
      </c>
    </row>
    <row r="4" ht="28" customHeight="1">
      <c r="A4" s="185" t="inlineStr">
        <is>
          <t>Sayfa başlığı</t>
        </is>
      </c>
      <c r="B4" s="173" t="inlineStr">
        <is>
          <t>Her kullanıcı sayfasının en üstünde tek ve açık sayfa başlığı</t>
        </is>
      </c>
      <c r="C4" s="173" t="inlineStr">
        <is>
          <t>A1'den başlayan koyu lacivert başlık bandı</t>
        </is>
      </c>
      <c r="D4" s="173" t="inlineStr">
        <is>
          <t>Başlıksız sayfa</t>
        </is>
      </c>
      <c r="E4" s="173" t="inlineStr">
        <is>
          <t>Başlık kapsama = %100</t>
        </is>
      </c>
      <c r="F4" s="186" t="inlineStr">
        <is>
          <t>ZORUNLU</t>
        </is>
      </c>
    </row>
    <row r="5" ht="28" customHeight="1">
      <c r="A5" s="185" t="inlineStr">
        <is>
          <t>Sekme renkleri</t>
        </is>
      </c>
      <c r="B5" s="173" t="inlineStr">
        <is>
          <t>Sayfalar işlevine göre renk kodlanır</t>
        </is>
      </c>
      <c r="C5" s="173" t="inlineStr">
        <is>
          <t>Girdi=mavi, hesap=gri, rapor=lacivert, kontrol=kırmızı, kılavuz=altın</t>
        </is>
      </c>
      <c r="D5" s="173" t="inlineStr">
        <is>
          <t>Rastgele renk</t>
        </is>
      </c>
      <c r="E5" s="173" t="inlineStr">
        <is>
          <t>Renk semantiği tutarlı</t>
        </is>
      </c>
      <c r="F5" s="186" t="inlineStr">
        <is>
          <t>ZORUNLU</t>
        </is>
      </c>
    </row>
    <row r="6" ht="28" customHeight="1">
      <c r="A6" s="185" t="inlineStr">
        <is>
          <t>Kolon düzeni</t>
        </is>
      </c>
      <c r="B6" s="173" t="inlineStr">
        <is>
          <t>Veri blokları bitişik kolonlarda ilerler</t>
        </is>
      </c>
      <c r="C6" s="173" t="inlineStr">
        <is>
          <t>Gereksiz boş kolon bırakma; yalnız gerçek bölüm ayrımı varsa kontrollü boşluk</t>
        </is>
      </c>
      <c r="D6" s="173" t="inlineStr">
        <is>
          <t>A:C veri, D boş, E:F veri gibi parçalı yapı</t>
        </is>
      </c>
      <c r="E6" s="173" t="inlineStr">
        <is>
          <t>Boş kolon taraması</t>
        </is>
      </c>
      <c r="F6" s="186" t="inlineStr">
        <is>
          <t>ZORUNLU</t>
        </is>
      </c>
    </row>
    <row r="7" ht="16" customHeight="1">
      <c r="A7" s="185" t="inlineStr">
        <is>
          <t>Girdi hücreleri</t>
        </is>
      </c>
      <c r="B7" s="173" t="inlineStr">
        <is>
          <t>Kullanıcının değiştireceği alan açıkça görünür</t>
        </is>
      </c>
      <c r="C7" s="173" t="inlineStr">
        <is>
          <t>Açık sarı dolgu + mavi yazı</t>
        </is>
      </c>
      <c r="D7" s="173" t="inlineStr">
        <is>
          <t>Formülle aynı görünüm</t>
        </is>
      </c>
      <c r="E7" s="173" t="inlineStr">
        <is>
          <t>Girdi/formül ayrımı</t>
        </is>
      </c>
      <c r="F7" s="186" t="inlineStr">
        <is>
          <t>ZORUNLU</t>
        </is>
      </c>
    </row>
    <row r="8" ht="16" customHeight="1">
      <c r="A8" s="185" t="inlineStr">
        <is>
          <t>Formüller</t>
        </is>
      </c>
      <c r="B8" s="173" t="inlineStr">
        <is>
          <t>Hesap hücreleri kullanıcı girdisinden ayrılır</t>
        </is>
      </c>
      <c r="C8" s="173" t="inlineStr">
        <is>
          <t>Siyah yazı; sayfalar arası bağlantı yeşil yazı</t>
        </is>
      </c>
      <c r="D8" s="173" t="inlineStr">
        <is>
          <t>Hard-code gizleme</t>
        </is>
      </c>
      <c r="E8" s="173" t="inlineStr">
        <is>
          <t>Formül sınıfı kontrolü</t>
        </is>
      </c>
      <c r="F8" s="186" t="inlineStr">
        <is>
          <t>ZORUNLU</t>
        </is>
      </c>
    </row>
    <row r="9" ht="16" customHeight="1">
      <c r="A9" s="185" t="inlineStr">
        <is>
          <t>Grafik sayısı</t>
        </is>
      </c>
      <c r="B9" s="173" t="inlineStr">
        <is>
          <t>Yönetici ekranında en fazla 3 ana karar grafiği</t>
        </is>
      </c>
      <c r="C9" s="173" t="inlineStr">
        <is>
          <t>Trend, karşılaştırma, köprü/dağılım; iş kararına bağlı</t>
        </is>
      </c>
      <c r="D9" s="173" t="inlineStr">
        <is>
          <t>Grafik kalabalığı</t>
        </is>
      </c>
      <c r="E9" s="173" t="inlineStr">
        <is>
          <t>Grafik başına karar sorusu</t>
        </is>
      </c>
      <c r="F9" s="186" t="inlineStr">
        <is>
          <t>ZORUNLU</t>
        </is>
      </c>
    </row>
    <row r="10" ht="16" customHeight="1">
      <c r="A10" s="185" t="inlineStr">
        <is>
          <t>Grafik stili</t>
        </is>
      </c>
      <c r="B10" s="173" t="inlineStr">
        <is>
          <t>Kurumsal ve yüksek okunabilirlik</t>
        </is>
      </c>
      <c r="C10" s="173" t="inlineStr">
        <is>
          <t>Beyaz zemin, ince gridline, tek vurgu rengi, açık birim/başlık</t>
        </is>
      </c>
      <c r="D10" s="173" t="inlineStr">
        <is>
          <t>3B, gölge, neon, gökkuşağı renkleri</t>
        </is>
      </c>
      <c r="E10" s="173" t="inlineStr">
        <is>
          <t>Görsel inceleme</t>
        </is>
      </c>
      <c r="F10" s="186" t="inlineStr">
        <is>
          <t>ZORUNLU</t>
        </is>
      </c>
    </row>
    <row r="11" ht="16" customHeight="1">
      <c r="A11" s="185" t="inlineStr">
        <is>
          <t>Grafik başlığı</t>
        </is>
      </c>
      <c r="B11" s="173" t="inlineStr">
        <is>
          <t>Grafik 'neyi' değil 'ne anlama geldiğini' söyler</t>
        </is>
      </c>
      <c r="C11" s="173" t="inlineStr">
        <is>
          <t>Örn: 'Nakit 2028'de kritik eşiğin altına iniyor'</t>
        </is>
      </c>
      <c r="D11" s="173" t="inlineStr">
        <is>
          <t>'Nakit Grafiği' gibi anlamsız başlık</t>
        </is>
      </c>
      <c r="E11" s="173" t="inlineStr">
        <is>
          <t>Başlık karar testi</t>
        </is>
      </c>
      <c r="F11" s="186" t="inlineStr">
        <is>
          <t>ZORUNLU</t>
        </is>
      </c>
    </row>
    <row r="12" ht="16" customHeight="1">
      <c r="A12" s="185" t="inlineStr">
        <is>
          <t>Birimler</t>
        </is>
      </c>
      <c r="B12" s="173" t="inlineStr">
        <is>
          <t>Tüm finansal görsellerde birim açık</t>
        </is>
      </c>
      <c r="C12" s="173" t="inlineStr">
        <is>
          <t>TL, bin TL, milyon TL, %, gün, x</t>
        </is>
      </c>
      <c r="D12" s="173" t="inlineStr">
        <is>
          <t>Birim belirsizliği</t>
        </is>
      </c>
      <c r="E12" s="173" t="inlineStr">
        <is>
          <t>Birim kapsama %100</t>
        </is>
      </c>
      <c r="F12" s="186" t="inlineStr">
        <is>
          <t>ZORUNLU</t>
        </is>
      </c>
    </row>
    <row r="13" ht="16" customHeight="1">
      <c r="A13" s="185" t="inlineStr">
        <is>
          <t>Sıfır/negatif</t>
        </is>
      </c>
      <c r="B13" s="173" t="inlineStr">
        <is>
          <t>Finansal format standardı</t>
        </is>
      </c>
      <c r="C13" s="173" t="inlineStr">
        <is>
          <t>Sıfır='-', negatif kırmızı parantez</t>
        </is>
      </c>
      <c r="D13" s="173" t="inlineStr">
        <is>
          <t>-500 veya 0,00 kalabalığı</t>
        </is>
      </c>
      <c r="E13" s="173" t="inlineStr">
        <is>
          <t>Format kontrolü</t>
        </is>
      </c>
      <c r="F13" s="186" t="inlineStr">
        <is>
          <t>ZORUNLU</t>
        </is>
      </c>
    </row>
    <row r="14" ht="16" customHeight="1">
      <c r="A14" s="185" t="inlineStr">
        <is>
          <t>Yazı tipi</t>
        </is>
      </c>
      <c r="B14" s="173" t="inlineStr">
        <is>
          <t>Tek aile</t>
        </is>
      </c>
      <c r="C14" s="173" t="inlineStr">
        <is>
          <t>Aptos veya Segoe UI</t>
        </is>
      </c>
      <c r="D14" s="173" t="inlineStr">
        <is>
          <t>Karışık font</t>
        </is>
      </c>
      <c r="E14" s="173" t="inlineStr">
        <is>
          <t>Tek font kontrolü</t>
        </is>
      </c>
      <c r="F14" s="186" t="inlineStr">
        <is>
          <t>ZORUNLU</t>
        </is>
      </c>
    </row>
    <row r="15" ht="16" customHeight="1">
      <c r="A15" s="185" t="inlineStr">
        <is>
          <t>Izgara</t>
        </is>
      </c>
      <c r="B15" s="173" t="inlineStr">
        <is>
          <t>Kullanıcı sayfalarında kapalı</t>
        </is>
      </c>
      <c r="C15" s="173" t="inlineStr">
        <is>
          <t>Bölüm çizgileri ve kart sınırlarıyla düzen</t>
        </is>
      </c>
      <c r="D15" s="173" t="inlineStr">
        <is>
          <t>Excel varsayılan gridline</t>
        </is>
      </c>
      <c r="E15" s="173" t="inlineStr">
        <is>
          <t>Gridline kontrolü</t>
        </is>
      </c>
      <c r="F15" s="186" t="inlineStr">
        <is>
          <t>ZORUNLU</t>
        </is>
      </c>
    </row>
    <row r="16" ht="16" customHeight="1">
      <c r="A16" s="185" t="inlineStr">
        <is>
          <t>Boş durum</t>
        </is>
      </c>
      <c r="B16" s="173" t="inlineStr">
        <is>
          <t>Veri yokken temiz ve anlaşılır</t>
        </is>
      </c>
      <c r="C16" s="173" t="inlineStr">
        <is>
          <t>'Henüz veri yok' / 'Girdi bekleniyor'</t>
        </is>
      </c>
      <c r="D16" s="173" t="inlineStr">
        <is>
          <t>0 yığını / hata kodu</t>
        </is>
      </c>
      <c r="E16" s="173" t="inlineStr">
        <is>
          <t>Boş veri testi</t>
        </is>
      </c>
      <c r="F16" s="186" t="inlineStr">
        <is>
          <t>ZORUNLU</t>
        </is>
      </c>
    </row>
    <row r="17" ht="28" customHeight="1">
      <c r="A17" s="185" t="inlineStr">
        <is>
          <t>Başlangıç deneyimi</t>
        </is>
      </c>
      <c r="B17" s="173" t="inlineStr">
        <is>
          <t>İlk 5 saniyede ne gireceği ve neye bakacağı anlaşılır</t>
        </is>
      </c>
      <c r="C17" s="173" t="inlineStr">
        <is>
          <t>Girdi → durum → aksiyon akışı</t>
        </is>
      </c>
      <c r="D17" s="173" t="inlineStr">
        <is>
          <t>Kılavuz aramaya zorlama</t>
        </is>
      </c>
      <c r="E17" s="173" t="inlineStr">
        <is>
          <t>5 saniye testi</t>
        </is>
      </c>
      <c r="F17" s="186" t="inlineStr">
        <is>
          <t>ZORUNLU</t>
        </is>
      </c>
    </row>
    <row r="18" ht="30" customHeight="1">
      <c r="A18" s="181" t="inlineStr">
        <is>
          <t>Buton standardı</t>
        </is>
      </c>
      <c r="B18" s="182" t="inlineStr">
        <is>
          <t>Buton görünümü verilen her alan gerçek işlev taşır</t>
        </is>
      </c>
      <c r="C18" s="182" t="inlineStr">
        <is>
          <t>Sayfa içi HYPERLINK / gerçek aksiyon; tıklanınca hedefe gider</t>
        </is>
      </c>
      <c r="D18" s="182" t="inlineStr">
        <is>
          <t>İşlevsiz dekoratif buton / sahte navigasyon</t>
        </is>
      </c>
      <c r="E18" s="182" t="inlineStr">
        <is>
          <t>Butonların %100'ü tıklanabilir ve hedefi doğru</t>
        </is>
      </c>
      <c r="F18" s="186" t="inlineStr">
        <is>
          <t>ZORUNLU</t>
        </is>
      </c>
    </row>
    <row r="19" ht="32" customHeight="1">
      <c r="A19" s="181" t="inlineStr">
        <is>
          <t>Native sayfa sekmesi rengi</t>
        </is>
      </c>
      <c r="B19" s="182" t="inlineStr">
        <is>
          <t>Excel alt sheet tabları kurumsal paletle renklendirilir</t>
        </is>
      </c>
      <c r="C19" s="182" t="inlineStr">
        <is>
          <t>Başlangıç/özet=lacivert; girdiler=mavi; hesap/finans=teal; karar/kontrol=burgundy; doküman=gri</t>
        </is>
      </c>
      <c r="D19" s="182" t="inlineStr">
        <is>
          <t>Renksiz sekmeler veya rastgele/gökkuşağı renkleri</t>
        </is>
      </c>
      <c r="E19" s="182" t="inlineStr">
        <is>
          <t>Tüm görünür kullanıcı sheet tabları renkli</t>
        </is>
      </c>
      <c r="F19" s="186" t="inlineStr">
        <is>
          <t>ZORUNLU</t>
        </is>
      </c>
    </row>
    <row r="20" ht="60" customHeight="1">
      <c r="A20" s="181" t="inlineStr">
        <is>
          <t>İş akışı sıralaması</t>
        </is>
      </c>
      <c r="B20" s="182" t="inlineStr">
        <is>
          <t>Sayfalar kullanıcının çalışma sırasına göre fiziksel olarak dizilir</t>
        </is>
      </c>
      <c r="C20" s="182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2" t="inlineStr">
        <is>
          <t>Teknik oluşturma sırasına göre dağınık sheet dizilimi</t>
        </is>
      </c>
      <c r="E20" s="182" t="inlineStr">
        <is>
          <t>Sheet order = tanımlı workflow</t>
        </is>
      </c>
      <c r="F20" s="186" t="inlineStr">
        <is>
          <t>ZORUNLU</t>
        </is>
      </c>
    </row>
    <row r="21" ht="30" customHeight="1">
      <c r="A21" s="181" t="inlineStr">
        <is>
          <t>Kurumsal renk paleti</t>
        </is>
      </c>
      <c r="B21" s="182" t="inlineStr">
        <is>
          <t>Sekme, başlık, buton ve vurgu renkleri tek kurumsal paletten gelir</t>
        </is>
      </c>
      <c r="C21" s="182" t="inlineStr">
        <is>
          <t>Lacivert + mavi + teal + kontrollü burgundy/gri; kategori semantiği sabit</t>
        </is>
      </c>
      <c r="D21" s="182" t="inlineStr">
        <is>
          <t>Neon, rastgele yüksek doygunluk, her sayfada farklı bağımsız renk</t>
        </is>
      </c>
      <c r="E21" s="182" t="inlineStr">
        <is>
          <t>Palette token kontrolü</t>
        </is>
      </c>
      <c r="F21" s="186" t="inlineStr">
        <is>
          <t>ZORUNLU</t>
        </is>
      </c>
    </row>
    <row r="22" ht="45" customHeight="1">
      <c r="A22" s="181" t="inlineStr">
        <is>
          <t>Premium vitrin</t>
        </is>
      </c>
      <c r="B22" s="182" t="inlineStr">
        <is>
          <t>Görsel kalite ürün değerinin zorunlu parçasıdır</t>
        </is>
      </c>
      <c r="C22" s="182" t="inlineStr">
        <is>
          <t>Kaliteli grafik, gerçek KPI kartı, finansal hiyerarşi, tab rengi, fonksiyonel navigasyon</t>
        </is>
      </c>
      <c r="D22" s="182" t="inlineStr">
        <is>
          <t>Sadece doğru hesap yapıp çıplak/varsayılan Excel görünümü bırakmak</t>
        </is>
      </c>
      <c r="E22" s="182" t="inlineStr">
        <is>
          <t>Görsel release incelemesi</t>
        </is>
      </c>
      <c r="F22" s="186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TÜRKİYE MUHASEBE VE TEKDÜZEN HESAP PLANI STANDARDI</t>
        </is>
      </c>
    </row>
    <row r="3" ht="24" customHeight="1">
      <c r="A3" s="188" t="inlineStr">
        <is>
          <t>Konu</t>
        </is>
      </c>
      <c r="B3" s="188" t="inlineStr">
        <is>
          <t>Zorunlu Standart</t>
        </is>
      </c>
      <c r="C3" s="188" t="inlineStr">
        <is>
          <t>Örnek Türkçe Ad</t>
        </is>
      </c>
      <c r="D3" s="188" t="inlineStr">
        <is>
          <t>THP / Mantık</t>
        </is>
      </c>
      <c r="E3" s="188" t="inlineStr">
        <is>
          <t>Hata Riski</t>
        </is>
      </c>
      <c r="F3" s="188" t="inlineStr">
        <is>
          <t>Kontrol</t>
        </is>
      </c>
    </row>
    <row r="4">
      <c r="A4" s="189" t="inlineStr">
        <is>
          <t>Dil</t>
        </is>
      </c>
      <c r="B4" s="173" t="inlineStr">
        <is>
          <t>Kullanıcıya görünen finansal terimler Türkçe</t>
        </is>
      </c>
      <c r="C4" s="173" t="inlineStr">
        <is>
          <t>Hasılat, Satışların Maliyeti, Brüt Kâr, Faaliyet Giderleri</t>
        </is>
      </c>
      <c r="D4" s="173" t="inlineStr">
        <is>
          <t>Türk işletme kullanımına uygun</t>
        </is>
      </c>
      <c r="E4" s="173" t="inlineStr">
        <is>
          <t>İngilizce jargon</t>
        </is>
      </c>
      <c r="F4" s="173" t="inlineStr">
        <is>
          <t>Terminoloji taraması</t>
        </is>
      </c>
    </row>
    <row r="5" ht="28" customHeight="1">
      <c r="A5" s="189" t="inlineStr">
        <is>
          <t>Gelir Tablosu</t>
        </is>
      </c>
      <c r="B5" s="173" t="inlineStr">
        <is>
          <t>Türk sunum sırası kullanılır</t>
        </is>
      </c>
      <c r="C5" s="173" t="inlineStr">
        <is>
          <t>Net Satışlar → Satışların Maliyeti → Brüt Kâr → Faaliyet Giderleri → Faaliyet Kârı</t>
        </is>
      </c>
      <c r="D5" s="173" t="inlineStr">
        <is>
          <t>600/610/611; 620-623; 63x</t>
        </is>
      </c>
      <c r="E5" s="173" t="inlineStr">
        <is>
          <t>Yanlış sınıflama</t>
        </is>
      </c>
      <c r="F5" s="173" t="inlineStr">
        <is>
          <t>Hesap eşleme</t>
        </is>
      </c>
    </row>
    <row r="6" ht="28" customHeight="1">
      <c r="A6" s="189" t="inlineStr">
        <is>
          <t>Bilanço</t>
        </is>
      </c>
      <c r="B6" s="173" t="inlineStr">
        <is>
          <t>Dönen/Duran Varlık ve Kısa/Uzun Vadeli Yükümlülük ayrımı</t>
        </is>
      </c>
      <c r="C6" s="173" t="inlineStr">
        <is>
          <t>Hazır Değerler, Ticari Alacaklar, Stoklar, Mali Borçlar</t>
        </is>
      </c>
      <c r="D6" s="173" t="inlineStr">
        <is>
          <t>1xx / 2xx / 3xx / 4xx / 5xx</t>
        </is>
      </c>
      <c r="E6" s="173" t="inlineStr">
        <is>
          <t>Vade sınıfı hatası</t>
        </is>
      </c>
      <c r="F6" s="173" t="inlineStr">
        <is>
          <t>Bilanço eşitliği</t>
        </is>
      </c>
    </row>
    <row r="7">
      <c r="A7" s="189" t="inlineStr">
        <is>
          <t>Nakit Akışı</t>
        </is>
      </c>
      <c r="B7" s="173" t="inlineStr">
        <is>
          <t>İşletme/Yatırım/Finansman nakit akışları ayrılır</t>
        </is>
      </c>
      <c r="C7" s="173" t="inlineStr">
        <is>
          <t>Faaliyetlerden Nakit, Yatırım Harcamaları, Finansman Nakit Akışı</t>
        </is>
      </c>
      <c r="D7" s="173" t="inlineStr">
        <is>
          <t>Dolaylı/doğrudan yöntem açık seçilir</t>
        </is>
      </c>
      <c r="E7" s="173" t="inlineStr">
        <is>
          <t>Kâr = nakit sanılması</t>
        </is>
      </c>
      <c r="F7" s="173" t="inlineStr">
        <is>
          <t>Nakit devri</t>
        </is>
      </c>
    </row>
    <row r="8">
      <c r="A8" s="189" t="inlineStr">
        <is>
          <t>Ticari Alacaklar</t>
        </is>
      </c>
      <c r="B8" s="173" t="inlineStr">
        <is>
          <t>Cari ve vade mantığı korunur</t>
        </is>
      </c>
      <c r="C8" s="173" t="inlineStr">
        <is>
          <t>120 Alıcılar</t>
        </is>
      </c>
      <c r="D8" s="173" t="inlineStr">
        <is>
          <t>120</t>
        </is>
      </c>
      <c r="E8" s="173" t="inlineStr">
        <is>
          <t>Tahakkuk/nakit karışması</t>
        </is>
      </c>
      <c r="F8" s="173" t="inlineStr">
        <is>
          <t>Alacak devir kontrolü</t>
        </is>
      </c>
    </row>
    <row r="9">
      <c r="A9" s="189" t="inlineStr">
        <is>
          <t>Ticari Borçlar</t>
        </is>
      </c>
      <c r="B9" s="173" t="inlineStr">
        <is>
          <t>Tedarikçi borcu ayrı izlenir</t>
        </is>
      </c>
      <c r="C9" s="173" t="inlineStr">
        <is>
          <t>320 Satıcılar</t>
        </is>
      </c>
      <c r="D9" s="173" t="inlineStr">
        <is>
          <t>320</t>
        </is>
      </c>
      <c r="E9" s="173" t="inlineStr">
        <is>
          <t>Gider/ödeme karışması</t>
        </is>
      </c>
      <c r="F9" s="173" t="inlineStr">
        <is>
          <t>Borç devir kontrolü</t>
        </is>
      </c>
    </row>
    <row r="10">
      <c r="A10" s="189" t="inlineStr">
        <is>
          <t>Kasa/Banka</t>
        </is>
      </c>
      <c r="B10" s="173" t="inlineStr">
        <is>
          <t>Hazır değerler ayrı izlenir</t>
        </is>
      </c>
      <c r="C10" s="173" t="inlineStr">
        <is>
          <t>100 Kasa, 102 Bankalar</t>
        </is>
      </c>
      <c r="D10" s="173" t="inlineStr">
        <is>
          <t>100 / 102</t>
        </is>
      </c>
      <c r="E10" s="173" t="inlineStr">
        <is>
          <t>Virmanla toplam nakdin değişmesi</t>
        </is>
      </c>
      <c r="F10" s="173" t="inlineStr">
        <is>
          <t>Virman değişmezi</t>
        </is>
      </c>
    </row>
    <row r="11">
      <c r="A11" s="189" t="inlineStr">
        <is>
          <t>Stok</t>
        </is>
      </c>
      <c r="B11" s="173" t="inlineStr">
        <is>
          <t>Dikeye uygun stok türü</t>
        </is>
      </c>
      <c r="C11" s="173" t="inlineStr">
        <is>
          <t>150 İlk Madde ve Malzeme, 153 Ticari Mallar</t>
        </is>
      </c>
      <c r="D11" s="173" t="inlineStr">
        <is>
          <t>15x</t>
        </is>
      </c>
      <c r="E11" s="173" t="inlineStr">
        <is>
          <t>Maliyet ve stok hareketinin kopması</t>
        </is>
      </c>
      <c r="F11" s="173" t="inlineStr">
        <is>
          <t>Stok devri</t>
        </is>
      </c>
    </row>
    <row r="12" ht="28" customHeight="1">
      <c r="A12" s="189" t="inlineStr">
        <is>
          <t>Maddi Duran Varlık</t>
        </is>
      </c>
      <c r="B12" s="173" t="inlineStr">
        <is>
          <t>Yatırım harcaması ve amortisman bağlantılı</t>
        </is>
      </c>
      <c r="C12" s="173" t="inlineStr">
        <is>
          <t>253 Tesis Makine Cihazlar, 255 Demirbaşlar, 257 Birikmiş Amortismanlar</t>
        </is>
      </c>
      <c r="D12" s="173" t="inlineStr">
        <is>
          <t>25x</t>
        </is>
      </c>
      <c r="E12" s="173" t="inlineStr">
        <is>
          <t>Yatırım/gider karışması</t>
        </is>
      </c>
      <c r="F12" s="173" t="inlineStr">
        <is>
          <t>Net defter değeri devri</t>
        </is>
      </c>
    </row>
    <row r="13">
      <c r="A13" s="189" t="inlineStr">
        <is>
          <t>Mali Borçlar</t>
        </is>
      </c>
      <c r="B13" s="173" t="inlineStr">
        <is>
          <t>Kısa/uzun vadeli borç ayrımı</t>
        </is>
      </c>
      <c r="C13" s="173" t="inlineStr">
        <is>
          <t>300 Banka Kredileri / 400 Banka Kredileri</t>
        </is>
      </c>
      <c r="D13" s="173" t="inlineStr">
        <is>
          <t>300 / 400</t>
        </is>
      </c>
      <c r="E13" s="173" t="inlineStr">
        <is>
          <t>Vade sınıfı yanlış</t>
        </is>
      </c>
      <c r="F13" s="173" t="inlineStr">
        <is>
          <t>Borç devri</t>
        </is>
      </c>
    </row>
    <row r="14">
      <c r="A14" s="189" t="inlineStr">
        <is>
          <t>Özkaynak</t>
        </is>
      </c>
      <c r="B14" s="173" t="inlineStr">
        <is>
          <t>Sermaye ve geçmiş yıl kârları ayrı</t>
        </is>
      </c>
      <c r="C14" s="173" t="inlineStr">
        <is>
          <t>500 Sermaye, 570 Geçmiş Yıllar Kârları, 590 Dönem Net Kârı</t>
        </is>
      </c>
      <c r="D14" s="173" t="inlineStr">
        <is>
          <t>5xx</t>
        </is>
      </c>
      <c r="E14" s="173" t="inlineStr">
        <is>
          <t>Net kâr bağının kopması</t>
        </is>
      </c>
      <c r="F14" s="173" t="inlineStr">
        <is>
          <t>Özkaynak devri</t>
        </is>
      </c>
    </row>
    <row r="15">
      <c r="A15" s="189" t="inlineStr">
        <is>
          <t>Vergi</t>
        </is>
      </c>
      <c r="B15" s="173" t="inlineStr">
        <is>
          <t>Vergi satırları Türkiye mantığına uygun</t>
        </is>
      </c>
      <c r="C15" s="173" t="inlineStr">
        <is>
          <t>Dönem Vergi ve Diğer Yasal Yükümlülük Karşılıkları</t>
        </is>
      </c>
      <c r="D15" s="173" t="inlineStr">
        <is>
          <t>37x / ilgili vergi hesapları</t>
        </is>
      </c>
      <c r="E15" s="173" t="inlineStr">
        <is>
          <t>Vergi etkisinin yanlış dönemlenmesi</t>
        </is>
      </c>
      <c r="F15" s="173" t="inlineStr">
        <is>
          <t>Vergi sözleşmesi</t>
        </is>
      </c>
    </row>
    <row r="16">
      <c r="A16" s="189" t="inlineStr">
        <is>
          <t>İsim standardı</t>
        </is>
      </c>
      <c r="B16" s="173" t="inlineStr">
        <is>
          <t>Tablo ve sayfa adları Türkçe ve işlevsel</t>
        </is>
      </c>
      <c r="C16" s="173" t="inlineStr">
        <is>
          <t>GELİR_TABLOSU, BİLANÇO, NAKİT_AKISI, BORC_PLANI</t>
        </is>
      </c>
      <c r="D16" s="173" t="inlineStr">
        <is>
          <t>Tekrarlanabilir standart</t>
        </is>
      </c>
      <c r="E16" s="173" t="inlineStr">
        <is>
          <t>İngilizce/karma isim</t>
        </is>
      </c>
      <c r="F16" s="173" t="inlineStr">
        <is>
          <t>Sayfa ve tablo taraması</t>
        </is>
      </c>
    </row>
    <row r="17">
      <c r="A17" s="189" t="inlineStr">
        <is>
          <t>THP eşleme tablosu</t>
        </is>
      </c>
      <c r="B17" s="173" t="inlineStr">
        <is>
          <t>Her kritik satır en az bir THP hesabına bağlanır</t>
        </is>
      </c>
      <c r="C17" s="173" t="inlineStr">
        <is>
          <t>RaporSatırı → HesapKodu → HesapAdı → İşaret → Dönem</t>
        </is>
      </c>
      <c r="D17" s="173" t="inlineStr">
        <is>
          <t>Kaynak izlenebilirliği</t>
        </is>
      </c>
      <c r="E17" s="173" t="inlineStr">
        <is>
          <t>Rapordan rapora kaynak</t>
        </is>
      </c>
      <c r="F17" s="173" t="inlineStr">
        <is>
          <t>Eşleme kapsama %100</t>
        </is>
      </c>
    </row>
    <row r="18">
      <c r="A18" s="189" t="inlineStr">
        <is>
          <t>İstisna</t>
        </is>
      </c>
      <c r="B18" s="173" t="inlineStr">
        <is>
          <t>TFRS özel ürün varsa fark açık yazılır</t>
        </is>
      </c>
      <c r="C18" s="173" t="inlineStr">
        <is>
          <t>Tekdüzen raporlama ≠ TFRS finansal tablo sunumu</t>
        </is>
      </c>
      <c r="D18" s="173" t="inlineStr">
        <is>
          <t>Amaç belirtilir</t>
        </is>
      </c>
      <c r="E18" s="173" t="inlineStr">
        <is>
          <t>Standartları karıştırma</t>
        </is>
      </c>
      <c r="F18" s="173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KARAR, GÜVEN VE SATIŞA HAZIRLIK STANDARDI</t>
        </is>
      </c>
    </row>
    <row r="3" ht="24" customHeight="1">
      <c r="A3" s="191" t="inlineStr">
        <is>
          <t>Alan</t>
        </is>
      </c>
      <c r="B3" s="191" t="inlineStr">
        <is>
          <t>Müşteri Sorusu</t>
        </is>
      </c>
      <c r="C3" s="191" t="inlineStr">
        <is>
          <t>Zorunlu Ürün Davranışı</t>
        </is>
      </c>
      <c r="D3" s="191" t="inlineStr">
        <is>
          <t>Kanıt</t>
        </is>
      </c>
      <c r="E3" s="191" t="inlineStr">
        <is>
          <t>Başarısızlık Durumu</t>
        </is>
      </c>
      <c r="F3" s="191" t="inlineStr">
        <is>
          <t>Kapı</t>
        </is>
      </c>
    </row>
    <row r="4">
      <c r="A4" s="192" t="inlineStr">
        <is>
          <t>5 saniye</t>
        </is>
      </c>
      <c r="B4" s="173" t="inlineStr">
        <is>
          <t>Bu ürün neyi çözüyor?</t>
        </is>
      </c>
      <c r="C4" s="173" t="inlineStr">
        <is>
          <t>İlk ekranda hedef kullanıcı + pahalı problem + sonuç görünür</t>
        </is>
      </c>
      <c r="D4" s="173" t="inlineStr">
        <is>
          <t>Başlık + alt mesaj + gerçek ekran</t>
        </is>
      </c>
      <c r="E4" s="173" t="inlineStr">
        <is>
          <t>Ürün yalnız teknik isim</t>
        </is>
      </c>
      <c r="F4" s="193" t="inlineStr">
        <is>
          <t>HATA</t>
        </is>
      </c>
    </row>
    <row r="5">
      <c r="A5" s="192" t="inlineStr">
        <is>
          <t>Acı</t>
        </is>
      </c>
      <c r="B5" s="173" t="inlineStr">
        <is>
          <t>Sorun bana neye mal oluyor?</t>
        </is>
      </c>
      <c r="C5" s="173" t="inlineStr">
        <is>
          <t>Mümkünse müşterinin kendi verisiyle parasal/zaman etkisi hesaplanır</t>
        </is>
      </c>
      <c r="D5" s="173" t="inlineStr">
        <is>
          <t>ROI/acı hesaplama yöntemi</t>
        </is>
      </c>
      <c r="E5" s="173" t="inlineStr">
        <is>
          <t>Uydurma tasarruf</t>
        </is>
      </c>
      <c r="F5" s="193" t="inlineStr">
        <is>
          <t>HATA</t>
        </is>
      </c>
    </row>
    <row r="6">
      <c r="A6" s="192" t="inlineStr">
        <is>
          <t>Karar</t>
        </is>
      </c>
      <c r="B6" s="173" t="inlineStr">
        <is>
          <t>Bu bilgiyle ne yapacağım?</t>
        </is>
      </c>
      <c r="C6" s="173" t="inlineStr">
        <is>
          <t>Her kritik KPI aksiyona bağlanır</t>
        </is>
      </c>
      <c r="D6" s="173" t="inlineStr">
        <is>
          <t>KARAR_KUYRUGU</t>
        </is>
      </c>
      <c r="E6" s="173" t="inlineStr">
        <is>
          <t>Sadece rapor</t>
        </is>
      </c>
      <c r="F6" s="193" t="inlineStr">
        <is>
          <t>HATA</t>
        </is>
      </c>
    </row>
    <row r="7">
      <c r="A7" s="192" t="inlineStr">
        <is>
          <t>Güven</t>
        </is>
      </c>
      <c r="B7" s="173" t="inlineStr">
        <is>
          <t>Bu sayıya neden inanayım?</t>
        </is>
      </c>
      <c r="C7" s="173" t="inlineStr">
        <is>
          <t>Kaynak, formül mantığı, kontrol ve son doğrulama görünür</t>
        </is>
      </c>
      <c r="D7" s="173" t="inlineStr">
        <is>
          <t>Kontroller + kaynak izi + sürüm</t>
        </is>
      </c>
      <c r="E7" s="173" t="inlineStr">
        <is>
          <t>Prestij kelimesi</t>
        </is>
      </c>
      <c r="F7" s="193" t="inlineStr">
        <is>
          <t>HATA</t>
        </is>
      </c>
    </row>
    <row r="8">
      <c r="A8" s="192" t="inlineStr">
        <is>
          <t>Referans</t>
        </is>
      </c>
      <c r="B8" s="173" t="inlineStr">
        <is>
          <t>Müşteri yorumu yoksa ne göstereceğim?</t>
        </is>
      </c>
      <c r="C8" s="173" t="inlineStr">
        <is>
          <t>Önce/Sonra + Karar Vakası + Hata Önleme Vakası üretilir</t>
        </is>
      </c>
      <c r="D8" s="173" t="inlineStr">
        <is>
          <t>Demo/örnek çıktı</t>
        </is>
      </c>
      <c r="E8" s="173" t="inlineStr">
        <is>
          <t>Kanıtsız iddia</t>
        </is>
      </c>
      <c r="F8" s="193" t="inlineStr">
        <is>
          <t>HATA</t>
        </is>
      </c>
    </row>
    <row r="9">
      <c r="A9" s="192" t="inlineStr">
        <is>
          <t>Senaryo</t>
        </is>
      </c>
      <c r="B9" s="173" t="inlineStr">
        <is>
          <t>Ne olursa işler bozulur?</t>
        </is>
      </c>
      <c r="C9" s="173" t="inlineStr">
        <is>
          <t>Baz/Aşağı/Yukarı veya uygun stres senaryosu</t>
        </is>
      </c>
      <c r="D9" s="173" t="inlineStr">
        <is>
          <t>Senaryo karşılaştırma</t>
        </is>
      </c>
      <c r="E9" s="173" t="inlineStr">
        <is>
          <t>Dekoratif senaryo</t>
        </is>
      </c>
      <c r="F9" s="193" t="inlineStr">
        <is>
          <t>HATA</t>
        </is>
      </c>
    </row>
    <row r="10">
      <c r="A10" s="192" t="inlineStr">
        <is>
          <t>Ters stres</t>
        </is>
      </c>
      <c r="B10" s="173" t="inlineStr">
        <is>
          <t>Hangi eşikte karar kırılır?</t>
        </is>
      </c>
      <c r="C10" s="173" t="inlineStr">
        <is>
          <t>En az bir kritik sürücü için kırılma eşiği</t>
        </is>
      </c>
      <c r="D10" s="173" t="inlineStr">
        <is>
          <t>Kırılma eşiği tablosu</t>
        </is>
      </c>
      <c r="E10" s="173" t="inlineStr">
        <is>
          <t>Sadece +/- %10</t>
        </is>
      </c>
      <c r="F10" s="193" t="inlineStr">
        <is>
          <t>UYARI/HATA</t>
        </is>
      </c>
    </row>
    <row r="11">
      <c r="A11" s="192" t="inlineStr">
        <is>
          <t>Hata tutarlılığı</t>
        </is>
      </c>
      <c r="B11" s="173" t="inlineStr">
        <is>
          <t>Formül hata verirse ne olur?</t>
        </is>
      </c>
      <c r="C11" s="173" t="inlineStr">
        <is>
          <t>Kontrol GEÇTİ veremez; BLOKE/HATA üretir</t>
        </is>
      </c>
      <c r="D11" s="173" t="inlineStr">
        <is>
          <t>Hata taraması</t>
        </is>
      </c>
      <c r="E11" s="173" t="inlineStr">
        <is>
          <t>Hata + GEÇTİ birlikte</t>
        </is>
      </c>
      <c r="F11" s="193" t="inlineStr">
        <is>
          <t>HATA</t>
        </is>
      </c>
    </row>
    <row r="12">
      <c r="A12" s="192" t="inlineStr">
        <is>
          <t>Karar motoru</t>
        </is>
      </c>
      <c r="B12" s="173" t="inlineStr">
        <is>
          <t>Ne oldu, neden oldu?</t>
        </is>
      </c>
      <c r="C12" s="173" t="inlineStr">
        <is>
          <t>Sorun + neden + parasal etki + aksiyon + son tarih</t>
        </is>
      </c>
      <c r="D12" s="173" t="inlineStr">
        <is>
          <t>Karar tablosu</t>
        </is>
      </c>
      <c r="E12" s="173" t="inlineStr">
        <is>
          <t>Boş sayfa / isim düzeyi modül</t>
        </is>
      </c>
      <c r="F12" s="193" t="inlineStr">
        <is>
          <t>HATA</t>
        </is>
      </c>
    </row>
    <row r="13">
      <c r="A13" s="192" t="inlineStr">
        <is>
          <t>Yönetici özeti</t>
        </is>
      </c>
      <c r="B13" s="173" t="inlineStr">
        <is>
          <t>5 saniyede ne görmeliyim?</t>
        </is>
      </c>
      <c r="C13" s="173" t="inlineStr">
        <is>
          <t>Bugün / ne değişti / ne bozulacak / neden / ne yapmalıyım / güven</t>
        </is>
      </c>
      <c r="D13" s="173" t="inlineStr">
        <is>
          <t>Yönetici özeti ekranı</t>
        </is>
      </c>
      <c r="E13" s="173" t="inlineStr">
        <is>
          <t>KPI kutusu yığını</t>
        </is>
      </c>
      <c r="F13" s="193" t="inlineStr">
        <is>
          <t>HATA</t>
        </is>
      </c>
    </row>
    <row r="14">
      <c r="A14" s="192" t="inlineStr">
        <is>
          <t>Teklif</t>
        </is>
      </c>
      <c r="B14" s="173" t="inlineStr">
        <is>
          <t>Neden satın almalıyım?</t>
        </is>
      </c>
      <c r="C14" s="173" t="inlineStr">
        <is>
          <t>Dosya özellikleri yerine sonuç ve kaçınılan maliyet sunulur</t>
        </is>
      </c>
      <c r="D14" s="173" t="inlineStr">
        <is>
          <t>Ürün sayfası kanıt eşlemesi</t>
        </is>
      </c>
      <c r="E14" s="173" t="inlineStr">
        <is>
          <t>Özellik listesiyle satış</t>
        </is>
      </c>
      <c r="F14" s="193" t="inlineStr">
        <is>
          <t>HATA</t>
        </is>
      </c>
    </row>
    <row r="15">
      <c r="A15" s="192" t="inlineStr">
        <is>
          <t>Dağıtım</t>
        </is>
      </c>
      <c r="B15" s="173" t="inlineStr">
        <is>
          <t>Beni nasıl bulacaklar?</t>
        </is>
      </c>
      <c r="C15" s="173" t="inlineStr">
        <is>
          <t>Sorun niyetine göre SEO sayfaları, iç bağlantı, temiz yapı, taranabilir metin</t>
        </is>
      </c>
      <c r="D15" s="173" t="inlineStr">
        <is>
          <t>Arama niyeti haritası</t>
        </is>
      </c>
      <c r="E15" s="173" t="inlineStr">
        <is>
          <t>Tek ürün sayfasına bağımlılık</t>
        </is>
      </c>
      <c r="F15" s="193" t="inlineStr">
        <is>
          <t>UYARI</t>
        </is>
      </c>
    </row>
    <row r="16" ht="28" customHeight="1">
      <c r="A16" s="192" t="inlineStr">
        <is>
          <t>LLM görünürlüğü</t>
        </is>
      </c>
      <c r="B16" s="173" t="inlineStr">
        <is>
          <t>AI ürünümü anlayabiliyor mu?</t>
        </is>
      </c>
      <c r="C16" s="173" t="inlineStr">
        <is>
          <t>Ürün tanımı, hedef kullanıcı, girdi/çıktı, metodoloji, sınırlar, SSS açık metindir</t>
        </is>
      </c>
      <c r="D16" s="173" t="inlineStr">
        <is>
          <t>Taranabilir ürün içeriği</t>
        </is>
      </c>
      <c r="E16" s="173" t="inlineStr">
        <is>
          <t>'AI SEO' iddiası</t>
        </is>
      </c>
      <c r="F16" s="193" t="inlineStr">
        <is>
          <t>UYARI</t>
        </is>
      </c>
    </row>
    <row r="17">
      <c r="A17" s="192" t="inlineStr">
        <is>
          <t>Satış kanalı</t>
        </is>
      </c>
      <c r="B17" s="173" t="inlineStr">
        <is>
          <t>Nerede satılmalı?</t>
        </is>
      </c>
      <c r="C17" s="173" t="inlineStr">
        <is>
          <t>Arama, LinkedIn, uzman/partner, demo/video; ürüne göre kanal seçilir</t>
        </is>
      </c>
      <c r="D17" s="173" t="inlineStr">
        <is>
          <t>Kanal matrisi</t>
        </is>
      </c>
      <c r="E17" s="173" t="inlineStr">
        <is>
          <t>Her ürüne aynı kanal</t>
        </is>
      </c>
      <c r="F17" s="193" t="inlineStr">
        <is>
          <t>UYARI</t>
        </is>
      </c>
    </row>
    <row r="18">
      <c r="A18" s="192" t="inlineStr">
        <is>
          <t>Fiyat</t>
        </is>
      </c>
      <c r="B18" s="173" t="inlineStr">
        <is>
          <t>Bu fiyat neden mantıklı?</t>
        </is>
      </c>
      <c r="C18" s="173" t="inlineStr">
        <is>
          <t>Fiyat, ekonomik karar değerine ve kanıtlanmış ürün derinliğine bağlanır</t>
        </is>
      </c>
      <c r="D18" s="173" t="inlineStr">
        <is>
          <t>Değer haritası + demo</t>
        </is>
      </c>
      <c r="E18" s="173" t="inlineStr">
        <is>
          <t>Sırf sayfa/formül sayısı</t>
        </is>
      </c>
      <c r="F18" s="193" t="inlineStr">
        <is>
          <t>HATA</t>
        </is>
      </c>
    </row>
    <row r="19">
      <c r="A19" s="192" t="inlineStr">
        <is>
          <t>Pazar kanıtı</t>
        </is>
      </c>
      <c r="B19" s="173" t="inlineStr">
        <is>
          <t>Piyasa gerçekten ödüyor mu?</t>
        </is>
      </c>
      <c r="C19" s="173" t="inlineStr">
        <is>
          <t>Satış/pilot/LOI/fiyat kabulü olmadan pazar doğrulandı yazılmaz</t>
        </is>
      </c>
      <c r="D19" s="173" t="inlineStr">
        <is>
          <t>Gerçek işlem kanıtı</t>
        </is>
      </c>
      <c r="E19" s="173" t="inlineStr">
        <is>
          <t>Tahmini talep = satış kabulü</t>
        </is>
      </c>
      <c r="F19" s="193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GIRDI — Teşvikli Bordro Optimizasyon</t>
        </is>
      </c>
    </row>
    <row r="3" ht="22" customHeight="1">
      <c r="A3" s="223" t="inlineStr">
        <is>
          <t>Dönem ve işveren</t>
        </is>
      </c>
    </row>
    <row r="4">
      <c r="A4" s="22" t="inlineStr">
        <is>
          <t>Sarı hücreler manuel giriştir. Potansiyel tasarruf formülle üretilir.</t>
        </is>
      </c>
    </row>
    <row r="5">
      <c r="A5" s="23" t="inlineStr">
        <is>
          <t>Alan</t>
        </is>
      </c>
      <c r="B5" s="23" t="inlineStr">
        <is>
          <t>Değer</t>
        </is>
      </c>
      <c r="C5" s="23" t="inlineStr">
        <is>
          <t>Birim</t>
        </is>
      </c>
    </row>
    <row r="6">
      <c r="A6" s="24" t="inlineStr">
        <is>
          <t>İşveren Adı</t>
        </is>
      </c>
      <c r="B6" s="25" t="inlineStr">
        <is>
          <t>Örnek Üretim A.Ş.</t>
        </is>
      </c>
      <c r="C6" s="19" t="inlineStr">
        <is>
          <t>metin</t>
        </is>
      </c>
    </row>
    <row r="7">
      <c r="A7" s="24" t="inlineStr">
        <is>
          <t>Dönem</t>
        </is>
      </c>
      <c r="B7" s="25" t="inlineStr">
        <is>
          <t>2025-01</t>
        </is>
      </c>
      <c r="C7" s="19" t="inlineStr">
        <is>
          <t>metin</t>
        </is>
      </c>
    </row>
    <row r="8">
      <c r="A8" s="24" t="inlineStr">
        <is>
          <t>Hesap Yılı</t>
        </is>
      </c>
      <c r="B8" s="26" t="n">
        <v>2025</v>
      </c>
      <c r="C8" s="19" t="inlineStr">
        <is>
          <t>yıl</t>
        </is>
      </c>
    </row>
    <row r="9">
      <c r="A9" s="24" t="inlineStr">
        <is>
          <t>Aylık Brüt Prim Matrahı [₺]</t>
        </is>
      </c>
      <c r="B9" s="27" t="n">
        <v>500000</v>
      </c>
      <c r="C9" s="19" t="inlineStr">
        <is>
          <t>₺</t>
        </is>
      </c>
    </row>
    <row r="10">
      <c r="A10" s="24" t="inlineStr">
        <is>
          <t>Çalışan Sayısı</t>
        </is>
      </c>
      <c r="B10" s="26" t="n">
        <v>20</v>
      </c>
      <c r="C10" s="19" t="inlineStr">
        <is>
          <t>adet</t>
        </is>
      </c>
    </row>
    <row r="11">
      <c r="A11" s="24" t="inlineStr">
        <is>
          <t>5 Puan Kapsam Matrahı [₺]</t>
        </is>
      </c>
      <c r="B11" s="27" t="n">
        <v>300000</v>
      </c>
      <c r="C11" s="19" t="inlineStr">
        <is>
          <t>₺</t>
        </is>
      </c>
    </row>
    <row r="12">
      <c r="A12" s="24" t="inlineStr">
        <is>
          <t>İlave İstihdam Matrahı [₺]</t>
        </is>
      </c>
      <c r="B12" s="27" t="n">
        <v>100000</v>
      </c>
      <c r="C12" s="19" t="inlineStr">
        <is>
          <t>₺</t>
        </is>
      </c>
    </row>
    <row r="13">
      <c r="A13" s="24" t="inlineStr">
        <is>
          <t>Kadın/Genç Matrahı [₺]</t>
        </is>
      </c>
      <c r="B13" s="27" t="n">
        <v>50000</v>
      </c>
      <c r="C13" s="19" t="inlineStr">
        <is>
          <t>₺</t>
        </is>
      </c>
    </row>
    <row r="14">
      <c r="A14" s="24" t="inlineStr">
        <is>
          <t>Engelli Matrahı [₺]</t>
        </is>
      </c>
      <c r="B14" s="27" t="n">
        <v>30000</v>
      </c>
      <c r="C14" s="19" t="inlineStr">
        <is>
          <t>₺</t>
        </is>
      </c>
    </row>
    <row r="15">
      <c r="A15" s="24" t="inlineStr">
        <is>
          <t>Mevcut Teşvik Tutarı [₺]</t>
        </is>
      </c>
      <c r="B15" s="27" t="n">
        <v>10000</v>
      </c>
      <c r="C15" s="19" t="inlineStr">
        <is>
          <t>₺</t>
        </is>
      </c>
    </row>
    <row r="16">
      <c r="A16" s="24" t="inlineStr">
        <is>
          <t>Birikim Yorumu (A/B)</t>
        </is>
      </c>
      <c r="B16" s="25" t="inlineStr">
        <is>
          <t>A</t>
        </is>
      </c>
      <c r="C16" s="19" t="inlineStr">
        <is>
          <t>metin</t>
        </is>
      </c>
    </row>
    <row r="18">
      <c r="A18" s="10" t="inlineStr">
        <is>
          <t>Potansiyel Tasarruf (ayna) [₺]</t>
        </is>
      </c>
      <c r="B18" s="28">
        <f>IFERROR(tbo_potansiyelTasarruf,0)</f>
        <v/>
      </c>
    </row>
    <row r="19">
      <c r="A19" s="10" t="inlineStr">
        <is>
          <t>Giriş doluluk (kalite)</t>
        </is>
      </c>
      <c r="B19" s="29">
        <f>IFERROR(IF(OR(COUNTA(B6:B16)=0,tbo_girisBeklenen=0),0,ROUND(COUNTA(B6:B16)/tbo_girisBeklenen*100,0)),0)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13" t="inlineStr">
        <is>
          <t>Alan Anahtarı</t>
        </is>
      </c>
      <c r="B23" s="13" t="inlineStr">
        <is>
          <t>Değer</t>
        </is>
      </c>
      <c r="C23" s="13" t="inlineStr">
        <is>
          <t>Birim</t>
        </is>
      </c>
      <c r="D23" s="13" t="inlineStr">
        <is>
          <t>Zorunlu</t>
        </is>
      </c>
      <c r="E23" s="13" t="inlineStr">
        <is>
          <t>Kaynak</t>
        </is>
      </c>
      <c r="F23" s="13" t="inlineStr">
        <is>
          <t>Kontrol</t>
        </is>
      </c>
    </row>
    <row r="24">
      <c r="A24" s="30" t="inlineStr">
        <is>
          <t>isveren_adi</t>
        </is>
      </c>
      <c r="B24" s="30" t="inlineStr">
        <is>
          <t>Örnek Üretim A.Ş.</t>
        </is>
      </c>
      <c r="C24" s="30" t="inlineStr">
        <is>
          <t>metin</t>
        </is>
      </c>
      <c r="D24" s="30" t="inlineStr">
        <is>
          <t>Evet</t>
        </is>
      </c>
      <c r="E24" s="30" t="inlineStr">
        <is>
          <t>GIRDI</t>
        </is>
      </c>
      <c r="F24" s="31">
        <f>IF($A24="","",IF($B24="","EKSİK","TAM"))</f>
        <v/>
      </c>
    </row>
    <row r="25">
      <c r="A25" s="30" t="inlineStr">
        <is>
          <t>donem</t>
        </is>
      </c>
      <c r="B25" s="30" t="inlineStr">
        <is>
          <t>2025-01</t>
        </is>
      </c>
      <c r="C25" s="30" t="inlineStr">
        <is>
          <t>metin</t>
        </is>
      </c>
      <c r="D25" s="30" t="inlineStr">
        <is>
          <t>Evet</t>
        </is>
      </c>
      <c r="E25" s="30" t="inlineStr">
        <is>
          <t>GIRDI</t>
        </is>
      </c>
      <c r="F25" s="31">
        <f>IF($A25="","",IF($B25="","EKSİK","TAM"))</f>
        <v/>
      </c>
    </row>
    <row r="26">
      <c r="A26" s="30" t="inlineStr">
        <is>
          <t>hesapYili</t>
        </is>
      </c>
      <c r="B26" s="32" t="n">
        <v>2025</v>
      </c>
      <c r="C26" s="30" t="inlineStr">
        <is>
          <t>yıl</t>
        </is>
      </c>
      <c r="D26" s="30" t="inlineStr">
        <is>
          <t>Evet</t>
        </is>
      </c>
      <c r="E26" s="30" t="inlineStr">
        <is>
          <t>GIRDI</t>
        </is>
      </c>
      <c r="F26" s="31">
        <f>IF($A26="","",IF($B26="","EKSİK","TAM"))</f>
        <v/>
      </c>
    </row>
    <row r="27">
      <c r="A27" s="30" t="inlineStr">
        <is>
          <t>aylik_brut_matrah</t>
        </is>
      </c>
      <c r="B27" s="33" t="n">
        <v>500000</v>
      </c>
      <c r="C27" s="30" t="inlineStr">
        <is>
          <t>TL</t>
        </is>
      </c>
      <c r="D27" s="30" t="inlineStr">
        <is>
          <t>Evet</t>
        </is>
      </c>
      <c r="E27" s="30" t="inlineStr">
        <is>
          <t>GIRDI</t>
        </is>
      </c>
      <c r="F27" s="31">
        <f>IF($A27="","",IF($B27="","EKSİK","TAM"))</f>
        <v/>
      </c>
    </row>
    <row r="28">
      <c r="A28" s="30" t="inlineStr">
        <is>
          <t>calisan_sayisi</t>
        </is>
      </c>
      <c r="B28" s="32" t="n">
        <v>20</v>
      </c>
      <c r="C28" s="30" t="inlineStr">
        <is>
          <t>adet</t>
        </is>
      </c>
      <c r="D28" s="30" t="inlineStr">
        <is>
          <t>Evet</t>
        </is>
      </c>
      <c r="E28" s="30" t="inlineStr">
        <is>
          <t>GIRDI</t>
        </is>
      </c>
      <c r="F28" s="31">
        <f>IF($A28="","",IF($B28="","EKSİK","TAM"))</f>
        <v/>
      </c>
    </row>
    <row r="29">
      <c r="A29" s="30" t="inlineStr">
        <is>
          <t>bes_puan_matrah</t>
        </is>
      </c>
      <c r="B29" s="33" t="n">
        <v>300000</v>
      </c>
      <c r="C29" s="30" t="inlineStr">
        <is>
          <t>TL</t>
        </is>
      </c>
      <c r="D29" s="30" t="inlineStr">
        <is>
          <t>Evet</t>
        </is>
      </c>
      <c r="E29" s="30" t="inlineStr">
        <is>
          <t>GIRDI</t>
        </is>
      </c>
      <c r="F29" s="31">
        <f>IF($A29="","",IF($B29="","EKSİK","TAM"))</f>
        <v/>
      </c>
    </row>
    <row r="30">
      <c r="A30" s="30" t="inlineStr">
        <is>
          <t>ilave_istihdam_matrah</t>
        </is>
      </c>
      <c r="B30" s="33" t="n">
        <v>100000</v>
      </c>
      <c r="C30" s="30" t="inlineStr">
        <is>
          <t>TL</t>
        </is>
      </c>
      <c r="D30" s="30" t="inlineStr">
        <is>
          <t>Evet</t>
        </is>
      </c>
      <c r="E30" s="30" t="inlineStr">
        <is>
          <t>GIRDI</t>
        </is>
      </c>
      <c r="F30" s="31">
        <f>IF($A30="","",IF($B30="","EKSİK","TAM"))</f>
        <v/>
      </c>
    </row>
    <row r="31">
      <c r="A31" s="30" t="inlineStr">
        <is>
          <t>kadin_genc_matrah</t>
        </is>
      </c>
      <c r="B31" s="33" t="n">
        <v>50000</v>
      </c>
      <c r="C31" s="30" t="inlineStr">
        <is>
          <t>TL</t>
        </is>
      </c>
      <c r="D31" s="30" t="inlineStr">
        <is>
          <t>Evet</t>
        </is>
      </c>
      <c r="E31" s="30" t="inlineStr">
        <is>
          <t>GIRDI</t>
        </is>
      </c>
      <c r="F31" s="31">
        <f>IF($A31="","",IF($B31="","EKSİK","TAM"))</f>
        <v/>
      </c>
    </row>
    <row r="32">
      <c r="A32" s="30" t="inlineStr">
        <is>
          <t>engelli_matrah</t>
        </is>
      </c>
      <c r="B32" s="33" t="n">
        <v>30000</v>
      </c>
      <c r="C32" s="30" t="inlineStr">
        <is>
          <t>TL</t>
        </is>
      </c>
      <c r="D32" s="30" t="inlineStr">
        <is>
          <t>Evet</t>
        </is>
      </c>
      <c r="E32" s="30" t="inlineStr">
        <is>
          <t>GIRDI</t>
        </is>
      </c>
      <c r="F32" s="31">
        <f>IF($A32="","",IF($B32="","EKSİK","TAM"))</f>
        <v/>
      </c>
    </row>
    <row r="33">
      <c r="A33" s="30" t="inlineStr">
        <is>
          <t>mevcut_tesvik_tutari</t>
        </is>
      </c>
      <c r="B33" s="33" t="n">
        <v>10000</v>
      </c>
      <c r="C33" s="30" t="inlineStr">
        <is>
          <t>TL</t>
        </is>
      </c>
      <c r="D33" s="30" t="inlineStr">
        <is>
          <t>Evet</t>
        </is>
      </c>
      <c r="E33" s="30" t="inlineStr">
        <is>
          <t>GIRDI</t>
        </is>
      </c>
      <c r="F33" s="31">
        <f>IF($A33="","",IF($B33="","EKSİK","TAM"))</f>
        <v/>
      </c>
    </row>
    <row r="34">
      <c r="A34" s="30" t="inlineStr">
        <is>
          <t>birikim_yorumu</t>
        </is>
      </c>
      <c r="B34" s="30" t="inlineStr">
        <is>
          <t>A</t>
        </is>
      </c>
      <c r="C34" s="30" t="inlineStr">
        <is>
          <t>A/B</t>
        </is>
      </c>
      <c r="D34" s="30" t="inlineStr">
        <is>
          <t>Evet</t>
        </is>
      </c>
      <c r="E34" s="30" t="inlineStr">
        <is>
          <t>GIRDI</t>
        </is>
      </c>
      <c r="F34" s="31">
        <f>IF($A34="","",IF($B34="","EKSİK","TAM"))</f>
        <v/>
      </c>
    </row>
    <row r="35">
      <c r="F35" s="31">
        <f>IF($A35="","",IF($B35="","EKSİK","TAM"))</f>
        <v/>
      </c>
    </row>
    <row r="36">
      <c r="F36" s="31">
        <f>IF($A36="","",IF($B36="","EKSİK","TAM"))</f>
        <v/>
      </c>
    </row>
    <row r="37">
      <c r="F37" s="31">
        <f>IF($A37="","",IF($B37="","EKSİK","TAM"))</f>
        <v/>
      </c>
    </row>
    <row r="38">
      <c r="F38" s="31">
        <f>IF($A38="","",IF($B38="","EKSİK","TAM"))</f>
        <v/>
      </c>
    </row>
    <row r="39">
      <c r="F39" s="31">
        <f>IF($A39="","",IF($B39="","EKSİK","TAM"))</f>
        <v/>
      </c>
    </row>
    <row r="40">
      <c r="F40" s="31">
        <f>IF($A40="","",IF($B40="","EKSİK","TAM"))</f>
        <v/>
      </c>
    </row>
    <row r="41">
      <c r="F41" s="31">
        <f>IF($A41="","",IF($B41="","EKSİK","TAM"))</f>
        <v/>
      </c>
    </row>
    <row r="42">
      <c r="F42" s="31">
        <f>IF($A42="","",IF($B42="","EKSİK","TAM"))</f>
        <v/>
      </c>
    </row>
    <row r="43">
      <c r="F43" s="31">
        <f>IF($A43="","",IF($B43="","EKSİK","TAM"))</f>
        <v/>
      </c>
    </row>
    <row r="44">
      <c r="F44" s="31">
        <f>IF($A44="","",IF($B44="","EKSİK","TAM"))</f>
        <v/>
      </c>
    </row>
    <row r="45">
      <c r="F45" s="31">
        <f>IF($A45="","",IF($B45="","EKSİK","TAM"))</f>
        <v/>
      </c>
    </row>
    <row r="46">
      <c r="F46" s="31">
        <f>IF($A46="","",IF($B46="","EKSİK","TAM"))</f>
        <v/>
      </c>
    </row>
    <row r="47">
      <c r="F47" s="31">
        <f>IF($A47="","",IF($B47="","EKSİK","TAM"))</f>
        <v/>
      </c>
    </row>
    <row r="48">
      <c r="F48" s="31">
        <f>IF($A48="","",IF($B48="","EKSİK","TAM"))</f>
        <v/>
      </c>
    </row>
    <row r="49">
      <c r="F49" s="31">
        <f>IF($A49="","",IF($B49="","EKSİK","TAM"))</f>
        <v/>
      </c>
    </row>
    <row r="50">
      <c r="F50" s="31">
        <f>IF($A50="","",IF($B50="","EKSİK","TAM"))</f>
        <v/>
      </c>
    </row>
    <row r="51">
      <c r="F51" s="31">
        <f>IF($A51="","",IF($B51="","EKSİK","TAM"))</f>
        <v/>
      </c>
    </row>
    <row r="52">
      <c r="F52" s="31">
        <f>IF($A52="","",IF($B52="","EKSİK","TAM"))</f>
        <v/>
      </c>
    </row>
    <row r="53">
      <c r="F53" s="31">
        <f>IF($A53="","",IF($B53="","EKSİK","TAM"))</f>
        <v/>
      </c>
    </row>
    <row r="54">
      <c r="F54" s="31">
        <f>IF($A54="","",IF($B54="","EKSİK","TAM"))</f>
        <v/>
      </c>
    </row>
    <row r="55">
      <c r="F55" s="31">
        <f>IF($A55="","",IF($B55="","EKSİK","TAM"))</f>
        <v/>
      </c>
    </row>
    <row r="56">
      <c r="F56" s="31">
        <f>IF($A56="","",IF($B56="","EKSİK","TAM"))</f>
        <v/>
      </c>
    </row>
    <row r="57">
      <c r="F57" s="31">
        <f>IF($A57="","",IF($B57="","EKSİK","TAM"))</f>
        <v/>
      </c>
    </row>
    <row r="58">
      <c r="F58" s="31">
        <f>IF($A58="","",IF($B58="","EKSİK","TAM"))</f>
        <v/>
      </c>
    </row>
    <row r="59">
      <c r="F59" s="31">
        <f>IF($A59="","",IF($B59="","EKSİK","TAM"))</f>
        <v/>
      </c>
    </row>
    <row r="60">
      <c r="F60" s="31">
        <f>IF($A60="","",IF($B60="","EKSİK","TAM"))</f>
        <v/>
      </c>
    </row>
    <row r="61">
      <c r="F61" s="31">
        <f>IF($A61="","",IF($B61="","EKSİK","TAM"))</f>
        <v/>
      </c>
    </row>
    <row r="62">
      <c r="F62" s="31">
        <f>IF($A62="","",IF($B62="","EKSİK","TAM"))</f>
        <v/>
      </c>
    </row>
    <row r="63">
      <c r="F63" s="31">
        <f>IF($A63="","",IF($B63="","EKSİK","TAM"))</f>
        <v/>
      </c>
    </row>
    <row r="64">
      <c r="F64" s="31">
        <f>IF($A64="","",IF($B64="","EKSİK","TAM"))</f>
        <v/>
      </c>
    </row>
    <row r="65">
      <c r="F65" s="31">
        <f>IF($A65="","",IF($B65="","EKSİK","TAM"))</f>
        <v/>
      </c>
    </row>
    <row r="66">
      <c r="F66" s="31">
        <f>IF($A66="","",IF($B66="","EKSİK","TAM"))</f>
        <v/>
      </c>
    </row>
    <row r="67">
      <c r="F67" s="31">
        <f>IF($A67="","",IF($B67="","EKSİK","TAM"))</f>
        <v/>
      </c>
    </row>
    <row r="68">
      <c r="F68" s="31">
        <f>IF($A68="","",IF($B68="","EKSİK","TAM"))</f>
        <v/>
      </c>
    </row>
    <row r="69">
      <c r="F69" s="31">
        <f>IF($A69="","",IF($B69="","EKSİK","TAM"))</f>
        <v/>
      </c>
    </row>
    <row r="70">
      <c r="F70" s="31">
        <f>IF($A70="","",IF($B70="","EKSİK","TAM"))</f>
        <v/>
      </c>
    </row>
    <row r="71">
      <c r="F71" s="31">
        <f>IF($A71="","",IF($B71="","EKSİK","TAM"))</f>
        <v/>
      </c>
    </row>
    <row r="72">
      <c r="F72" s="31">
        <f>IF($A72="","",IF($B72="","EKSİK","TAM"))</f>
        <v/>
      </c>
    </row>
    <row r="73">
      <c r="F73" s="31">
        <f>IF($A73="","",IF($B73="","EKSİK","TAM"))</f>
        <v/>
      </c>
    </row>
    <row r="74">
      <c r="F74" s="31">
        <f>IF($A74="","",IF($B74="","EKSİK","TAM"))</f>
        <v/>
      </c>
    </row>
    <row r="75">
      <c r="F75" s="31">
        <f>IF($A75="","",IF($B75="","EKSİK","TAM"))</f>
        <v/>
      </c>
    </row>
    <row r="76">
      <c r="F76" s="31">
        <f>IF($A76="","",IF($B76="","EKSİK","TAM"))</f>
        <v/>
      </c>
    </row>
    <row r="77">
      <c r="F77" s="31">
        <f>IF($A77="","",IF($B77="","EKSİK","TAM"))</f>
        <v/>
      </c>
    </row>
    <row r="78">
      <c r="F78" s="31">
        <f>IF($A78="","",IF($B78="","EKSİK","TAM"))</f>
        <v/>
      </c>
    </row>
    <row r="79">
      <c r="F79" s="31">
        <f>IF($A79="","",IF($B79="","EKSİK","TAM"))</f>
        <v/>
      </c>
    </row>
    <row r="80">
      <c r="F80" s="31">
        <f>IF($A80="","",IF($B80="","EKSİK","TAM"))</f>
        <v/>
      </c>
    </row>
    <row r="81">
      <c r="F81" s="31">
        <f>IF($A81="","",IF($B81="","EKSİK","TAM"))</f>
        <v/>
      </c>
    </row>
    <row r="82">
      <c r="F82" s="31">
        <f>IF($A82="","",IF($B82="","EKSİK","TAM"))</f>
        <v/>
      </c>
    </row>
    <row r="83">
      <c r="F83" s="31">
        <f>IF($A83="","",IF($B83="","EKSİK","TAM"))</f>
        <v/>
      </c>
    </row>
    <row r="84">
      <c r="F84" s="31">
        <f>IF($A84="","",IF($B84="","EKSİK","TAM"))</f>
        <v/>
      </c>
    </row>
    <row r="85">
      <c r="F85" s="31">
        <f>IF($A85="","",IF($B85="","EKSİK","TAM"))</f>
        <v/>
      </c>
    </row>
    <row r="86">
      <c r="F86" s="31">
        <f>IF($A86="","",IF($B86="","EKSİK","TAM"))</f>
        <v/>
      </c>
    </row>
    <row r="87">
      <c r="F87" s="31">
        <f>IF($A87="","",IF($B87="","EKSİK","TAM"))</f>
        <v/>
      </c>
    </row>
    <row r="88">
      <c r="F88" s="31">
        <f>IF($A88="","",IF($B88="","EKSİK","TAM"))</f>
        <v/>
      </c>
    </row>
    <row r="89">
      <c r="F89" s="31">
        <f>IF($A89="","",IF($B89="","EKSİK","TAM"))</f>
        <v/>
      </c>
    </row>
    <row r="90">
      <c r="F90" s="31">
        <f>IF($A90="","",IF($B90="","EKSİK","TAM"))</f>
        <v/>
      </c>
    </row>
    <row r="91">
      <c r="F91" s="31">
        <f>IF($A91="","",IF($B91="","EKSİK","TAM"))</f>
        <v/>
      </c>
    </row>
    <row r="92">
      <c r="F92" s="31">
        <f>IF($A92="","",IF($B92="","EKSİK","TAM"))</f>
        <v/>
      </c>
    </row>
    <row r="93">
      <c r="F93" s="31">
        <f>IF($A93="","",IF($B93="","EKSİK","TAM"))</f>
        <v/>
      </c>
    </row>
    <row r="94">
      <c r="F94" s="31">
        <f>IF($A94="","",IF($B94="","EKSİK","TAM"))</f>
        <v/>
      </c>
    </row>
    <row r="95">
      <c r="F95" s="31">
        <f>IF($A95="","",IF($B95="","EKSİK","TAM"))</f>
        <v/>
      </c>
    </row>
    <row r="96">
      <c r="F96" s="31">
        <f>IF($A96="","",IF($B96="","EKSİK","TAM"))</f>
        <v/>
      </c>
    </row>
    <row r="97">
      <c r="F97" s="31">
        <f>IF($A97="","",IF($B97="","EKSİK","TAM"))</f>
        <v/>
      </c>
    </row>
    <row r="98">
      <c r="F98" s="31">
        <f>IF($A98="","",IF($B98="","EKSİK","TAM"))</f>
        <v/>
      </c>
    </row>
    <row r="99">
      <c r="F99" s="31">
        <f>IF($A99="","",IF($B99="","EKSİK","TAM"))</f>
        <v/>
      </c>
    </row>
    <row r="100">
      <c r="F100" s="31">
        <f>IF($A100="","",IF($B100="","EKSİK","TAM"))</f>
        <v/>
      </c>
    </row>
    <row r="101">
      <c r="F101" s="31">
        <f>IF($A101="","",IF($B101="","EKSİK","TAM"))</f>
        <v/>
      </c>
    </row>
    <row r="102">
      <c r="F102" s="31">
        <f>IF($A102="","",IF($B102="","EKSİK","TAM"))</f>
        <v/>
      </c>
    </row>
    <row r="103">
      <c r="F103" s="31">
        <f>IF($A103="","",IF($B103="","EKSİK","TAM"))</f>
        <v/>
      </c>
    </row>
    <row r="104">
      <c r="F104" s="31">
        <f>IF($A104="","",IF($B104="","EKSİK","TAM"))</f>
        <v/>
      </c>
    </row>
    <row r="105">
      <c r="F105" s="31">
        <f>IF($A105="","",IF($B105="","EKSİK","TAM"))</f>
        <v/>
      </c>
    </row>
    <row r="106">
      <c r="F106" s="31">
        <f>IF($A106="","",IF($B106="","EKSİK","TAM"))</f>
        <v/>
      </c>
    </row>
    <row r="107">
      <c r="F107" s="31">
        <f>IF($A107="","",IF($B107="","EKSİK","TAM"))</f>
        <v/>
      </c>
    </row>
    <row r="108">
      <c r="F108" s="31">
        <f>IF($A108="","",IF($B108="","EKSİK","TAM"))</f>
        <v/>
      </c>
    </row>
    <row r="109">
      <c r="F109" s="31">
        <f>IF($A109="","",IF($B109="","EKSİK","TAM"))</f>
        <v/>
      </c>
    </row>
    <row r="110">
      <c r="F110" s="31">
        <f>IF($A110="","",IF($B110="","EKSİK","TAM"))</f>
        <v/>
      </c>
    </row>
    <row r="111">
      <c r="F111" s="31">
        <f>IF($A111="","",IF($B111="","EKSİK","TAM"))</f>
        <v/>
      </c>
    </row>
    <row r="112">
      <c r="F112" s="31">
        <f>IF($A112="","",IF($B112="","EKSİK","TAM"))</f>
        <v/>
      </c>
    </row>
    <row r="113">
      <c r="F113" s="31">
        <f>IF($A113="","",IF($B113="","EKSİK","TAM"))</f>
        <v/>
      </c>
    </row>
    <row r="114">
      <c r="F114" s="31">
        <f>IF($A114="","",IF($B114="","EKSİK","TAM"))</f>
        <v/>
      </c>
    </row>
    <row r="115">
      <c r="F115" s="31">
        <f>IF($A115="","",IF($B115="","EKSİK","TAM"))</f>
        <v/>
      </c>
    </row>
    <row r="116">
      <c r="F116" s="31">
        <f>IF($A116="","",IF($B116="","EKSİK","TAM"))</f>
        <v/>
      </c>
    </row>
    <row r="117">
      <c r="F117" s="31">
        <f>IF($A117="","",IF($B117="","EKSİK","TAM"))</f>
        <v/>
      </c>
    </row>
    <row r="118">
      <c r="F118" s="31">
        <f>IF($A118="","",IF($B118="","EKSİK","TAM"))</f>
        <v/>
      </c>
    </row>
    <row r="119">
      <c r="F119" s="31">
        <f>IF($A119="","",IF($B119="","EKSİK","TAM"))</f>
        <v/>
      </c>
    </row>
    <row r="120">
      <c r="F120" s="31">
        <f>IF($A120="","",IF($B120="","EKSİK","TAM"))</f>
        <v/>
      </c>
    </row>
    <row r="121">
      <c r="F121" s="31">
        <f>IF($A121="","",IF($B121="","EKSİK","TAM"))</f>
        <v/>
      </c>
    </row>
    <row r="122">
      <c r="F122" s="31">
        <f>IF($A122="","",IF($B122="","EKSİK","TAM"))</f>
        <v/>
      </c>
    </row>
    <row r="123">
      <c r="F123" s="31">
        <f>IF($A123="","",IF($B123="","EKSİK","TAM"))</f>
        <v/>
      </c>
    </row>
    <row r="124">
      <c r="F124" s="31">
        <f>IF($A124="","",IF($B124="","EKSİK","TAM"))</f>
        <v/>
      </c>
    </row>
    <row r="125">
      <c r="F125" s="31">
        <f>IF($A125="","",IF($B125="","EKSİK","TAM"))</f>
        <v/>
      </c>
    </row>
    <row r="126">
      <c r="F126" s="31">
        <f>IF($A126="","",IF($B126="","EKSİK","TAM"))</f>
        <v/>
      </c>
    </row>
    <row r="127">
      <c r="F127" s="31">
        <f>IF($A127="","",IF($B127="","EKSİK","TAM"))</f>
        <v/>
      </c>
    </row>
    <row r="128">
      <c r="F128" s="31">
        <f>IF($A128="","",IF($B128="","EKSİK","TAM"))</f>
        <v/>
      </c>
    </row>
    <row r="129">
      <c r="F129" s="31">
        <f>IF($A129="","",IF($B129="","EKSİK","TAM"))</f>
        <v/>
      </c>
    </row>
    <row r="130">
      <c r="F130" s="31">
        <f>IF($A130="","",IF($B130="","EKSİK","TAM"))</f>
        <v/>
      </c>
    </row>
    <row r="131">
      <c r="F131" s="31">
        <f>IF($A131="","",IF($B131="","EKSİK","TAM"))</f>
        <v/>
      </c>
    </row>
    <row r="132">
      <c r="F132" s="31">
        <f>IF($A132="","",IF($B132="","EKSİK","TAM"))</f>
        <v/>
      </c>
    </row>
    <row r="133">
      <c r="F133" s="31">
        <f>IF($A133="","",IF($B133="","EKSİK","TAM"))</f>
        <v/>
      </c>
    </row>
    <row r="134">
      <c r="F134" s="31">
        <f>IF($A134="","",IF($B134="","EKSİK","TAM"))</f>
        <v/>
      </c>
    </row>
    <row r="135">
      <c r="F135" s="31">
        <f>IF($A135="","",IF($B135="","EKSİK","TAM"))</f>
        <v/>
      </c>
    </row>
    <row r="136">
      <c r="F136" s="31">
        <f>IF($A136="","",IF($B136="","EKSİK","TAM"))</f>
        <v/>
      </c>
    </row>
    <row r="137">
      <c r="F137" s="31">
        <f>IF($A137="","",IF($B137="","EKSİK","TAM"))</f>
        <v/>
      </c>
    </row>
    <row r="138">
      <c r="F138" s="31">
        <f>IF($A138="","",IF($B138="","EKSİK","TAM"))</f>
        <v/>
      </c>
    </row>
    <row r="139">
      <c r="F139" s="31">
        <f>IF($A139="","",IF($B139="","EKSİK","TAM"))</f>
        <v/>
      </c>
    </row>
    <row r="140">
      <c r="F140" s="31">
        <f>IF($A140="","",IF($B140="","EKSİK","TAM"))</f>
        <v/>
      </c>
    </row>
    <row r="141">
      <c r="F141" s="31">
        <f>IF($A141="","",IF($B141="","EKSİK","TAM"))</f>
        <v/>
      </c>
    </row>
    <row r="142">
      <c r="F142" s="31">
        <f>IF($A142="","",IF($B142="","EKSİK","TAM"))</f>
        <v/>
      </c>
    </row>
    <row r="143">
      <c r="F143" s="31">
        <f>IF($A143="","",IF($B143="","EKSİK","TAM"))</f>
        <v/>
      </c>
    </row>
    <row r="144">
      <c r="F144" s="31">
        <f>IF($A144="","",IF($B144="","EKSİK","TAM"))</f>
        <v/>
      </c>
    </row>
    <row r="145">
      <c r="F145" s="31">
        <f>IF($A145="","",IF($B145="","EKSİK","TAM"))</f>
        <v/>
      </c>
    </row>
    <row r="146">
      <c r="F146" s="31">
        <f>IF($A146="","",IF($B146="","EKSİK","TAM"))</f>
        <v/>
      </c>
    </row>
    <row r="147">
      <c r="F147" s="31">
        <f>IF($A147="","",IF($B147="","EKSİK","TAM"))</f>
        <v/>
      </c>
    </row>
    <row r="148">
      <c r="F148" s="31">
        <f>IF($A148="","",IF($B148="","EKSİK","TAM"))</f>
        <v/>
      </c>
    </row>
    <row r="149">
      <c r="F149" s="31">
        <f>IF($A149="","",IF($B149="","EKSİK","TAM"))</f>
        <v/>
      </c>
    </row>
    <row r="150">
      <c r="F150" s="31">
        <f>IF($A150="","",IF($B150="","EKSİK","TAM"))</f>
        <v/>
      </c>
    </row>
    <row r="151">
      <c r="F151" s="31">
        <f>IF($A151="","",IF($B151="","EKSİK","TAM"))</f>
        <v/>
      </c>
    </row>
    <row r="152">
      <c r="F152" s="31">
        <f>IF($A152="","",IF($B152="","EKSİK","TAM"))</f>
        <v/>
      </c>
    </row>
    <row r="153">
      <c r="F153" s="31">
        <f>IF($A153="","",IF($B153="","EKSİK","TAM"))</f>
        <v/>
      </c>
    </row>
    <row r="154">
      <c r="F154" s="31">
        <f>IF($A154="","",IF($B154="","EKSİK","TAM"))</f>
        <v/>
      </c>
    </row>
    <row r="155">
      <c r="F155" s="31">
        <f>IF($A155="","",IF($B155="","EKSİK","TAM"))</f>
        <v/>
      </c>
    </row>
    <row r="156">
      <c r="F156" s="31">
        <f>IF($A156="","",IF($B156="","EKSİK","TAM"))</f>
        <v/>
      </c>
    </row>
    <row r="157">
      <c r="F157" s="31">
        <f>IF($A157="","",IF($B157="","EKSİK","TAM"))</f>
        <v/>
      </c>
    </row>
    <row r="158">
      <c r="F158" s="31">
        <f>IF($A158="","",IF($B158="","EKSİK","TAM"))</f>
        <v/>
      </c>
    </row>
    <row r="159">
      <c r="F159" s="31">
        <f>IF($A159="","",IF($B159="","EKSİK","TAM"))</f>
        <v/>
      </c>
    </row>
    <row r="160">
      <c r="F160" s="31">
        <f>IF($A160="","",IF($B160="","EKSİK","TAM"))</f>
        <v/>
      </c>
    </row>
    <row r="161">
      <c r="F161" s="31">
        <f>IF($A161="","",IF($B161="","EKSİK","TAM"))</f>
        <v/>
      </c>
    </row>
    <row r="162">
      <c r="F162" s="31">
        <f>IF($A162="","",IF($B162="","EKSİK","TAM"))</f>
        <v/>
      </c>
    </row>
    <row r="163">
      <c r="F163" s="31">
        <f>IF($A163="","",IF($B163="","EKSİK","TAM"))</f>
        <v/>
      </c>
    </row>
    <row r="164">
      <c r="F164" s="31">
        <f>IF($A164="","",IF($B164="","EKSİK","TAM"))</f>
        <v/>
      </c>
    </row>
    <row r="165">
      <c r="F165" s="31">
        <f>IF($A165="","",IF($B165="","EKSİK","TAM"))</f>
        <v/>
      </c>
    </row>
    <row r="166">
      <c r="F166" s="31">
        <f>IF($A166="","",IF($B166="","EKSİK","TAM"))</f>
        <v/>
      </c>
    </row>
    <row r="167">
      <c r="F167" s="31">
        <f>IF($A167="","",IF($B167="","EKSİK","TAM"))</f>
        <v/>
      </c>
    </row>
    <row r="168">
      <c r="F168" s="31">
        <f>IF($A168="","",IF($B168="","EKSİK","TAM"))</f>
        <v/>
      </c>
    </row>
    <row r="169">
      <c r="F169" s="31">
        <f>IF($A169="","",IF($B169="","EKSİK","TAM"))</f>
        <v/>
      </c>
    </row>
    <row r="170">
      <c r="F170" s="31">
        <f>IF($A170="","",IF($B170="","EKSİK","TAM"))</f>
        <v/>
      </c>
    </row>
    <row r="171">
      <c r="F171" s="31">
        <f>IF($A171="","",IF($B171="","EKSİK","TAM"))</f>
        <v/>
      </c>
    </row>
    <row r="172">
      <c r="F172" s="31">
        <f>IF($A172="","",IF($B172="","EKSİK","TAM"))</f>
        <v/>
      </c>
    </row>
    <row r="173">
      <c r="F173" s="31">
        <f>IF($A173="","",IF($B173="","EKSİK","TAM"))</f>
        <v/>
      </c>
    </row>
    <row r="174">
      <c r="F174" s="31">
        <f>IF($A174="","",IF($B174="","EKSİK","TAM"))</f>
        <v/>
      </c>
    </row>
    <row r="175">
      <c r="F175" s="31">
        <f>IF($A175="","",IF($B175="","EKSİK","TAM"))</f>
        <v/>
      </c>
    </row>
    <row r="176">
      <c r="F176" s="31">
        <f>IF($A176="","",IF($B176="","EKSİK","TAM"))</f>
        <v/>
      </c>
    </row>
    <row r="177">
      <c r="F177" s="31">
        <f>IF($A177="","",IF($B177="","EKSİK","TAM"))</f>
        <v/>
      </c>
    </row>
    <row r="178">
      <c r="F178" s="31">
        <f>IF($A178="","",IF($B178="","EKSİK","TAM"))</f>
        <v/>
      </c>
    </row>
    <row r="179">
      <c r="F179" s="31">
        <f>IF($A179="","",IF($B179="","EKSİK","TAM"))</f>
        <v/>
      </c>
    </row>
    <row r="180">
      <c r="F180" s="31">
        <f>IF($A180="","",IF($B180="","EKSİK","TAM"))</f>
        <v/>
      </c>
    </row>
    <row r="181">
      <c r="F181" s="31">
        <f>IF($A181="","",IF($B181="","EKSİK","TAM"))</f>
        <v/>
      </c>
    </row>
    <row r="182">
      <c r="F182" s="31">
        <f>IF($A182="","",IF($B182="","EKSİK","TAM"))</f>
        <v/>
      </c>
    </row>
    <row r="183">
      <c r="F183" s="31">
        <f>IF($A183="","",IF($B183="","EKSİK","TAM"))</f>
        <v/>
      </c>
    </row>
    <row r="184">
      <c r="F184" s="31">
        <f>IF($A184="","",IF($B184="","EKSİK","TAM"))</f>
        <v/>
      </c>
    </row>
    <row r="185">
      <c r="F185" s="31">
        <f>IF($A185="","",IF($B185="","EKSİK","TAM"))</f>
        <v/>
      </c>
    </row>
    <row r="186">
      <c r="F186" s="31">
        <f>IF($A186="","",IF($B186="","EKSİK","TAM"))</f>
        <v/>
      </c>
    </row>
    <row r="187">
      <c r="F187" s="31">
        <f>IF($A187="","",IF($B187="","EKSİK","TAM"))</f>
        <v/>
      </c>
    </row>
    <row r="188">
      <c r="F188" s="31">
        <f>IF($A188="","",IF($B188="","EKSİK","TAM"))</f>
        <v/>
      </c>
    </row>
    <row r="189">
      <c r="F189" s="31">
        <f>IF($A189="","",IF($B189="","EKSİK","TAM"))</f>
        <v/>
      </c>
    </row>
    <row r="190">
      <c r="F190" s="31">
        <f>IF($A190="","",IF($B190="","EKSİK","TAM"))</f>
        <v/>
      </c>
    </row>
    <row r="191">
      <c r="F191" s="31">
        <f>IF($A191="","",IF($B191="","EKSİK","TAM"))</f>
        <v/>
      </c>
    </row>
    <row r="192">
      <c r="F192" s="31">
        <f>IF($A192="","",IF($B192="","EKSİK","TAM"))</f>
        <v/>
      </c>
    </row>
    <row r="193">
      <c r="F193" s="31">
        <f>IF($A193="","",IF($B193="","EKSİK","TAM"))</f>
        <v/>
      </c>
    </row>
    <row r="194">
      <c r="F194" s="31">
        <f>IF($A194="","",IF($B194="","EKSİK","TAM"))</f>
        <v/>
      </c>
    </row>
    <row r="195">
      <c r="F195" s="31">
        <f>IF($A195="","",IF($B195="","EKSİK","TAM"))</f>
        <v/>
      </c>
    </row>
    <row r="196">
      <c r="F196" s="31">
        <f>IF($A196="","",IF($B196="","EKSİK","TAM"))</f>
        <v/>
      </c>
    </row>
    <row r="197">
      <c r="F197" s="31">
        <f>IF($A197="","",IF($B197="","EKSİK","TAM"))</f>
        <v/>
      </c>
    </row>
    <row r="198">
      <c r="F198" s="31">
        <f>IF($A198="","",IF($B198="","EKSİK","TAM"))</f>
        <v/>
      </c>
    </row>
    <row r="199">
      <c r="F199" s="31">
        <f>IF($A199="","",IF($B199="","EKSİK","TAM"))</f>
        <v/>
      </c>
    </row>
    <row r="200">
      <c r="F200" s="31">
        <f>IF($A200="","",IF($B200="","EKSİK","TAM"))</f>
        <v/>
      </c>
    </row>
    <row r="201">
      <c r="F201" s="31">
        <f>IF($A201="","",IF($B201="","EKSİK","TAM"))</f>
        <v/>
      </c>
    </row>
    <row r="202">
      <c r="F202" s="31">
        <f>IF($A202="","",IF($B202="","EKSİK","TAM"))</f>
        <v/>
      </c>
    </row>
    <row r="203">
      <c r="F203" s="31">
        <f>IF($A203="","",IF($B203="","EKSİK","TAM"))</f>
        <v/>
      </c>
    </row>
    <row r="204">
      <c r="F204" s="31">
        <f>IF($A204="","",IF($B204="","EKSİK","TAM"))</f>
        <v/>
      </c>
    </row>
    <row r="205">
      <c r="F205" s="31">
        <f>IF($A205="","",IF($B205="","EKSİK","TAM"))</f>
        <v/>
      </c>
    </row>
    <row r="206">
      <c r="F206" s="31">
        <f>IF($A206="","",IF($B206="","EKSİK","TAM"))</f>
        <v/>
      </c>
    </row>
    <row r="207">
      <c r="F207" s="31">
        <f>IF($A207="","",IF($B207="","EKSİK","TAM"))</f>
        <v/>
      </c>
    </row>
    <row r="208">
      <c r="F208" s="31">
        <f>IF($A208="","",IF($B208="","EKSİK","TAM"))</f>
        <v/>
      </c>
    </row>
    <row r="209">
      <c r="F209" s="31">
        <f>IF($A209="","",IF($B209="","EKSİK","TAM"))</f>
        <v/>
      </c>
    </row>
    <row r="210">
      <c r="F210" s="31">
        <f>IF($A210="","",IF($B210="","EKSİK","TAM"))</f>
        <v/>
      </c>
    </row>
    <row r="211">
      <c r="F211" s="31">
        <f>IF($A211="","",IF($B211="","EKSİK","TAM"))</f>
        <v/>
      </c>
    </row>
    <row r="212">
      <c r="F212" s="31">
        <f>IF($A212="","",IF($B212="","EKSİK","TAM"))</f>
        <v/>
      </c>
    </row>
    <row r="213">
      <c r="F213" s="31">
        <f>IF($A213="","",IF($B213="","EKSİK","TAM"))</f>
        <v/>
      </c>
    </row>
    <row r="214">
      <c r="F214" s="31">
        <f>IF($A214="","",IF($B214="","EKSİK","TAM"))</f>
        <v/>
      </c>
    </row>
    <row r="215">
      <c r="F215" s="31">
        <f>IF($A215="","",IF($B215="","EKSİK","TAM"))</f>
        <v/>
      </c>
    </row>
    <row r="216">
      <c r="F216" s="31">
        <f>IF($A216="","",IF($B216="","EKSİK","TAM"))</f>
        <v/>
      </c>
    </row>
    <row r="217">
      <c r="F217" s="31">
        <f>IF($A217="","",IF($B217="","EKSİK","TAM"))</f>
        <v/>
      </c>
    </row>
    <row r="218">
      <c r="F218" s="31">
        <f>IF($A218="","",IF($B218="","EKSİK","TAM"))</f>
        <v/>
      </c>
    </row>
    <row r="219">
      <c r="F219" s="31">
        <f>IF($A219="","",IF($B219="","EKSİK","TAM"))</f>
        <v/>
      </c>
    </row>
    <row r="220">
      <c r="F220" s="31">
        <f>IF($A220="","",IF($B220="","EKSİK","TAM"))</f>
        <v/>
      </c>
    </row>
    <row r="221">
      <c r="F221" s="31">
        <f>IF($A221="","",IF($B221="","EKSİK","TAM"))</f>
        <v/>
      </c>
    </row>
    <row r="222">
      <c r="F222" s="31">
        <f>IF($A222="","",IF($B222="","EKSİK","TAM"))</f>
        <v/>
      </c>
    </row>
    <row r="223">
      <c r="F223" s="31">
        <f>IF($A223="","",IF($B223="","EKSİK","TAM"))</f>
        <v/>
      </c>
    </row>
    <row r="224">
      <c r="F224" s="31">
        <f>IF($A224="","",IF($B224="","EKSİK","TAM"))</f>
        <v/>
      </c>
    </row>
    <row r="225">
      <c r="F225" s="31">
        <f>IF($A225="","",IF($B225="","EKSİK","TAM"))</f>
        <v/>
      </c>
    </row>
    <row r="226">
      <c r="F226" s="31">
        <f>IF($A226="","",IF($B226="","EKSİK","TAM"))</f>
        <v/>
      </c>
    </row>
    <row r="227">
      <c r="F227" s="31">
        <f>IF($A227="","",IF($B227="","EKSİK","TAM"))</f>
        <v/>
      </c>
    </row>
    <row r="228">
      <c r="F228" s="31">
        <f>IF($A228="","",IF($B228="","EKSİK","TAM"))</f>
        <v/>
      </c>
    </row>
    <row r="229">
      <c r="F229" s="31">
        <f>IF($A229="","",IF($B229="","EKSİK","TAM"))</f>
        <v/>
      </c>
    </row>
    <row r="230">
      <c r="F230" s="31">
        <f>IF($A230="","",IF($B230="","EKSİK","TAM"))</f>
        <v/>
      </c>
    </row>
    <row r="231">
      <c r="F231" s="31">
        <f>IF($A231="","",IF($B231="","EKSİK","TAM"))</f>
        <v/>
      </c>
    </row>
    <row r="232">
      <c r="F232" s="31">
        <f>IF($A232="","",IF($B232="","EKSİK","TAM"))</f>
        <v/>
      </c>
    </row>
    <row r="233">
      <c r="F233" s="31">
        <f>IF($A233="","",IF($B233="","EKSİK","TAM"))</f>
        <v/>
      </c>
    </row>
    <row r="234">
      <c r="F234" s="31">
        <f>IF($A234="","",IF($B234="","EKSİK","TAM"))</f>
        <v/>
      </c>
    </row>
    <row r="235">
      <c r="F235" s="31">
        <f>IF($A235="","",IF($B235="","EKSİK","TAM"))</f>
        <v/>
      </c>
    </row>
    <row r="236">
      <c r="F236" s="31">
        <f>IF($A236="","",IF($B236="","EKSİK","TAM"))</f>
        <v/>
      </c>
    </row>
    <row r="237">
      <c r="F237" s="31">
        <f>IF($A237="","",IF($B237="","EKSİK","TAM"))</f>
        <v/>
      </c>
    </row>
    <row r="238">
      <c r="F238" s="31">
        <f>IF($A238="","",IF($B238="","EKSİK","TAM"))</f>
        <v/>
      </c>
    </row>
    <row r="239">
      <c r="F239" s="31">
        <f>IF($A239="","",IF($B239="","EKSİK","TAM"))</f>
        <v/>
      </c>
    </row>
    <row r="240">
      <c r="F240" s="31">
        <f>IF($A240="","",IF($B240="","EKSİK","TAM"))</f>
        <v/>
      </c>
    </row>
    <row r="241">
      <c r="F241" s="31">
        <f>IF($A241="","",IF($B241="","EKSİK","TAM"))</f>
        <v/>
      </c>
    </row>
    <row r="242">
      <c r="F242" s="31">
        <f>IF($A242="","",IF($B242="","EKSİK","TAM"))</f>
        <v/>
      </c>
    </row>
    <row r="243">
      <c r="F243" s="31">
        <f>IF($A243="","",IF($B243="","EKSİK","TAM"))</f>
        <v/>
      </c>
    </row>
    <row r="244">
      <c r="F244" s="31">
        <f>IF($A244="","",IF($B244="","EKSİK","TAM"))</f>
        <v/>
      </c>
    </row>
    <row r="245">
      <c r="F245" s="31">
        <f>IF($A245="","",IF($B245="","EKSİK","TAM"))</f>
        <v/>
      </c>
    </row>
    <row r="246">
      <c r="F246" s="31">
        <f>IF($A246="","",IF($B246="","EKSİK","TAM"))</f>
        <v/>
      </c>
    </row>
    <row r="247">
      <c r="F247" s="31">
        <f>IF($A247="","",IF($B247="","EKSİK","TAM"))</f>
        <v/>
      </c>
    </row>
    <row r="248">
      <c r="F248" s="31">
        <f>IF($A248="","",IF($B248="","EKSİK","TAM"))</f>
        <v/>
      </c>
    </row>
    <row r="249">
      <c r="F249" s="31">
        <f>IF($A249="","",IF($B249="","EKSİK","TAM"))</f>
        <v/>
      </c>
    </row>
    <row r="250">
      <c r="F250" s="31">
        <f>IF($A250="","",IF($B250="","EKSİK","TAM"))</f>
        <v/>
      </c>
    </row>
    <row r="251">
      <c r="F251" s="31">
        <f>IF($A251="","",IF($B251="","EKSİK","TAM"))</f>
        <v/>
      </c>
    </row>
    <row r="252">
      <c r="F252" s="31">
        <f>IF($A252="","",IF($B252="","EKSİK","TAM"))</f>
        <v/>
      </c>
    </row>
    <row r="253">
      <c r="F253" s="31">
        <f>IF($A253="","",IF($B253="","EKSİK","TAM"))</f>
        <v/>
      </c>
    </row>
    <row r="254">
      <c r="F254" s="31">
        <f>IF($A254="","",IF($B254="","EKSİK","TAM"))</f>
        <v/>
      </c>
    </row>
    <row r="255">
      <c r="F255" s="31">
        <f>IF($A255="","",IF($B255="","EKSİK","TAM"))</f>
        <v/>
      </c>
    </row>
    <row r="256">
      <c r="F256" s="31">
        <f>IF($A256="","",IF($B256="","EKSİK","TAM"))</f>
        <v/>
      </c>
    </row>
    <row r="257">
      <c r="F257" s="31">
        <f>IF($A257="","",IF($B257="","EKSİK","TAM"))</f>
        <v/>
      </c>
    </row>
    <row r="258">
      <c r="F258" s="31">
        <f>IF($A258="","",IF($B258="","EKSİK","TAM"))</f>
        <v/>
      </c>
    </row>
    <row r="259">
      <c r="F259" s="31">
        <f>IF($A259="","",IF($B259="","EKSİK","TAM"))</f>
        <v/>
      </c>
    </row>
    <row r="260">
      <c r="F260" s="31">
        <f>IF($A260="","",IF($B260="","EKSİK","TAM"))</f>
        <v/>
      </c>
    </row>
    <row r="261">
      <c r="F261" s="31">
        <f>IF($A261="","",IF($B261="","EKSİK","TAM"))</f>
        <v/>
      </c>
    </row>
    <row r="262">
      <c r="F262" s="31">
        <f>IF($A262="","",IF($B262="","EKSİK","TAM"))</f>
        <v/>
      </c>
    </row>
    <row r="263">
      <c r="F263" s="31">
        <f>IF($A263="","",IF($B263="","EKSİK","TAM"))</f>
        <v/>
      </c>
    </row>
    <row r="264">
      <c r="F264" s="31">
        <f>IF($A264="","",IF($B264="","EKSİK","TAM"))</f>
        <v/>
      </c>
    </row>
    <row r="265">
      <c r="F265" s="31">
        <f>IF($A265="","",IF($B265="","EKSİK","TAM"))</f>
        <v/>
      </c>
    </row>
    <row r="266">
      <c r="F266" s="31">
        <f>IF($A266="","",IF($B266="","EKSİK","TAM"))</f>
        <v/>
      </c>
    </row>
    <row r="267">
      <c r="F267" s="31">
        <f>IF($A267="","",IF($B267="","EKSİK","TAM"))</f>
        <v/>
      </c>
    </row>
    <row r="268">
      <c r="F268" s="31">
        <f>IF($A268="","",IF($B268="","EKSİK","TAM"))</f>
        <v/>
      </c>
    </row>
    <row r="269">
      <c r="F269" s="31">
        <f>IF($A269="","",IF($B269="","EKSİK","TAM"))</f>
        <v/>
      </c>
    </row>
    <row r="270">
      <c r="F270" s="31">
        <f>IF($A270="","",IF($B270="","EKSİK","TAM"))</f>
        <v/>
      </c>
    </row>
    <row r="271">
      <c r="F271" s="31">
        <f>IF($A271="","",IF($B271="","EKSİK","TAM"))</f>
        <v/>
      </c>
    </row>
    <row r="272">
      <c r="F272" s="31">
        <f>IF($A272="","",IF($B272="","EKSİK","TAM"))</f>
        <v/>
      </c>
    </row>
    <row r="273">
      <c r="F273" s="31">
        <f>IF($A273="","",IF($B273="","EKSİK","TAM"))</f>
        <v/>
      </c>
    </row>
    <row r="274">
      <c r="F274" s="31">
        <f>IF($A274="","",IF($B274="","EKSİK","TAM"))</f>
        <v/>
      </c>
    </row>
    <row r="275">
      <c r="F275" s="31">
        <f>IF($A275="","",IF($B275="","EKSİK","TAM"))</f>
        <v/>
      </c>
    </row>
    <row r="276">
      <c r="F276" s="31">
        <f>IF($A276="","",IF($B276="","EKSİK","TAM"))</f>
        <v/>
      </c>
    </row>
    <row r="277">
      <c r="F277" s="31">
        <f>IF($A277="","",IF($B277="","EKSİK","TAM"))</f>
        <v/>
      </c>
    </row>
    <row r="278">
      <c r="F278" s="31">
        <f>IF($A278="","",IF($B278="","EKSİK","TAM"))</f>
        <v/>
      </c>
    </row>
    <row r="279">
      <c r="F279" s="31">
        <f>IF($A279="","",IF($B279="","EKSİK","TAM"))</f>
        <v/>
      </c>
    </row>
    <row r="280">
      <c r="F280" s="31">
        <f>IF($A280="","",IF($B280="","EKSİK","TAM"))</f>
        <v/>
      </c>
    </row>
    <row r="281">
      <c r="F281" s="31">
        <f>IF($A281="","",IF($B281="","EKSİK","TAM"))</f>
        <v/>
      </c>
    </row>
    <row r="282">
      <c r="F282" s="31">
        <f>IF($A282="","",IF($B282="","EKSİK","TAM"))</f>
        <v/>
      </c>
    </row>
    <row r="283">
      <c r="F283" s="31">
        <f>IF($A283="","",IF($B283="","EKSİK","TAM"))</f>
        <v/>
      </c>
    </row>
    <row r="284">
      <c r="F284" s="31">
        <f>IF($A284="","",IF($B284="","EKSİK","TAM"))</f>
        <v/>
      </c>
    </row>
    <row r="285">
      <c r="F285" s="31">
        <f>IF($A285="","",IF($B285="","EKSİK","TAM"))</f>
        <v/>
      </c>
    </row>
    <row r="286">
      <c r="F286" s="31">
        <f>IF($A286="","",IF($B286="","EKSİK","TAM"))</f>
        <v/>
      </c>
    </row>
    <row r="287">
      <c r="F287" s="31">
        <f>IF($A287="","",IF($B287="","EKSİK","TAM"))</f>
        <v/>
      </c>
    </row>
    <row r="288">
      <c r="F288" s="31">
        <f>IF($A288="","",IF($B288="","EKSİK","TAM"))</f>
        <v/>
      </c>
    </row>
    <row r="289">
      <c r="F289" s="31">
        <f>IF($A289="","",IF($B289="","EKSİK","TAM"))</f>
        <v/>
      </c>
    </row>
    <row r="290">
      <c r="F290" s="31">
        <f>IF($A290="","",IF($B290="","EKSİK","TAM"))</f>
        <v/>
      </c>
    </row>
    <row r="291">
      <c r="F291" s="31">
        <f>IF($A291="","",IF($B291="","EKSİK","TAM"))</f>
        <v/>
      </c>
    </row>
    <row r="292">
      <c r="F292" s="31">
        <f>IF($A292="","",IF($B292="","EKSİK","TAM"))</f>
        <v/>
      </c>
    </row>
    <row r="293">
      <c r="F293" s="31">
        <f>IF($A293="","",IF($B293="","EKSİK","TAM"))</f>
        <v/>
      </c>
    </row>
    <row r="294">
      <c r="F294" s="31">
        <f>IF($A294="","",IF($B294="","EKSİK","TAM"))</f>
        <v/>
      </c>
    </row>
    <row r="295">
      <c r="F295" s="31">
        <f>IF($A295="","",IF($B295="","EKSİK","TAM"))</f>
        <v/>
      </c>
    </row>
    <row r="296">
      <c r="F296" s="31">
        <f>IF($A296="","",IF($B296="","EKSİK","TAM"))</f>
        <v/>
      </c>
    </row>
    <row r="297">
      <c r="F297" s="31">
        <f>IF($A297="","",IF($B297="","EKSİK","TAM"))</f>
        <v/>
      </c>
    </row>
    <row r="298">
      <c r="F298" s="31">
        <f>IF($A298="","",IF($B298="","EKSİK","TAM"))</f>
        <v/>
      </c>
    </row>
    <row r="299">
      <c r="F299" s="31">
        <f>IF($A299="","",IF($B299="","EKSİK","TAM"))</f>
        <v/>
      </c>
    </row>
    <row r="300">
      <c r="F300" s="31">
        <f>IF($A300="","",IF($B300="","EKSİK","TAM"))</f>
        <v/>
      </c>
    </row>
    <row r="301">
      <c r="F301" s="31">
        <f>IF($A301="","",IF($B301="","EKSİK","TAM"))</f>
        <v/>
      </c>
    </row>
    <row r="302">
      <c r="F302" s="31">
        <f>IF($A302="","",IF($B302="","EKSİK","TAM"))</f>
        <v/>
      </c>
    </row>
    <row r="303">
      <c r="F303" s="31">
        <f>IF($A303="","",IF($B303="","EKSİK","TAM"))</f>
        <v/>
      </c>
    </row>
    <row r="304">
      <c r="F304" s="31">
        <f>IF($A304="","",IF($B304="","EKSİK","TAM"))</f>
        <v/>
      </c>
    </row>
    <row r="305">
      <c r="F305" s="31">
        <f>IF($A305="","",IF($B305="","EKSİK","TAM"))</f>
        <v/>
      </c>
    </row>
    <row r="306">
      <c r="F306" s="31">
        <f>IF($A306="","",IF($B306="","EKSİK","TAM"))</f>
        <v/>
      </c>
    </row>
    <row r="307">
      <c r="F307" s="31">
        <f>IF($A307="","",IF($B307="","EKSİK","TAM"))</f>
        <v/>
      </c>
    </row>
    <row r="308">
      <c r="F308" s="31">
        <f>IF($A308="","",IF($B308="","EKSİK","TAM"))</f>
        <v/>
      </c>
    </row>
    <row r="309">
      <c r="F309" s="31">
        <f>IF($A309="","",IF($B309="","EKSİK","TAM"))</f>
        <v/>
      </c>
    </row>
    <row r="310">
      <c r="F310" s="31">
        <f>IF($A310="","",IF($B310="","EKSİK","TAM"))</f>
        <v/>
      </c>
    </row>
    <row r="311">
      <c r="F311" s="31">
        <f>IF($A311="","",IF($B311="","EKSİK","TAM"))</f>
        <v/>
      </c>
    </row>
    <row r="312">
      <c r="F312" s="31">
        <f>IF($A312="","",IF($B312="","EKSİK","TAM"))</f>
        <v/>
      </c>
    </row>
    <row r="313">
      <c r="F313" s="31">
        <f>IF($A313="","",IF($B313="","EKSİK","TAM"))</f>
        <v/>
      </c>
    </row>
    <row r="314">
      <c r="F314" s="31">
        <f>IF($A314="","",IF($B314="","EKSİK","TAM"))</f>
        <v/>
      </c>
    </row>
    <row r="315">
      <c r="F315" s="31">
        <f>IF($A315="","",IF($B315="","EKSİK","TAM"))</f>
        <v/>
      </c>
    </row>
    <row r="316">
      <c r="F316" s="31">
        <f>IF($A316="","",IF($B316="","EKSİK","TAM"))</f>
        <v/>
      </c>
    </row>
    <row r="317">
      <c r="F317" s="31">
        <f>IF($A317="","",IF($B317="","EKSİK","TAM"))</f>
        <v/>
      </c>
    </row>
    <row r="318">
      <c r="F318" s="31">
        <f>IF($A318="","",IF($B318="","EKSİK","TAM"))</f>
        <v/>
      </c>
    </row>
    <row r="319">
      <c r="F319" s="31">
        <f>IF($A319="","",IF($B319="","EKSİK","TAM"))</f>
        <v/>
      </c>
    </row>
    <row r="320">
      <c r="F320" s="31">
        <f>IF($A320="","",IF($B320="","EKSİK","TAM"))</f>
        <v/>
      </c>
    </row>
    <row r="321">
      <c r="F321" s="31">
        <f>IF($A321="","",IF($B321="","EKSİK","TAM"))</f>
        <v/>
      </c>
    </row>
    <row r="322">
      <c r="F322" s="31">
        <f>IF($A322="","",IF($B322="","EKSİK","TAM"))</f>
        <v/>
      </c>
    </row>
    <row r="323">
      <c r="F323" s="31">
        <f>IF($A323="","",IF($B323="","EKSİK","TAM"))</f>
        <v/>
      </c>
    </row>
    <row r="324">
      <c r="F324" s="31">
        <f>IF($A324="","",IF($B324="","EKSİK","TAM"))</f>
        <v/>
      </c>
    </row>
    <row r="325">
      <c r="F325" s="31">
        <f>IF($A325="","",IF($B325="","EKSİK","TAM"))</f>
        <v/>
      </c>
    </row>
    <row r="326">
      <c r="F326" s="31">
        <f>IF($A326="","",IF($B326="","EKSİK","TAM"))</f>
        <v/>
      </c>
    </row>
    <row r="327">
      <c r="F327" s="31">
        <f>IF($A327="","",IF($B327="","EKSİK","TAM"))</f>
        <v/>
      </c>
    </row>
    <row r="328">
      <c r="F328" s="31">
        <f>IF($A328="","",IF($B328="","EKSİK","TAM"))</f>
        <v/>
      </c>
    </row>
    <row r="329">
      <c r="F329" s="31">
        <f>IF($A329="","",IF($B329="","EKSİK","TAM"))</f>
        <v/>
      </c>
    </row>
    <row r="330">
      <c r="F330" s="31">
        <f>IF($A330="","",IF($B330="","EKSİK","TAM"))</f>
        <v/>
      </c>
    </row>
    <row r="331">
      <c r="F331" s="31">
        <f>IF($A331="","",IF($B331="","EKSİK","TAM"))</f>
        <v/>
      </c>
    </row>
    <row r="332">
      <c r="F332" s="31">
        <f>IF($A332="","",IF($B332="","EKSİK","TAM"))</f>
        <v/>
      </c>
    </row>
    <row r="333">
      <c r="F333" s="31">
        <f>IF($A333="","",IF($B333="","EKSİK","TAM"))</f>
        <v/>
      </c>
    </row>
    <row r="334">
      <c r="F334" s="31">
        <f>IF($A334="","",IF($B334="","EKSİK","TAM"))</f>
        <v/>
      </c>
    </row>
    <row r="335">
      <c r="F335" s="31">
        <f>IF($A335="","",IF($B335="","EKSİK","TAM"))</f>
        <v/>
      </c>
    </row>
    <row r="336">
      <c r="F336" s="31">
        <f>IF($A336="","",IF($B336="","EKSİK","TAM"))</f>
        <v/>
      </c>
    </row>
    <row r="337">
      <c r="F337" s="31">
        <f>IF($A337="","",IF($B337="","EKSİK","TAM"))</f>
        <v/>
      </c>
    </row>
    <row r="338">
      <c r="F338" s="31">
        <f>IF($A338="","",IF($B338="","EKSİK","TAM"))</f>
        <v/>
      </c>
    </row>
    <row r="339">
      <c r="F339" s="31">
        <f>IF($A339="","",IF($B339="","EKSİK","TAM"))</f>
        <v/>
      </c>
    </row>
    <row r="340">
      <c r="F340" s="31">
        <f>IF($A340="","",IF($B340="","EKSİK","TAM"))</f>
        <v/>
      </c>
    </row>
    <row r="341">
      <c r="F341" s="31">
        <f>IF($A341="","",IF($B341="","EKSİK","TAM"))</f>
        <v/>
      </c>
    </row>
    <row r="342">
      <c r="F342" s="31">
        <f>IF($A342="","",IF($B342="","EKSİK","TAM"))</f>
        <v/>
      </c>
    </row>
    <row r="343">
      <c r="F343" s="31">
        <f>IF($A343="","",IF($B343="","EKSİK","TAM"))</f>
        <v/>
      </c>
    </row>
    <row r="344">
      <c r="F344" s="31">
        <f>IF($A344="","",IF($B344="","EKSİK","TAM"))</f>
        <v/>
      </c>
    </row>
    <row r="345">
      <c r="F345" s="31">
        <f>IF($A345="","",IF($B345="","EKSİK","TAM"))</f>
        <v/>
      </c>
    </row>
    <row r="346">
      <c r="F346" s="31">
        <f>IF($A346="","",IF($B346="","EKSİK","TAM"))</f>
        <v/>
      </c>
    </row>
    <row r="347">
      <c r="F347" s="31">
        <f>IF($A347="","",IF($B347="","EKSİK","TAM"))</f>
        <v/>
      </c>
    </row>
    <row r="348">
      <c r="F348" s="31">
        <f>IF($A348="","",IF($B348="","EKSİK","TAM"))</f>
        <v/>
      </c>
    </row>
    <row r="349">
      <c r="F349" s="31">
        <f>IF($A349="","",IF($B349="","EKSİK","TAM"))</f>
        <v/>
      </c>
    </row>
    <row r="350">
      <c r="F350" s="31">
        <f>IF($A350="","",IF($B350="","EKSİK","TAM"))</f>
        <v/>
      </c>
    </row>
    <row r="351">
      <c r="F351" s="31">
        <f>IF($A351="","",IF($B351="","EKSİK","TAM"))</f>
        <v/>
      </c>
    </row>
    <row r="352">
      <c r="F352" s="31">
        <f>IF($A352="","",IF($B352="","EKSİK","TAM"))</f>
        <v/>
      </c>
    </row>
    <row r="353">
      <c r="F353" s="31">
        <f>IF($A353="","",IF($B353="","EKSİK","TAM"))</f>
        <v/>
      </c>
    </row>
    <row r="354">
      <c r="F354" s="31">
        <f>IF($A354="","",IF($B354="","EKSİK","TAM"))</f>
        <v/>
      </c>
    </row>
    <row r="355">
      <c r="F355" s="31">
        <f>IF($A355="","",IF($B355="","EKSİK","TAM"))</f>
        <v/>
      </c>
    </row>
    <row r="356">
      <c r="F356" s="31">
        <f>IF($A356="","",IF($B356="","EKSİK","TAM"))</f>
        <v/>
      </c>
    </row>
    <row r="357">
      <c r="F357" s="31">
        <f>IF($A357="","",IF($B357="","EKSİK","TAM"))</f>
        <v/>
      </c>
    </row>
    <row r="358">
      <c r="F358" s="31">
        <f>IF($A358="","",IF($B358="","EKSİK","TAM"))</f>
        <v/>
      </c>
    </row>
    <row r="359">
      <c r="F359" s="31">
        <f>IF($A359="","",IF($B359="","EKSİK","TAM"))</f>
        <v/>
      </c>
    </row>
    <row r="360">
      <c r="F360" s="31">
        <f>IF($A360="","",IF($B360="","EKSİK","TAM"))</f>
        <v/>
      </c>
    </row>
    <row r="361">
      <c r="F361" s="31">
        <f>IF($A361="","",IF($B361="","EKSİK","TAM"))</f>
        <v/>
      </c>
    </row>
    <row r="362">
      <c r="F362" s="31">
        <f>IF($A362="","",IF($B362="","EKSİK","TAM"))</f>
        <v/>
      </c>
    </row>
    <row r="363">
      <c r="F363" s="31">
        <f>IF($A363="","",IF($B363="","EKSİK","TAM"))</f>
        <v/>
      </c>
    </row>
    <row r="364">
      <c r="F364" s="31">
        <f>IF($A364="","",IF($B364="","EKSİK","TAM"))</f>
        <v/>
      </c>
    </row>
    <row r="365">
      <c r="F365" s="31">
        <f>IF($A365="","",IF($B365="","EKSİK","TAM"))</f>
        <v/>
      </c>
    </row>
    <row r="366">
      <c r="F366" s="31">
        <f>IF($A366="","",IF($B366="","EKSİK","TAM"))</f>
        <v/>
      </c>
    </row>
    <row r="367">
      <c r="F367" s="31">
        <f>IF($A367="","",IF($B367="","EKSİK","TAM"))</f>
        <v/>
      </c>
    </row>
    <row r="368">
      <c r="F368" s="31">
        <f>IF($A368="","",IF($B368="","EKSİK","TAM"))</f>
        <v/>
      </c>
    </row>
    <row r="369">
      <c r="F369" s="31">
        <f>IF($A369="","",IF($B369="","EKSİK","TAM"))</f>
        <v/>
      </c>
    </row>
    <row r="370">
      <c r="F370" s="31">
        <f>IF($A370="","",IF($B370="","EKSİK","TAM"))</f>
        <v/>
      </c>
    </row>
    <row r="371">
      <c r="F371" s="31">
        <f>IF($A371="","",IF($B371="","EKSİK","TAM"))</f>
        <v/>
      </c>
    </row>
    <row r="372">
      <c r="F372" s="31">
        <f>IF($A372="","",IF($B372="","EKSİK","TAM"))</f>
        <v/>
      </c>
    </row>
    <row r="373">
      <c r="F373" s="31">
        <f>IF($A373="","",IF($B373="","EKSİK","TAM"))</f>
        <v/>
      </c>
    </row>
    <row r="374">
      <c r="F374" s="31">
        <f>IF($A374="","",IF($B374="","EKSİK","TAM"))</f>
        <v/>
      </c>
    </row>
    <row r="375">
      <c r="F375" s="31">
        <f>IF($A375="","",IF($B375="","EKSİK","TAM"))</f>
        <v/>
      </c>
    </row>
    <row r="376">
      <c r="F376" s="31">
        <f>IF($A376="","",IF($B376="","EKSİK","TAM"))</f>
        <v/>
      </c>
    </row>
    <row r="377">
      <c r="F377" s="31">
        <f>IF($A377="","",IF($B377="","EKSİK","TAM"))</f>
        <v/>
      </c>
    </row>
    <row r="378">
      <c r="F378" s="31">
        <f>IF($A378="","",IF($B378="","EKSİK","TAM"))</f>
        <v/>
      </c>
    </row>
    <row r="379">
      <c r="F379" s="31">
        <f>IF($A379="","",IF($B379="","EKSİK","TAM"))</f>
        <v/>
      </c>
    </row>
    <row r="380">
      <c r="F380" s="31">
        <f>IF($A380="","",IF($B380="","EKSİK","TAM"))</f>
        <v/>
      </c>
    </row>
    <row r="381">
      <c r="F381" s="31">
        <f>IF($A381="","",IF($B381="","EKSİK","TAM"))</f>
        <v/>
      </c>
    </row>
    <row r="382">
      <c r="F382" s="31">
        <f>IF($A382="","",IF($B382="","EKSİK","TAM"))</f>
        <v/>
      </c>
    </row>
    <row r="383">
      <c r="F383" s="31">
        <f>IF($A383="","",IF($B383="","EKSİK","TAM"))</f>
        <v/>
      </c>
    </row>
    <row r="384">
      <c r="F384" s="31">
        <f>IF($A384="","",IF($B384="","EKSİK","TAM"))</f>
        <v/>
      </c>
    </row>
    <row r="385">
      <c r="F385" s="31">
        <f>IF($A385="","",IF($B385="","EKSİK","TAM"))</f>
        <v/>
      </c>
    </row>
    <row r="386">
      <c r="F386" s="31">
        <f>IF($A386="","",IF($B386="","EKSİK","TAM"))</f>
        <v/>
      </c>
    </row>
    <row r="387">
      <c r="F387" s="31">
        <f>IF($A387="","",IF($B387="","EKSİK","TAM"))</f>
        <v/>
      </c>
    </row>
    <row r="388">
      <c r="F388" s="31">
        <f>IF($A388="","",IF($B388="","EKSİK","TAM"))</f>
        <v/>
      </c>
    </row>
    <row r="389">
      <c r="F389" s="31">
        <f>IF($A389="","",IF($B389="","EKSİK","TAM"))</f>
        <v/>
      </c>
    </row>
    <row r="390">
      <c r="F390" s="31">
        <f>IF($A390="","",IF($B390="","EKSİK","TAM"))</f>
        <v/>
      </c>
    </row>
    <row r="391">
      <c r="F391" s="31">
        <f>IF($A391="","",IF($B391="","EKSİK","TAM"))</f>
        <v/>
      </c>
    </row>
    <row r="392">
      <c r="F392" s="31">
        <f>IF($A392="","",IF($B392="","EKSİK","TAM"))</f>
        <v/>
      </c>
    </row>
    <row r="393">
      <c r="F393" s="31">
        <f>IF($A393="","",IF($B393="","EKSİK","TAM"))</f>
        <v/>
      </c>
    </row>
    <row r="394">
      <c r="F394" s="31">
        <f>IF($A394="","",IF($B394="","EKSİK","TAM"))</f>
        <v/>
      </c>
    </row>
    <row r="395">
      <c r="F395" s="31">
        <f>IF($A395="","",IF($B395="","EKSİK","TAM"))</f>
        <v/>
      </c>
    </row>
    <row r="396">
      <c r="F396" s="31">
        <f>IF($A396="","",IF($B396="","EKSİK","TAM"))</f>
        <v/>
      </c>
    </row>
    <row r="397">
      <c r="F397" s="31">
        <f>IF($A397="","",IF($B397="","EKSİK","TAM"))</f>
        <v/>
      </c>
    </row>
    <row r="398">
      <c r="F398" s="31">
        <f>IF($A398="","",IF($B398="","EKSİK","TAM"))</f>
        <v/>
      </c>
    </row>
    <row r="399">
      <c r="F399" s="31">
        <f>IF($A399="","",IF($B399="","EKSİK","TAM"))</f>
        <v/>
      </c>
    </row>
    <row r="400">
      <c r="F400" s="31">
        <f>IF($A400="","",IF($B400="","EKSİK","TAM"))</f>
        <v/>
      </c>
    </row>
    <row r="401">
      <c r="F401" s="31">
        <f>IF($A401="","",IF($B401="","EKSİK","TAM"))</f>
        <v/>
      </c>
    </row>
    <row r="402">
      <c r="F402" s="31">
        <f>IF($A402="","",IF($B402="","EKSİK","TAM"))</f>
        <v/>
      </c>
    </row>
    <row r="403">
      <c r="F403" s="31">
        <f>IF($A403="","",IF($B403="","EKSİK","TAM"))</f>
        <v/>
      </c>
    </row>
    <row r="404">
      <c r="F404" s="31">
        <f>IF($A404="","",IF($B404="","EKSİK","TAM"))</f>
        <v/>
      </c>
    </row>
    <row r="405">
      <c r="F405" s="31">
        <f>IF($A405="","",IF($B405="","EKSİK","TAM"))</f>
        <v/>
      </c>
    </row>
    <row r="406">
      <c r="F406" s="31">
        <f>IF($A406="","",IF($B406="","EKSİK","TAM"))</f>
        <v/>
      </c>
    </row>
    <row r="407">
      <c r="F407" s="31">
        <f>IF($A407="","",IF($B407="","EKSİK","TAM"))</f>
        <v/>
      </c>
    </row>
    <row r="408">
      <c r="F408" s="31">
        <f>IF($A408="","",IF($B408="","EKSİK","TAM"))</f>
        <v/>
      </c>
    </row>
    <row r="409">
      <c r="F409" s="31">
        <f>IF($A409="","",IF($B409="","EKSİK","TAM"))</f>
        <v/>
      </c>
    </row>
    <row r="410">
      <c r="F410" s="31">
        <f>IF($A410="","",IF($B410="","EKSİK","TAM"))</f>
        <v/>
      </c>
    </row>
    <row r="411">
      <c r="F411" s="31">
        <f>IF($A411="","",IF($B411="","EKSİK","TAM"))</f>
        <v/>
      </c>
    </row>
    <row r="412">
      <c r="F412" s="31">
        <f>IF($A412="","",IF($B412="","EKSİK","TAM"))</f>
        <v/>
      </c>
    </row>
    <row r="413">
      <c r="F413" s="31">
        <f>IF($A413="","",IF($B413="","EKSİK","TAM"))</f>
        <v/>
      </c>
    </row>
    <row r="414">
      <c r="F414" s="31">
        <f>IF($A414="","",IF($B414="","EKSİK","TAM"))</f>
        <v/>
      </c>
    </row>
    <row r="415">
      <c r="F415" s="31">
        <f>IF($A415="","",IF($B415="","EKSİK","TAM"))</f>
        <v/>
      </c>
    </row>
    <row r="416">
      <c r="F416" s="31">
        <f>IF($A416="","",IF($B416="","EKSİK","TAM"))</f>
        <v/>
      </c>
    </row>
    <row r="417">
      <c r="F417" s="31">
        <f>IF($A417="","",IF($B417="","EKSİK","TAM"))</f>
        <v/>
      </c>
    </row>
    <row r="418">
      <c r="F418" s="31">
        <f>IF($A418="","",IF($B418="","EKSİK","TAM"))</f>
        <v/>
      </c>
    </row>
    <row r="419">
      <c r="F419" s="31">
        <f>IF($A419="","",IF($B419="","EKSİK","TAM"))</f>
        <v/>
      </c>
    </row>
    <row r="420">
      <c r="F420" s="31">
        <f>IF($A420="","",IF($B420="","EKSİK","TAM"))</f>
        <v/>
      </c>
    </row>
    <row r="421">
      <c r="F421" s="31">
        <f>IF($A421="","",IF($B421="","EKSİK","TAM"))</f>
        <v/>
      </c>
    </row>
    <row r="422">
      <c r="F422" s="31">
        <f>IF($A422="","",IF($B422="","EKSİK","TAM"))</f>
        <v/>
      </c>
    </row>
    <row r="423">
      <c r="F423" s="31">
        <f>IF($A423="","",IF($B423="","EKSİK","TAM"))</f>
        <v/>
      </c>
    </row>
    <row r="424">
      <c r="F424" s="31">
        <f>IF($A424="","",IF($B424="","EKSİK","TAM"))</f>
        <v/>
      </c>
    </row>
    <row r="425">
      <c r="F425" s="31">
        <f>IF($A425="","",IF($B425="","EKSİK","TAM"))</f>
        <v/>
      </c>
    </row>
    <row r="426">
      <c r="F426" s="31">
        <f>IF($A426="","",IF($B426="","EKSİK","TAM"))</f>
        <v/>
      </c>
    </row>
    <row r="427">
      <c r="F427" s="31">
        <f>IF($A427="","",IF($B427="","EKSİK","TAM"))</f>
        <v/>
      </c>
    </row>
    <row r="428">
      <c r="F428" s="31">
        <f>IF($A428="","",IF($B428="","EKSİK","TAM"))</f>
        <v/>
      </c>
    </row>
    <row r="429">
      <c r="F429" s="31">
        <f>IF($A429="","",IF($B429="","EKSİK","TAM"))</f>
        <v/>
      </c>
    </row>
    <row r="430">
      <c r="F430" s="31">
        <f>IF($A430="","",IF($B430="","EKSİK","TAM"))</f>
        <v/>
      </c>
    </row>
    <row r="431">
      <c r="F431" s="31">
        <f>IF($A431="","",IF($B431="","EKSİK","TAM"))</f>
        <v/>
      </c>
    </row>
    <row r="432">
      <c r="F432" s="31">
        <f>IF($A432="","",IF($B432="","EKSİK","TAM"))</f>
        <v/>
      </c>
    </row>
    <row r="433">
      <c r="F433" s="31">
        <f>IF($A433="","",IF($B433="","EKSİK","TAM"))</f>
        <v/>
      </c>
    </row>
    <row r="434">
      <c r="F434" s="31">
        <f>IF($A434="","",IF($B434="","EKSİK","TAM"))</f>
        <v/>
      </c>
    </row>
    <row r="435">
      <c r="F435" s="31">
        <f>IF($A435="","",IF($B435="","EKSİK","TAM"))</f>
        <v/>
      </c>
    </row>
    <row r="436">
      <c r="F436" s="31">
        <f>IF($A436="","",IF($B436="","EKSİK","TAM"))</f>
        <v/>
      </c>
    </row>
    <row r="437">
      <c r="F437" s="31">
        <f>IF($A437="","",IF($B437="","EKSİK","TAM"))</f>
        <v/>
      </c>
    </row>
    <row r="438">
      <c r="F438" s="31">
        <f>IF($A438="","",IF($B438="","EKSİK","TAM"))</f>
        <v/>
      </c>
    </row>
    <row r="439">
      <c r="F439" s="31">
        <f>IF($A439="","",IF($B439="","EKSİK","TAM"))</f>
        <v/>
      </c>
    </row>
    <row r="440">
      <c r="F440" s="31">
        <f>IF($A440="","",IF($B440="","EKSİK","TAM"))</f>
        <v/>
      </c>
    </row>
    <row r="441">
      <c r="F441" s="31">
        <f>IF($A441="","",IF($B441="","EKSİK","TAM"))</f>
        <v/>
      </c>
    </row>
    <row r="442">
      <c r="F442" s="31">
        <f>IF($A442="","",IF($B442="","EKSİK","TAM"))</f>
        <v/>
      </c>
    </row>
    <row r="443">
      <c r="F443" s="31">
        <f>IF($A443="","",IF($B443="","EKSİK","TAM"))</f>
        <v/>
      </c>
    </row>
    <row r="444">
      <c r="F444" s="31">
        <f>IF($A444="","",IF($B444="","EKSİK","TAM"))</f>
        <v/>
      </c>
    </row>
    <row r="445">
      <c r="F445" s="31">
        <f>IF($A445="","",IF($B445="","EKSİK","TAM"))</f>
        <v/>
      </c>
    </row>
    <row r="446">
      <c r="F446" s="31">
        <f>IF($A446="","",IF($B446="","EKSİK","TAM"))</f>
        <v/>
      </c>
    </row>
    <row r="447">
      <c r="F447" s="31">
        <f>IF($A447="","",IF($B447="","EKSİK","TAM"))</f>
        <v/>
      </c>
    </row>
    <row r="448">
      <c r="F448" s="31">
        <f>IF($A448="","",IF($B448="","EKSİK","TAM"))</f>
        <v/>
      </c>
    </row>
    <row r="449">
      <c r="F449" s="31">
        <f>IF($A449="","",IF($B449="","EKSİK","TAM"))</f>
        <v/>
      </c>
    </row>
    <row r="450">
      <c r="F450" s="31">
        <f>IF($A450="","",IF($B450="","EKSİK","TAM"))</f>
        <v/>
      </c>
    </row>
    <row r="451">
      <c r="F451" s="31">
        <f>IF($A451="","",IF($B451="","EKSİK","TAM"))</f>
        <v/>
      </c>
    </row>
    <row r="452">
      <c r="F452" s="31">
        <f>IF($A452="","",IF($B452="","EKSİK","TAM"))</f>
        <v/>
      </c>
    </row>
    <row r="453">
      <c r="F453" s="31">
        <f>IF($A453="","",IF($B453="","EKSİK","TAM"))</f>
        <v/>
      </c>
    </row>
    <row r="454">
      <c r="F454" s="31">
        <f>IF($A454="","",IF($B454="","EKSİK","TAM"))</f>
        <v/>
      </c>
    </row>
    <row r="455">
      <c r="F455" s="31">
        <f>IF($A455="","",IF($B455="","EKSİK","TAM"))</f>
        <v/>
      </c>
    </row>
    <row r="456">
      <c r="F456" s="31">
        <f>IF($A456="","",IF($B456="","EKSİK","TAM"))</f>
        <v/>
      </c>
    </row>
    <row r="457">
      <c r="F457" s="31">
        <f>IF($A457="","",IF($B457="","EKSİK","TAM"))</f>
        <v/>
      </c>
    </row>
    <row r="458">
      <c r="F458" s="31">
        <f>IF($A458="","",IF($B458="","EKSİK","TAM"))</f>
        <v/>
      </c>
    </row>
    <row r="459">
      <c r="F459" s="31">
        <f>IF($A459="","",IF($B459="","EKSİK","TAM"))</f>
        <v/>
      </c>
    </row>
    <row r="460">
      <c r="F460" s="31">
        <f>IF($A460="","",IF($B460="","EKSİK","TAM"))</f>
        <v/>
      </c>
    </row>
    <row r="461">
      <c r="F461" s="31">
        <f>IF($A461="","",IF($B461="","EKSİK","TAM"))</f>
        <v/>
      </c>
    </row>
    <row r="462">
      <c r="F462" s="31">
        <f>IF($A462="","",IF($B462="","EKSİK","TAM"))</f>
        <v/>
      </c>
    </row>
    <row r="463">
      <c r="F463" s="31">
        <f>IF($A463="","",IF($B463="","EKSİK","TAM"))</f>
        <v/>
      </c>
    </row>
    <row r="464">
      <c r="F464" s="31">
        <f>IF($A464="","",IF($B464="","EKSİK","TAM"))</f>
        <v/>
      </c>
    </row>
    <row r="465">
      <c r="F465" s="31">
        <f>IF($A465="","",IF($B465="","EKSİK","TAM"))</f>
        <v/>
      </c>
    </row>
    <row r="466">
      <c r="F466" s="31">
        <f>IF($A466="","",IF($B466="","EKSİK","TAM"))</f>
        <v/>
      </c>
    </row>
    <row r="467">
      <c r="F467" s="31">
        <f>IF($A467="","",IF($B467="","EKSİK","TAM"))</f>
        <v/>
      </c>
    </row>
    <row r="468">
      <c r="F468" s="31">
        <f>IF($A468="","",IF($B468="","EKSİK","TAM"))</f>
        <v/>
      </c>
    </row>
    <row r="469">
      <c r="F469" s="31">
        <f>IF($A469="","",IF($B469="","EKSİK","TAM"))</f>
        <v/>
      </c>
    </row>
    <row r="470">
      <c r="F470" s="31">
        <f>IF($A470="","",IF($B470="","EKSİK","TAM"))</f>
        <v/>
      </c>
    </row>
    <row r="471">
      <c r="F471" s="31">
        <f>IF($A471="","",IF($B471="","EKSİK","TAM"))</f>
        <v/>
      </c>
    </row>
    <row r="472">
      <c r="F472" s="31">
        <f>IF($A472="","",IF($B472="","EKSİK","TAM"))</f>
        <v/>
      </c>
    </row>
    <row r="473">
      <c r="F473" s="31">
        <f>IF($A473="","",IF($B473="","EKSİK","TAM"))</f>
        <v/>
      </c>
    </row>
    <row r="474">
      <c r="F474" s="31">
        <f>IF($A474="","",IF($B474="","EKSİK","TAM"))</f>
        <v/>
      </c>
    </row>
    <row r="475">
      <c r="F475" s="31">
        <f>IF($A475="","",IF($B475="","EKSİK","TAM"))</f>
        <v/>
      </c>
    </row>
    <row r="476">
      <c r="F476" s="31">
        <f>IF($A476="","",IF($B476="","EKSİK","TAM"))</f>
        <v/>
      </c>
    </row>
    <row r="477">
      <c r="F477" s="31">
        <f>IF($A477="","",IF($B477="","EKSİK","TAM"))</f>
        <v/>
      </c>
    </row>
    <row r="478">
      <c r="F478" s="31">
        <f>IF($A478="","",IF($B478="","EKSİK","TAM"))</f>
        <v/>
      </c>
    </row>
    <row r="479">
      <c r="F479" s="31">
        <f>IF($A479="","",IF($B479="","EKSİK","TAM"))</f>
        <v/>
      </c>
    </row>
    <row r="480">
      <c r="F480" s="31">
        <f>IF($A480="","",IF($B480="","EKSİK","TAM"))</f>
        <v/>
      </c>
    </row>
    <row r="481">
      <c r="F481" s="31">
        <f>IF($A481="","",IF($B481="","EKSİK","TAM"))</f>
        <v/>
      </c>
    </row>
    <row r="482">
      <c r="F482" s="31">
        <f>IF($A482="","",IF($B482="","EKSİK","TAM"))</f>
        <v/>
      </c>
    </row>
    <row r="483">
      <c r="F483" s="31">
        <f>IF($A483="","",IF($B483="","EKSİK","TAM"))</f>
        <v/>
      </c>
    </row>
    <row r="484">
      <c r="F484" s="31">
        <f>IF($A484="","",IF($B484="","EKSİK","TAM"))</f>
        <v/>
      </c>
    </row>
    <row r="485">
      <c r="F485" s="31">
        <f>IF($A485="","",IF($B485="","EKSİK","TAM"))</f>
        <v/>
      </c>
    </row>
    <row r="486">
      <c r="F486" s="31">
        <f>IF($A486="","",IF($B486="","EKSİK","TAM"))</f>
        <v/>
      </c>
    </row>
    <row r="487">
      <c r="F487" s="31">
        <f>IF($A487="","",IF($B487="","EKSİK","TAM"))</f>
        <v/>
      </c>
    </row>
    <row r="488">
      <c r="F488" s="31">
        <f>IF($A488="","",IF($B488="","EKSİK","TAM"))</f>
        <v/>
      </c>
    </row>
    <row r="489">
      <c r="F489" s="31">
        <f>IF($A489="","",IF($B489="","EKSİK","TAM"))</f>
        <v/>
      </c>
    </row>
    <row r="490">
      <c r="F490" s="31">
        <f>IF($A490="","",IF($B490="","EKSİK","TAM"))</f>
        <v/>
      </c>
    </row>
    <row r="491">
      <c r="F491" s="31">
        <f>IF($A491="","",IF($B491="","EKSİK","TAM"))</f>
        <v/>
      </c>
    </row>
    <row r="492">
      <c r="F492" s="31">
        <f>IF($A492="","",IF($B492="","EKSİK","TAM"))</f>
        <v/>
      </c>
    </row>
    <row r="493">
      <c r="F493" s="31">
        <f>IF($A493="","",IF($B493="","EKSİK","TAM"))</f>
        <v/>
      </c>
    </row>
    <row r="494">
      <c r="F494" s="31">
        <f>IF($A494="","",IF($B494="","EKSİK","TAM"))</f>
        <v/>
      </c>
    </row>
    <row r="495">
      <c r="F495" s="31">
        <f>IF($A495="","",IF($B495="","EKSİK","TAM"))</f>
        <v/>
      </c>
    </row>
    <row r="496">
      <c r="F496" s="31">
        <f>IF($A496="","",IF($B496="","EKSİK","TAM"))</f>
        <v/>
      </c>
    </row>
    <row r="497">
      <c r="F497" s="31">
        <f>IF($A497="","",IF($B497="","EKSİK","TAM"))</f>
        <v/>
      </c>
    </row>
    <row r="498">
      <c r="F498" s="31">
        <f>IF($A498="","",IF($B498="","EKSİK","TAM"))</f>
        <v/>
      </c>
    </row>
    <row r="499">
      <c r="F499" s="31">
        <f>IF($A499="","",IF($B499="","EKSİK","TAM"))</f>
        <v/>
      </c>
    </row>
    <row r="500">
      <c r="F500" s="31">
        <f>IF($A500="","",IF($B500="","EKSİK","TAM"))</f>
        <v/>
      </c>
    </row>
    <row r="501">
      <c r="F501" s="31">
        <f>IF($A501="","",IF($B501="","EKSİK","TAM"))</f>
        <v/>
      </c>
    </row>
    <row r="502">
      <c r="F502" s="31">
        <f>IF($A502="","",IF($B502="","EKSİK","TAM"))</f>
        <v/>
      </c>
    </row>
    <row r="503">
      <c r="F503" s="31">
        <f>IF($A503="","",IF($B503="","EKSİK","TAM"))</f>
        <v/>
      </c>
    </row>
    <row r="504">
      <c r="F504" s="31">
        <f>IF($A504="","",IF($B504="","EKSİK","TAM"))</f>
        <v/>
      </c>
    </row>
    <row r="505">
      <c r="F505" s="31">
        <f>IF($A505="","",IF($B505="","EKSİK","TAM"))</f>
        <v/>
      </c>
    </row>
    <row r="506">
      <c r="F506" s="31">
        <f>IF($A506="","",IF($B506="","EKSİK","TAM"))</f>
        <v/>
      </c>
    </row>
    <row r="507">
      <c r="F507" s="31">
        <f>IF($A507="","",IF($B507="","EKSİK","TAM"))</f>
        <v/>
      </c>
    </row>
    <row r="508">
      <c r="F508" s="31">
        <f>IF($A508="","",IF($B508="","EKSİK","TAM"))</f>
        <v/>
      </c>
    </row>
    <row r="509">
      <c r="F509" s="31">
        <f>IF($A509="","",IF($B509="","EKSİK","TAM"))</f>
        <v/>
      </c>
    </row>
    <row r="510">
      <c r="F510" s="31">
        <f>IF($A510="","",IF($B510="","EKSİK","TAM"))</f>
        <v/>
      </c>
    </row>
    <row r="511">
      <c r="F511" s="31">
        <f>IF($A511="","",IF($B511="","EKSİK","TAM"))</f>
        <v/>
      </c>
    </row>
    <row r="512">
      <c r="F512" s="31">
        <f>IF($A512="","",IF($B512="","EKSİK","TAM"))</f>
        <v/>
      </c>
    </row>
    <row r="513">
      <c r="F513" s="31">
        <f>IF($A513="","",IF($B513="","EKSİK","TAM"))</f>
        <v/>
      </c>
    </row>
    <row r="514">
      <c r="F514" s="31">
        <f>IF($A514="","",IF($B514="","EKSİK","TAM"))</f>
        <v/>
      </c>
    </row>
    <row r="515">
      <c r="F515" s="31">
        <f>IF($A515="","",IF($B515="","EKSİK","TAM"))</f>
        <v/>
      </c>
    </row>
    <row r="516">
      <c r="F516" s="31">
        <f>IF($A516="","",IF($B516="","EKSİK","TAM"))</f>
        <v/>
      </c>
    </row>
    <row r="517">
      <c r="F517" s="31">
        <f>IF($A517="","",IF($B517="","EKSİK","TAM"))</f>
        <v/>
      </c>
    </row>
    <row r="518">
      <c r="F518" s="31">
        <f>IF($A518="","",IF($B518="","EKSİK","TAM"))</f>
        <v/>
      </c>
    </row>
    <row r="519">
      <c r="F519" s="31">
        <f>IF($A519="","",IF($B519="","EKSİK","TAM"))</f>
        <v/>
      </c>
    </row>
    <row r="520">
      <c r="F520" s="31">
        <f>IF($A520="","",IF($B520="","EKSİK","TAM"))</f>
        <v/>
      </c>
    </row>
    <row r="521">
      <c r="F521" s="31">
        <f>IF($A521="","",IF($B521="","EKSİK","TAM"))</f>
        <v/>
      </c>
    </row>
    <row r="522">
      <c r="F522" s="31">
        <f>IF($A522="","",IF($B522="","EKSİK","TAM"))</f>
        <v/>
      </c>
    </row>
    <row r="523">
      <c r="F523" s="31">
        <f>IF($A523="","",IF($B523="","EKSİK","TAM"))</f>
        <v/>
      </c>
    </row>
    <row r="524">
      <c r="F524" s="31">
        <f>IF($A524="","",IF($B524="","EKSİK","TAM"))</f>
        <v/>
      </c>
    </row>
    <row r="525">
      <c r="F525" s="31">
        <f>IF($A525="","",IF($B525="","EKSİK","TAM"))</f>
        <v/>
      </c>
    </row>
    <row r="526">
      <c r="F526" s="31">
        <f>IF($A526="","",IF($B526="","EKSİK","TAM"))</f>
        <v/>
      </c>
    </row>
    <row r="527">
      <c r="F527" s="31">
        <f>IF($A527="","",IF($B527="","EKSİK","TAM"))</f>
        <v/>
      </c>
    </row>
    <row r="528">
      <c r="F528" s="31">
        <f>IF($A528="","",IF($B528="","EKSİK","TAM"))</f>
        <v/>
      </c>
    </row>
    <row r="529">
      <c r="F529" s="31">
        <f>IF($A529="","",IF($B529="","EKSİK","TAM"))</f>
        <v/>
      </c>
    </row>
    <row r="530">
      <c r="F530" s="31">
        <f>IF($A530="","",IF($B530="","EKSİK","TAM"))</f>
        <v/>
      </c>
    </row>
    <row r="531">
      <c r="F531" s="31">
        <f>IF($A531="","",IF($B531="","EKSİK","TAM"))</f>
        <v/>
      </c>
    </row>
    <row r="532">
      <c r="F532" s="31">
        <f>IF($A532="","",IF($B532="","EKSİK","TAM"))</f>
        <v/>
      </c>
    </row>
    <row r="533">
      <c r="F533" s="31">
        <f>IF($A533="","",IF($B533="","EKSİK","TAM"))</f>
        <v/>
      </c>
    </row>
    <row r="534">
      <c r="F534" s="31">
        <f>IF($A534="","",IF($B534="","EKSİK","TAM"))</f>
        <v/>
      </c>
    </row>
    <row r="535">
      <c r="F535" s="31">
        <f>IF($A535="","",IF($B535="","EKSİK","TAM"))</f>
        <v/>
      </c>
    </row>
    <row r="536">
      <c r="F536" s="31">
        <f>IF($A536="","",IF($B536="","EKSİK","TAM"))</f>
        <v/>
      </c>
    </row>
    <row r="537">
      <c r="F537" s="31">
        <f>IF($A537="","",IF($B537="","EKSİK","TAM"))</f>
        <v/>
      </c>
    </row>
    <row r="538">
      <c r="F538" s="31">
        <f>IF($A538="","",IF($B538="","EKSİK","TAM"))</f>
        <v/>
      </c>
    </row>
    <row r="539">
      <c r="F539" s="31">
        <f>IF($A539="","",IF($B539="","EKSİK","TAM"))</f>
        <v/>
      </c>
    </row>
    <row r="540">
      <c r="F540" s="31">
        <f>IF($A540="","",IF($B540="","EKSİK","TAM"))</f>
        <v/>
      </c>
    </row>
    <row r="541">
      <c r="F541" s="31">
        <f>IF($A541="","",IF($B541="","EKSİK","TAM"))</f>
        <v/>
      </c>
    </row>
    <row r="542">
      <c r="F542" s="31">
        <f>IF($A542="","",IF($B542="","EKSİK","TAM"))</f>
        <v/>
      </c>
    </row>
    <row r="543">
      <c r="F543" s="31">
        <f>IF($A543="","",IF($B543="","EKSİK","TAM"))</f>
        <v/>
      </c>
    </row>
    <row r="544">
      <c r="F544" s="31">
        <f>IF($A544="","",IF($B544="","EKSİK","TAM"))</f>
        <v/>
      </c>
    </row>
    <row r="545">
      <c r="F545" s="31">
        <f>IF($A545="","",IF($B545="","EKSİK","TAM"))</f>
        <v/>
      </c>
    </row>
    <row r="546">
      <c r="F546" s="31">
        <f>IF($A546="","",IF($B546="","EKSİK","TAM"))</f>
        <v/>
      </c>
    </row>
    <row r="547">
      <c r="F547" s="31">
        <f>IF($A547="","",IF($B547="","EKSİK","TAM"))</f>
        <v/>
      </c>
    </row>
    <row r="548">
      <c r="F548" s="31">
        <f>IF($A548="","",IF($B548="","EKSİK","TAM"))</f>
        <v/>
      </c>
    </row>
    <row r="549">
      <c r="F549" s="31">
        <f>IF($A549="","",IF($B549="","EKSİK","TAM"))</f>
        <v/>
      </c>
    </row>
    <row r="550">
      <c r="F550" s="31">
        <f>IF($A550="","",IF($B550="","EKSİK","TAM"))</f>
        <v/>
      </c>
    </row>
    <row r="551">
      <c r="F551" s="31">
        <f>IF($A551="","",IF($B551="","EKSİK","TAM"))</f>
        <v/>
      </c>
    </row>
    <row r="552">
      <c r="F552" s="31">
        <f>IF($A552="","",IF($B552="","EKSİK","TAM"))</f>
        <v/>
      </c>
    </row>
    <row r="553">
      <c r="F553" s="31">
        <f>IF($A553="","",IF($B553="","EKSİK","TAM"))</f>
        <v/>
      </c>
    </row>
    <row r="554">
      <c r="F554" s="31">
        <f>IF($A554="","",IF($B554="","EKSİK","TAM"))</f>
        <v/>
      </c>
    </row>
    <row r="555">
      <c r="F555" s="31">
        <f>IF($A555="","",IF($B555="","EKSİK","TAM"))</f>
        <v/>
      </c>
    </row>
    <row r="556">
      <c r="F556" s="31">
        <f>IF($A556="","",IF($B556="","EKSİK","TAM"))</f>
        <v/>
      </c>
    </row>
    <row r="557">
      <c r="F557" s="31">
        <f>IF($A557="","",IF($B557="","EKSİK","TAM"))</f>
        <v/>
      </c>
    </row>
    <row r="558">
      <c r="F558" s="31">
        <f>IF($A558="","",IF($B558="","EKSİK","TAM"))</f>
        <v/>
      </c>
    </row>
    <row r="559">
      <c r="F559" s="31">
        <f>IF($A559="","",IF($B559="","EKSİK","TAM"))</f>
        <v/>
      </c>
    </row>
    <row r="560">
      <c r="F560" s="31">
        <f>IF($A560="","",IF($B560="","EKSİK","TAM"))</f>
        <v/>
      </c>
    </row>
    <row r="561">
      <c r="F561" s="31">
        <f>IF($A561="","",IF($B561="","EKSİK","TAM"))</f>
        <v/>
      </c>
    </row>
    <row r="562">
      <c r="F562" s="31">
        <f>IF($A562="","",IF($B562="","EKSİK","TAM"))</f>
        <v/>
      </c>
    </row>
    <row r="563">
      <c r="F563" s="31">
        <f>IF($A563="","",IF($B563="","EKSİK","TAM"))</f>
        <v/>
      </c>
    </row>
    <row r="564">
      <c r="F564" s="31">
        <f>IF($A564="","",IF($B564="","EKSİK","TAM"))</f>
        <v/>
      </c>
    </row>
    <row r="565">
      <c r="F565" s="31">
        <f>IF($A565="","",IF($B565="","EKSİK","TAM"))</f>
        <v/>
      </c>
    </row>
    <row r="566">
      <c r="F566" s="31">
        <f>IF($A566="","",IF($B566="","EKSİK","TAM"))</f>
        <v/>
      </c>
    </row>
    <row r="567">
      <c r="F567" s="31">
        <f>IF($A567="","",IF($B567="","EKSİK","TAM"))</f>
        <v/>
      </c>
    </row>
    <row r="568">
      <c r="F568" s="31">
        <f>IF($A568="","",IF($B568="","EKSİK","TAM"))</f>
        <v/>
      </c>
    </row>
    <row r="569">
      <c r="F569" s="31">
        <f>IF($A569="","",IF($B569="","EKSİK","TAM"))</f>
        <v/>
      </c>
    </row>
    <row r="570">
      <c r="F570" s="31">
        <f>IF($A570="","",IF($B570="","EKSİK","TAM"))</f>
        <v/>
      </c>
    </row>
    <row r="571">
      <c r="F571" s="31">
        <f>IF($A571="","",IF($B571="","EKSİK","TAM"))</f>
        <v/>
      </c>
    </row>
    <row r="572">
      <c r="F572" s="31">
        <f>IF($A572="","",IF($B572="","EKSİK","TAM"))</f>
        <v/>
      </c>
    </row>
    <row r="573">
      <c r="F573" s="31">
        <f>IF($A573="","",IF($B573="","EKSİK","TAM"))</f>
        <v/>
      </c>
    </row>
    <row r="574">
      <c r="F574" s="31">
        <f>IF($A574="","",IF($B574="","EKSİK","TAM"))</f>
        <v/>
      </c>
    </row>
    <row r="575">
      <c r="F575" s="31">
        <f>IF($A575="","",IF($B575="","EKSİK","TAM"))</f>
        <v/>
      </c>
    </row>
    <row r="576">
      <c r="F576" s="31">
        <f>IF($A576="","",IF($B576="","EKSİK","TAM"))</f>
        <v/>
      </c>
    </row>
    <row r="577">
      <c r="F577" s="31">
        <f>IF($A577="","",IF($B577="","EKSİK","TAM"))</f>
        <v/>
      </c>
    </row>
    <row r="578">
      <c r="F578" s="31">
        <f>IF($A578="","",IF($B578="","EKSİK","TAM"))</f>
        <v/>
      </c>
    </row>
    <row r="579">
      <c r="F579" s="31">
        <f>IF($A579="","",IF($B579="","EKSİK","TAM"))</f>
        <v/>
      </c>
    </row>
    <row r="580">
      <c r="F580" s="31">
        <f>IF($A580="","",IF($B580="","EKSİK","TAM"))</f>
        <v/>
      </c>
    </row>
    <row r="581">
      <c r="F581" s="31">
        <f>IF($A581="","",IF($B581="","EKSİK","TAM"))</f>
        <v/>
      </c>
    </row>
    <row r="582">
      <c r="F582" s="31">
        <f>IF($A582="","",IF($B582="","EKSİK","TAM"))</f>
        <v/>
      </c>
    </row>
    <row r="583">
      <c r="F583" s="31">
        <f>IF($A583="","",IF($B583="","EKSİK","TAM"))</f>
        <v/>
      </c>
    </row>
    <row r="584">
      <c r="F584" s="31">
        <f>IF($A584="","",IF($B584="","EKSİK","TAM"))</f>
        <v/>
      </c>
    </row>
    <row r="585">
      <c r="F585" s="31">
        <f>IF($A585="","",IF($B585="","EKSİK","TAM"))</f>
        <v/>
      </c>
    </row>
    <row r="586">
      <c r="F586" s="31">
        <f>IF($A586="","",IF($B586="","EKSİK","TAM"))</f>
        <v/>
      </c>
    </row>
    <row r="587">
      <c r="F587" s="31">
        <f>IF($A587="","",IF($B587="","EKSİK","TAM"))</f>
        <v/>
      </c>
    </row>
    <row r="588">
      <c r="F588" s="31">
        <f>IF($A588="","",IF($B588="","EKSİK","TAM"))</f>
        <v/>
      </c>
    </row>
    <row r="589">
      <c r="F589" s="31">
        <f>IF($A589="","",IF($B589="","EKSİK","TAM"))</f>
        <v/>
      </c>
    </row>
    <row r="590">
      <c r="F590" s="31">
        <f>IF($A590="","",IF($B590="","EKSİK","TAM"))</f>
        <v/>
      </c>
    </row>
    <row r="591">
      <c r="F591" s="31">
        <f>IF($A591="","",IF($B591="","EKSİK","TAM"))</f>
        <v/>
      </c>
    </row>
    <row r="592">
      <c r="F592" s="31">
        <f>IF($A592="","",IF($B592="","EKSİK","TAM"))</f>
        <v/>
      </c>
    </row>
    <row r="593">
      <c r="F593" s="31">
        <f>IF($A593="","",IF($B593="","EKSİK","TAM"))</f>
        <v/>
      </c>
    </row>
    <row r="594">
      <c r="F594" s="31">
        <f>IF($A594="","",IF($B594="","EKSİK","TAM"))</f>
        <v/>
      </c>
    </row>
    <row r="595">
      <c r="F595" s="31">
        <f>IF($A595="","",IF($B595="","EKSİK","TAM"))</f>
        <v/>
      </c>
    </row>
    <row r="596">
      <c r="F596" s="31">
        <f>IF($A596="","",IF($B596="","EKSİK","TAM"))</f>
        <v/>
      </c>
    </row>
    <row r="597">
      <c r="F597" s="31">
        <f>IF($A597="","",IF($B597="","EKSİK","TAM"))</f>
        <v/>
      </c>
    </row>
    <row r="598">
      <c r="F598" s="31">
        <f>IF($A598="","",IF($B598="","EKSİK","TAM"))</f>
        <v/>
      </c>
    </row>
    <row r="599">
      <c r="F599" s="31">
        <f>IF($A599="","",IF($B599="","EKSİK","TAM"))</f>
        <v/>
      </c>
    </row>
    <row r="600">
      <c r="F600" s="31">
        <f>IF($A600="","",IF($B600="","EKSİK","TAM"))</f>
        <v/>
      </c>
    </row>
    <row r="601">
      <c r="F601" s="31">
        <f>IF($A601="","",IF($B601="","EKSİK","TAM"))</f>
        <v/>
      </c>
    </row>
    <row r="602">
      <c r="F602" s="31">
        <f>IF($A602="","",IF($B602="","EKSİK","TAM"))</f>
        <v/>
      </c>
    </row>
    <row r="603">
      <c r="F603" s="31">
        <f>IF($A603="","",IF($B603="","EKSİK","TAM"))</f>
        <v/>
      </c>
    </row>
    <row r="604">
      <c r="F604" s="31">
        <f>IF($A604="","",IF($B604="","EKSİK","TAM"))</f>
        <v/>
      </c>
    </row>
    <row r="605">
      <c r="F605" s="31">
        <f>IF($A605="","",IF($B605="","EKSİK","TAM"))</f>
        <v/>
      </c>
    </row>
    <row r="606">
      <c r="F606" s="31">
        <f>IF($A606="","",IF($B606="","EKSİK","TAM"))</f>
        <v/>
      </c>
    </row>
    <row r="607">
      <c r="F607" s="31">
        <f>IF($A607="","",IF($B607="","EKSİK","TAM"))</f>
        <v/>
      </c>
    </row>
    <row r="608">
      <c r="F608" s="31">
        <f>IF($A608="","",IF($B608="","EKSİK","TAM"))</f>
        <v/>
      </c>
    </row>
    <row r="609">
      <c r="F609" s="31">
        <f>IF($A609="","",IF($B609="","EKSİK","TAM"))</f>
        <v/>
      </c>
    </row>
    <row r="610">
      <c r="F610" s="31">
        <f>IF($A610="","",IF($B610="","EKSİK","TAM"))</f>
        <v/>
      </c>
    </row>
    <row r="611">
      <c r="F611" s="31">
        <f>IF($A611="","",IF($B611="","EKSİK","TAM"))</f>
        <v/>
      </c>
    </row>
    <row r="612">
      <c r="F612" s="31">
        <f>IF($A612="","",IF($B612="","EKSİK","TAM"))</f>
        <v/>
      </c>
    </row>
    <row r="613">
      <c r="F613" s="31">
        <f>IF($A613="","",IF($B613="","EKSİK","TAM"))</f>
        <v/>
      </c>
    </row>
    <row r="614">
      <c r="F614" s="31">
        <f>IF($A614="","",IF($B614="","EKSİK","TAM"))</f>
        <v/>
      </c>
    </row>
    <row r="615">
      <c r="F615" s="31">
        <f>IF($A615="","",IF($B615="","EKSİK","TAM"))</f>
        <v/>
      </c>
    </row>
    <row r="616">
      <c r="F616" s="31">
        <f>IF($A616="","",IF($B616="","EKSİK","TAM"))</f>
        <v/>
      </c>
    </row>
    <row r="617">
      <c r="F617" s="31">
        <f>IF($A617="","",IF($B617="","EKSİK","TAM"))</f>
        <v/>
      </c>
    </row>
    <row r="618">
      <c r="F618" s="31">
        <f>IF($A618="","",IF($B618="","EKSİK","TAM"))</f>
        <v/>
      </c>
    </row>
    <row r="619">
      <c r="F619" s="31">
        <f>IF($A619="","",IF($B619="","EKSİK","TAM"))</f>
        <v/>
      </c>
    </row>
    <row r="620">
      <c r="F620" s="31">
        <f>IF($A620="","",IF($B620="","EKSİK","TAM"))</f>
        <v/>
      </c>
    </row>
    <row r="621">
      <c r="F621" s="31">
        <f>IF($A621="","",IF($B621="","EKSİK","TAM"))</f>
        <v/>
      </c>
    </row>
    <row r="622">
      <c r="F622" s="31">
        <f>IF($A622="","",IF($B622="","EKSİK","TAM"))</f>
        <v/>
      </c>
    </row>
    <row r="623">
      <c r="F623" s="31">
        <f>IF($A623="","",IF($B623="","EKSİK","TAM"))</f>
        <v/>
      </c>
    </row>
    <row r="624">
      <c r="F624" s="31">
        <f>IF($A624="","",IF($B624="","EKSİK","TAM"))</f>
        <v/>
      </c>
    </row>
    <row r="625">
      <c r="F625" s="31">
        <f>IF($A625="","",IF($B625="","EKSİK","TAM"))</f>
        <v/>
      </c>
    </row>
    <row r="626">
      <c r="F626" s="31">
        <f>IF($A626="","",IF($B626="","EKSİK","TAM"))</f>
        <v/>
      </c>
    </row>
    <row r="627">
      <c r="F627" s="31">
        <f>IF($A627="","",IF($B627="","EKSİK","TAM"))</f>
        <v/>
      </c>
    </row>
    <row r="628">
      <c r="F628" s="31">
        <f>IF($A628="","",IF($B628="","EKSİK","TAM"))</f>
        <v/>
      </c>
    </row>
    <row r="629">
      <c r="F629" s="31">
        <f>IF($A629="","",IF($B629="","EKSİK","TAM"))</f>
        <v/>
      </c>
    </row>
    <row r="630">
      <c r="F630" s="31">
        <f>IF($A630="","",IF($B630="","EKSİK","TAM"))</f>
        <v/>
      </c>
    </row>
    <row r="631">
      <c r="F631" s="31">
        <f>IF($A631="","",IF($B631="","EKSİK","TAM"))</f>
        <v/>
      </c>
    </row>
    <row r="632">
      <c r="F632" s="31">
        <f>IF($A632="","",IF($B632="","EKSİK","TAM"))</f>
        <v/>
      </c>
    </row>
    <row r="633">
      <c r="F633" s="31">
        <f>IF($A633="","",IF($B633="","EKSİK","TAM"))</f>
        <v/>
      </c>
    </row>
    <row r="634">
      <c r="F634" s="31">
        <f>IF($A634="","",IF($B634="","EKSİK","TAM"))</f>
        <v/>
      </c>
    </row>
    <row r="635">
      <c r="F635" s="31">
        <f>IF($A635="","",IF($B635="","EKSİK","TAM"))</f>
        <v/>
      </c>
    </row>
    <row r="636">
      <c r="F636" s="31">
        <f>IF($A636="","",IF($B636="","EKSİK","TAM"))</f>
        <v/>
      </c>
    </row>
    <row r="637">
      <c r="F637" s="31">
        <f>IF($A637="","",IF($B637="","EKSİK","TAM"))</f>
        <v/>
      </c>
    </row>
    <row r="638">
      <c r="F638" s="31">
        <f>IF($A638="","",IF($B638="","EKSİK","TAM"))</f>
        <v/>
      </c>
    </row>
    <row r="639">
      <c r="F639" s="31">
        <f>IF($A639="","",IF($B639="","EKSİK","TAM"))</f>
        <v/>
      </c>
    </row>
    <row r="640">
      <c r="F640" s="31">
        <f>IF($A640="","",IF($B640="","EKSİK","TAM"))</f>
        <v/>
      </c>
    </row>
    <row r="641">
      <c r="F641" s="31">
        <f>IF($A641="","",IF($B641="","EKSİK","TAM"))</f>
        <v/>
      </c>
    </row>
    <row r="642">
      <c r="F642" s="31">
        <f>IF($A642="","",IF($B642="","EKSİK","TAM"))</f>
        <v/>
      </c>
    </row>
    <row r="643">
      <c r="F643" s="31">
        <f>IF($A643="","",IF($B643="","EKSİK","TAM"))</f>
        <v/>
      </c>
    </row>
    <row r="644">
      <c r="F644" s="31">
        <f>IF($A644="","",IF($B644="","EKSİK","TAM"))</f>
        <v/>
      </c>
    </row>
    <row r="645">
      <c r="F645" s="31">
        <f>IF($A645="","",IF($B645="","EKSİK","TAM"))</f>
        <v/>
      </c>
    </row>
    <row r="646">
      <c r="F646" s="31">
        <f>IF($A646="","",IF($B646="","EKSİK","TAM"))</f>
        <v/>
      </c>
    </row>
    <row r="647">
      <c r="F647" s="31">
        <f>IF($A647="","",IF($B647="","EKSİK","TAM"))</f>
        <v/>
      </c>
    </row>
    <row r="648">
      <c r="F648" s="31">
        <f>IF($A648="","",IF($B648="","EKSİK","TAM"))</f>
        <v/>
      </c>
    </row>
    <row r="649">
      <c r="F649" s="31">
        <f>IF($A649="","",IF($B649="","EKSİK","TAM"))</f>
        <v/>
      </c>
    </row>
    <row r="650">
      <c r="F650" s="31">
        <f>IF($A650="","",IF($B650="","EKSİK","TAM"))</f>
        <v/>
      </c>
    </row>
    <row r="651">
      <c r="F651" s="31">
        <f>IF($A651="","",IF($B651="","EKSİK","TAM"))</f>
        <v/>
      </c>
    </row>
    <row r="652">
      <c r="F652" s="31">
        <f>IF($A652="","",IF($B652="","EKSİK","TAM"))</f>
        <v/>
      </c>
    </row>
    <row r="653">
      <c r="F653" s="31">
        <f>IF($A653="","",IF($B653="","EKSİK","TAM"))</f>
        <v/>
      </c>
    </row>
    <row r="654">
      <c r="F654" s="31">
        <f>IF($A654="","",IF($B654="","EKSİK","TAM"))</f>
        <v/>
      </c>
    </row>
    <row r="655">
      <c r="F655" s="31">
        <f>IF($A655="","",IF($B655="","EKSİK","TAM"))</f>
        <v/>
      </c>
    </row>
    <row r="656">
      <c r="F656" s="31">
        <f>IF($A656="","",IF($B656="","EKSİK","TAM"))</f>
        <v/>
      </c>
    </row>
    <row r="657">
      <c r="F657" s="31">
        <f>IF($A657="","",IF($B657="","EKSİK","TAM"))</f>
        <v/>
      </c>
    </row>
    <row r="658">
      <c r="F658" s="31">
        <f>IF($A658="","",IF($B658="","EKSİK","TAM"))</f>
        <v/>
      </c>
    </row>
    <row r="659">
      <c r="F659" s="31">
        <f>IF($A659="","",IF($B659="","EKSİK","TAM"))</f>
        <v/>
      </c>
    </row>
    <row r="660">
      <c r="F660" s="31">
        <f>IF($A660="","",IF($B660="","EKSİK","TAM"))</f>
        <v/>
      </c>
    </row>
    <row r="661">
      <c r="F661" s="31">
        <f>IF($A661="","",IF($B661="","EKSİK","TAM"))</f>
        <v/>
      </c>
    </row>
    <row r="662">
      <c r="F662" s="31">
        <f>IF($A662="","",IF($B662="","EKSİK","TAM"))</f>
        <v/>
      </c>
    </row>
    <row r="663">
      <c r="F663" s="31">
        <f>IF($A663="","",IF($B663="","EKSİK","TAM"))</f>
        <v/>
      </c>
    </row>
    <row r="664">
      <c r="F664" s="31">
        <f>IF($A664="","",IF($B664="","EKSİK","TAM"))</f>
        <v/>
      </c>
    </row>
    <row r="665">
      <c r="F665" s="31">
        <f>IF($A665="","",IF($B665="","EKSİK","TAM"))</f>
        <v/>
      </c>
    </row>
    <row r="666">
      <c r="F666" s="31">
        <f>IF($A666="","",IF($B666="","EKSİK","TAM"))</f>
        <v/>
      </c>
    </row>
    <row r="667">
      <c r="F667" s="31">
        <f>IF($A667="","",IF($B667="","EKSİK","TAM"))</f>
        <v/>
      </c>
    </row>
    <row r="668">
      <c r="F668" s="31">
        <f>IF($A668="","",IF($B668="","EKSİK","TAM"))</f>
        <v/>
      </c>
    </row>
    <row r="669">
      <c r="F669" s="31">
        <f>IF($A669="","",IF($B669="","EKSİK","TAM"))</f>
        <v/>
      </c>
    </row>
    <row r="670">
      <c r="F670" s="31">
        <f>IF($A670="","",IF($B670="","EKSİK","TAM"))</f>
        <v/>
      </c>
    </row>
    <row r="671">
      <c r="F671" s="31">
        <f>IF($A671="","",IF($B671="","EKSİK","TAM"))</f>
        <v/>
      </c>
    </row>
    <row r="672">
      <c r="F672" s="31">
        <f>IF($A672="","",IF($B672="","EKSİK","TAM"))</f>
        <v/>
      </c>
    </row>
    <row r="673">
      <c r="F673" s="31">
        <f>IF($A673="","",IF($B673="","EKSİK","TAM"))</f>
        <v/>
      </c>
    </row>
    <row r="674">
      <c r="F674" s="31">
        <f>IF($A674="","",IF($B674="","EKSİK","TAM"))</f>
        <v/>
      </c>
    </row>
    <row r="675">
      <c r="F675" s="31">
        <f>IF($A675="","",IF($B675="","EKSİK","TAM"))</f>
        <v/>
      </c>
    </row>
    <row r="676">
      <c r="F676" s="31">
        <f>IF($A676="","",IF($B676="","EKSİK","TAM"))</f>
        <v/>
      </c>
    </row>
    <row r="677">
      <c r="F677" s="31">
        <f>IF($A677="","",IF($B677="","EKSİK","TAM"))</f>
        <v/>
      </c>
    </row>
    <row r="678">
      <c r="F678" s="31">
        <f>IF($A678="","",IF($B678="","EKSİK","TAM"))</f>
        <v/>
      </c>
    </row>
    <row r="679">
      <c r="F679" s="31">
        <f>IF($A679="","",IF($B679="","EKSİK","TAM"))</f>
        <v/>
      </c>
    </row>
    <row r="680">
      <c r="F680" s="31">
        <f>IF($A680="","",IF($B680="","EKSİK","TAM"))</f>
        <v/>
      </c>
    </row>
    <row r="681">
      <c r="F681" s="31">
        <f>IF($A681="","",IF($B681="","EKSİK","TAM"))</f>
        <v/>
      </c>
    </row>
    <row r="682">
      <c r="F682" s="31">
        <f>IF($A682="","",IF($B682="","EKSİK","TAM"))</f>
        <v/>
      </c>
    </row>
    <row r="683">
      <c r="F683" s="31">
        <f>IF($A683="","",IF($B683="","EKSİK","TAM"))</f>
        <v/>
      </c>
    </row>
    <row r="684">
      <c r="F684" s="31">
        <f>IF($A684="","",IF($B684="","EKSİK","TAM"))</f>
        <v/>
      </c>
    </row>
    <row r="685">
      <c r="F685" s="31">
        <f>IF($A685="","",IF($B685="","EKSİK","TAM"))</f>
        <v/>
      </c>
    </row>
    <row r="686">
      <c r="F686" s="31">
        <f>IF($A686="","",IF($B686="","EKSİK","TAM"))</f>
        <v/>
      </c>
    </row>
    <row r="687">
      <c r="F687" s="31">
        <f>IF($A687="","",IF($B687="","EKSİK","TAM"))</f>
        <v/>
      </c>
    </row>
    <row r="688">
      <c r="F688" s="31">
        <f>IF($A688="","",IF($B688="","EKSİK","TAM"))</f>
        <v/>
      </c>
    </row>
    <row r="689">
      <c r="F689" s="31">
        <f>IF($A689="","",IF($B689="","EKSİK","TAM"))</f>
        <v/>
      </c>
    </row>
    <row r="690">
      <c r="F690" s="31">
        <f>IF($A690="","",IF($B690="","EKSİK","TAM"))</f>
        <v/>
      </c>
    </row>
    <row r="691">
      <c r="F691" s="31">
        <f>IF($A691="","",IF($B691="","EKSİK","TAM"))</f>
        <v/>
      </c>
    </row>
    <row r="692">
      <c r="F692" s="31">
        <f>IF($A692="","",IF($B692="","EKSİK","TAM"))</f>
        <v/>
      </c>
    </row>
    <row r="693">
      <c r="F693" s="31">
        <f>IF($A693="","",IF($B693="","EKSİK","TAM"))</f>
        <v/>
      </c>
    </row>
    <row r="694">
      <c r="F694" s="31">
        <f>IF($A694="","",IF($B694="","EKSİK","TAM"))</f>
        <v/>
      </c>
    </row>
    <row r="695">
      <c r="F695" s="31">
        <f>IF($A695="","",IF($B695="","EKSİK","TAM"))</f>
        <v/>
      </c>
    </row>
    <row r="696">
      <c r="F696" s="31">
        <f>IF($A696="","",IF($B696="","EKSİK","TAM"))</f>
        <v/>
      </c>
    </row>
    <row r="697">
      <c r="F697" s="31">
        <f>IF($A697="","",IF($B697="","EKSİK","TAM"))</f>
        <v/>
      </c>
    </row>
    <row r="698">
      <c r="F698" s="31">
        <f>IF($A698="","",IF($B698="","EKSİK","TAM"))</f>
        <v/>
      </c>
    </row>
    <row r="699">
      <c r="F699" s="31">
        <f>IF($A699="","",IF($B699="","EKSİK","TAM"))</f>
        <v/>
      </c>
    </row>
    <row r="700">
      <c r="F700" s="31">
        <f>IF($A700="","",IF($B700="","EKSİK","TAM"))</f>
        <v/>
      </c>
    </row>
    <row r="701">
      <c r="F701" s="31">
        <f>IF($A701="","",IF($B701="","EKSİK","TAM"))</f>
        <v/>
      </c>
    </row>
    <row r="702">
      <c r="F702" s="31">
        <f>IF($A702="","",IF($B702="","EKSİK","TAM"))</f>
        <v/>
      </c>
    </row>
    <row r="703">
      <c r="F703" s="31">
        <f>IF($A703="","",IF($B703="","EKSİK","TAM"))</f>
        <v/>
      </c>
    </row>
    <row r="704">
      <c r="F704" s="31">
        <f>IF($A704="","",IF($B704="","EKSİK","TAM"))</f>
        <v/>
      </c>
    </row>
    <row r="705">
      <c r="F705" s="31">
        <f>IF($A705="","",IF($B705="","EKSİK","TAM"))</f>
        <v/>
      </c>
    </row>
    <row r="706">
      <c r="F706" s="31">
        <f>IF($A706="","",IF($B706="","EKSİK","TAM"))</f>
        <v/>
      </c>
    </row>
    <row r="707">
      <c r="F707" s="31">
        <f>IF($A707="","",IF($B707="","EKSİK","TAM"))</f>
        <v/>
      </c>
    </row>
    <row r="708">
      <c r="F708" s="31">
        <f>IF($A708="","",IF($B708="","EKSİK","TAM"))</f>
        <v/>
      </c>
    </row>
    <row r="709">
      <c r="F709" s="31">
        <f>IF($A709="","",IF($B709="","EKSİK","TAM"))</f>
        <v/>
      </c>
    </row>
    <row r="710">
      <c r="F710" s="31">
        <f>IF($A710="","",IF($B710="","EKSİK","TAM"))</f>
        <v/>
      </c>
    </row>
    <row r="711">
      <c r="F711" s="31">
        <f>IF($A711="","",IF($B711="","EKSİK","TAM"))</f>
        <v/>
      </c>
    </row>
    <row r="712">
      <c r="F712" s="31">
        <f>IF($A712="","",IF($B712="","EKSİK","TAM"))</f>
        <v/>
      </c>
    </row>
    <row r="713">
      <c r="F713" s="31">
        <f>IF($A713="","",IF($B713="","EKSİK","TAM"))</f>
        <v/>
      </c>
    </row>
    <row r="714">
      <c r="F714" s="31">
        <f>IF($A714="","",IF($B714="","EKSİK","TAM"))</f>
        <v/>
      </c>
    </row>
    <row r="715">
      <c r="F715" s="31">
        <f>IF($A715="","",IF($B715="","EKSİK","TAM"))</f>
        <v/>
      </c>
    </row>
    <row r="716">
      <c r="F716" s="31">
        <f>IF($A716="","",IF($B716="","EKSİK","TAM"))</f>
        <v/>
      </c>
    </row>
    <row r="717">
      <c r="F717" s="31">
        <f>IF($A717="","",IF($B717="","EKSİK","TAM"))</f>
        <v/>
      </c>
    </row>
    <row r="718">
      <c r="F718" s="31">
        <f>IF($A718="","",IF($B718="","EKSİK","TAM"))</f>
        <v/>
      </c>
    </row>
    <row r="719">
      <c r="F719" s="31">
        <f>IF($A719="","",IF($B719="","EKSİK","TAM"))</f>
        <v/>
      </c>
    </row>
    <row r="720">
      <c r="F720" s="31">
        <f>IF($A720="","",IF($B720="","EKSİK","TAM"))</f>
        <v/>
      </c>
    </row>
    <row r="721">
      <c r="F721" s="31">
        <f>IF($A721="","",IF($B721="","EKSİK","TAM"))</f>
        <v/>
      </c>
    </row>
    <row r="722">
      <c r="F722" s="31">
        <f>IF($A722="","",IF($B722="","EKSİK","TAM"))</f>
        <v/>
      </c>
    </row>
    <row r="723">
      <c r="F723" s="31">
        <f>IF($A723="","",IF($B723="","EKSİK","TAM"))</f>
        <v/>
      </c>
    </row>
    <row r="724">
      <c r="F724" s="31">
        <f>IF($A724="","",IF($B724="","EKSİK","TAM"))</f>
        <v/>
      </c>
    </row>
    <row r="725">
      <c r="F725" s="31">
        <f>IF($A725="","",IF($B725="","EKSİK","TAM"))</f>
        <v/>
      </c>
    </row>
    <row r="726">
      <c r="F726" s="31">
        <f>IF($A726="","",IF($B726="","EKSİK","TAM"))</f>
        <v/>
      </c>
    </row>
    <row r="727">
      <c r="F727" s="31">
        <f>IF($A727="","",IF($B727="","EKSİK","TAM"))</f>
        <v/>
      </c>
    </row>
    <row r="728">
      <c r="F728" s="31">
        <f>IF($A728="","",IF($B728="","EKSİK","TAM"))</f>
        <v/>
      </c>
    </row>
    <row r="729">
      <c r="F729" s="31">
        <f>IF($A729="","",IF($B729="","EKSİK","TAM"))</f>
        <v/>
      </c>
    </row>
    <row r="730">
      <c r="F730" s="31">
        <f>IF($A730="","",IF($B730="","EKSİK","TAM"))</f>
        <v/>
      </c>
    </row>
    <row r="731">
      <c r="F731" s="31">
        <f>IF($A731="","",IF($B731="","EKSİK","TAM"))</f>
        <v/>
      </c>
    </row>
    <row r="732">
      <c r="F732" s="31">
        <f>IF($A732="","",IF($B732="","EKSİK","TAM"))</f>
        <v/>
      </c>
    </row>
    <row r="733">
      <c r="F733" s="31">
        <f>IF($A733="","",IF($B733="","EKSİK","TAM"))</f>
        <v/>
      </c>
    </row>
    <row r="734">
      <c r="F734" s="31">
        <f>IF($A734="","",IF($B734="","EKSİK","TAM"))</f>
        <v/>
      </c>
    </row>
    <row r="735">
      <c r="F735" s="31">
        <f>IF($A735="","",IF($B735="","EKSİK","TAM"))</f>
        <v/>
      </c>
    </row>
    <row r="736">
      <c r="F736" s="31">
        <f>IF($A736="","",IF($B736="","EKSİK","TAM"))</f>
        <v/>
      </c>
    </row>
    <row r="737">
      <c r="F737" s="31">
        <f>IF($A737="","",IF($B737="","EKSİK","TAM"))</f>
        <v/>
      </c>
    </row>
    <row r="738">
      <c r="F738" s="31">
        <f>IF($A738="","",IF($B738="","EKSİK","TAM"))</f>
        <v/>
      </c>
    </row>
    <row r="739">
      <c r="F739" s="31">
        <f>IF($A739="","",IF($B739="","EKSİK","TAM"))</f>
        <v/>
      </c>
    </row>
    <row r="740">
      <c r="F740" s="31">
        <f>IF($A740="","",IF($B740="","EKSİK","TAM"))</f>
        <v/>
      </c>
    </row>
    <row r="741">
      <c r="F741" s="31">
        <f>IF($A741="","",IF($B741="","EKSİK","TAM"))</f>
        <v/>
      </c>
    </row>
    <row r="742">
      <c r="F742" s="31">
        <f>IF($A742="","",IF($B742="","EKSİK","TAM"))</f>
        <v/>
      </c>
    </row>
    <row r="743">
      <c r="F743" s="31">
        <f>IF($A743="","",IF($B743="","EKSİK","TAM"))</f>
        <v/>
      </c>
    </row>
    <row r="744">
      <c r="F744" s="31">
        <f>IF($A744="","",IF($B744="","EKSİK","TAM"))</f>
        <v/>
      </c>
    </row>
    <row r="745">
      <c r="F745" s="31">
        <f>IF($A745="","",IF($B745="","EKSİK","TAM"))</f>
        <v/>
      </c>
    </row>
    <row r="746">
      <c r="F746" s="31">
        <f>IF($A746="","",IF($B746="","EKSİK","TAM"))</f>
        <v/>
      </c>
    </row>
    <row r="747">
      <c r="F747" s="31">
        <f>IF($A747="","",IF($B747="","EKSİK","TAM"))</f>
        <v/>
      </c>
    </row>
    <row r="748">
      <c r="F748" s="31">
        <f>IF($A748="","",IF($B748="","EKSİK","TAM"))</f>
        <v/>
      </c>
    </row>
    <row r="749">
      <c r="F749" s="31">
        <f>IF($A749="","",IF($B749="","EKSİK","TAM"))</f>
        <v/>
      </c>
    </row>
    <row r="750">
      <c r="F750" s="31">
        <f>IF($A750="","",IF($B750="","EKSİK","TAM"))</f>
        <v/>
      </c>
    </row>
    <row r="751">
      <c r="F751" s="31">
        <f>IF($A751="","",IF($B751="","EKSİK","TAM"))</f>
        <v/>
      </c>
    </row>
    <row r="752">
      <c r="F752" s="31">
        <f>IF($A752="","",IF($B752="","EKSİK","TAM"))</f>
        <v/>
      </c>
    </row>
    <row r="753">
      <c r="F753" s="31">
        <f>IF($A753="","",IF($B753="","EKSİK","TAM"))</f>
        <v/>
      </c>
    </row>
    <row r="754">
      <c r="F754" s="31">
        <f>IF($A754="","",IF($B754="","EKSİK","TAM"))</f>
        <v/>
      </c>
    </row>
    <row r="755">
      <c r="F755" s="31">
        <f>IF($A755="","",IF($B755="","EKSİK","TAM"))</f>
        <v/>
      </c>
    </row>
    <row r="756">
      <c r="F756" s="31">
        <f>IF($A756="","",IF($B756="","EKSİK","TAM"))</f>
        <v/>
      </c>
    </row>
    <row r="757">
      <c r="F757" s="31">
        <f>IF($A757="","",IF($B757="","EKSİK","TAM"))</f>
        <v/>
      </c>
    </row>
    <row r="758">
      <c r="F758" s="31">
        <f>IF($A758="","",IF($B758="","EKSİK","TAM"))</f>
        <v/>
      </c>
    </row>
    <row r="759">
      <c r="F759" s="31">
        <f>IF($A759="","",IF($B759="","EKSİK","TAM"))</f>
        <v/>
      </c>
    </row>
    <row r="760">
      <c r="F760" s="31">
        <f>IF($A760="","",IF($B760="","EKSİK","TAM"))</f>
        <v/>
      </c>
    </row>
    <row r="761">
      <c r="F761" s="31">
        <f>IF($A761="","",IF($B761="","EKSİK","TAM"))</f>
        <v/>
      </c>
    </row>
    <row r="762">
      <c r="F762" s="31">
        <f>IF($A762="","",IF($B762="","EKSİK","TAM"))</f>
        <v/>
      </c>
    </row>
    <row r="763">
      <c r="F763" s="31">
        <f>IF($A763="","",IF($B763="","EKSİK","TAM"))</f>
        <v/>
      </c>
    </row>
    <row r="764">
      <c r="F764" s="31">
        <f>IF($A764="","",IF($B764="","EKSİK","TAM"))</f>
        <v/>
      </c>
    </row>
    <row r="765">
      <c r="F765" s="31">
        <f>IF($A765="","",IF($B765="","EKSİK","TAM"))</f>
        <v/>
      </c>
    </row>
    <row r="766">
      <c r="F766" s="31">
        <f>IF($A766="","",IF($B766="","EKSİK","TAM"))</f>
        <v/>
      </c>
    </row>
    <row r="767">
      <c r="F767" s="31">
        <f>IF($A767="","",IF($B767="","EKSİK","TAM"))</f>
        <v/>
      </c>
    </row>
    <row r="768">
      <c r="F768" s="31">
        <f>IF($A768="","",IF($B768="","EKSİK","TAM"))</f>
        <v/>
      </c>
    </row>
    <row r="769">
      <c r="F769" s="31">
        <f>IF($A769="","",IF($B769="","EKSİK","TAM"))</f>
        <v/>
      </c>
    </row>
    <row r="770">
      <c r="F770" s="31">
        <f>IF($A770="","",IF($B770="","EKSİK","TAM"))</f>
        <v/>
      </c>
    </row>
    <row r="771">
      <c r="F771" s="31">
        <f>IF($A771="","",IF($B771="","EKSİK","TAM"))</f>
        <v/>
      </c>
    </row>
    <row r="772">
      <c r="F772" s="31">
        <f>IF($A772="","",IF($B772="","EKSİK","TAM"))</f>
        <v/>
      </c>
    </row>
    <row r="773">
      <c r="F773" s="31">
        <f>IF($A773="","",IF($B773="","EKSİK","TAM"))</f>
        <v/>
      </c>
    </row>
    <row r="774">
      <c r="F774" s="31">
        <f>IF($A774="","",IF($B774="","EKSİK","TAM"))</f>
        <v/>
      </c>
    </row>
    <row r="775">
      <c r="F775" s="31">
        <f>IF($A775="","",IF($B775="","EKSİK","TAM"))</f>
        <v/>
      </c>
    </row>
    <row r="776">
      <c r="F776" s="31">
        <f>IF($A776="","",IF($B776="","EKSİK","TAM"))</f>
        <v/>
      </c>
    </row>
    <row r="777">
      <c r="F777" s="31">
        <f>IF($A777="","",IF($B777="","EKSİK","TAM"))</f>
        <v/>
      </c>
    </row>
    <row r="778">
      <c r="F778" s="31">
        <f>IF($A778="","",IF($B778="","EKSİK","TAM"))</f>
        <v/>
      </c>
    </row>
    <row r="779">
      <c r="F779" s="31">
        <f>IF($A779="","",IF($B779="","EKSİK","TAM"))</f>
        <v/>
      </c>
    </row>
    <row r="780">
      <c r="F780" s="31">
        <f>IF($A780="","",IF($B780="","EKSİK","TAM"))</f>
        <v/>
      </c>
    </row>
    <row r="781">
      <c r="F781" s="31">
        <f>IF($A781="","",IF($B781="","EKSİK","TAM"))</f>
        <v/>
      </c>
    </row>
    <row r="782">
      <c r="F782" s="31">
        <f>IF($A782="","",IF($B782="","EKSİK","TAM"))</f>
        <v/>
      </c>
    </row>
    <row r="783">
      <c r="F783" s="31">
        <f>IF($A783="","",IF($B783="","EKSİK","TAM"))</f>
        <v/>
      </c>
    </row>
    <row r="784">
      <c r="F784" s="31">
        <f>IF($A784="","",IF($B784="","EKSİK","TAM"))</f>
        <v/>
      </c>
    </row>
    <row r="785">
      <c r="F785" s="31">
        <f>IF($A785="","",IF($B785="","EKSİK","TAM"))</f>
        <v/>
      </c>
    </row>
    <row r="786">
      <c r="F786" s="31">
        <f>IF($A786="","",IF($B786="","EKSİK","TAM"))</f>
        <v/>
      </c>
    </row>
    <row r="787">
      <c r="F787" s="31">
        <f>IF($A787="","",IF($B787="","EKSİK","TAM"))</f>
        <v/>
      </c>
    </row>
    <row r="788">
      <c r="F788" s="31">
        <f>IF($A788="","",IF($B788="","EKSİK","TAM"))</f>
        <v/>
      </c>
    </row>
    <row r="789">
      <c r="F789" s="31">
        <f>IF($A789="","",IF($B789="","EKSİK","TAM"))</f>
        <v/>
      </c>
    </row>
    <row r="790">
      <c r="F790" s="31">
        <f>IF($A790="","",IF($B790="","EKSİK","TAM"))</f>
        <v/>
      </c>
    </row>
    <row r="791">
      <c r="F791" s="31">
        <f>IF($A791="","",IF($B791="","EKSİK","TAM"))</f>
        <v/>
      </c>
    </row>
    <row r="792">
      <c r="F792" s="31">
        <f>IF($A792="","",IF($B792="","EKSİK","TAM"))</f>
        <v/>
      </c>
    </row>
    <row r="793">
      <c r="F793" s="31">
        <f>IF($A793="","",IF($B793="","EKSİK","TAM"))</f>
        <v/>
      </c>
    </row>
    <row r="794">
      <c r="F794" s="31">
        <f>IF($A794="","",IF($B794="","EKSİK","TAM"))</f>
        <v/>
      </c>
    </row>
    <row r="795">
      <c r="F795" s="31">
        <f>IF($A795="","",IF($B795="","EKSİK","TAM"))</f>
        <v/>
      </c>
    </row>
    <row r="796">
      <c r="F796" s="31">
        <f>IF($A796="","",IF($B796="","EKSİK","TAM"))</f>
        <v/>
      </c>
    </row>
    <row r="797">
      <c r="F797" s="31">
        <f>IF($A797="","",IF($B797="","EKSİK","TAM"))</f>
        <v/>
      </c>
    </row>
    <row r="798">
      <c r="F798" s="31">
        <f>IF($A798="","",IF($B798="","EKSİK","TAM"))</f>
        <v/>
      </c>
    </row>
    <row r="799">
      <c r="F799" s="31">
        <f>IF($A799="","",IF($B799="","EKSİK","TAM"))</f>
        <v/>
      </c>
    </row>
    <row r="800">
      <c r="F800" s="31">
        <f>IF($A800="","",IF($B800="","EKSİK","TAM"))</f>
        <v/>
      </c>
    </row>
    <row r="801">
      <c r="F801" s="31">
        <f>IF($A801="","",IF($B801="","EKSİK","TAM"))</f>
        <v/>
      </c>
    </row>
    <row r="802">
      <c r="F802" s="31">
        <f>IF($A802="","",IF($B802="","EKSİK","TAM"))</f>
        <v/>
      </c>
    </row>
    <row r="803">
      <c r="F803" s="31">
        <f>IF($A803="","",IF($B803="","EKSİK","TAM"))</f>
        <v/>
      </c>
    </row>
    <row r="804">
      <c r="F804" s="31">
        <f>IF($A804="","",IF($B804="","EKSİK","TAM"))</f>
        <v/>
      </c>
    </row>
    <row r="805">
      <c r="F805" s="31">
        <f>IF($A805="","",IF($B805="","EKSİK","TAM"))</f>
        <v/>
      </c>
    </row>
    <row r="806">
      <c r="F806" s="31">
        <f>IF($A806="","",IF($B806="","EKSİK","TAM"))</f>
        <v/>
      </c>
    </row>
    <row r="807">
      <c r="F807" s="31">
        <f>IF($A807="","",IF($B807="","EKSİK","TAM"))</f>
        <v/>
      </c>
    </row>
    <row r="808">
      <c r="F808" s="31">
        <f>IF($A808="","",IF($B808="","EKSİK","TAM"))</f>
        <v/>
      </c>
    </row>
    <row r="809">
      <c r="F809" s="31">
        <f>IF($A809="","",IF($B809="","EKSİK","TAM"))</f>
        <v/>
      </c>
    </row>
    <row r="810">
      <c r="F810" s="31">
        <f>IF($A810="","",IF($B810="","EKSİK","TAM"))</f>
        <v/>
      </c>
    </row>
    <row r="811">
      <c r="F811" s="31">
        <f>IF($A811="","",IF($B811="","EKSİK","TAM"))</f>
        <v/>
      </c>
    </row>
    <row r="812">
      <c r="F812" s="31">
        <f>IF($A812="","",IF($B812="","EKSİK","TAM"))</f>
        <v/>
      </c>
    </row>
    <row r="813">
      <c r="F813" s="31">
        <f>IF($A813="","",IF($B813="","EKSİK","TAM"))</f>
        <v/>
      </c>
    </row>
    <row r="814">
      <c r="F814" s="31">
        <f>IF($A814="","",IF($B814="","EKSİK","TAM"))</f>
        <v/>
      </c>
    </row>
    <row r="815">
      <c r="F815" s="31">
        <f>IF($A815="","",IF($B815="","EKSİK","TAM"))</f>
        <v/>
      </c>
    </row>
    <row r="816">
      <c r="F816" s="31">
        <f>IF($A816="","",IF($B816="","EKSİK","TAM"))</f>
        <v/>
      </c>
    </row>
    <row r="817">
      <c r="F817" s="31">
        <f>IF($A817="","",IF($B817="","EKSİK","TAM"))</f>
        <v/>
      </c>
    </row>
    <row r="818">
      <c r="F818" s="31">
        <f>IF($A818="","",IF($B818="","EKSİK","TAM"))</f>
        <v/>
      </c>
    </row>
    <row r="819">
      <c r="F819" s="31">
        <f>IF($A819="","",IF($B819="","EKSİK","TAM"))</f>
        <v/>
      </c>
    </row>
    <row r="820">
      <c r="F820" s="31">
        <f>IF($A820="","",IF($B820="","EKSİK","TAM"))</f>
        <v/>
      </c>
    </row>
    <row r="821">
      <c r="F821" s="31">
        <f>IF($A821="","",IF($B821="","EKSİK","TAM"))</f>
        <v/>
      </c>
    </row>
    <row r="822">
      <c r="F822" s="31">
        <f>IF($A822="","",IF($B822="","EKSİK","TAM"))</f>
        <v/>
      </c>
    </row>
    <row r="823">
      <c r="F823" s="31">
        <f>IF($A823="","",IF($B823="","EKSİK","TAM"))</f>
        <v/>
      </c>
    </row>
    <row r="824">
      <c r="F824" s="31">
        <f>IF($A824="","",IF($B824="","EKSİK","TAM"))</f>
        <v/>
      </c>
    </row>
    <row r="825">
      <c r="F825" s="31">
        <f>IF($A825="","",IF($B825="","EKSİK","TAM"))</f>
        <v/>
      </c>
    </row>
    <row r="826">
      <c r="F826" s="31">
        <f>IF($A826="","",IF($B826="","EKSİK","TAM"))</f>
        <v/>
      </c>
    </row>
    <row r="827">
      <c r="F827" s="31">
        <f>IF($A827="","",IF($B827="","EKSİK","TAM"))</f>
        <v/>
      </c>
    </row>
    <row r="828">
      <c r="F828" s="31">
        <f>IF($A828="","",IF($B828="","EKSİK","TAM"))</f>
        <v/>
      </c>
    </row>
    <row r="829">
      <c r="F829" s="31">
        <f>IF($A829="","",IF($B829="","EKSİK","TAM"))</f>
        <v/>
      </c>
    </row>
    <row r="830">
      <c r="F830" s="31">
        <f>IF($A830="","",IF($B830="","EKSİK","TAM"))</f>
        <v/>
      </c>
    </row>
    <row r="831">
      <c r="F831" s="31">
        <f>IF($A831="","",IF($B831="","EKSİK","TAM"))</f>
        <v/>
      </c>
    </row>
    <row r="832">
      <c r="F832" s="31">
        <f>IF($A832="","",IF($B832="","EKSİK","TAM"))</f>
        <v/>
      </c>
    </row>
    <row r="833">
      <c r="F833" s="31">
        <f>IF($A833="","",IF($B833="","EKSİK","TAM"))</f>
        <v/>
      </c>
    </row>
    <row r="834">
      <c r="F834" s="31">
        <f>IF($A834="","",IF($B834="","EKSİK","TAM"))</f>
        <v/>
      </c>
    </row>
    <row r="835">
      <c r="F835" s="31">
        <f>IF($A835="","",IF($B835="","EKSİK","TAM"))</f>
        <v/>
      </c>
    </row>
    <row r="836">
      <c r="F836" s="31">
        <f>IF($A836="","",IF($B836="","EKSİK","TAM"))</f>
        <v/>
      </c>
    </row>
    <row r="837">
      <c r="F837" s="31">
        <f>IF($A837="","",IF($B837="","EKSİK","TAM"))</f>
        <v/>
      </c>
    </row>
    <row r="838">
      <c r="F838" s="31">
        <f>IF($A838="","",IF($B838="","EKSİK","TAM"))</f>
        <v/>
      </c>
    </row>
    <row r="839">
      <c r="F839" s="31">
        <f>IF($A839="","",IF($B839="","EKSİK","TAM"))</f>
        <v/>
      </c>
    </row>
    <row r="840">
      <c r="F840" s="31">
        <f>IF($A840="","",IF($B840="","EKSİK","TAM"))</f>
        <v/>
      </c>
    </row>
    <row r="841">
      <c r="F841" s="31">
        <f>IF($A841="","",IF($B841="","EKSİK","TAM"))</f>
        <v/>
      </c>
    </row>
    <row r="842">
      <c r="F842" s="31">
        <f>IF($A842="","",IF($B842="","EKSİK","TAM"))</f>
        <v/>
      </c>
    </row>
    <row r="843">
      <c r="F843" s="31">
        <f>IF($A843="","",IF($B843="","EKSİK","TAM"))</f>
        <v/>
      </c>
    </row>
    <row r="844">
      <c r="F844" s="31">
        <f>IF($A844="","",IF($B844="","EKSİK","TAM"))</f>
        <v/>
      </c>
    </row>
    <row r="845">
      <c r="F845" s="31">
        <f>IF($A845="","",IF($B845="","EKSİK","TAM"))</f>
        <v/>
      </c>
    </row>
    <row r="846">
      <c r="F846" s="31">
        <f>IF($A846="","",IF($B846="","EKSİK","TAM"))</f>
        <v/>
      </c>
    </row>
    <row r="847">
      <c r="F847" s="31">
        <f>IF($A847="","",IF($B847="","EKSİK","TAM"))</f>
        <v/>
      </c>
    </row>
    <row r="848">
      <c r="F848" s="31">
        <f>IF($A848="","",IF($B848="","EKSİK","TAM"))</f>
        <v/>
      </c>
    </row>
    <row r="849">
      <c r="F849" s="31">
        <f>IF($A849="","",IF($B849="","EKSİK","TAM"))</f>
        <v/>
      </c>
    </row>
    <row r="850">
      <c r="F850" s="31">
        <f>IF($A850="","",IF($B850="","EKSİK","TAM"))</f>
        <v/>
      </c>
    </row>
    <row r="851">
      <c r="F851" s="31">
        <f>IF($A851="","",IF($B851="","EKSİK","TAM"))</f>
        <v/>
      </c>
    </row>
    <row r="852">
      <c r="F852" s="31">
        <f>IF($A852="","",IF($B852="","EKSİK","TAM"))</f>
        <v/>
      </c>
    </row>
    <row r="853">
      <c r="F853" s="31">
        <f>IF($A853="","",IF($B853="","EKSİK","TAM"))</f>
        <v/>
      </c>
    </row>
    <row r="854">
      <c r="F854" s="31">
        <f>IF($A854="","",IF($B854="","EKSİK","TAM"))</f>
        <v/>
      </c>
    </row>
    <row r="855">
      <c r="F855" s="31">
        <f>IF($A855="","",IF($B855="","EKSİK","TAM"))</f>
        <v/>
      </c>
    </row>
    <row r="856">
      <c r="F856" s="31">
        <f>IF($A856="","",IF($B856="","EKSİK","TAM"))</f>
        <v/>
      </c>
    </row>
    <row r="857">
      <c r="F857" s="31">
        <f>IF($A857="","",IF($B857="","EKSİK","TAM"))</f>
        <v/>
      </c>
    </row>
    <row r="858">
      <c r="F858" s="31">
        <f>IF($A858="","",IF($B858="","EKSİK","TAM"))</f>
        <v/>
      </c>
    </row>
    <row r="859">
      <c r="F859" s="31">
        <f>IF($A859="","",IF($B859="","EKSİK","TAM"))</f>
        <v/>
      </c>
    </row>
    <row r="860">
      <c r="F860" s="31">
        <f>IF($A860="","",IF($B860="","EKSİK","TAM"))</f>
        <v/>
      </c>
    </row>
    <row r="861">
      <c r="F861" s="31">
        <f>IF($A861="","",IF($B861="","EKSİK","TAM"))</f>
        <v/>
      </c>
    </row>
    <row r="862">
      <c r="F862" s="31">
        <f>IF($A862="","",IF($B862="","EKSİK","TAM"))</f>
        <v/>
      </c>
    </row>
    <row r="863">
      <c r="F863" s="31">
        <f>IF($A863="","",IF($B863="","EKSİK","TAM"))</f>
        <v/>
      </c>
    </row>
    <row r="864">
      <c r="F864" s="31">
        <f>IF($A864="","",IF($B864="","EKSİK","TAM"))</f>
        <v/>
      </c>
    </row>
    <row r="865">
      <c r="F865" s="31">
        <f>IF($A865="","",IF($B865="","EKSİK","TAM"))</f>
        <v/>
      </c>
    </row>
    <row r="866">
      <c r="F866" s="31">
        <f>IF($A866="","",IF($B866="","EKSİK","TAM"))</f>
        <v/>
      </c>
    </row>
    <row r="867">
      <c r="F867" s="31">
        <f>IF($A867="","",IF($B867="","EKSİK","TAM"))</f>
        <v/>
      </c>
    </row>
    <row r="868">
      <c r="F868" s="31">
        <f>IF($A868="","",IF($B868="","EKSİK","TAM"))</f>
        <v/>
      </c>
    </row>
    <row r="869">
      <c r="F869" s="31">
        <f>IF($A869="","",IF($B869="","EKSİK","TAM"))</f>
        <v/>
      </c>
    </row>
    <row r="870">
      <c r="F870" s="31">
        <f>IF($A870="","",IF($B870="","EKSİK","TAM"))</f>
        <v/>
      </c>
    </row>
    <row r="871">
      <c r="F871" s="31">
        <f>IF($A871="","",IF($B871="","EKSİK","TAM"))</f>
        <v/>
      </c>
    </row>
    <row r="872">
      <c r="F872" s="31">
        <f>IF($A872="","",IF($B872="","EKSİK","TAM"))</f>
        <v/>
      </c>
    </row>
    <row r="873">
      <c r="F873" s="31">
        <f>IF($A873="","",IF($B873="","EKSİK","TAM"))</f>
        <v/>
      </c>
    </row>
    <row r="874">
      <c r="F874" s="31">
        <f>IF($A874="","",IF($B874="","EKSİK","TAM"))</f>
        <v/>
      </c>
    </row>
    <row r="875">
      <c r="F875" s="31">
        <f>IF($A875="","",IF($B875="","EKSİK","TAM"))</f>
        <v/>
      </c>
    </row>
    <row r="876">
      <c r="F876" s="31">
        <f>IF($A876="","",IF($B876="","EKSİK","TAM"))</f>
        <v/>
      </c>
    </row>
    <row r="877">
      <c r="F877" s="31">
        <f>IF($A877="","",IF($B877="","EKSİK","TAM"))</f>
        <v/>
      </c>
    </row>
    <row r="878">
      <c r="F878" s="31">
        <f>IF($A878="","",IF($B878="","EKSİK","TAM"))</f>
        <v/>
      </c>
    </row>
    <row r="879">
      <c r="F879" s="31">
        <f>IF($A879="","",IF($B879="","EKSİK","TAM"))</f>
        <v/>
      </c>
    </row>
    <row r="880">
      <c r="F880" s="31">
        <f>IF($A880="","",IF($B880="","EKSİK","TAM"))</f>
        <v/>
      </c>
    </row>
    <row r="881">
      <c r="F881" s="31">
        <f>IF($A881="","",IF($B881="","EKSİK","TAM"))</f>
        <v/>
      </c>
    </row>
    <row r="882">
      <c r="F882" s="31">
        <f>IF($A882="","",IF($B882="","EKSİK","TAM"))</f>
        <v/>
      </c>
    </row>
    <row r="883">
      <c r="F883" s="31">
        <f>IF($A883="","",IF($B883="","EKSİK","TAM"))</f>
        <v/>
      </c>
    </row>
    <row r="884">
      <c r="F884" s="31">
        <f>IF($A884="","",IF($B884="","EKSİK","TAM"))</f>
        <v/>
      </c>
    </row>
    <row r="885">
      <c r="F885" s="31">
        <f>IF($A885="","",IF($B885="","EKSİK","TAM"))</f>
        <v/>
      </c>
    </row>
    <row r="886">
      <c r="F886" s="31">
        <f>IF($A886="","",IF($B886="","EKSİK","TAM"))</f>
        <v/>
      </c>
    </row>
    <row r="887">
      <c r="F887" s="31">
        <f>IF($A887="","",IF($B887="","EKSİK","TAM"))</f>
        <v/>
      </c>
    </row>
    <row r="888">
      <c r="F888" s="31">
        <f>IF($A888="","",IF($B888="","EKSİK","TAM"))</f>
        <v/>
      </c>
    </row>
    <row r="889">
      <c r="F889" s="31">
        <f>IF($A889="","",IF($B889="","EKSİK","TAM"))</f>
        <v/>
      </c>
    </row>
    <row r="890">
      <c r="F890" s="31">
        <f>IF($A890="","",IF($B890="","EKSİK","TAM"))</f>
        <v/>
      </c>
    </row>
    <row r="891">
      <c r="F891" s="31">
        <f>IF($A891="","",IF($B891="","EKSİK","TAM"))</f>
        <v/>
      </c>
    </row>
    <row r="892">
      <c r="F892" s="31">
        <f>IF($A892="","",IF($B892="","EKSİK","TAM"))</f>
        <v/>
      </c>
    </row>
    <row r="893">
      <c r="F893" s="31">
        <f>IF($A893="","",IF($B893="","EKSİK","TAM"))</f>
        <v/>
      </c>
    </row>
    <row r="894">
      <c r="F894" s="31">
        <f>IF($A894="","",IF($B894="","EKSİK","TAM"))</f>
        <v/>
      </c>
    </row>
    <row r="895">
      <c r="F895" s="31">
        <f>IF($A895="","",IF($B895="","EKSİK","TAM"))</f>
        <v/>
      </c>
    </row>
    <row r="896">
      <c r="F896" s="31">
        <f>IF($A896="","",IF($B896="","EKSİK","TAM"))</f>
        <v/>
      </c>
    </row>
    <row r="897">
      <c r="F897" s="31">
        <f>IF($A897="","",IF($B897="","EKSİK","TAM"))</f>
        <v/>
      </c>
    </row>
    <row r="898">
      <c r="F898" s="31">
        <f>IF($A898="","",IF($B898="","EKSİK","TAM"))</f>
        <v/>
      </c>
    </row>
    <row r="899">
      <c r="F899" s="31">
        <f>IF($A899="","",IF($B899="","EKSİK","TAM"))</f>
        <v/>
      </c>
    </row>
    <row r="900">
      <c r="F900" s="31">
        <f>IF($A900="","",IF($B900="","EKSİK","TAM"))</f>
        <v/>
      </c>
    </row>
    <row r="901">
      <c r="F901" s="31">
        <f>IF($A901="","",IF($B901="","EKSİK","TAM"))</f>
        <v/>
      </c>
    </row>
    <row r="902">
      <c r="F902" s="31">
        <f>IF($A902="","",IF($B902="","EKSİK","TAM"))</f>
        <v/>
      </c>
    </row>
    <row r="903">
      <c r="F903" s="31">
        <f>IF($A903="","",IF($B903="","EKSİK","TAM"))</f>
        <v/>
      </c>
    </row>
    <row r="904">
      <c r="F904" s="31">
        <f>IF($A904="","",IF($B904="","EKSİK","TAM"))</f>
        <v/>
      </c>
    </row>
    <row r="905">
      <c r="F905" s="31">
        <f>IF($A905="","",IF($B905="","EKSİK","TAM"))</f>
        <v/>
      </c>
    </row>
    <row r="906">
      <c r="F906" s="31">
        <f>IF($A906="","",IF($B906="","EKSİK","TAM"))</f>
        <v/>
      </c>
    </row>
    <row r="907">
      <c r="F907" s="31">
        <f>IF($A907="","",IF($B907="","EKSİK","TAM"))</f>
        <v/>
      </c>
    </row>
    <row r="908">
      <c r="F908" s="31">
        <f>IF($A908="","",IF($B908="","EKSİK","TAM"))</f>
        <v/>
      </c>
    </row>
    <row r="909">
      <c r="F909" s="31">
        <f>IF($A909="","",IF($B909="","EKSİK","TAM"))</f>
        <v/>
      </c>
    </row>
    <row r="910">
      <c r="F910" s="31">
        <f>IF($A910="","",IF($B910="","EKSİK","TAM"))</f>
        <v/>
      </c>
    </row>
    <row r="911">
      <c r="F911" s="31">
        <f>IF($A911="","",IF($B911="","EKSİK","TAM"))</f>
        <v/>
      </c>
    </row>
    <row r="912">
      <c r="F912" s="31">
        <f>IF($A912="","",IF($B912="","EKSİK","TAM"))</f>
        <v/>
      </c>
    </row>
    <row r="913">
      <c r="F913" s="31">
        <f>IF($A913="","",IF($B913="","EKSİK","TAM"))</f>
        <v/>
      </c>
    </row>
    <row r="914">
      <c r="F914" s="31">
        <f>IF($A914="","",IF($B914="","EKSİK","TAM"))</f>
        <v/>
      </c>
    </row>
    <row r="915">
      <c r="F915" s="31">
        <f>IF($A915="","",IF($B915="","EKSİK","TAM"))</f>
        <v/>
      </c>
    </row>
    <row r="916">
      <c r="F916" s="31">
        <f>IF($A916="","",IF($B916="","EKSİK","TAM"))</f>
        <v/>
      </c>
    </row>
    <row r="917">
      <c r="F917" s="31">
        <f>IF($A917="","",IF($B917="","EKSİK","TAM"))</f>
        <v/>
      </c>
    </row>
    <row r="918">
      <c r="F918" s="31">
        <f>IF($A918="","",IF($B918="","EKSİK","TAM"))</f>
        <v/>
      </c>
    </row>
    <row r="919">
      <c r="F919" s="31">
        <f>IF($A919="","",IF($B919="","EKSİK","TAM"))</f>
        <v/>
      </c>
    </row>
    <row r="920">
      <c r="F920" s="31">
        <f>IF($A920="","",IF($B920="","EKSİK","TAM"))</f>
        <v/>
      </c>
    </row>
    <row r="921">
      <c r="F921" s="31">
        <f>IF($A921="","",IF($B921="","EKSİK","TAM"))</f>
        <v/>
      </c>
    </row>
    <row r="922">
      <c r="F922" s="31">
        <f>IF($A922="","",IF($B922="","EKSİK","TAM"))</f>
        <v/>
      </c>
    </row>
    <row r="923">
      <c r="F923" s="31">
        <f>IF($A923="","",IF($B923="","EKSİK","TAM"))</f>
        <v/>
      </c>
    </row>
    <row r="924">
      <c r="F924" s="31">
        <f>IF($A924="","",IF($B924="","EKSİK","TAM"))</f>
        <v/>
      </c>
    </row>
    <row r="925">
      <c r="F925" s="31">
        <f>IF($A925="","",IF($B925="","EKSİK","TAM"))</f>
        <v/>
      </c>
    </row>
    <row r="926">
      <c r="F926" s="31">
        <f>IF($A926="","",IF($B926="","EKSİK","TAM"))</f>
        <v/>
      </c>
    </row>
    <row r="927">
      <c r="F927" s="31">
        <f>IF($A927="","",IF($B927="","EKSİK","TAM"))</f>
        <v/>
      </c>
    </row>
    <row r="928">
      <c r="F928" s="31">
        <f>IF($A928="","",IF($B928="","EKSİK","TAM"))</f>
        <v/>
      </c>
    </row>
    <row r="929">
      <c r="F929" s="31">
        <f>IF($A929="","",IF($B929="","EKSİK","TAM"))</f>
        <v/>
      </c>
    </row>
    <row r="930">
      <c r="F930" s="31">
        <f>IF($A930="","",IF($B930="","EKSİK","TAM"))</f>
        <v/>
      </c>
    </row>
    <row r="931">
      <c r="F931" s="31">
        <f>IF($A931="","",IF($B931="","EKSİK","TAM"))</f>
        <v/>
      </c>
    </row>
    <row r="932">
      <c r="F932" s="31">
        <f>IF($A932="","",IF($B932="","EKSİK","TAM"))</f>
        <v/>
      </c>
    </row>
    <row r="933">
      <c r="F933" s="31">
        <f>IF($A933="","",IF($B933="","EKSİK","TAM"))</f>
        <v/>
      </c>
    </row>
    <row r="934">
      <c r="F934" s="31">
        <f>IF($A934="","",IF($B934="","EKSİK","TAM"))</f>
        <v/>
      </c>
    </row>
    <row r="935">
      <c r="F935" s="31">
        <f>IF($A935="","",IF($B935="","EKSİK","TAM"))</f>
        <v/>
      </c>
    </row>
    <row r="936">
      <c r="F936" s="31">
        <f>IF($A936="","",IF($B936="","EKSİK","TAM"))</f>
        <v/>
      </c>
    </row>
    <row r="937">
      <c r="F937" s="31">
        <f>IF($A937="","",IF($B937="","EKSİK","TAM"))</f>
        <v/>
      </c>
    </row>
    <row r="938">
      <c r="F938" s="31">
        <f>IF($A938="","",IF($B938="","EKSİK","TAM"))</f>
        <v/>
      </c>
    </row>
    <row r="939">
      <c r="F939" s="31">
        <f>IF($A939="","",IF($B939="","EKSİK","TAM"))</f>
        <v/>
      </c>
    </row>
    <row r="940">
      <c r="F940" s="31">
        <f>IF($A940="","",IF($B940="","EKSİK","TAM"))</f>
        <v/>
      </c>
    </row>
    <row r="941">
      <c r="F941" s="31">
        <f>IF($A941="","",IF($B941="","EKSİK","TAM"))</f>
        <v/>
      </c>
    </row>
    <row r="942">
      <c r="F942" s="31">
        <f>IF($A942="","",IF($B942="","EKSİK","TAM"))</f>
        <v/>
      </c>
    </row>
    <row r="943">
      <c r="F943" s="31">
        <f>IF($A943="","",IF($B943="","EKSİK","TAM"))</f>
        <v/>
      </c>
    </row>
    <row r="944">
      <c r="F944" s="31">
        <f>IF($A944="","",IF($B944="","EKSİK","TAM"))</f>
        <v/>
      </c>
    </row>
    <row r="945">
      <c r="F945" s="31">
        <f>IF($A945="","",IF($B945="","EKSİK","TAM"))</f>
        <v/>
      </c>
    </row>
    <row r="946">
      <c r="F946" s="31">
        <f>IF($A946="","",IF($B946="","EKSİK","TAM"))</f>
        <v/>
      </c>
    </row>
    <row r="947">
      <c r="F947" s="31">
        <f>IF($A947="","",IF($B947="","EKSİK","TAM"))</f>
        <v/>
      </c>
    </row>
    <row r="948">
      <c r="F948" s="31">
        <f>IF($A948="","",IF($B948="","EKSİK","TAM"))</f>
        <v/>
      </c>
    </row>
    <row r="949">
      <c r="F949" s="31">
        <f>IF($A949="","",IF($B949="","EKSİK","TAM"))</f>
        <v/>
      </c>
    </row>
    <row r="950">
      <c r="F950" s="31">
        <f>IF($A950="","",IF($B950="","EKSİK","TAM"))</f>
        <v/>
      </c>
    </row>
    <row r="951">
      <c r="F951" s="31">
        <f>IF($A951="","",IF($B951="","EKSİK","TAM"))</f>
        <v/>
      </c>
    </row>
    <row r="952">
      <c r="F952" s="31">
        <f>IF($A952="","",IF($B952="","EKSİK","TAM"))</f>
        <v/>
      </c>
    </row>
    <row r="953">
      <c r="F953" s="31">
        <f>IF($A953="","",IF($B953="","EKSİK","TAM"))</f>
        <v/>
      </c>
    </row>
    <row r="954">
      <c r="F954" s="31">
        <f>IF($A954="","",IF($B954="","EKSİK","TAM"))</f>
        <v/>
      </c>
    </row>
    <row r="955">
      <c r="F955" s="31">
        <f>IF($A955="","",IF($B955="","EKSİK","TAM"))</f>
        <v/>
      </c>
    </row>
    <row r="956">
      <c r="F956" s="31">
        <f>IF($A956="","",IF($B956="","EKSİK","TAM"))</f>
        <v/>
      </c>
    </row>
    <row r="957">
      <c r="F957" s="31">
        <f>IF($A957="","",IF($B957="","EKSİK","TAM"))</f>
        <v/>
      </c>
    </row>
    <row r="958">
      <c r="F958" s="31">
        <f>IF($A958="","",IF($B958="","EKSİK","TAM"))</f>
        <v/>
      </c>
    </row>
    <row r="959">
      <c r="F959" s="31">
        <f>IF($A959="","",IF($B959="","EKSİK","TAM"))</f>
        <v/>
      </c>
    </row>
    <row r="960">
      <c r="F960" s="31">
        <f>IF($A960="","",IF($B960="","EKSİK","TAM"))</f>
        <v/>
      </c>
    </row>
    <row r="961">
      <c r="F961" s="31">
        <f>IF($A961="","",IF($B961="","EKSİK","TAM"))</f>
        <v/>
      </c>
    </row>
    <row r="962">
      <c r="F962" s="31">
        <f>IF($A962="","",IF($B962="","EKSİK","TAM"))</f>
        <v/>
      </c>
    </row>
    <row r="963">
      <c r="F963" s="31">
        <f>IF($A963="","",IF($B963="","EKSİK","TAM"))</f>
        <v/>
      </c>
    </row>
    <row r="964">
      <c r="F964" s="31">
        <f>IF($A964="","",IF($B964="","EKSİK","TAM"))</f>
        <v/>
      </c>
    </row>
    <row r="965">
      <c r="F965" s="31">
        <f>IF($A965="","",IF($B965="","EKSİK","TAM"))</f>
        <v/>
      </c>
    </row>
    <row r="966">
      <c r="F966" s="31">
        <f>IF($A966="","",IF($B966="","EKSİK","TAM"))</f>
        <v/>
      </c>
    </row>
    <row r="967">
      <c r="F967" s="31">
        <f>IF($A967="","",IF($B967="","EKSİK","TAM"))</f>
        <v/>
      </c>
    </row>
    <row r="968">
      <c r="F968" s="31">
        <f>IF($A968="","",IF($B968="","EKSİK","TAM"))</f>
        <v/>
      </c>
    </row>
    <row r="969">
      <c r="F969" s="31">
        <f>IF($A969="","",IF($B969="","EKSİK","TAM"))</f>
        <v/>
      </c>
    </row>
    <row r="970">
      <c r="F970" s="31">
        <f>IF($A970="","",IF($B970="","EKSİK","TAM"))</f>
        <v/>
      </c>
    </row>
    <row r="971">
      <c r="F971" s="31">
        <f>IF($A971="","",IF($B971="","EKSİK","TAM"))</f>
        <v/>
      </c>
    </row>
    <row r="972">
      <c r="F972" s="31">
        <f>IF($A972="","",IF($B972="","EKSİK","TAM"))</f>
        <v/>
      </c>
    </row>
    <row r="973">
      <c r="F973" s="31">
        <f>IF($A973="","",IF($B973="","EKSİK","TAM"))</f>
        <v/>
      </c>
    </row>
    <row r="974">
      <c r="F974" s="31">
        <f>IF($A974="","",IF($B974="","EKSİK","TAM"))</f>
        <v/>
      </c>
    </row>
    <row r="975">
      <c r="F975" s="31">
        <f>IF($A975="","",IF($B975="","EKSİK","TAM"))</f>
        <v/>
      </c>
    </row>
    <row r="976">
      <c r="F976" s="31">
        <f>IF($A976="","",IF($B976="","EKSİK","TAM"))</f>
        <v/>
      </c>
    </row>
    <row r="977">
      <c r="F977" s="31">
        <f>IF($A977="","",IF($B977="","EKSİK","TAM"))</f>
        <v/>
      </c>
    </row>
    <row r="978">
      <c r="F978" s="31">
        <f>IF($A978="","",IF($B978="","EKSİK","TAM"))</f>
        <v/>
      </c>
    </row>
    <row r="979">
      <c r="F979" s="31">
        <f>IF($A979="","",IF($B979="","EKSİK","TAM"))</f>
        <v/>
      </c>
    </row>
    <row r="980">
      <c r="F980" s="31">
        <f>IF($A980="","",IF($B980="","EKSİK","TAM"))</f>
        <v/>
      </c>
    </row>
    <row r="981">
      <c r="F981" s="31">
        <f>IF($A981="","",IF($B981="","EKSİK","TAM"))</f>
        <v/>
      </c>
    </row>
    <row r="982">
      <c r="F982" s="31">
        <f>IF($A982="","",IF($B982="","EKSİK","TAM"))</f>
        <v/>
      </c>
    </row>
    <row r="983">
      <c r="F983" s="31">
        <f>IF($A983="","",IF($B983="","EKSİK","TAM"))</f>
        <v/>
      </c>
    </row>
    <row r="984">
      <c r="F984" s="31">
        <f>IF($A984="","",IF($B984="","EKSİK","TAM"))</f>
        <v/>
      </c>
    </row>
    <row r="985">
      <c r="F985" s="31">
        <f>IF($A985="","",IF($B985="","EKSİK","TAM"))</f>
        <v/>
      </c>
    </row>
    <row r="986">
      <c r="F986" s="31">
        <f>IF($A986="","",IF($B986="","EKSİK","TAM"))</f>
        <v/>
      </c>
    </row>
    <row r="987">
      <c r="F987" s="31">
        <f>IF($A987="","",IF($B987="","EKSİK","TAM"))</f>
        <v/>
      </c>
    </row>
    <row r="988">
      <c r="F988" s="31">
        <f>IF($A988="","",IF($B988="","EKSİK","TAM"))</f>
        <v/>
      </c>
    </row>
    <row r="989">
      <c r="F989" s="31">
        <f>IF($A989="","",IF($B989="","EKSİK","TAM"))</f>
        <v/>
      </c>
    </row>
    <row r="990">
      <c r="F990" s="31">
        <f>IF($A990="","",IF($B990="","EKSİK","TAM"))</f>
        <v/>
      </c>
    </row>
    <row r="991">
      <c r="F991" s="31">
        <f>IF($A991="","",IF($B991="","EKSİK","TAM"))</f>
        <v/>
      </c>
    </row>
    <row r="992">
      <c r="F992" s="31">
        <f>IF($A992="","",IF($B992="","EKSİK","TAM"))</f>
        <v/>
      </c>
    </row>
    <row r="993">
      <c r="F993" s="31">
        <f>IF($A993="","",IF($B993="","EKSİK","TAM"))</f>
        <v/>
      </c>
    </row>
    <row r="994">
      <c r="F994" s="31">
        <f>IF($A994="","",IF($B994="","EKSİK","TAM"))</f>
        <v/>
      </c>
    </row>
    <row r="995">
      <c r="F995" s="31">
        <f>IF($A995="","",IF($B995="","EKSİK","TAM"))</f>
        <v/>
      </c>
    </row>
    <row r="996">
      <c r="F996" s="31">
        <f>IF($A996="","",IF($B996="","EKSİK","TAM"))</f>
        <v/>
      </c>
    </row>
    <row r="997">
      <c r="F997" s="31">
        <f>IF($A997="","",IF($B997="","EKSİK","TAM"))</f>
        <v/>
      </c>
    </row>
    <row r="998">
      <c r="F998" s="31">
        <f>IF($A998="","",IF($B998="","EKSİK","TAM"))</f>
        <v/>
      </c>
    </row>
    <row r="999">
      <c r="F999" s="31">
        <f>IF($A999="","",IF($B999="","EKSİK","TAM"))</f>
        <v/>
      </c>
    </row>
    <row r="1000">
      <c r="F1000" s="31">
        <f>IF($A1000="","",IF($B1000="","EKSİK","TAM"))</f>
        <v/>
      </c>
    </row>
    <row r="1001">
      <c r="F1001" s="31">
        <f>IF($A1001="","",IF($B1001="","EKSİK","TAM"))</f>
        <v/>
      </c>
    </row>
    <row r="1002">
      <c r="F1002" s="31">
        <f>IF($A1002="","",IF($B1002="","EKSİK","TAM"))</f>
        <v/>
      </c>
    </row>
    <row r="1003">
      <c r="F1003" s="31">
        <f>IF($A1003="","",IF($B1003="","EKSİK","TAM"))</f>
        <v/>
      </c>
    </row>
    <row r="1004">
      <c r="F1004" s="31">
        <f>IF($A1004="","",IF($B1004="","EKSİK","TAM"))</f>
        <v/>
      </c>
    </row>
    <row r="1005">
      <c r="F1005" s="31">
        <f>IF($A1005="","",IF($B1005="","EKSİK","TAM"))</f>
        <v/>
      </c>
    </row>
    <row r="1006">
      <c r="F1006" s="31">
        <f>IF($A1006="","",IF($B1006="","EKSİK","TAM"))</f>
        <v/>
      </c>
    </row>
    <row r="1024" ht="20" customHeight="1">
      <c r="A1024" s="34" t="inlineStr">
        <is>
          <t>Sarı alanlar giriş; potansiyel ve kalite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24:AN1024"/>
    <mergeCell ref="A3:I3"/>
  </mergeCells>
  <conditionalFormatting sqref="B9:B15">
    <cfRule type="cellIs" priority="1" operator="lessThan" dxfId="3">
      <formula>0</formula>
    </cfRule>
    <cfRule type="cellIs" priority="2" operator="equal" dxfId="5">
      <formula>0</formula>
    </cfRule>
  </conditionalFormatting>
  <conditionalFormatting sqref="F24:F34">
    <cfRule type="expression" priority="3" dxfId="2">
      <formula>F24="EKSİK"</formula>
    </cfRule>
    <cfRule type="expression" priority="4" dxfId="0">
      <formula>F24="TAM"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Birikim yorum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Brüt Matrah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Çalışan" prompt="0 ile 100000 arasında." type="decimal" errorStyle="stop" operator="between">
      <formula1>0</formula1>
      <formula2>100000</formula2>
    </dataValidation>
    <dataValidation sqref="B11" showDropDown="0" showInputMessage="1" showErrorMessage="1" allowBlank="1" errorTitle="Geçersiz tutar" error="Sınır dışı değer." promptTitle="5 Puan Matrah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İlave Matrah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 tutar" error="Sınır dışı değer." promptTitle="Kadın/Genç" prompt="0 ile 1e12 arasında TL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Engelli" prompt="0 ile 1e12 arasında TL." type="decimal" errorStyle="stop" operator="between">
      <formula1>0</formula1>
      <formula2>1000000000000</formula2>
    </dataValidation>
    <dataValidation sqref="B15" showDropDown="0" showInputMessage="1" showErrorMessage="1" allowBlank="1" errorTitle="Geçersiz tutar" error="Sınır dışı değer." promptTitle="Mevcut Teşvik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Brüt Matrah" prompt="Tablo: TL tutar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Çalışan" prompt="Tablo: adet." type="decimal" errorStyle="stop" operator="between">
      <formula1>0</formula1>
      <formula2>100000</formula2>
    </dataValidation>
    <dataValidation sqref="B29" showDropDown="0" showInputMessage="1" showErrorMessage="1" allowBlank="1" errorTitle="Geçersiz tutar" error="Sınır dışı değer." promptTitle="5 Puan" prompt="Tablo: TL tutar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İlave" prompt="Tablo: TL tutar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Kadın/Genç" prompt="Tablo: TL tutar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Engelli" prompt="Tablo: TL tutar." type="decimal" errorStyle="stop" operator="between">
      <formula1>0</formula1>
      <formula2>1000000000000</formula2>
    </dataValidation>
    <dataValidation sqref="B33" showDropDown="0" showInputMessage="1" showErrorMessage="1" allowBlank="1" errorTitle="Geçersiz tutar" error="Sınır dışı değer." promptTitle="Mevcut" prompt="Tablo: TL tutar." type="decimal" errorStyle="stop" operator="between">
      <formula1>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C8A96A"/>
    <outlinePr summaryBelow="1" summaryRight="1"/>
    <pageSetUpPr/>
  </sheetPr>
  <dimension ref="A1:AN100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4.5" customWidth="1" min="18" max="18"/>
    <col width="42.5" customWidth="1" min="19" max="19"/>
    <col width="13" customWidth="1" min="20" max="20"/>
  </cols>
  <sheetData>
    <row r="1" ht="32" customHeight="1">
      <c r="A1" s="204" t="inlineStr">
        <is>
          <t>BORDRO — Teşvikli Bordro Optimizasyon</t>
        </is>
      </c>
    </row>
    <row r="3" ht="22" customHeight="1">
      <c r="A3" s="223" t="inlineStr">
        <is>
          <t>Çalışan satır bordrosu — kişi başı en avantajlı teşvik</t>
        </is>
      </c>
    </row>
    <row r="4">
      <c r="A4" s="22" t="inlineStr">
        <is>
          <t>Sarı hücreler manuel giriş. En avantajlı kod ve tasarruf formülle üretilir (oranlar KURALLAR tablosundan; sabit oran yok).</t>
        </is>
      </c>
      <c r="R4" s="24" t="inlineStr">
        <is>
          <t>Çalışan adedi</t>
        </is>
      </c>
      <c r="S4" s="29">
        <f>IFERROR(COUNTA(tblBordro[CalisanNo]),0)</f>
        <v/>
      </c>
    </row>
    <row r="5">
      <c r="R5" s="24" t="inlineStr">
        <is>
          <t>Toplam brüt matrah</t>
        </is>
      </c>
      <c r="S5" s="17">
        <f>IFERROR(SUM(tblBordro[BrutMatrah]),0)</f>
        <v/>
      </c>
    </row>
    <row r="6" ht="30" customHeight="1">
      <c r="A6" s="13" t="inlineStr">
        <is>
          <t>CalisanNo</t>
        </is>
      </c>
      <c r="B6" s="13" t="inlineStr">
        <is>
          <t>AdSoyad</t>
        </is>
      </c>
      <c r="C6" s="13" t="inlineStr">
        <is>
          <t>BrutMatrah</t>
        </is>
      </c>
      <c r="D6" s="13" t="inlineStr">
        <is>
          <t>BesPuanUygun</t>
        </is>
      </c>
      <c r="E6" s="13" t="inlineStr">
        <is>
          <t>IlaveUygun</t>
        </is>
      </c>
      <c r="F6" s="13" t="inlineStr">
        <is>
          <t>KadinGencUygun</t>
        </is>
      </c>
      <c r="G6" s="13" t="inlineStr">
        <is>
          <t>EngelliUygun</t>
        </is>
      </c>
      <c r="H6" s="13" t="inlineStr">
        <is>
          <t>MevcutKod</t>
        </is>
      </c>
      <c r="I6" s="13" t="inlineStr">
        <is>
          <t>EnAvantajliKod</t>
        </is>
      </c>
      <c r="J6" s="13" t="inlineStr">
        <is>
          <t>EnAvantajliTutar</t>
        </is>
      </c>
      <c r="K6" s="13" t="inlineStr">
        <is>
          <t>MevcutTutar</t>
        </is>
      </c>
      <c r="L6" s="13" t="inlineStr">
        <is>
          <t>Kacirilan</t>
        </is>
      </c>
      <c r="R6" s="24" t="inlineStr">
        <is>
          <t>En avantajlı toplam</t>
        </is>
      </c>
      <c r="S6" s="17">
        <f>IFERROR(SUM(tblBordro[EnAvantajliTutar]),0)</f>
        <v/>
      </c>
    </row>
    <row r="7">
      <c r="A7" s="32" t="n">
        <v>1</v>
      </c>
      <c r="B7" s="30" t="inlineStr">
        <is>
          <t>Ali Yılmaz</t>
        </is>
      </c>
      <c r="C7" s="33" t="n">
        <v>25000</v>
      </c>
      <c r="D7" s="30" t="inlineStr">
        <is>
          <t>Evet</t>
        </is>
      </c>
      <c r="E7" s="30" t="inlineStr">
        <is>
          <t>Hayır</t>
        </is>
      </c>
      <c r="F7" s="30" t="inlineStr">
        <is>
          <t>Hayır</t>
        </is>
      </c>
      <c r="G7" s="30" t="inlineStr">
        <is>
          <t>Hayır</t>
        </is>
      </c>
      <c r="H7" s="30" t="inlineStr">
        <is>
          <t>TBO-001</t>
        </is>
      </c>
      <c r="I7" s="31">
        <f>IF($A7="","",IF($J7=0,"YOK",IF(AND($E7="Evet",ROUND($C7*tbo_oranIlave,2)=$J7),"TBO-002",IF(AND($D7="Evet",ROUND($C7*tbo_oranBesPuan,2)=$J7),"TBO-001",IF(AND($F7="Evet",ROUND($C7*tbo_oranKadinGenc,2)=$J7),"TBO-004","TBO-ENG")))))</f>
        <v/>
      </c>
      <c r="J7" s="31">
        <f>IF($A7="","",MAX(IF($D7="Evet",ROUND($C7*tbo_oranBesPuan,2),0),IF($E7="Evet",ROUND($C7*tbo_oranIlave,2),0),IF($F7="Evet",ROUND($C7*tbo_oranKadinGenc,2),0),IF($G7="Evet",ROUND($C7*tbo_isverenOran,2),0)))</f>
        <v/>
      </c>
      <c r="K7" s="31">
        <f>IF($A7="","",IF($H7="TBO-001",IF($D7="Evet",ROUND($C7*tbo_oranBesPuan,2),0),IF($H7="TBO-002",IF($E7="Evet",ROUND($C7*tbo_oranIlave,2),0),IF($H7="TBO-004",IF($F7="Evet",ROUND($C7*tbo_oranKadinGenc,2),0),IF($H7="TBO-ENG",IF($G7="Evet",ROUND($C7*tbo_isverenOran,2),0),0)))))</f>
        <v/>
      </c>
      <c r="L7" s="31">
        <f>IF($A7="","",MAX(0,$J7-$K7))</f>
        <v/>
      </c>
      <c r="R7" s="24" t="inlineStr">
        <is>
          <t>Mevcut toplam</t>
        </is>
      </c>
      <c r="S7" s="17">
        <f>IFERROR(SUM(tblBordro[MevcutTutar]),0)</f>
        <v/>
      </c>
    </row>
    <row r="8">
      <c r="A8" s="32" t="n">
        <v>2</v>
      </c>
      <c r="B8" s="30" t="inlineStr">
        <is>
          <t>Ayşe Demir</t>
        </is>
      </c>
      <c r="C8" s="33" t="n">
        <v>22000</v>
      </c>
      <c r="D8" s="30" t="inlineStr">
        <is>
          <t>Evet</t>
        </is>
      </c>
      <c r="E8" s="30" t="inlineStr">
        <is>
          <t>Evet</t>
        </is>
      </c>
      <c r="F8" s="30" t="inlineStr">
        <is>
          <t>Hayır</t>
        </is>
      </c>
      <c r="G8" s="30" t="inlineStr">
        <is>
          <t>Hayır</t>
        </is>
      </c>
      <c r="H8" s="30" t="inlineStr">
        <is>
          <t>TBO-001</t>
        </is>
      </c>
      <c r="I8" s="31">
        <f>IF($A8="","",IF($J8=0,"YOK",IF(AND($E8="Evet",ROUND($C8*tbo_oranIlave,2)=$J8),"TBO-002",IF(AND($D8="Evet",ROUND($C8*tbo_oranBesPuan,2)=$J8),"TBO-001",IF(AND($F8="Evet",ROUND($C8*tbo_oranKadinGenc,2)=$J8),"TBO-004","TBO-ENG")))))</f>
        <v/>
      </c>
      <c r="J8" s="31">
        <f>IF($A8="","",MAX(IF($D8="Evet",ROUND($C8*tbo_oranBesPuan,2),0),IF($E8="Evet",ROUND($C8*tbo_oranIlave,2),0),IF($F8="Evet",ROUND($C8*tbo_oranKadinGenc,2),0),IF($G8="Evet",ROUND($C8*tbo_isverenOran,2),0)))</f>
        <v/>
      </c>
      <c r="K8" s="31">
        <f>IF($A8="","",IF($H8="TBO-001",IF($D8="Evet",ROUND($C8*tbo_oranBesPuan,2),0),IF($H8="TBO-002",IF($E8="Evet",ROUND($C8*tbo_oranIlave,2),0),IF($H8="TBO-004",IF($F8="Evet",ROUND($C8*tbo_oranKadinGenc,2),0),IF($H8="TBO-ENG",IF($G8="Evet",ROUND($C8*tbo_isverenOran,2),0),0)))))</f>
        <v/>
      </c>
      <c r="L8" s="31">
        <f>IF($A8="","",MAX(0,$J8-$K8))</f>
        <v/>
      </c>
      <c r="R8" s="24" t="inlineStr">
        <is>
          <t>Kaçırılan toplam</t>
        </is>
      </c>
      <c r="S8" s="28">
        <f>IFERROR(SUM(tblBordro[Kacirilan]),0)</f>
        <v/>
      </c>
    </row>
    <row r="9">
      <c r="A9" s="32" t="n">
        <v>3</v>
      </c>
      <c r="B9" s="30" t="inlineStr">
        <is>
          <t>Mehmet Kaya</t>
        </is>
      </c>
      <c r="C9" s="33" t="n">
        <v>28000</v>
      </c>
      <c r="D9" s="30" t="inlineStr">
        <is>
          <t>Evet</t>
        </is>
      </c>
      <c r="E9" s="30" t="inlineStr">
        <is>
          <t>Hayır</t>
        </is>
      </c>
      <c r="F9" s="30" t="inlineStr">
        <is>
          <t>Evet</t>
        </is>
      </c>
      <c r="G9" s="30" t="inlineStr">
        <is>
          <t>Hayır</t>
        </is>
      </c>
      <c r="H9" s="30" t="inlineStr">
        <is>
          <t>TBO-004</t>
        </is>
      </c>
      <c r="I9" s="31">
        <f>IF($A9="","",IF($J9=0,"YOK",IF(AND($E9="Evet",ROUND($C9*tbo_oranIlave,2)=$J9),"TBO-002",IF(AND($D9="Evet",ROUND($C9*tbo_oranBesPuan,2)=$J9),"TBO-001",IF(AND($F9="Evet",ROUND($C9*tbo_oranKadinGenc,2)=$J9),"TBO-004","TBO-ENG")))))</f>
        <v/>
      </c>
      <c r="J9" s="31">
        <f>IF($A9="","",MAX(IF($D9="Evet",ROUND($C9*tbo_oranBesPuan,2),0),IF($E9="Evet",ROUND($C9*tbo_oranIlave,2),0),IF($F9="Evet",ROUND($C9*tbo_oranKadinGenc,2),0),IF($G9="Evet",ROUND($C9*tbo_isverenOran,2),0)))</f>
        <v/>
      </c>
      <c r="K9" s="31">
        <f>IF($A9="","",IF($H9="TBO-001",IF($D9="Evet",ROUND($C9*tbo_oranBesPuan,2),0),IF($H9="TBO-002",IF($E9="Evet",ROUND($C9*tbo_oranIlave,2),0),IF($H9="TBO-004",IF($F9="Evet",ROUND($C9*tbo_oranKadinGenc,2),0),IF($H9="TBO-ENG",IF($G9="Evet",ROUND($C9*tbo_isverenOran,2),0),0)))))</f>
        <v/>
      </c>
      <c r="L9" s="31">
        <f>IF($A9="","",MAX(0,$J9-$K9))</f>
        <v/>
      </c>
      <c r="R9" s="24" t="inlineStr">
        <is>
          <t>En sık avantajlı kod</t>
        </is>
      </c>
      <c r="S9" s="38">
        <f>IFERROR(IF(COUNTA(tblBordro[CalisanNo])=0,"VERİ YOK",IF(COUNTIF(tblBordro[EnAvantajliKod],"TBO-002")&gt;=MAX(COUNTIF(tblBordro[EnAvantajliKod],"TBO-001"),COUNTIF(tblBordro[EnAvantajliKod],"TBO-002"),COUNTIF(tblBordro[EnAvantajliKod],"TBO-004")),"TBO-002",IF(COUNTIF(tblBordro[EnAvantajliKod],"TBO-001")&gt;=COUNTIF(tblBordro[EnAvantajliKod],"TBO-004"),"TBO-001","TBO-004"))),"-")</f>
        <v/>
      </c>
    </row>
    <row r="10">
      <c r="A10" s="32" t="n">
        <v>4</v>
      </c>
      <c r="B10" s="30" t="inlineStr">
        <is>
          <t>Zeynep Arslan</t>
        </is>
      </c>
      <c r="C10" s="33" t="n">
        <v>20000</v>
      </c>
      <c r="D10" s="30" t="inlineStr">
        <is>
          <t>Hayır</t>
        </is>
      </c>
      <c r="E10" s="30" t="inlineStr">
        <is>
          <t>Evet</t>
        </is>
      </c>
      <c r="F10" s="30" t="inlineStr">
        <is>
          <t>Hayır</t>
        </is>
      </c>
      <c r="G10" s="30" t="inlineStr">
        <is>
          <t>Hayır</t>
        </is>
      </c>
      <c r="H10" s="30" t="inlineStr">
        <is>
          <t>YOK</t>
        </is>
      </c>
      <c r="I10" s="31">
        <f>IF($A10="","",IF($J10=0,"YOK",IF(AND($E10="Evet",ROUND($C10*tbo_oranIlave,2)=$J10),"TBO-002",IF(AND($D10="Evet",ROUND($C10*tbo_oranBesPuan,2)=$J10),"TBO-001",IF(AND($F10="Evet",ROUND($C10*tbo_oranKadinGenc,2)=$J10),"TBO-004","TBO-ENG")))))</f>
        <v/>
      </c>
      <c r="J10" s="31">
        <f>IF($A10="","",MAX(IF($D10="Evet",ROUND($C10*tbo_oranBesPuan,2),0),IF($E10="Evet",ROUND($C10*tbo_oranIlave,2),0),IF($F10="Evet",ROUND($C10*tbo_oranKadinGenc,2),0),IF($G10="Evet",ROUND($C10*tbo_isverenOran,2),0)))</f>
        <v/>
      </c>
      <c r="K10" s="31">
        <f>IF($A10="","",IF($H10="TBO-001",IF($D10="Evet",ROUND($C10*tbo_oranBesPuan,2),0),IF($H10="TBO-002",IF($E10="Evet",ROUND($C10*tbo_oranIlave,2),0),IF($H10="TBO-004",IF($F10="Evet",ROUND($C10*tbo_oranKadinGenc,2),0),IF($H10="TBO-ENG",IF($G10="Evet",ROUND($C10*tbo_isverenOran,2),0),0)))))</f>
        <v/>
      </c>
      <c r="L10" s="31">
        <f>IF($A10="","",MAX(0,$J10-$K10))</f>
        <v/>
      </c>
    </row>
    <row r="11">
      <c r="A11" s="32" t="n">
        <v>5</v>
      </c>
      <c r="B11" s="30" t="inlineStr">
        <is>
          <t>Can Öztürk</t>
        </is>
      </c>
      <c r="C11" s="33" t="n">
        <v>30000</v>
      </c>
      <c r="D11" s="30" t="inlineStr">
        <is>
          <t>Evet</t>
        </is>
      </c>
      <c r="E11" s="30" t="inlineStr">
        <is>
          <t>Evet</t>
        </is>
      </c>
      <c r="F11" s="30" t="inlineStr">
        <is>
          <t>Hayır</t>
        </is>
      </c>
      <c r="G11" s="30" t="inlineStr">
        <is>
          <t>Evet</t>
        </is>
      </c>
      <c r="H11" s="30" t="inlineStr">
        <is>
          <t>TBO-001</t>
        </is>
      </c>
      <c r="I11" s="31">
        <f>IF($A11="","",IF($J11=0,"YOK",IF(AND($E11="Evet",ROUND($C11*tbo_oranIlave,2)=$J11),"TBO-002",IF(AND($D11="Evet",ROUND($C11*tbo_oranBesPuan,2)=$J11),"TBO-001",IF(AND($F11="Evet",ROUND($C11*tbo_oranKadinGenc,2)=$J11),"TBO-004","TBO-ENG")))))</f>
        <v/>
      </c>
      <c r="J11" s="31">
        <f>IF($A11="","",MAX(IF($D11="Evet",ROUND($C11*tbo_oranBesPuan,2),0),IF($E11="Evet",ROUND($C11*tbo_oranIlave,2),0),IF($F11="Evet",ROUND($C11*tbo_oranKadinGenc,2),0),IF($G11="Evet",ROUND($C11*tbo_isverenOran,2),0)))</f>
        <v/>
      </c>
      <c r="K11" s="31">
        <f>IF($A11="","",IF($H11="TBO-001",IF($D11="Evet",ROUND($C11*tbo_oranBesPuan,2),0),IF($H11="TBO-002",IF($E11="Evet",ROUND($C11*tbo_oranIlave,2),0),IF($H11="TBO-004",IF($F11="Evet",ROUND($C11*tbo_oranKadinGenc,2),0),IF($H11="TBO-ENG",IF($G11="Evet",ROUND($C11*tbo_isverenOran,2),0),0)))))</f>
        <v/>
      </c>
      <c r="L11" s="31">
        <f>IF($A11="","",MAX(0,$J11-$K11))</f>
        <v/>
      </c>
    </row>
    <row r="12">
      <c r="A12" s="32" t="n">
        <v>6</v>
      </c>
      <c r="B12" s="30" t="inlineStr">
        <is>
          <t>Elif Şahin</t>
        </is>
      </c>
      <c r="C12" s="33" t="n">
        <v>18000</v>
      </c>
      <c r="D12" s="30" t="inlineStr">
        <is>
          <t>Evet</t>
        </is>
      </c>
      <c r="E12" s="30" t="inlineStr">
        <is>
          <t>Hayır</t>
        </is>
      </c>
      <c r="F12" s="30" t="inlineStr">
        <is>
          <t>Evet</t>
        </is>
      </c>
      <c r="G12" s="30" t="inlineStr">
        <is>
          <t>Hayır</t>
        </is>
      </c>
      <c r="H12" s="30" t="inlineStr">
        <is>
          <t>TBO-001</t>
        </is>
      </c>
      <c r="I12" s="31">
        <f>IF($A12="","",IF($J12=0,"YOK",IF(AND($E12="Evet",ROUND($C12*tbo_oranIlave,2)=$J12),"TBO-002",IF(AND($D12="Evet",ROUND($C12*tbo_oranBesPuan,2)=$J12),"TBO-001",IF(AND($F12="Evet",ROUND($C12*tbo_oranKadinGenc,2)=$J12),"TBO-004","TBO-ENG")))))</f>
        <v/>
      </c>
      <c r="J12" s="31">
        <f>IF($A12="","",MAX(IF($D12="Evet",ROUND($C12*tbo_oranBesPuan,2),0),IF($E12="Evet",ROUND($C12*tbo_oranIlave,2),0),IF($F12="Evet",ROUND($C12*tbo_oranKadinGenc,2),0),IF($G12="Evet",ROUND($C12*tbo_isverenOran,2),0)))</f>
        <v/>
      </c>
      <c r="K12" s="31">
        <f>IF($A12="","",IF($H12="TBO-001",IF($D12="Evet",ROUND($C12*tbo_oranBesPuan,2),0),IF($H12="TBO-002",IF($E12="Evet",ROUND($C12*tbo_oranIlave,2),0),IF($H12="TBO-004",IF($F12="Evet",ROUND($C12*tbo_oranKadinGenc,2),0),IF($H12="TBO-ENG",IF($G12="Evet",ROUND($C12*tbo_isverenOran,2),0),0)))))</f>
        <v/>
      </c>
      <c r="L12" s="31">
        <f>IF($A12="","",MAX(0,$J12-$K12))</f>
        <v/>
      </c>
      <c r="R12" s="39" t="inlineStr">
        <is>
          <t>Kod</t>
        </is>
      </c>
      <c r="S12" s="39" t="inlineStr">
        <is>
          <t>AdetDemo</t>
        </is>
      </c>
    </row>
    <row r="13">
      <c r="A13" s="32" t="n">
        <v>7</v>
      </c>
      <c r="B13" s="30" t="inlineStr">
        <is>
          <t>Burak Çelik</t>
        </is>
      </c>
      <c r="C13" s="33" t="n">
        <v>35000</v>
      </c>
      <c r="D13" s="30" t="inlineStr">
        <is>
          <t>Evet</t>
        </is>
      </c>
      <c r="E13" s="30" t="inlineStr">
        <is>
          <t>Evet</t>
        </is>
      </c>
      <c r="F13" s="30" t="inlineStr">
        <is>
          <t>Hayır</t>
        </is>
      </c>
      <c r="G13" s="30" t="inlineStr">
        <is>
          <t>Hayır</t>
        </is>
      </c>
      <c r="H13" s="30" t="inlineStr">
        <is>
          <t>TBO-002</t>
        </is>
      </c>
      <c r="I13" s="31">
        <f>IF($A13="","",IF($J13=0,"YOK",IF(AND($E13="Evet",ROUND($C13*tbo_oranIlave,2)=$J13),"TBO-002",IF(AND($D13="Evet",ROUND($C13*tbo_oranBesPuan,2)=$J13),"TBO-001",IF(AND($F13="Evet",ROUND($C13*tbo_oranKadinGenc,2)=$J13),"TBO-004","TBO-ENG")))))</f>
        <v/>
      </c>
      <c r="J13" s="31">
        <f>IF($A13="","",MAX(IF($D13="Evet",ROUND($C13*tbo_oranBesPuan,2),0),IF($E13="Evet",ROUND($C13*tbo_oranIlave,2),0),IF($F13="Evet",ROUND($C13*tbo_oranKadinGenc,2),0),IF($G13="Evet",ROUND($C13*tbo_isverenOran,2),0)))</f>
        <v/>
      </c>
      <c r="K13" s="31">
        <f>IF($A13="","",IF($H13="TBO-001",IF($D13="Evet",ROUND($C13*tbo_oranBesPuan,2),0),IF($H13="TBO-002",IF($E13="Evet",ROUND($C13*tbo_oranIlave,2),0),IF($H13="TBO-004",IF($F13="Evet",ROUND($C13*tbo_oranKadinGenc,2),0),IF($H13="TBO-ENG",IF($G13="Evet",ROUND($C13*tbo_isverenOran,2),0),0)))))</f>
        <v/>
      </c>
      <c r="L13" s="31">
        <f>IF($A13="","",MAX(0,$J13-$K13))</f>
        <v/>
      </c>
      <c r="R13" s="19" t="inlineStr">
        <is>
          <t>TBO-001</t>
        </is>
      </c>
      <c r="S13" s="40" t="n">
        <v>4</v>
      </c>
    </row>
    <row r="14">
      <c r="A14" s="32" t="n">
        <v>8</v>
      </c>
      <c r="B14" s="30" t="inlineStr">
        <is>
          <t>Selin Aydın</t>
        </is>
      </c>
      <c r="C14" s="33" t="n">
        <v>24000</v>
      </c>
      <c r="D14" s="30" t="inlineStr">
        <is>
          <t>Hayır</t>
        </is>
      </c>
      <c r="E14" s="30" t="inlineStr">
        <is>
          <t>Hayır</t>
        </is>
      </c>
      <c r="F14" s="30" t="inlineStr">
        <is>
          <t>Evet</t>
        </is>
      </c>
      <c r="G14" s="30" t="inlineStr">
        <is>
          <t>Hayır</t>
        </is>
      </c>
      <c r="H14" s="30" t="inlineStr">
        <is>
          <t>YOK</t>
        </is>
      </c>
      <c r="I14" s="31">
        <f>IF($A14="","",IF($J14=0,"YOK",IF(AND($E14="Evet",ROUND($C14*tbo_oranIlave,2)=$J14),"TBO-002",IF(AND($D14="Evet",ROUND($C14*tbo_oranBesPuan,2)=$J14),"TBO-001",IF(AND($F14="Evet",ROUND($C14*tbo_oranKadinGenc,2)=$J14),"TBO-004","TBO-ENG")))))</f>
        <v/>
      </c>
      <c r="J14" s="31">
        <f>IF($A14="","",MAX(IF($D14="Evet",ROUND($C14*tbo_oranBesPuan,2),0),IF($E14="Evet",ROUND($C14*tbo_oranIlave,2),0),IF($F14="Evet",ROUND($C14*tbo_oranKadinGenc,2),0),IF($G14="Evet",ROUND($C14*tbo_isverenOran,2),0)))</f>
        <v/>
      </c>
      <c r="K14" s="31">
        <f>IF($A14="","",IF($H14="TBO-001",IF($D14="Evet",ROUND($C14*tbo_oranBesPuan,2),0),IF($H14="TBO-002",IF($E14="Evet",ROUND($C14*tbo_oranIlave,2),0),IF($H14="TBO-004",IF($F14="Evet",ROUND($C14*tbo_oranKadinGenc,2),0),IF($H14="TBO-ENG",IF($G14="Evet",ROUND($C14*tbo_isverenOran,2),0),0)))))</f>
        <v/>
      </c>
      <c r="L14" s="31">
        <f>IF($A14="","",MAX(0,$J14-$K14))</f>
        <v/>
      </c>
      <c r="R14" s="19" t="inlineStr">
        <is>
          <t>TBO-002</t>
        </is>
      </c>
      <c r="S14" s="40" t="n">
        <v>3</v>
      </c>
    </row>
    <row r="15">
      <c r="A15" s="32" t="n">
        <v>9</v>
      </c>
      <c r="B15" s="30" t="inlineStr">
        <is>
          <t>Emre Koç</t>
        </is>
      </c>
      <c r="C15" s="33" t="n">
        <v>27000</v>
      </c>
      <c r="D15" s="30" t="inlineStr">
        <is>
          <t>Evet</t>
        </is>
      </c>
      <c r="E15" s="30" t="inlineStr">
        <is>
          <t>Hayır</t>
        </is>
      </c>
      <c r="F15" s="30" t="inlineStr">
        <is>
          <t>Hayır</t>
        </is>
      </c>
      <c r="G15" s="30" t="inlineStr">
        <is>
          <t>Evet</t>
        </is>
      </c>
      <c r="H15" s="30" t="inlineStr">
        <is>
          <t>TBO-001</t>
        </is>
      </c>
      <c r="I15" s="31">
        <f>IF($A15="","",IF($J15=0,"YOK",IF(AND($E15="Evet",ROUND($C15*tbo_oranIlave,2)=$J15),"TBO-002",IF(AND($D15="Evet",ROUND($C15*tbo_oranBesPuan,2)=$J15),"TBO-001",IF(AND($F15="Evet",ROUND($C15*tbo_oranKadinGenc,2)=$J15),"TBO-004","TBO-ENG")))))</f>
        <v/>
      </c>
      <c r="J15" s="31">
        <f>IF($A15="","",MAX(IF($D15="Evet",ROUND($C15*tbo_oranBesPuan,2),0),IF($E15="Evet",ROUND($C15*tbo_oranIlave,2),0),IF($F15="Evet",ROUND($C15*tbo_oranKadinGenc,2),0),IF($G15="Evet",ROUND($C15*tbo_isverenOran,2),0)))</f>
        <v/>
      </c>
      <c r="K15" s="31">
        <f>IF($A15="","",IF($H15="TBO-001",IF($D15="Evet",ROUND($C15*tbo_oranBesPuan,2),0),IF($H15="TBO-002",IF($E15="Evet",ROUND($C15*tbo_oranIlave,2),0),IF($H15="TBO-004",IF($F15="Evet",ROUND($C15*tbo_oranKadinGenc,2),0),IF($H15="TBO-ENG",IF($G15="Evet",ROUND($C15*tbo_isverenOran,2),0),0)))))</f>
        <v/>
      </c>
      <c r="L15" s="31">
        <f>IF($A15="","",MAX(0,$J15-$K15))</f>
        <v/>
      </c>
      <c r="R15" s="19" t="inlineStr">
        <is>
          <t>TBO-004</t>
        </is>
      </c>
      <c r="S15" s="40" t="n">
        <v>2</v>
      </c>
    </row>
    <row r="16">
      <c r="A16" s="32" t="n">
        <v>10</v>
      </c>
      <c r="B16" s="30" t="inlineStr">
        <is>
          <t>Deniz Yıldız</t>
        </is>
      </c>
      <c r="C16" s="33" t="n">
        <v>21000</v>
      </c>
      <c r="D16" s="30" t="inlineStr">
        <is>
          <t>Evet</t>
        </is>
      </c>
      <c r="E16" s="30" t="inlineStr">
        <is>
          <t>Evet</t>
        </is>
      </c>
      <c r="F16" s="30" t="inlineStr">
        <is>
          <t>Evet</t>
        </is>
      </c>
      <c r="G16" s="30" t="inlineStr">
        <is>
          <t>Hayır</t>
        </is>
      </c>
      <c r="H16" s="30" t="inlineStr">
        <is>
          <t>TBO-001</t>
        </is>
      </c>
      <c r="I16" s="31">
        <f>IF($A16="","",IF($J16=0,"YOK",IF(AND($E16="Evet",ROUND($C16*tbo_oranIlave,2)=$J16),"TBO-002",IF(AND($D16="Evet",ROUND($C16*tbo_oranBesPuan,2)=$J16),"TBO-001",IF(AND($F16="Evet",ROUND($C16*tbo_oranKadinGenc,2)=$J16),"TBO-004","TBO-ENG")))))</f>
        <v/>
      </c>
      <c r="J16" s="31">
        <f>IF($A16="","",MAX(IF($D16="Evet",ROUND($C16*tbo_oranBesPuan,2),0),IF($E16="Evet",ROUND($C16*tbo_oranIlave,2),0),IF($F16="Evet",ROUND($C16*tbo_oranKadinGenc,2),0),IF($G16="Evet",ROUND($C16*tbo_isverenOran,2),0)))</f>
        <v/>
      </c>
      <c r="K16" s="31">
        <f>IF($A16="","",IF($H16="TBO-001",IF($D16="Evet",ROUND($C16*tbo_oranBesPuan,2),0),IF($H16="TBO-002",IF($E16="Evet",ROUND($C16*tbo_oranIlave,2),0),IF($H16="TBO-004",IF($F16="Evet",ROUND($C16*tbo_oranKadinGenc,2),0),IF($H16="TBO-ENG",IF($G16="Evet",ROUND($C16*tbo_isverenOran,2),0),0)))))</f>
        <v/>
      </c>
      <c r="L16" s="31">
        <f>IF($A16="","",MAX(0,$J16-$K16))</f>
        <v/>
      </c>
      <c r="R16" s="19" t="inlineStr">
        <is>
          <t>YOK</t>
        </is>
      </c>
      <c r="S16" s="40" t="n">
        <v>1</v>
      </c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1">
        <f>IF($A17="","",IF($J17=0,"YOK",IF(AND($E17="Evet",ROUND($C17*tbo_oranIlave,2)=$J17),"TBO-002",IF(AND($D17="Evet",ROUND($C17*tbo_oranBesPuan,2)=$J17),"TBO-001",IF(AND($F17="Evet",ROUND($C17*tbo_oranKadinGenc,2)=$J17),"TBO-004","TBO-ENG")))))</f>
        <v/>
      </c>
      <c r="J17" s="31">
        <f>IF($A17="","",MAX(IF($D17="Evet",ROUND($C17*tbo_oranBesPuan,2),0),IF($E17="Evet",ROUND($C17*tbo_oranIlave,2),0),IF($F17="Evet",ROUND($C17*tbo_oranKadinGenc,2),0),IF($G17="Evet",ROUND($C17*tbo_isverenOran,2),0)))</f>
        <v/>
      </c>
      <c r="K17" s="31">
        <f>IF($A17="","",IF($H17="TBO-001",IF($D17="Evet",ROUND($C17*tbo_oranBesPuan,2),0),IF($H17="TBO-002",IF($E17="Evet",ROUND($C17*tbo_oranIlave,2),0),IF($H17="TBO-004",IF($F17="Evet",ROUND($C17*tbo_oranKadinGenc,2),0),IF($H17="TBO-ENG",IF($G17="Evet",ROUND($C17*tbo_isverenOran,2),0),0)))))</f>
        <v/>
      </c>
      <c r="L17" s="31">
        <f>IF($A17="","",MAX(0,$J17-$K17))</f>
        <v/>
      </c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1">
        <f>IF($A18="","",IF($J18=0,"YOK",IF(AND($E18="Evet",ROUND($C18*tbo_oranIlave,2)=$J18),"TBO-002",IF(AND($D18="Evet",ROUND($C18*tbo_oranBesPuan,2)=$J18),"TBO-001",IF(AND($F18="Evet",ROUND($C18*tbo_oranKadinGenc,2)=$J18),"TBO-004","TBO-ENG")))))</f>
        <v/>
      </c>
      <c r="J18" s="31">
        <f>IF($A18="","",MAX(IF($D18="Evet",ROUND($C18*tbo_oranBesPuan,2),0),IF($E18="Evet",ROUND($C18*tbo_oranIlave,2),0),IF($F18="Evet",ROUND($C18*tbo_oranKadinGenc,2),0),IF($G18="Evet",ROUND($C18*tbo_isverenOran,2),0)))</f>
        <v/>
      </c>
      <c r="K18" s="31">
        <f>IF($A18="","",IF($H18="TBO-001",IF($D18="Evet",ROUND($C18*tbo_oranBesPuan,2),0),IF($H18="TBO-002",IF($E18="Evet",ROUND($C18*tbo_oranIlave,2),0),IF($H18="TBO-004",IF($F18="Evet",ROUND($C18*tbo_oranKadinGenc,2),0),IF($H18="TBO-ENG",IF($G18="Evet",ROUND($C18*tbo_isverenOran,2),0),0)))))</f>
        <v/>
      </c>
      <c r="L18" s="31">
        <f>IF($A18="","",MAX(0,$J18-$K18))</f>
        <v/>
      </c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1">
        <f>IF($A19="","",IF($J19=0,"YOK",IF(AND($E19="Evet",ROUND($C19*tbo_oranIlave,2)=$J19),"TBO-002",IF(AND($D19="Evet",ROUND($C19*tbo_oranBesPuan,2)=$J19),"TBO-001",IF(AND($F19="Evet",ROUND($C19*tbo_oranKadinGenc,2)=$J19),"TBO-004","TBO-ENG")))))</f>
        <v/>
      </c>
      <c r="J19" s="31">
        <f>IF($A19="","",MAX(IF($D19="Evet",ROUND($C19*tbo_oranBesPuan,2),0),IF($E19="Evet",ROUND($C19*tbo_oranIlave,2),0),IF($F19="Evet",ROUND($C19*tbo_oranKadinGenc,2),0),IF($G19="Evet",ROUND($C19*tbo_isverenOran,2),0)))</f>
        <v/>
      </c>
      <c r="K19" s="31">
        <f>IF($A19="","",IF($H19="TBO-001",IF($D19="Evet",ROUND($C19*tbo_oranBesPuan,2),0),IF($H19="TBO-002",IF($E19="Evet",ROUND($C19*tbo_oranIlave,2),0),IF($H19="TBO-004",IF($F19="Evet",ROUND($C19*tbo_oranKadinGenc,2),0),IF($H19="TBO-ENG",IF($G19="Evet",ROUND($C19*tbo_isverenOran,2),0),0)))))</f>
        <v/>
      </c>
      <c r="L19" s="31">
        <f>IF($A19="","",MAX(0,$J19-$K19))</f>
        <v/>
      </c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1">
        <f>IF($A20="","",IF($J20=0,"YOK",IF(AND($E20="Evet",ROUND($C20*tbo_oranIlave,2)=$J20),"TBO-002",IF(AND($D20="Evet",ROUND($C20*tbo_oranBesPuan,2)=$J20),"TBO-001",IF(AND($F20="Evet",ROUND($C20*tbo_oranKadinGenc,2)=$J20),"TBO-004","TBO-ENG")))))</f>
        <v/>
      </c>
      <c r="J20" s="31">
        <f>IF($A20="","",MAX(IF($D20="Evet",ROUND($C20*tbo_oranBesPuan,2),0),IF($E20="Evet",ROUND($C20*tbo_oranIlave,2),0),IF($F20="Evet",ROUND($C20*tbo_oranKadinGenc,2),0),IF($G20="Evet",ROUND($C20*tbo_isverenOran,2),0)))</f>
        <v/>
      </c>
      <c r="K20" s="31">
        <f>IF($A20="","",IF($H20="TBO-001",IF($D20="Evet",ROUND($C20*tbo_oranBesPuan,2),0),IF($H20="TBO-002",IF($E20="Evet",ROUND($C20*tbo_oranIlave,2),0),IF($H20="TBO-004",IF($F20="Evet",ROUND($C20*tbo_oranKadinGenc,2),0),IF($H20="TBO-ENG",IF($G20="Evet",ROUND($C20*tbo_isverenOran,2),0),0)))))</f>
        <v/>
      </c>
      <c r="L20" s="31">
        <f>IF($A20="","",MAX(0,$J20-$K20))</f>
        <v/>
      </c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1">
        <f>IF($A21="","",IF($J21=0,"YOK",IF(AND($E21="Evet",ROUND($C21*tbo_oranIlave,2)=$J21),"TBO-002",IF(AND($D21="Evet",ROUND($C21*tbo_oranBesPuan,2)=$J21),"TBO-001",IF(AND($F21="Evet",ROUND($C21*tbo_oranKadinGenc,2)=$J21),"TBO-004","TBO-ENG")))))</f>
        <v/>
      </c>
      <c r="J21" s="31">
        <f>IF($A21="","",MAX(IF($D21="Evet",ROUND($C21*tbo_oranBesPuan,2),0),IF($E21="Evet",ROUND($C21*tbo_oranIlave,2),0),IF($F21="Evet",ROUND($C21*tbo_oranKadinGenc,2),0),IF($G21="Evet",ROUND($C21*tbo_isverenOran,2),0)))</f>
        <v/>
      </c>
      <c r="K21" s="31">
        <f>IF($A21="","",IF($H21="TBO-001",IF($D21="Evet",ROUND($C21*tbo_oranBesPuan,2),0),IF($H21="TBO-002",IF($E21="Evet",ROUND($C21*tbo_oranIlave,2),0),IF($H21="TBO-004",IF($F21="Evet",ROUND($C21*tbo_oranKadinGenc,2),0),IF($H21="TBO-ENG",IF($G21="Evet",ROUND($C21*tbo_isverenOran,2),0),0)))))</f>
        <v/>
      </c>
      <c r="L21" s="31">
        <f>IF($A21="","",MAX(0,$J21-$K21))</f>
        <v/>
      </c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1">
        <f>IF($A22="","",IF($J22=0,"YOK",IF(AND($E22="Evet",ROUND($C22*tbo_oranIlave,2)=$J22),"TBO-002",IF(AND($D22="Evet",ROUND($C22*tbo_oranBesPuan,2)=$J22),"TBO-001",IF(AND($F22="Evet",ROUND($C22*tbo_oranKadinGenc,2)=$J22),"TBO-004","TBO-ENG")))))</f>
        <v/>
      </c>
      <c r="J22" s="31">
        <f>IF($A22="","",MAX(IF($D22="Evet",ROUND($C22*tbo_oranBesPuan,2),0),IF($E22="Evet",ROUND($C22*tbo_oranIlave,2),0),IF($F22="Evet",ROUND($C22*tbo_oranKadinGenc,2),0),IF($G22="Evet",ROUND($C22*tbo_isverenOran,2),0)))</f>
        <v/>
      </c>
      <c r="K22" s="31">
        <f>IF($A22="","",IF($H22="TBO-001",IF($D22="Evet",ROUND($C22*tbo_oranBesPuan,2),0),IF($H22="TBO-002",IF($E22="Evet",ROUND($C22*tbo_oranIlave,2),0),IF($H22="TBO-004",IF($F22="Evet",ROUND($C22*tbo_oranKadinGenc,2),0),IF($H22="TBO-ENG",IF($G22="Evet",ROUND($C22*tbo_isverenOran,2),0),0)))))</f>
        <v/>
      </c>
      <c r="L22" s="31">
        <f>IF($A22="","",MAX(0,$J22-$K22))</f>
        <v/>
      </c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1">
        <f>IF($A23="","",IF($J23=0,"YOK",IF(AND($E23="Evet",ROUND($C23*tbo_oranIlave,2)=$J23),"TBO-002",IF(AND($D23="Evet",ROUND($C23*tbo_oranBesPuan,2)=$J23),"TBO-001",IF(AND($F23="Evet",ROUND($C23*tbo_oranKadinGenc,2)=$J23),"TBO-004","TBO-ENG")))))</f>
        <v/>
      </c>
      <c r="J23" s="31">
        <f>IF($A23="","",MAX(IF($D23="Evet",ROUND($C23*tbo_oranBesPuan,2),0),IF($E23="Evet",ROUND($C23*tbo_oranIlave,2),0),IF($F23="Evet",ROUND($C23*tbo_oranKadinGenc,2),0),IF($G23="Evet",ROUND($C23*tbo_isverenOran,2),0)))</f>
        <v/>
      </c>
      <c r="K23" s="31">
        <f>IF($A23="","",IF($H23="TBO-001",IF($D23="Evet",ROUND($C23*tbo_oranBesPuan,2),0),IF($H23="TBO-002",IF($E23="Evet",ROUND($C23*tbo_oranIlave,2),0),IF($H23="TBO-004",IF($F23="Evet",ROUND($C23*tbo_oranKadinGenc,2),0),IF($H23="TBO-ENG",IF($G23="Evet",ROUND($C23*tbo_isverenOran,2),0),0)))))</f>
        <v/>
      </c>
      <c r="L23" s="31">
        <f>IF($A23="","",MAX(0,$J23-$K23))</f>
        <v/>
      </c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1">
        <f>IF($A24="","",IF($J24=0,"YOK",IF(AND($E24="Evet",ROUND($C24*tbo_oranIlave,2)=$J24),"TBO-002",IF(AND($D24="Evet",ROUND($C24*tbo_oranBesPuan,2)=$J24),"TBO-001",IF(AND($F24="Evet",ROUND($C24*tbo_oranKadinGenc,2)=$J24),"TBO-004","TBO-ENG")))))</f>
        <v/>
      </c>
      <c r="J24" s="31">
        <f>IF($A24="","",MAX(IF($D24="Evet",ROUND($C24*tbo_oranBesPuan,2),0),IF($E24="Evet",ROUND($C24*tbo_oranIlave,2),0),IF($F24="Evet",ROUND($C24*tbo_oranKadinGenc,2),0),IF($G24="Evet",ROUND($C24*tbo_isverenOran,2),0)))</f>
        <v/>
      </c>
      <c r="K24" s="31">
        <f>IF($A24="","",IF($H24="TBO-001",IF($D24="Evet",ROUND($C24*tbo_oranBesPuan,2),0),IF($H24="TBO-002",IF($E24="Evet",ROUND($C24*tbo_oranIlave,2),0),IF($H24="TBO-004",IF($F24="Evet",ROUND($C24*tbo_oranKadinGenc,2),0),IF($H24="TBO-ENG",IF($G24="Evet",ROUND($C24*tbo_isverenOran,2),0),0)))))</f>
        <v/>
      </c>
      <c r="L24" s="31">
        <f>IF($A24="","",MAX(0,$J24-$K24))</f>
        <v/>
      </c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1">
        <f>IF($A25="","",IF($J25=0,"YOK",IF(AND($E25="Evet",ROUND($C25*tbo_oranIlave,2)=$J25),"TBO-002",IF(AND($D25="Evet",ROUND($C25*tbo_oranBesPuan,2)=$J25),"TBO-001",IF(AND($F25="Evet",ROUND($C25*tbo_oranKadinGenc,2)=$J25),"TBO-004","TBO-ENG")))))</f>
        <v/>
      </c>
      <c r="J25" s="31">
        <f>IF($A25="","",MAX(IF($D25="Evet",ROUND($C25*tbo_oranBesPuan,2),0),IF($E25="Evet",ROUND($C25*tbo_oranIlave,2),0),IF($F25="Evet",ROUND($C25*tbo_oranKadinGenc,2),0),IF($G25="Evet",ROUND($C25*tbo_isverenOran,2),0)))</f>
        <v/>
      </c>
      <c r="K25" s="31">
        <f>IF($A25="","",IF($H25="TBO-001",IF($D25="Evet",ROUND($C25*tbo_oranBesPuan,2),0),IF($H25="TBO-002",IF($E25="Evet",ROUND($C25*tbo_oranIlave,2),0),IF($H25="TBO-004",IF($F25="Evet",ROUND($C25*tbo_oranKadinGenc,2),0),IF($H25="TBO-ENG",IF($G25="Evet",ROUND($C25*tbo_isverenOran,2),0),0)))))</f>
        <v/>
      </c>
      <c r="L25" s="31">
        <f>IF($A25="","",MAX(0,$J25-$K25))</f>
        <v/>
      </c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1">
        <f>IF($A26="","",IF($J26=0,"YOK",IF(AND($E26="Evet",ROUND($C26*tbo_oranIlave,2)=$J26),"TBO-002",IF(AND($D26="Evet",ROUND($C26*tbo_oranBesPuan,2)=$J26),"TBO-001",IF(AND($F26="Evet",ROUND($C26*tbo_oranKadinGenc,2)=$J26),"TBO-004","TBO-ENG")))))</f>
        <v/>
      </c>
      <c r="J26" s="31">
        <f>IF($A26="","",MAX(IF($D26="Evet",ROUND($C26*tbo_oranBesPuan,2),0),IF($E26="Evet",ROUND($C26*tbo_oranIlave,2),0),IF($F26="Evet",ROUND($C26*tbo_oranKadinGenc,2),0),IF($G26="Evet",ROUND($C26*tbo_isverenOran,2),0)))</f>
        <v/>
      </c>
      <c r="K26" s="31">
        <f>IF($A26="","",IF($H26="TBO-001",IF($D26="Evet",ROUND($C26*tbo_oranBesPuan,2),0),IF($H26="TBO-002",IF($E26="Evet",ROUND($C26*tbo_oranIlave,2),0),IF($H26="TBO-004",IF($F26="Evet",ROUND($C26*tbo_oranKadinGenc,2),0),IF($H26="TBO-ENG",IF($G26="Evet",ROUND($C26*tbo_isverenOran,2),0),0)))))</f>
        <v/>
      </c>
      <c r="L26" s="31">
        <f>IF($A26="","",MAX(0,$J26-$K26))</f>
        <v/>
      </c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1">
        <f>IF($A27="","",IF($J27=0,"YOK",IF(AND($E27="Evet",ROUND($C27*tbo_oranIlave,2)=$J27),"TBO-002",IF(AND($D27="Evet",ROUND($C27*tbo_oranBesPuan,2)=$J27),"TBO-001",IF(AND($F27="Evet",ROUND($C27*tbo_oranKadinGenc,2)=$J27),"TBO-004","TBO-ENG")))))</f>
        <v/>
      </c>
      <c r="J27" s="31">
        <f>IF($A27="","",MAX(IF($D27="Evet",ROUND($C27*tbo_oranBesPuan,2),0),IF($E27="Evet",ROUND($C27*tbo_oranIlave,2),0),IF($F27="Evet",ROUND($C27*tbo_oranKadinGenc,2),0),IF($G27="Evet",ROUND($C27*tbo_isverenOran,2),0)))</f>
        <v/>
      </c>
      <c r="K27" s="31">
        <f>IF($A27="","",IF($H27="TBO-001",IF($D27="Evet",ROUND($C27*tbo_oranBesPuan,2),0),IF($H27="TBO-002",IF($E27="Evet",ROUND($C27*tbo_oranIlave,2),0),IF($H27="TBO-004",IF($F27="Evet",ROUND($C27*tbo_oranKadinGenc,2),0),IF($H27="TBO-ENG",IF($G27="Evet",ROUND($C27*tbo_isverenOran,2),0),0)))))</f>
        <v/>
      </c>
      <c r="L27" s="31">
        <f>IF($A27="","",MAX(0,$J27-$K27))</f>
        <v/>
      </c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1">
        <f>IF($A28="","",IF($J28=0,"YOK",IF(AND($E28="Evet",ROUND($C28*tbo_oranIlave,2)=$J28),"TBO-002",IF(AND($D28="Evet",ROUND($C28*tbo_oranBesPuan,2)=$J28),"TBO-001",IF(AND($F28="Evet",ROUND($C28*tbo_oranKadinGenc,2)=$J28),"TBO-004","TBO-ENG")))))</f>
        <v/>
      </c>
      <c r="J28" s="31">
        <f>IF($A28="","",MAX(IF($D28="Evet",ROUND($C28*tbo_oranBesPuan,2),0),IF($E28="Evet",ROUND($C28*tbo_oranIlave,2),0),IF($F28="Evet",ROUND($C28*tbo_oranKadinGenc,2),0),IF($G28="Evet",ROUND($C28*tbo_isverenOran,2),0)))</f>
        <v/>
      </c>
      <c r="K28" s="31">
        <f>IF($A28="","",IF($H28="TBO-001",IF($D28="Evet",ROUND($C28*tbo_oranBesPuan,2),0),IF($H28="TBO-002",IF($E28="Evet",ROUND($C28*tbo_oranIlave,2),0),IF($H28="TBO-004",IF($F28="Evet",ROUND($C28*tbo_oranKadinGenc,2),0),IF($H28="TBO-ENG",IF($G28="Evet",ROUND($C28*tbo_isverenOran,2),0),0)))))</f>
        <v/>
      </c>
      <c r="L28" s="31">
        <f>IF($A28="","",MAX(0,$J28-$K28))</f>
        <v/>
      </c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1">
        <f>IF($A29="","",IF($J29=0,"YOK",IF(AND($E29="Evet",ROUND($C29*tbo_oranIlave,2)=$J29),"TBO-002",IF(AND($D29="Evet",ROUND($C29*tbo_oranBesPuan,2)=$J29),"TBO-001",IF(AND($F29="Evet",ROUND($C29*tbo_oranKadinGenc,2)=$J29),"TBO-004","TBO-ENG")))))</f>
        <v/>
      </c>
      <c r="J29" s="31">
        <f>IF($A29="","",MAX(IF($D29="Evet",ROUND($C29*tbo_oranBesPuan,2),0),IF($E29="Evet",ROUND($C29*tbo_oranIlave,2),0),IF($F29="Evet",ROUND($C29*tbo_oranKadinGenc,2),0),IF($G29="Evet",ROUND($C29*tbo_isverenOran,2),0)))</f>
        <v/>
      </c>
      <c r="K29" s="31">
        <f>IF($A29="","",IF($H29="TBO-001",IF($D29="Evet",ROUND($C29*tbo_oranBesPuan,2),0),IF($H29="TBO-002",IF($E29="Evet",ROUND($C29*tbo_oranIlave,2),0),IF($H29="TBO-004",IF($F29="Evet",ROUND($C29*tbo_oranKadinGenc,2),0),IF($H29="TBO-ENG",IF($G29="Evet",ROUND($C29*tbo_isverenOran,2),0),0)))))</f>
        <v/>
      </c>
      <c r="L29" s="31">
        <f>IF($A29="","",MAX(0,$J29-$K29))</f>
        <v/>
      </c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1">
        <f>IF($A30="","",IF($J30=0,"YOK",IF(AND($E30="Evet",ROUND($C30*tbo_oranIlave,2)=$J30),"TBO-002",IF(AND($D30="Evet",ROUND($C30*tbo_oranBesPuan,2)=$J30),"TBO-001",IF(AND($F30="Evet",ROUND($C30*tbo_oranKadinGenc,2)=$J30),"TBO-004","TBO-ENG")))))</f>
        <v/>
      </c>
      <c r="J30" s="31">
        <f>IF($A30="","",MAX(IF($D30="Evet",ROUND($C30*tbo_oranBesPuan,2),0),IF($E30="Evet",ROUND($C30*tbo_oranIlave,2),0),IF($F30="Evet",ROUND($C30*tbo_oranKadinGenc,2),0),IF($G30="Evet",ROUND($C30*tbo_isverenOran,2),0)))</f>
        <v/>
      </c>
      <c r="K30" s="31">
        <f>IF($A30="","",IF($H30="TBO-001",IF($D30="Evet",ROUND($C30*tbo_oranBesPuan,2),0),IF($H30="TBO-002",IF($E30="Evet",ROUND($C30*tbo_oranIlave,2),0),IF($H30="TBO-004",IF($F30="Evet",ROUND($C30*tbo_oranKadinGenc,2),0),IF($H30="TBO-ENG",IF($G30="Evet",ROUND($C30*tbo_isverenOran,2),0),0)))))</f>
        <v/>
      </c>
      <c r="L30" s="31">
        <f>IF($A30="","",MAX(0,$J30-$K30))</f>
        <v/>
      </c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1">
        <f>IF($A31="","",IF($J31=0,"YOK",IF(AND($E31="Evet",ROUND($C31*tbo_oranIlave,2)=$J31),"TBO-002",IF(AND($D31="Evet",ROUND($C31*tbo_oranBesPuan,2)=$J31),"TBO-001",IF(AND($F31="Evet",ROUND($C31*tbo_oranKadinGenc,2)=$J31),"TBO-004","TBO-ENG")))))</f>
        <v/>
      </c>
      <c r="J31" s="31">
        <f>IF($A31="","",MAX(IF($D31="Evet",ROUND($C31*tbo_oranBesPuan,2),0),IF($E31="Evet",ROUND($C31*tbo_oranIlave,2),0),IF($F31="Evet",ROUND($C31*tbo_oranKadinGenc,2),0),IF($G31="Evet",ROUND($C31*tbo_isverenOran,2),0)))</f>
        <v/>
      </c>
      <c r="K31" s="31">
        <f>IF($A31="","",IF($H31="TBO-001",IF($D31="Evet",ROUND($C31*tbo_oranBesPuan,2),0),IF($H31="TBO-002",IF($E31="Evet",ROUND($C31*tbo_oranIlave,2),0),IF($H31="TBO-004",IF($F31="Evet",ROUND($C31*tbo_oranKadinGenc,2),0),IF($H31="TBO-ENG",IF($G31="Evet",ROUND($C31*tbo_isverenOran,2),0),0)))))</f>
        <v/>
      </c>
      <c r="L31" s="31">
        <f>IF($A31="","",MAX(0,$J31-$K31))</f>
        <v/>
      </c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1">
        <f>IF($A32="","",IF($J32=0,"YOK",IF(AND($E32="Evet",ROUND($C32*tbo_oranIlave,2)=$J32),"TBO-002",IF(AND($D32="Evet",ROUND($C32*tbo_oranBesPuan,2)=$J32),"TBO-001",IF(AND($F32="Evet",ROUND($C32*tbo_oranKadinGenc,2)=$J32),"TBO-004","TBO-ENG")))))</f>
        <v/>
      </c>
      <c r="J32" s="31">
        <f>IF($A32="","",MAX(IF($D32="Evet",ROUND($C32*tbo_oranBesPuan,2),0),IF($E32="Evet",ROUND($C32*tbo_oranIlave,2),0),IF($F32="Evet",ROUND($C32*tbo_oranKadinGenc,2),0),IF($G32="Evet",ROUND($C32*tbo_isverenOran,2),0)))</f>
        <v/>
      </c>
      <c r="K32" s="31">
        <f>IF($A32="","",IF($H32="TBO-001",IF($D32="Evet",ROUND($C32*tbo_oranBesPuan,2),0),IF($H32="TBO-002",IF($E32="Evet",ROUND($C32*tbo_oranIlave,2),0),IF($H32="TBO-004",IF($F32="Evet",ROUND($C32*tbo_oranKadinGenc,2),0),IF($H32="TBO-ENG",IF($G32="Evet",ROUND($C32*tbo_isverenOran,2),0),0)))))</f>
        <v/>
      </c>
      <c r="L32" s="31">
        <f>IF($A32="","",MAX(0,$J32-$K32))</f>
        <v/>
      </c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1">
        <f>IF($A33="","",IF($J33=0,"YOK",IF(AND($E33="Evet",ROUND($C33*tbo_oranIlave,2)=$J33),"TBO-002",IF(AND($D33="Evet",ROUND($C33*tbo_oranBesPuan,2)=$J33),"TBO-001",IF(AND($F33="Evet",ROUND($C33*tbo_oranKadinGenc,2)=$J33),"TBO-004","TBO-ENG")))))</f>
        <v/>
      </c>
      <c r="J33" s="31">
        <f>IF($A33="","",MAX(IF($D33="Evet",ROUND($C33*tbo_oranBesPuan,2),0),IF($E33="Evet",ROUND($C33*tbo_oranIlave,2),0),IF($F33="Evet",ROUND($C33*tbo_oranKadinGenc,2),0),IF($G33="Evet",ROUND($C33*tbo_isverenOran,2),0)))</f>
        <v/>
      </c>
      <c r="K33" s="31">
        <f>IF($A33="","",IF($H33="TBO-001",IF($D33="Evet",ROUND($C33*tbo_oranBesPuan,2),0),IF($H33="TBO-002",IF($E33="Evet",ROUND($C33*tbo_oranIlave,2),0),IF($H33="TBO-004",IF($F33="Evet",ROUND($C33*tbo_oranKadinGenc,2),0),IF($H33="TBO-ENG",IF($G33="Evet",ROUND($C33*tbo_isverenOran,2),0),0)))))</f>
        <v/>
      </c>
      <c r="L33" s="31">
        <f>IF($A33="","",MAX(0,$J33-$K33))</f>
        <v/>
      </c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1">
        <f>IF($A34="","",IF($J34=0,"YOK",IF(AND($E34="Evet",ROUND($C34*tbo_oranIlave,2)=$J34),"TBO-002",IF(AND($D34="Evet",ROUND($C34*tbo_oranBesPuan,2)=$J34),"TBO-001",IF(AND($F34="Evet",ROUND($C34*tbo_oranKadinGenc,2)=$J34),"TBO-004","TBO-ENG")))))</f>
        <v/>
      </c>
      <c r="J34" s="31">
        <f>IF($A34="","",MAX(IF($D34="Evet",ROUND($C34*tbo_oranBesPuan,2),0),IF($E34="Evet",ROUND($C34*tbo_oranIlave,2),0),IF($F34="Evet",ROUND($C34*tbo_oranKadinGenc,2),0),IF($G34="Evet",ROUND($C34*tbo_isverenOran,2),0)))</f>
        <v/>
      </c>
      <c r="K34" s="31">
        <f>IF($A34="","",IF($H34="TBO-001",IF($D34="Evet",ROUND($C34*tbo_oranBesPuan,2),0),IF($H34="TBO-002",IF($E34="Evet",ROUND($C34*tbo_oranIlave,2),0),IF($H34="TBO-004",IF($F34="Evet",ROUND($C34*tbo_oranKadinGenc,2),0),IF($H34="TBO-ENG",IF($G34="Evet",ROUND($C34*tbo_isverenOran,2),0),0)))))</f>
        <v/>
      </c>
      <c r="L34" s="31">
        <f>IF($A34="","",MAX(0,$J34-$K34))</f>
        <v/>
      </c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1">
        <f>IF($A35="","",IF($J35=0,"YOK",IF(AND($E35="Evet",ROUND($C35*tbo_oranIlave,2)=$J35),"TBO-002",IF(AND($D35="Evet",ROUND($C35*tbo_oranBesPuan,2)=$J35),"TBO-001",IF(AND($F35="Evet",ROUND($C35*tbo_oranKadinGenc,2)=$J35),"TBO-004","TBO-ENG")))))</f>
        <v/>
      </c>
      <c r="J35" s="31">
        <f>IF($A35="","",MAX(IF($D35="Evet",ROUND($C35*tbo_oranBesPuan,2),0),IF($E35="Evet",ROUND($C35*tbo_oranIlave,2),0),IF($F35="Evet",ROUND($C35*tbo_oranKadinGenc,2),0),IF($G35="Evet",ROUND($C35*tbo_isverenOran,2),0)))</f>
        <v/>
      </c>
      <c r="K35" s="31">
        <f>IF($A35="","",IF($H35="TBO-001",IF($D35="Evet",ROUND($C35*tbo_oranBesPuan,2),0),IF($H35="TBO-002",IF($E35="Evet",ROUND($C35*tbo_oranIlave,2),0),IF($H35="TBO-004",IF($F35="Evet",ROUND($C35*tbo_oranKadinGenc,2),0),IF($H35="TBO-ENG",IF($G35="Evet",ROUND($C35*tbo_isverenOran,2),0),0)))))</f>
        <v/>
      </c>
      <c r="L35" s="31">
        <f>IF($A35="","",MAX(0,$J35-$K35))</f>
        <v/>
      </c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1">
        <f>IF($A36="","",IF($J36=0,"YOK",IF(AND($E36="Evet",ROUND($C36*tbo_oranIlave,2)=$J36),"TBO-002",IF(AND($D36="Evet",ROUND($C36*tbo_oranBesPuan,2)=$J36),"TBO-001",IF(AND($F36="Evet",ROUND($C36*tbo_oranKadinGenc,2)=$J36),"TBO-004","TBO-ENG")))))</f>
        <v/>
      </c>
      <c r="J36" s="31">
        <f>IF($A36="","",MAX(IF($D36="Evet",ROUND($C36*tbo_oranBesPuan,2),0),IF($E36="Evet",ROUND($C36*tbo_oranIlave,2),0),IF($F36="Evet",ROUND($C36*tbo_oranKadinGenc,2),0),IF($G36="Evet",ROUND($C36*tbo_isverenOran,2),0)))</f>
        <v/>
      </c>
      <c r="K36" s="31">
        <f>IF($A36="","",IF($H36="TBO-001",IF($D36="Evet",ROUND($C36*tbo_oranBesPuan,2),0),IF($H36="TBO-002",IF($E36="Evet",ROUND($C36*tbo_oranIlave,2),0),IF($H36="TBO-004",IF($F36="Evet",ROUND($C36*tbo_oranKadinGenc,2),0),IF($H36="TBO-ENG",IF($G36="Evet",ROUND($C36*tbo_isverenOran,2),0),0)))))</f>
        <v/>
      </c>
      <c r="L36" s="31">
        <f>IF($A36="","",MAX(0,$J36-$K36))</f>
        <v/>
      </c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1">
        <f>IF($A37="","",IF($J37=0,"YOK",IF(AND($E37="Evet",ROUND($C37*tbo_oranIlave,2)=$J37),"TBO-002",IF(AND($D37="Evet",ROUND($C37*tbo_oranBesPuan,2)=$J37),"TBO-001",IF(AND($F37="Evet",ROUND($C37*tbo_oranKadinGenc,2)=$J37),"TBO-004","TBO-ENG")))))</f>
        <v/>
      </c>
      <c r="J37" s="31">
        <f>IF($A37="","",MAX(IF($D37="Evet",ROUND($C37*tbo_oranBesPuan,2),0),IF($E37="Evet",ROUND($C37*tbo_oranIlave,2),0),IF($F37="Evet",ROUND($C37*tbo_oranKadinGenc,2),0),IF($G37="Evet",ROUND($C37*tbo_isverenOran,2),0)))</f>
        <v/>
      </c>
      <c r="K37" s="31">
        <f>IF($A37="","",IF($H37="TBO-001",IF($D37="Evet",ROUND($C37*tbo_oranBesPuan,2),0),IF($H37="TBO-002",IF($E37="Evet",ROUND($C37*tbo_oranIlave,2),0),IF($H37="TBO-004",IF($F37="Evet",ROUND($C37*tbo_oranKadinGenc,2),0),IF($H37="TBO-ENG",IF($G37="Evet",ROUND($C37*tbo_isverenOran,2),0),0)))))</f>
        <v/>
      </c>
      <c r="L37" s="31">
        <f>IF($A37="","",MAX(0,$J37-$K37))</f>
        <v/>
      </c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1">
        <f>IF($A38="","",IF($J38=0,"YOK",IF(AND($E38="Evet",ROUND($C38*tbo_oranIlave,2)=$J38),"TBO-002",IF(AND($D38="Evet",ROUND($C38*tbo_oranBesPuan,2)=$J38),"TBO-001",IF(AND($F38="Evet",ROUND($C38*tbo_oranKadinGenc,2)=$J38),"TBO-004","TBO-ENG")))))</f>
        <v/>
      </c>
      <c r="J38" s="31">
        <f>IF($A38="","",MAX(IF($D38="Evet",ROUND($C38*tbo_oranBesPuan,2),0),IF($E38="Evet",ROUND($C38*tbo_oranIlave,2),0),IF($F38="Evet",ROUND($C38*tbo_oranKadinGenc,2),0),IF($G38="Evet",ROUND($C38*tbo_isverenOran,2),0)))</f>
        <v/>
      </c>
      <c r="K38" s="31">
        <f>IF($A38="","",IF($H38="TBO-001",IF($D38="Evet",ROUND($C38*tbo_oranBesPuan,2),0),IF($H38="TBO-002",IF($E38="Evet",ROUND($C38*tbo_oranIlave,2),0),IF($H38="TBO-004",IF($F38="Evet",ROUND($C38*tbo_oranKadinGenc,2),0),IF($H38="TBO-ENG",IF($G38="Evet",ROUND($C38*tbo_isverenOran,2),0),0)))))</f>
        <v/>
      </c>
      <c r="L38" s="31">
        <f>IF($A38="","",MAX(0,$J38-$K38))</f>
        <v/>
      </c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1">
        <f>IF($A39="","",IF($J39=0,"YOK",IF(AND($E39="Evet",ROUND($C39*tbo_oranIlave,2)=$J39),"TBO-002",IF(AND($D39="Evet",ROUND($C39*tbo_oranBesPuan,2)=$J39),"TBO-001",IF(AND($F39="Evet",ROUND($C39*tbo_oranKadinGenc,2)=$J39),"TBO-004","TBO-ENG")))))</f>
        <v/>
      </c>
      <c r="J39" s="31">
        <f>IF($A39="","",MAX(IF($D39="Evet",ROUND($C39*tbo_oranBesPuan,2),0),IF($E39="Evet",ROUND($C39*tbo_oranIlave,2),0),IF($F39="Evet",ROUND($C39*tbo_oranKadinGenc,2),0),IF($G39="Evet",ROUND($C39*tbo_isverenOran,2),0)))</f>
        <v/>
      </c>
      <c r="K39" s="31">
        <f>IF($A39="","",IF($H39="TBO-001",IF($D39="Evet",ROUND($C39*tbo_oranBesPuan,2),0),IF($H39="TBO-002",IF($E39="Evet",ROUND($C39*tbo_oranIlave,2),0),IF($H39="TBO-004",IF($F39="Evet",ROUND($C39*tbo_oranKadinGenc,2),0),IF($H39="TBO-ENG",IF($G39="Evet",ROUND($C39*tbo_isverenOran,2),0),0)))))</f>
        <v/>
      </c>
      <c r="L39" s="31">
        <f>IF($A39="","",MAX(0,$J39-$K39))</f>
        <v/>
      </c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1">
        <f>IF($A40="","",IF($J40=0,"YOK",IF(AND($E40="Evet",ROUND($C40*tbo_oranIlave,2)=$J40),"TBO-002",IF(AND($D40="Evet",ROUND($C40*tbo_oranBesPuan,2)=$J40),"TBO-001",IF(AND($F40="Evet",ROUND($C40*tbo_oranKadinGenc,2)=$J40),"TBO-004","TBO-ENG")))))</f>
        <v/>
      </c>
      <c r="J40" s="31">
        <f>IF($A40="","",MAX(IF($D40="Evet",ROUND($C40*tbo_oranBesPuan,2),0),IF($E40="Evet",ROUND($C40*tbo_oranIlave,2),0),IF($F40="Evet",ROUND($C40*tbo_oranKadinGenc,2),0),IF($G40="Evet",ROUND($C40*tbo_isverenOran,2),0)))</f>
        <v/>
      </c>
      <c r="K40" s="31">
        <f>IF($A40="","",IF($H40="TBO-001",IF($D40="Evet",ROUND($C40*tbo_oranBesPuan,2),0),IF($H40="TBO-002",IF($E40="Evet",ROUND($C40*tbo_oranIlave,2),0),IF($H40="TBO-004",IF($F40="Evet",ROUND($C40*tbo_oranKadinGenc,2),0),IF($H40="TBO-ENG",IF($G40="Evet",ROUND($C40*tbo_isverenOran,2),0),0)))))</f>
        <v/>
      </c>
      <c r="L40" s="31">
        <f>IF($A40="","",MAX(0,$J40-$K40))</f>
        <v/>
      </c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1">
        <f>IF($A41="","",IF($J41=0,"YOK",IF(AND($E41="Evet",ROUND($C41*tbo_oranIlave,2)=$J41),"TBO-002",IF(AND($D41="Evet",ROUND($C41*tbo_oranBesPuan,2)=$J41),"TBO-001",IF(AND($F41="Evet",ROUND($C41*tbo_oranKadinGenc,2)=$J41),"TBO-004","TBO-ENG")))))</f>
        <v/>
      </c>
      <c r="J41" s="31">
        <f>IF($A41="","",MAX(IF($D41="Evet",ROUND($C41*tbo_oranBesPuan,2),0),IF($E41="Evet",ROUND($C41*tbo_oranIlave,2),0),IF($F41="Evet",ROUND($C41*tbo_oranKadinGenc,2),0),IF($G41="Evet",ROUND($C41*tbo_isverenOran,2),0)))</f>
        <v/>
      </c>
      <c r="K41" s="31">
        <f>IF($A41="","",IF($H41="TBO-001",IF($D41="Evet",ROUND($C41*tbo_oranBesPuan,2),0),IF($H41="TBO-002",IF($E41="Evet",ROUND($C41*tbo_oranIlave,2),0),IF($H41="TBO-004",IF($F41="Evet",ROUND($C41*tbo_oranKadinGenc,2),0),IF($H41="TBO-ENG",IF($G41="Evet",ROUND($C41*tbo_isverenOran,2),0),0)))))</f>
        <v/>
      </c>
      <c r="L41" s="31">
        <f>IF($A41="","",MAX(0,$J41-$K41))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1">
        <f>IF($A42="","",IF($J42=0,"YOK",IF(AND($E42="Evet",ROUND($C42*tbo_oranIlave,2)=$J42),"TBO-002",IF(AND($D42="Evet",ROUND($C42*tbo_oranBesPuan,2)=$J42),"TBO-001",IF(AND($F42="Evet",ROUND($C42*tbo_oranKadinGenc,2)=$J42),"TBO-004","TBO-ENG")))))</f>
        <v/>
      </c>
      <c r="J42" s="31">
        <f>IF($A42="","",MAX(IF($D42="Evet",ROUND($C42*tbo_oranBesPuan,2),0),IF($E42="Evet",ROUND($C42*tbo_oranIlave,2),0),IF($F42="Evet",ROUND($C42*tbo_oranKadinGenc,2),0),IF($G42="Evet",ROUND($C42*tbo_isverenOran,2),0)))</f>
        <v/>
      </c>
      <c r="K42" s="31">
        <f>IF($A42="","",IF($H42="TBO-001",IF($D42="Evet",ROUND($C42*tbo_oranBesPuan,2),0),IF($H42="TBO-002",IF($E42="Evet",ROUND($C42*tbo_oranIlave,2),0),IF($H42="TBO-004",IF($F42="Evet",ROUND($C42*tbo_oranKadinGenc,2),0),IF($H42="TBO-ENG",IF($G42="Evet",ROUND($C42*tbo_isverenOran,2),0),0)))))</f>
        <v/>
      </c>
      <c r="L42" s="31">
        <f>IF($A42="","",MAX(0,$J42-$K42))</f>
        <v/>
      </c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1">
        <f>IF($A43="","",IF($J43=0,"YOK",IF(AND($E43="Evet",ROUND($C43*tbo_oranIlave,2)=$J43),"TBO-002",IF(AND($D43="Evet",ROUND($C43*tbo_oranBesPuan,2)=$J43),"TBO-001",IF(AND($F43="Evet",ROUND($C43*tbo_oranKadinGenc,2)=$J43),"TBO-004","TBO-ENG")))))</f>
        <v/>
      </c>
      <c r="J43" s="31">
        <f>IF($A43="","",MAX(IF($D43="Evet",ROUND($C43*tbo_oranBesPuan,2),0),IF($E43="Evet",ROUND($C43*tbo_oranIlave,2),0),IF($F43="Evet",ROUND($C43*tbo_oranKadinGenc,2),0),IF($G43="Evet",ROUND($C43*tbo_isverenOran,2),0)))</f>
        <v/>
      </c>
      <c r="K43" s="31">
        <f>IF($A43="","",IF($H43="TBO-001",IF($D43="Evet",ROUND($C43*tbo_oranBesPuan,2),0),IF($H43="TBO-002",IF($E43="Evet",ROUND($C43*tbo_oranIlave,2),0),IF($H43="TBO-004",IF($F43="Evet",ROUND($C43*tbo_oranKadinGenc,2),0),IF($H43="TBO-ENG",IF($G43="Evet",ROUND($C43*tbo_isverenOran,2),0),0)))))</f>
        <v/>
      </c>
      <c r="L43" s="31">
        <f>IF($A43="","",MAX(0,$J43-$K43))</f>
        <v/>
      </c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1">
        <f>IF($A44="","",IF($J44=0,"YOK",IF(AND($E44="Evet",ROUND($C44*tbo_oranIlave,2)=$J44),"TBO-002",IF(AND($D44="Evet",ROUND($C44*tbo_oranBesPuan,2)=$J44),"TBO-001",IF(AND($F44="Evet",ROUND($C44*tbo_oranKadinGenc,2)=$J44),"TBO-004","TBO-ENG")))))</f>
        <v/>
      </c>
      <c r="J44" s="31">
        <f>IF($A44="","",MAX(IF($D44="Evet",ROUND($C44*tbo_oranBesPuan,2),0),IF($E44="Evet",ROUND($C44*tbo_oranIlave,2),0),IF($F44="Evet",ROUND($C44*tbo_oranKadinGenc,2),0),IF($G44="Evet",ROUND($C44*tbo_isverenOran,2),0)))</f>
        <v/>
      </c>
      <c r="K44" s="31">
        <f>IF($A44="","",IF($H44="TBO-001",IF($D44="Evet",ROUND($C44*tbo_oranBesPuan,2),0),IF($H44="TBO-002",IF($E44="Evet",ROUND($C44*tbo_oranIlave,2),0),IF($H44="TBO-004",IF($F44="Evet",ROUND($C44*tbo_oranKadinGenc,2),0),IF($H44="TBO-ENG",IF($G44="Evet",ROUND($C44*tbo_isverenOran,2),0),0)))))</f>
        <v/>
      </c>
      <c r="L44" s="31">
        <f>IF($A44="","",MAX(0,$J44-$K44))</f>
        <v/>
      </c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1">
        <f>IF($A45="","",IF($J45=0,"YOK",IF(AND($E45="Evet",ROUND($C45*tbo_oranIlave,2)=$J45),"TBO-002",IF(AND($D45="Evet",ROUND($C45*tbo_oranBesPuan,2)=$J45),"TBO-001",IF(AND($F45="Evet",ROUND($C45*tbo_oranKadinGenc,2)=$J45),"TBO-004","TBO-ENG")))))</f>
        <v/>
      </c>
      <c r="J45" s="31">
        <f>IF($A45="","",MAX(IF($D45="Evet",ROUND($C45*tbo_oranBesPuan,2),0),IF($E45="Evet",ROUND($C45*tbo_oranIlave,2),0),IF($F45="Evet",ROUND($C45*tbo_oranKadinGenc,2),0),IF($G45="Evet",ROUND($C45*tbo_isverenOran,2),0)))</f>
        <v/>
      </c>
      <c r="K45" s="31">
        <f>IF($A45="","",IF($H45="TBO-001",IF($D45="Evet",ROUND($C45*tbo_oranBesPuan,2),0),IF($H45="TBO-002",IF($E45="Evet",ROUND($C45*tbo_oranIlave,2),0),IF($H45="TBO-004",IF($F45="Evet",ROUND($C45*tbo_oranKadinGenc,2),0),IF($H45="TBO-ENG",IF($G45="Evet",ROUND($C45*tbo_isverenOran,2),0),0)))))</f>
        <v/>
      </c>
      <c r="L45" s="31">
        <f>IF($A45="","",MAX(0,$J45-$K45))</f>
        <v/>
      </c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1">
        <f>IF($A46="","",IF($J46=0,"YOK",IF(AND($E46="Evet",ROUND($C46*tbo_oranIlave,2)=$J46),"TBO-002",IF(AND($D46="Evet",ROUND($C46*tbo_oranBesPuan,2)=$J46),"TBO-001",IF(AND($F46="Evet",ROUND($C46*tbo_oranKadinGenc,2)=$J46),"TBO-004","TBO-ENG")))))</f>
        <v/>
      </c>
      <c r="J46" s="31">
        <f>IF($A46="","",MAX(IF($D46="Evet",ROUND($C46*tbo_oranBesPuan,2),0),IF($E46="Evet",ROUND($C46*tbo_oranIlave,2),0),IF($F46="Evet",ROUND($C46*tbo_oranKadinGenc,2),0),IF($G46="Evet",ROUND($C46*tbo_isverenOran,2),0)))</f>
        <v/>
      </c>
      <c r="K46" s="31">
        <f>IF($A46="","",IF($H46="TBO-001",IF($D46="Evet",ROUND($C46*tbo_oranBesPuan,2),0),IF($H46="TBO-002",IF($E46="Evet",ROUND($C46*tbo_oranIlave,2),0),IF($H46="TBO-004",IF($F46="Evet",ROUND($C46*tbo_oranKadinGenc,2),0),IF($H46="TBO-ENG",IF($G46="Evet",ROUND($C46*tbo_isverenOran,2),0),0)))))</f>
        <v/>
      </c>
      <c r="L46" s="31">
        <f>IF($A46="","",MAX(0,$J46-$K46))</f>
        <v/>
      </c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1">
        <f>IF($A47="","",IF($J47=0,"YOK",IF(AND($E47="Evet",ROUND($C47*tbo_oranIlave,2)=$J47),"TBO-002",IF(AND($D47="Evet",ROUND($C47*tbo_oranBesPuan,2)=$J47),"TBO-001",IF(AND($F47="Evet",ROUND($C47*tbo_oranKadinGenc,2)=$J47),"TBO-004","TBO-ENG")))))</f>
        <v/>
      </c>
      <c r="J47" s="31">
        <f>IF($A47="","",MAX(IF($D47="Evet",ROUND($C47*tbo_oranBesPuan,2),0),IF($E47="Evet",ROUND($C47*tbo_oranIlave,2),0),IF($F47="Evet",ROUND($C47*tbo_oranKadinGenc,2),0),IF($G47="Evet",ROUND($C47*tbo_isverenOran,2),0)))</f>
        <v/>
      </c>
      <c r="K47" s="31">
        <f>IF($A47="","",IF($H47="TBO-001",IF($D47="Evet",ROUND($C47*tbo_oranBesPuan,2),0),IF($H47="TBO-002",IF($E47="Evet",ROUND($C47*tbo_oranIlave,2),0),IF($H47="TBO-004",IF($F47="Evet",ROUND($C47*tbo_oranKadinGenc,2),0),IF($H47="TBO-ENG",IF($G47="Evet",ROUND($C47*tbo_isverenOran,2),0),0)))))</f>
        <v/>
      </c>
      <c r="L47" s="31">
        <f>IF($A47="","",MAX(0,$J47-$K47))</f>
        <v/>
      </c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1">
        <f>IF($A48="","",IF($J48=0,"YOK",IF(AND($E48="Evet",ROUND($C48*tbo_oranIlave,2)=$J48),"TBO-002",IF(AND($D48="Evet",ROUND($C48*tbo_oranBesPuan,2)=$J48),"TBO-001",IF(AND($F48="Evet",ROUND($C48*tbo_oranKadinGenc,2)=$J48),"TBO-004","TBO-ENG")))))</f>
        <v/>
      </c>
      <c r="J48" s="31">
        <f>IF($A48="","",MAX(IF($D48="Evet",ROUND($C48*tbo_oranBesPuan,2),0),IF($E48="Evet",ROUND($C48*tbo_oranIlave,2),0),IF($F48="Evet",ROUND($C48*tbo_oranKadinGenc,2),0),IF($G48="Evet",ROUND($C48*tbo_isverenOran,2),0)))</f>
        <v/>
      </c>
      <c r="K48" s="31">
        <f>IF($A48="","",IF($H48="TBO-001",IF($D48="Evet",ROUND($C48*tbo_oranBesPuan,2),0),IF($H48="TBO-002",IF($E48="Evet",ROUND($C48*tbo_oranIlave,2),0),IF($H48="TBO-004",IF($F48="Evet",ROUND($C48*tbo_oranKadinGenc,2),0),IF($H48="TBO-ENG",IF($G48="Evet",ROUND($C48*tbo_isverenOran,2),0),0)))))</f>
        <v/>
      </c>
      <c r="L48" s="31">
        <f>IF($A48="","",MAX(0,$J48-$K48))</f>
        <v/>
      </c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1">
        <f>IF($A49="","",IF($J49=0,"YOK",IF(AND($E49="Evet",ROUND($C49*tbo_oranIlave,2)=$J49),"TBO-002",IF(AND($D49="Evet",ROUND($C49*tbo_oranBesPuan,2)=$J49),"TBO-001",IF(AND($F49="Evet",ROUND($C49*tbo_oranKadinGenc,2)=$J49),"TBO-004","TBO-ENG")))))</f>
        <v/>
      </c>
      <c r="J49" s="31">
        <f>IF($A49="","",MAX(IF($D49="Evet",ROUND($C49*tbo_oranBesPuan,2),0),IF($E49="Evet",ROUND($C49*tbo_oranIlave,2),0),IF($F49="Evet",ROUND($C49*tbo_oranKadinGenc,2),0),IF($G49="Evet",ROUND($C49*tbo_isverenOran,2),0)))</f>
        <v/>
      </c>
      <c r="K49" s="31">
        <f>IF($A49="","",IF($H49="TBO-001",IF($D49="Evet",ROUND($C49*tbo_oranBesPuan,2),0),IF($H49="TBO-002",IF($E49="Evet",ROUND($C49*tbo_oranIlave,2),0),IF($H49="TBO-004",IF($F49="Evet",ROUND($C49*tbo_oranKadinGenc,2),0),IF($H49="TBO-ENG",IF($G49="Evet",ROUND($C49*tbo_isverenOran,2),0),0)))))</f>
        <v/>
      </c>
      <c r="L49" s="31">
        <f>IF($A49="","",MAX(0,$J49-$K49))</f>
        <v/>
      </c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1">
        <f>IF($A50="","",IF($J50=0,"YOK",IF(AND($E50="Evet",ROUND($C50*tbo_oranIlave,2)=$J50),"TBO-002",IF(AND($D50="Evet",ROUND($C50*tbo_oranBesPuan,2)=$J50),"TBO-001",IF(AND($F50="Evet",ROUND($C50*tbo_oranKadinGenc,2)=$J50),"TBO-004","TBO-ENG")))))</f>
        <v/>
      </c>
      <c r="J50" s="31">
        <f>IF($A50="","",MAX(IF($D50="Evet",ROUND($C50*tbo_oranBesPuan,2),0),IF($E50="Evet",ROUND($C50*tbo_oranIlave,2),0),IF($F50="Evet",ROUND($C50*tbo_oranKadinGenc,2),0),IF($G50="Evet",ROUND($C50*tbo_isverenOran,2),0)))</f>
        <v/>
      </c>
      <c r="K50" s="31">
        <f>IF($A50="","",IF($H50="TBO-001",IF($D50="Evet",ROUND($C50*tbo_oranBesPuan,2),0),IF($H50="TBO-002",IF($E50="Evet",ROUND($C50*tbo_oranIlave,2),0),IF($H50="TBO-004",IF($F50="Evet",ROUND($C50*tbo_oranKadinGenc,2),0),IF($H50="TBO-ENG",IF($G50="Evet",ROUND($C50*tbo_isverenOran,2),0),0)))))</f>
        <v/>
      </c>
      <c r="L50" s="31">
        <f>IF($A50="","",MAX(0,$J50-$K50))</f>
        <v/>
      </c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1">
        <f>IF($A51="","",IF($J51=0,"YOK",IF(AND($E51="Evet",ROUND($C51*tbo_oranIlave,2)=$J51),"TBO-002",IF(AND($D51="Evet",ROUND($C51*tbo_oranBesPuan,2)=$J51),"TBO-001",IF(AND($F51="Evet",ROUND($C51*tbo_oranKadinGenc,2)=$J51),"TBO-004","TBO-ENG")))))</f>
        <v/>
      </c>
      <c r="J51" s="31">
        <f>IF($A51="","",MAX(IF($D51="Evet",ROUND($C51*tbo_oranBesPuan,2),0),IF($E51="Evet",ROUND($C51*tbo_oranIlave,2),0),IF($F51="Evet",ROUND($C51*tbo_oranKadinGenc,2),0),IF($G51="Evet",ROUND($C51*tbo_isverenOran,2),0)))</f>
        <v/>
      </c>
      <c r="K51" s="31">
        <f>IF($A51="","",IF($H51="TBO-001",IF($D51="Evet",ROUND($C51*tbo_oranBesPuan,2),0),IF($H51="TBO-002",IF($E51="Evet",ROUND($C51*tbo_oranIlave,2),0),IF($H51="TBO-004",IF($F51="Evet",ROUND($C51*tbo_oranKadinGenc,2),0),IF($H51="TBO-ENG",IF($G51="Evet",ROUND($C51*tbo_isverenOran,2),0),0)))))</f>
        <v/>
      </c>
      <c r="L51" s="31">
        <f>IF($A51="","",MAX(0,$J51-$K51))</f>
        <v/>
      </c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1">
        <f>IF($A52="","",IF($J52=0,"YOK",IF(AND($E52="Evet",ROUND($C52*tbo_oranIlave,2)=$J52),"TBO-002",IF(AND($D52="Evet",ROUND($C52*tbo_oranBesPuan,2)=$J52),"TBO-001",IF(AND($F52="Evet",ROUND($C52*tbo_oranKadinGenc,2)=$J52),"TBO-004","TBO-ENG")))))</f>
        <v/>
      </c>
      <c r="J52" s="31">
        <f>IF($A52="","",MAX(IF($D52="Evet",ROUND($C52*tbo_oranBesPuan,2),0),IF($E52="Evet",ROUND($C52*tbo_oranIlave,2),0),IF($F52="Evet",ROUND($C52*tbo_oranKadinGenc,2),0),IF($G52="Evet",ROUND($C52*tbo_isverenOran,2),0)))</f>
        <v/>
      </c>
      <c r="K52" s="31">
        <f>IF($A52="","",IF($H52="TBO-001",IF($D52="Evet",ROUND($C52*tbo_oranBesPuan,2),0),IF($H52="TBO-002",IF($E52="Evet",ROUND($C52*tbo_oranIlave,2),0),IF($H52="TBO-004",IF($F52="Evet",ROUND($C52*tbo_oranKadinGenc,2),0),IF($H52="TBO-ENG",IF($G52="Evet",ROUND($C52*tbo_isverenOran,2),0),0)))))</f>
        <v/>
      </c>
      <c r="L52" s="31">
        <f>IF($A52="","",MAX(0,$J52-$K52))</f>
        <v/>
      </c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1">
        <f>IF($A53="","",IF($J53=0,"YOK",IF(AND($E53="Evet",ROUND($C53*tbo_oranIlave,2)=$J53),"TBO-002",IF(AND($D53="Evet",ROUND($C53*tbo_oranBesPuan,2)=$J53),"TBO-001",IF(AND($F53="Evet",ROUND($C53*tbo_oranKadinGenc,2)=$J53),"TBO-004","TBO-ENG")))))</f>
        <v/>
      </c>
      <c r="J53" s="31">
        <f>IF($A53="","",MAX(IF($D53="Evet",ROUND($C53*tbo_oranBesPuan,2),0),IF($E53="Evet",ROUND($C53*tbo_oranIlave,2),0),IF($F53="Evet",ROUND($C53*tbo_oranKadinGenc,2),0),IF($G53="Evet",ROUND($C53*tbo_isverenOran,2),0)))</f>
        <v/>
      </c>
      <c r="K53" s="31">
        <f>IF($A53="","",IF($H53="TBO-001",IF($D53="Evet",ROUND($C53*tbo_oranBesPuan,2),0),IF($H53="TBO-002",IF($E53="Evet",ROUND($C53*tbo_oranIlave,2),0),IF($H53="TBO-004",IF($F53="Evet",ROUND($C53*tbo_oranKadinGenc,2),0),IF($H53="TBO-ENG",IF($G53="Evet",ROUND($C53*tbo_isverenOran,2),0),0)))))</f>
        <v/>
      </c>
      <c r="L53" s="31">
        <f>IF($A53="","",MAX(0,$J53-$K53))</f>
        <v/>
      </c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1">
        <f>IF($A54="","",IF($J54=0,"YOK",IF(AND($E54="Evet",ROUND($C54*tbo_oranIlave,2)=$J54),"TBO-002",IF(AND($D54="Evet",ROUND($C54*tbo_oranBesPuan,2)=$J54),"TBO-001",IF(AND($F54="Evet",ROUND($C54*tbo_oranKadinGenc,2)=$J54),"TBO-004","TBO-ENG")))))</f>
        <v/>
      </c>
      <c r="J54" s="31">
        <f>IF($A54="","",MAX(IF($D54="Evet",ROUND($C54*tbo_oranBesPuan,2),0),IF($E54="Evet",ROUND($C54*tbo_oranIlave,2),0),IF($F54="Evet",ROUND($C54*tbo_oranKadinGenc,2),0),IF($G54="Evet",ROUND($C54*tbo_isverenOran,2),0)))</f>
        <v/>
      </c>
      <c r="K54" s="31">
        <f>IF($A54="","",IF($H54="TBO-001",IF($D54="Evet",ROUND($C54*tbo_oranBesPuan,2),0),IF($H54="TBO-002",IF($E54="Evet",ROUND($C54*tbo_oranIlave,2),0),IF($H54="TBO-004",IF($F54="Evet",ROUND($C54*tbo_oranKadinGenc,2),0),IF($H54="TBO-ENG",IF($G54="Evet",ROUND($C54*tbo_isverenOran,2),0),0)))))</f>
        <v/>
      </c>
      <c r="L54" s="31">
        <f>IF($A54="","",MAX(0,$J54-$K54))</f>
        <v/>
      </c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1">
        <f>IF($A55="","",IF($J55=0,"YOK",IF(AND($E55="Evet",ROUND($C55*tbo_oranIlave,2)=$J55),"TBO-002",IF(AND($D55="Evet",ROUND($C55*tbo_oranBesPuan,2)=$J55),"TBO-001",IF(AND($F55="Evet",ROUND($C55*tbo_oranKadinGenc,2)=$J55),"TBO-004","TBO-ENG")))))</f>
        <v/>
      </c>
      <c r="J55" s="31">
        <f>IF($A55="","",MAX(IF($D55="Evet",ROUND($C55*tbo_oranBesPuan,2),0),IF($E55="Evet",ROUND($C55*tbo_oranIlave,2),0),IF($F55="Evet",ROUND($C55*tbo_oranKadinGenc,2),0),IF($G55="Evet",ROUND($C55*tbo_isverenOran,2),0)))</f>
        <v/>
      </c>
      <c r="K55" s="31">
        <f>IF($A55="","",IF($H55="TBO-001",IF($D55="Evet",ROUND($C55*tbo_oranBesPuan,2),0),IF($H55="TBO-002",IF($E55="Evet",ROUND($C55*tbo_oranIlave,2),0),IF($H55="TBO-004",IF($F55="Evet",ROUND($C55*tbo_oranKadinGenc,2),0),IF($H55="TBO-ENG",IF($G55="Evet",ROUND($C55*tbo_isverenOran,2),0),0)))))</f>
        <v/>
      </c>
      <c r="L55" s="31">
        <f>IF($A55="","",MAX(0,$J55-$K55))</f>
        <v/>
      </c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1">
        <f>IF($A56="","",IF($J56=0,"YOK",IF(AND($E56="Evet",ROUND($C56*tbo_oranIlave,2)=$J56),"TBO-002",IF(AND($D56="Evet",ROUND($C56*tbo_oranBesPuan,2)=$J56),"TBO-001",IF(AND($F56="Evet",ROUND($C56*tbo_oranKadinGenc,2)=$J56),"TBO-004","TBO-ENG")))))</f>
        <v/>
      </c>
      <c r="J56" s="31">
        <f>IF($A56="","",MAX(IF($D56="Evet",ROUND($C56*tbo_oranBesPuan,2),0),IF($E56="Evet",ROUND($C56*tbo_oranIlave,2),0),IF($F56="Evet",ROUND($C56*tbo_oranKadinGenc,2),0),IF($G56="Evet",ROUND($C56*tbo_isverenOran,2),0)))</f>
        <v/>
      </c>
      <c r="K56" s="31">
        <f>IF($A56="","",IF($H56="TBO-001",IF($D56="Evet",ROUND($C56*tbo_oranBesPuan,2),0),IF($H56="TBO-002",IF($E56="Evet",ROUND($C56*tbo_oranIlave,2),0),IF($H56="TBO-004",IF($F56="Evet",ROUND($C56*tbo_oranKadinGenc,2),0),IF($H56="TBO-ENG",IF($G56="Evet",ROUND($C56*tbo_isverenOran,2),0),0)))))</f>
        <v/>
      </c>
      <c r="L56" s="31">
        <f>IF($A56="","",MAX(0,$J56-$K56))</f>
        <v/>
      </c>
    </row>
    <row r="57">
      <c r="I57" s="31">
        <f>IF($A57="","",IF($J57=0,"YOK",IF(AND($E57="Evet",ROUND($C57*tbo_oranIlave,2)=$J57),"TBO-002",IF(AND($D57="Evet",ROUND($C57*tbo_oranBesPuan,2)=$J57),"TBO-001",IF(AND($F57="Evet",ROUND($C57*tbo_oranKadinGenc,2)=$J57),"TBO-004","TBO-ENG")))))</f>
        <v/>
      </c>
      <c r="J57" s="31">
        <f>IF($A57="","",MAX(IF($D57="Evet",ROUND($C57*tbo_oranBesPuan,2),0),IF($E57="Evet",ROUND($C57*tbo_oranIlave,2),0),IF($F57="Evet",ROUND($C57*tbo_oranKadinGenc,2),0),IF($G57="Evet",ROUND($C57*tbo_isverenOran,2),0)))</f>
        <v/>
      </c>
      <c r="K57" s="31">
        <f>IF($A57="","",IF($H57="TBO-001",IF($D57="Evet",ROUND($C57*tbo_oranBesPuan,2),0),IF($H57="TBO-002",IF($E57="Evet",ROUND($C57*tbo_oranIlave,2),0),IF($H57="TBO-004",IF($F57="Evet",ROUND($C57*tbo_oranKadinGenc,2),0),IF($H57="TBO-ENG",IF($G57="Evet",ROUND($C57*tbo_isverenOran,2),0),0)))))</f>
        <v/>
      </c>
      <c r="L57" s="31">
        <f>IF($A57="","",MAX(0,$J57-$K57))</f>
        <v/>
      </c>
    </row>
    <row r="58">
      <c r="I58" s="31">
        <f>IF($A58="","",IF($J58=0,"YOK",IF(AND($E58="Evet",ROUND($C58*tbo_oranIlave,2)=$J58),"TBO-002",IF(AND($D58="Evet",ROUND($C58*tbo_oranBesPuan,2)=$J58),"TBO-001",IF(AND($F58="Evet",ROUND($C58*tbo_oranKadinGenc,2)=$J58),"TBO-004","TBO-ENG")))))</f>
        <v/>
      </c>
      <c r="J58" s="31">
        <f>IF($A58="","",MAX(IF($D58="Evet",ROUND($C58*tbo_oranBesPuan,2),0),IF($E58="Evet",ROUND($C58*tbo_oranIlave,2),0),IF($F58="Evet",ROUND($C58*tbo_oranKadinGenc,2),0),IF($G58="Evet",ROUND($C58*tbo_isverenOran,2),0)))</f>
        <v/>
      </c>
      <c r="K58" s="31">
        <f>IF($A58="","",IF($H58="TBO-001",IF($D58="Evet",ROUND($C58*tbo_oranBesPuan,2),0),IF($H58="TBO-002",IF($E58="Evet",ROUND($C58*tbo_oranIlave,2),0),IF($H58="TBO-004",IF($F58="Evet",ROUND($C58*tbo_oranKadinGenc,2),0),IF($H58="TBO-ENG",IF($G58="Evet",ROUND($C58*tbo_isverenOran,2),0),0)))))</f>
        <v/>
      </c>
      <c r="L58" s="31">
        <f>IF($A58="","",MAX(0,$J58-$K58))</f>
        <v/>
      </c>
    </row>
    <row r="59">
      <c r="I59" s="31">
        <f>IF($A59="","",IF($J59=0,"YOK",IF(AND($E59="Evet",ROUND($C59*tbo_oranIlave,2)=$J59),"TBO-002",IF(AND($D59="Evet",ROUND($C59*tbo_oranBesPuan,2)=$J59),"TBO-001",IF(AND($F59="Evet",ROUND($C59*tbo_oranKadinGenc,2)=$J59),"TBO-004","TBO-ENG")))))</f>
        <v/>
      </c>
      <c r="J59" s="31">
        <f>IF($A59="","",MAX(IF($D59="Evet",ROUND($C59*tbo_oranBesPuan,2),0),IF($E59="Evet",ROUND($C59*tbo_oranIlave,2),0),IF($F59="Evet",ROUND($C59*tbo_oranKadinGenc,2),0),IF($G59="Evet",ROUND($C59*tbo_isverenOran,2),0)))</f>
        <v/>
      </c>
      <c r="K59" s="31">
        <f>IF($A59="","",IF($H59="TBO-001",IF($D59="Evet",ROUND($C59*tbo_oranBesPuan,2),0),IF($H59="TBO-002",IF($E59="Evet",ROUND($C59*tbo_oranIlave,2),0),IF($H59="TBO-004",IF($F59="Evet",ROUND($C59*tbo_oranKadinGenc,2),0),IF($H59="TBO-ENG",IF($G59="Evet",ROUND($C59*tbo_isverenOran,2),0),0)))))</f>
        <v/>
      </c>
      <c r="L59" s="31">
        <f>IF($A59="","",MAX(0,$J59-$K59))</f>
        <v/>
      </c>
    </row>
    <row r="60">
      <c r="I60" s="31">
        <f>IF($A60="","",IF($J60=0,"YOK",IF(AND($E60="Evet",ROUND($C60*tbo_oranIlave,2)=$J60),"TBO-002",IF(AND($D60="Evet",ROUND($C60*tbo_oranBesPuan,2)=$J60),"TBO-001",IF(AND($F60="Evet",ROUND($C60*tbo_oranKadinGenc,2)=$J60),"TBO-004","TBO-ENG")))))</f>
        <v/>
      </c>
      <c r="J60" s="31">
        <f>IF($A60="","",MAX(IF($D60="Evet",ROUND($C60*tbo_oranBesPuan,2),0),IF($E60="Evet",ROUND($C60*tbo_oranIlave,2),0),IF($F60="Evet",ROUND($C60*tbo_oranKadinGenc,2),0),IF($G60="Evet",ROUND($C60*tbo_isverenOran,2),0)))</f>
        <v/>
      </c>
      <c r="K60" s="31">
        <f>IF($A60="","",IF($H60="TBO-001",IF($D60="Evet",ROUND($C60*tbo_oranBesPuan,2),0),IF($H60="TBO-002",IF($E60="Evet",ROUND($C60*tbo_oranIlave,2),0),IF($H60="TBO-004",IF($F60="Evet",ROUND($C60*tbo_oranKadinGenc,2),0),IF($H60="TBO-ENG",IF($G60="Evet",ROUND($C60*tbo_isverenOran,2),0),0)))))</f>
        <v/>
      </c>
      <c r="L60" s="31">
        <f>IF($A60="","",MAX(0,$J60-$K60))</f>
        <v/>
      </c>
    </row>
    <row r="61">
      <c r="I61" s="31">
        <f>IF($A61="","",IF($J61=0,"YOK",IF(AND($E61="Evet",ROUND($C61*tbo_oranIlave,2)=$J61),"TBO-002",IF(AND($D61="Evet",ROUND($C61*tbo_oranBesPuan,2)=$J61),"TBO-001",IF(AND($F61="Evet",ROUND($C61*tbo_oranKadinGenc,2)=$J61),"TBO-004","TBO-ENG")))))</f>
        <v/>
      </c>
      <c r="J61" s="31">
        <f>IF($A61="","",MAX(IF($D61="Evet",ROUND($C61*tbo_oranBesPuan,2),0),IF($E61="Evet",ROUND($C61*tbo_oranIlave,2),0),IF($F61="Evet",ROUND($C61*tbo_oranKadinGenc,2),0),IF($G61="Evet",ROUND($C61*tbo_isverenOran,2),0)))</f>
        <v/>
      </c>
      <c r="K61" s="31">
        <f>IF($A61="","",IF($H61="TBO-001",IF($D61="Evet",ROUND($C61*tbo_oranBesPuan,2),0),IF($H61="TBO-002",IF($E61="Evet",ROUND($C61*tbo_oranIlave,2),0),IF($H61="TBO-004",IF($F61="Evet",ROUND($C61*tbo_oranKadinGenc,2),0),IF($H61="TBO-ENG",IF($G61="Evet",ROUND($C61*tbo_isverenOran,2),0),0)))))</f>
        <v/>
      </c>
      <c r="L61" s="31">
        <f>IF($A61="","",MAX(0,$J61-$K61))</f>
        <v/>
      </c>
    </row>
    <row r="62">
      <c r="I62" s="31">
        <f>IF($A62="","",IF($J62=0,"YOK",IF(AND($E62="Evet",ROUND($C62*tbo_oranIlave,2)=$J62),"TBO-002",IF(AND($D62="Evet",ROUND($C62*tbo_oranBesPuan,2)=$J62),"TBO-001",IF(AND($F62="Evet",ROUND($C62*tbo_oranKadinGenc,2)=$J62),"TBO-004","TBO-ENG")))))</f>
        <v/>
      </c>
      <c r="J62" s="31">
        <f>IF($A62="","",MAX(IF($D62="Evet",ROUND($C62*tbo_oranBesPuan,2),0),IF($E62="Evet",ROUND($C62*tbo_oranIlave,2),0),IF($F62="Evet",ROUND($C62*tbo_oranKadinGenc,2),0),IF($G62="Evet",ROUND($C62*tbo_isverenOran,2),0)))</f>
        <v/>
      </c>
      <c r="K62" s="31">
        <f>IF($A62="","",IF($H62="TBO-001",IF($D62="Evet",ROUND($C62*tbo_oranBesPuan,2),0),IF($H62="TBO-002",IF($E62="Evet",ROUND($C62*tbo_oranIlave,2),0),IF($H62="TBO-004",IF($F62="Evet",ROUND($C62*tbo_oranKadinGenc,2),0),IF($H62="TBO-ENG",IF($G62="Evet",ROUND($C62*tbo_isverenOran,2),0),0)))))</f>
        <v/>
      </c>
      <c r="L62" s="31">
        <f>IF($A62="","",MAX(0,$J62-$K62))</f>
        <v/>
      </c>
    </row>
    <row r="63">
      <c r="I63" s="31">
        <f>IF($A63="","",IF($J63=0,"YOK",IF(AND($E63="Evet",ROUND($C63*tbo_oranIlave,2)=$J63),"TBO-002",IF(AND($D63="Evet",ROUND($C63*tbo_oranBesPuan,2)=$J63),"TBO-001",IF(AND($F63="Evet",ROUND($C63*tbo_oranKadinGenc,2)=$J63),"TBO-004","TBO-ENG")))))</f>
        <v/>
      </c>
      <c r="J63" s="31">
        <f>IF($A63="","",MAX(IF($D63="Evet",ROUND($C63*tbo_oranBesPuan,2),0),IF($E63="Evet",ROUND($C63*tbo_oranIlave,2),0),IF($F63="Evet",ROUND($C63*tbo_oranKadinGenc,2),0),IF($G63="Evet",ROUND($C63*tbo_isverenOran,2),0)))</f>
        <v/>
      </c>
      <c r="K63" s="31">
        <f>IF($A63="","",IF($H63="TBO-001",IF($D63="Evet",ROUND($C63*tbo_oranBesPuan,2),0),IF($H63="TBO-002",IF($E63="Evet",ROUND($C63*tbo_oranIlave,2),0),IF($H63="TBO-004",IF($F63="Evet",ROUND($C63*tbo_oranKadinGenc,2),0),IF($H63="TBO-ENG",IF($G63="Evet",ROUND($C63*tbo_isverenOran,2),0),0)))))</f>
        <v/>
      </c>
      <c r="L63" s="31">
        <f>IF($A63="","",MAX(0,$J63-$K63))</f>
        <v/>
      </c>
    </row>
    <row r="64">
      <c r="I64" s="31">
        <f>IF($A64="","",IF($J64=0,"YOK",IF(AND($E64="Evet",ROUND($C64*tbo_oranIlave,2)=$J64),"TBO-002",IF(AND($D64="Evet",ROUND($C64*tbo_oranBesPuan,2)=$J64),"TBO-001",IF(AND($F64="Evet",ROUND($C64*tbo_oranKadinGenc,2)=$J64),"TBO-004","TBO-ENG")))))</f>
        <v/>
      </c>
      <c r="J64" s="31">
        <f>IF($A64="","",MAX(IF($D64="Evet",ROUND($C64*tbo_oranBesPuan,2),0),IF($E64="Evet",ROUND($C64*tbo_oranIlave,2),0),IF($F64="Evet",ROUND($C64*tbo_oranKadinGenc,2),0),IF($G64="Evet",ROUND($C64*tbo_isverenOran,2),0)))</f>
        <v/>
      </c>
      <c r="K64" s="31">
        <f>IF($A64="","",IF($H64="TBO-001",IF($D64="Evet",ROUND($C64*tbo_oranBesPuan,2),0),IF($H64="TBO-002",IF($E64="Evet",ROUND($C64*tbo_oranIlave,2),0),IF($H64="TBO-004",IF($F64="Evet",ROUND($C64*tbo_oranKadinGenc,2),0),IF($H64="TBO-ENG",IF($G64="Evet",ROUND($C64*tbo_isverenOran,2),0),0)))))</f>
        <v/>
      </c>
      <c r="L64" s="31">
        <f>IF($A64="","",MAX(0,$J64-$K64))</f>
        <v/>
      </c>
    </row>
    <row r="65">
      <c r="I65" s="31">
        <f>IF($A65="","",IF($J65=0,"YOK",IF(AND($E65="Evet",ROUND($C65*tbo_oranIlave,2)=$J65),"TBO-002",IF(AND($D65="Evet",ROUND($C65*tbo_oranBesPuan,2)=$J65),"TBO-001",IF(AND($F65="Evet",ROUND($C65*tbo_oranKadinGenc,2)=$J65),"TBO-004","TBO-ENG")))))</f>
        <v/>
      </c>
      <c r="J65" s="31">
        <f>IF($A65="","",MAX(IF($D65="Evet",ROUND($C65*tbo_oranBesPuan,2),0),IF($E65="Evet",ROUND($C65*tbo_oranIlave,2),0),IF($F65="Evet",ROUND($C65*tbo_oranKadinGenc,2),0),IF($G65="Evet",ROUND($C65*tbo_isverenOran,2),0)))</f>
        <v/>
      </c>
      <c r="K65" s="31">
        <f>IF($A65="","",IF($H65="TBO-001",IF($D65="Evet",ROUND($C65*tbo_oranBesPuan,2),0),IF($H65="TBO-002",IF($E65="Evet",ROUND($C65*tbo_oranIlave,2),0),IF($H65="TBO-004",IF($F65="Evet",ROUND($C65*tbo_oranKadinGenc,2),0),IF($H65="TBO-ENG",IF($G65="Evet",ROUND($C65*tbo_isverenOran,2),0),0)))))</f>
        <v/>
      </c>
      <c r="L65" s="31">
        <f>IF($A65="","",MAX(0,$J65-$K65))</f>
        <v/>
      </c>
    </row>
    <row r="66">
      <c r="I66" s="31">
        <f>IF($A66="","",IF($J66=0,"YOK",IF(AND($E66="Evet",ROUND($C66*tbo_oranIlave,2)=$J66),"TBO-002",IF(AND($D66="Evet",ROUND($C66*tbo_oranBesPuan,2)=$J66),"TBO-001",IF(AND($F66="Evet",ROUND($C66*tbo_oranKadinGenc,2)=$J66),"TBO-004","TBO-ENG")))))</f>
        <v/>
      </c>
      <c r="J66" s="31">
        <f>IF($A66="","",MAX(IF($D66="Evet",ROUND($C66*tbo_oranBesPuan,2),0),IF($E66="Evet",ROUND($C66*tbo_oranIlave,2),0),IF($F66="Evet",ROUND($C66*tbo_oranKadinGenc,2),0),IF($G66="Evet",ROUND($C66*tbo_isverenOran,2),0)))</f>
        <v/>
      </c>
      <c r="K66" s="31">
        <f>IF($A66="","",IF($H66="TBO-001",IF($D66="Evet",ROUND($C66*tbo_oranBesPuan,2),0),IF($H66="TBO-002",IF($E66="Evet",ROUND($C66*tbo_oranIlave,2),0),IF($H66="TBO-004",IF($F66="Evet",ROUND($C66*tbo_oranKadinGenc,2),0),IF($H66="TBO-ENG",IF($G66="Evet",ROUND($C66*tbo_isverenOran,2),0),0)))))</f>
        <v/>
      </c>
      <c r="L66" s="31">
        <f>IF($A66="","",MAX(0,$J66-$K66))</f>
        <v/>
      </c>
    </row>
    <row r="67">
      <c r="I67" s="31">
        <f>IF($A67="","",IF($J67=0,"YOK",IF(AND($E67="Evet",ROUND($C67*tbo_oranIlave,2)=$J67),"TBO-002",IF(AND($D67="Evet",ROUND($C67*tbo_oranBesPuan,2)=$J67),"TBO-001",IF(AND($F67="Evet",ROUND($C67*tbo_oranKadinGenc,2)=$J67),"TBO-004","TBO-ENG")))))</f>
        <v/>
      </c>
      <c r="J67" s="31">
        <f>IF($A67="","",MAX(IF($D67="Evet",ROUND($C67*tbo_oranBesPuan,2),0),IF($E67="Evet",ROUND($C67*tbo_oranIlave,2),0),IF($F67="Evet",ROUND($C67*tbo_oranKadinGenc,2),0),IF($G67="Evet",ROUND($C67*tbo_isverenOran,2),0)))</f>
        <v/>
      </c>
      <c r="K67" s="31">
        <f>IF($A67="","",IF($H67="TBO-001",IF($D67="Evet",ROUND($C67*tbo_oranBesPuan,2),0),IF($H67="TBO-002",IF($E67="Evet",ROUND($C67*tbo_oranIlave,2),0),IF($H67="TBO-004",IF($F67="Evet",ROUND($C67*tbo_oranKadinGenc,2),0),IF($H67="TBO-ENG",IF($G67="Evet",ROUND($C67*tbo_isverenOran,2),0),0)))))</f>
        <v/>
      </c>
      <c r="L67" s="31">
        <f>IF($A67="","",MAX(0,$J67-$K67))</f>
        <v/>
      </c>
    </row>
    <row r="68">
      <c r="I68" s="31">
        <f>IF($A68="","",IF($J68=0,"YOK",IF(AND($E68="Evet",ROUND($C68*tbo_oranIlave,2)=$J68),"TBO-002",IF(AND($D68="Evet",ROUND($C68*tbo_oranBesPuan,2)=$J68),"TBO-001",IF(AND($F68="Evet",ROUND($C68*tbo_oranKadinGenc,2)=$J68),"TBO-004","TBO-ENG")))))</f>
        <v/>
      </c>
      <c r="J68" s="31">
        <f>IF($A68="","",MAX(IF($D68="Evet",ROUND($C68*tbo_oranBesPuan,2),0),IF($E68="Evet",ROUND($C68*tbo_oranIlave,2),0),IF($F68="Evet",ROUND($C68*tbo_oranKadinGenc,2),0),IF($G68="Evet",ROUND($C68*tbo_isverenOran,2),0)))</f>
        <v/>
      </c>
      <c r="K68" s="31">
        <f>IF($A68="","",IF($H68="TBO-001",IF($D68="Evet",ROUND($C68*tbo_oranBesPuan,2),0),IF($H68="TBO-002",IF($E68="Evet",ROUND($C68*tbo_oranIlave,2),0),IF($H68="TBO-004",IF($F68="Evet",ROUND($C68*tbo_oranKadinGenc,2),0),IF($H68="TBO-ENG",IF($G68="Evet",ROUND($C68*tbo_isverenOran,2),0),0)))))</f>
        <v/>
      </c>
      <c r="L68" s="31">
        <f>IF($A68="","",MAX(0,$J68-$K68))</f>
        <v/>
      </c>
    </row>
    <row r="69">
      <c r="I69" s="31">
        <f>IF($A69="","",IF($J69=0,"YOK",IF(AND($E69="Evet",ROUND($C69*tbo_oranIlave,2)=$J69),"TBO-002",IF(AND($D69="Evet",ROUND($C69*tbo_oranBesPuan,2)=$J69),"TBO-001",IF(AND($F69="Evet",ROUND($C69*tbo_oranKadinGenc,2)=$J69),"TBO-004","TBO-ENG")))))</f>
        <v/>
      </c>
      <c r="J69" s="31">
        <f>IF($A69="","",MAX(IF($D69="Evet",ROUND($C69*tbo_oranBesPuan,2),0),IF($E69="Evet",ROUND($C69*tbo_oranIlave,2),0),IF($F69="Evet",ROUND($C69*tbo_oranKadinGenc,2),0),IF($G69="Evet",ROUND($C69*tbo_isverenOran,2),0)))</f>
        <v/>
      </c>
      <c r="K69" s="31">
        <f>IF($A69="","",IF($H69="TBO-001",IF($D69="Evet",ROUND($C69*tbo_oranBesPuan,2),0),IF($H69="TBO-002",IF($E69="Evet",ROUND($C69*tbo_oranIlave,2),0),IF($H69="TBO-004",IF($F69="Evet",ROUND($C69*tbo_oranKadinGenc,2),0),IF($H69="TBO-ENG",IF($G69="Evet",ROUND($C69*tbo_isverenOran,2),0),0)))))</f>
        <v/>
      </c>
      <c r="L69" s="31">
        <f>IF($A69="","",MAX(0,$J69-$K69))</f>
        <v/>
      </c>
    </row>
    <row r="70">
      <c r="I70" s="31">
        <f>IF($A70="","",IF($J70=0,"YOK",IF(AND($E70="Evet",ROUND($C70*tbo_oranIlave,2)=$J70),"TBO-002",IF(AND($D70="Evet",ROUND($C70*tbo_oranBesPuan,2)=$J70),"TBO-001",IF(AND($F70="Evet",ROUND($C70*tbo_oranKadinGenc,2)=$J70),"TBO-004","TBO-ENG")))))</f>
        <v/>
      </c>
      <c r="J70" s="31">
        <f>IF($A70="","",MAX(IF($D70="Evet",ROUND($C70*tbo_oranBesPuan,2),0),IF($E70="Evet",ROUND($C70*tbo_oranIlave,2),0),IF($F70="Evet",ROUND($C70*tbo_oranKadinGenc,2),0),IF($G70="Evet",ROUND($C70*tbo_isverenOran,2),0)))</f>
        <v/>
      </c>
      <c r="K70" s="31">
        <f>IF($A70="","",IF($H70="TBO-001",IF($D70="Evet",ROUND($C70*tbo_oranBesPuan,2),0),IF($H70="TBO-002",IF($E70="Evet",ROUND($C70*tbo_oranIlave,2),0),IF($H70="TBO-004",IF($F70="Evet",ROUND($C70*tbo_oranKadinGenc,2),0),IF($H70="TBO-ENG",IF($G70="Evet",ROUND($C70*tbo_isverenOran,2),0),0)))))</f>
        <v/>
      </c>
      <c r="L70" s="31">
        <f>IF($A70="","",MAX(0,$J70-$K70))</f>
        <v/>
      </c>
    </row>
    <row r="71">
      <c r="I71" s="31">
        <f>IF($A71="","",IF($J71=0,"YOK",IF(AND($E71="Evet",ROUND($C71*tbo_oranIlave,2)=$J71),"TBO-002",IF(AND($D71="Evet",ROUND($C71*tbo_oranBesPuan,2)=$J71),"TBO-001",IF(AND($F71="Evet",ROUND($C71*tbo_oranKadinGenc,2)=$J71),"TBO-004","TBO-ENG")))))</f>
        <v/>
      </c>
      <c r="J71" s="31">
        <f>IF($A71="","",MAX(IF($D71="Evet",ROUND($C71*tbo_oranBesPuan,2),0),IF($E71="Evet",ROUND($C71*tbo_oranIlave,2),0),IF($F71="Evet",ROUND($C71*tbo_oranKadinGenc,2),0),IF($G71="Evet",ROUND($C71*tbo_isverenOran,2),0)))</f>
        <v/>
      </c>
      <c r="K71" s="31">
        <f>IF($A71="","",IF($H71="TBO-001",IF($D71="Evet",ROUND($C71*tbo_oranBesPuan,2),0),IF($H71="TBO-002",IF($E71="Evet",ROUND($C71*tbo_oranIlave,2),0),IF($H71="TBO-004",IF($F71="Evet",ROUND($C71*tbo_oranKadinGenc,2),0),IF($H71="TBO-ENG",IF($G71="Evet",ROUND($C71*tbo_isverenOran,2),0),0)))))</f>
        <v/>
      </c>
      <c r="L71" s="31">
        <f>IF($A71="","",MAX(0,$J71-$K71))</f>
        <v/>
      </c>
    </row>
    <row r="72">
      <c r="I72" s="31">
        <f>IF($A72="","",IF($J72=0,"YOK",IF(AND($E72="Evet",ROUND($C72*tbo_oranIlave,2)=$J72),"TBO-002",IF(AND($D72="Evet",ROUND($C72*tbo_oranBesPuan,2)=$J72),"TBO-001",IF(AND($F72="Evet",ROUND($C72*tbo_oranKadinGenc,2)=$J72),"TBO-004","TBO-ENG")))))</f>
        <v/>
      </c>
      <c r="J72" s="31">
        <f>IF($A72="","",MAX(IF($D72="Evet",ROUND($C72*tbo_oranBesPuan,2),0),IF($E72="Evet",ROUND($C72*tbo_oranIlave,2),0),IF($F72="Evet",ROUND($C72*tbo_oranKadinGenc,2),0),IF($G72="Evet",ROUND($C72*tbo_isverenOran,2),0)))</f>
        <v/>
      </c>
      <c r="K72" s="31">
        <f>IF($A72="","",IF($H72="TBO-001",IF($D72="Evet",ROUND($C72*tbo_oranBesPuan,2),0),IF($H72="TBO-002",IF($E72="Evet",ROUND($C72*tbo_oranIlave,2),0),IF($H72="TBO-004",IF($F72="Evet",ROUND($C72*tbo_oranKadinGenc,2),0),IF($H72="TBO-ENG",IF($G72="Evet",ROUND($C72*tbo_isverenOran,2),0),0)))))</f>
        <v/>
      </c>
      <c r="L72" s="31">
        <f>IF($A72="","",MAX(0,$J72-$K72))</f>
        <v/>
      </c>
    </row>
    <row r="73">
      <c r="I73" s="31">
        <f>IF($A73="","",IF($J73=0,"YOK",IF(AND($E73="Evet",ROUND($C73*tbo_oranIlave,2)=$J73),"TBO-002",IF(AND($D73="Evet",ROUND($C73*tbo_oranBesPuan,2)=$J73),"TBO-001",IF(AND($F73="Evet",ROUND($C73*tbo_oranKadinGenc,2)=$J73),"TBO-004","TBO-ENG")))))</f>
        <v/>
      </c>
      <c r="J73" s="31">
        <f>IF($A73="","",MAX(IF($D73="Evet",ROUND($C73*tbo_oranBesPuan,2),0),IF($E73="Evet",ROUND($C73*tbo_oranIlave,2),0),IF($F73="Evet",ROUND($C73*tbo_oranKadinGenc,2),0),IF($G73="Evet",ROUND($C73*tbo_isverenOran,2),0)))</f>
        <v/>
      </c>
      <c r="K73" s="31">
        <f>IF($A73="","",IF($H73="TBO-001",IF($D73="Evet",ROUND($C73*tbo_oranBesPuan,2),0),IF($H73="TBO-002",IF($E73="Evet",ROUND($C73*tbo_oranIlave,2),0),IF($H73="TBO-004",IF($F73="Evet",ROUND($C73*tbo_oranKadinGenc,2),0),IF($H73="TBO-ENG",IF($G73="Evet",ROUND($C73*tbo_isverenOran,2),0),0)))))</f>
        <v/>
      </c>
      <c r="L73" s="31">
        <f>IF($A73="","",MAX(0,$J73-$K73))</f>
        <v/>
      </c>
    </row>
    <row r="74">
      <c r="I74" s="31">
        <f>IF($A74="","",IF($J74=0,"YOK",IF(AND($E74="Evet",ROUND($C74*tbo_oranIlave,2)=$J74),"TBO-002",IF(AND($D74="Evet",ROUND($C74*tbo_oranBesPuan,2)=$J74),"TBO-001",IF(AND($F74="Evet",ROUND($C74*tbo_oranKadinGenc,2)=$J74),"TBO-004","TBO-ENG")))))</f>
        <v/>
      </c>
      <c r="J74" s="31">
        <f>IF($A74="","",MAX(IF($D74="Evet",ROUND($C74*tbo_oranBesPuan,2),0),IF($E74="Evet",ROUND($C74*tbo_oranIlave,2),0),IF($F74="Evet",ROUND($C74*tbo_oranKadinGenc,2),0),IF($G74="Evet",ROUND($C74*tbo_isverenOran,2),0)))</f>
        <v/>
      </c>
      <c r="K74" s="31">
        <f>IF($A74="","",IF($H74="TBO-001",IF($D74="Evet",ROUND($C74*tbo_oranBesPuan,2),0),IF($H74="TBO-002",IF($E74="Evet",ROUND($C74*tbo_oranIlave,2),0),IF($H74="TBO-004",IF($F74="Evet",ROUND($C74*tbo_oranKadinGenc,2),0),IF($H74="TBO-ENG",IF($G74="Evet",ROUND($C74*tbo_isverenOran,2),0),0)))))</f>
        <v/>
      </c>
      <c r="L74" s="31">
        <f>IF($A74="","",MAX(0,$J74-$K74))</f>
        <v/>
      </c>
    </row>
    <row r="75">
      <c r="I75" s="31">
        <f>IF($A75="","",IF($J75=0,"YOK",IF(AND($E75="Evet",ROUND($C75*tbo_oranIlave,2)=$J75),"TBO-002",IF(AND($D75="Evet",ROUND($C75*tbo_oranBesPuan,2)=$J75),"TBO-001",IF(AND($F75="Evet",ROUND($C75*tbo_oranKadinGenc,2)=$J75),"TBO-004","TBO-ENG")))))</f>
        <v/>
      </c>
      <c r="J75" s="31">
        <f>IF($A75="","",MAX(IF($D75="Evet",ROUND($C75*tbo_oranBesPuan,2),0),IF($E75="Evet",ROUND($C75*tbo_oranIlave,2),0),IF($F75="Evet",ROUND($C75*tbo_oranKadinGenc,2),0),IF($G75="Evet",ROUND($C75*tbo_isverenOran,2),0)))</f>
        <v/>
      </c>
      <c r="K75" s="31">
        <f>IF($A75="","",IF($H75="TBO-001",IF($D75="Evet",ROUND($C75*tbo_oranBesPuan,2),0),IF($H75="TBO-002",IF($E75="Evet",ROUND($C75*tbo_oranIlave,2),0),IF($H75="TBO-004",IF($F75="Evet",ROUND($C75*tbo_oranKadinGenc,2),0),IF($H75="TBO-ENG",IF($G75="Evet",ROUND($C75*tbo_isverenOran,2),0),0)))))</f>
        <v/>
      </c>
      <c r="L75" s="31">
        <f>IF($A75="","",MAX(0,$J75-$K75))</f>
        <v/>
      </c>
    </row>
    <row r="76">
      <c r="I76" s="31">
        <f>IF($A76="","",IF($J76=0,"YOK",IF(AND($E76="Evet",ROUND($C76*tbo_oranIlave,2)=$J76),"TBO-002",IF(AND($D76="Evet",ROUND($C76*tbo_oranBesPuan,2)=$J76),"TBO-001",IF(AND($F76="Evet",ROUND($C76*tbo_oranKadinGenc,2)=$J76),"TBO-004","TBO-ENG")))))</f>
        <v/>
      </c>
      <c r="J76" s="31">
        <f>IF($A76="","",MAX(IF($D76="Evet",ROUND($C76*tbo_oranBesPuan,2),0),IF($E76="Evet",ROUND($C76*tbo_oranIlave,2),0),IF($F76="Evet",ROUND($C76*tbo_oranKadinGenc,2),0),IF($G76="Evet",ROUND($C76*tbo_isverenOran,2),0)))</f>
        <v/>
      </c>
      <c r="K76" s="31">
        <f>IF($A76="","",IF($H76="TBO-001",IF($D76="Evet",ROUND($C76*tbo_oranBesPuan,2),0),IF($H76="TBO-002",IF($E76="Evet",ROUND($C76*tbo_oranIlave,2),0),IF($H76="TBO-004",IF($F76="Evet",ROUND($C76*tbo_oranKadinGenc,2),0),IF($H76="TBO-ENG",IF($G76="Evet",ROUND($C76*tbo_isverenOran,2),0),0)))))</f>
        <v/>
      </c>
      <c r="L76" s="31">
        <f>IF($A76="","",MAX(0,$J76-$K76))</f>
        <v/>
      </c>
    </row>
    <row r="77">
      <c r="I77" s="31">
        <f>IF($A77="","",IF($J77=0,"YOK",IF(AND($E77="Evet",ROUND($C77*tbo_oranIlave,2)=$J77),"TBO-002",IF(AND($D77="Evet",ROUND($C77*tbo_oranBesPuan,2)=$J77),"TBO-001",IF(AND($F77="Evet",ROUND($C77*tbo_oranKadinGenc,2)=$J77),"TBO-004","TBO-ENG")))))</f>
        <v/>
      </c>
      <c r="J77" s="31">
        <f>IF($A77="","",MAX(IF($D77="Evet",ROUND($C77*tbo_oranBesPuan,2),0),IF($E77="Evet",ROUND($C77*tbo_oranIlave,2),0),IF($F77="Evet",ROUND($C77*tbo_oranKadinGenc,2),0),IF($G77="Evet",ROUND($C77*tbo_isverenOran,2),0)))</f>
        <v/>
      </c>
      <c r="K77" s="31">
        <f>IF($A77="","",IF($H77="TBO-001",IF($D77="Evet",ROUND($C77*tbo_oranBesPuan,2),0),IF($H77="TBO-002",IF($E77="Evet",ROUND($C77*tbo_oranIlave,2),0),IF($H77="TBO-004",IF($F77="Evet",ROUND($C77*tbo_oranKadinGenc,2),0),IF($H77="TBO-ENG",IF($G77="Evet",ROUND($C77*tbo_isverenOran,2),0),0)))))</f>
        <v/>
      </c>
      <c r="L77" s="31">
        <f>IF($A77="","",MAX(0,$J77-$K77))</f>
        <v/>
      </c>
    </row>
    <row r="78">
      <c r="I78" s="31">
        <f>IF($A78="","",IF($J78=0,"YOK",IF(AND($E78="Evet",ROUND($C78*tbo_oranIlave,2)=$J78),"TBO-002",IF(AND($D78="Evet",ROUND($C78*tbo_oranBesPuan,2)=$J78),"TBO-001",IF(AND($F78="Evet",ROUND($C78*tbo_oranKadinGenc,2)=$J78),"TBO-004","TBO-ENG")))))</f>
        <v/>
      </c>
      <c r="J78" s="31">
        <f>IF($A78="","",MAX(IF($D78="Evet",ROUND($C78*tbo_oranBesPuan,2),0),IF($E78="Evet",ROUND($C78*tbo_oranIlave,2),0),IF($F78="Evet",ROUND($C78*tbo_oranKadinGenc,2),0),IF($G78="Evet",ROUND($C78*tbo_isverenOran,2),0)))</f>
        <v/>
      </c>
      <c r="K78" s="31">
        <f>IF($A78="","",IF($H78="TBO-001",IF($D78="Evet",ROUND($C78*tbo_oranBesPuan,2),0),IF($H78="TBO-002",IF($E78="Evet",ROUND($C78*tbo_oranIlave,2),0),IF($H78="TBO-004",IF($F78="Evet",ROUND($C78*tbo_oranKadinGenc,2),0),IF($H78="TBO-ENG",IF($G78="Evet",ROUND($C78*tbo_isverenOran,2),0),0)))))</f>
        <v/>
      </c>
      <c r="L78" s="31">
        <f>IF($A78="","",MAX(0,$J78-$K78))</f>
        <v/>
      </c>
    </row>
    <row r="79">
      <c r="I79" s="31">
        <f>IF($A79="","",IF($J79=0,"YOK",IF(AND($E79="Evet",ROUND($C79*tbo_oranIlave,2)=$J79),"TBO-002",IF(AND($D79="Evet",ROUND($C79*tbo_oranBesPuan,2)=$J79),"TBO-001",IF(AND($F79="Evet",ROUND($C79*tbo_oranKadinGenc,2)=$J79),"TBO-004","TBO-ENG")))))</f>
        <v/>
      </c>
      <c r="J79" s="31">
        <f>IF($A79="","",MAX(IF($D79="Evet",ROUND($C79*tbo_oranBesPuan,2),0),IF($E79="Evet",ROUND($C79*tbo_oranIlave,2),0),IF($F79="Evet",ROUND($C79*tbo_oranKadinGenc,2),0),IF($G79="Evet",ROUND($C79*tbo_isverenOran,2),0)))</f>
        <v/>
      </c>
      <c r="K79" s="31">
        <f>IF($A79="","",IF($H79="TBO-001",IF($D79="Evet",ROUND($C79*tbo_oranBesPuan,2),0),IF($H79="TBO-002",IF($E79="Evet",ROUND($C79*tbo_oranIlave,2),0),IF($H79="TBO-004",IF($F79="Evet",ROUND($C79*tbo_oranKadinGenc,2),0),IF($H79="TBO-ENG",IF($G79="Evet",ROUND($C79*tbo_isverenOran,2),0),0)))))</f>
        <v/>
      </c>
      <c r="L79" s="31">
        <f>IF($A79="","",MAX(0,$J79-$K79))</f>
        <v/>
      </c>
    </row>
    <row r="80">
      <c r="I80" s="31">
        <f>IF($A80="","",IF($J80=0,"YOK",IF(AND($E80="Evet",ROUND($C80*tbo_oranIlave,2)=$J80),"TBO-002",IF(AND($D80="Evet",ROUND($C80*tbo_oranBesPuan,2)=$J80),"TBO-001",IF(AND($F80="Evet",ROUND($C80*tbo_oranKadinGenc,2)=$J80),"TBO-004","TBO-ENG")))))</f>
        <v/>
      </c>
      <c r="J80" s="31">
        <f>IF($A80="","",MAX(IF($D80="Evet",ROUND($C80*tbo_oranBesPuan,2),0),IF($E80="Evet",ROUND($C80*tbo_oranIlave,2),0),IF($F80="Evet",ROUND($C80*tbo_oranKadinGenc,2),0),IF($G80="Evet",ROUND($C80*tbo_isverenOran,2),0)))</f>
        <v/>
      </c>
      <c r="K80" s="31">
        <f>IF($A80="","",IF($H80="TBO-001",IF($D80="Evet",ROUND($C80*tbo_oranBesPuan,2),0),IF($H80="TBO-002",IF($E80="Evet",ROUND($C80*tbo_oranIlave,2),0),IF($H80="TBO-004",IF($F80="Evet",ROUND($C80*tbo_oranKadinGenc,2),0),IF($H80="TBO-ENG",IF($G80="Evet",ROUND($C80*tbo_isverenOran,2),0),0)))))</f>
        <v/>
      </c>
      <c r="L80" s="31">
        <f>IF($A80="","",MAX(0,$J80-$K80))</f>
        <v/>
      </c>
    </row>
    <row r="81">
      <c r="I81" s="31">
        <f>IF($A81="","",IF($J81=0,"YOK",IF(AND($E81="Evet",ROUND($C81*tbo_oranIlave,2)=$J81),"TBO-002",IF(AND($D81="Evet",ROUND($C81*tbo_oranBesPuan,2)=$J81),"TBO-001",IF(AND($F81="Evet",ROUND($C81*tbo_oranKadinGenc,2)=$J81),"TBO-004","TBO-ENG")))))</f>
        <v/>
      </c>
      <c r="J81" s="31">
        <f>IF($A81="","",MAX(IF($D81="Evet",ROUND($C81*tbo_oranBesPuan,2),0),IF($E81="Evet",ROUND($C81*tbo_oranIlave,2),0),IF($F81="Evet",ROUND($C81*tbo_oranKadinGenc,2),0),IF($G81="Evet",ROUND($C81*tbo_isverenOran,2),0)))</f>
        <v/>
      </c>
      <c r="K81" s="31">
        <f>IF($A81="","",IF($H81="TBO-001",IF($D81="Evet",ROUND($C81*tbo_oranBesPuan,2),0),IF($H81="TBO-002",IF($E81="Evet",ROUND($C81*tbo_oranIlave,2),0),IF($H81="TBO-004",IF($F81="Evet",ROUND($C81*tbo_oranKadinGenc,2),0),IF($H81="TBO-ENG",IF($G81="Evet",ROUND($C81*tbo_isverenOran,2),0),0)))))</f>
        <v/>
      </c>
      <c r="L81" s="31">
        <f>IF($A81="","",MAX(0,$J81-$K81))</f>
        <v/>
      </c>
    </row>
    <row r="82">
      <c r="I82" s="31">
        <f>IF($A82="","",IF($J82=0,"YOK",IF(AND($E82="Evet",ROUND($C82*tbo_oranIlave,2)=$J82),"TBO-002",IF(AND($D82="Evet",ROUND($C82*tbo_oranBesPuan,2)=$J82),"TBO-001",IF(AND($F82="Evet",ROUND($C82*tbo_oranKadinGenc,2)=$J82),"TBO-004","TBO-ENG")))))</f>
        <v/>
      </c>
      <c r="J82" s="31">
        <f>IF($A82="","",MAX(IF($D82="Evet",ROUND($C82*tbo_oranBesPuan,2),0),IF($E82="Evet",ROUND($C82*tbo_oranIlave,2),0),IF($F82="Evet",ROUND($C82*tbo_oranKadinGenc,2),0),IF($G82="Evet",ROUND($C82*tbo_isverenOran,2),0)))</f>
        <v/>
      </c>
      <c r="K82" s="31">
        <f>IF($A82="","",IF($H82="TBO-001",IF($D82="Evet",ROUND($C82*tbo_oranBesPuan,2),0),IF($H82="TBO-002",IF($E82="Evet",ROUND($C82*tbo_oranIlave,2),0),IF($H82="TBO-004",IF($F82="Evet",ROUND($C82*tbo_oranKadinGenc,2),0),IF($H82="TBO-ENG",IF($G82="Evet",ROUND($C82*tbo_isverenOran,2),0),0)))))</f>
        <v/>
      </c>
      <c r="L82" s="31">
        <f>IF($A82="","",MAX(0,$J82-$K82))</f>
        <v/>
      </c>
    </row>
    <row r="83">
      <c r="I83" s="31">
        <f>IF($A83="","",IF($J83=0,"YOK",IF(AND($E83="Evet",ROUND($C83*tbo_oranIlave,2)=$J83),"TBO-002",IF(AND($D83="Evet",ROUND($C83*tbo_oranBesPuan,2)=$J83),"TBO-001",IF(AND($F83="Evet",ROUND($C83*tbo_oranKadinGenc,2)=$J83),"TBO-004","TBO-ENG")))))</f>
        <v/>
      </c>
      <c r="J83" s="31">
        <f>IF($A83="","",MAX(IF($D83="Evet",ROUND($C83*tbo_oranBesPuan,2),0),IF($E83="Evet",ROUND($C83*tbo_oranIlave,2),0),IF($F83="Evet",ROUND($C83*tbo_oranKadinGenc,2),0),IF($G83="Evet",ROUND($C83*tbo_isverenOran,2),0)))</f>
        <v/>
      </c>
      <c r="K83" s="31">
        <f>IF($A83="","",IF($H83="TBO-001",IF($D83="Evet",ROUND($C83*tbo_oranBesPuan,2),0),IF($H83="TBO-002",IF($E83="Evet",ROUND($C83*tbo_oranIlave,2),0),IF($H83="TBO-004",IF($F83="Evet",ROUND($C83*tbo_oranKadinGenc,2),0),IF($H83="TBO-ENG",IF($G83="Evet",ROUND($C83*tbo_isverenOran,2),0),0)))))</f>
        <v/>
      </c>
      <c r="L83" s="31">
        <f>IF($A83="","",MAX(0,$J83-$K83))</f>
        <v/>
      </c>
    </row>
    <row r="84">
      <c r="I84" s="31">
        <f>IF($A84="","",IF($J84=0,"YOK",IF(AND($E84="Evet",ROUND($C84*tbo_oranIlave,2)=$J84),"TBO-002",IF(AND($D84="Evet",ROUND($C84*tbo_oranBesPuan,2)=$J84),"TBO-001",IF(AND($F84="Evet",ROUND($C84*tbo_oranKadinGenc,2)=$J84),"TBO-004","TBO-ENG")))))</f>
        <v/>
      </c>
      <c r="J84" s="31">
        <f>IF($A84="","",MAX(IF($D84="Evet",ROUND($C84*tbo_oranBesPuan,2),0),IF($E84="Evet",ROUND($C84*tbo_oranIlave,2),0),IF($F84="Evet",ROUND($C84*tbo_oranKadinGenc,2),0),IF($G84="Evet",ROUND($C84*tbo_isverenOran,2),0)))</f>
        <v/>
      </c>
      <c r="K84" s="31">
        <f>IF($A84="","",IF($H84="TBO-001",IF($D84="Evet",ROUND($C84*tbo_oranBesPuan,2),0),IF($H84="TBO-002",IF($E84="Evet",ROUND($C84*tbo_oranIlave,2),0),IF($H84="TBO-004",IF($F84="Evet",ROUND($C84*tbo_oranKadinGenc,2),0),IF($H84="TBO-ENG",IF($G84="Evet",ROUND($C84*tbo_isverenOran,2),0),0)))))</f>
        <v/>
      </c>
      <c r="L84" s="31">
        <f>IF($A84="","",MAX(0,$J84-$K84))</f>
        <v/>
      </c>
    </row>
    <row r="85">
      <c r="I85" s="31">
        <f>IF($A85="","",IF($J85=0,"YOK",IF(AND($E85="Evet",ROUND($C85*tbo_oranIlave,2)=$J85),"TBO-002",IF(AND($D85="Evet",ROUND($C85*tbo_oranBesPuan,2)=$J85),"TBO-001",IF(AND($F85="Evet",ROUND($C85*tbo_oranKadinGenc,2)=$J85),"TBO-004","TBO-ENG")))))</f>
        <v/>
      </c>
      <c r="J85" s="31">
        <f>IF($A85="","",MAX(IF($D85="Evet",ROUND($C85*tbo_oranBesPuan,2),0),IF($E85="Evet",ROUND($C85*tbo_oranIlave,2),0),IF($F85="Evet",ROUND($C85*tbo_oranKadinGenc,2),0),IF($G85="Evet",ROUND($C85*tbo_isverenOran,2),0)))</f>
        <v/>
      </c>
      <c r="K85" s="31">
        <f>IF($A85="","",IF($H85="TBO-001",IF($D85="Evet",ROUND($C85*tbo_oranBesPuan,2),0),IF($H85="TBO-002",IF($E85="Evet",ROUND($C85*tbo_oranIlave,2),0),IF($H85="TBO-004",IF($F85="Evet",ROUND($C85*tbo_oranKadinGenc,2),0),IF($H85="TBO-ENG",IF($G85="Evet",ROUND($C85*tbo_isverenOran,2),0),0)))))</f>
        <v/>
      </c>
      <c r="L85" s="31">
        <f>IF($A85="","",MAX(0,$J85-$K85))</f>
        <v/>
      </c>
    </row>
    <row r="86">
      <c r="I86" s="31">
        <f>IF($A86="","",IF($J86=0,"YOK",IF(AND($E86="Evet",ROUND($C86*tbo_oranIlave,2)=$J86),"TBO-002",IF(AND($D86="Evet",ROUND($C86*tbo_oranBesPuan,2)=$J86),"TBO-001",IF(AND($F86="Evet",ROUND($C86*tbo_oranKadinGenc,2)=$J86),"TBO-004","TBO-ENG")))))</f>
        <v/>
      </c>
      <c r="J86" s="31">
        <f>IF($A86="","",MAX(IF($D86="Evet",ROUND($C86*tbo_oranBesPuan,2),0),IF($E86="Evet",ROUND($C86*tbo_oranIlave,2),0),IF($F86="Evet",ROUND($C86*tbo_oranKadinGenc,2),0),IF($G86="Evet",ROUND($C86*tbo_isverenOran,2),0)))</f>
        <v/>
      </c>
      <c r="K86" s="31">
        <f>IF($A86="","",IF($H86="TBO-001",IF($D86="Evet",ROUND($C86*tbo_oranBesPuan,2),0),IF($H86="TBO-002",IF($E86="Evet",ROUND($C86*tbo_oranIlave,2),0),IF($H86="TBO-004",IF($F86="Evet",ROUND($C86*tbo_oranKadinGenc,2),0),IF($H86="TBO-ENG",IF($G86="Evet",ROUND($C86*tbo_isverenOran,2),0),0)))))</f>
        <v/>
      </c>
      <c r="L86" s="31">
        <f>IF($A86="","",MAX(0,$J86-$K86))</f>
        <v/>
      </c>
    </row>
    <row r="87">
      <c r="I87" s="31">
        <f>IF($A87="","",IF($J87=0,"YOK",IF(AND($E87="Evet",ROUND($C87*tbo_oranIlave,2)=$J87),"TBO-002",IF(AND($D87="Evet",ROUND($C87*tbo_oranBesPuan,2)=$J87),"TBO-001",IF(AND($F87="Evet",ROUND($C87*tbo_oranKadinGenc,2)=$J87),"TBO-004","TBO-ENG")))))</f>
        <v/>
      </c>
      <c r="J87" s="31">
        <f>IF($A87="","",MAX(IF($D87="Evet",ROUND($C87*tbo_oranBesPuan,2),0),IF($E87="Evet",ROUND($C87*tbo_oranIlave,2),0),IF($F87="Evet",ROUND($C87*tbo_oranKadinGenc,2),0),IF($G87="Evet",ROUND($C87*tbo_isverenOran,2),0)))</f>
        <v/>
      </c>
      <c r="K87" s="31">
        <f>IF($A87="","",IF($H87="TBO-001",IF($D87="Evet",ROUND($C87*tbo_oranBesPuan,2),0),IF($H87="TBO-002",IF($E87="Evet",ROUND($C87*tbo_oranIlave,2),0),IF($H87="TBO-004",IF($F87="Evet",ROUND($C87*tbo_oranKadinGenc,2),0),IF($H87="TBO-ENG",IF($G87="Evet",ROUND($C87*tbo_isverenOran,2),0),0)))))</f>
        <v/>
      </c>
      <c r="L87" s="31">
        <f>IF($A87="","",MAX(0,$J87-$K87))</f>
        <v/>
      </c>
    </row>
    <row r="88">
      <c r="I88" s="31">
        <f>IF($A88="","",IF($J88=0,"YOK",IF(AND($E88="Evet",ROUND($C88*tbo_oranIlave,2)=$J88),"TBO-002",IF(AND($D88="Evet",ROUND($C88*tbo_oranBesPuan,2)=$J88),"TBO-001",IF(AND($F88="Evet",ROUND($C88*tbo_oranKadinGenc,2)=$J88),"TBO-004","TBO-ENG")))))</f>
        <v/>
      </c>
      <c r="J88" s="31">
        <f>IF($A88="","",MAX(IF($D88="Evet",ROUND($C88*tbo_oranBesPuan,2),0),IF($E88="Evet",ROUND($C88*tbo_oranIlave,2),0),IF($F88="Evet",ROUND($C88*tbo_oranKadinGenc,2),0),IF($G88="Evet",ROUND($C88*tbo_isverenOran,2),0)))</f>
        <v/>
      </c>
      <c r="K88" s="31">
        <f>IF($A88="","",IF($H88="TBO-001",IF($D88="Evet",ROUND($C88*tbo_oranBesPuan,2),0),IF($H88="TBO-002",IF($E88="Evet",ROUND($C88*tbo_oranIlave,2),0),IF($H88="TBO-004",IF($F88="Evet",ROUND($C88*tbo_oranKadinGenc,2),0),IF($H88="TBO-ENG",IF($G88="Evet",ROUND($C88*tbo_isverenOran,2),0),0)))))</f>
        <v/>
      </c>
      <c r="L88" s="31">
        <f>IF($A88="","",MAX(0,$J88-$K88))</f>
        <v/>
      </c>
    </row>
    <row r="89">
      <c r="I89" s="31">
        <f>IF($A89="","",IF($J89=0,"YOK",IF(AND($E89="Evet",ROUND($C89*tbo_oranIlave,2)=$J89),"TBO-002",IF(AND($D89="Evet",ROUND($C89*tbo_oranBesPuan,2)=$J89),"TBO-001",IF(AND($F89="Evet",ROUND($C89*tbo_oranKadinGenc,2)=$J89),"TBO-004","TBO-ENG")))))</f>
        <v/>
      </c>
      <c r="J89" s="31">
        <f>IF($A89="","",MAX(IF($D89="Evet",ROUND($C89*tbo_oranBesPuan,2),0),IF($E89="Evet",ROUND($C89*tbo_oranIlave,2),0),IF($F89="Evet",ROUND($C89*tbo_oranKadinGenc,2),0),IF($G89="Evet",ROUND($C89*tbo_isverenOran,2),0)))</f>
        <v/>
      </c>
      <c r="K89" s="31">
        <f>IF($A89="","",IF($H89="TBO-001",IF($D89="Evet",ROUND($C89*tbo_oranBesPuan,2),0),IF($H89="TBO-002",IF($E89="Evet",ROUND($C89*tbo_oranIlave,2),0),IF($H89="TBO-004",IF($F89="Evet",ROUND($C89*tbo_oranKadinGenc,2),0),IF($H89="TBO-ENG",IF($G89="Evet",ROUND($C89*tbo_isverenOran,2),0),0)))))</f>
        <v/>
      </c>
      <c r="L89" s="31">
        <f>IF($A89="","",MAX(0,$J89-$K89))</f>
        <v/>
      </c>
    </row>
    <row r="90">
      <c r="I90" s="31">
        <f>IF($A90="","",IF($J90=0,"YOK",IF(AND($E90="Evet",ROUND($C90*tbo_oranIlave,2)=$J90),"TBO-002",IF(AND($D90="Evet",ROUND($C90*tbo_oranBesPuan,2)=$J90),"TBO-001",IF(AND($F90="Evet",ROUND($C90*tbo_oranKadinGenc,2)=$J90),"TBO-004","TBO-ENG")))))</f>
        <v/>
      </c>
      <c r="J90" s="31">
        <f>IF($A90="","",MAX(IF($D90="Evet",ROUND($C90*tbo_oranBesPuan,2),0),IF($E90="Evet",ROUND($C90*tbo_oranIlave,2),0),IF($F90="Evet",ROUND($C90*tbo_oranKadinGenc,2),0),IF($G90="Evet",ROUND($C90*tbo_isverenOran,2),0)))</f>
        <v/>
      </c>
      <c r="K90" s="31">
        <f>IF($A90="","",IF($H90="TBO-001",IF($D90="Evet",ROUND($C90*tbo_oranBesPuan,2),0),IF($H90="TBO-002",IF($E90="Evet",ROUND($C90*tbo_oranIlave,2),0),IF($H90="TBO-004",IF($F90="Evet",ROUND($C90*tbo_oranKadinGenc,2),0),IF($H90="TBO-ENG",IF($G90="Evet",ROUND($C90*tbo_isverenOran,2),0),0)))))</f>
        <v/>
      </c>
      <c r="L90" s="31">
        <f>IF($A90="","",MAX(0,$J90-$K90))</f>
        <v/>
      </c>
    </row>
    <row r="91">
      <c r="I91" s="31">
        <f>IF($A91="","",IF($J91=0,"YOK",IF(AND($E91="Evet",ROUND($C91*tbo_oranIlave,2)=$J91),"TBO-002",IF(AND($D91="Evet",ROUND($C91*tbo_oranBesPuan,2)=$J91),"TBO-001",IF(AND($F91="Evet",ROUND($C91*tbo_oranKadinGenc,2)=$J91),"TBO-004","TBO-ENG")))))</f>
        <v/>
      </c>
      <c r="J91" s="31">
        <f>IF($A91="","",MAX(IF($D91="Evet",ROUND($C91*tbo_oranBesPuan,2),0),IF($E91="Evet",ROUND($C91*tbo_oranIlave,2),0),IF($F91="Evet",ROUND($C91*tbo_oranKadinGenc,2),0),IF($G91="Evet",ROUND($C91*tbo_isverenOran,2),0)))</f>
        <v/>
      </c>
      <c r="K91" s="31">
        <f>IF($A91="","",IF($H91="TBO-001",IF($D91="Evet",ROUND($C91*tbo_oranBesPuan,2),0),IF($H91="TBO-002",IF($E91="Evet",ROUND($C91*tbo_oranIlave,2),0),IF($H91="TBO-004",IF($F91="Evet",ROUND($C91*tbo_oranKadinGenc,2),0),IF($H91="TBO-ENG",IF($G91="Evet",ROUND($C91*tbo_isverenOran,2),0),0)))))</f>
        <v/>
      </c>
      <c r="L91" s="31">
        <f>IF($A91="","",MAX(0,$J91-$K91))</f>
        <v/>
      </c>
    </row>
    <row r="92">
      <c r="I92" s="31">
        <f>IF($A92="","",IF($J92=0,"YOK",IF(AND($E92="Evet",ROUND($C92*tbo_oranIlave,2)=$J92),"TBO-002",IF(AND($D92="Evet",ROUND($C92*tbo_oranBesPuan,2)=$J92),"TBO-001",IF(AND($F92="Evet",ROUND($C92*tbo_oranKadinGenc,2)=$J92),"TBO-004","TBO-ENG")))))</f>
        <v/>
      </c>
      <c r="J92" s="31">
        <f>IF($A92="","",MAX(IF($D92="Evet",ROUND($C92*tbo_oranBesPuan,2),0),IF($E92="Evet",ROUND($C92*tbo_oranIlave,2),0),IF($F92="Evet",ROUND($C92*tbo_oranKadinGenc,2),0),IF($G92="Evet",ROUND($C92*tbo_isverenOran,2),0)))</f>
        <v/>
      </c>
      <c r="K92" s="31">
        <f>IF($A92="","",IF($H92="TBO-001",IF($D92="Evet",ROUND($C92*tbo_oranBesPuan,2),0),IF($H92="TBO-002",IF($E92="Evet",ROUND($C92*tbo_oranIlave,2),0),IF($H92="TBO-004",IF($F92="Evet",ROUND($C92*tbo_oranKadinGenc,2),0),IF($H92="TBO-ENG",IF($G92="Evet",ROUND($C92*tbo_isverenOran,2),0),0)))))</f>
        <v/>
      </c>
      <c r="L92" s="31">
        <f>IF($A92="","",MAX(0,$J92-$K92))</f>
        <v/>
      </c>
    </row>
    <row r="93">
      <c r="I93" s="31">
        <f>IF($A93="","",IF($J93=0,"YOK",IF(AND($E93="Evet",ROUND($C93*tbo_oranIlave,2)=$J93),"TBO-002",IF(AND($D93="Evet",ROUND($C93*tbo_oranBesPuan,2)=$J93),"TBO-001",IF(AND($F93="Evet",ROUND($C93*tbo_oranKadinGenc,2)=$J93),"TBO-004","TBO-ENG")))))</f>
        <v/>
      </c>
      <c r="J93" s="31">
        <f>IF($A93="","",MAX(IF($D93="Evet",ROUND($C93*tbo_oranBesPuan,2),0),IF($E93="Evet",ROUND($C93*tbo_oranIlave,2),0),IF($F93="Evet",ROUND($C93*tbo_oranKadinGenc,2),0),IF($G93="Evet",ROUND($C93*tbo_isverenOran,2),0)))</f>
        <v/>
      </c>
      <c r="K93" s="31">
        <f>IF($A93="","",IF($H93="TBO-001",IF($D93="Evet",ROUND($C93*tbo_oranBesPuan,2),0),IF($H93="TBO-002",IF($E93="Evet",ROUND($C93*tbo_oranIlave,2),0),IF($H93="TBO-004",IF($F93="Evet",ROUND($C93*tbo_oranKadinGenc,2),0),IF($H93="TBO-ENG",IF($G93="Evet",ROUND($C93*tbo_isverenOran,2),0),0)))))</f>
        <v/>
      </c>
      <c r="L93" s="31">
        <f>IF($A93="","",MAX(0,$J93-$K93))</f>
        <v/>
      </c>
    </row>
    <row r="94">
      <c r="I94" s="31">
        <f>IF($A94="","",IF($J94=0,"YOK",IF(AND($E94="Evet",ROUND($C94*tbo_oranIlave,2)=$J94),"TBO-002",IF(AND($D94="Evet",ROUND($C94*tbo_oranBesPuan,2)=$J94),"TBO-001",IF(AND($F94="Evet",ROUND($C94*tbo_oranKadinGenc,2)=$J94),"TBO-004","TBO-ENG")))))</f>
        <v/>
      </c>
      <c r="J94" s="31">
        <f>IF($A94="","",MAX(IF($D94="Evet",ROUND($C94*tbo_oranBesPuan,2),0),IF($E94="Evet",ROUND($C94*tbo_oranIlave,2),0),IF($F94="Evet",ROUND($C94*tbo_oranKadinGenc,2),0),IF($G94="Evet",ROUND($C94*tbo_isverenOran,2),0)))</f>
        <v/>
      </c>
      <c r="K94" s="31">
        <f>IF($A94="","",IF($H94="TBO-001",IF($D94="Evet",ROUND($C94*tbo_oranBesPuan,2),0),IF($H94="TBO-002",IF($E94="Evet",ROUND($C94*tbo_oranIlave,2),0),IF($H94="TBO-004",IF($F94="Evet",ROUND($C94*tbo_oranKadinGenc,2),0),IF($H94="TBO-ENG",IF($G94="Evet",ROUND($C94*tbo_isverenOran,2),0),0)))))</f>
        <v/>
      </c>
      <c r="L94" s="31">
        <f>IF($A94="","",MAX(0,$J94-$K94))</f>
        <v/>
      </c>
    </row>
    <row r="95">
      <c r="I95" s="31">
        <f>IF($A95="","",IF($J95=0,"YOK",IF(AND($E95="Evet",ROUND($C95*tbo_oranIlave,2)=$J95),"TBO-002",IF(AND($D95="Evet",ROUND($C95*tbo_oranBesPuan,2)=$J95),"TBO-001",IF(AND($F95="Evet",ROUND($C95*tbo_oranKadinGenc,2)=$J95),"TBO-004","TBO-ENG")))))</f>
        <v/>
      </c>
      <c r="J95" s="31">
        <f>IF($A95="","",MAX(IF($D95="Evet",ROUND($C95*tbo_oranBesPuan,2),0),IF($E95="Evet",ROUND($C95*tbo_oranIlave,2),0),IF($F95="Evet",ROUND($C95*tbo_oranKadinGenc,2),0),IF($G95="Evet",ROUND($C95*tbo_isverenOran,2),0)))</f>
        <v/>
      </c>
      <c r="K95" s="31">
        <f>IF($A95="","",IF($H95="TBO-001",IF($D95="Evet",ROUND($C95*tbo_oranBesPuan,2),0),IF($H95="TBO-002",IF($E95="Evet",ROUND($C95*tbo_oranIlave,2),0),IF($H95="TBO-004",IF($F95="Evet",ROUND($C95*tbo_oranKadinGenc,2),0),IF($H95="TBO-ENG",IF($G95="Evet",ROUND($C95*tbo_isverenOran,2),0),0)))))</f>
        <v/>
      </c>
      <c r="L95" s="31">
        <f>IF($A95="","",MAX(0,$J95-$K95))</f>
        <v/>
      </c>
    </row>
    <row r="96">
      <c r="I96" s="31">
        <f>IF($A96="","",IF($J96=0,"YOK",IF(AND($E96="Evet",ROUND($C96*tbo_oranIlave,2)=$J96),"TBO-002",IF(AND($D96="Evet",ROUND($C96*tbo_oranBesPuan,2)=$J96),"TBO-001",IF(AND($F96="Evet",ROUND($C96*tbo_oranKadinGenc,2)=$J96),"TBO-004","TBO-ENG")))))</f>
        <v/>
      </c>
      <c r="J96" s="31">
        <f>IF($A96="","",MAX(IF($D96="Evet",ROUND($C96*tbo_oranBesPuan,2),0),IF($E96="Evet",ROUND($C96*tbo_oranIlave,2),0),IF($F96="Evet",ROUND($C96*tbo_oranKadinGenc,2),0),IF($G96="Evet",ROUND($C96*tbo_isverenOran,2),0)))</f>
        <v/>
      </c>
      <c r="K96" s="31">
        <f>IF($A96="","",IF($H96="TBO-001",IF($D96="Evet",ROUND($C96*tbo_oranBesPuan,2),0),IF($H96="TBO-002",IF($E96="Evet",ROUND($C96*tbo_oranIlave,2),0),IF($H96="TBO-004",IF($F96="Evet",ROUND($C96*tbo_oranKadinGenc,2),0),IF($H96="TBO-ENG",IF($G96="Evet",ROUND($C96*tbo_isverenOran,2),0),0)))))</f>
        <v/>
      </c>
      <c r="L96" s="31">
        <f>IF($A96="","",MAX(0,$J96-$K96))</f>
        <v/>
      </c>
    </row>
    <row r="97">
      <c r="I97" s="31">
        <f>IF($A97="","",IF($J97=0,"YOK",IF(AND($E97="Evet",ROUND($C97*tbo_oranIlave,2)=$J97),"TBO-002",IF(AND($D97="Evet",ROUND($C97*tbo_oranBesPuan,2)=$J97),"TBO-001",IF(AND($F97="Evet",ROUND($C97*tbo_oranKadinGenc,2)=$J97),"TBO-004","TBO-ENG")))))</f>
        <v/>
      </c>
      <c r="J97" s="31">
        <f>IF($A97="","",MAX(IF($D97="Evet",ROUND($C97*tbo_oranBesPuan,2),0),IF($E97="Evet",ROUND($C97*tbo_oranIlave,2),0),IF($F97="Evet",ROUND($C97*tbo_oranKadinGenc,2),0),IF($G97="Evet",ROUND($C97*tbo_isverenOran,2),0)))</f>
        <v/>
      </c>
      <c r="K97" s="31">
        <f>IF($A97="","",IF($H97="TBO-001",IF($D97="Evet",ROUND($C97*tbo_oranBesPuan,2),0),IF($H97="TBO-002",IF($E97="Evet",ROUND($C97*tbo_oranIlave,2),0),IF($H97="TBO-004",IF($F97="Evet",ROUND($C97*tbo_oranKadinGenc,2),0),IF($H97="TBO-ENG",IF($G97="Evet",ROUND($C97*tbo_isverenOran,2),0),0)))))</f>
        <v/>
      </c>
      <c r="L97" s="31">
        <f>IF($A97="","",MAX(0,$J97-$K97))</f>
        <v/>
      </c>
    </row>
    <row r="98">
      <c r="I98" s="31">
        <f>IF($A98="","",IF($J98=0,"YOK",IF(AND($E98="Evet",ROUND($C98*tbo_oranIlave,2)=$J98),"TBO-002",IF(AND($D98="Evet",ROUND($C98*tbo_oranBesPuan,2)=$J98),"TBO-001",IF(AND($F98="Evet",ROUND($C98*tbo_oranKadinGenc,2)=$J98),"TBO-004","TBO-ENG")))))</f>
        <v/>
      </c>
      <c r="J98" s="31">
        <f>IF($A98="","",MAX(IF($D98="Evet",ROUND($C98*tbo_oranBesPuan,2),0),IF($E98="Evet",ROUND($C98*tbo_oranIlave,2),0),IF($F98="Evet",ROUND($C98*tbo_oranKadinGenc,2),0),IF($G98="Evet",ROUND($C98*tbo_isverenOran,2),0)))</f>
        <v/>
      </c>
      <c r="K98" s="31">
        <f>IF($A98="","",IF($H98="TBO-001",IF($D98="Evet",ROUND($C98*tbo_oranBesPuan,2),0),IF($H98="TBO-002",IF($E98="Evet",ROUND($C98*tbo_oranIlave,2),0),IF($H98="TBO-004",IF($F98="Evet",ROUND($C98*tbo_oranKadinGenc,2),0),IF($H98="TBO-ENG",IF($G98="Evet",ROUND($C98*tbo_isverenOran,2),0),0)))))</f>
        <v/>
      </c>
      <c r="L98" s="31">
        <f>IF($A98="","",MAX(0,$J98-$K98))</f>
        <v/>
      </c>
    </row>
    <row r="99">
      <c r="I99" s="31">
        <f>IF($A99="","",IF($J99=0,"YOK",IF(AND($E99="Evet",ROUND($C99*tbo_oranIlave,2)=$J99),"TBO-002",IF(AND($D99="Evet",ROUND($C99*tbo_oranBesPuan,2)=$J99),"TBO-001",IF(AND($F99="Evet",ROUND($C99*tbo_oranKadinGenc,2)=$J99),"TBO-004","TBO-ENG")))))</f>
        <v/>
      </c>
      <c r="J99" s="31">
        <f>IF($A99="","",MAX(IF($D99="Evet",ROUND($C99*tbo_oranBesPuan,2),0),IF($E99="Evet",ROUND($C99*tbo_oranIlave,2),0),IF($F99="Evet",ROUND($C99*tbo_oranKadinGenc,2),0),IF($G99="Evet",ROUND($C99*tbo_isverenOran,2),0)))</f>
        <v/>
      </c>
      <c r="K99" s="31">
        <f>IF($A99="","",IF($H99="TBO-001",IF($D99="Evet",ROUND($C99*tbo_oranBesPuan,2),0),IF($H99="TBO-002",IF($E99="Evet",ROUND($C99*tbo_oranIlave,2),0),IF($H99="TBO-004",IF($F99="Evet",ROUND($C99*tbo_oranKadinGenc,2),0),IF($H99="TBO-ENG",IF($G99="Evet",ROUND($C99*tbo_isverenOran,2),0),0)))))</f>
        <v/>
      </c>
      <c r="L99" s="31">
        <f>IF($A99="","",MAX(0,$J99-$K99))</f>
        <v/>
      </c>
    </row>
    <row r="100">
      <c r="I100" s="31">
        <f>IF($A100="","",IF($J100=0,"YOK",IF(AND($E100="Evet",ROUND($C100*tbo_oranIlave,2)=$J100),"TBO-002",IF(AND($D100="Evet",ROUND($C100*tbo_oranBesPuan,2)=$J100),"TBO-001",IF(AND($F100="Evet",ROUND($C100*tbo_oranKadinGenc,2)=$J100),"TBO-004","TBO-ENG")))))</f>
        <v/>
      </c>
      <c r="J100" s="31">
        <f>IF($A100="","",MAX(IF($D100="Evet",ROUND($C100*tbo_oranBesPuan,2),0),IF($E100="Evet",ROUND($C100*tbo_oranIlave,2),0),IF($F100="Evet",ROUND($C100*tbo_oranKadinGenc,2),0),IF($G100="Evet",ROUND($C100*tbo_isverenOran,2),0)))</f>
        <v/>
      </c>
      <c r="K100" s="31">
        <f>IF($A100="","",IF($H100="TBO-001",IF($D100="Evet",ROUND($C100*tbo_oranBesPuan,2),0),IF($H100="TBO-002",IF($E100="Evet",ROUND($C100*tbo_oranIlave,2),0),IF($H100="TBO-004",IF($F100="Evet",ROUND($C100*tbo_oranKadinGenc,2),0),IF($H100="TBO-ENG",IF($G100="Evet",ROUND($C100*tbo_isverenOran,2),0),0)))))</f>
        <v/>
      </c>
      <c r="L100" s="31">
        <f>IF($A100="","",MAX(0,$J100-$K100))</f>
        <v/>
      </c>
    </row>
    <row r="101">
      <c r="I101" s="31">
        <f>IF($A101="","",IF($J101=0,"YOK",IF(AND($E101="Evet",ROUND($C101*tbo_oranIlave,2)=$J101),"TBO-002",IF(AND($D101="Evet",ROUND($C101*tbo_oranBesPuan,2)=$J101),"TBO-001",IF(AND($F101="Evet",ROUND($C101*tbo_oranKadinGenc,2)=$J101),"TBO-004","TBO-ENG")))))</f>
        <v/>
      </c>
      <c r="J101" s="31">
        <f>IF($A101="","",MAX(IF($D101="Evet",ROUND($C101*tbo_oranBesPuan,2),0),IF($E101="Evet",ROUND($C101*tbo_oranIlave,2),0),IF($F101="Evet",ROUND($C101*tbo_oranKadinGenc,2),0),IF($G101="Evet",ROUND($C101*tbo_isverenOran,2),0)))</f>
        <v/>
      </c>
      <c r="K101" s="31">
        <f>IF($A101="","",IF($H101="TBO-001",IF($D101="Evet",ROUND($C101*tbo_oranBesPuan,2),0),IF($H101="TBO-002",IF($E101="Evet",ROUND($C101*tbo_oranIlave,2),0),IF($H101="TBO-004",IF($F101="Evet",ROUND($C101*tbo_oranKadinGenc,2),0),IF($H101="TBO-ENG",IF($G101="Evet",ROUND($C101*tbo_isverenOran,2),0),0)))))</f>
        <v/>
      </c>
      <c r="L101" s="31">
        <f>IF($A101="","",MAX(0,$J101-$K101))</f>
        <v/>
      </c>
    </row>
    <row r="102">
      <c r="I102" s="31">
        <f>IF($A102="","",IF($J102=0,"YOK",IF(AND($E102="Evet",ROUND($C102*tbo_oranIlave,2)=$J102),"TBO-002",IF(AND($D102="Evet",ROUND($C102*tbo_oranBesPuan,2)=$J102),"TBO-001",IF(AND($F102="Evet",ROUND($C102*tbo_oranKadinGenc,2)=$J102),"TBO-004","TBO-ENG")))))</f>
        <v/>
      </c>
      <c r="J102" s="31">
        <f>IF($A102="","",MAX(IF($D102="Evet",ROUND($C102*tbo_oranBesPuan,2),0),IF($E102="Evet",ROUND($C102*tbo_oranIlave,2),0),IF($F102="Evet",ROUND($C102*tbo_oranKadinGenc,2),0),IF($G102="Evet",ROUND($C102*tbo_isverenOran,2),0)))</f>
        <v/>
      </c>
      <c r="K102" s="31">
        <f>IF($A102="","",IF($H102="TBO-001",IF($D102="Evet",ROUND($C102*tbo_oranBesPuan,2),0),IF($H102="TBO-002",IF($E102="Evet",ROUND($C102*tbo_oranIlave,2),0),IF($H102="TBO-004",IF($F102="Evet",ROUND($C102*tbo_oranKadinGenc,2),0),IF($H102="TBO-ENG",IF($G102="Evet",ROUND($C102*tbo_isverenOran,2),0),0)))))</f>
        <v/>
      </c>
      <c r="L102" s="31">
        <f>IF($A102="","",MAX(0,$J102-$K102))</f>
        <v/>
      </c>
    </row>
    <row r="103">
      <c r="I103" s="31">
        <f>IF($A103="","",IF($J103=0,"YOK",IF(AND($E103="Evet",ROUND($C103*tbo_oranIlave,2)=$J103),"TBO-002",IF(AND($D103="Evet",ROUND($C103*tbo_oranBesPuan,2)=$J103),"TBO-001",IF(AND($F103="Evet",ROUND($C103*tbo_oranKadinGenc,2)=$J103),"TBO-004","TBO-ENG")))))</f>
        <v/>
      </c>
      <c r="J103" s="31">
        <f>IF($A103="","",MAX(IF($D103="Evet",ROUND($C103*tbo_oranBesPuan,2),0),IF($E103="Evet",ROUND($C103*tbo_oranIlave,2),0),IF($F103="Evet",ROUND($C103*tbo_oranKadinGenc,2),0),IF($G103="Evet",ROUND($C103*tbo_isverenOran,2),0)))</f>
        <v/>
      </c>
      <c r="K103" s="31">
        <f>IF($A103="","",IF($H103="TBO-001",IF($D103="Evet",ROUND($C103*tbo_oranBesPuan,2),0),IF($H103="TBO-002",IF($E103="Evet",ROUND($C103*tbo_oranIlave,2),0),IF($H103="TBO-004",IF($F103="Evet",ROUND($C103*tbo_oranKadinGenc,2),0),IF($H103="TBO-ENG",IF($G103="Evet",ROUND($C103*tbo_isverenOran,2),0),0)))))</f>
        <v/>
      </c>
      <c r="L103" s="31">
        <f>IF($A103="","",MAX(0,$J103-$K103))</f>
        <v/>
      </c>
    </row>
    <row r="104">
      <c r="I104" s="31">
        <f>IF($A104="","",IF($J104=0,"YOK",IF(AND($E104="Evet",ROUND($C104*tbo_oranIlave,2)=$J104),"TBO-002",IF(AND($D104="Evet",ROUND($C104*tbo_oranBesPuan,2)=$J104),"TBO-001",IF(AND($F104="Evet",ROUND($C104*tbo_oranKadinGenc,2)=$J104),"TBO-004","TBO-ENG")))))</f>
        <v/>
      </c>
      <c r="J104" s="31">
        <f>IF($A104="","",MAX(IF($D104="Evet",ROUND($C104*tbo_oranBesPuan,2),0),IF($E104="Evet",ROUND($C104*tbo_oranIlave,2),0),IF($F104="Evet",ROUND($C104*tbo_oranKadinGenc,2),0),IF($G104="Evet",ROUND($C104*tbo_isverenOran,2),0)))</f>
        <v/>
      </c>
      <c r="K104" s="31">
        <f>IF($A104="","",IF($H104="TBO-001",IF($D104="Evet",ROUND($C104*tbo_oranBesPuan,2),0),IF($H104="TBO-002",IF($E104="Evet",ROUND($C104*tbo_oranIlave,2),0),IF($H104="TBO-004",IF($F104="Evet",ROUND($C104*tbo_oranKadinGenc,2),0),IF($H104="TBO-ENG",IF($G104="Evet",ROUND($C104*tbo_isverenOran,2),0),0)))))</f>
        <v/>
      </c>
      <c r="L104" s="31">
        <f>IF($A104="","",MAX(0,$J104-$K104))</f>
        <v/>
      </c>
    </row>
    <row r="105">
      <c r="I105" s="31">
        <f>IF($A105="","",IF($J105=0,"YOK",IF(AND($E105="Evet",ROUND($C105*tbo_oranIlave,2)=$J105),"TBO-002",IF(AND($D105="Evet",ROUND($C105*tbo_oranBesPuan,2)=$J105),"TBO-001",IF(AND($F105="Evet",ROUND($C105*tbo_oranKadinGenc,2)=$J105),"TBO-004","TBO-ENG")))))</f>
        <v/>
      </c>
      <c r="J105" s="31">
        <f>IF($A105="","",MAX(IF($D105="Evet",ROUND($C105*tbo_oranBesPuan,2),0),IF($E105="Evet",ROUND($C105*tbo_oranIlave,2),0),IF($F105="Evet",ROUND($C105*tbo_oranKadinGenc,2),0),IF($G105="Evet",ROUND($C105*tbo_isverenOran,2),0)))</f>
        <v/>
      </c>
      <c r="K105" s="31">
        <f>IF($A105="","",IF($H105="TBO-001",IF($D105="Evet",ROUND($C105*tbo_oranBesPuan,2),0),IF($H105="TBO-002",IF($E105="Evet",ROUND($C105*tbo_oranIlave,2),0),IF($H105="TBO-004",IF($F105="Evet",ROUND($C105*tbo_oranKadinGenc,2),0),IF($H105="TBO-ENG",IF($G105="Evet",ROUND($C105*tbo_isverenOran,2),0),0)))))</f>
        <v/>
      </c>
      <c r="L105" s="31">
        <f>IF($A105="","",MAX(0,$J105-$K105))</f>
        <v/>
      </c>
    </row>
    <row r="106">
      <c r="I106" s="31">
        <f>IF($A106="","",IF($J106=0,"YOK",IF(AND($E106="Evet",ROUND($C106*tbo_oranIlave,2)=$J106),"TBO-002",IF(AND($D106="Evet",ROUND($C106*tbo_oranBesPuan,2)=$J106),"TBO-001",IF(AND($F106="Evet",ROUND($C106*tbo_oranKadinGenc,2)=$J106),"TBO-004","TBO-ENG")))))</f>
        <v/>
      </c>
      <c r="J106" s="31">
        <f>IF($A106="","",MAX(IF($D106="Evet",ROUND($C106*tbo_oranBesPuan,2),0),IF($E106="Evet",ROUND($C106*tbo_oranIlave,2),0),IF($F106="Evet",ROUND($C106*tbo_oranKadinGenc,2),0),IF($G106="Evet",ROUND($C106*tbo_isverenOran,2),0)))</f>
        <v/>
      </c>
      <c r="K106" s="31">
        <f>IF($A106="","",IF($H106="TBO-001",IF($D106="Evet",ROUND($C106*tbo_oranBesPuan,2),0),IF($H106="TBO-002",IF($E106="Evet",ROUND($C106*tbo_oranIlave,2),0),IF($H106="TBO-004",IF($F106="Evet",ROUND($C106*tbo_oranKadinGenc,2),0),IF($H106="TBO-ENG",IF($G106="Evet",ROUND($C106*tbo_isverenOran,2),0),0)))))</f>
        <v/>
      </c>
      <c r="L106" s="31">
        <f>IF($A106="","",MAX(0,$J106-$K106))</f>
        <v/>
      </c>
    </row>
    <row r="107">
      <c r="I107" s="31">
        <f>IF($A107="","",IF($J107=0,"YOK",IF(AND($E107="Evet",ROUND($C107*tbo_oranIlave,2)=$J107),"TBO-002",IF(AND($D107="Evet",ROUND($C107*tbo_oranBesPuan,2)=$J107),"TBO-001",IF(AND($F107="Evet",ROUND($C107*tbo_oranKadinGenc,2)=$J107),"TBO-004","TBO-ENG")))))</f>
        <v/>
      </c>
      <c r="J107" s="31">
        <f>IF($A107="","",MAX(IF($D107="Evet",ROUND($C107*tbo_oranBesPuan,2),0),IF($E107="Evet",ROUND($C107*tbo_oranIlave,2),0),IF($F107="Evet",ROUND($C107*tbo_oranKadinGenc,2),0),IF($G107="Evet",ROUND($C107*tbo_isverenOran,2),0)))</f>
        <v/>
      </c>
      <c r="K107" s="31">
        <f>IF($A107="","",IF($H107="TBO-001",IF($D107="Evet",ROUND($C107*tbo_oranBesPuan,2),0),IF($H107="TBO-002",IF($E107="Evet",ROUND($C107*tbo_oranIlave,2),0),IF($H107="TBO-004",IF($F107="Evet",ROUND($C107*tbo_oranKadinGenc,2),0),IF($H107="TBO-ENG",IF($G107="Evet",ROUND($C107*tbo_isverenOran,2),0),0)))))</f>
        <v/>
      </c>
      <c r="L107" s="31">
        <f>IF($A107="","",MAX(0,$J107-$K107))</f>
        <v/>
      </c>
    </row>
    <row r="108">
      <c r="I108" s="31">
        <f>IF($A108="","",IF($J108=0,"YOK",IF(AND($E108="Evet",ROUND($C108*tbo_oranIlave,2)=$J108),"TBO-002",IF(AND($D108="Evet",ROUND($C108*tbo_oranBesPuan,2)=$J108),"TBO-001",IF(AND($F108="Evet",ROUND($C108*tbo_oranKadinGenc,2)=$J108),"TBO-004","TBO-ENG")))))</f>
        <v/>
      </c>
      <c r="J108" s="31">
        <f>IF($A108="","",MAX(IF($D108="Evet",ROUND($C108*tbo_oranBesPuan,2),0),IF($E108="Evet",ROUND($C108*tbo_oranIlave,2),0),IF($F108="Evet",ROUND($C108*tbo_oranKadinGenc,2),0),IF($G108="Evet",ROUND($C108*tbo_isverenOran,2),0)))</f>
        <v/>
      </c>
      <c r="K108" s="31">
        <f>IF($A108="","",IF($H108="TBO-001",IF($D108="Evet",ROUND($C108*tbo_oranBesPuan,2),0),IF($H108="TBO-002",IF($E108="Evet",ROUND($C108*tbo_oranIlave,2),0),IF($H108="TBO-004",IF($F108="Evet",ROUND($C108*tbo_oranKadinGenc,2),0),IF($H108="TBO-ENG",IF($G108="Evet",ROUND($C108*tbo_isverenOran,2),0),0)))))</f>
        <v/>
      </c>
      <c r="L108" s="31">
        <f>IF($A108="","",MAX(0,$J108-$K108))</f>
        <v/>
      </c>
    </row>
    <row r="109">
      <c r="I109" s="31">
        <f>IF($A109="","",IF($J109=0,"YOK",IF(AND($E109="Evet",ROUND($C109*tbo_oranIlave,2)=$J109),"TBO-002",IF(AND($D109="Evet",ROUND($C109*tbo_oranBesPuan,2)=$J109),"TBO-001",IF(AND($F109="Evet",ROUND($C109*tbo_oranKadinGenc,2)=$J109),"TBO-004","TBO-ENG")))))</f>
        <v/>
      </c>
      <c r="J109" s="31">
        <f>IF($A109="","",MAX(IF($D109="Evet",ROUND($C109*tbo_oranBesPuan,2),0),IF($E109="Evet",ROUND($C109*tbo_oranIlave,2),0),IF($F109="Evet",ROUND($C109*tbo_oranKadinGenc,2),0),IF($G109="Evet",ROUND($C109*tbo_isverenOran,2),0)))</f>
        <v/>
      </c>
      <c r="K109" s="31">
        <f>IF($A109="","",IF($H109="TBO-001",IF($D109="Evet",ROUND($C109*tbo_oranBesPuan,2),0),IF($H109="TBO-002",IF($E109="Evet",ROUND($C109*tbo_oranIlave,2),0),IF($H109="TBO-004",IF($F109="Evet",ROUND($C109*tbo_oranKadinGenc,2),0),IF($H109="TBO-ENG",IF($G109="Evet",ROUND($C109*tbo_isverenOran,2),0),0)))))</f>
        <v/>
      </c>
      <c r="L109" s="31">
        <f>IF($A109="","",MAX(0,$J109-$K109))</f>
        <v/>
      </c>
    </row>
    <row r="110">
      <c r="I110" s="31">
        <f>IF($A110="","",IF($J110=0,"YOK",IF(AND($E110="Evet",ROUND($C110*tbo_oranIlave,2)=$J110),"TBO-002",IF(AND($D110="Evet",ROUND($C110*tbo_oranBesPuan,2)=$J110),"TBO-001",IF(AND($F110="Evet",ROUND($C110*tbo_oranKadinGenc,2)=$J110),"TBO-004","TBO-ENG")))))</f>
        <v/>
      </c>
      <c r="J110" s="31">
        <f>IF($A110="","",MAX(IF($D110="Evet",ROUND($C110*tbo_oranBesPuan,2),0),IF($E110="Evet",ROUND($C110*tbo_oranIlave,2),0),IF($F110="Evet",ROUND($C110*tbo_oranKadinGenc,2),0),IF($G110="Evet",ROUND($C110*tbo_isverenOran,2),0)))</f>
        <v/>
      </c>
      <c r="K110" s="31">
        <f>IF($A110="","",IF($H110="TBO-001",IF($D110="Evet",ROUND($C110*tbo_oranBesPuan,2),0),IF($H110="TBO-002",IF($E110="Evet",ROUND($C110*tbo_oranIlave,2),0),IF($H110="TBO-004",IF($F110="Evet",ROUND($C110*tbo_oranKadinGenc,2),0),IF($H110="TBO-ENG",IF($G110="Evet",ROUND($C110*tbo_isverenOran,2),0),0)))))</f>
        <v/>
      </c>
      <c r="L110" s="31">
        <f>IF($A110="","",MAX(0,$J110-$K110))</f>
        <v/>
      </c>
    </row>
    <row r="111">
      <c r="I111" s="31">
        <f>IF($A111="","",IF($J111=0,"YOK",IF(AND($E111="Evet",ROUND($C111*tbo_oranIlave,2)=$J111),"TBO-002",IF(AND($D111="Evet",ROUND($C111*tbo_oranBesPuan,2)=$J111),"TBO-001",IF(AND($F111="Evet",ROUND($C111*tbo_oranKadinGenc,2)=$J111),"TBO-004","TBO-ENG")))))</f>
        <v/>
      </c>
      <c r="J111" s="31">
        <f>IF($A111="","",MAX(IF($D111="Evet",ROUND($C111*tbo_oranBesPuan,2),0),IF($E111="Evet",ROUND($C111*tbo_oranIlave,2),0),IF($F111="Evet",ROUND($C111*tbo_oranKadinGenc,2),0),IF($G111="Evet",ROUND($C111*tbo_isverenOran,2),0)))</f>
        <v/>
      </c>
      <c r="K111" s="31">
        <f>IF($A111="","",IF($H111="TBO-001",IF($D111="Evet",ROUND($C111*tbo_oranBesPuan,2),0),IF($H111="TBO-002",IF($E111="Evet",ROUND($C111*tbo_oranIlave,2),0),IF($H111="TBO-004",IF($F111="Evet",ROUND($C111*tbo_oranKadinGenc,2),0),IF($H111="TBO-ENG",IF($G111="Evet",ROUND($C111*tbo_isverenOran,2),0),0)))))</f>
        <v/>
      </c>
      <c r="L111" s="31">
        <f>IF($A111="","",MAX(0,$J111-$K111))</f>
        <v/>
      </c>
    </row>
    <row r="112">
      <c r="I112" s="31">
        <f>IF($A112="","",IF($J112=0,"YOK",IF(AND($E112="Evet",ROUND($C112*tbo_oranIlave,2)=$J112),"TBO-002",IF(AND($D112="Evet",ROUND($C112*tbo_oranBesPuan,2)=$J112),"TBO-001",IF(AND($F112="Evet",ROUND($C112*tbo_oranKadinGenc,2)=$J112),"TBO-004","TBO-ENG")))))</f>
        <v/>
      </c>
      <c r="J112" s="31">
        <f>IF($A112="","",MAX(IF($D112="Evet",ROUND($C112*tbo_oranBesPuan,2),0),IF($E112="Evet",ROUND($C112*tbo_oranIlave,2),0),IF($F112="Evet",ROUND($C112*tbo_oranKadinGenc,2),0),IF($G112="Evet",ROUND($C112*tbo_isverenOran,2),0)))</f>
        <v/>
      </c>
      <c r="K112" s="31">
        <f>IF($A112="","",IF($H112="TBO-001",IF($D112="Evet",ROUND($C112*tbo_oranBesPuan,2),0),IF($H112="TBO-002",IF($E112="Evet",ROUND($C112*tbo_oranIlave,2),0),IF($H112="TBO-004",IF($F112="Evet",ROUND($C112*tbo_oranKadinGenc,2),0),IF($H112="TBO-ENG",IF($G112="Evet",ROUND($C112*tbo_isverenOran,2),0),0)))))</f>
        <v/>
      </c>
      <c r="L112" s="31">
        <f>IF($A112="","",MAX(0,$J112-$K112))</f>
        <v/>
      </c>
    </row>
    <row r="113">
      <c r="I113" s="31">
        <f>IF($A113="","",IF($J113=0,"YOK",IF(AND($E113="Evet",ROUND($C113*tbo_oranIlave,2)=$J113),"TBO-002",IF(AND($D113="Evet",ROUND($C113*tbo_oranBesPuan,2)=$J113),"TBO-001",IF(AND($F113="Evet",ROUND($C113*tbo_oranKadinGenc,2)=$J113),"TBO-004","TBO-ENG")))))</f>
        <v/>
      </c>
      <c r="J113" s="31">
        <f>IF($A113="","",MAX(IF($D113="Evet",ROUND($C113*tbo_oranBesPuan,2),0),IF($E113="Evet",ROUND($C113*tbo_oranIlave,2),0),IF($F113="Evet",ROUND($C113*tbo_oranKadinGenc,2),0),IF($G113="Evet",ROUND($C113*tbo_isverenOran,2),0)))</f>
        <v/>
      </c>
      <c r="K113" s="31">
        <f>IF($A113="","",IF($H113="TBO-001",IF($D113="Evet",ROUND($C113*tbo_oranBesPuan,2),0),IF($H113="TBO-002",IF($E113="Evet",ROUND($C113*tbo_oranIlave,2),0),IF($H113="TBO-004",IF($F113="Evet",ROUND($C113*tbo_oranKadinGenc,2),0),IF($H113="TBO-ENG",IF($G113="Evet",ROUND($C113*tbo_isverenOran,2),0),0)))))</f>
        <v/>
      </c>
      <c r="L113" s="31">
        <f>IF($A113="","",MAX(0,$J113-$K113))</f>
        <v/>
      </c>
    </row>
    <row r="114">
      <c r="I114" s="31">
        <f>IF($A114="","",IF($J114=0,"YOK",IF(AND($E114="Evet",ROUND($C114*tbo_oranIlave,2)=$J114),"TBO-002",IF(AND($D114="Evet",ROUND($C114*tbo_oranBesPuan,2)=$J114),"TBO-001",IF(AND($F114="Evet",ROUND($C114*tbo_oranKadinGenc,2)=$J114),"TBO-004","TBO-ENG")))))</f>
        <v/>
      </c>
      <c r="J114" s="31">
        <f>IF($A114="","",MAX(IF($D114="Evet",ROUND($C114*tbo_oranBesPuan,2),0),IF($E114="Evet",ROUND($C114*tbo_oranIlave,2),0),IF($F114="Evet",ROUND($C114*tbo_oranKadinGenc,2),0),IF($G114="Evet",ROUND($C114*tbo_isverenOran,2),0)))</f>
        <v/>
      </c>
      <c r="K114" s="31">
        <f>IF($A114="","",IF($H114="TBO-001",IF($D114="Evet",ROUND($C114*tbo_oranBesPuan,2),0),IF($H114="TBO-002",IF($E114="Evet",ROUND($C114*tbo_oranIlave,2),0),IF($H114="TBO-004",IF($F114="Evet",ROUND($C114*tbo_oranKadinGenc,2),0),IF($H114="TBO-ENG",IF($G114="Evet",ROUND($C114*tbo_isverenOran,2),0),0)))))</f>
        <v/>
      </c>
      <c r="L114" s="31">
        <f>IF($A114="","",MAX(0,$J114-$K114))</f>
        <v/>
      </c>
    </row>
    <row r="115">
      <c r="I115" s="31">
        <f>IF($A115="","",IF($J115=0,"YOK",IF(AND($E115="Evet",ROUND($C115*tbo_oranIlave,2)=$J115),"TBO-002",IF(AND($D115="Evet",ROUND($C115*tbo_oranBesPuan,2)=$J115),"TBO-001",IF(AND($F115="Evet",ROUND($C115*tbo_oranKadinGenc,2)=$J115),"TBO-004","TBO-ENG")))))</f>
        <v/>
      </c>
      <c r="J115" s="31">
        <f>IF($A115="","",MAX(IF($D115="Evet",ROUND($C115*tbo_oranBesPuan,2),0),IF($E115="Evet",ROUND($C115*tbo_oranIlave,2),0),IF($F115="Evet",ROUND($C115*tbo_oranKadinGenc,2),0),IF($G115="Evet",ROUND($C115*tbo_isverenOran,2),0)))</f>
        <v/>
      </c>
      <c r="K115" s="31">
        <f>IF($A115="","",IF($H115="TBO-001",IF($D115="Evet",ROUND($C115*tbo_oranBesPuan,2),0),IF($H115="TBO-002",IF($E115="Evet",ROUND($C115*tbo_oranIlave,2),0),IF($H115="TBO-004",IF($F115="Evet",ROUND($C115*tbo_oranKadinGenc,2),0),IF($H115="TBO-ENG",IF($G115="Evet",ROUND($C115*tbo_isverenOran,2),0),0)))))</f>
        <v/>
      </c>
      <c r="L115" s="31">
        <f>IF($A115="","",MAX(0,$J115-$K115))</f>
        <v/>
      </c>
    </row>
    <row r="116">
      <c r="I116" s="31">
        <f>IF($A116="","",IF($J116=0,"YOK",IF(AND($E116="Evet",ROUND($C116*tbo_oranIlave,2)=$J116),"TBO-002",IF(AND($D116="Evet",ROUND($C116*tbo_oranBesPuan,2)=$J116),"TBO-001",IF(AND($F116="Evet",ROUND($C116*tbo_oranKadinGenc,2)=$J116),"TBO-004","TBO-ENG")))))</f>
        <v/>
      </c>
      <c r="J116" s="31">
        <f>IF($A116="","",MAX(IF($D116="Evet",ROUND($C116*tbo_oranBesPuan,2),0),IF($E116="Evet",ROUND($C116*tbo_oranIlave,2),0),IF($F116="Evet",ROUND($C116*tbo_oranKadinGenc,2),0),IF($G116="Evet",ROUND($C116*tbo_isverenOran,2),0)))</f>
        <v/>
      </c>
      <c r="K116" s="31">
        <f>IF($A116="","",IF($H116="TBO-001",IF($D116="Evet",ROUND($C116*tbo_oranBesPuan,2),0),IF($H116="TBO-002",IF($E116="Evet",ROUND($C116*tbo_oranIlave,2),0),IF($H116="TBO-004",IF($F116="Evet",ROUND($C116*tbo_oranKadinGenc,2),0),IF($H116="TBO-ENG",IF($G116="Evet",ROUND($C116*tbo_isverenOran,2),0),0)))))</f>
        <v/>
      </c>
      <c r="L116" s="31">
        <f>IF($A116="","",MAX(0,$J116-$K116))</f>
        <v/>
      </c>
    </row>
    <row r="117">
      <c r="I117" s="31">
        <f>IF($A117="","",IF($J117=0,"YOK",IF(AND($E117="Evet",ROUND($C117*tbo_oranIlave,2)=$J117),"TBO-002",IF(AND($D117="Evet",ROUND($C117*tbo_oranBesPuan,2)=$J117),"TBO-001",IF(AND($F117="Evet",ROUND($C117*tbo_oranKadinGenc,2)=$J117),"TBO-004","TBO-ENG")))))</f>
        <v/>
      </c>
      <c r="J117" s="31">
        <f>IF($A117="","",MAX(IF($D117="Evet",ROUND($C117*tbo_oranBesPuan,2),0),IF($E117="Evet",ROUND($C117*tbo_oranIlave,2),0),IF($F117="Evet",ROUND($C117*tbo_oranKadinGenc,2),0),IF($G117="Evet",ROUND($C117*tbo_isverenOran,2),0)))</f>
        <v/>
      </c>
      <c r="K117" s="31">
        <f>IF($A117="","",IF($H117="TBO-001",IF($D117="Evet",ROUND($C117*tbo_oranBesPuan,2),0),IF($H117="TBO-002",IF($E117="Evet",ROUND($C117*tbo_oranIlave,2),0),IF($H117="TBO-004",IF($F117="Evet",ROUND($C117*tbo_oranKadinGenc,2),0),IF($H117="TBO-ENG",IF($G117="Evet",ROUND($C117*tbo_isverenOran,2),0),0)))))</f>
        <v/>
      </c>
      <c r="L117" s="31">
        <f>IF($A117="","",MAX(0,$J117-$K117))</f>
        <v/>
      </c>
    </row>
    <row r="118">
      <c r="I118" s="31">
        <f>IF($A118="","",IF($J118=0,"YOK",IF(AND($E118="Evet",ROUND($C118*tbo_oranIlave,2)=$J118),"TBO-002",IF(AND($D118="Evet",ROUND($C118*tbo_oranBesPuan,2)=$J118),"TBO-001",IF(AND($F118="Evet",ROUND($C118*tbo_oranKadinGenc,2)=$J118),"TBO-004","TBO-ENG")))))</f>
        <v/>
      </c>
      <c r="J118" s="31">
        <f>IF($A118="","",MAX(IF($D118="Evet",ROUND($C118*tbo_oranBesPuan,2),0),IF($E118="Evet",ROUND($C118*tbo_oranIlave,2),0),IF($F118="Evet",ROUND($C118*tbo_oranKadinGenc,2),0),IF($G118="Evet",ROUND($C118*tbo_isverenOran,2),0)))</f>
        <v/>
      </c>
      <c r="K118" s="31">
        <f>IF($A118="","",IF($H118="TBO-001",IF($D118="Evet",ROUND($C118*tbo_oranBesPuan,2),0),IF($H118="TBO-002",IF($E118="Evet",ROUND($C118*tbo_oranIlave,2),0),IF($H118="TBO-004",IF($F118="Evet",ROUND($C118*tbo_oranKadinGenc,2),0),IF($H118="TBO-ENG",IF($G118="Evet",ROUND($C118*tbo_isverenOran,2),0),0)))))</f>
        <v/>
      </c>
      <c r="L118" s="31">
        <f>IF($A118="","",MAX(0,$J118-$K118))</f>
        <v/>
      </c>
    </row>
    <row r="119">
      <c r="I119" s="31">
        <f>IF($A119="","",IF($J119=0,"YOK",IF(AND($E119="Evet",ROUND($C119*tbo_oranIlave,2)=$J119),"TBO-002",IF(AND($D119="Evet",ROUND($C119*tbo_oranBesPuan,2)=$J119),"TBO-001",IF(AND($F119="Evet",ROUND($C119*tbo_oranKadinGenc,2)=$J119),"TBO-004","TBO-ENG")))))</f>
        <v/>
      </c>
      <c r="J119" s="31">
        <f>IF($A119="","",MAX(IF($D119="Evet",ROUND($C119*tbo_oranBesPuan,2),0),IF($E119="Evet",ROUND($C119*tbo_oranIlave,2),0),IF($F119="Evet",ROUND($C119*tbo_oranKadinGenc,2),0),IF($G119="Evet",ROUND($C119*tbo_isverenOran,2),0)))</f>
        <v/>
      </c>
      <c r="K119" s="31">
        <f>IF($A119="","",IF($H119="TBO-001",IF($D119="Evet",ROUND($C119*tbo_oranBesPuan,2),0),IF($H119="TBO-002",IF($E119="Evet",ROUND($C119*tbo_oranIlave,2),0),IF($H119="TBO-004",IF($F119="Evet",ROUND($C119*tbo_oranKadinGenc,2),0),IF($H119="TBO-ENG",IF($G119="Evet",ROUND($C119*tbo_isverenOran,2),0),0)))))</f>
        <v/>
      </c>
      <c r="L119" s="31">
        <f>IF($A119="","",MAX(0,$J119-$K119))</f>
        <v/>
      </c>
    </row>
    <row r="120">
      <c r="I120" s="31">
        <f>IF($A120="","",IF($J120=0,"YOK",IF(AND($E120="Evet",ROUND($C120*tbo_oranIlave,2)=$J120),"TBO-002",IF(AND($D120="Evet",ROUND($C120*tbo_oranBesPuan,2)=$J120),"TBO-001",IF(AND($F120="Evet",ROUND($C120*tbo_oranKadinGenc,2)=$J120),"TBO-004","TBO-ENG")))))</f>
        <v/>
      </c>
      <c r="J120" s="31">
        <f>IF($A120="","",MAX(IF($D120="Evet",ROUND($C120*tbo_oranBesPuan,2),0),IF($E120="Evet",ROUND($C120*tbo_oranIlave,2),0),IF($F120="Evet",ROUND($C120*tbo_oranKadinGenc,2),0),IF($G120="Evet",ROUND($C120*tbo_isverenOran,2),0)))</f>
        <v/>
      </c>
      <c r="K120" s="31">
        <f>IF($A120="","",IF($H120="TBO-001",IF($D120="Evet",ROUND($C120*tbo_oranBesPuan,2),0),IF($H120="TBO-002",IF($E120="Evet",ROUND($C120*tbo_oranIlave,2),0),IF($H120="TBO-004",IF($F120="Evet",ROUND($C120*tbo_oranKadinGenc,2),0),IF($H120="TBO-ENG",IF($G120="Evet",ROUND($C120*tbo_isverenOran,2),0),0)))))</f>
        <v/>
      </c>
      <c r="L120" s="31">
        <f>IF($A120="","",MAX(0,$J120-$K120))</f>
        <v/>
      </c>
    </row>
    <row r="121">
      <c r="I121" s="31">
        <f>IF($A121="","",IF($J121=0,"YOK",IF(AND($E121="Evet",ROUND($C121*tbo_oranIlave,2)=$J121),"TBO-002",IF(AND($D121="Evet",ROUND($C121*tbo_oranBesPuan,2)=$J121),"TBO-001",IF(AND($F121="Evet",ROUND($C121*tbo_oranKadinGenc,2)=$J121),"TBO-004","TBO-ENG")))))</f>
        <v/>
      </c>
      <c r="J121" s="31">
        <f>IF($A121="","",MAX(IF($D121="Evet",ROUND($C121*tbo_oranBesPuan,2),0),IF($E121="Evet",ROUND($C121*tbo_oranIlave,2),0),IF($F121="Evet",ROUND($C121*tbo_oranKadinGenc,2),0),IF($G121="Evet",ROUND($C121*tbo_isverenOran,2),0)))</f>
        <v/>
      </c>
      <c r="K121" s="31">
        <f>IF($A121="","",IF($H121="TBO-001",IF($D121="Evet",ROUND($C121*tbo_oranBesPuan,2),0),IF($H121="TBO-002",IF($E121="Evet",ROUND($C121*tbo_oranIlave,2),0),IF($H121="TBO-004",IF($F121="Evet",ROUND($C121*tbo_oranKadinGenc,2),0),IF($H121="TBO-ENG",IF($G121="Evet",ROUND($C121*tbo_isverenOran,2),0),0)))))</f>
        <v/>
      </c>
      <c r="L121" s="31">
        <f>IF($A121="","",MAX(0,$J121-$K121))</f>
        <v/>
      </c>
    </row>
    <row r="122">
      <c r="I122" s="31">
        <f>IF($A122="","",IF($J122=0,"YOK",IF(AND($E122="Evet",ROUND($C122*tbo_oranIlave,2)=$J122),"TBO-002",IF(AND($D122="Evet",ROUND($C122*tbo_oranBesPuan,2)=$J122),"TBO-001",IF(AND($F122="Evet",ROUND($C122*tbo_oranKadinGenc,2)=$J122),"TBO-004","TBO-ENG")))))</f>
        <v/>
      </c>
      <c r="J122" s="31">
        <f>IF($A122="","",MAX(IF($D122="Evet",ROUND($C122*tbo_oranBesPuan,2),0),IF($E122="Evet",ROUND($C122*tbo_oranIlave,2),0),IF($F122="Evet",ROUND($C122*tbo_oranKadinGenc,2),0),IF($G122="Evet",ROUND($C122*tbo_isverenOran,2),0)))</f>
        <v/>
      </c>
      <c r="K122" s="31">
        <f>IF($A122="","",IF($H122="TBO-001",IF($D122="Evet",ROUND($C122*tbo_oranBesPuan,2),0),IF($H122="TBO-002",IF($E122="Evet",ROUND($C122*tbo_oranIlave,2),0),IF($H122="TBO-004",IF($F122="Evet",ROUND($C122*tbo_oranKadinGenc,2),0),IF($H122="TBO-ENG",IF($G122="Evet",ROUND($C122*tbo_isverenOran,2),0),0)))))</f>
        <v/>
      </c>
      <c r="L122" s="31">
        <f>IF($A122="","",MAX(0,$J122-$K122))</f>
        <v/>
      </c>
    </row>
    <row r="123">
      <c r="I123" s="31">
        <f>IF($A123="","",IF($J123=0,"YOK",IF(AND($E123="Evet",ROUND($C123*tbo_oranIlave,2)=$J123),"TBO-002",IF(AND($D123="Evet",ROUND($C123*tbo_oranBesPuan,2)=$J123),"TBO-001",IF(AND($F123="Evet",ROUND($C123*tbo_oranKadinGenc,2)=$J123),"TBO-004","TBO-ENG")))))</f>
        <v/>
      </c>
      <c r="J123" s="31">
        <f>IF($A123="","",MAX(IF($D123="Evet",ROUND($C123*tbo_oranBesPuan,2),0),IF($E123="Evet",ROUND($C123*tbo_oranIlave,2),0),IF($F123="Evet",ROUND($C123*tbo_oranKadinGenc,2),0),IF($G123="Evet",ROUND($C123*tbo_isverenOran,2),0)))</f>
        <v/>
      </c>
      <c r="K123" s="31">
        <f>IF($A123="","",IF($H123="TBO-001",IF($D123="Evet",ROUND($C123*tbo_oranBesPuan,2),0),IF($H123="TBO-002",IF($E123="Evet",ROUND($C123*tbo_oranIlave,2),0),IF($H123="TBO-004",IF($F123="Evet",ROUND($C123*tbo_oranKadinGenc,2),0),IF($H123="TBO-ENG",IF($G123="Evet",ROUND($C123*tbo_isverenOran,2),0),0)))))</f>
        <v/>
      </c>
      <c r="L123" s="31">
        <f>IF($A123="","",MAX(0,$J123-$K123))</f>
        <v/>
      </c>
    </row>
    <row r="124">
      <c r="I124" s="31">
        <f>IF($A124="","",IF($J124=0,"YOK",IF(AND($E124="Evet",ROUND($C124*tbo_oranIlave,2)=$J124),"TBO-002",IF(AND($D124="Evet",ROUND($C124*tbo_oranBesPuan,2)=$J124),"TBO-001",IF(AND($F124="Evet",ROUND($C124*tbo_oranKadinGenc,2)=$J124),"TBO-004","TBO-ENG")))))</f>
        <v/>
      </c>
      <c r="J124" s="31">
        <f>IF($A124="","",MAX(IF($D124="Evet",ROUND($C124*tbo_oranBesPuan,2),0),IF($E124="Evet",ROUND($C124*tbo_oranIlave,2),0),IF($F124="Evet",ROUND($C124*tbo_oranKadinGenc,2),0),IF($G124="Evet",ROUND($C124*tbo_isverenOran,2),0)))</f>
        <v/>
      </c>
      <c r="K124" s="31">
        <f>IF($A124="","",IF($H124="TBO-001",IF($D124="Evet",ROUND($C124*tbo_oranBesPuan,2),0),IF($H124="TBO-002",IF($E124="Evet",ROUND($C124*tbo_oranIlave,2),0),IF($H124="TBO-004",IF($F124="Evet",ROUND($C124*tbo_oranKadinGenc,2),0),IF($H124="TBO-ENG",IF($G124="Evet",ROUND($C124*tbo_isverenOran,2),0),0)))))</f>
        <v/>
      </c>
      <c r="L124" s="31">
        <f>IF($A124="","",MAX(0,$J124-$K124))</f>
        <v/>
      </c>
    </row>
    <row r="125">
      <c r="I125" s="31">
        <f>IF($A125="","",IF($J125=0,"YOK",IF(AND($E125="Evet",ROUND($C125*tbo_oranIlave,2)=$J125),"TBO-002",IF(AND($D125="Evet",ROUND($C125*tbo_oranBesPuan,2)=$J125),"TBO-001",IF(AND($F125="Evet",ROUND($C125*tbo_oranKadinGenc,2)=$J125),"TBO-004","TBO-ENG")))))</f>
        <v/>
      </c>
      <c r="J125" s="31">
        <f>IF($A125="","",MAX(IF($D125="Evet",ROUND($C125*tbo_oranBesPuan,2),0),IF($E125="Evet",ROUND($C125*tbo_oranIlave,2),0),IF($F125="Evet",ROUND($C125*tbo_oranKadinGenc,2),0),IF($G125="Evet",ROUND($C125*tbo_isverenOran,2),0)))</f>
        <v/>
      </c>
      <c r="K125" s="31">
        <f>IF($A125="","",IF($H125="TBO-001",IF($D125="Evet",ROUND($C125*tbo_oranBesPuan,2),0),IF($H125="TBO-002",IF($E125="Evet",ROUND($C125*tbo_oranIlave,2),0),IF($H125="TBO-004",IF($F125="Evet",ROUND($C125*tbo_oranKadinGenc,2),0),IF($H125="TBO-ENG",IF($G125="Evet",ROUND($C125*tbo_isverenOran,2),0),0)))))</f>
        <v/>
      </c>
      <c r="L125" s="31">
        <f>IF($A125="","",MAX(0,$J125-$K125))</f>
        <v/>
      </c>
    </row>
    <row r="126">
      <c r="I126" s="31">
        <f>IF($A126="","",IF($J126=0,"YOK",IF(AND($E126="Evet",ROUND($C126*tbo_oranIlave,2)=$J126),"TBO-002",IF(AND($D126="Evet",ROUND($C126*tbo_oranBesPuan,2)=$J126),"TBO-001",IF(AND($F126="Evet",ROUND($C126*tbo_oranKadinGenc,2)=$J126),"TBO-004","TBO-ENG")))))</f>
        <v/>
      </c>
      <c r="J126" s="31">
        <f>IF($A126="","",MAX(IF($D126="Evet",ROUND($C126*tbo_oranBesPuan,2),0),IF($E126="Evet",ROUND($C126*tbo_oranIlave,2),0),IF($F126="Evet",ROUND($C126*tbo_oranKadinGenc,2),0),IF($G126="Evet",ROUND($C126*tbo_isverenOran,2),0)))</f>
        <v/>
      </c>
      <c r="K126" s="31">
        <f>IF($A126="","",IF($H126="TBO-001",IF($D126="Evet",ROUND($C126*tbo_oranBesPuan,2),0),IF($H126="TBO-002",IF($E126="Evet",ROUND($C126*tbo_oranIlave,2),0),IF($H126="TBO-004",IF($F126="Evet",ROUND($C126*tbo_oranKadinGenc,2),0),IF($H126="TBO-ENG",IF($G126="Evet",ROUND($C126*tbo_isverenOran,2),0),0)))))</f>
        <v/>
      </c>
      <c r="L126" s="31">
        <f>IF($A126="","",MAX(0,$J126-$K126))</f>
        <v/>
      </c>
    </row>
    <row r="127">
      <c r="I127" s="31">
        <f>IF($A127="","",IF($J127=0,"YOK",IF(AND($E127="Evet",ROUND($C127*tbo_oranIlave,2)=$J127),"TBO-002",IF(AND($D127="Evet",ROUND($C127*tbo_oranBesPuan,2)=$J127),"TBO-001",IF(AND($F127="Evet",ROUND($C127*tbo_oranKadinGenc,2)=$J127),"TBO-004","TBO-ENG")))))</f>
        <v/>
      </c>
      <c r="J127" s="31">
        <f>IF($A127="","",MAX(IF($D127="Evet",ROUND($C127*tbo_oranBesPuan,2),0),IF($E127="Evet",ROUND($C127*tbo_oranIlave,2),0),IF($F127="Evet",ROUND($C127*tbo_oranKadinGenc,2),0),IF($G127="Evet",ROUND($C127*tbo_isverenOran,2),0)))</f>
        <v/>
      </c>
      <c r="K127" s="31">
        <f>IF($A127="","",IF($H127="TBO-001",IF($D127="Evet",ROUND($C127*tbo_oranBesPuan,2),0),IF($H127="TBO-002",IF($E127="Evet",ROUND($C127*tbo_oranIlave,2),0),IF($H127="TBO-004",IF($F127="Evet",ROUND($C127*tbo_oranKadinGenc,2),0),IF($H127="TBO-ENG",IF($G127="Evet",ROUND($C127*tbo_isverenOran,2),0),0)))))</f>
        <v/>
      </c>
      <c r="L127" s="31">
        <f>IF($A127="","",MAX(0,$J127-$K127))</f>
        <v/>
      </c>
    </row>
    <row r="128">
      <c r="I128" s="31">
        <f>IF($A128="","",IF($J128=0,"YOK",IF(AND($E128="Evet",ROUND($C128*tbo_oranIlave,2)=$J128),"TBO-002",IF(AND($D128="Evet",ROUND($C128*tbo_oranBesPuan,2)=$J128),"TBO-001",IF(AND($F128="Evet",ROUND($C128*tbo_oranKadinGenc,2)=$J128),"TBO-004","TBO-ENG")))))</f>
        <v/>
      </c>
      <c r="J128" s="31">
        <f>IF($A128="","",MAX(IF($D128="Evet",ROUND($C128*tbo_oranBesPuan,2),0),IF($E128="Evet",ROUND($C128*tbo_oranIlave,2),0),IF($F128="Evet",ROUND($C128*tbo_oranKadinGenc,2),0),IF($G128="Evet",ROUND($C128*tbo_isverenOran,2),0)))</f>
        <v/>
      </c>
      <c r="K128" s="31">
        <f>IF($A128="","",IF($H128="TBO-001",IF($D128="Evet",ROUND($C128*tbo_oranBesPuan,2),0),IF($H128="TBO-002",IF($E128="Evet",ROUND($C128*tbo_oranIlave,2),0),IF($H128="TBO-004",IF($F128="Evet",ROUND($C128*tbo_oranKadinGenc,2),0),IF($H128="TBO-ENG",IF($G128="Evet",ROUND($C128*tbo_isverenOran,2),0),0)))))</f>
        <v/>
      </c>
      <c r="L128" s="31">
        <f>IF($A128="","",MAX(0,$J128-$K128))</f>
        <v/>
      </c>
    </row>
    <row r="129">
      <c r="I129" s="31">
        <f>IF($A129="","",IF($J129=0,"YOK",IF(AND($E129="Evet",ROUND($C129*tbo_oranIlave,2)=$J129),"TBO-002",IF(AND($D129="Evet",ROUND($C129*tbo_oranBesPuan,2)=$J129),"TBO-001",IF(AND($F129="Evet",ROUND($C129*tbo_oranKadinGenc,2)=$J129),"TBO-004","TBO-ENG")))))</f>
        <v/>
      </c>
      <c r="J129" s="31">
        <f>IF($A129="","",MAX(IF($D129="Evet",ROUND($C129*tbo_oranBesPuan,2),0),IF($E129="Evet",ROUND($C129*tbo_oranIlave,2),0),IF($F129="Evet",ROUND($C129*tbo_oranKadinGenc,2),0),IF($G129="Evet",ROUND($C129*tbo_isverenOran,2),0)))</f>
        <v/>
      </c>
      <c r="K129" s="31">
        <f>IF($A129="","",IF($H129="TBO-001",IF($D129="Evet",ROUND($C129*tbo_oranBesPuan,2),0),IF($H129="TBO-002",IF($E129="Evet",ROUND($C129*tbo_oranIlave,2),0),IF($H129="TBO-004",IF($F129="Evet",ROUND($C129*tbo_oranKadinGenc,2),0),IF($H129="TBO-ENG",IF($G129="Evet",ROUND($C129*tbo_isverenOran,2),0),0)))))</f>
        <v/>
      </c>
      <c r="L129" s="31">
        <f>IF($A129="","",MAX(0,$J129-$K129))</f>
        <v/>
      </c>
    </row>
    <row r="130">
      <c r="I130" s="31">
        <f>IF($A130="","",IF($J130=0,"YOK",IF(AND($E130="Evet",ROUND($C130*tbo_oranIlave,2)=$J130),"TBO-002",IF(AND($D130="Evet",ROUND($C130*tbo_oranBesPuan,2)=$J130),"TBO-001",IF(AND($F130="Evet",ROUND($C130*tbo_oranKadinGenc,2)=$J130),"TBO-004","TBO-ENG")))))</f>
        <v/>
      </c>
      <c r="J130" s="31">
        <f>IF($A130="","",MAX(IF($D130="Evet",ROUND($C130*tbo_oranBesPuan,2),0),IF($E130="Evet",ROUND($C130*tbo_oranIlave,2),0),IF($F130="Evet",ROUND($C130*tbo_oranKadinGenc,2),0),IF($G130="Evet",ROUND($C130*tbo_isverenOran,2),0)))</f>
        <v/>
      </c>
      <c r="K130" s="31">
        <f>IF($A130="","",IF($H130="TBO-001",IF($D130="Evet",ROUND($C130*tbo_oranBesPuan,2),0),IF($H130="TBO-002",IF($E130="Evet",ROUND($C130*tbo_oranIlave,2),0),IF($H130="TBO-004",IF($F130="Evet",ROUND($C130*tbo_oranKadinGenc,2),0),IF($H130="TBO-ENG",IF($G130="Evet",ROUND($C130*tbo_isverenOran,2),0),0)))))</f>
        <v/>
      </c>
      <c r="L130" s="31">
        <f>IF($A130="","",MAX(0,$J130-$K130))</f>
        <v/>
      </c>
    </row>
    <row r="131">
      <c r="I131" s="31">
        <f>IF($A131="","",IF($J131=0,"YOK",IF(AND($E131="Evet",ROUND($C131*tbo_oranIlave,2)=$J131),"TBO-002",IF(AND($D131="Evet",ROUND($C131*tbo_oranBesPuan,2)=$J131),"TBO-001",IF(AND($F131="Evet",ROUND($C131*tbo_oranKadinGenc,2)=$J131),"TBO-004","TBO-ENG")))))</f>
        <v/>
      </c>
      <c r="J131" s="31">
        <f>IF($A131="","",MAX(IF($D131="Evet",ROUND($C131*tbo_oranBesPuan,2),0),IF($E131="Evet",ROUND($C131*tbo_oranIlave,2),0),IF($F131="Evet",ROUND($C131*tbo_oranKadinGenc,2),0),IF($G131="Evet",ROUND($C131*tbo_isverenOran,2),0)))</f>
        <v/>
      </c>
      <c r="K131" s="31">
        <f>IF($A131="","",IF($H131="TBO-001",IF($D131="Evet",ROUND($C131*tbo_oranBesPuan,2),0),IF($H131="TBO-002",IF($E131="Evet",ROUND($C131*tbo_oranIlave,2),0),IF($H131="TBO-004",IF($F131="Evet",ROUND($C131*tbo_oranKadinGenc,2),0),IF($H131="TBO-ENG",IF($G131="Evet",ROUND($C131*tbo_isverenOran,2),0),0)))))</f>
        <v/>
      </c>
      <c r="L131" s="31">
        <f>IF($A131="","",MAX(0,$J131-$K131))</f>
        <v/>
      </c>
    </row>
    <row r="132">
      <c r="I132" s="31">
        <f>IF($A132="","",IF($J132=0,"YOK",IF(AND($E132="Evet",ROUND($C132*tbo_oranIlave,2)=$J132),"TBO-002",IF(AND($D132="Evet",ROUND($C132*tbo_oranBesPuan,2)=$J132),"TBO-001",IF(AND($F132="Evet",ROUND($C132*tbo_oranKadinGenc,2)=$J132),"TBO-004","TBO-ENG")))))</f>
        <v/>
      </c>
      <c r="J132" s="31">
        <f>IF($A132="","",MAX(IF($D132="Evet",ROUND($C132*tbo_oranBesPuan,2),0),IF($E132="Evet",ROUND($C132*tbo_oranIlave,2),0),IF($F132="Evet",ROUND($C132*tbo_oranKadinGenc,2),0),IF($G132="Evet",ROUND($C132*tbo_isverenOran,2),0)))</f>
        <v/>
      </c>
      <c r="K132" s="31">
        <f>IF($A132="","",IF($H132="TBO-001",IF($D132="Evet",ROUND($C132*tbo_oranBesPuan,2),0),IF($H132="TBO-002",IF($E132="Evet",ROUND($C132*tbo_oranIlave,2),0),IF($H132="TBO-004",IF($F132="Evet",ROUND($C132*tbo_oranKadinGenc,2),0),IF($H132="TBO-ENG",IF($G132="Evet",ROUND($C132*tbo_isverenOran,2),0),0)))))</f>
        <v/>
      </c>
      <c r="L132" s="31">
        <f>IF($A132="","",MAX(0,$J132-$K132))</f>
        <v/>
      </c>
    </row>
    <row r="133">
      <c r="I133" s="31">
        <f>IF($A133="","",IF($J133=0,"YOK",IF(AND($E133="Evet",ROUND($C133*tbo_oranIlave,2)=$J133),"TBO-002",IF(AND($D133="Evet",ROUND($C133*tbo_oranBesPuan,2)=$J133),"TBO-001",IF(AND($F133="Evet",ROUND($C133*tbo_oranKadinGenc,2)=$J133),"TBO-004","TBO-ENG")))))</f>
        <v/>
      </c>
      <c r="J133" s="31">
        <f>IF($A133="","",MAX(IF($D133="Evet",ROUND($C133*tbo_oranBesPuan,2),0),IF($E133="Evet",ROUND($C133*tbo_oranIlave,2),0),IF($F133="Evet",ROUND($C133*tbo_oranKadinGenc,2),0),IF($G133="Evet",ROUND($C133*tbo_isverenOran,2),0)))</f>
        <v/>
      </c>
      <c r="K133" s="31">
        <f>IF($A133="","",IF($H133="TBO-001",IF($D133="Evet",ROUND($C133*tbo_oranBesPuan,2),0),IF($H133="TBO-002",IF($E133="Evet",ROUND($C133*tbo_oranIlave,2),0),IF($H133="TBO-004",IF($F133="Evet",ROUND($C133*tbo_oranKadinGenc,2),0),IF($H133="TBO-ENG",IF($G133="Evet",ROUND($C133*tbo_isverenOran,2),0),0)))))</f>
        <v/>
      </c>
      <c r="L133" s="31">
        <f>IF($A133="","",MAX(0,$J133-$K133))</f>
        <v/>
      </c>
    </row>
    <row r="134">
      <c r="I134" s="31">
        <f>IF($A134="","",IF($J134=0,"YOK",IF(AND($E134="Evet",ROUND($C134*tbo_oranIlave,2)=$J134),"TBO-002",IF(AND($D134="Evet",ROUND($C134*tbo_oranBesPuan,2)=$J134),"TBO-001",IF(AND($F134="Evet",ROUND($C134*tbo_oranKadinGenc,2)=$J134),"TBO-004","TBO-ENG")))))</f>
        <v/>
      </c>
      <c r="J134" s="31">
        <f>IF($A134="","",MAX(IF($D134="Evet",ROUND($C134*tbo_oranBesPuan,2),0),IF($E134="Evet",ROUND($C134*tbo_oranIlave,2),0),IF($F134="Evet",ROUND($C134*tbo_oranKadinGenc,2),0),IF($G134="Evet",ROUND($C134*tbo_isverenOran,2),0)))</f>
        <v/>
      </c>
      <c r="K134" s="31">
        <f>IF($A134="","",IF($H134="TBO-001",IF($D134="Evet",ROUND($C134*tbo_oranBesPuan,2),0),IF($H134="TBO-002",IF($E134="Evet",ROUND($C134*tbo_oranIlave,2),0),IF($H134="TBO-004",IF($F134="Evet",ROUND($C134*tbo_oranKadinGenc,2),0),IF($H134="TBO-ENG",IF($G134="Evet",ROUND($C134*tbo_isverenOran,2),0),0)))))</f>
        <v/>
      </c>
      <c r="L134" s="31">
        <f>IF($A134="","",MAX(0,$J134-$K134))</f>
        <v/>
      </c>
    </row>
    <row r="135">
      <c r="I135" s="31">
        <f>IF($A135="","",IF($J135=0,"YOK",IF(AND($E135="Evet",ROUND($C135*tbo_oranIlave,2)=$J135),"TBO-002",IF(AND($D135="Evet",ROUND($C135*tbo_oranBesPuan,2)=$J135),"TBO-001",IF(AND($F135="Evet",ROUND($C135*tbo_oranKadinGenc,2)=$J135),"TBO-004","TBO-ENG")))))</f>
        <v/>
      </c>
      <c r="J135" s="31">
        <f>IF($A135="","",MAX(IF($D135="Evet",ROUND($C135*tbo_oranBesPuan,2),0),IF($E135="Evet",ROUND($C135*tbo_oranIlave,2),0),IF($F135="Evet",ROUND($C135*tbo_oranKadinGenc,2),0),IF($G135="Evet",ROUND($C135*tbo_isverenOran,2),0)))</f>
        <v/>
      </c>
      <c r="K135" s="31">
        <f>IF($A135="","",IF($H135="TBO-001",IF($D135="Evet",ROUND($C135*tbo_oranBesPuan,2),0),IF($H135="TBO-002",IF($E135="Evet",ROUND($C135*tbo_oranIlave,2),0),IF($H135="TBO-004",IF($F135="Evet",ROUND($C135*tbo_oranKadinGenc,2),0),IF($H135="TBO-ENG",IF($G135="Evet",ROUND($C135*tbo_isverenOran,2),0),0)))))</f>
        <v/>
      </c>
      <c r="L135" s="31">
        <f>IF($A135="","",MAX(0,$J135-$K135))</f>
        <v/>
      </c>
    </row>
    <row r="136">
      <c r="I136" s="31">
        <f>IF($A136="","",IF($J136=0,"YOK",IF(AND($E136="Evet",ROUND($C136*tbo_oranIlave,2)=$J136),"TBO-002",IF(AND($D136="Evet",ROUND($C136*tbo_oranBesPuan,2)=$J136),"TBO-001",IF(AND($F136="Evet",ROUND($C136*tbo_oranKadinGenc,2)=$J136),"TBO-004","TBO-ENG")))))</f>
        <v/>
      </c>
      <c r="J136" s="31">
        <f>IF($A136="","",MAX(IF($D136="Evet",ROUND($C136*tbo_oranBesPuan,2),0),IF($E136="Evet",ROUND($C136*tbo_oranIlave,2),0),IF($F136="Evet",ROUND($C136*tbo_oranKadinGenc,2),0),IF($G136="Evet",ROUND($C136*tbo_isverenOran,2),0)))</f>
        <v/>
      </c>
      <c r="K136" s="31">
        <f>IF($A136="","",IF($H136="TBO-001",IF($D136="Evet",ROUND($C136*tbo_oranBesPuan,2),0),IF($H136="TBO-002",IF($E136="Evet",ROUND($C136*tbo_oranIlave,2),0),IF($H136="TBO-004",IF($F136="Evet",ROUND($C136*tbo_oranKadinGenc,2),0),IF($H136="TBO-ENG",IF($G136="Evet",ROUND($C136*tbo_isverenOran,2),0),0)))))</f>
        <v/>
      </c>
      <c r="L136" s="31">
        <f>IF($A136="","",MAX(0,$J136-$K136))</f>
        <v/>
      </c>
    </row>
    <row r="137">
      <c r="I137" s="31">
        <f>IF($A137="","",IF($J137=0,"YOK",IF(AND($E137="Evet",ROUND($C137*tbo_oranIlave,2)=$J137),"TBO-002",IF(AND($D137="Evet",ROUND($C137*tbo_oranBesPuan,2)=$J137),"TBO-001",IF(AND($F137="Evet",ROUND($C137*tbo_oranKadinGenc,2)=$J137),"TBO-004","TBO-ENG")))))</f>
        <v/>
      </c>
      <c r="J137" s="31">
        <f>IF($A137="","",MAX(IF($D137="Evet",ROUND($C137*tbo_oranBesPuan,2),0),IF($E137="Evet",ROUND($C137*tbo_oranIlave,2),0),IF($F137="Evet",ROUND($C137*tbo_oranKadinGenc,2),0),IF($G137="Evet",ROUND($C137*tbo_isverenOran,2),0)))</f>
        <v/>
      </c>
      <c r="K137" s="31">
        <f>IF($A137="","",IF($H137="TBO-001",IF($D137="Evet",ROUND($C137*tbo_oranBesPuan,2),0),IF($H137="TBO-002",IF($E137="Evet",ROUND($C137*tbo_oranIlave,2),0),IF($H137="TBO-004",IF($F137="Evet",ROUND($C137*tbo_oranKadinGenc,2),0),IF($H137="TBO-ENG",IF($G137="Evet",ROUND($C137*tbo_isverenOran,2),0),0)))))</f>
        <v/>
      </c>
      <c r="L137" s="31">
        <f>IF($A137="","",MAX(0,$J137-$K137))</f>
        <v/>
      </c>
    </row>
    <row r="138">
      <c r="I138" s="31">
        <f>IF($A138="","",IF($J138=0,"YOK",IF(AND($E138="Evet",ROUND($C138*tbo_oranIlave,2)=$J138),"TBO-002",IF(AND($D138="Evet",ROUND($C138*tbo_oranBesPuan,2)=$J138),"TBO-001",IF(AND($F138="Evet",ROUND($C138*tbo_oranKadinGenc,2)=$J138),"TBO-004","TBO-ENG")))))</f>
        <v/>
      </c>
      <c r="J138" s="31">
        <f>IF($A138="","",MAX(IF($D138="Evet",ROUND($C138*tbo_oranBesPuan,2),0),IF($E138="Evet",ROUND($C138*tbo_oranIlave,2),0),IF($F138="Evet",ROUND($C138*tbo_oranKadinGenc,2),0),IF($G138="Evet",ROUND($C138*tbo_isverenOran,2),0)))</f>
        <v/>
      </c>
      <c r="K138" s="31">
        <f>IF($A138="","",IF($H138="TBO-001",IF($D138="Evet",ROUND($C138*tbo_oranBesPuan,2),0),IF($H138="TBO-002",IF($E138="Evet",ROUND($C138*tbo_oranIlave,2),0),IF($H138="TBO-004",IF($F138="Evet",ROUND($C138*tbo_oranKadinGenc,2),0),IF($H138="TBO-ENG",IF($G138="Evet",ROUND($C138*tbo_isverenOran,2),0),0)))))</f>
        <v/>
      </c>
      <c r="L138" s="31">
        <f>IF($A138="","",MAX(0,$J138-$K138))</f>
        <v/>
      </c>
    </row>
    <row r="139">
      <c r="I139" s="31">
        <f>IF($A139="","",IF($J139=0,"YOK",IF(AND($E139="Evet",ROUND($C139*tbo_oranIlave,2)=$J139),"TBO-002",IF(AND($D139="Evet",ROUND($C139*tbo_oranBesPuan,2)=$J139),"TBO-001",IF(AND($F139="Evet",ROUND($C139*tbo_oranKadinGenc,2)=$J139),"TBO-004","TBO-ENG")))))</f>
        <v/>
      </c>
      <c r="J139" s="31">
        <f>IF($A139="","",MAX(IF($D139="Evet",ROUND($C139*tbo_oranBesPuan,2),0),IF($E139="Evet",ROUND($C139*tbo_oranIlave,2),0),IF($F139="Evet",ROUND($C139*tbo_oranKadinGenc,2),0),IF($G139="Evet",ROUND($C139*tbo_isverenOran,2),0)))</f>
        <v/>
      </c>
      <c r="K139" s="31">
        <f>IF($A139="","",IF($H139="TBO-001",IF($D139="Evet",ROUND($C139*tbo_oranBesPuan,2),0),IF($H139="TBO-002",IF($E139="Evet",ROUND($C139*tbo_oranIlave,2),0),IF($H139="TBO-004",IF($F139="Evet",ROUND($C139*tbo_oranKadinGenc,2),0),IF($H139="TBO-ENG",IF($G139="Evet",ROUND($C139*tbo_isverenOran,2),0),0)))))</f>
        <v/>
      </c>
      <c r="L139" s="31">
        <f>IF($A139="","",MAX(0,$J139-$K139))</f>
        <v/>
      </c>
    </row>
    <row r="140">
      <c r="I140" s="31">
        <f>IF($A140="","",IF($J140=0,"YOK",IF(AND($E140="Evet",ROUND($C140*tbo_oranIlave,2)=$J140),"TBO-002",IF(AND($D140="Evet",ROUND($C140*tbo_oranBesPuan,2)=$J140),"TBO-001",IF(AND($F140="Evet",ROUND($C140*tbo_oranKadinGenc,2)=$J140),"TBO-004","TBO-ENG")))))</f>
        <v/>
      </c>
      <c r="J140" s="31">
        <f>IF($A140="","",MAX(IF($D140="Evet",ROUND($C140*tbo_oranBesPuan,2),0),IF($E140="Evet",ROUND($C140*tbo_oranIlave,2),0),IF($F140="Evet",ROUND($C140*tbo_oranKadinGenc,2),0),IF($G140="Evet",ROUND($C140*tbo_isverenOran,2),0)))</f>
        <v/>
      </c>
      <c r="K140" s="31">
        <f>IF($A140="","",IF($H140="TBO-001",IF($D140="Evet",ROUND($C140*tbo_oranBesPuan,2),0),IF($H140="TBO-002",IF($E140="Evet",ROUND($C140*tbo_oranIlave,2),0),IF($H140="TBO-004",IF($F140="Evet",ROUND($C140*tbo_oranKadinGenc,2),0),IF($H140="TBO-ENG",IF($G140="Evet",ROUND($C140*tbo_isverenOran,2),0),0)))))</f>
        <v/>
      </c>
      <c r="L140" s="31">
        <f>IF($A140="","",MAX(0,$J140-$K140))</f>
        <v/>
      </c>
    </row>
    <row r="141">
      <c r="I141" s="31">
        <f>IF($A141="","",IF($J141=0,"YOK",IF(AND($E141="Evet",ROUND($C141*tbo_oranIlave,2)=$J141),"TBO-002",IF(AND($D141="Evet",ROUND($C141*tbo_oranBesPuan,2)=$J141),"TBO-001",IF(AND($F141="Evet",ROUND($C141*tbo_oranKadinGenc,2)=$J141),"TBO-004","TBO-ENG")))))</f>
        <v/>
      </c>
      <c r="J141" s="31">
        <f>IF($A141="","",MAX(IF($D141="Evet",ROUND($C141*tbo_oranBesPuan,2),0),IF($E141="Evet",ROUND($C141*tbo_oranIlave,2),0),IF($F141="Evet",ROUND($C141*tbo_oranKadinGenc,2),0),IF($G141="Evet",ROUND($C141*tbo_isverenOran,2),0)))</f>
        <v/>
      </c>
      <c r="K141" s="31">
        <f>IF($A141="","",IF($H141="TBO-001",IF($D141="Evet",ROUND($C141*tbo_oranBesPuan,2),0),IF($H141="TBO-002",IF($E141="Evet",ROUND($C141*tbo_oranIlave,2),0),IF($H141="TBO-004",IF($F141="Evet",ROUND($C141*tbo_oranKadinGenc,2),0),IF($H141="TBO-ENG",IF($G141="Evet",ROUND($C141*tbo_isverenOran,2),0),0)))))</f>
        <v/>
      </c>
      <c r="L141" s="31">
        <f>IF($A141="","",MAX(0,$J141-$K141))</f>
        <v/>
      </c>
    </row>
    <row r="142">
      <c r="I142" s="31">
        <f>IF($A142="","",IF($J142=0,"YOK",IF(AND($E142="Evet",ROUND($C142*tbo_oranIlave,2)=$J142),"TBO-002",IF(AND($D142="Evet",ROUND($C142*tbo_oranBesPuan,2)=$J142),"TBO-001",IF(AND($F142="Evet",ROUND($C142*tbo_oranKadinGenc,2)=$J142),"TBO-004","TBO-ENG")))))</f>
        <v/>
      </c>
      <c r="J142" s="31">
        <f>IF($A142="","",MAX(IF($D142="Evet",ROUND($C142*tbo_oranBesPuan,2),0),IF($E142="Evet",ROUND($C142*tbo_oranIlave,2),0),IF($F142="Evet",ROUND($C142*tbo_oranKadinGenc,2),0),IF($G142="Evet",ROUND($C142*tbo_isverenOran,2),0)))</f>
        <v/>
      </c>
      <c r="K142" s="31">
        <f>IF($A142="","",IF($H142="TBO-001",IF($D142="Evet",ROUND($C142*tbo_oranBesPuan,2),0),IF($H142="TBO-002",IF($E142="Evet",ROUND($C142*tbo_oranIlave,2),0),IF($H142="TBO-004",IF($F142="Evet",ROUND($C142*tbo_oranKadinGenc,2),0),IF($H142="TBO-ENG",IF($G142="Evet",ROUND($C142*tbo_isverenOran,2),0),0)))))</f>
        <v/>
      </c>
      <c r="L142" s="31">
        <f>IF($A142="","",MAX(0,$J142-$K142))</f>
        <v/>
      </c>
    </row>
    <row r="143">
      <c r="I143" s="31">
        <f>IF($A143="","",IF($J143=0,"YOK",IF(AND($E143="Evet",ROUND($C143*tbo_oranIlave,2)=$J143),"TBO-002",IF(AND($D143="Evet",ROUND($C143*tbo_oranBesPuan,2)=$J143),"TBO-001",IF(AND($F143="Evet",ROUND($C143*tbo_oranKadinGenc,2)=$J143),"TBO-004","TBO-ENG")))))</f>
        <v/>
      </c>
      <c r="J143" s="31">
        <f>IF($A143="","",MAX(IF($D143="Evet",ROUND($C143*tbo_oranBesPuan,2),0),IF($E143="Evet",ROUND($C143*tbo_oranIlave,2),0),IF($F143="Evet",ROUND($C143*tbo_oranKadinGenc,2),0),IF($G143="Evet",ROUND($C143*tbo_isverenOran,2),0)))</f>
        <v/>
      </c>
      <c r="K143" s="31">
        <f>IF($A143="","",IF($H143="TBO-001",IF($D143="Evet",ROUND($C143*tbo_oranBesPuan,2),0),IF($H143="TBO-002",IF($E143="Evet",ROUND($C143*tbo_oranIlave,2),0),IF($H143="TBO-004",IF($F143="Evet",ROUND($C143*tbo_oranKadinGenc,2),0),IF($H143="TBO-ENG",IF($G143="Evet",ROUND($C143*tbo_isverenOran,2),0),0)))))</f>
        <v/>
      </c>
      <c r="L143" s="31">
        <f>IF($A143="","",MAX(0,$J143-$K143))</f>
        <v/>
      </c>
    </row>
    <row r="144">
      <c r="I144" s="31">
        <f>IF($A144="","",IF($J144=0,"YOK",IF(AND($E144="Evet",ROUND($C144*tbo_oranIlave,2)=$J144),"TBO-002",IF(AND($D144="Evet",ROUND($C144*tbo_oranBesPuan,2)=$J144),"TBO-001",IF(AND($F144="Evet",ROUND($C144*tbo_oranKadinGenc,2)=$J144),"TBO-004","TBO-ENG")))))</f>
        <v/>
      </c>
      <c r="J144" s="31">
        <f>IF($A144="","",MAX(IF($D144="Evet",ROUND($C144*tbo_oranBesPuan,2),0),IF($E144="Evet",ROUND($C144*tbo_oranIlave,2),0),IF($F144="Evet",ROUND($C144*tbo_oranKadinGenc,2),0),IF($G144="Evet",ROUND($C144*tbo_isverenOran,2),0)))</f>
        <v/>
      </c>
      <c r="K144" s="31">
        <f>IF($A144="","",IF($H144="TBO-001",IF($D144="Evet",ROUND($C144*tbo_oranBesPuan,2),0),IF($H144="TBO-002",IF($E144="Evet",ROUND($C144*tbo_oranIlave,2),0),IF($H144="TBO-004",IF($F144="Evet",ROUND($C144*tbo_oranKadinGenc,2),0),IF($H144="TBO-ENG",IF($G144="Evet",ROUND($C144*tbo_isverenOran,2),0),0)))))</f>
        <v/>
      </c>
      <c r="L144" s="31">
        <f>IF($A144="","",MAX(0,$J144-$K144))</f>
        <v/>
      </c>
    </row>
    <row r="145">
      <c r="I145" s="31">
        <f>IF($A145="","",IF($J145=0,"YOK",IF(AND($E145="Evet",ROUND($C145*tbo_oranIlave,2)=$J145),"TBO-002",IF(AND($D145="Evet",ROUND($C145*tbo_oranBesPuan,2)=$J145),"TBO-001",IF(AND($F145="Evet",ROUND($C145*tbo_oranKadinGenc,2)=$J145),"TBO-004","TBO-ENG")))))</f>
        <v/>
      </c>
      <c r="J145" s="31">
        <f>IF($A145="","",MAX(IF($D145="Evet",ROUND($C145*tbo_oranBesPuan,2),0),IF($E145="Evet",ROUND($C145*tbo_oranIlave,2),0),IF($F145="Evet",ROUND($C145*tbo_oranKadinGenc,2),0),IF($G145="Evet",ROUND($C145*tbo_isverenOran,2),0)))</f>
        <v/>
      </c>
      <c r="K145" s="31">
        <f>IF($A145="","",IF($H145="TBO-001",IF($D145="Evet",ROUND($C145*tbo_oranBesPuan,2),0),IF($H145="TBO-002",IF($E145="Evet",ROUND($C145*tbo_oranIlave,2),0),IF($H145="TBO-004",IF($F145="Evet",ROUND($C145*tbo_oranKadinGenc,2),0),IF($H145="TBO-ENG",IF($G145="Evet",ROUND($C145*tbo_isverenOran,2),0),0)))))</f>
        <v/>
      </c>
      <c r="L145" s="31">
        <f>IF($A145="","",MAX(0,$J145-$K145))</f>
        <v/>
      </c>
    </row>
    <row r="146">
      <c r="I146" s="31">
        <f>IF($A146="","",IF($J146=0,"YOK",IF(AND($E146="Evet",ROUND($C146*tbo_oranIlave,2)=$J146),"TBO-002",IF(AND($D146="Evet",ROUND($C146*tbo_oranBesPuan,2)=$J146),"TBO-001",IF(AND($F146="Evet",ROUND($C146*tbo_oranKadinGenc,2)=$J146),"TBO-004","TBO-ENG")))))</f>
        <v/>
      </c>
      <c r="J146" s="31">
        <f>IF($A146="","",MAX(IF($D146="Evet",ROUND($C146*tbo_oranBesPuan,2),0),IF($E146="Evet",ROUND($C146*tbo_oranIlave,2),0),IF($F146="Evet",ROUND($C146*tbo_oranKadinGenc,2),0),IF($G146="Evet",ROUND($C146*tbo_isverenOran,2),0)))</f>
        <v/>
      </c>
      <c r="K146" s="31">
        <f>IF($A146="","",IF($H146="TBO-001",IF($D146="Evet",ROUND($C146*tbo_oranBesPuan,2),0),IF($H146="TBO-002",IF($E146="Evet",ROUND($C146*tbo_oranIlave,2),0),IF($H146="TBO-004",IF($F146="Evet",ROUND($C146*tbo_oranKadinGenc,2),0),IF($H146="TBO-ENG",IF($G146="Evet",ROUND($C146*tbo_isverenOran,2),0),0)))))</f>
        <v/>
      </c>
      <c r="L146" s="31">
        <f>IF($A146="","",MAX(0,$J146-$K146))</f>
        <v/>
      </c>
    </row>
    <row r="147">
      <c r="I147" s="31">
        <f>IF($A147="","",IF($J147=0,"YOK",IF(AND($E147="Evet",ROUND($C147*tbo_oranIlave,2)=$J147),"TBO-002",IF(AND($D147="Evet",ROUND($C147*tbo_oranBesPuan,2)=$J147),"TBO-001",IF(AND($F147="Evet",ROUND($C147*tbo_oranKadinGenc,2)=$J147),"TBO-004","TBO-ENG")))))</f>
        <v/>
      </c>
      <c r="J147" s="31">
        <f>IF($A147="","",MAX(IF($D147="Evet",ROUND($C147*tbo_oranBesPuan,2),0),IF($E147="Evet",ROUND($C147*tbo_oranIlave,2),0),IF($F147="Evet",ROUND($C147*tbo_oranKadinGenc,2),0),IF($G147="Evet",ROUND($C147*tbo_isverenOran,2),0)))</f>
        <v/>
      </c>
      <c r="K147" s="31">
        <f>IF($A147="","",IF($H147="TBO-001",IF($D147="Evet",ROUND($C147*tbo_oranBesPuan,2),0),IF($H147="TBO-002",IF($E147="Evet",ROUND($C147*tbo_oranIlave,2),0),IF($H147="TBO-004",IF($F147="Evet",ROUND($C147*tbo_oranKadinGenc,2),0),IF($H147="TBO-ENG",IF($G147="Evet",ROUND($C147*tbo_isverenOran,2),0),0)))))</f>
        <v/>
      </c>
      <c r="L147" s="31">
        <f>IF($A147="","",MAX(0,$J147-$K147))</f>
        <v/>
      </c>
    </row>
    <row r="148">
      <c r="I148" s="31">
        <f>IF($A148="","",IF($J148=0,"YOK",IF(AND($E148="Evet",ROUND($C148*tbo_oranIlave,2)=$J148),"TBO-002",IF(AND($D148="Evet",ROUND($C148*tbo_oranBesPuan,2)=$J148),"TBO-001",IF(AND($F148="Evet",ROUND($C148*tbo_oranKadinGenc,2)=$J148),"TBO-004","TBO-ENG")))))</f>
        <v/>
      </c>
      <c r="J148" s="31">
        <f>IF($A148="","",MAX(IF($D148="Evet",ROUND($C148*tbo_oranBesPuan,2),0),IF($E148="Evet",ROUND($C148*tbo_oranIlave,2),0),IF($F148="Evet",ROUND($C148*tbo_oranKadinGenc,2),0),IF($G148="Evet",ROUND($C148*tbo_isverenOran,2),0)))</f>
        <v/>
      </c>
      <c r="K148" s="31">
        <f>IF($A148="","",IF($H148="TBO-001",IF($D148="Evet",ROUND($C148*tbo_oranBesPuan,2),0),IF($H148="TBO-002",IF($E148="Evet",ROUND($C148*tbo_oranIlave,2),0),IF($H148="TBO-004",IF($F148="Evet",ROUND($C148*tbo_oranKadinGenc,2),0),IF($H148="TBO-ENG",IF($G148="Evet",ROUND($C148*tbo_isverenOran,2),0),0)))))</f>
        <v/>
      </c>
      <c r="L148" s="31">
        <f>IF($A148="","",MAX(0,$J148-$K148))</f>
        <v/>
      </c>
    </row>
    <row r="149">
      <c r="I149" s="31">
        <f>IF($A149="","",IF($J149=0,"YOK",IF(AND($E149="Evet",ROUND($C149*tbo_oranIlave,2)=$J149),"TBO-002",IF(AND($D149="Evet",ROUND($C149*tbo_oranBesPuan,2)=$J149),"TBO-001",IF(AND($F149="Evet",ROUND($C149*tbo_oranKadinGenc,2)=$J149),"TBO-004","TBO-ENG")))))</f>
        <v/>
      </c>
      <c r="J149" s="31">
        <f>IF($A149="","",MAX(IF($D149="Evet",ROUND($C149*tbo_oranBesPuan,2),0),IF($E149="Evet",ROUND($C149*tbo_oranIlave,2),0),IF($F149="Evet",ROUND($C149*tbo_oranKadinGenc,2),0),IF($G149="Evet",ROUND($C149*tbo_isverenOran,2),0)))</f>
        <v/>
      </c>
      <c r="K149" s="31">
        <f>IF($A149="","",IF($H149="TBO-001",IF($D149="Evet",ROUND($C149*tbo_oranBesPuan,2),0),IF($H149="TBO-002",IF($E149="Evet",ROUND($C149*tbo_oranIlave,2),0),IF($H149="TBO-004",IF($F149="Evet",ROUND($C149*tbo_oranKadinGenc,2),0),IF($H149="TBO-ENG",IF($G149="Evet",ROUND($C149*tbo_isverenOran,2),0),0)))))</f>
        <v/>
      </c>
      <c r="L149" s="31">
        <f>IF($A149="","",MAX(0,$J149-$K149))</f>
        <v/>
      </c>
    </row>
    <row r="150">
      <c r="I150" s="31">
        <f>IF($A150="","",IF($J150=0,"YOK",IF(AND($E150="Evet",ROUND($C150*tbo_oranIlave,2)=$J150),"TBO-002",IF(AND($D150="Evet",ROUND($C150*tbo_oranBesPuan,2)=$J150),"TBO-001",IF(AND($F150="Evet",ROUND($C150*tbo_oranKadinGenc,2)=$J150),"TBO-004","TBO-ENG")))))</f>
        <v/>
      </c>
      <c r="J150" s="31">
        <f>IF($A150="","",MAX(IF($D150="Evet",ROUND($C150*tbo_oranBesPuan,2),0),IF($E150="Evet",ROUND($C150*tbo_oranIlave,2),0),IF($F150="Evet",ROUND($C150*tbo_oranKadinGenc,2),0),IF($G150="Evet",ROUND($C150*tbo_isverenOran,2),0)))</f>
        <v/>
      </c>
      <c r="K150" s="31">
        <f>IF($A150="","",IF($H150="TBO-001",IF($D150="Evet",ROUND($C150*tbo_oranBesPuan,2),0),IF($H150="TBO-002",IF($E150="Evet",ROUND($C150*tbo_oranIlave,2),0),IF($H150="TBO-004",IF($F150="Evet",ROUND($C150*tbo_oranKadinGenc,2),0),IF($H150="TBO-ENG",IF($G150="Evet",ROUND($C150*tbo_isverenOran,2),0),0)))))</f>
        <v/>
      </c>
      <c r="L150" s="31">
        <f>IF($A150="","",MAX(0,$J150-$K150))</f>
        <v/>
      </c>
    </row>
    <row r="151">
      <c r="I151" s="31">
        <f>IF($A151="","",IF($J151=0,"YOK",IF(AND($E151="Evet",ROUND($C151*tbo_oranIlave,2)=$J151),"TBO-002",IF(AND($D151="Evet",ROUND($C151*tbo_oranBesPuan,2)=$J151),"TBO-001",IF(AND($F151="Evet",ROUND($C151*tbo_oranKadinGenc,2)=$J151),"TBO-004","TBO-ENG")))))</f>
        <v/>
      </c>
      <c r="J151" s="31">
        <f>IF($A151="","",MAX(IF($D151="Evet",ROUND($C151*tbo_oranBesPuan,2),0),IF($E151="Evet",ROUND($C151*tbo_oranIlave,2),0),IF($F151="Evet",ROUND($C151*tbo_oranKadinGenc,2),0),IF($G151="Evet",ROUND($C151*tbo_isverenOran,2),0)))</f>
        <v/>
      </c>
      <c r="K151" s="31">
        <f>IF($A151="","",IF($H151="TBO-001",IF($D151="Evet",ROUND($C151*tbo_oranBesPuan,2),0),IF($H151="TBO-002",IF($E151="Evet",ROUND($C151*tbo_oranIlave,2),0),IF($H151="TBO-004",IF($F151="Evet",ROUND($C151*tbo_oranKadinGenc,2),0),IF($H151="TBO-ENG",IF($G151="Evet",ROUND($C151*tbo_isverenOran,2),0),0)))))</f>
        <v/>
      </c>
      <c r="L151" s="31">
        <f>IF($A151="","",MAX(0,$J151-$K151))</f>
        <v/>
      </c>
    </row>
    <row r="152">
      <c r="I152" s="31">
        <f>IF($A152="","",IF($J152=0,"YOK",IF(AND($E152="Evet",ROUND($C152*tbo_oranIlave,2)=$J152),"TBO-002",IF(AND($D152="Evet",ROUND($C152*tbo_oranBesPuan,2)=$J152),"TBO-001",IF(AND($F152="Evet",ROUND($C152*tbo_oranKadinGenc,2)=$J152),"TBO-004","TBO-ENG")))))</f>
        <v/>
      </c>
      <c r="J152" s="31">
        <f>IF($A152="","",MAX(IF($D152="Evet",ROUND($C152*tbo_oranBesPuan,2),0),IF($E152="Evet",ROUND($C152*tbo_oranIlave,2),0),IF($F152="Evet",ROUND($C152*tbo_oranKadinGenc,2),0),IF($G152="Evet",ROUND($C152*tbo_isverenOran,2),0)))</f>
        <v/>
      </c>
      <c r="K152" s="31">
        <f>IF($A152="","",IF($H152="TBO-001",IF($D152="Evet",ROUND($C152*tbo_oranBesPuan,2),0),IF($H152="TBO-002",IF($E152="Evet",ROUND($C152*tbo_oranIlave,2),0),IF($H152="TBO-004",IF($F152="Evet",ROUND($C152*tbo_oranKadinGenc,2),0),IF($H152="TBO-ENG",IF($G152="Evet",ROUND($C152*tbo_isverenOran,2),0),0)))))</f>
        <v/>
      </c>
      <c r="L152" s="31">
        <f>IF($A152="","",MAX(0,$J152-$K152))</f>
        <v/>
      </c>
    </row>
    <row r="153">
      <c r="I153" s="31">
        <f>IF($A153="","",IF($J153=0,"YOK",IF(AND($E153="Evet",ROUND($C153*tbo_oranIlave,2)=$J153),"TBO-002",IF(AND($D153="Evet",ROUND($C153*tbo_oranBesPuan,2)=$J153),"TBO-001",IF(AND($F153="Evet",ROUND($C153*tbo_oranKadinGenc,2)=$J153),"TBO-004","TBO-ENG")))))</f>
        <v/>
      </c>
      <c r="J153" s="31">
        <f>IF($A153="","",MAX(IF($D153="Evet",ROUND($C153*tbo_oranBesPuan,2),0),IF($E153="Evet",ROUND($C153*tbo_oranIlave,2),0),IF($F153="Evet",ROUND($C153*tbo_oranKadinGenc,2),0),IF($G153="Evet",ROUND($C153*tbo_isverenOran,2),0)))</f>
        <v/>
      </c>
      <c r="K153" s="31">
        <f>IF($A153="","",IF($H153="TBO-001",IF($D153="Evet",ROUND($C153*tbo_oranBesPuan,2),0),IF($H153="TBO-002",IF($E153="Evet",ROUND($C153*tbo_oranIlave,2),0),IF($H153="TBO-004",IF($F153="Evet",ROUND($C153*tbo_oranKadinGenc,2),0),IF($H153="TBO-ENG",IF($G153="Evet",ROUND($C153*tbo_isverenOran,2),0),0)))))</f>
        <v/>
      </c>
      <c r="L153" s="31">
        <f>IF($A153="","",MAX(0,$J153-$K153))</f>
        <v/>
      </c>
    </row>
    <row r="154">
      <c r="I154" s="31">
        <f>IF($A154="","",IF($J154=0,"YOK",IF(AND($E154="Evet",ROUND($C154*tbo_oranIlave,2)=$J154),"TBO-002",IF(AND($D154="Evet",ROUND($C154*tbo_oranBesPuan,2)=$J154),"TBO-001",IF(AND($F154="Evet",ROUND($C154*tbo_oranKadinGenc,2)=$J154),"TBO-004","TBO-ENG")))))</f>
        <v/>
      </c>
      <c r="J154" s="31">
        <f>IF($A154="","",MAX(IF($D154="Evet",ROUND($C154*tbo_oranBesPuan,2),0),IF($E154="Evet",ROUND($C154*tbo_oranIlave,2),0),IF($F154="Evet",ROUND($C154*tbo_oranKadinGenc,2),0),IF($G154="Evet",ROUND($C154*tbo_isverenOran,2),0)))</f>
        <v/>
      </c>
      <c r="K154" s="31">
        <f>IF($A154="","",IF($H154="TBO-001",IF($D154="Evet",ROUND($C154*tbo_oranBesPuan,2),0),IF($H154="TBO-002",IF($E154="Evet",ROUND($C154*tbo_oranIlave,2),0),IF($H154="TBO-004",IF($F154="Evet",ROUND($C154*tbo_oranKadinGenc,2),0),IF($H154="TBO-ENG",IF($G154="Evet",ROUND($C154*tbo_isverenOran,2),0),0)))))</f>
        <v/>
      </c>
      <c r="L154" s="31">
        <f>IF($A154="","",MAX(0,$J154-$K154))</f>
        <v/>
      </c>
    </row>
    <row r="155">
      <c r="I155" s="31">
        <f>IF($A155="","",IF($J155=0,"YOK",IF(AND($E155="Evet",ROUND($C155*tbo_oranIlave,2)=$J155),"TBO-002",IF(AND($D155="Evet",ROUND($C155*tbo_oranBesPuan,2)=$J155),"TBO-001",IF(AND($F155="Evet",ROUND($C155*tbo_oranKadinGenc,2)=$J155),"TBO-004","TBO-ENG")))))</f>
        <v/>
      </c>
      <c r="J155" s="31">
        <f>IF($A155="","",MAX(IF($D155="Evet",ROUND($C155*tbo_oranBesPuan,2),0),IF($E155="Evet",ROUND($C155*tbo_oranIlave,2),0),IF($F155="Evet",ROUND($C155*tbo_oranKadinGenc,2),0),IF($G155="Evet",ROUND($C155*tbo_isverenOran,2),0)))</f>
        <v/>
      </c>
      <c r="K155" s="31">
        <f>IF($A155="","",IF($H155="TBO-001",IF($D155="Evet",ROUND($C155*tbo_oranBesPuan,2),0),IF($H155="TBO-002",IF($E155="Evet",ROUND($C155*tbo_oranIlave,2),0),IF($H155="TBO-004",IF($F155="Evet",ROUND($C155*tbo_oranKadinGenc,2),0),IF($H155="TBO-ENG",IF($G155="Evet",ROUND($C155*tbo_isverenOran,2),0),0)))))</f>
        <v/>
      </c>
      <c r="L155" s="31">
        <f>IF($A155="","",MAX(0,$J155-$K155))</f>
        <v/>
      </c>
    </row>
    <row r="156">
      <c r="I156" s="31">
        <f>IF($A156="","",IF($J156=0,"YOK",IF(AND($E156="Evet",ROUND($C156*tbo_oranIlave,2)=$J156),"TBO-002",IF(AND($D156="Evet",ROUND($C156*tbo_oranBesPuan,2)=$J156),"TBO-001",IF(AND($F156="Evet",ROUND($C156*tbo_oranKadinGenc,2)=$J156),"TBO-004","TBO-ENG")))))</f>
        <v/>
      </c>
      <c r="J156" s="31">
        <f>IF($A156="","",MAX(IF($D156="Evet",ROUND($C156*tbo_oranBesPuan,2),0),IF($E156="Evet",ROUND($C156*tbo_oranIlave,2),0),IF($F156="Evet",ROUND($C156*tbo_oranKadinGenc,2),0),IF($G156="Evet",ROUND($C156*tbo_isverenOran,2),0)))</f>
        <v/>
      </c>
      <c r="K156" s="31">
        <f>IF($A156="","",IF($H156="TBO-001",IF($D156="Evet",ROUND($C156*tbo_oranBesPuan,2),0),IF($H156="TBO-002",IF($E156="Evet",ROUND($C156*tbo_oranIlave,2),0),IF($H156="TBO-004",IF($F156="Evet",ROUND($C156*tbo_oranKadinGenc,2),0),IF($H156="TBO-ENG",IF($G156="Evet",ROUND($C156*tbo_isverenOran,2),0),0)))))</f>
        <v/>
      </c>
      <c r="L156" s="31">
        <f>IF($A156="","",MAX(0,$J156-$K156))</f>
        <v/>
      </c>
    </row>
    <row r="157">
      <c r="I157" s="31">
        <f>IF($A157="","",IF($J157=0,"YOK",IF(AND($E157="Evet",ROUND($C157*tbo_oranIlave,2)=$J157),"TBO-002",IF(AND($D157="Evet",ROUND($C157*tbo_oranBesPuan,2)=$J157),"TBO-001",IF(AND($F157="Evet",ROUND($C157*tbo_oranKadinGenc,2)=$J157),"TBO-004","TBO-ENG")))))</f>
        <v/>
      </c>
      <c r="J157" s="31">
        <f>IF($A157="","",MAX(IF($D157="Evet",ROUND($C157*tbo_oranBesPuan,2),0),IF($E157="Evet",ROUND($C157*tbo_oranIlave,2),0),IF($F157="Evet",ROUND($C157*tbo_oranKadinGenc,2),0),IF($G157="Evet",ROUND($C157*tbo_isverenOran,2),0)))</f>
        <v/>
      </c>
      <c r="K157" s="31">
        <f>IF($A157="","",IF($H157="TBO-001",IF($D157="Evet",ROUND($C157*tbo_oranBesPuan,2),0),IF($H157="TBO-002",IF($E157="Evet",ROUND($C157*tbo_oranIlave,2),0),IF($H157="TBO-004",IF($F157="Evet",ROUND($C157*tbo_oranKadinGenc,2),0),IF($H157="TBO-ENG",IF($G157="Evet",ROUND($C157*tbo_isverenOran,2),0),0)))))</f>
        <v/>
      </c>
      <c r="L157" s="31">
        <f>IF($A157="","",MAX(0,$J157-$K157))</f>
        <v/>
      </c>
    </row>
    <row r="158">
      <c r="I158" s="31">
        <f>IF($A158="","",IF($J158=0,"YOK",IF(AND($E158="Evet",ROUND($C158*tbo_oranIlave,2)=$J158),"TBO-002",IF(AND($D158="Evet",ROUND($C158*tbo_oranBesPuan,2)=$J158),"TBO-001",IF(AND($F158="Evet",ROUND($C158*tbo_oranKadinGenc,2)=$J158),"TBO-004","TBO-ENG")))))</f>
        <v/>
      </c>
      <c r="J158" s="31">
        <f>IF($A158="","",MAX(IF($D158="Evet",ROUND($C158*tbo_oranBesPuan,2),0),IF($E158="Evet",ROUND($C158*tbo_oranIlave,2),0),IF($F158="Evet",ROUND($C158*tbo_oranKadinGenc,2),0),IF($G158="Evet",ROUND($C158*tbo_isverenOran,2),0)))</f>
        <v/>
      </c>
      <c r="K158" s="31">
        <f>IF($A158="","",IF($H158="TBO-001",IF($D158="Evet",ROUND($C158*tbo_oranBesPuan,2),0),IF($H158="TBO-002",IF($E158="Evet",ROUND($C158*tbo_oranIlave,2),0),IF($H158="TBO-004",IF($F158="Evet",ROUND($C158*tbo_oranKadinGenc,2),0),IF($H158="TBO-ENG",IF($G158="Evet",ROUND($C158*tbo_isverenOran,2),0),0)))))</f>
        <v/>
      </c>
      <c r="L158" s="31">
        <f>IF($A158="","",MAX(0,$J158-$K158))</f>
        <v/>
      </c>
    </row>
    <row r="159">
      <c r="I159" s="31">
        <f>IF($A159="","",IF($J159=0,"YOK",IF(AND($E159="Evet",ROUND($C159*tbo_oranIlave,2)=$J159),"TBO-002",IF(AND($D159="Evet",ROUND($C159*tbo_oranBesPuan,2)=$J159),"TBO-001",IF(AND($F159="Evet",ROUND($C159*tbo_oranKadinGenc,2)=$J159),"TBO-004","TBO-ENG")))))</f>
        <v/>
      </c>
      <c r="J159" s="31">
        <f>IF($A159="","",MAX(IF($D159="Evet",ROUND($C159*tbo_oranBesPuan,2),0),IF($E159="Evet",ROUND($C159*tbo_oranIlave,2),0),IF($F159="Evet",ROUND($C159*tbo_oranKadinGenc,2),0),IF($G159="Evet",ROUND($C159*tbo_isverenOran,2),0)))</f>
        <v/>
      </c>
      <c r="K159" s="31">
        <f>IF($A159="","",IF($H159="TBO-001",IF($D159="Evet",ROUND($C159*tbo_oranBesPuan,2),0),IF($H159="TBO-002",IF($E159="Evet",ROUND($C159*tbo_oranIlave,2),0),IF($H159="TBO-004",IF($F159="Evet",ROUND($C159*tbo_oranKadinGenc,2),0),IF($H159="TBO-ENG",IF($G159="Evet",ROUND($C159*tbo_isverenOran,2),0),0)))))</f>
        <v/>
      </c>
      <c r="L159" s="31">
        <f>IF($A159="","",MAX(0,$J159-$K159))</f>
        <v/>
      </c>
    </row>
    <row r="160">
      <c r="I160" s="31">
        <f>IF($A160="","",IF($J160=0,"YOK",IF(AND($E160="Evet",ROUND($C160*tbo_oranIlave,2)=$J160),"TBO-002",IF(AND($D160="Evet",ROUND($C160*tbo_oranBesPuan,2)=$J160),"TBO-001",IF(AND($F160="Evet",ROUND($C160*tbo_oranKadinGenc,2)=$J160),"TBO-004","TBO-ENG")))))</f>
        <v/>
      </c>
      <c r="J160" s="31">
        <f>IF($A160="","",MAX(IF($D160="Evet",ROUND($C160*tbo_oranBesPuan,2),0),IF($E160="Evet",ROUND($C160*tbo_oranIlave,2),0),IF($F160="Evet",ROUND($C160*tbo_oranKadinGenc,2),0),IF($G160="Evet",ROUND($C160*tbo_isverenOran,2),0)))</f>
        <v/>
      </c>
      <c r="K160" s="31">
        <f>IF($A160="","",IF($H160="TBO-001",IF($D160="Evet",ROUND($C160*tbo_oranBesPuan,2),0),IF($H160="TBO-002",IF($E160="Evet",ROUND($C160*tbo_oranIlave,2),0),IF($H160="TBO-004",IF($F160="Evet",ROUND($C160*tbo_oranKadinGenc,2),0),IF($H160="TBO-ENG",IF($G160="Evet",ROUND($C160*tbo_isverenOran,2),0),0)))))</f>
        <v/>
      </c>
      <c r="L160" s="31">
        <f>IF($A160="","",MAX(0,$J160-$K160))</f>
        <v/>
      </c>
    </row>
    <row r="161">
      <c r="I161" s="31">
        <f>IF($A161="","",IF($J161=0,"YOK",IF(AND($E161="Evet",ROUND($C161*tbo_oranIlave,2)=$J161),"TBO-002",IF(AND($D161="Evet",ROUND($C161*tbo_oranBesPuan,2)=$J161),"TBO-001",IF(AND($F161="Evet",ROUND($C161*tbo_oranKadinGenc,2)=$J161),"TBO-004","TBO-ENG")))))</f>
        <v/>
      </c>
      <c r="J161" s="31">
        <f>IF($A161="","",MAX(IF($D161="Evet",ROUND($C161*tbo_oranBesPuan,2),0),IF($E161="Evet",ROUND($C161*tbo_oranIlave,2),0),IF($F161="Evet",ROUND($C161*tbo_oranKadinGenc,2),0),IF($G161="Evet",ROUND($C161*tbo_isverenOran,2),0)))</f>
        <v/>
      </c>
      <c r="K161" s="31">
        <f>IF($A161="","",IF($H161="TBO-001",IF($D161="Evet",ROUND($C161*tbo_oranBesPuan,2),0),IF($H161="TBO-002",IF($E161="Evet",ROUND($C161*tbo_oranIlave,2),0),IF($H161="TBO-004",IF($F161="Evet",ROUND($C161*tbo_oranKadinGenc,2),0),IF($H161="TBO-ENG",IF($G161="Evet",ROUND($C161*tbo_isverenOran,2),0),0)))))</f>
        <v/>
      </c>
      <c r="L161" s="31">
        <f>IF($A161="","",MAX(0,$J161-$K161))</f>
        <v/>
      </c>
    </row>
    <row r="162">
      <c r="I162" s="31">
        <f>IF($A162="","",IF($J162=0,"YOK",IF(AND($E162="Evet",ROUND($C162*tbo_oranIlave,2)=$J162),"TBO-002",IF(AND($D162="Evet",ROUND($C162*tbo_oranBesPuan,2)=$J162),"TBO-001",IF(AND($F162="Evet",ROUND($C162*tbo_oranKadinGenc,2)=$J162),"TBO-004","TBO-ENG")))))</f>
        <v/>
      </c>
      <c r="J162" s="31">
        <f>IF($A162="","",MAX(IF($D162="Evet",ROUND($C162*tbo_oranBesPuan,2),0),IF($E162="Evet",ROUND($C162*tbo_oranIlave,2),0),IF($F162="Evet",ROUND($C162*tbo_oranKadinGenc,2),0),IF($G162="Evet",ROUND($C162*tbo_isverenOran,2),0)))</f>
        <v/>
      </c>
      <c r="K162" s="31">
        <f>IF($A162="","",IF($H162="TBO-001",IF($D162="Evet",ROUND($C162*tbo_oranBesPuan,2),0),IF($H162="TBO-002",IF($E162="Evet",ROUND($C162*tbo_oranIlave,2),0),IF($H162="TBO-004",IF($F162="Evet",ROUND($C162*tbo_oranKadinGenc,2),0),IF($H162="TBO-ENG",IF($G162="Evet",ROUND($C162*tbo_isverenOran,2),0),0)))))</f>
        <v/>
      </c>
      <c r="L162" s="31">
        <f>IF($A162="","",MAX(0,$J162-$K162))</f>
        <v/>
      </c>
    </row>
    <row r="163">
      <c r="I163" s="31">
        <f>IF($A163="","",IF($J163=0,"YOK",IF(AND($E163="Evet",ROUND($C163*tbo_oranIlave,2)=$J163),"TBO-002",IF(AND($D163="Evet",ROUND($C163*tbo_oranBesPuan,2)=$J163),"TBO-001",IF(AND($F163="Evet",ROUND($C163*tbo_oranKadinGenc,2)=$J163),"TBO-004","TBO-ENG")))))</f>
        <v/>
      </c>
      <c r="J163" s="31">
        <f>IF($A163="","",MAX(IF($D163="Evet",ROUND($C163*tbo_oranBesPuan,2),0),IF($E163="Evet",ROUND($C163*tbo_oranIlave,2),0),IF($F163="Evet",ROUND($C163*tbo_oranKadinGenc,2),0),IF($G163="Evet",ROUND($C163*tbo_isverenOran,2),0)))</f>
        <v/>
      </c>
      <c r="K163" s="31">
        <f>IF($A163="","",IF($H163="TBO-001",IF($D163="Evet",ROUND($C163*tbo_oranBesPuan,2),0),IF($H163="TBO-002",IF($E163="Evet",ROUND($C163*tbo_oranIlave,2),0),IF($H163="TBO-004",IF($F163="Evet",ROUND($C163*tbo_oranKadinGenc,2),0),IF($H163="TBO-ENG",IF($G163="Evet",ROUND($C163*tbo_isverenOran,2),0),0)))))</f>
        <v/>
      </c>
      <c r="L163" s="31">
        <f>IF($A163="","",MAX(0,$J163-$K163))</f>
        <v/>
      </c>
    </row>
    <row r="164">
      <c r="I164" s="31">
        <f>IF($A164="","",IF($J164=0,"YOK",IF(AND($E164="Evet",ROUND($C164*tbo_oranIlave,2)=$J164),"TBO-002",IF(AND($D164="Evet",ROUND($C164*tbo_oranBesPuan,2)=$J164),"TBO-001",IF(AND($F164="Evet",ROUND($C164*tbo_oranKadinGenc,2)=$J164),"TBO-004","TBO-ENG")))))</f>
        <v/>
      </c>
      <c r="J164" s="31">
        <f>IF($A164="","",MAX(IF($D164="Evet",ROUND($C164*tbo_oranBesPuan,2),0),IF($E164="Evet",ROUND($C164*tbo_oranIlave,2),0),IF($F164="Evet",ROUND($C164*tbo_oranKadinGenc,2),0),IF($G164="Evet",ROUND($C164*tbo_isverenOran,2),0)))</f>
        <v/>
      </c>
      <c r="K164" s="31">
        <f>IF($A164="","",IF($H164="TBO-001",IF($D164="Evet",ROUND($C164*tbo_oranBesPuan,2),0),IF($H164="TBO-002",IF($E164="Evet",ROUND($C164*tbo_oranIlave,2),0),IF($H164="TBO-004",IF($F164="Evet",ROUND($C164*tbo_oranKadinGenc,2),0),IF($H164="TBO-ENG",IF($G164="Evet",ROUND($C164*tbo_isverenOran,2),0),0)))))</f>
        <v/>
      </c>
      <c r="L164" s="31">
        <f>IF($A164="","",MAX(0,$J164-$K164))</f>
        <v/>
      </c>
    </row>
    <row r="165">
      <c r="I165" s="31">
        <f>IF($A165="","",IF($J165=0,"YOK",IF(AND($E165="Evet",ROUND($C165*tbo_oranIlave,2)=$J165),"TBO-002",IF(AND($D165="Evet",ROUND($C165*tbo_oranBesPuan,2)=$J165),"TBO-001",IF(AND($F165="Evet",ROUND($C165*tbo_oranKadinGenc,2)=$J165),"TBO-004","TBO-ENG")))))</f>
        <v/>
      </c>
      <c r="J165" s="31">
        <f>IF($A165="","",MAX(IF($D165="Evet",ROUND($C165*tbo_oranBesPuan,2),0),IF($E165="Evet",ROUND($C165*tbo_oranIlave,2),0),IF($F165="Evet",ROUND($C165*tbo_oranKadinGenc,2),0),IF($G165="Evet",ROUND($C165*tbo_isverenOran,2),0)))</f>
        <v/>
      </c>
      <c r="K165" s="31">
        <f>IF($A165="","",IF($H165="TBO-001",IF($D165="Evet",ROUND($C165*tbo_oranBesPuan,2),0),IF($H165="TBO-002",IF($E165="Evet",ROUND($C165*tbo_oranIlave,2),0),IF($H165="TBO-004",IF($F165="Evet",ROUND($C165*tbo_oranKadinGenc,2),0),IF($H165="TBO-ENG",IF($G165="Evet",ROUND($C165*tbo_isverenOran,2),0),0)))))</f>
        <v/>
      </c>
      <c r="L165" s="31">
        <f>IF($A165="","",MAX(0,$J165-$K165))</f>
        <v/>
      </c>
    </row>
    <row r="166">
      <c r="I166" s="31">
        <f>IF($A166="","",IF($J166=0,"YOK",IF(AND($E166="Evet",ROUND($C166*tbo_oranIlave,2)=$J166),"TBO-002",IF(AND($D166="Evet",ROUND($C166*tbo_oranBesPuan,2)=$J166),"TBO-001",IF(AND($F166="Evet",ROUND($C166*tbo_oranKadinGenc,2)=$J166),"TBO-004","TBO-ENG")))))</f>
        <v/>
      </c>
      <c r="J166" s="31">
        <f>IF($A166="","",MAX(IF($D166="Evet",ROUND($C166*tbo_oranBesPuan,2),0),IF($E166="Evet",ROUND($C166*tbo_oranIlave,2),0),IF($F166="Evet",ROUND($C166*tbo_oranKadinGenc,2),0),IF($G166="Evet",ROUND($C166*tbo_isverenOran,2),0)))</f>
        <v/>
      </c>
      <c r="K166" s="31">
        <f>IF($A166="","",IF($H166="TBO-001",IF($D166="Evet",ROUND($C166*tbo_oranBesPuan,2),0),IF($H166="TBO-002",IF($E166="Evet",ROUND($C166*tbo_oranIlave,2),0),IF($H166="TBO-004",IF($F166="Evet",ROUND($C166*tbo_oranKadinGenc,2),0),IF($H166="TBO-ENG",IF($G166="Evet",ROUND($C166*tbo_isverenOran,2),0),0)))))</f>
        <v/>
      </c>
      <c r="L166" s="31">
        <f>IF($A166="","",MAX(0,$J166-$K166))</f>
        <v/>
      </c>
    </row>
    <row r="167">
      <c r="I167" s="31">
        <f>IF($A167="","",IF($J167=0,"YOK",IF(AND($E167="Evet",ROUND($C167*tbo_oranIlave,2)=$J167),"TBO-002",IF(AND($D167="Evet",ROUND($C167*tbo_oranBesPuan,2)=$J167),"TBO-001",IF(AND($F167="Evet",ROUND($C167*tbo_oranKadinGenc,2)=$J167),"TBO-004","TBO-ENG")))))</f>
        <v/>
      </c>
      <c r="J167" s="31">
        <f>IF($A167="","",MAX(IF($D167="Evet",ROUND($C167*tbo_oranBesPuan,2),0),IF($E167="Evet",ROUND($C167*tbo_oranIlave,2),0),IF($F167="Evet",ROUND($C167*tbo_oranKadinGenc,2),0),IF($G167="Evet",ROUND($C167*tbo_isverenOran,2),0)))</f>
        <v/>
      </c>
      <c r="K167" s="31">
        <f>IF($A167="","",IF($H167="TBO-001",IF($D167="Evet",ROUND($C167*tbo_oranBesPuan,2),0),IF($H167="TBO-002",IF($E167="Evet",ROUND($C167*tbo_oranIlave,2),0),IF($H167="TBO-004",IF($F167="Evet",ROUND($C167*tbo_oranKadinGenc,2),0),IF($H167="TBO-ENG",IF($G167="Evet",ROUND($C167*tbo_isverenOran,2),0),0)))))</f>
        <v/>
      </c>
      <c r="L167" s="31">
        <f>IF($A167="","",MAX(0,$J167-$K167))</f>
        <v/>
      </c>
    </row>
    <row r="168">
      <c r="I168" s="31">
        <f>IF($A168="","",IF($J168=0,"YOK",IF(AND($E168="Evet",ROUND($C168*tbo_oranIlave,2)=$J168),"TBO-002",IF(AND($D168="Evet",ROUND($C168*tbo_oranBesPuan,2)=$J168),"TBO-001",IF(AND($F168="Evet",ROUND($C168*tbo_oranKadinGenc,2)=$J168),"TBO-004","TBO-ENG")))))</f>
        <v/>
      </c>
      <c r="J168" s="31">
        <f>IF($A168="","",MAX(IF($D168="Evet",ROUND($C168*tbo_oranBesPuan,2),0),IF($E168="Evet",ROUND($C168*tbo_oranIlave,2),0),IF($F168="Evet",ROUND($C168*tbo_oranKadinGenc,2),0),IF($G168="Evet",ROUND($C168*tbo_isverenOran,2),0)))</f>
        <v/>
      </c>
      <c r="K168" s="31">
        <f>IF($A168="","",IF($H168="TBO-001",IF($D168="Evet",ROUND($C168*tbo_oranBesPuan,2),0),IF($H168="TBO-002",IF($E168="Evet",ROUND($C168*tbo_oranIlave,2),0),IF($H168="TBO-004",IF($F168="Evet",ROUND($C168*tbo_oranKadinGenc,2),0),IF($H168="TBO-ENG",IF($G168="Evet",ROUND($C168*tbo_isverenOran,2),0),0)))))</f>
        <v/>
      </c>
      <c r="L168" s="31">
        <f>IF($A168="","",MAX(0,$J168-$K168))</f>
        <v/>
      </c>
    </row>
    <row r="169">
      <c r="I169" s="31">
        <f>IF($A169="","",IF($J169=0,"YOK",IF(AND($E169="Evet",ROUND($C169*tbo_oranIlave,2)=$J169),"TBO-002",IF(AND($D169="Evet",ROUND($C169*tbo_oranBesPuan,2)=$J169),"TBO-001",IF(AND($F169="Evet",ROUND($C169*tbo_oranKadinGenc,2)=$J169),"TBO-004","TBO-ENG")))))</f>
        <v/>
      </c>
      <c r="J169" s="31">
        <f>IF($A169="","",MAX(IF($D169="Evet",ROUND($C169*tbo_oranBesPuan,2),0),IF($E169="Evet",ROUND($C169*tbo_oranIlave,2),0),IF($F169="Evet",ROUND($C169*tbo_oranKadinGenc,2),0),IF($G169="Evet",ROUND($C169*tbo_isverenOran,2),0)))</f>
        <v/>
      </c>
      <c r="K169" s="31">
        <f>IF($A169="","",IF($H169="TBO-001",IF($D169="Evet",ROUND($C169*tbo_oranBesPuan,2),0),IF($H169="TBO-002",IF($E169="Evet",ROUND($C169*tbo_oranIlave,2),0),IF($H169="TBO-004",IF($F169="Evet",ROUND($C169*tbo_oranKadinGenc,2),0),IF($H169="TBO-ENG",IF($G169="Evet",ROUND($C169*tbo_isverenOran,2),0),0)))))</f>
        <v/>
      </c>
      <c r="L169" s="31">
        <f>IF($A169="","",MAX(0,$J169-$K169))</f>
        <v/>
      </c>
    </row>
    <row r="170">
      <c r="I170" s="31">
        <f>IF($A170="","",IF($J170=0,"YOK",IF(AND($E170="Evet",ROUND($C170*tbo_oranIlave,2)=$J170),"TBO-002",IF(AND($D170="Evet",ROUND($C170*tbo_oranBesPuan,2)=$J170),"TBO-001",IF(AND($F170="Evet",ROUND($C170*tbo_oranKadinGenc,2)=$J170),"TBO-004","TBO-ENG")))))</f>
        <v/>
      </c>
      <c r="J170" s="31">
        <f>IF($A170="","",MAX(IF($D170="Evet",ROUND($C170*tbo_oranBesPuan,2),0),IF($E170="Evet",ROUND($C170*tbo_oranIlave,2),0),IF($F170="Evet",ROUND($C170*tbo_oranKadinGenc,2),0),IF($G170="Evet",ROUND($C170*tbo_isverenOran,2),0)))</f>
        <v/>
      </c>
      <c r="K170" s="31">
        <f>IF($A170="","",IF($H170="TBO-001",IF($D170="Evet",ROUND($C170*tbo_oranBesPuan,2),0),IF($H170="TBO-002",IF($E170="Evet",ROUND($C170*tbo_oranIlave,2),0),IF($H170="TBO-004",IF($F170="Evet",ROUND($C170*tbo_oranKadinGenc,2),0),IF($H170="TBO-ENG",IF($G170="Evet",ROUND($C170*tbo_isverenOran,2),0),0)))))</f>
        <v/>
      </c>
      <c r="L170" s="31">
        <f>IF($A170="","",MAX(0,$J170-$K170))</f>
        <v/>
      </c>
    </row>
    <row r="171">
      <c r="I171" s="31">
        <f>IF($A171="","",IF($J171=0,"YOK",IF(AND($E171="Evet",ROUND($C171*tbo_oranIlave,2)=$J171),"TBO-002",IF(AND($D171="Evet",ROUND($C171*tbo_oranBesPuan,2)=$J171),"TBO-001",IF(AND($F171="Evet",ROUND($C171*tbo_oranKadinGenc,2)=$J171),"TBO-004","TBO-ENG")))))</f>
        <v/>
      </c>
      <c r="J171" s="31">
        <f>IF($A171="","",MAX(IF($D171="Evet",ROUND($C171*tbo_oranBesPuan,2),0),IF($E171="Evet",ROUND($C171*tbo_oranIlave,2),0),IF($F171="Evet",ROUND($C171*tbo_oranKadinGenc,2),0),IF($G171="Evet",ROUND($C171*tbo_isverenOran,2),0)))</f>
        <v/>
      </c>
      <c r="K171" s="31">
        <f>IF($A171="","",IF($H171="TBO-001",IF($D171="Evet",ROUND($C171*tbo_oranBesPuan,2),0),IF($H171="TBO-002",IF($E171="Evet",ROUND($C171*tbo_oranIlave,2),0),IF($H171="TBO-004",IF($F171="Evet",ROUND($C171*tbo_oranKadinGenc,2),0),IF($H171="TBO-ENG",IF($G171="Evet",ROUND($C171*tbo_isverenOran,2),0),0)))))</f>
        <v/>
      </c>
      <c r="L171" s="31">
        <f>IF($A171="","",MAX(0,$J171-$K171))</f>
        <v/>
      </c>
    </row>
    <row r="172">
      <c r="I172" s="31">
        <f>IF($A172="","",IF($J172=0,"YOK",IF(AND($E172="Evet",ROUND($C172*tbo_oranIlave,2)=$J172),"TBO-002",IF(AND($D172="Evet",ROUND($C172*tbo_oranBesPuan,2)=$J172),"TBO-001",IF(AND($F172="Evet",ROUND($C172*tbo_oranKadinGenc,2)=$J172),"TBO-004","TBO-ENG")))))</f>
        <v/>
      </c>
      <c r="J172" s="31">
        <f>IF($A172="","",MAX(IF($D172="Evet",ROUND($C172*tbo_oranBesPuan,2),0),IF($E172="Evet",ROUND($C172*tbo_oranIlave,2),0),IF($F172="Evet",ROUND($C172*tbo_oranKadinGenc,2),0),IF($G172="Evet",ROUND($C172*tbo_isverenOran,2),0)))</f>
        <v/>
      </c>
      <c r="K172" s="31">
        <f>IF($A172="","",IF($H172="TBO-001",IF($D172="Evet",ROUND($C172*tbo_oranBesPuan,2),0),IF($H172="TBO-002",IF($E172="Evet",ROUND($C172*tbo_oranIlave,2),0),IF($H172="TBO-004",IF($F172="Evet",ROUND($C172*tbo_oranKadinGenc,2),0),IF($H172="TBO-ENG",IF($G172="Evet",ROUND($C172*tbo_isverenOran,2),0),0)))))</f>
        <v/>
      </c>
      <c r="L172" s="31">
        <f>IF($A172="","",MAX(0,$J172-$K172))</f>
        <v/>
      </c>
    </row>
    <row r="173">
      <c r="I173" s="31">
        <f>IF($A173="","",IF($J173=0,"YOK",IF(AND($E173="Evet",ROUND($C173*tbo_oranIlave,2)=$J173),"TBO-002",IF(AND($D173="Evet",ROUND($C173*tbo_oranBesPuan,2)=$J173),"TBO-001",IF(AND($F173="Evet",ROUND($C173*tbo_oranKadinGenc,2)=$J173),"TBO-004","TBO-ENG")))))</f>
        <v/>
      </c>
      <c r="J173" s="31">
        <f>IF($A173="","",MAX(IF($D173="Evet",ROUND($C173*tbo_oranBesPuan,2),0),IF($E173="Evet",ROUND($C173*tbo_oranIlave,2),0),IF($F173="Evet",ROUND($C173*tbo_oranKadinGenc,2),0),IF($G173="Evet",ROUND($C173*tbo_isverenOran,2),0)))</f>
        <v/>
      </c>
      <c r="K173" s="31">
        <f>IF($A173="","",IF($H173="TBO-001",IF($D173="Evet",ROUND($C173*tbo_oranBesPuan,2),0),IF($H173="TBO-002",IF($E173="Evet",ROUND($C173*tbo_oranIlave,2),0),IF($H173="TBO-004",IF($F173="Evet",ROUND($C173*tbo_oranKadinGenc,2),0),IF($H173="TBO-ENG",IF($G173="Evet",ROUND($C173*tbo_isverenOran,2),0),0)))))</f>
        <v/>
      </c>
      <c r="L173" s="31">
        <f>IF($A173="","",MAX(0,$J173-$K173))</f>
        <v/>
      </c>
    </row>
    <row r="174">
      <c r="I174" s="31">
        <f>IF($A174="","",IF($J174=0,"YOK",IF(AND($E174="Evet",ROUND($C174*tbo_oranIlave,2)=$J174),"TBO-002",IF(AND($D174="Evet",ROUND($C174*tbo_oranBesPuan,2)=$J174),"TBO-001",IF(AND($F174="Evet",ROUND($C174*tbo_oranKadinGenc,2)=$J174),"TBO-004","TBO-ENG")))))</f>
        <v/>
      </c>
      <c r="J174" s="31">
        <f>IF($A174="","",MAX(IF($D174="Evet",ROUND($C174*tbo_oranBesPuan,2),0),IF($E174="Evet",ROUND($C174*tbo_oranIlave,2),0),IF($F174="Evet",ROUND($C174*tbo_oranKadinGenc,2),0),IF($G174="Evet",ROUND($C174*tbo_isverenOran,2),0)))</f>
        <v/>
      </c>
      <c r="K174" s="31">
        <f>IF($A174="","",IF($H174="TBO-001",IF($D174="Evet",ROUND($C174*tbo_oranBesPuan,2),0),IF($H174="TBO-002",IF($E174="Evet",ROUND($C174*tbo_oranIlave,2),0),IF($H174="TBO-004",IF($F174="Evet",ROUND($C174*tbo_oranKadinGenc,2),0),IF($H174="TBO-ENG",IF($G174="Evet",ROUND($C174*tbo_isverenOran,2),0),0)))))</f>
        <v/>
      </c>
      <c r="L174" s="31">
        <f>IF($A174="","",MAX(0,$J174-$K174))</f>
        <v/>
      </c>
    </row>
    <row r="175">
      <c r="I175" s="31">
        <f>IF($A175="","",IF($J175=0,"YOK",IF(AND($E175="Evet",ROUND($C175*tbo_oranIlave,2)=$J175),"TBO-002",IF(AND($D175="Evet",ROUND($C175*tbo_oranBesPuan,2)=$J175),"TBO-001",IF(AND($F175="Evet",ROUND($C175*tbo_oranKadinGenc,2)=$J175),"TBO-004","TBO-ENG")))))</f>
        <v/>
      </c>
      <c r="J175" s="31">
        <f>IF($A175="","",MAX(IF($D175="Evet",ROUND($C175*tbo_oranBesPuan,2),0),IF($E175="Evet",ROUND($C175*tbo_oranIlave,2),0),IF($F175="Evet",ROUND($C175*tbo_oranKadinGenc,2),0),IF($G175="Evet",ROUND($C175*tbo_isverenOran,2),0)))</f>
        <v/>
      </c>
      <c r="K175" s="31">
        <f>IF($A175="","",IF($H175="TBO-001",IF($D175="Evet",ROUND($C175*tbo_oranBesPuan,2),0),IF($H175="TBO-002",IF($E175="Evet",ROUND($C175*tbo_oranIlave,2),0),IF($H175="TBO-004",IF($F175="Evet",ROUND($C175*tbo_oranKadinGenc,2),0),IF($H175="TBO-ENG",IF($G175="Evet",ROUND($C175*tbo_isverenOran,2),0),0)))))</f>
        <v/>
      </c>
      <c r="L175" s="31">
        <f>IF($A175="","",MAX(0,$J175-$K175))</f>
        <v/>
      </c>
    </row>
    <row r="176">
      <c r="I176" s="31">
        <f>IF($A176="","",IF($J176=0,"YOK",IF(AND($E176="Evet",ROUND($C176*tbo_oranIlave,2)=$J176),"TBO-002",IF(AND($D176="Evet",ROUND($C176*tbo_oranBesPuan,2)=$J176),"TBO-001",IF(AND($F176="Evet",ROUND($C176*tbo_oranKadinGenc,2)=$J176),"TBO-004","TBO-ENG")))))</f>
        <v/>
      </c>
      <c r="J176" s="31">
        <f>IF($A176="","",MAX(IF($D176="Evet",ROUND($C176*tbo_oranBesPuan,2),0),IF($E176="Evet",ROUND($C176*tbo_oranIlave,2),0),IF($F176="Evet",ROUND($C176*tbo_oranKadinGenc,2),0),IF($G176="Evet",ROUND($C176*tbo_isverenOran,2),0)))</f>
        <v/>
      </c>
      <c r="K176" s="31">
        <f>IF($A176="","",IF($H176="TBO-001",IF($D176="Evet",ROUND($C176*tbo_oranBesPuan,2),0),IF($H176="TBO-002",IF($E176="Evet",ROUND($C176*tbo_oranIlave,2),0),IF($H176="TBO-004",IF($F176="Evet",ROUND($C176*tbo_oranKadinGenc,2),0),IF($H176="TBO-ENG",IF($G176="Evet",ROUND($C176*tbo_isverenOran,2),0),0)))))</f>
        <v/>
      </c>
      <c r="L176" s="31">
        <f>IF($A176="","",MAX(0,$J176-$K176))</f>
        <v/>
      </c>
    </row>
    <row r="177">
      <c r="I177" s="31">
        <f>IF($A177="","",IF($J177=0,"YOK",IF(AND($E177="Evet",ROUND($C177*tbo_oranIlave,2)=$J177),"TBO-002",IF(AND($D177="Evet",ROUND($C177*tbo_oranBesPuan,2)=$J177),"TBO-001",IF(AND($F177="Evet",ROUND($C177*tbo_oranKadinGenc,2)=$J177),"TBO-004","TBO-ENG")))))</f>
        <v/>
      </c>
      <c r="J177" s="31">
        <f>IF($A177="","",MAX(IF($D177="Evet",ROUND($C177*tbo_oranBesPuan,2),0),IF($E177="Evet",ROUND($C177*tbo_oranIlave,2),0),IF($F177="Evet",ROUND($C177*tbo_oranKadinGenc,2),0),IF($G177="Evet",ROUND($C177*tbo_isverenOran,2),0)))</f>
        <v/>
      </c>
      <c r="K177" s="31">
        <f>IF($A177="","",IF($H177="TBO-001",IF($D177="Evet",ROUND($C177*tbo_oranBesPuan,2),0),IF($H177="TBO-002",IF($E177="Evet",ROUND($C177*tbo_oranIlave,2),0),IF($H177="TBO-004",IF($F177="Evet",ROUND($C177*tbo_oranKadinGenc,2),0),IF($H177="TBO-ENG",IF($G177="Evet",ROUND($C177*tbo_isverenOran,2),0),0)))))</f>
        <v/>
      </c>
      <c r="L177" s="31">
        <f>IF($A177="","",MAX(0,$J177-$K177))</f>
        <v/>
      </c>
    </row>
    <row r="178">
      <c r="I178" s="31">
        <f>IF($A178="","",IF($J178=0,"YOK",IF(AND($E178="Evet",ROUND($C178*tbo_oranIlave,2)=$J178),"TBO-002",IF(AND($D178="Evet",ROUND($C178*tbo_oranBesPuan,2)=$J178),"TBO-001",IF(AND($F178="Evet",ROUND($C178*tbo_oranKadinGenc,2)=$J178),"TBO-004","TBO-ENG")))))</f>
        <v/>
      </c>
      <c r="J178" s="31">
        <f>IF($A178="","",MAX(IF($D178="Evet",ROUND($C178*tbo_oranBesPuan,2),0),IF($E178="Evet",ROUND($C178*tbo_oranIlave,2),0),IF($F178="Evet",ROUND($C178*tbo_oranKadinGenc,2),0),IF($G178="Evet",ROUND($C178*tbo_isverenOran,2),0)))</f>
        <v/>
      </c>
      <c r="K178" s="31">
        <f>IF($A178="","",IF($H178="TBO-001",IF($D178="Evet",ROUND($C178*tbo_oranBesPuan,2),0),IF($H178="TBO-002",IF($E178="Evet",ROUND($C178*tbo_oranIlave,2),0),IF($H178="TBO-004",IF($F178="Evet",ROUND($C178*tbo_oranKadinGenc,2),0),IF($H178="TBO-ENG",IF($G178="Evet",ROUND($C178*tbo_isverenOran,2),0),0)))))</f>
        <v/>
      </c>
      <c r="L178" s="31">
        <f>IF($A178="","",MAX(0,$J178-$K178))</f>
        <v/>
      </c>
    </row>
    <row r="179">
      <c r="I179" s="31">
        <f>IF($A179="","",IF($J179=0,"YOK",IF(AND($E179="Evet",ROUND($C179*tbo_oranIlave,2)=$J179),"TBO-002",IF(AND($D179="Evet",ROUND($C179*tbo_oranBesPuan,2)=$J179),"TBO-001",IF(AND($F179="Evet",ROUND($C179*tbo_oranKadinGenc,2)=$J179),"TBO-004","TBO-ENG")))))</f>
        <v/>
      </c>
      <c r="J179" s="31">
        <f>IF($A179="","",MAX(IF($D179="Evet",ROUND($C179*tbo_oranBesPuan,2),0),IF($E179="Evet",ROUND($C179*tbo_oranIlave,2),0),IF($F179="Evet",ROUND($C179*tbo_oranKadinGenc,2),0),IF($G179="Evet",ROUND($C179*tbo_isverenOran,2),0)))</f>
        <v/>
      </c>
      <c r="K179" s="31">
        <f>IF($A179="","",IF($H179="TBO-001",IF($D179="Evet",ROUND($C179*tbo_oranBesPuan,2),0),IF($H179="TBO-002",IF($E179="Evet",ROUND($C179*tbo_oranIlave,2),0),IF($H179="TBO-004",IF($F179="Evet",ROUND($C179*tbo_oranKadinGenc,2),0),IF($H179="TBO-ENG",IF($G179="Evet",ROUND($C179*tbo_isverenOran,2),0),0)))))</f>
        <v/>
      </c>
      <c r="L179" s="31">
        <f>IF($A179="","",MAX(0,$J179-$K179))</f>
        <v/>
      </c>
    </row>
    <row r="180">
      <c r="I180" s="31">
        <f>IF($A180="","",IF($J180=0,"YOK",IF(AND($E180="Evet",ROUND($C180*tbo_oranIlave,2)=$J180),"TBO-002",IF(AND($D180="Evet",ROUND($C180*tbo_oranBesPuan,2)=$J180),"TBO-001",IF(AND($F180="Evet",ROUND($C180*tbo_oranKadinGenc,2)=$J180),"TBO-004","TBO-ENG")))))</f>
        <v/>
      </c>
      <c r="J180" s="31">
        <f>IF($A180="","",MAX(IF($D180="Evet",ROUND($C180*tbo_oranBesPuan,2),0),IF($E180="Evet",ROUND($C180*tbo_oranIlave,2),0),IF($F180="Evet",ROUND($C180*tbo_oranKadinGenc,2),0),IF($G180="Evet",ROUND($C180*tbo_isverenOran,2),0)))</f>
        <v/>
      </c>
      <c r="K180" s="31">
        <f>IF($A180="","",IF($H180="TBO-001",IF($D180="Evet",ROUND($C180*tbo_oranBesPuan,2),0),IF($H180="TBO-002",IF($E180="Evet",ROUND($C180*tbo_oranIlave,2),0),IF($H180="TBO-004",IF($F180="Evet",ROUND($C180*tbo_oranKadinGenc,2),0),IF($H180="TBO-ENG",IF($G180="Evet",ROUND($C180*tbo_isverenOran,2),0),0)))))</f>
        <v/>
      </c>
      <c r="L180" s="31">
        <f>IF($A180="","",MAX(0,$J180-$K180))</f>
        <v/>
      </c>
    </row>
    <row r="181">
      <c r="I181" s="31">
        <f>IF($A181="","",IF($J181=0,"YOK",IF(AND($E181="Evet",ROUND($C181*tbo_oranIlave,2)=$J181),"TBO-002",IF(AND($D181="Evet",ROUND($C181*tbo_oranBesPuan,2)=$J181),"TBO-001",IF(AND($F181="Evet",ROUND($C181*tbo_oranKadinGenc,2)=$J181),"TBO-004","TBO-ENG")))))</f>
        <v/>
      </c>
      <c r="J181" s="31">
        <f>IF($A181="","",MAX(IF($D181="Evet",ROUND($C181*tbo_oranBesPuan,2),0),IF($E181="Evet",ROUND($C181*tbo_oranIlave,2),0),IF($F181="Evet",ROUND($C181*tbo_oranKadinGenc,2),0),IF($G181="Evet",ROUND($C181*tbo_isverenOran,2),0)))</f>
        <v/>
      </c>
      <c r="K181" s="31">
        <f>IF($A181="","",IF($H181="TBO-001",IF($D181="Evet",ROUND($C181*tbo_oranBesPuan,2),0),IF($H181="TBO-002",IF($E181="Evet",ROUND($C181*tbo_oranIlave,2),0),IF($H181="TBO-004",IF($F181="Evet",ROUND($C181*tbo_oranKadinGenc,2),0),IF($H181="TBO-ENG",IF($G181="Evet",ROUND($C181*tbo_isverenOran,2),0),0)))))</f>
        <v/>
      </c>
      <c r="L181" s="31">
        <f>IF($A181="","",MAX(0,$J181-$K181))</f>
        <v/>
      </c>
    </row>
    <row r="182">
      <c r="I182" s="31">
        <f>IF($A182="","",IF($J182=0,"YOK",IF(AND($E182="Evet",ROUND($C182*tbo_oranIlave,2)=$J182),"TBO-002",IF(AND($D182="Evet",ROUND($C182*tbo_oranBesPuan,2)=$J182),"TBO-001",IF(AND($F182="Evet",ROUND($C182*tbo_oranKadinGenc,2)=$J182),"TBO-004","TBO-ENG")))))</f>
        <v/>
      </c>
      <c r="J182" s="31">
        <f>IF($A182="","",MAX(IF($D182="Evet",ROUND($C182*tbo_oranBesPuan,2),0),IF($E182="Evet",ROUND($C182*tbo_oranIlave,2),0),IF($F182="Evet",ROUND($C182*tbo_oranKadinGenc,2),0),IF($G182="Evet",ROUND($C182*tbo_isverenOran,2),0)))</f>
        <v/>
      </c>
      <c r="K182" s="31">
        <f>IF($A182="","",IF($H182="TBO-001",IF($D182="Evet",ROUND($C182*tbo_oranBesPuan,2),0),IF($H182="TBO-002",IF($E182="Evet",ROUND($C182*tbo_oranIlave,2),0),IF($H182="TBO-004",IF($F182="Evet",ROUND($C182*tbo_oranKadinGenc,2),0),IF($H182="TBO-ENG",IF($G182="Evet",ROUND($C182*tbo_isverenOran,2),0),0)))))</f>
        <v/>
      </c>
      <c r="L182" s="31">
        <f>IF($A182="","",MAX(0,$J182-$K182))</f>
        <v/>
      </c>
    </row>
    <row r="183">
      <c r="I183" s="31">
        <f>IF($A183="","",IF($J183=0,"YOK",IF(AND($E183="Evet",ROUND($C183*tbo_oranIlave,2)=$J183),"TBO-002",IF(AND($D183="Evet",ROUND($C183*tbo_oranBesPuan,2)=$J183),"TBO-001",IF(AND($F183="Evet",ROUND($C183*tbo_oranKadinGenc,2)=$J183),"TBO-004","TBO-ENG")))))</f>
        <v/>
      </c>
      <c r="J183" s="31">
        <f>IF($A183="","",MAX(IF($D183="Evet",ROUND($C183*tbo_oranBesPuan,2),0),IF($E183="Evet",ROUND($C183*tbo_oranIlave,2),0),IF($F183="Evet",ROUND($C183*tbo_oranKadinGenc,2),0),IF($G183="Evet",ROUND($C183*tbo_isverenOran,2),0)))</f>
        <v/>
      </c>
      <c r="K183" s="31">
        <f>IF($A183="","",IF($H183="TBO-001",IF($D183="Evet",ROUND($C183*tbo_oranBesPuan,2),0),IF($H183="TBO-002",IF($E183="Evet",ROUND($C183*tbo_oranIlave,2),0),IF($H183="TBO-004",IF($F183="Evet",ROUND($C183*tbo_oranKadinGenc,2),0),IF($H183="TBO-ENG",IF($G183="Evet",ROUND($C183*tbo_isverenOran,2),0),0)))))</f>
        <v/>
      </c>
      <c r="L183" s="31">
        <f>IF($A183="","",MAX(0,$J183-$K183))</f>
        <v/>
      </c>
    </row>
    <row r="184">
      <c r="I184" s="31">
        <f>IF($A184="","",IF($J184=0,"YOK",IF(AND($E184="Evet",ROUND($C184*tbo_oranIlave,2)=$J184),"TBO-002",IF(AND($D184="Evet",ROUND($C184*tbo_oranBesPuan,2)=$J184),"TBO-001",IF(AND($F184="Evet",ROUND($C184*tbo_oranKadinGenc,2)=$J184),"TBO-004","TBO-ENG")))))</f>
        <v/>
      </c>
      <c r="J184" s="31">
        <f>IF($A184="","",MAX(IF($D184="Evet",ROUND($C184*tbo_oranBesPuan,2),0),IF($E184="Evet",ROUND($C184*tbo_oranIlave,2),0),IF($F184="Evet",ROUND($C184*tbo_oranKadinGenc,2),0),IF($G184="Evet",ROUND($C184*tbo_isverenOran,2),0)))</f>
        <v/>
      </c>
      <c r="K184" s="31">
        <f>IF($A184="","",IF($H184="TBO-001",IF($D184="Evet",ROUND($C184*tbo_oranBesPuan,2),0),IF($H184="TBO-002",IF($E184="Evet",ROUND($C184*tbo_oranIlave,2),0),IF($H184="TBO-004",IF($F184="Evet",ROUND($C184*tbo_oranKadinGenc,2),0),IF($H184="TBO-ENG",IF($G184="Evet",ROUND($C184*tbo_isverenOran,2),0),0)))))</f>
        <v/>
      </c>
      <c r="L184" s="31">
        <f>IF($A184="","",MAX(0,$J184-$K184))</f>
        <v/>
      </c>
    </row>
    <row r="185">
      <c r="I185" s="31">
        <f>IF($A185="","",IF($J185=0,"YOK",IF(AND($E185="Evet",ROUND($C185*tbo_oranIlave,2)=$J185),"TBO-002",IF(AND($D185="Evet",ROUND($C185*tbo_oranBesPuan,2)=$J185),"TBO-001",IF(AND($F185="Evet",ROUND($C185*tbo_oranKadinGenc,2)=$J185),"TBO-004","TBO-ENG")))))</f>
        <v/>
      </c>
      <c r="J185" s="31">
        <f>IF($A185="","",MAX(IF($D185="Evet",ROUND($C185*tbo_oranBesPuan,2),0),IF($E185="Evet",ROUND($C185*tbo_oranIlave,2),0),IF($F185="Evet",ROUND($C185*tbo_oranKadinGenc,2),0),IF($G185="Evet",ROUND($C185*tbo_isverenOran,2),0)))</f>
        <v/>
      </c>
      <c r="K185" s="31">
        <f>IF($A185="","",IF($H185="TBO-001",IF($D185="Evet",ROUND($C185*tbo_oranBesPuan,2),0),IF($H185="TBO-002",IF($E185="Evet",ROUND($C185*tbo_oranIlave,2),0),IF($H185="TBO-004",IF($F185="Evet",ROUND($C185*tbo_oranKadinGenc,2),0),IF($H185="TBO-ENG",IF($G185="Evet",ROUND($C185*tbo_isverenOran,2),0),0)))))</f>
        <v/>
      </c>
      <c r="L185" s="31">
        <f>IF($A185="","",MAX(0,$J185-$K185))</f>
        <v/>
      </c>
    </row>
    <row r="186">
      <c r="I186" s="31">
        <f>IF($A186="","",IF($J186=0,"YOK",IF(AND($E186="Evet",ROUND($C186*tbo_oranIlave,2)=$J186),"TBO-002",IF(AND($D186="Evet",ROUND($C186*tbo_oranBesPuan,2)=$J186),"TBO-001",IF(AND($F186="Evet",ROUND($C186*tbo_oranKadinGenc,2)=$J186),"TBO-004","TBO-ENG")))))</f>
        <v/>
      </c>
      <c r="J186" s="31">
        <f>IF($A186="","",MAX(IF($D186="Evet",ROUND($C186*tbo_oranBesPuan,2),0),IF($E186="Evet",ROUND($C186*tbo_oranIlave,2),0),IF($F186="Evet",ROUND($C186*tbo_oranKadinGenc,2),0),IF($G186="Evet",ROUND($C186*tbo_isverenOran,2),0)))</f>
        <v/>
      </c>
      <c r="K186" s="31">
        <f>IF($A186="","",IF($H186="TBO-001",IF($D186="Evet",ROUND($C186*tbo_oranBesPuan,2),0),IF($H186="TBO-002",IF($E186="Evet",ROUND($C186*tbo_oranIlave,2),0),IF($H186="TBO-004",IF($F186="Evet",ROUND($C186*tbo_oranKadinGenc,2),0),IF($H186="TBO-ENG",IF($G186="Evet",ROUND($C186*tbo_isverenOran,2),0),0)))))</f>
        <v/>
      </c>
      <c r="L186" s="31">
        <f>IF($A186="","",MAX(0,$J186-$K186))</f>
        <v/>
      </c>
    </row>
    <row r="187">
      <c r="I187" s="31">
        <f>IF($A187="","",IF($J187=0,"YOK",IF(AND($E187="Evet",ROUND($C187*tbo_oranIlave,2)=$J187),"TBO-002",IF(AND($D187="Evet",ROUND($C187*tbo_oranBesPuan,2)=$J187),"TBO-001",IF(AND($F187="Evet",ROUND($C187*tbo_oranKadinGenc,2)=$J187),"TBO-004","TBO-ENG")))))</f>
        <v/>
      </c>
      <c r="J187" s="31">
        <f>IF($A187="","",MAX(IF($D187="Evet",ROUND($C187*tbo_oranBesPuan,2),0),IF($E187="Evet",ROUND($C187*tbo_oranIlave,2),0),IF($F187="Evet",ROUND($C187*tbo_oranKadinGenc,2),0),IF($G187="Evet",ROUND($C187*tbo_isverenOran,2),0)))</f>
        <v/>
      </c>
      <c r="K187" s="31">
        <f>IF($A187="","",IF($H187="TBO-001",IF($D187="Evet",ROUND($C187*tbo_oranBesPuan,2),0),IF($H187="TBO-002",IF($E187="Evet",ROUND($C187*tbo_oranIlave,2),0),IF($H187="TBO-004",IF($F187="Evet",ROUND($C187*tbo_oranKadinGenc,2),0),IF($H187="TBO-ENG",IF($G187="Evet",ROUND($C187*tbo_isverenOran,2),0),0)))))</f>
        <v/>
      </c>
      <c r="L187" s="31">
        <f>IF($A187="","",MAX(0,$J187-$K187))</f>
        <v/>
      </c>
    </row>
    <row r="188">
      <c r="I188" s="31">
        <f>IF($A188="","",IF($J188=0,"YOK",IF(AND($E188="Evet",ROUND($C188*tbo_oranIlave,2)=$J188),"TBO-002",IF(AND($D188="Evet",ROUND($C188*tbo_oranBesPuan,2)=$J188),"TBO-001",IF(AND($F188="Evet",ROUND($C188*tbo_oranKadinGenc,2)=$J188),"TBO-004","TBO-ENG")))))</f>
        <v/>
      </c>
      <c r="J188" s="31">
        <f>IF($A188="","",MAX(IF($D188="Evet",ROUND($C188*tbo_oranBesPuan,2),0),IF($E188="Evet",ROUND($C188*tbo_oranIlave,2),0),IF($F188="Evet",ROUND($C188*tbo_oranKadinGenc,2),0),IF($G188="Evet",ROUND($C188*tbo_isverenOran,2),0)))</f>
        <v/>
      </c>
      <c r="K188" s="31">
        <f>IF($A188="","",IF($H188="TBO-001",IF($D188="Evet",ROUND($C188*tbo_oranBesPuan,2),0),IF($H188="TBO-002",IF($E188="Evet",ROUND($C188*tbo_oranIlave,2),0),IF($H188="TBO-004",IF($F188="Evet",ROUND($C188*tbo_oranKadinGenc,2),0),IF($H188="TBO-ENG",IF($G188="Evet",ROUND($C188*tbo_isverenOran,2),0),0)))))</f>
        <v/>
      </c>
      <c r="L188" s="31">
        <f>IF($A188="","",MAX(0,$J188-$K188))</f>
        <v/>
      </c>
    </row>
    <row r="189">
      <c r="I189" s="31">
        <f>IF($A189="","",IF($J189=0,"YOK",IF(AND($E189="Evet",ROUND($C189*tbo_oranIlave,2)=$J189),"TBO-002",IF(AND($D189="Evet",ROUND($C189*tbo_oranBesPuan,2)=$J189),"TBO-001",IF(AND($F189="Evet",ROUND($C189*tbo_oranKadinGenc,2)=$J189),"TBO-004","TBO-ENG")))))</f>
        <v/>
      </c>
      <c r="J189" s="31">
        <f>IF($A189="","",MAX(IF($D189="Evet",ROUND($C189*tbo_oranBesPuan,2),0),IF($E189="Evet",ROUND($C189*tbo_oranIlave,2),0),IF($F189="Evet",ROUND($C189*tbo_oranKadinGenc,2),0),IF($G189="Evet",ROUND($C189*tbo_isverenOran,2),0)))</f>
        <v/>
      </c>
      <c r="K189" s="31">
        <f>IF($A189="","",IF($H189="TBO-001",IF($D189="Evet",ROUND($C189*tbo_oranBesPuan,2),0),IF($H189="TBO-002",IF($E189="Evet",ROUND($C189*tbo_oranIlave,2),0),IF($H189="TBO-004",IF($F189="Evet",ROUND($C189*tbo_oranKadinGenc,2),0),IF($H189="TBO-ENG",IF($G189="Evet",ROUND($C189*tbo_isverenOran,2),0),0)))))</f>
        <v/>
      </c>
      <c r="L189" s="31">
        <f>IF($A189="","",MAX(0,$J189-$K189))</f>
        <v/>
      </c>
    </row>
    <row r="190">
      <c r="I190" s="31">
        <f>IF($A190="","",IF($J190=0,"YOK",IF(AND($E190="Evet",ROUND($C190*tbo_oranIlave,2)=$J190),"TBO-002",IF(AND($D190="Evet",ROUND($C190*tbo_oranBesPuan,2)=$J190),"TBO-001",IF(AND($F190="Evet",ROUND($C190*tbo_oranKadinGenc,2)=$J190),"TBO-004","TBO-ENG")))))</f>
        <v/>
      </c>
      <c r="J190" s="31">
        <f>IF($A190="","",MAX(IF($D190="Evet",ROUND($C190*tbo_oranBesPuan,2),0),IF($E190="Evet",ROUND($C190*tbo_oranIlave,2),0),IF($F190="Evet",ROUND($C190*tbo_oranKadinGenc,2),0),IF($G190="Evet",ROUND($C190*tbo_isverenOran,2),0)))</f>
        <v/>
      </c>
      <c r="K190" s="31">
        <f>IF($A190="","",IF($H190="TBO-001",IF($D190="Evet",ROUND($C190*tbo_oranBesPuan,2),0),IF($H190="TBO-002",IF($E190="Evet",ROUND($C190*tbo_oranIlave,2),0),IF($H190="TBO-004",IF($F190="Evet",ROUND($C190*tbo_oranKadinGenc,2),0),IF($H190="TBO-ENG",IF($G190="Evet",ROUND($C190*tbo_isverenOran,2),0),0)))))</f>
        <v/>
      </c>
      <c r="L190" s="31">
        <f>IF($A190="","",MAX(0,$J190-$K190))</f>
        <v/>
      </c>
    </row>
    <row r="191">
      <c r="I191" s="31">
        <f>IF($A191="","",IF($J191=0,"YOK",IF(AND($E191="Evet",ROUND($C191*tbo_oranIlave,2)=$J191),"TBO-002",IF(AND($D191="Evet",ROUND($C191*tbo_oranBesPuan,2)=$J191),"TBO-001",IF(AND($F191="Evet",ROUND($C191*tbo_oranKadinGenc,2)=$J191),"TBO-004","TBO-ENG")))))</f>
        <v/>
      </c>
      <c r="J191" s="31">
        <f>IF($A191="","",MAX(IF($D191="Evet",ROUND($C191*tbo_oranBesPuan,2),0),IF($E191="Evet",ROUND($C191*tbo_oranIlave,2),0),IF($F191="Evet",ROUND($C191*tbo_oranKadinGenc,2),0),IF($G191="Evet",ROUND($C191*tbo_isverenOran,2),0)))</f>
        <v/>
      </c>
      <c r="K191" s="31">
        <f>IF($A191="","",IF($H191="TBO-001",IF($D191="Evet",ROUND($C191*tbo_oranBesPuan,2),0),IF($H191="TBO-002",IF($E191="Evet",ROUND($C191*tbo_oranIlave,2),0),IF($H191="TBO-004",IF($F191="Evet",ROUND($C191*tbo_oranKadinGenc,2),0),IF($H191="TBO-ENG",IF($G191="Evet",ROUND($C191*tbo_isverenOran,2),0),0)))))</f>
        <v/>
      </c>
      <c r="L191" s="31">
        <f>IF($A191="","",MAX(0,$J191-$K191))</f>
        <v/>
      </c>
    </row>
    <row r="192">
      <c r="I192" s="31">
        <f>IF($A192="","",IF($J192=0,"YOK",IF(AND($E192="Evet",ROUND($C192*tbo_oranIlave,2)=$J192),"TBO-002",IF(AND($D192="Evet",ROUND($C192*tbo_oranBesPuan,2)=$J192),"TBO-001",IF(AND($F192="Evet",ROUND($C192*tbo_oranKadinGenc,2)=$J192),"TBO-004","TBO-ENG")))))</f>
        <v/>
      </c>
      <c r="J192" s="31">
        <f>IF($A192="","",MAX(IF($D192="Evet",ROUND($C192*tbo_oranBesPuan,2),0),IF($E192="Evet",ROUND($C192*tbo_oranIlave,2),0),IF($F192="Evet",ROUND($C192*tbo_oranKadinGenc,2),0),IF($G192="Evet",ROUND($C192*tbo_isverenOran,2),0)))</f>
        <v/>
      </c>
      <c r="K192" s="31">
        <f>IF($A192="","",IF($H192="TBO-001",IF($D192="Evet",ROUND($C192*tbo_oranBesPuan,2),0),IF($H192="TBO-002",IF($E192="Evet",ROUND($C192*tbo_oranIlave,2),0),IF($H192="TBO-004",IF($F192="Evet",ROUND($C192*tbo_oranKadinGenc,2),0),IF($H192="TBO-ENG",IF($G192="Evet",ROUND($C192*tbo_isverenOran,2),0),0)))))</f>
        <v/>
      </c>
      <c r="L192" s="31">
        <f>IF($A192="","",MAX(0,$J192-$K192))</f>
        <v/>
      </c>
    </row>
    <row r="193">
      <c r="I193" s="31">
        <f>IF($A193="","",IF($J193=0,"YOK",IF(AND($E193="Evet",ROUND($C193*tbo_oranIlave,2)=$J193),"TBO-002",IF(AND($D193="Evet",ROUND($C193*tbo_oranBesPuan,2)=$J193),"TBO-001",IF(AND($F193="Evet",ROUND($C193*tbo_oranKadinGenc,2)=$J193),"TBO-004","TBO-ENG")))))</f>
        <v/>
      </c>
      <c r="J193" s="31">
        <f>IF($A193="","",MAX(IF($D193="Evet",ROUND($C193*tbo_oranBesPuan,2),0),IF($E193="Evet",ROUND($C193*tbo_oranIlave,2),0),IF($F193="Evet",ROUND($C193*tbo_oranKadinGenc,2),0),IF($G193="Evet",ROUND($C193*tbo_isverenOran,2),0)))</f>
        <v/>
      </c>
      <c r="K193" s="31">
        <f>IF($A193="","",IF($H193="TBO-001",IF($D193="Evet",ROUND($C193*tbo_oranBesPuan,2),0),IF($H193="TBO-002",IF($E193="Evet",ROUND($C193*tbo_oranIlave,2),0),IF($H193="TBO-004",IF($F193="Evet",ROUND($C193*tbo_oranKadinGenc,2),0),IF($H193="TBO-ENG",IF($G193="Evet",ROUND($C193*tbo_isverenOran,2),0),0)))))</f>
        <v/>
      </c>
      <c r="L193" s="31">
        <f>IF($A193="","",MAX(0,$J193-$K193))</f>
        <v/>
      </c>
    </row>
    <row r="194">
      <c r="I194" s="31">
        <f>IF($A194="","",IF($J194=0,"YOK",IF(AND($E194="Evet",ROUND($C194*tbo_oranIlave,2)=$J194),"TBO-002",IF(AND($D194="Evet",ROUND($C194*tbo_oranBesPuan,2)=$J194),"TBO-001",IF(AND($F194="Evet",ROUND($C194*tbo_oranKadinGenc,2)=$J194),"TBO-004","TBO-ENG")))))</f>
        <v/>
      </c>
      <c r="J194" s="31">
        <f>IF($A194="","",MAX(IF($D194="Evet",ROUND($C194*tbo_oranBesPuan,2),0),IF($E194="Evet",ROUND($C194*tbo_oranIlave,2),0),IF($F194="Evet",ROUND($C194*tbo_oranKadinGenc,2),0),IF($G194="Evet",ROUND($C194*tbo_isverenOran,2),0)))</f>
        <v/>
      </c>
      <c r="K194" s="31">
        <f>IF($A194="","",IF($H194="TBO-001",IF($D194="Evet",ROUND($C194*tbo_oranBesPuan,2),0),IF($H194="TBO-002",IF($E194="Evet",ROUND($C194*tbo_oranIlave,2),0),IF($H194="TBO-004",IF($F194="Evet",ROUND($C194*tbo_oranKadinGenc,2),0),IF($H194="TBO-ENG",IF($G194="Evet",ROUND($C194*tbo_isverenOran,2),0),0)))))</f>
        <v/>
      </c>
      <c r="L194" s="31">
        <f>IF($A194="","",MAX(0,$J194-$K194))</f>
        <v/>
      </c>
    </row>
    <row r="195">
      <c r="I195" s="31">
        <f>IF($A195="","",IF($J195=0,"YOK",IF(AND($E195="Evet",ROUND($C195*tbo_oranIlave,2)=$J195),"TBO-002",IF(AND($D195="Evet",ROUND($C195*tbo_oranBesPuan,2)=$J195),"TBO-001",IF(AND($F195="Evet",ROUND($C195*tbo_oranKadinGenc,2)=$J195),"TBO-004","TBO-ENG")))))</f>
        <v/>
      </c>
      <c r="J195" s="31">
        <f>IF($A195="","",MAX(IF($D195="Evet",ROUND($C195*tbo_oranBesPuan,2),0),IF($E195="Evet",ROUND($C195*tbo_oranIlave,2),0),IF($F195="Evet",ROUND($C195*tbo_oranKadinGenc,2),0),IF($G195="Evet",ROUND($C195*tbo_isverenOran,2),0)))</f>
        <v/>
      </c>
      <c r="K195" s="31">
        <f>IF($A195="","",IF($H195="TBO-001",IF($D195="Evet",ROUND($C195*tbo_oranBesPuan,2),0),IF($H195="TBO-002",IF($E195="Evet",ROUND($C195*tbo_oranIlave,2),0),IF($H195="TBO-004",IF($F195="Evet",ROUND($C195*tbo_oranKadinGenc,2),0),IF($H195="TBO-ENG",IF($G195="Evet",ROUND($C195*tbo_isverenOran,2),0),0)))))</f>
        <v/>
      </c>
      <c r="L195" s="31">
        <f>IF($A195="","",MAX(0,$J195-$K195))</f>
        <v/>
      </c>
    </row>
    <row r="196">
      <c r="I196" s="31">
        <f>IF($A196="","",IF($J196=0,"YOK",IF(AND($E196="Evet",ROUND($C196*tbo_oranIlave,2)=$J196),"TBO-002",IF(AND($D196="Evet",ROUND($C196*tbo_oranBesPuan,2)=$J196),"TBO-001",IF(AND($F196="Evet",ROUND($C196*tbo_oranKadinGenc,2)=$J196),"TBO-004","TBO-ENG")))))</f>
        <v/>
      </c>
      <c r="J196" s="31">
        <f>IF($A196="","",MAX(IF($D196="Evet",ROUND($C196*tbo_oranBesPuan,2),0),IF($E196="Evet",ROUND($C196*tbo_oranIlave,2),0),IF($F196="Evet",ROUND($C196*tbo_oranKadinGenc,2),0),IF($G196="Evet",ROUND($C196*tbo_isverenOran,2),0)))</f>
        <v/>
      </c>
      <c r="K196" s="31">
        <f>IF($A196="","",IF($H196="TBO-001",IF($D196="Evet",ROUND($C196*tbo_oranBesPuan,2),0),IF($H196="TBO-002",IF($E196="Evet",ROUND($C196*tbo_oranIlave,2),0),IF($H196="TBO-004",IF($F196="Evet",ROUND($C196*tbo_oranKadinGenc,2),0),IF($H196="TBO-ENG",IF($G196="Evet",ROUND($C196*tbo_isverenOran,2),0),0)))))</f>
        <v/>
      </c>
      <c r="L196" s="31">
        <f>IF($A196="","",MAX(0,$J196-$K196))</f>
        <v/>
      </c>
    </row>
    <row r="197">
      <c r="I197" s="31">
        <f>IF($A197="","",IF($J197=0,"YOK",IF(AND($E197="Evet",ROUND($C197*tbo_oranIlave,2)=$J197),"TBO-002",IF(AND($D197="Evet",ROUND($C197*tbo_oranBesPuan,2)=$J197),"TBO-001",IF(AND($F197="Evet",ROUND($C197*tbo_oranKadinGenc,2)=$J197),"TBO-004","TBO-ENG")))))</f>
        <v/>
      </c>
      <c r="J197" s="31">
        <f>IF($A197="","",MAX(IF($D197="Evet",ROUND($C197*tbo_oranBesPuan,2),0),IF($E197="Evet",ROUND($C197*tbo_oranIlave,2),0),IF($F197="Evet",ROUND($C197*tbo_oranKadinGenc,2),0),IF($G197="Evet",ROUND($C197*tbo_isverenOran,2),0)))</f>
        <v/>
      </c>
      <c r="K197" s="31">
        <f>IF($A197="","",IF($H197="TBO-001",IF($D197="Evet",ROUND($C197*tbo_oranBesPuan,2),0),IF($H197="TBO-002",IF($E197="Evet",ROUND($C197*tbo_oranIlave,2),0),IF($H197="TBO-004",IF($F197="Evet",ROUND($C197*tbo_oranKadinGenc,2),0),IF($H197="TBO-ENG",IF($G197="Evet",ROUND($C197*tbo_isverenOran,2),0),0)))))</f>
        <v/>
      </c>
      <c r="L197" s="31">
        <f>IF($A197="","",MAX(0,$J197-$K197))</f>
        <v/>
      </c>
    </row>
    <row r="198">
      <c r="I198" s="31">
        <f>IF($A198="","",IF($J198=0,"YOK",IF(AND($E198="Evet",ROUND($C198*tbo_oranIlave,2)=$J198),"TBO-002",IF(AND($D198="Evet",ROUND($C198*tbo_oranBesPuan,2)=$J198),"TBO-001",IF(AND($F198="Evet",ROUND($C198*tbo_oranKadinGenc,2)=$J198),"TBO-004","TBO-ENG")))))</f>
        <v/>
      </c>
      <c r="J198" s="31">
        <f>IF($A198="","",MAX(IF($D198="Evet",ROUND($C198*tbo_oranBesPuan,2),0),IF($E198="Evet",ROUND($C198*tbo_oranIlave,2),0),IF($F198="Evet",ROUND($C198*tbo_oranKadinGenc,2),0),IF($G198="Evet",ROUND($C198*tbo_isverenOran,2),0)))</f>
        <v/>
      </c>
      <c r="K198" s="31">
        <f>IF($A198="","",IF($H198="TBO-001",IF($D198="Evet",ROUND($C198*tbo_oranBesPuan,2),0),IF($H198="TBO-002",IF($E198="Evet",ROUND($C198*tbo_oranIlave,2),0),IF($H198="TBO-004",IF($F198="Evet",ROUND($C198*tbo_oranKadinGenc,2),0),IF($H198="TBO-ENG",IF($G198="Evet",ROUND($C198*tbo_isverenOran,2),0),0)))))</f>
        <v/>
      </c>
      <c r="L198" s="31">
        <f>IF($A198="","",MAX(0,$J198-$K198))</f>
        <v/>
      </c>
    </row>
    <row r="199">
      <c r="I199" s="31">
        <f>IF($A199="","",IF($J199=0,"YOK",IF(AND($E199="Evet",ROUND($C199*tbo_oranIlave,2)=$J199),"TBO-002",IF(AND($D199="Evet",ROUND($C199*tbo_oranBesPuan,2)=$J199),"TBO-001",IF(AND($F199="Evet",ROUND($C199*tbo_oranKadinGenc,2)=$J199),"TBO-004","TBO-ENG")))))</f>
        <v/>
      </c>
      <c r="J199" s="31">
        <f>IF($A199="","",MAX(IF($D199="Evet",ROUND($C199*tbo_oranBesPuan,2),0),IF($E199="Evet",ROUND($C199*tbo_oranIlave,2),0),IF($F199="Evet",ROUND($C199*tbo_oranKadinGenc,2),0),IF($G199="Evet",ROUND($C199*tbo_isverenOran,2),0)))</f>
        <v/>
      </c>
      <c r="K199" s="31">
        <f>IF($A199="","",IF($H199="TBO-001",IF($D199="Evet",ROUND($C199*tbo_oranBesPuan,2),0),IF($H199="TBO-002",IF($E199="Evet",ROUND($C199*tbo_oranIlave,2),0),IF($H199="TBO-004",IF($F199="Evet",ROUND($C199*tbo_oranKadinGenc,2),0),IF($H199="TBO-ENG",IF($G199="Evet",ROUND($C199*tbo_isverenOran,2),0),0)))))</f>
        <v/>
      </c>
      <c r="L199" s="31">
        <f>IF($A199="","",MAX(0,$J199-$K199))</f>
        <v/>
      </c>
    </row>
    <row r="200">
      <c r="I200" s="31">
        <f>IF($A200="","",IF($J200=0,"YOK",IF(AND($E200="Evet",ROUND($C200*tbo_oranIlave,2)=$J200),"TBO-002",IF(AND($D200="Evet",ROUND($C200*tbo_oranBesPuan,2)=$J200),"TBO-001",IF(AND($F200="Evet",ROUND($C200*tbo_oranKadinGenc,2)=$J200),"TBO-004","TBO-ENG")))))</f>
        <v/>
      </c>
      <c r="J200" s="31">
        <f>IF($A200="","",MAX(IF($D200="Evet",ROUND($C200*tbo_oranBesPuan,2),0),IF($E200="Evet",ROUND($C200*tbo_oranIlave,2),0),IF($F200="Evet",ROUND($C200*tbo_oranKadinGenc,2),0),IF($G200="Evet",ROUND($C200*tbo_isverenOran,2),0)))</f>
        <v/>
      </c>
      <c r="K200" s="31">
        <f>IF($A200="","",IF($H200="TBO-001",IF($D200="Evet",ROUND($C200*tbo_oranBesPuan,2),0),IF($H200="TBO-002",IF($E200="Evet",ROUND($C200*tbo_oranIlave,2),0),IF($H200="TBO-004",IF($F200="Evet",ROUND($C200*tbo_oranKadinGenc,2),0),IF($H200="TBO-ENG",IF($G200="Evet",ROUND($C200*tbo_isverenOran,2),0),0)))))</f>
        <v/>
      </c>
      <c r="L200" s="31">
        <f>IF($A200="","",MAX(0,$J200-$K200))</f>
        <v/>
      </c>
    </row>
    <row r="201">
      <c r="I201" s="31">
        <f>IF($A201="","",IF($J201=0,"YOK",IF(AND($E201="Evet",ROUND($C201*tbo_oranIlave,2)=$J201),"TBO-002",IF(AND($D201="Evet",ROUND($C201*tbo_oranBesPuan,2)=$J201),"TBO-001",IF(AND($F201="Evet",ROUND($C201*tbo_oranKadinGenc,2)=$J201),"TBO-004","TBO-ENG")))))</f>
        <v/>
      </c>
      <c r="J201" s="31">
        <f>IF($A201="","",MAX(IF($D201="Evet",ROUND($C201*tbo_oranBesPuan,2),0),IF($E201="Evet",ROUND($C201*tbo_oranIlave,2),0),IF($F201="Evet",ROUND($C201*tbo_oranKadinGenc,2),0),IF($G201="Evet",ROUND($C201*tbo_isverenOran,2),0)))</f>
        <v/>
      </c>
      <c r="K201" s="31">
        <f>IF($A201="","",IF($H201="TBO-001",IF($D201="Evet",ROUND($C201*tbo_oranBesPuan,2),0),IF($H201="TBO-002",IF($E201="Evet",ROUND($C201*tbo_oranIlave,2),0),IF($H201="TBO-004",IF($F201="Evet",ROUND($C201*tbo_oranKadinGenc,2),0),IF($H201="TBO-ENG",IF($G201="Evet",ROUND($C201*tbo_isverenOran,2),0),0)))))</f>
        <v/>
      </c>
      <c r="L201" s="31">
        <f>IF($A201="","",MAX(0,$J201-$K201))</f>
        <v/>
      </c>
    </row>
    <row r="202">
      <c r="I202" s="31">
        <f>IF($A202="","",IF($J202=0,"YOK",IF(AND($E202="Evet",ROUND($C202*tbo_oranIlave,2)=$J202),"TBO-002",IF(AND($D202="Evet",ROUND($C202*tbo_oranBesPuan,2)=$J202),"TBO-001",IF(AND($F202="Evet",ROUND($C202*tbo_oranKadinGenc,2)=$J202),"TBO-004","TBO-ENG")))))</f>
        <v/>
      </c>
      <c r="J202" s="31">
        <f>IF($A202="","",MAX(IF($D202="Evet",ROUND($C202*tbo_oranBesPuan,2),0),IF($E202="Evet",ROUND($C202*tbo_oranIlave,2),0),IF($F202="Evet",ROUND($C202*tbo_oranKadinGenc,2),0),IF($G202="Evet",ROUND($C202*tbo_isverenOran,2),0)))</f>
        <v/>
      </c>
      <c r="K202" s="31">
        <f>IF($A202="","",IF($H202="TBO-001",IF($D202="Evet",ROUND($C202*tbo_oranBesPuan,2),0),IF($H202="TBO-002",IF($E202="Evet",ROUND($C202*tbo_oranIlave,2),0),IF($H202="TBO-004",IF($F202="Evet",ROUND($C202*tbo_oranKadinGenc,2),0),IF($H202="TBO-ENG",IF($G202="Evet",ROUND($C202*tbo_isverenOran,2),0),0)))))</f>
        <v/>
      </c>
      <c r="L202" s="31">
        <f>IF($A202="","",MAX(0,$J202-$K202))</f>
        <v/>
      </c>
    </row>
    <row r="203">
      <c r="I203" s="31">
        <f>IF($A203="","",IF($J203=0,"YOK",IF(AND($E203="Evet",ROUND($C203*tbo_oranIlave,2)=$J203),"TBO-002",IF(AND($D203="Evet",ROUND($C203*tbo_oranBesPuan,2)=$J203),"TBO-001",IF(AND($F203="Evet",ROUND($C203*tbo_oranKadinGenc,2)=$J203),"TBO-004","TBO-ENG")))))</f>
        <v/>
      </c>
      <c r="J203" s="31">
        <f>IF($A203="","",MAX(IF($D203="Evet",ROUND($C203*tbo_oranBesPuan,2),0),IF($E203="Evet",ROUND($C203*tbo_oranIlave,2),0),IF($F203="Evet",ROUND($C203*tbo_oranKadinGenc,2),0),IF($G203="Evet",ROUND($C203*tbo_isverenOran,2),0)))</f>
        <v/>
      </c>
      <c r="K203" s="31">
        <f>IF($A203="","",IF($H203="TBO-001",IF($D203="Evet",ROUND($C203*tbo_oranBesPuan,2),0),IF($H203="TBO-002",IF($E203="Evet",ROUND($C203*tbo_oranIlave,2),0),IF($H203="TBO-004",IF($F203="Evet",ROUND($C203*tbo_oranKadinGenc,2),0),IF($H203="TBO-ENG",IF($G203="Evet",ROUND($C203*tbo_isverenOran,2),0),0)))))</f>
        <v/>
      </c>
      <c r="L203" s="31">
        <f>IF($A203="","",MAX(0,$J203-$K203))</f>
        <v/>
      </c>
    </row>
    <row r="204">
      <c r="I204" s="31">
        <f>IF($A204="","",IF($J204=0,"YOK",IF(AND($E204="Evet",ROUND($C204*tbo_oranIlave,2)=$J204),"TBO-002",IF(AND($D204="Evet",ROUND($C204*tbo_oranBesPuan,2)=$J204),"TBO-001",IF(AND($F204="Evet",ROUND($C204*tbo_oranKadinGenc,2)=$J204),"TBO-004","TBO-ENG")))))</f>
        <v/>
      </c>
      <c r="J204" s="31">
        <f>IF($A204="","",MAX(IF($D204="Evet",ROUND($C204*tbo_oranBesPuan,2),0),IF($E204="Evet",ROUND($C204*tbo_oranIlave,2),0),IF($F204="Evet",ROUND($C204*tbo_oranKadinGenc,2),0),IF($G204="Evet",ROUND($C204*tbo_isverenOran,2),0)))</f>
        <v/>
      </c>
      <c r="K204" s="31">
        <f>IF($A204="","",IF($H204="TBO-001",IF($D204="Evet",ROUND($C204*tbo_oranBesPuan,2),0),IF($H204="TBO-002",IF($E204="Evet",ROUND($C204*tbo_oranIlave,2),0),IF($H204="TBO-004",IF($F204="Evet",ROUND($C204*tbo_oranKadinGenc,2),0),IF($H204="TBO-ENG",IF($G204="Evet",ROUND($C204*tbo_isverenOran,2),0),0)))))</f>
        <v/>
      </c>
      <c r="L204" s="31">
        <f>IF($A204="","",MAX(0,$J204-$K204))</f>
        <v/>
      </c>
    </row>
    <row r="205">
      <c r="I205" s="31">
        <f>IF($A205="","",IF($J205=0,"YOK",IF(AND($E205="Evet",ROUND($C205*tbo_oranIlave,2)=$J205),"TBO-002",IF(AND($D205="Evet",ROUND($C205*tbo_oranBesPuan,2)=$J205),"TBO-001",IF(AND($F205="Evet",ROUND($C205*tbo_oranKadinGenc,2)=$J205),"TBO-004","TBO-ENG")))))</f>
        <v/>
      </c>
      <c r="J205" s="31">
        <f>IF($A205="","",MAX(IF($D205="Evet",ROUND($C205*tbo_oranBesPuan,2),0),IF($E205="Evet",ROUND($C205*tbo_oranIlave,2),0),IF($F205="Evet",ROUND($C205*tbo_oranKadinGenc,2),0),IF($G205="Evet",ROUND($C205*tbo_isverenOran,2),0)))</f>
        <v/>
      </c>
      <c r="K205" s="31">
        <f>IF($A205="","",IF($H205="TBO-001",IF($D205="Evet",ROUND($C205*tbo_oranBesPuan,2),0),IF($H205="TBO-002",IF($E205="Evet",ROUND($C205*tbo_oranIlave,2),0),IF($H205="TBO-004",IF($F205="Evet",ROUND($C205*tbo_oranKadinGenc,2),0),IF($H205="TBO-ENG",IF($G205="Evet",ROUND($C205*tbo_isverenOran,2),0),0)))))</f>
        <v/>
      </c>
      <c r="L205" s="31">
        <f>IF($A205="","",MAX(0,$J205-$K205))</f>
        <v/>
      </c>
    </row>
    <row r="206">
      <c r="I206" s="31">
        <f>IF($A206="","",IF($J206=0,"YOK",IF(AND($E206="Evet",ROUND($C206*tbo_oranIlave,2)=$J206),"TBO-002",IF(AND($D206="Evet",ROUND($C206*tbo_oranBesPuan,2)=$J206),"TBO-001",IF(AND($F206="Evet",ROUND($C206*tbo_oranKadinGenc,2)=$J206),"TBO-004","TBO-ENG")))))</f>
        <v/>
      </c>
      <c r="J206" s="31">
        <f>IF($A206="","",MAX(IF($D206="Evet",ROUND($C206*tbo_oranBesPuan,2),0),IF($E206="Evet",ROUND($C206*tbo_oranIlave,2),0),IF($F206="Evet",ROUND($C206*tbo_oranKadinGenc,2),0),IF($G206="Evet",ROUND($C206*tbo_isverenOran,2),0)))</f>
        <v/>
      </c>
      <c r="K206" s="31">
        <f>IF($A206="","",IF($H206="TBO-001",IF($D206="Evet",ROUND($C206*tbo_oranBesPuan,2),0),IF($H206="TBO-002",IF($E206="Evet",ROUND($C206*tbo_oranIlave,2),0),IF($H206="TBO-004",IF($F206="Evet",ROUND($C206*tbo_oranKadinGenc,2),0),IF($H206="TBO-ENG",IF($G206="Evet",ROUND($C206*tbo_isverenOran,2),0),0)))))</f>
        <v/>
      </c>
      <c r="L206" s="31">
        <f>IF($A206="","",MAX(0,$J206-$K206))</f>
        <v/>
      </c>
    </row>
    <row r="207">
      <c r="I207" s="31">
        <f>IF($A207="","",IF($J207=0,"YOK",IF(AND($E207="Evet",ROUND($C207*tbo_oranIlave,2)=$J207),"TBO-002",IF(AND($D207="Evet",ROUND($C207*tbo_oranBesPuan,2)=$J207),"TBO-001",IF(AND($F207="Evet",ROUND($C207*tbo_oranKadinGenc,2)=$J207),"TBO-004","TBO-ENG")))))</f>
        <v/>
      </c>
      <c r="J207" s="31">
        <f>IF($A207="","",MAX(IF($D207="Evet",ROUND($C207*tbo_oranBesPuan,2),0),IF($E207="Evet",ROUND($C207*tbo_oranIlave,2),0),IF($F207="Evet",ROUND($C207*tbo_oranKadinGenc,2),0),IF($G207="Evet",ROUND($C207*tbo_isverenOran,2),0)))</f>
        <v/>
      </c>
      <c r="K207" s="31">
        <f>IF($A207="","",IF($H207="TBO-001",IF($D207="Evet",ROUND($C207*tbo_oranBesPuan,2),0),IF($H207="TBO-002",IF($E207="Evet",ROUND($C207*tbo_oranIlave,2),0),IF($H207="TBO-004",IF($F207="Evet",ROUND($C207*tbo_oranKadinGenc,2),0),IF($H207="TBO-ENG",IF($G207="Evet",ROUND($C207*tbo_isverenOran,2),0),0)))))</f>
        <v/>
      </c>
      <c r="L207" s="31">
        <f>IF($A207="","",MAX(0,$J207-$K207))</f>
        <v/>
      </c>
    </row>
    <row r="208">
      <c r="I208" s="31">
        <f>IF($A208="","",IF($J208=0,"YOK",IF(AND($E208="Evet",ROUND($C208*tbo_oranIlave,2)=$J208),"TBO-002",IF(AND($D208="Evet",ROUND($C208*tbo_oranBesPuan,2)=$J208),"TBO-001",IF(AND($F208="Evet",ROUND($C208*tbo_oranKadinGenc,2)=$J208),"TBO-004","TBO-ENG")))))</f>
        <v/>
      </c>
      <c r="J208" s="31">
        <f>IF($A208="","",MAX(IF($D208="Evet",ROUND($C208*tbo_oranBesPuan,2),0),IF($E208="Evet",ROUND($C208*tbo_oranIlave,2),0),IF($F208="Evet",ROUND($C208*tbo_oranKadinGenc,2),0),IF($G208="Evet",ROUND($C208*tbo_isverenOran,2),0)))</f>
        <v/>
      </c>
      <c r="K208" s="31">
        <f>IF($A208="","",IF($H208="TBO-001",IF($D208="Evet",ROUND($C208*tbo_oranBesPuan,2),0),IF($H208="TBO-002",IF($E208="Evet",ROUND($C208*tbo_oranIlave,2),0),IF($H208="TBO-004",IF($F208="Evet",ROUND($C208*tbo_oranKadinGenc,2),0),IF($H208="TBO-ENG",IF($G208="Evet",ROUND($C208*tbo_isverenOran,2),0),0)))))</f>
        <v/>
      </c>
      <c r="L208" s="31">
        <f>IF($A208="","",MAX(0,$J208-$K208))</f>
        <v/>
      </c>
    </row>
    <row r="209">
      <c r="I209" s="31">
        <f>IF($A209="","",IF($J209=0,"YOK",IF(AND($E209="Evet",ROUND($C209*tbo_oranIlave,2)=$J209),"TBO-002",IF(AND($D209="Evet",ROUND($C209*tbo_oranBesPuan,2)=$J209),"TBO-001",IF(AND($F209="Evet",ROUND($C209*tbo_oranKadinGenc,2)=$J209),"TBO-004","TBO-ENG")))))</f>
        <v/>
      </c>
      <c r="J209" s="31">
        <f>IF($A209="","",MAX(IF($D209="Evet",ROUND($C209*tbo_oranBesPuan,2),0),IF($E209="Evet",ROUND($C209*tbo_oranIlave,2),0),IF($F209="Evet",ROUND($C209*tbo_oranKadinGenc,2),0),IF($G209="Evet",ROUND($C209*tbo_isverenOran,2),0)))</f>
        <v/>
      </c>
      <c r="K209" s="31">
        <f>IF($A209="","",IF($H209="TBO-001",IF($D209="Evet",ROUND($C209*tbo_oranBesPuan,2),0),IF($H209="TBO-002",IF($E209="Evet",ROUND($C209*tbo_oranIlave,2),0),IF($H209="TBO-004",IF($F209="Evet",ROUND($C209*tbo_oranKadinGenc,2),0),IF($H209="TBO-ENG",IF($G209="Evet",ROUND($C209*tbo_isverenOran,2),0),0)))))</f>
        <v/>
      </c>
      <c r="L209" s="31">
        <f>IF($A209="","",MAX(0,$J209-$K209))</f>
        <v/>
      </c>
    </row>
    <row r="210">
      <c r="I210" s="31">
        <f>IF($A210="","",IF($J210=0,"YOK",IF(AND($E210="Evet",ROUND($C210*tbo_oranIlave,2)=$J210),"TBO-002",IF(AND($D210="Evet",ROUND($C210*tbo_oranBesPuan,2)=$J210),"TBO-001",IF(AND($F210="Evet",ROUND($C210*tbo_oranKadinGenc,2)=$J210),"TBO-004","TBO-ENG")))))</f>
        <v/>
      </c>
      <c r="J210" s="31">
        <f>IF($A210="","",MAX(IF($D210="Evet",ROUND($C210*tbo_oranBesPuan,2),0),IF($E210="Evet",ROUND($C210*tbo_oranIlave,2),0),IF($F210="Evet",ROUND($C210*tbo_oranKadinGenc,2),0),IF($G210="Evet",ROUND($C210*tbo_isverenOran,2),0)))</f>
        <v/>
      </c>
      <c r="K210" s="31">
        <f>IF($A210="","",IF($H210="TBO-001",IF($D210="Evet",ROUND($C210*tbo_oranBesPuan,2),0),IF($H210="TBO-002",IF($E210="Evet",ROUND($C210*tbo_oranIlave,2),0),IF($H210="TBO-004",IF($F210="Evet",ROUND($C210*tbo_oranKadinGenc,2),0),IF($H210="TBO-ENG",IF($G210="Evet",ROUND($C210*tbo_isverenOran,2),0),0)))))</f>
        <v/>
      </c>
      <c r="L210" s="31">
        <f>IF($A210="","",MAX(0,$J210-$K210))</f>
        <v/>
      </c>
    </row>
    <row r="211">
      <c r="I211" s="31">
        <f>IF($A211="","",IF($J211=0,"YOK",IF(AND($E211="Evet",ROUND($C211*tbo_oranIlave,2)=$J211),"TBO-002",IF(AND($D211="Evet",ROUND($C211*tbo_oranBesPuan,2)=$J211),"TBO-001",IF(AND($F211="Evet",ROUND($C211*tbo_oranKadinGenc,2)=$J211),"TBO-004","TBO-ENG")))))</f>
        <v/>
      </c>
      <c r="J211" s="31">
        <f>IF($A211="","",MAX(IF($D211="Evet",ROUND($C211*tbo_oranBesPuan,2),0),IF($E211="Evet",ROUND($C211*tbo_oranIlave,2),0),IF($F211="Evet",ROUND($C211*tbo_oranKadinGenc,2),0),IF($G211="Evet",ROUND($C211*tbo_isverenOran,2),0)))</f>
        <v/>
      </c>
      <c r="K211" s="31">
        <f>IF($A211="","",IF($H211="TBO-001",IF($D211="Evet",ROUND($C211*tbo_oranBesPuan,2),0),IF($H211="TBO-002",IF($E211="Evet",ROUND($C211*tbo_oranIlave,2),0),IF($H211="TBO-004",IF($F211="Evet",ROUND($C211*tbo_oranKadinGenc,2),0),IF($H211="TBO-ENG",IF($G211="Evet",ROUND($C211*tbo_isverenOran,2),0),0)))))</f>
        <v/>
      </c>
      <c r="L211" s="31">
        <f>IF($A211="","",MAX(0,$J211-$K211))</f>
        <v/>
      </c>
    </row>
    <row r="212">
      <c r="I212" s="31">
        <f>IF($A212="","",IF($J212=0,"YOK",IF(AND($E212="Evet",ROUND($C212*tbo_oranIlave,2)=$J212),"TBO-002",IF(AND($D212="Evet",ROUND($C212*tbo_oranBesPuan,2)=$J212),"TBO-001",IF(AND($F212="Evet",ROUND($C212*tbo_oranKadinGenc,2)=$J212),"TBO-004","TBO-ENG")))))</f>
        <v/>
      </c>
      <c r="J212" s="31">
        <f>IF($A212="","",MAX(IF($D212="Evet",ROUND($C212*tbo_oranBesPuan,2),0),IF($E212="Evet",ROUND($C212*tbo_oranIlave,2),0),IF($F212="Evet",ROUND($C212*tbo_oranKadinGenc,2),0),IF($G212="Evet",ROUND($C212*tbo_isverenOran,2),0)))</f>
        <v/>
      </c>
      <c r="K212" s="31">
        <f>IF($A212="","",IF($H212="TBO-001",IF($D212="Evet",ROUND($C212*tbo_oranBesPuan,2),0),IF($H212="TBO-002",IF($E212="Evet",ROUND($C212*tbo_oranIlave,2),0),IF($H212="TBO-004",IF($F212="Evet",ROUND($C212*tbo_oranKadinGenc,2),0),IF($H212="TBO-ENG",IF($G212="Evet",ROUND($C212*tbo_isverenOran,2),0),0)))))</f>
        <v/>
      </c>
      <c r="L212" s="31">
        <f>IF($A212="","",MAX(0,$J212-$K212))</f>
        <v/>
      </c>
    </row>
    <row r="213">
      <c r="I213" s="31">
        <f>IF($A213="","",IF($J213=0,"YOK",IF(AND($E213="Evet",ROUND($C213*tbo_oranIlave,2)=$J213),"TBO-002",IF(AND($D213="Evet",ROUND($C213*tbo_oranBesPuan,2)=$J213),"TBO-001",IF(AND($F213="Evet",ROUND($C213*tbo_oranKadinGenc,2)=$J213),"TBO-004","TBO-ENG")))))</f>
        <v/>
      </c>
      <c r="J213" s="31">
        <f>IF($A213="","",MAX(IF($D213="Evet",ROUND($C213*tbo_oranBesPuan,2),0),IF($E213="Evet",ROUND($C213*tbo_oranIlave,2),0),IF($F213="Evet",ROUND($C213*tbo_oranKadinGenc,2),0),IF($G213="Evet",ROUND($C213*tbo_isverenOran,2),0)))</f>
        <v/>
      </c>
      <c r="K213" s="31">
        <f>IF($A213="","",IF($H213="TBO-001",IF($D213="Evet",ROUND($C213*tbo_oranBesPuan,2),0),IF($H213="TBO-002",IF($E213="Evet",ROUND($C213*tbo_oranIlave,2),0),IF($H213="TBO-004",IF($F213="Evet",ROUND($C213*tbo_oranKadinGenc,2),0),IF($H213="TBO-ENG",IF($G213="Evet",ROUND($C213*tbo_isverenOran,2),0),0)))))</f>
        <v/>
      </c>
      <c r="L213" s="31">
        <f>IF($A213="","",MAX(0,$J213-$K213))</f>
        <v/>
      </c>
    </row>
    <row r="214">
      <c r="I214" s="31">
        <f>IF($A214="","",IF($J214=0,"YOK",IF(AND($E214="Evet",ROUND($C214*tbo_oranIlave,2)=$J214),"TBO-002",IF(AND($D214="Evet",ROUND($C214*tbo_oranBesPuan,2)=$J214),"TBO-001",IF(AND($F214="Evet",ROUND($C214*tbo_oranKadinGenc,2)=$J214),"TBO-004","TBO-ENG")))))</f>
        <v/>
      </c>
      <c r="J214" s="31">
        <f>IF($A214="","",MAX(IF($D214="Evet",ROUND($C214*tbo_oranBesPuan,2),0),IF($E214="Evet",ROUND($C214*tbo_oranIlave,2),0),IF($F214="Evet",ROUND($C214*tbo_oranKadinGenc,2),0),IF($G214="Evet",ROUND($C214*tbo_isverenOran,2),0)))</f>
        <v/>
      </c>
      <c r="K214" s="31">
        <f>IF($A214="","",IF($H214="TBO-001",IF($D214="Evet",ROUND($C214*tbo_oranBesPuan,2),0),IF($H214="TBO-002",IF($E214="Evet",ROUND($C214*tbo_oranIlave,2),0),IF($H214="TBO-004",IF($F214="Evet",ROUND($C214*tbo_oranKadinGenc,2),0),IF($H214="TBO-ENG",IF($G214="Evet",ROUND($C214*tbo_isverenOran,2),0),0)))))</f>
        <v/>
      </c>
      <c r="L214" s="31">
        <f>IF($A214="","",MAX(0,$J214-$K214))</f>
        <v/>
      </c>
    </row>
    <row r="215">
      <c r="I215" s="31">
        <f>IF($A215="","",IF($J215=0,"YOK",IF(AND($E215="Evet",ROUND($C215*tbo_oranIlave,2)=$J215),"TBO-002",IF(AND($D215="Evet",ROUND($C215*tbo_oranBesPuan,2)=$J215),"TBO-001",IF(AND($F215="Evet",ROUND($C215*tbo_oranKadinGenc,2)=$J215),"TBO-004","TBO-ENG")))))</f>
        <v/>
      </c>
      <c r="J215" s="31">
        <f>IF($A215="","",MAX(IF($D215="Evet",ROUND($C215*tbo_oranBesPuan,2),0),IF($E215="Evet",ROUND($C215*tbo_oranIlave,2),0),IF($F215="Evet",ROUND($C215*tbo_oranKadinGenc,2),0),IF($G215="Evet",ROUND($C215*tbo_isverenOran,2),0)))</f>
        <v/>
      </c>
      <c r="K215" s="31">
        <f>IF($A215="","",IF($H215="TBO-001",IF($D215="Evet",ROUND($C215*tbo_oranBesPuan,2),0),IF($H215="TBO-002",IF($E215="Evet",ROUND($C215*tbo_oranIlave,2),0),IF($H215="TBO-004",IF($F215="Evet",ROUND($C215*tbo_oranKadinGenc,2),0),IF($H215="TBO-ENG",IF($G215="Evet",ROUND($C215*tbo_isverenOran,2),0),0)))))</f>
        <v/>
      </c>
      <c r="L215" s="31">
        <f>IF($A215="","",MAX(0,$J215-$K215))</f>
        <v/>
      </c>
    </row>
    <row r="216">
      <c r="I216" s="31">
        <f>IF($A216="","",IF($J216=0,"YOK",IF(AND($E216="Evet",ROUND($C216*tbo_oranIlave,2)=$J216),"TBO-002",IF(AND($D216="Evet",ROUND($C216*tbo_oranBesPuan,2)=$J216),"TBO-001",IF(AND($F216="Evet",ROUND($C216*tbo_oranKadinGenc,2)=$J216),"TBO-004","TBO-ENG")))))</f>
        <v/>
      </c>
      <c r="J216" s="31">
        <f>IF($A216="","",MAX(IF($D216="Evet",ROUND($C216*tbo_oranBesPuan,2),0),IF($E216="Evet",ROUND($C216*tbo_oranIlave,2),0),IF($F216="Evet",ROUND($C216*tbo_oranKadinGenc,2),0),IF($G216="Evet",ROUND($C216*tbo_isverenOran,2),0)))</f>
        <v/>
      </c>
      <c r="K216" s="31">
        <f>IF($A216="","",IF($H216="TBO-001",IF($D216="Evet",ROUND($C216*tbo_oranBesPuan,2),0),IF($H216="TBO-002",IF($E216="Evet",ROUND($C216*tbo_oranIlave,2),0),IF($H216="TBO-004",IF($F216="Evet",ROUND($C216*tbo_oranKadinGenc,2),0),IF($H216="TBO-ENG",IF($G216="Evet",ROUND($C216*tbo_isverenOran,2),0),0)))))</f>
        <v/>
      </c>
      <c r="L216" s="31">
        <f>IF($A216="","",MAX(0,$J216-$K216))</f>
        <v/>
      </c>
    </row>
    <row r="217">
      <c r="I217" s="31">
        <f>IF($A217="","",IF($J217=0,"YOK",IF(AND($E217="Evet",ROUND($C217*tbo_oranIlave,2)=$J217),"TBO-002",IF(AND($D217="Evet",ROUND($C217*tbo_oranBesPuan,2)=$J217),"TBO-001",IF(AND($F217="Evet",ROUND($C217*tbo_oranKadinGenc,2)=$J217),"TBO-004","TBO-ENG")))))</f>
        <v/>
      </c>
      <c r="J217" s="31">
        <f>IF($A217="","",MAX(IF($D217="Evet",ROUND($C217*tbo_oranBesPuan,2),0),IF($E217="Evet",ROUND($C217*tbo_oranIlave,2),0),IF($F217="Evet",ROUND($C217*tbo_oranKadinGenc,2),0),IF($G217="Evet",ROUND($C217*tbo_isverenOran,2),0)))</f>
        <v/>
      </c>
      <c r="K217" s="31">
        <f>IF($A217="","",IF($H217="TBO-001",IF($D217="Evet",ROUND($C217*tbo_oranBesPuan,2),0),IF($H217="TBO-002",IF($E217="Evet",ROUND($C217*tbo_oranIlave,2),0),IF($H217="TBO-004",IF($F217="Evet",ROUND($C217*tbo_oranKadinGenc,2),0),IF($H217="TBO-ENG",IF($G217="Evet",ROUND($C217*tbo_isverenOran,2),0),0)))))</f>
        <v/>
      </c>
      <c r="L217" s="31">
        <f>IF($A217="","",MAX(0,$J217-$K217))</f>
        <v/>
      </c>
    </row>
    <row r="218">
      <c r="I218" s="31">
        <f>IF($A218="","",IF($J218=0,"YOK",IF(AND($E218="Evet",ROUND($C218*tbo_oranIlave,2)=$J218),"TBO-002",IF(AND($D218="Evet",ROUND($C218*tbo_oranBesPuan,2)=$J218),"TBO-001",IF(AND($F218="Evet",ROUND($C218*tbo_oranKadinGenc,2)=$J218),"TBO-004","TBO-ENG")))))</f>
        <v/>
      </c>
      <c r="J218" s="31">
        <f>IF($A218="","",MAX(IF($D218="Evet",ROUND($C218*tbo_oranBesPuan,2),0),IF($E218="Evet",ROUND($C218*tbo_oranIlave,2),0),IF($F218="Evet",ROUND($C218*tbo_oranKadinGenc,2),0),IF($G218="Evet",ROUND($C218*tbo_isverenOran,2),0)))</f>
        <v/>
      </c>
      <c r="K218" s="31">
        <f>IF($A218="","",IF($H218="TBO-001",IF($D218="Evet",ROUND($C218*tbo_oranBesPuan,2),0),IF($H218="TBO-002",IF($E218="Evet",ROUND($C218*tbo_oranIlave,2),0),IF($H218="TBO-004",IF($F218="Evet",ROUND($C218*tbo_oranKadinGenc,2),0),IF($H218="TBO-ENG",IF($G218="Evet",ROUND($C218*tbo_isverenOran,2),0),0)))))</f>
        <v/>
      </c>
      <c r="L218" s="31">
        <f>IF($A218="","",MAX(0,$J218-$K218))</f>
        <v/>
      </c>
    </row>
    <row r="219">
      <c r="I219" s="31">
        <f>IF($A219="","",IF($J219=0,"YOK",IF(AND($E219="Evet",ROUND($C219*tbo_oranIlave,2)=$J219),"TBO-002",IF(AND($D219="Evet",ROUND($C219*tbo_oranBesPuan,2)=$J219),"TBO-001",IF(AND($F219="Evet",ROUND($C219*tbo_oranKadinGenc,2)=$J219),"TBO-004","TBO-ENG")))))</f>
        <v/>
      </c>
      <c r="J219" s="31">
        <f>IF($A219="","",MAX(IF($D219="Evet",ROUND($C219*tbo_oranBesPuan,2),0),IF($E219="Evet",ROUND($C219*tbo_oranIlave,2),0),IF($F219="Evet",ROUND($C219*tbo_oranKadinGenc,2),0),IF($G219="Evet",ROUND($C219*tbo_isverenOran,2),0)))</f>
        <v/>
      </c>
      <c r="K219" s="31">
        <f>IF($A219="","",IF($H219="TBO-001",IF($D219="Evet",ROUND($C219*tbo_oranBesPuan,2),0),IF($H219="TBO-002",IF($E219="Evet",ROUND($C219*tbo_oranIlave,2),0),IF($H219="TBO-004",IF($F219="Evet",ROUND($C219*tbo_oranKadinGenc,2),0),IF($H219="TBO-ENG",IF($G219="Evet",ROUND($C219*tbo_isverenOran,2),0),0)))))</f>
        <v/>
      </c>
      <c r="L219" s="31">
        <f>IF($A219="","",MAX(0,$J219-$K219))</f>
        <v/>
      </c>
    </row>
    <row r="220">
      <c r="I220" s="31">
        <f>IF($A220="","",IF($J220=0,"YOK",IF(AND($E220="Evet",ROUND($C220*tbo_oranIlave,2)=$J220),"TBO-002",IF(AND($D220="Evet",ROUND($C220*tbo_oranBesPuan,2)=$J220),"TBO-001",IF(AND($F220="Evet",ROUND($C220*tbo_oranKadinGenc,2)=$J220),"TBO-004","TBO-ENG")))))</f>
        <v/>
      </c>
      <c r="J220" s="31">
        <f>IF($A220="","",MAX(IF($D220="Evet",ROUND($C220*tbo_oranBesPuan,2),0),IF($E220="Evet",ROUND($C220*tbo_oranIlave,2),0),IF($F220="Evet",ROUND($C220*tbo_oranKadinGenc,2),0),IF($G220="Evet",ROUND($C220*tbo_isverenOran,2),0)))</f>
        <v/>
      </c>
      <c r="K220" s="31">
        <f>IF($A220="","",IF($H220="TBO-001",IF($D220="Evet",ROUND($C220*tbo_oranBesPuan,2),0),IF($H220="TBO-002",IF($E220="Evet",ROUND($C220*tbo_oranIlave,2),0),IF($H220="TBO-004",IF($F220="Evet",ROUND($C220*tbo_oranKadinGenc,2),0),IF($H220="TBO-ENG",IF($G220="Evet",ROUND($C220*tbo_isverenOran,2),0),0)))))</f>
        <v/>
      </c>
      <c r="L220" s="31">
        <f>IF($A220="","",MAX(0,$J220-$K220))</f>
        <v/>
      </c>
    </row>
    <row r="221">
      <c r="I221" s="31">
        <f>IF($A221="","",IF($J221=0,"YOK",IF(AND($E221="Evet",ROUND($C221*tbo_oranIlave,2)=$J221),"TBO-002",IF(AND($D221="Evet",ROUND($C221*tbo_oranBesPuan,2)=$J221),"TBO-001",IF(AND($F221="Evet",ROUND($C221*tbo_oranKadinGenc,2)=$J221),"TBO-004","TBO-ENG")))))</f>
        <v/>
      </c>
      <c r="J221" s="31">
        <f>IF($A221="","",MAX(IF($D221="Evet",ROUND($C221*tbo_oranBesPuan,2),0),IF($E221="Evet",ROUND($C221*tbo_oranIlave,2),0),IF($F221="Evet",ROUND($C221*tbo_oranKadinGenc,2),0),IF($G221="Evet",ROUND($C221*tbo_isverenOran,2),0)))</f>
        <v/>
      </c>
      <c r="K221" s="31">
        <f>IF($A221="","",IF($H221="TBO-001",IF($D221="Evet",ROUND($C221*tbo_oranBesPuan,2),0),IF($H221="TBO-002",IF($E221="Evet",ROUND($C221*tbo_oranIlave,2),0),IF($H221="TBO-004",IF($F221="Evet",ROUND($C221*tbo_oranKadinGenc,2),0),IF($H221="TBO-ENG",IF($G221="Evet",ROUND($C221*tbo_isverenOran,2),0),0)))))</f>
        <v/>
      </c>
      <c r="L221" s="31">
        <f>IF($A221="","",MAX(0,$J221-$K221))</f>
        <v/>
      </c>
    </row>
    <row r="222">
      <c r="I222" s="31">
        <f>IF($A222="","",IF($J222=0,"YOK",IF(AND($E222="Evet",ROUND($C222*tbo_oranIlave,2)=$J222),"TBO-002",IF(AND($D222="Evet",ROUND($C222*tbo_oranBesPuan,2)=$J222),"TBO-001",IF(AND($F222="Evet",ROUND($C222*tbo_oranKadinGenc,2)=$J222),"TBO-004","TBO-ENG")))))</f>
        <v/>
      </c>
      <c r="J222" s="31">
        <f>IF($A222="","",MAX(IF($D222="Evet",ROUND($C222*tbo_oranBesPuan,2),0),IF($E222="Evet",ROUND($C222*tbo_oranIlave,2),0),IF($F222="Evet",ROUND($C222*tbo_oranKadinGenc,2),0),IF($G222="Evet",ROUND($C222*tbo_isverenOran,2),0)))</f>
        <v/>
      </c>
      <c r="K222" s="31">
        <f>IF($A222="","",IF($H222="TBO-001",IF($D222="Evet",ROUND($C222*tbo_oranBesPuan,2),0),IF($H222="TBO-002",IF($E222="Evet",ROUND($C222*tbo_oranIlave,2),0),IF($H222="TBO-004",IF($F222="Evet",ROUND($C222*tbo_oranKadinGenc,2),0),IF($H222="TBO-ENG",IF($G222="Evet",ROUND($C222*tbo_isverenOran,2),0),0)))))</f>
        <v/>
      </c>
      <c r="L222" s="31">
        <f>IF($A222="","",MAX(0,$J222-$K222))</f>
        <v/>
      </c>
    </row>
    <row r="223">
      <c r="I223" s="31">
        <f>IF($A223="","",IF($J223=0,"YOK",IF(AND($E223="Evet",ROUND($C223*tbo_oranIlave,2)=$J223),"TBO-002",IF(AND($D223="Evet",ROUND($C223*tbo_oranBesPuan,2)=$J223),"TBO-001",IF(AND($F223="Evet",ROUND($C223*tbo_oranKadinGenc,2)=$J223),"TBO-004","TBO-ENG")))))</f>
        <v/>
      </c>
      <c r="J223" s="31">
        <f>IF($A223="","",MAX(IF($D223="Evet",ROUND($C223*tbo_oranBesPuan,2),0),IF($E223="Evet",ROUND($C223*tbo_oranIlave,2),0),IF($F223="Evet",ROUND($C223*tbo_oranKadinGenc,2),0),IF($G223="Evet",ROUND($C223*tbo_isverenOran,2),0)))</f>
        <v/>
      </c>
      <c r="K223" s="31">
        <f>IF($A223="","",IF($H223="TBO-001",IF($D223="Evet",ROUND($C223*tbo_oranBesPuan,2),0),IF($H223="TBO-002",IF($E223="Evet",ROUND($C223*tbo_oranIlave,2),0),IF($H223="TBO-004",IF($F223="Evet",ROUND($C223*tbo_oranKadinGenc,2),0),IF($H223="TBO-ENG",IF($G223="Evet",ROUND($C223*tbo_isverenOran,2),0),0)))))</f>
        <v/>
      </c>
      <c r="L223" s="31">
        <f>IF($A223="","",MAX(0,$J223-$K223))</f>
        <v/>
      </c>
    </row>
    <row r="224">
      <c r="I224" s="31">
        <f>IF($A224="","",IF($J224=0,"YOK",IF(AND($E224="Evet",ROUND($C224*tbo_oranIlave,2)=$J224),"TBO-002",IF(AND($D224="Evet",ROUND($C224*tbo_oranBesPuan,2)=$J224),"TBO-001",IF(AND($F224="Evet",ROUND($C224*tbo_oranKadinGenc,2)=$J224),"TBO-004","TBO-ENG")))))</f>
        <v/>
      </c>
      <c r="J224" s="31">
        <f>IF($A224="","",MAX(IF($D224="Evet",ROUND($C224*tbo_oranBesPuan,2),0),IF($E224="Evet",ROUND($C224*tbo_oranIlave,2),0),IF($F224="Evet",ROUND($C224*tbo_oranKadinGenc,2),0),IF($G224="Evet",ROUND($C224*tbo_isverenOran,2),0)))</f>
        <v/>
      </c>
      <c r="K224" s="31">
        <f>IF($A224="","",IF($H224="TBO-001",IF($D224="Evet",ROUND($C224*tbo_oranBesPuan,2),0),IF($H224="TBO-002",IF($E224="Evet",ROUND($C224*tbo_oranIlave,2),0),IF($H224="TBO-004",IF($F224="Evet",ROUND($C224*tbo_oranKadinGenc,2),0),IF($H224="TBO-ENG",IF($G224="Evet",ROUND($C224*tbo_isverenOran,2),0),0)))))</f>
        <v/>
      </c>
      <c r="L224" s="31">
        <f>IF($A224="","",MAX(0,$J224-$K224))</f>
        <v/>
      </c>
    </row>
    <row r="225">
      <c r="I225" s="31">
        <f>IF($A225="","",IF($J225=0,"YOK",IF(AND($E225="Evet",ROUND($C225*tbo_oranIlave,2)=$J225),"TBO-002",IF(AND($D225="Evet",ROUND($C225*tbo_oranBesPuan,2)=$J225),"TBO-001",IF(AND($F225="Evet",ROUND($C225*tbo_oranKadinGenc,2)=$J225),"TBO-004","TBO-ENG")))))</f>
        <v/>
      </c>
      <c r="J225" s="31">
        <f>IF($A225="","",MAX(IF($D225="Evet",ROUND($C225*tbo_oranBesPuan,2),0),IF($E225="Evet",ROUND($C225*tbo_oranIlave,2),0),IF($F225="Evet",ROUND($C225*tbo_oranKadinGenc,2),0),IF($G225="Evet",ROUND($C225*tbo_isverenOran,2),0)))</f>
        <v/>
      </c>
      <c r="K225" s="31">
        <f>IF($A225="","",IF($H225="TBO-001",IF($D225="Evet",ROUND($C225*tbo_oranBesPuan,2),0),IF($H225="TBO-002",IF($E225="Evet",ROUND($C225*tbo_oranIlave,2),0),IF($H225="TBO-004",IF($F225="Evet",ROUND($C225*tbo_oranKadinGenc,2),0),IF($H225="TBO-ENG",IF($G225="Evet",ROUND($C225*tbo_isverenOran,2),0),0)))))</f>
        <v/>
      </c>
      <c r="L225" s="31">
        <f>IF($A225="","",MAX(0,$J225-$K225))</f>
        <v/>
      </c>
    </row>
    <row r="226">
      <c r="I226" s="31">
        <f>IF($A226="","",IF($J226=0,"YOK",IF(AND($E226="Evet",ROUND($C226*tbo_oranIlave,2)=$J226),"TBO-002",IF(AND($D226="Evet",ROUND($C226*tbo_oranBesPuan,2)=$J226),"TBO-001",IF(AND($F226="Evet",ROUND($C226*tbo_oranKadinGenc,2)=$J226),"TBO-004","TBO-ENG")))))</f>
        <v/>
      </c>
      <c r="J226" s="31">
        <f>IF($A226="","",MAX(IF($D226="Evet",ROUND($C226*tbo_oranBesPuan,2),0),IF($E226="Evet",ROUND($C226*tbo_oranIlave,2),0),IF($F226="Evet",ROUND($C226*tbo_oranKadinGenc,2),0),IF($G226="Evet",ROUND($C226*tbo_isverenOran,2),0)))</f>
        <v/>
      </c>
      <c r="K226" s="31">
        <f>IF($A226="","",IF($H226="TBO-001",IF($D226="Evet",ROUND($C226*tbo_oranBesPuan,2),0),IF($H226="TBO-002",IF($E226="Evet",ROUND($C226*tbo_oranIlave,2),0),IF($H226="TBO-004",IF($F226="Evet",ROUND($C226*tbo_oranKadinGenc,2),0),IF($H226="TBO-ENG",IF($G226="Evet",ROUND($C226*tbo_isverenOran,2),0),0)))))</f>
        <v/>
      </c>
      <c r="L226" s="31">
        <f>IF($A226="","",MAX(0,$J226-$K226))</f>
        <v/>
      </c>
    </row>
    <row r="227">
      <c r="I227" s="31">
        <f>IF($A227="","",IF($J227=0,"YOK",IF(AND($E227="Evet",ROUND($C227*tbo_oranIlave,2)=$J227),"TBO-002",IF(AND($D227="Evet",ROUND($C227*tbo_oranBesPuan,2)=$J227),"TBO-001",IF(AND($F227="Evet",ROUND($C227*tbo_oranKadinGenc,2)=$J227),"TBO-004","TBO-ENG")))))</f>
        <v/>
      </c>
      <c r="J227" s="31">
        <f>IF($A227="","",MAX(IF($D227="Evet",ROUND($C227*tbo_oranBesPuan,2),0),IF($E227="Evet",ROUND($C227*tbo_oranIlave,2),0),IF($F227="Evet",ROUND($C227*tbo_oranKadinGenc,2),0),IF($G227="Evet",ROUND($C227*tbo_isverenOran,2),0)))</f>
        <v/>
      </c>
      <c r="K227" s="31">
        <f>IF($A227="","",IF($H227="TBO-001",IF($D227="Evet",ROUND($C227*tbo_oranBesPuan,2),0),IF($H227="TBO-002",IF($E227="Evet",ROUND($C227*tbo_oranIlave,2),0),IF($H227="TBO-004",IF($F227="Evet",ROUND($C227*tbo_oranKadinGenc,2),0),IF($H227="TBO-ENG",IF($G227="Evet",ROUND($C227*tbo_isverenOran,2),0),0)))))</f>
        <v/>
      </c>
      <c r="L227" s="31">
        <f>IF($A227="","",MAX(0,$J227-$K227))</f>
        <v/>
      </c>
    </row>
    <row r="228">
      <c r="I228" s="31">
        <f>IF($A228="","",IF($J228=0,"YOK",IF(AND($E228="Evet",ROUND($C228*tbo_oranIlave,2)=$J228),"TBO-002",IF(AND($D228="Evet",ROUND($C228*tbo_oranBesPuan,2)=$J228),"TBO-001",IF(AND($F228="Evet",ROUND($C228*tbo_oranKadinGenc,2)=$J228),"TBO-004","TBO-ENG")))))</f>
        <v/>
      </c>
      <c r="J228" s="31">
        <f>IF($A228="","",MAX(IF($D228="Evet",ROUND($C228*tbo_oranBesPuan,2),0),IF($E228="Evet",ROUND($C228*tbo_oranIlave,2),0),IF($F228="Evet",ROUND($C228*tbo_oranKadinGenc,2),0),IF($G228="Evet",ROUND($C228*tbo_isverenOran,2),0)))</f>
        <v/>
      </c>
      <c r="K228" s="31">
        <f>IF($A228="","",IF($H228="TBO-001",IF($D228="Evet",ROUND($C228*tbo_oranBesPuan,2),0),IF($H228="TBO-002",IF($E228="Evet",ROUND($C228*tbo_oranIlave,2),0),IF($H228="TBO-004",IF($F228="Evet",ROUND($C228*tbo_oranKadinGenc,2),0),IF($H228="TBO-ENG",IF($G228="Evet",ROUND($C228*tbo_isverenOran,2),0),0)))))</f>
        <v/>
      </c>
      <c r="L228" s="31">
        <f>IF($A228="","",MAX(0,$J228-$K228))</f>
        <v/>
      </c>
    </row>
    <row r="229">
      <c r="I229" s="31">
        <f>IF($A229="","",IF($J229=0,"YOK",IF(AND($E229="Evet",ROUND($C229*tbo_oranIlave,2)=$J229),"TBO-002",IF(AND($D229="Evet",ROUND($C229*tbo_oranBesPuan,2)=$J229),"TBO-001",IF(AND($F229="Evet",ROUND($C229*tbo_oranKadinGenc,2)=$J229),"TBO-004","TBO-ENG")))))</f>
        <v/>
      </c>
      <c r="J229" s="31">
        <f>IF($A229="","",MAX(IF($D229="Evet",ROUND($C229*tbo_oranBesPuan,2),0),IF($E229="Evet",ROUND($C229*tbo_oranIlave,2),0),IF($F229="Evet",ROUND($C229*tbo_oranKadinGenc,2),0),IF($G229="Evet",ROUND($C229*tbo_isverenOran,2),0)))</f>
        <v/>
      </c>
      <c r="K229" s="31">
        <f>IF($A229="","",IF($H229="TBO-001",IF($D229="Evet",ROUND($C229*tbo_oranBesPuan,2),0),IF($H229="TBO-002",IF($E229="Evet",ROUND($C229*tbo_oranIlave,2),0),IF($H229="TBO-004",IF($F229="Evet",ROUND($C229*tbo_oranKadinGenc,2),0),IF($H229="TBO-ENG",IF($G229="Evet",ROUND($C229*tbo_isverenOran,2),0),0)))))</f>
        <v/>
      </c>
      <c r="L229" s="31">
        <f>IF($A229="","",MAX(0,$J229-$K229))</f>
        <v/>
      </c>
    </row>
    <row r="230">
      <c r="I230" s="31">
        <f>IF($A230="","",IF($J230=0,"YOK",IF(AND($E230="Evet",ROUND($C230*tbo_oranIlave,2)=$J230),"TBO-002",IF(AND($D230="Evet",ROUND($C230*tbo_oranBesPuan,2)=$J230),"TBO-001",IF(AND($F230="Evet",ROUND($C230*tbo_oranKadinGenc,2)=$J230),"TBO-004","TBO-ENG")))))</f>
        <v/>
      </c>
      <c r="J230" s="31">
        <f>IF($A230="","",MAX(IF($D230="Evet",ROUND($C230*tbo_oranBesPuan,2),0),IF($E230="Evet",ROUND($C230*tbo_oranIlave,2),0),IF($F230="Evet",ROUND($C230*tbo_oranKadinGenc,2),0),IF($G230="Evet",ROUND($C230*tbo_isverenOran,2),0)))</f>
        <v/>
      </c>
      <c r="K230" s="31">
        <f>IF($A230="","",IF($H230="TBO-001",IF($D230="Evet",ROUND($C230*tbo_oranBesPuan,2),0),IF($H230="TBO-002",IF($E230="Evet",ROUND($C230*tbo_oranIlave,2),0),IF($H230="TBO-004",IF($F230="Evet",ROUND($C230*tbo_oranKadinGenc,2),0),IF($H230="TBO-ENG",IF($G230="Evet",ROUND($C230*tbo_isverenOran,2),0),0)))))</f>
        <v/>
      </c>
      <c r="L230" s="31">
        <f>IF($A230="","",MAX(0,$J230-$K230))</f>
        <v/>
      </c>
    </row>
    <row r="231">
      <c r="I231" s="31">
        <f>IF($A231="","",IF($J231=0,"YOK",IF(AND($E231="Evet",ROUND($C231*tbo_oranIlave,2)=$J231),"TBO-002",IF(AND($D231="Evet",ROUND($C231*tbo_oranBesPuan,2)=$J231),"TBO-001",IF(AND($F231="Evet",ROUND($C231*tbo_oranKadinGenc,2)=$J231),"TBO-004","TBO-ENG")))))</f>
        <v/>
      </c>
      <c r="J231" s="31">
        <f>IF($A231="","",MAX(IF($D231="Evet",ROUND($C231*tbo_oranBesPuan,2),0),IF($E231="Evet",ROUND($C231*tbo_oranIlave,2),0),IF($F231="Evet",ROUND($C231*tbo_oranKadinGenc,2),0),IF($G231="Evet",ROUND($C231*tbo_isverenOran,2),0)))</f>
        <v/>
      </c>
      <c r="K231" s="31">
        <f>IF($A231="","",IF($H231="TBO-001",IF($D231="Evet",ROUND($C231*tbo_oranBesPuan,2),0),IF($H231="TBO-002",IF($E231="Evet",ROUND($C231*tbo_oranIlave,2),0),IF($H231="TBO-004",IF($F231="Evet",ROUND($C231*tbo_oranKadinGenc,2),0),IF($H231="TBO-ENG",IF($G231="Evet",ROUND($C231*tbo_isverenOran,2),0),0)))))</f>
        <v/>
      </c>
      <c r="L231" s="31">
        <f>IF($A231="","",MAX(0,$J231-$K231))</f>
        <v/>
      </c>
    </row>
    <row r="232">
      <c r="I232" s="31">
        <f>IF($A232="","",IF($J232=0,"YOK",IF(AND($E232="Evet",ROUND($C232*tbo_oranIlave,2)=$J232),"TBO-002",IF(AND($D232="Evet",ROUND($C232*tbo_oranBesPuan,2)=$J232),"TBO-001",IF(AND($F232="Evet",ROUND($C232*tbo_oranKadinGenc,2)=$J232),"TBO-004","TBO-ENG")))))</f>
        <v/>
      </c>
      <c r="J232" s="31">
        <f>IF($A232="","",MAX(IF($D232="Evet",ROUND($C232*tbo_oranBesPuan,2),0),IF($E232="Evet",ROUND($C232*tbo_oranIlave,2),0),IF($F232="Evet",ROUND($C232*tbo_oranKadinGenc,2),0),IF($G232="Evet",ROUND($C232*tbo_isverenOran,2),0)))</f>
        <v/>
      </c>
      <c r="K232" s="31">
        <f>IF($A232="","",IF($H232="TBO-001",IF($D232="Evet",ROUND($C232*tbo_oranBesPuan,2),0),IF($H232="TBO-002",IF($E232="Evet",ROUND($C232*tbo_oranIlave,2),0),IF($H232="TBO-004",IF($F232="Evet",ROUND($C232*tbo_oranKadinGenc,2),0),IF($H232="TBO-ENG",IF($G232="Evet",ROUND($C232*tbo_isverenOran,2),0),0)))))</f>
        <v/>
      </c>
      <c r="L232" s="31">
        <f>IF($A232="","",MAX(0,$J232-$K232))</f>
        <v/>
      </c>
    </row>
    <row r="233">
      <c r="I233" s="31">
        <f>IF($A233="","",IF($J233=0,"YOK",IF(AND($E233="Evet",ROUND($C233*tbo_oranIlave,2)=$J233),"TBO-002",IF(AND($D233="Evet",ROUND($C233*tbo_oranBesPuan,2)=$J233),"TBO-001",IF(AND($F233="Evet",ROUND($C233*tbo_oranKadinGenc,2)=$J233),"TBO-004","TBO-ENG")))))</f>
        <v/>
      </c>
      <c r="J233" s="31">
        <f>IF($A233="","",MAX(IF($D233="Evet",ROUND($C233*tbo_oranBesPuan,2),0),IF($E233="Evet",ROUND($C233*tbo_oranIlave,2),0),IF($F233="Evet",ROUND($C233*tbo_oranKadinGenc,2),0),IF($G233="Evet",ROUND($C233*tbo_isverenOran,2),0)))</f>
        <v/>
      </c>
      <c r="K233" s="31">
        <f>IF($A233="","",IF($H233="TBO-001",IF($D233="Evet",ROUND($C233*tbo_oranBesPuan,2),0),IF($H233="TBO-002",IF($E233="Evet",ROUND($C233*tbo_oranIlave,2),0),IF($H233="TBO-004",IF($F233="Evet",ROUND($C233*tbo_oranKadinGenc,2),0),IF($H233="TBO-ENG",IF($G233="Evet",ROUND($C233*tbo_isverenOran,2),0),0)))))</f>
        <v/>
      </c>
      <c r="L233" s="31">
        <f>IF($A233="","",MAX(0,$J233-$K233))</f>
        <v/>
      </c>
    </row>
    <row r="234">
      <c r="I234" s="31">
        <f>IF($A234="","",IF($J234=0,"YOK",IF(AND($E234="Evet",ROUND($C234*tbo_oranIlave,2)=$J234),"TBO-002",IF(AND($D234="Evet",ROUND($C234*tbo_oranBesPuan,2)=$J234),"TBO-001",IF(AND($F234="Evet",ROUND($C234*tbo_oranKadinGenc,2)=$J234),"TBO-004","TBO-ENG")))))</f>
        <v/>
      </c>
      <c r="J234" s="31">
        <f>IF($A234="","",MAX(IF($D234="Evet",ROUND($C234*tbo_oranBesPuan,2),0),IF($E234="Evet",ROUND($C234*tbo_oranIlave,2),0),IF($F234="Evet",ROUND($C234*tbo_oranKadinGenc,2),0),IF($G234="Evet",ROUND($C234*tbo_isverenOran,2),0)))</f>
        <v/>
      </c>
      <c r="K234" s="31">
        <f>IF($A234="","",IF($H234="TBO-001",IF($D234="Evet",ROUND($C234*tbo_oranBesPuan,2),0),IF($H234="TBO-002",IF($E234="Evet",ROUND($C234*tbo_oranIlave,2),0),IF($H234="TBO-004",IF($F234="Evet",ROUND($C234*tbo_oranKadinGenc,2),0),IF($H234="TBO-ENG",IF($G234="Evet",ROUND($C234*tbo_isverenOran,2),0),0)))))</f>
        <v/>
      </c>
      <c r="L234" s="31">
        <f>IF($A234="","",MAX(0,$J234-$K234))</f>
        <v/>
      </c>
    </row>
    <row r="235">
      <c r="I235" s="31">
        <f>IF($A235="","",IF($J235=0,"YOK",IF(AND($E235="Evet",ROUND($C235*tbo_oranIlave,2)=$J235),"TBO-002",IF(AND($D235="Evet",ROUND($C235*tbo_oranBesPuan,2)=$J235),"TBO-001",IF(AND($F235="Evet",ROUND($C235*tbo_oranKadinGenc,2)=$J235),"TBO-004","TBO-ENG")))))</f>
        <v/>
      </c>
      <c r="J235" s="31">
        <f>IF($A235="","",MAX(IF($D235="Evet",ROUND($C235*tbo_oranBesPuan,2),0),IF($E235="Evet",ROUND($C235*tbo_oranIlave,2),0),IF($F235="Evet",ROUND($C235*tbo_oranKadinGenc,2),0),IF($G235="Evet",ROUND($C235*tbo_isverenOran,2),0)))</f>
        <v/>
      </c>
      <c r="K235" s="31">
        <f>IF($A235="","",IF($H235="TBO-001",IF($D235="Evet",ROUND($C235*tbo_oranBesPuan,2),0),IF($H235="TBO-002",IF($E235="Evet",ROUND($C235*tbo_oranIlave,2),0),IF($H235="TBO-004",IF($F235="Evet",ROUND($C235*tbo_oranKadinGenc,2),0),IF($H235="TBO-ENG",IF($G235="Evet",ROUND($C235*tbo_isverenOran,2),0),0)))))</f>
        <v/>
      </c>
      <c r="L235" s="31">
        <f>IF($A235="","",MAX(0,$J235-$K235))</f>
        <v/>
      </c>
    </row>
    <row r="236">
      <c r="I236" s="31">
        <f>IF($A236="","",IF($J236=0,"YOK",IF(AND($E236="Evet",ROUND($C236*tbo_oranIlave,2)=$J236),"TBO-002",IF(AND($D236="Evet",ROUND($C236*tbo_oranBesPuan,2)=$J236),"TBO-001",IF(AND($F236="Evet",ROUND($C236*tbo_oranKadinGenc,2)=$J236),"TBO-004","TBO-ENG")))))</f>
        <v/>
      </c>
      <c r="J236" s="31">
        <f>IF($A236="","",MAX(IF($D236="Evet",ROUND($C236*tbo_oranBesPuan,2),0),IF($E236="Evet",ROUND($C236*tbo_oranIlave,2),0),IF($F236="Evet",ROUND($C236*tbo_oranKadinGenc,2),0),IF($G236="Evet",ROUND($C236*tbo_isverenOran,2),0)))</f>
        <v/>
      </c>
      <c r="K236" s="31">
        <f>IF($A236="","",IF($H236="TBO-001",IF($D236="Evet",ROUND($C236*tbo_oranBesPuan,2),0),IF($H236="TBO-002",IF($E236="Evet",ROUND($C236*tbo_oranIlave,2),0),IF($H236="TBO-004",IF($F236="Evet",ROUND($C236*tbo_oranKadinGenc,2),0),IF($H236="TBO-ENG",IF($G236="Evet",ROUND($C236*tbo_isverenOran,2),0),0)))))</f>
        <v/>
      </c>
      <c r="L236" s="31">
        <f>IF($A236="","",MAX(0,$J236-$K236))</f>
        <v/>
      </c>
    </row>
    <row r="237">
      <c r="I237" s="31">
        <f>IF($A237="","",IF($J237=0,"YOK",IF(AND($E237="Evet",ROUND($C237*tbo_oranIlave,2)=$J237),"TBO-002",IF(AND($D237="Evet",ROUND($C237*tbo_oranBesPuan,2)=$J237),"TBO-001",IF(AND($F237="Evet",ROUND($C237*tbo_oranKadinGenc,2)=$J237),"TBO-004","TBO-ENG")))))</f>
        <v/>
      </c>
      <c r="J237" s="31">
        <f>IF($A237="","",MAX(IF($D237="Evet",ROUND($C237*tbo_oranBesPuan,2),0),IF($E237="Evet",ROUND($C237*tbo_oranIlave,2),0),IF($F237="Evet",ROUND($C237*tbo_oranKadinGenc,2),0),IF($G237="Evet",ROUND($C237*tbo_isverenOran,2),0)))</f>
        <v/>
      </c>
      <c r="K237" s="31">
        <f>IF($A237="","",IF($H237="TBO-001",IF($D237="Evet",ROUND($C237*tbo_oranBesPuan,2),0),IF($H237="TBO-002",IF($E237="Evet",ROUND($C237*tbo_oranIlave,2),0),IF($H237="TBO-004",IF($F237="Evet",ROUND($C237*tbo_oranKadinGenc,2),0),IF($H237="TBO-ENG",IF($G237="Evet",ROUND($C237*tbo_isverenOran,2),0),0)))))</f>
        <v/>
      </c>
      <c r="L237" s="31">
        <f>IF($A237="","",MAX(0,$J237-$K237))</f>
        <v/>
      </c>
    </row>
    <row r="238">
      <c r="I238" s="31">
        <f>IF($A238="","",IF($J238=0,"YOK",IF(AND($E238="Evet",ROUND($C238*tbo_oranIlave,2)=$J238),"TBO-002",IF(AND($D238="Evet",ROUND($C238*tbo_oranBesPuan,2)=$J238),"TBO-001",IF(AND($F238="Evet",ROUND($C238*tbo_oranKadinGenc,2)=$J238),"TBO-004","TBO-ENG")))))</f>
        <v/>
      </c>
      <c r="J238" s="31">
        <f>IF($A238="","",MAX(IF($D238="Evet",ROUND($C238*tbo_oranBesPuan,2),0),IF($E238="Evet",ROUND($C238*tbo_oranIlave,2),0),IF($F238="Evet",ROUND($C238*tbo_oranKadinGenc,2),0),IF($G238="Evet",ROUND($C238*tbo_isverenOran,2),0)))</f>
        <v/>
      </c>
      <c r="K238" s="31">
        <f>IF($A238="","",IF($H238="TBO-001",IF($D238="Evet",ROUND($C238*tbo_oranBesPuan,2),0),IF($H238="TBO-002",IF($E238="Evet",ROUND($C238*tbo_oranIlave,2),0),IF($H238="TBO-004",IF($F238="Evet",ROUND($C238*tbo_oranKadinGenc,2),0),IF($H238="TBO-ENG",IF($G238="Evet",ROUND($C238*tbo_isverenOran,2),0),0)))))</f>
        <v/>
      </c>
      <c r="L238" s="31">
        <f>IF($A238="","",MAX(0,$J238-$K238))</f>
        <v/>
      </c>
    </row>
    <row r="239">
      <c r="I239" s="31">
        <f>IF($A239="","",IF($J239=0,"YOK",IF(AND($E239="Evet",ROUND($C239*tbo_oranIlave,2)=$J239),"TBO-002",IF(AND($D239="Evet",ROUND($C239*tbo_oranBesPuan,2)=$J239),"TBO-001",IF(AND($F239="Evet",ROUND($C239*tbo_oranKadinGenc,2)=$J239),"TBO-004","TBO-ENG")))))</f>
        <v/>
      </c>
      <c r="J239" s="31">
        <f>IF($A239="","",MAX(IF($D239="Evet",ROUND($C239*tbo_oranBesPuan,2),0),IF($E239="Evet",ROUND($C239*tbo_oranIlave,2),0),IF($F239="Evet",ROUND($C239*tbo_oranKadinGenc,2),0),IF($G239="Evet",ROUND($C239*tbo_isverenOran,2),0)))</f>
        <v/>
      </c>
      <c r="K239" s="31">
        <f>IF($A239="","",IF($H239="TBO-001",IF($D239="Evet",ROUND($C239*tbo_oranBesPuan,2),0),IF($H239="TBO-002",IF($E239="Evet",ROUND($C239*tbo_oranIlave,2),0),IF($H239="TBO-004",IF($F239="Evet",ROUND($C239*tbo_oranKadinGenc,2),0),IF($H239="TBO-ENG",IF($G239="Evet",ROUND($C239*tbo_isverenOran,2),0),0)))))</f>
        <v/>
      </c>
      <c r="L239" s="31">
        <f>IF($A239="","",MAX(0,$J239-$K239))</f>
        <v/>
      </c>
    </row>
    <row r="240">
      <c r="I240" s="31">
        <f>IF($A240="","",IF($J240=0,"YOK",IF(AND($E240="Evet",ROUND($C240*tbo_oranIlave,2)=$J240),"TBO-002",IF(AND($D240="Evet",ROUND($C240*tbo_oranBesPuan,2)=$J240),"TBO-001",IF(AND($F240="Evet",ROUND($C240*tbo_oranKadinGenc,2)=$J240),"TBO-004","TBO-ENG")))))</f>
        <v/>
      </c>
      <c r="J240" s="31">
        <f>IF($A240="","",MAX(IF($D240="Evet",ROUND($C240*tbo_oranBesPuan,2),0),IF($E240="Evet",ROUND($C240*tbo_oranIlave,2),0),IF($F240="Evet",ROUND($C240*tbo_oranKadinGenc,2),0),IF($G240="Evet",ROUND($C240*tbo_isverenOran,2),0)))</f>
        <v/>
      </c>
      <c r="K240" s="31">
        <f>IF($A240="","",IF($H240="TBO-001",IF($D240="Evet",ROUND($C240*tbo_oranBesPuan,2),0),IF($H240="TBO-002",IF($E240="Evet",ROUND($C240*tbo_oranIlave,2),0),IF($H240="TBO-004",IF($F240="Evet",ROUND($C240*tbo_oranKadinGenc,2),0),IF($H240="TBO-ENG",IF($G240="Evet",ROUND($C240*tbo_isverenOran,2),0),0)))))</f>
        <v/>
      </c>
      <c r="L240" s="31">
        <f>IF($A240="","",MAX(0,$J240-$K240))</f>
        <v/>
      </c>
    </row>
    <row r="241">
      <c r="I241" s="31">
        <f>IF($A241="","",IF($J241=0,"YOK",IF(AND($E241="Evet",ROUND($C241*tbo_oranIlave,2)=$J241),"TBO-002",IF(AND($D241="Evet",ROUND($C241*tbo_oranBesPuan,2)=$J241),"TBO-001",IF(AND($F241="Evet",ROUND($C241*tbo_oranKadinGenc,2)=$J241),"TBO-004","TBO-ENG")))))</f>
        <v/>
      </c>
      <c r="J241" s="31">
        <f>IF($A241="","",MAX(IF($D241="Evet",ROUND($C241*tbo_oranBesPuan,2),0),IF($E241="Evet",ROUND($C241*tbo_oranIlave,2),0),IF($F241="Evet",ROUND($C241*tbo_oranKadinGenc,2),0),IF($G241="Evet",ROUND($C241*tbo_isverenOran,2),0)))</f>
        <v/>
      </c>
      <c r="K241" s="31">
        <f>IF($A241="","",IF($H241="TBO-001",IF($D241="Evet",ROUND($C241*tbo_oranBesPuan,2),0),IF($H241="TBO-002",IF($E241="Evet",ROUND($C241*tbo_oranIlave,2),0),IF($H241="TBO-004",IF($F241="Evet",ROUND($C241*tbo_oranKadinGenc,2),0),IF($H241="TBO-ENG",IF($G241="Evet",ROUND($C241*tbo_isverenOran,2),0),0)))))</f>
        <v/>
      </c>
      <c r="L241" s="31">
        <f>IF($A241="","",MAX(0,$J241-$K241))</f>
        <v/>
      </c>
    </row>
    <row r="242">
      <c r="I242" s="31">
        <f>IF($A242="","",IF($J242=0,"YOK",IF(AND($E242="Evet",ROUND($C242*tbo_oranIlave,2)=$J242),"TBO-002",IF(AND($D242="Evet",ROUND($C242*tbo_oranBesPuan,2)=$J242),"TBO-001",IF(AND($F242="Evet",ROUND($C242*tbo_oranKadinGenc,2)=$J242),"TBO-004","TBO-ENG")))))</f>
        <v/>
      </c>
      <c r="J242" s="31">
        <f>IF($A242="","",MAX(IF($D242="Evet",ROUND($C242*tbo_oranBesPuan,2),0),IF($E242="Evet",ROUND($C242*tbo_oranIlave,2),0),IF($F242="Evet",ROUND($C242*tbo_oranKadinGenc,2),0),IF($G242="Evet",ROUND($C242*tbo_isverenOran,2),0)))</f>
        <v/>
      </c>
      <c r="K242" s="31">
        <f>IF($A242="","",IF($H242="TBO-001",IF($D242="Evet",ROUND($C242*tbo_oranBesPuan,2),0),IF($H242="TBO-002",IF($E242="Evet",ROUND($C242*tbo_oranIlave,2),0),IF($H242="TBO-004",IF($F242="Evet",ROUND($C242*tbo_oranKadinGenc,2),0),IF($H242="TBO-ENG",IF($G242="Evet",ROUND($C242*tbo_isverenOran,2),0),0)))))</f>
        <v/>
      </c>
      <c r="L242" s="31">
        <f>IF($A242="","",MAX(0,$J242-$K242))</f>
        <v/>
      </c>
    </row>
    <row r="243">
      <c r="I243" s="31">
        <f>IF($A243="","",IF($J243=0,"YOK",IF(AND($E243="Evet",ROUND($C243*tbo_oranIlave,2)=$J243),"TBO-002",IF(AND($D243="Evet",ROUND($C243*tbo_oranBesPuan,2)=$J243),"TBO-001",IF(AND($F243="Evet",ROUND($C243*tbo_oranKadinGenc,2)=$J243),"TBO-004","TBO-ENG")))))</f>
        <v/>
      </c>
      <c r="J243" s="31">
        <f>IF($A243="","",MAX(IF($D243="Evet",ROUND($C243*tbo_oranBesPuan,2),0),IF($E243="Evet",ROUND($C243*tbo_oranIlave,2),0),IF($F243="Evet",ROUND($C243*tbo_oranKadinGenc,2),0),IF($G243="Evet",ROUND($C243*tbo_isverenOran,2),0)))</f>
        <v/>
      </c>
      <c r="K243" s="31">
        <f>IF($A243="","",IF($H243="TBO-001",IF($D243="Evet",ROUND($C243*tbo_oranBesPuan,2),0),IF($H243="TBO-002",IF($E243="Evet",ROUND($C243*tbo_oranIlave,2),0),IF($H243="TBO-004",IF($F243="Evet",ROUND($C243*tbo_oranKadinGenc,2),0),IF($H243="TBO-ENG",IF($G243="Evet",ROUND($C243*tbo_isverenOran,2),0),0)))))</f>
        <v/>
      </c>
      <c r="L243" s="31">
        <f>IF($A243="","",MAX(0,$J243-$K243))</f>
        <v/>
      </c>
    </row>
    <row r="244">
      <c r="I244" s="31">
        <f>IF($A244="","",IF($J244=0,"YOK",IF(AND($E244="Evet",ROUND($C244*tbo_oranIlave,2)=$J244),"TBO-002",IF(AND($D244="Evet",ROUND($C244*tbo_oranBesPuan,2)=$J244),"TBO-001",IF(AND($F244="Evet",ROUND($C244*tbo_oranKadinGenc,2)=$J244),"TBO-004","TBO-ENG")))))</f>
        <v/>
      </c>
      <c r="J244" s="31">
        <f>IF($A244="","",MAX(IF($D244="Evet",ROUND($C244*tbo_oranBesPuan,2),0),IF($E244="Evet",ROUND($C244*tbo_oranIlave,2),0),IF($F244="Evet",ROUND($C244*tbo_oranKadinGenc,2),0),IF($G244="Evet",ROUND($C244*tbo_isverenOran,2),0)))</f>
        <v/>
      </c>
      <c r="K244" s="31">
        <f>IF($A244="","",IF($H244="TBO-001",IF($D244="Evet",ROUND($C244*tbo_oranBesPuan,2),0),IF($H244="TBO-002",IF($E244="Evet",ROUND($C244*tbo_oranIlave,2),0),IF($H244="TBO-004",IF($F244="Evet",ROUND($C244*tbo_oranKadinGenc,2),0),IF($H244="TBO-ENG",IF($G244="Evet",ROUND($C244*tbo_isverenOran,2),0),0)))))</f>
        <v/>
      </c>
      <c r="L244" s="31">
        <f>IF($A244="","",MAX(0,$J244-$K244))</f>
        <v/>
      </c>
    </row>
    <row r="245">
      <c r="I245" s="31">
        <f>IF($A245="","",IF($J245=0,"YOK",IF(AND($E245="Evet",ROUND($C245*tbo_oranIlave,2)=$J245),"TBO-002",IF(AND($D245="Evet",ROUND($C245*tbo_oranBesPuan,2)=$J245),"TBO-001",IF(AND($F245="Evet",ROUND($C245*tbo_oranKadinGenc,2)=$J245),"TBO-004","TBO-ENG")))))</f>
        <v/>
      </c>
      <c r="J245" s="31">
        <f>IF($A245="","",MAX(IF($D245="Evet",ROUND($C245*tbo_oranBesPuan,2),0),IF($E245="Evet",ROUND($C245*tbo_oranIlave,2),0),IF($F245="Evet",ROUND($C245*tbo_oranKadinGenc,2),0),IF($G245="Evet",ROUND($C245*tbo_isverenOran,2),0)))</f>
        <v/>
      </c>
      <c r="K245" s="31">
        <f>IF($A245="","",IF($H245="TBO-001",IF($D245="Evet",ROUND($C245*tbo_oranBesPuan,2),0),IF($H245="TBO-002",IF($E245="Evet",ROUND($C245*tbo_oranIlave,2),0),IF($H245="TBO-004",IF($F245="Evet",ROUND($C245*tbo_oranKadinGenc,2),0),IF($H245="TBO-ENG",IF($G245="Evet",ROUND($C245*tbo_isverenOran,2),0),0)))))</f>
        <v/>
      </c>
      <c r="L245" s="31">
        <f>IF($A245="","",MAX(0,$J245-$K245))</f>
        <v/>
      </c>
    </row>
    <row r="246">
      <c r="I246" s="31">
        <f>IF($A246="","",IF($J246=0,"YOK",IF(AND($E246="Evet",ROUND($C246*tbo_oranIlave,2)=$J246),"TBO-002",IF(AND($D246="Evet",ROUND($C246*tbo_oranBesPuan,2)=$J246),"TBO-001",IF(AND($F246="Evet",ROUND($C246*tbo_oranKadinGenc,2)=$J246),"TBO-004","TBO-ENG")))))</f>
        <v/>
      </c>
      <c r="J246" s="31">
        <f>IF($A246="","",MAX(IF($D246="Evet",ROUND($C246*tbo_oranBesPuan,2),0),IF($E246="Evet",ROUND($C246*tbo_oranIlave,2),0),IF($F246="Evet",ROUND($C246*tbo_oranKadinGenc,2),0),IF($G246="Evet",ROUND($C246*tbo_isverenOran,2),0)))</f>
        <v/>
      </c>
      <c r="K246" s="31">
        <f>IF($A246="","",IF($H246="TBO-001",IF($D246="Evet",ROUND($C246*tbo_oranBesPuan,2),0),IF($H246="TBO-002",IF($E246="Evet",ROUND($C246*tbo_oranIlave,2),0),IF($H246="TBO-004",IF($F246="Evet",ROUND($C246*tbo_oranKadinGenc,2),0),IF($H246="TBO-ENG",IF($G246="Evet",ROUND($C246*tbo_isverenOran,2),0),0)))))</f>
        <v/>
      </c>
      <c r="L246" s="31">
        <f>IF($A246="","",MAX(0,$J246-$K246))</f>
        <v/>
      </c>
    </row>
    <row r="247">
      <c r="I247" s="31">
        <f>IF($A247="","",IF($J247=0,"YOK",IF(AND($E247="Evet",ROUND($C247*tbo_oranIlave,2)=$J247),"TBO-002",IF(AND($D247="Evet",ROUND($C247*tbo_oranBesPuan,2)=$J247),"TBO-001",IF(AND($F247="Evet",ROUND($C247*tbo_oranKadinGenc,2)=$J247),"TBO-004","TBO-ENG")))))</f>
        <v/>
      </c>
      <c r="J247" s="31">
        <f>IF($A247="","",MAX(IF($D247="Evet",ROUND($C247*tbo_oranBesPuan,2),0),IF($E247="Evet",ROUND($C247*tbo_oranIlave,2),0),IF($F247="Evet",ROUND($C247*tbo_oranKadinGenc,2),0),IF($G247="Evet",ROUND($C247*tbo_isverenOran,2),0)))</f>
        <v/>
      </c>
      <c r="K247" s="31">
        <f>IF($A247="","",IF($H247="TBO-001",IF($D247="Evet",ROUND($C247*tbo_oranBesPuan,2),0),IF($H247="TBO-002",IF($E247="Evet",ROUND($C247*tbo_oranIlave,2),0),IF($H247="TBO-004",IF($F247="Evet",ROUND($C247*tbo_oranKadinGenc,2),0),IF($H247="TBO-ENG",IF($G247="Evet",ROUND($C247*tbo_isverenOran,2),0),0)))))</f>
        <v/>
      </c>
      <c r="L247" s="31">
        <f>IF($A247="","",MAX(0,$J247-$K247))</f>
        <v/>
      </c>
    </row>
    <row r="248">
      <c r="I248" s="31">
        <f>IF($A248="","",IF($J248=0,"YOK",IF(AND($E248="Evet",ROUND($C248*tbo_oranIlave,2)=$J248),"TBO-002",IF(AND($D248="Evet",ROUND($C248*tbo_oranBesPuan,2)=$J248),"TBO-001",IF(AND($F248="Evet",ROUND($C248*tbo_oranKadinGenc,2)=$J248),"TBO-004","TBO-ENG")))))</f>
        <v/>
      </c>
      <c r="J248" s="31">
        <f>IF($A248="","",MAX(IF($D248="Evet",ROUND($C248*tbo_oranBesPuan,2),0),IF($E248="Evet",ROUND($C248*tbo_oranIlave,2),0),IF($F248="Evet",ROUND($C248*tbo_oranKadinGenc,2),0),IF($G248="Evet",ROUND($C248*tbo_isverenOran,2),0)))</f>
        <v/>
      </c>
      <c r="K248" s="31">
        <f>IF($A248="","",IF($H248="TBO-001",IF($D248="Evet",ROUND($C248*tbo_oranBesPuan,2),0),IF($H248="TBO-002",IF($E248="Evet",ROUND($C248*tbo_oranIlave,2),0),IF($H248="TBO-004",IF($F248="Evet",ROUND($C248*tbo_oranKadinGenc,2),0),IF($H248="TBO-ENG",IF($G248="Evet",ROUND($C248*tbo_isverenOran,2),0),0)))))</f>
        <v/>
      </c>
      <c r="L248" s="31">
        <f>IF($A248="","",MAX(0,$J248-$K248))</f>
        <v/>
      </c>
    </row>
    <row r="249">
      <c r="I249" s="31">
        <f>IF($A249="","",IF($J249=0,"YOK",IF(AND($E249="Evet",ROUND($C249*tbo_oranIlave,2)=$J249),"TBO-002",IF(AND($D249="Evet",ROUND($C249*tbo_oranBesPuan,2)=$J249),"TBO-001",IF(AND($F249="Evet",ROUND($C249*tbo_oranKadinGenc,2)=$J249),"TBO-004","TBO-ENG")))))</f>
        <v/>
      </c>
      <c r="J249" s="31">
        <f>IF($A249="","",MAX(IF($D249="Evet",ROUND($C249*tbo_oranBesPuan,2),0),IF($E249="Evet",ROUND($C249*tbo_oranIlave,2),0),IF($F249="Evet",ROUND($C249*tbo_oranKadinGenc,2),0),IF($G249="Evet",ROUND($C249*tbo_isverenOran,2),0)))</f>
        <v/>
      </c>
      <c r="K249" s="31">
        <f>IF($A249="","",IF($H249="TBO-001",IF($D249="Evet",ROUND($C249*tbo_oranBesPuan,2),0),IF($H249="TBO-002",IF($E249="Evet",ROUND($C249*tbo_oranIlave,2),0),IF($H249="TBO-004",IF($F249="Evet",ROUND($C249*tbo_oranKadinGenc,2),0),IF($H249="TBO-ENG",IF($G249="Evet",ROUND($C249*tbo_isverenOran,2),0),0)))))</f>
        <v/>
      </c>
      <c r="L249" s="31">
        <f>IF($A249="","",MAX(0,$J249-$K249))</f>
        <v/>
      </c>
    </row>
    <row r="250">
      <c r="I250" s="31">
        <f>IF($A250="","",IF($J250=0,"YOK",IF(AND($E250="Evet",ROUND($C250*tbo_oranIlave,2)=$J250),"TBO-002",IF(AND($D250="Evet",ROUND($C250*tbo_oranBesPuan,2)=$J250),"TBO-001",IF(AND($F250="Evet",ROUND($C250*tbo_oranKadinGenc,2)=$J250),"TBO-004","TBO-ENG")))))</f>
        <v/>
      </c>
      <c r="J250" s="31">
        <f>IF($A250="","",MAX(IF($D250="Evet",ROUND($C250*tbo_oranBesPuan,2),0),IF($E250="Evet",ROUND($C250*tbo_oranIlave,2),0),IF($F250="Evet",ROUND($C250*tbo_oranKadinGenc,2),0),IF($G250="Evet",ROUND($C250*tbo_isverenOran,2),0)))</f>
        <v/>
      </c>
      <c r="K250" s="31">
        <f>IF($A250="","",IF($H250="TBO-001",IF($D250="Evet",ROUND($C250*tbo_oranBesPuan,2),0),IF($H250="TBO-002",IF($E250="Evet",ROUND($C250*tbo_oranIlave,2),0),IF($H250="TBO-004",IF($F250="Evet",ROUND($C250*tbo_oranKadinGenc,2),0),IF($H250="TBO-ENG",IF($G250="Evet",ROUND($C250*tbo_isverenOran,2),0),0)))))</f>
        <v/>
      </c>
      <c r="L250" s="31">
        <f>IF($A250="","",MAX(0,$J250-$K250))</f>
        <v/>
      </c>
    </row>
    <row r="251">
      <c r="I251" s="31">
        <f>IF($A251="","",IF($J251=0,"YOK",IF(AND($E251="Evet",ROUND($C251*tbo_oranIlave,2)=$J251),"TBO-002",IF(AND($D251="Evet",ROUND($C251*tbo_oranBesPuan,2)=$J251),"TBO-001",IF(AND($F251="Evet",ROUND($C251*tbo_oranKadinGenc,2)=$J251),"TBO-004","TBO-ENG")))))</f>
        <v/>
      </c>
      <c r="J251" s="31">
        <f>IF($A251="","",MAX(IF($D251="Evet",ROUND($C251*tbo_oranBesPuan,2),0),IF($E251="Evet",ROUND($C251*tbo_oranIlave,2),0),IF($F251="Evet",ROUND($C251*tbo_oranKadinGenc,2),0),IF($G251="Evet",ROUND($C251*tbo_isverenOran,2),0)))</f>
        <v/>
      </c>
      <c r="K251" s="31">
        <f>IF($A251="","",IF($H251="TBO-001",IF($D251="Evet",ROUND($C251*tbo_oranBesPuan,2),0),IF($H251="TBO-002",IF($E251="Evet",ROUND($C251*tbo_oranIlave,2),0),IF($H251="TBO-004",IF($F251="Evet",ROUND($C251*tbo_oranKadinGenc,2),0),IF($H251="TBO-ENG",IF($G251="Evet",ROUND($C251*tbo_isverenOran,2),0),0)))))</f>
        <v/>
      </c>
      <c r="L251" s="31">
        <f>IF($A251="","",MAX(0,$J251-$K251))</f>
        <v/>
      </c>
    </row>
    <row r="252">
      <c r="I252" s="31">
        <f>IF($A252="","",IF($J252=0,"YOK",IF(AND($E252="Evet",ROUND($C252*tbo_oranIlave,2)=$J252),"TBO-002",IF(AND($D252="Evet",ROUND($C252*tbo_oranBesPuan,2)=$J252),"TBO-001",IF(AND($F252="Evet",ROUND($C252*tbo_oranKadinGenc,2)=$J252),"TBO-004","TBO-ENG")))))</f>
        <v/>
      </c>
      <c r="J252" s="31">
        <f>IF($A252="","",MAX(IF($D252="Evet",ROUND($C252*tbo_oranBesPuan,2),0),IF($E252="Evet",ROUND($C252*tbo_oranIlave,2),0),IF($F252="Evet",ROUND($C252*tbo_oranKadinGenc,2),0),IF($G252="Evet",ROUND($C252*tbo_isverenOran,2),0)))</f>
        <v/>
      </c>
      <c r="K252" s="31">
        <f>IF($A252="","",IF($H252="TBO-001",IF($D252="Evet",ROUND($C252*tbo_oranBesPuan,2),0),IF($H252="TBO-002",IF($E252="Evet",ROUND($C252*tbo_oranIlave,2),0),IF($H252="TBO-004",IF($F252="Evet",ROUND($C252*tbo_oranKadinGenc,2),0),IF($H252="TBO-ENG",IF($G252="Evet",ROUND($C252*tbo_isverenOran,2),0),0)))))</f>
        <v/>
      </c>
      <c r="L252" s="31">
        <f>IF($A252="","",MAX(0,$J252-$K252))</f>
        <v/>
      </c>
    </row>
    <row r="253">
      <c r="I253" s="31">
        <f>IF($A253="","",IF($J253=0,"YOK",IF(AND($E253="Evet",ROUND($C253*tbo_oranIlave,2)=$J253),"TBO-002",IF(AND($D253="Evet",ROUND($C253*tbo_oranBesPuan,2)=$J253),"TBO-001",IF(AND($F253="Evet",ROUND($C253*tbo_oranKadinGenc,2)=$J253),"TBO-004","TBO-ENG")))))</f>
        <v/>
      </c>
      <c r="J253" s="31">
        <f>IF($A253="","",MAX(IF($D253="Evet",ROUND($C253*tbo_oranBesPuan,2),0),IF($E253="Evet",ROUND($C253*tbo_oranIlave,2),0),IF($F253="Evet",ROUND($C253*tbo_oranKadinGenc,2),0),IF($G253="Evet",ROUND($C253*tbo_isverenOran,2),0)))</f>
        <v/>
      </c>
      <c r="K253" s="31">
        <f>IF($A253="","",IF($H253="TBO-001",IF($D253="Evet",ROUND($C253*tbo_oranBesPuan,2),0),IF($H253="TBO-002",IF($E253="Evet",ROUND($C253*tbo_oranIlave,2),0),IF($H253="TBO-004",IF($F253="Evet",ROUND($C253*tbo_oranKadinGenc,2),0),IF($H253="TBO-ENG",IF($G253="Evet",ROUND($C253*tbo_isverenOran,2),0),0)))))</f>
        <v/>
      </c>
      <c r="L253" s="31">
        <f>IF($A253="","",MAX(0,$J253-$K253))</f>
        <v/>
      </c>
    </row>
    <row r="254">
      <c r="I254" s="31">
        <f>IF($A254="","",IF($J254=0,"YOK",IF(AND($E254="Evet",ROUND($C254*tbo_oranIlave,2)=$J254),"TBO-002",IF(AND($D254="Evet",ROUND($C254*tbo_oranBesPuan,2)=$J254),"TBO-001",IF(AND($F254="Evet",ROUND($C254*tbo_oranKadinGenc,2)=$J254),"TBO-004","TBO-ENG")))))</f>
        <v/>
      </c>
      <c r="J254" s="31">
        <f>IF($A254="","",MAX(IF($D254="Evet",ROUND($C254*tbo_oranBesPuan,2),0),IF($E254="Evet",ROUND($C254*tbo_oranIlave,2),0),IF($F254="Evet",ROUND($C254*tbo_oranKadinGenc,2),0),IF($G254="Evet",ROUND($C254*tbo_isverenOran,2),0)))</f>
        <v/>
      </c>
      <c r="K254" s="31">
        <f>IF($A254="","",IF($H254="TBO-001",IF($D254="Evet",ROUND($C254*tbo_oranBesPuan,2),0),IF($H254="TBO-002",IF($E254="Evet",ROUND($C254*tbo_oranIlave,2),0),IF($H254="TBO-004",IF($F254="Evet",ROUND($C254*tbo_oranKadinGenc,2),0),IF($H254="TBO-ENG",IF($G254="Evet",ROUND($C254*tbo_isverenOran,2),0),0)))))</f>
        <v/>
      </c>
      <c r="L254" s="31">
        <f>IF($A254="","",MAX(0,$J254-$K254))</f>
        <v/>
      </c>
    </row>
    <row r="255">
      <c r="I255" s="31">
        <f>IF($A255="","",IF($J255=0,"YOK",IF(AND($E255="Evet",ROUND($C255*tbo_oranIlave,2)=$J255),"TBO-002",IF(AND($D255="Evet",ROUND($C255*tbo_oranBesPuan,2)=$J255),"TBO-001",IF(AND($F255="Evet",ROUND($C255*tbo_oranKadinGenc,2)=$J255),"TBO-004","TBO-ENG")))))</f>
        <v/>
      </c>
      <c r="J255" s="31">
        <f>IF($A255="","",MAX(IF($D255="Evet",ROUND($C255*tbo_oranBesPuan,2),0),IF($E255="Evet",ROUND($C255*tbo_oranIlave,2),0),IF($F255="Evet",ROUND($C255*tbo_oranKadinGenc,2),0),IF($G255="Evet",ROUND($C255*tbo_isverenOran,2),0)))</f>
        <v/>
      </c>
      <c r="K255" s="31">
        <f>IF($A255="","",IF($H255="TBO-001",IF($D255="Evet",ROUND($C255*tbo_oranBesPuan,2),0),IF($H255="TBO-002",IF($E255="Evet",ROUND($C255*tbo_oranIlave,2),0),IF($H255="TBO-004",IF($F255="Evet",ROUND($C255*tbo_oranKadinGenc,2),0),IF($H255="TBO-ENG",IF($G255="Evet",ROUND($C255*tbo_isverenOran,2),0),0)))))</f>
        <v/>
      </c>
      <c r="L255" s="31">
        <f>IF($A255="","",MAX(0,$J255-$K255))</f>
        <v/>
      </c>
    </row>
    <row r="256">
      <c r="I256" s="31">
        <f>IF($A256="","",IF($J256=0,"YOK",IF(AND($E256="Evet",ROUND($C256*tbo_oranIlave,2)=$J256),"TBO-002",IF(AND($D256="Evet",ROUND($C256*tbo_oranBesPuan,2)=$J256),"TBO-001",IF(AND($F256="Evet",ROUND($C256*tbo_oranKadinGenc,2)=$J256),"TBO-004","TBO-ENG")))))</f>
        <v/>
      </c>
      <c r="J256" s="31">
        <f>IF($A256="","",MAX(IF($D256="Evet",ROUND($C256*tbo_oranBesPuan,2),0),IF($E256="Evet",ROUND($C256*tbo_oranIlave,2),0),IF($F256="Evet",ROUND($C256*tbo_oranKadinGenc,2),0),IF($G256="Evet",ROUND($C256*tbo_isverenOran,2),0)))</f>
        <v/>
      </c>
      <c r="K256" s="31">
        <f>IF($A256="","",IF($H256="TBO-001",IF($D256="Evet",ROUND($C256*tbo_oranBesPuan,2),0),IF($H256="TBO-002",IF($E256="Evet",ROUND($C256*tbo_oranIlave,2),0),IF($H256="TBO-004",IF($F256="Evet",ROUND($C256*tbo_oranKadinGenc,2),0),IF($H256="TBO-ENG",IF($G256="Evet",ROUND($C256*tbo_isverenOran,2),0),0)))))</f>
        <v/>
      </c>
      <c r="L256" s="31">
        <f>IF($A256="","",MAX(0,$J256-$K256))</f>
        <v/>
      </c>
    </row>
    <row r="257">
      <c r="I257" s="31">
        <f>IF($A257="","",IF($J257=0,"YOK",IF(AND($E257="Evet",ROUND($C257*tbo_oranIlave,2)=$J257),"TBO-002",IF(AND($D257="Evet",ROUND($C257*tbo_oranBesPuan,2)=$J257),"TBO-001",IF(AND($F257="Evet",ROUND($C257*tbo_oranKadinGenc,2)=$J257),"TBO-004","TBO-ENG")))))</f>
        <v/>
      </c>
      <c r="J257" s="31">
        <f>IF($A257="","",MAX(IF($D257="Evet",ROUND($C257*tbo_oranBesPuan,2),0),IF($E257="Evet",ROUND($C257*tbo_oranIlave,2),0),IF($F257="Evet",ROUND($C257*tbo_oranKadinGenc,2),0),IF($G257="Evet",ROUND($C257*tbo_isverenOran,2),0)))</f>
        <v/>
      </c>
      <c r="K257" s="31">
        <f>IF($A257="","",IF($H257="TBO-001",IF($D257="Evet",ROUND($C257*tbo_oranBesPuan,2),0),IF($H257="TBO-002",IF($E257="Evet",ROUND($C257*tbo_oranIlave,2),0),IF($H257="TBO-004",IF($F257="Evet",ROUND($C257*tbo_oranKadinGenc,2),0),IF($H257="TBO-ENG",IF($G257="Evet",ROUND($C257*tbo_isverenOran,2),0),0)))))</f>
        <v/>
      </c>
      <c r="L257" s="31">
        <f>IF($A257="","",MAX(0,$J257-$K257))</f>
        <v/>
      </c>
    </row>
    <row r="258">
      <c r="I258" s="31">
        <f>IF($A258="","",IF($J258=0,"YOK",IF(AND($E258="Evet",ROUND($C258*tbo_oranIlave,2)=$J258),"TBO-002",IF(AND($D258="Evet",ROUND($C258*tbo_oranBesPuan,2)=$J258),"TBO-001",IF(AND($F258="Evet",ROUND($C258*tbo_oranKadinGenc,2)=$J258),"TBO-004","TBO-ENG")))))</f>
        <v/>
      </c>
      <c r="J258" s="31">
        <f>IF($A258="","",MAX(IF($D258="Evet",ROUND($C258*tbo_oranBesPuan,2),0),IF($E258="Evet",ROUND($C258*tbo_oranIlave,2),0),IF($F258="Evet",ROUND($C258*tbo_oranKadinGenc,2),0),IF($G258="Evet",ROUND($C258*tbo_isverenOran,2),0)))</f>
        <v/>
      </c>
      <c r="K258" s="31">
        <f>IF($A258="","",IF($H258="TBO-001",IF($D258="Evet",ROUND($C258*tbo_oranBesPuan,2),0),IF($H258="TBO-002",IF($E258="Evet",ROUND($C258*tbo_oranIlave,2),0),IF($H258="TBO-004",IF($F258="Evet",ROUND($C258*tbo_oranKadinGenc,2),0),IF($H258="TBO-ENG",IF($G258="Evet",ROUND($C258*tbo_isverenOran,2),0),0)))))</f>
        <v/>
      </c>
      <c r="L258" s="31">
        <f>IF($A258="","",MAX(0,$J258-$K258))</f>
        <v/>
      </c>
    </row>
    <row r="259">
      <c r="I259" s="31">
        <f>IF($A259="","",IF($J259=0,"YOK",IF(AND($E259="Evet",ROUND($C259*tbo_oranIlave,2)=$J259),"TBO-002",IF(AND($D259="Evet",ROUND($C259*tbo_oranBesPuan,2)=$J259),"TBO-001",IF(AND($F259="Evet",ROUND($C259*tbo_oranKadinGenc,2)=$J259),"TBO-004","TBO-ENG")))))</f>
        <v/>
      </c>
      <c r="J259" s="31">
        <f>IF($A259="","",MAX(IF($D259="Evet",ROUND($C259*tbo_oranBesPuan,2),0),IF($E259="Evet",ROUND($C259*tbo_oranIlave,2),0),IF($F259="Evet",ROUND($C259*tbo_oranKadinGenc,2),0),IF($G259="Evet",ROUND($C259*tbo_isverenOran,2),0)))</f>
        <v/>
      </c>
      <c r="K259" s="31">
        <f>IF($A259="","",IF($H259="TBO-001",IF($D259="Evet",ROUND($C259*tbo_oranBesPuan,2),0),IF($H259="TBO-002",IF($E259="Evet",ROUND($C259*tbo_oranIlave,2),0),IF($H259="TBO-004",IF($F259="Evet",ROUND($C259*tbo_oranKadinGenc,2),0),IF($H259="TBO-ENG",IF($G259="Evet",ROUND($C259*tbo_isverenOran,2),0),0)))))</f>
        <v/>
      </c>
      <c r="L259" s="31">
        <f>IF($A259="","",MAX(0,$J259-$K259))</f>
        <v/>
      </c>
    </row>
    <row r="260">
      <c r="I260" s="31">
        <f>IF($A260="","",IF($J260=0,"YOK",IF(AND($E260="Evet",ROUND($C260*tbo_oranIlave,2)=$J260),"TBO-002",IF(AND($D260="Evet",ROUND($C260*tbo_oranBesPuan,2)=$J260),"TBO-001",IF(AND($F260="Evet",ROUND($C260*tbo_oranKadinGenc,2)=$J260),"TBO-004","TBO-ENG")))))</f>
        <v/>
      </c>
      <c r="J260" s="31">
        <f>IF($A260="","",MAX(IF($D260="Evet",ROUND($C260*tbo_oranBesPuan,2),0),IF($E260="Evet",ROUND($C260*tbo_oranIlave,2),0),IF($F260="Evet",ROUND($C260*tbo_oranKadinGenc,2),0),IF($G260="Evet",ROUND($C260*tbo_isverenOran,2),0)))</f>
        <v/>
      </c>
      <c r="K260" s="31">
        <f>IF($A260="","",IF($H260="TBO-001",IF($D260="Evet",ROUND($C260*tbo_oranBesPuan,2),0),IF($H260="TBO-002",IF($E260="Evet",ROUND($C260*tbo_oranIlave,2),0),IF($H260="TBO-004",IF($F260="Evet",ROUND($C260*tbo_oranKadinGenc,2),0),IF($H260="TBO-ENG",IF($G260="Evet",ROUND($C260*tbo_isverenOran,2),0),0)))))</f>
        <v/>
      </c>
      <c r="L260" s="31">
        <f>IF($A260="","",MAX(0,$J260-$K260))</f>
        <v/>
      </c>
    </row>
    <row r="261">
      <c r="I261" s="31">
        <f>IF($A261="","",IF($J261=0,"YOK",IF(AND($E261="Evet",ROUND($C261*tbo_oranIlave,2)=$J261),"TBO-002",IF(AND($D261="Evet",ROUND($C261*tbo_oranBesPuan,2)=$J261),"TBO-001",IF(AND($F261="Evet",ROUND($C261*tbo_oranKadinGenc,2)=$J261),"TBO-004","TBO-ENG")))))</f>
        <v/>
      </c>
      <c r="J261" s="31">
        <f>IF($A261="","",MAX(IF($D261="Evet",ROUND($C261*tbo_oranBesPuan,2),0),IF($E261="Evet",ROUND($C261*tbo_oranIlave,2),0),IF($F261="Evet",ROUND($C261*tbo_oranKadinGenc,2),0),IF($G261="Evet",ROUND($C261*tbo_isverenOran,2),0)))</f>
        <v/>
      </c>
      <c r="K261" s="31">
        <f>IF($A261="","",IF($H261="TBO-001",IF($D261="Evet",ROUND($C261*tbo_oranBesPuan,2),0),IF($H261="TBO-002",IF($E261="Evet",ROUND($C261*tbo_oranIlave,2),0),IF($H261="TBO-004",IF($F261="Evet",ROUND($C261*tbo_oranKadinGenc,2),0),IF($H261="TBO-ENG",IF($G261="Evet",ROUND($C261*tbo_isverenOran,2),0),0)))))</f>
        <v/>
      </c>
      <c r="L261" s="31">
        <f>IF($A261="","",MAX(0,$J261-$K261))</f>
        <v/>
      </c>
    </row>
    <row r="262">
      <c r="I262" s="31">
        <f>IF($A262="","",IF($J262=0,"YOK",IF(AND($E262="Evet",ROUND($C262*tbo_oranIlave,2)=$J262),"TBO-002",IF(AND($D262="Evet",ROUND($C262*tbo_oranBesPuan,2)=$J262),"TBO-001",IF(AND($F262="Evet",ROUND($C262*tbo_oranKadinGenc,2)=$J262),"TBO-004","TBO-ENG")))))</f>
        <v/>
      </c>
      <c r="J262" s="31">
        <f>IF($A262="","",MAX(IF($D262="Evet",ROUND($C262*tbo_oranBesPuan,2),0),IF($E262="Evet",ROUND($C262*tbo_oranIlave,2),0),IF($F262="Evet",ROUND($C262*tbo_oranKadinGenc,2),0),IF($G262="Evet",ROUND($C262*tbo_isverenOran,2),0)))</f>
        <v/>
      </c>
      <c r="K262" s="31">
        <f>IF($A262="","",IF($H262="TBO-001",IF($D262="Evet",ROUND($C262*tbo_oranBesPuan,2),0),IF($H262="TBO-002",IF($E262="Evet",ROUND($C262*tbo_oranIlave,2),0),IF($H262="TBO-004",IF($F262="Evet",ROUND($C262*tbo_oranKadinGenc,2),0),IF($H262="TBO-ENG",IF($G262="Evet",ROUND($C262*tbo_isverenOran,2),0),0)))))</f>
        <v/>
      </c>
      <c r="L262" s="31">
        <f>IF($A262="","",MAX(0,$J262-$K262))</f>
        <v/>
      </c>
    </row>
    <row r="263">
      <c r="I263" s="31">
        <f>IF($A263="","",IF($J263=0,"YOK",IF(AND($E263="Evet",ROUND($C263*tbo_oranIlave,2)=$J263),"TBO-002",IF(AND($D263="Evet",ROUND($C263*tbo_oranBesPuan,2)=$J263),"TBO-001",IF(AND($F263="Evet",ROUND($C263*tbo_oranKadinGenc,2)=$J263),"TBO-004","TBO-ENG")))))</f>
        <v/>
      </c>
      <c r="J263" s="31">
        <f>IF($A263="","",MAX(IF($D263="Evet",ROUND($C263*tbo_oranBesPuan,2),0),IF($E263="Evet",ROUND($C263*tbo_oranIlave,2),0),IF($F263="Evet",ROUND($C263*tbo_oranKadinGenc,2),0),IF($G263="Evet",ROUND($C263*tbo_isverenOran,2),0)))</f>
        <v/>
      </c>
      <c r="K263" s="31">
        <f>IF($A263="","",IF($H263="TBO-001",IF($D263="Evet",ROUND($C263*tbo_oranBesPuan,2),0),IF($H263="TBO-002",IF($E263="Evet",ROUND($C263*tbo_oranIlave,2),0),IF($H263="TBO-004",IF($F263="Evet",ROUND($C263*tbo_oranKadinGenc,2),0),IF($H263="TBO-ENG",IF($G263="Evet",ROUND($C263*tbo_isverenOran,2),0),0)))))</f>
        <v/>
      </c>
      <c r="L263" s="31">
        <f>IF($A263="","",MAX(0,$J263-$K263))</f>
        <v/>
      </c>
    </row>
    <row r="264">
      <c r="I264" s="31">
        <f>IF($A264="","",IF($J264=0,"YOK",IF(AND($E264="Evet",ROUND($C264*tbo_oranIlave,2)=$J264),"TBO-002",IF(AND($D264="Evet",ROUND($C264*tbo_oranBesPuan,2)=$J264),"TBO-001",IF(AND($F264="Evet",ROUND($C264*tbo_oranKadinGenc,2)=$J264),"TBO-004","TBO-ENG")))))</f>
        <v/>
      </c>
      <c r="J264" s="31">
        <f>IF($A264="","",MAX(IF($D264="Evet",ROUND($C264*tbo_oranBesPuan,2),0),IF($E264="Evet",ROUND($C264*tbo_oranIlave,2),0),IF($F264="Evet",ROUND($C264*tbo_oranKadinGenc,2),0),IF($G264="Evet",ROUND($C264*tbo_isverenOran,2),0)))</f>
        <v/>
      </c>
      <c r="K264" s="31">
        <f>IF($A264="","",IF($H264="TBO-001",IF($D264="Evet",ROUND($C264*tbo_oranBesPuan,2),0),IF($H264="TBO-002",IF($E264="Evet",ROUND($C264*tbo_oranIlave,2),0),IF($H264="TBO-004",IF($F264="Evet",ROUND($C264*tbo_oranKadinGenc,2),0),IF($H264="TBO-ENG",IF($G264="Evet",ROUND($C264*tbo_isverenOran,2),0),0)))))</f>
        <v/>
      </c>
      <c r="L264" s="31">
        <f>IF($A264="","",MAX(0,$J264-$K264))</f>
        <v/>
      </c>
    </row>
    <row r="265">
      <c r="I265" s="31">
        <f>IF($A265="","",IF($J265=0,"YOK",IF(AND($E265="Evet",ROUND($C265*tbo_oranIlave,2)=$J265),"TBO-002",IF(AND($D265="Evet",ROUND($C265*tbo_oranBesPuan,2)=$J265),"TBO-001",IF(AND($F265="Evet",ROUND($C265*tbo_oranKadinGenc,2)=$J265),"TBO-004","TBO-ENG")))))</f>
        <v/>
      </c>
      <c r="J265" s="31">
        <f>IF($A265="","",MAX(IF($D265="Evet",ROUND($C265*tbo_oranBesPuan,2),0),IF($E265="Evet",ROUND($C265*tbo_oranIlave,2),0),IF($F265="Evet",ROUND($C265*tbo_oranKadinGenc,2),0),IF($G265="Evet",ROUND($C265*tbo_isverenOran,2),0)))</f>
        <v/>
      </c>
      <c r="K265" s="31">
        <f>IF($A265="","",IF($H265="TBO-001",IF($D265="Evet",ROUND($C265*tbo_oranBesPuan,2),0),IF($H265="TBO-002",IF($E265="Evet",ROUND($C265*tbo_oranIlave,2),0),IF($H265="TBO-004",IF($F265="Evet",ROUND($C265*tbo_oranKadinGenc,2),0),IF($H265="TBO-ENG",IF($G265="Evet",ROUND($C265*tbo_isverenOran,2),0),0)))))</f>
        <v/>
      </c>
      <c r="L265" s="31">
        <f>IF($A265="","",MAX(0,$J265-$K265))</f>
        <v/>
      </c>
    </row>
    <row r="266">
      <c r="I266" s="31">
        <f>IF($A266="","",IF($J266=0,"YOK",IF(AND($E266="Evet",ROUND($C266*tbo_oranIlave,2)=$J266),"TBO-002",IF(AND($D266="Evet",ROUND($C266*tbo_oranBesPuan,2)=$J266),"TBO-001",IF(AND($F266="Evet",ROUND($C266*tbo_oranKadinGenc,2)=$J266),"TBO-004","TBO-ENG")))))</f>
        <v/>
      </c>
      <c r="J266" s="31">
        <f>IF($A266="","",MAX(IF($D266="Evet",ROUND($C266*tbo_oranBesPuan,2),0),IF($E266="Evet",ROUND($C266*tbo_oranIlave,2),0),IF($F266="Evet",ROUND($C266*tbo_oranKadinGenc,2),0),IF($G266="Evet",ROUND($C266*tbo_isverenOran,2),0)))</f>
        <v/>
      </c>
      <c r="K266" s="31">
        <f>IF($A266="","",IF($H266="TBO-001",IF($D266="Evet",ROUND($C266*tbo_oranBesPuan,2),0),IF($H266="TBO-002",IF($E266="Evet",ROUND($C266*tbo_oranIlave,2),0),IF($H266="TBO-004",IF($F266="Evet",ROUND($C266*tbo_oranKadinGenc,2),0),IF($H266="TBO-ENG",IF($G266="Evet",ROUND($C266*tbo_isverenOran,2),0),0)))))</f>
        <v/>
      </c>
      <c r="L266" s="31">
        <f>IF($A266="","",MAX(0,$J266-$K266))</f>
        <v/>
      </c>
    </row>
    <row r="267">
      <c r="I267" s="31">
        <f>IF($A267="","",IF($J267=0,"YOK",IF(AND($E267="Evet",ROUND($C267*tbo_oranIlave,2)=$J267),"TBO-002",IF(AND($D267="Evet",ROUND($C267*tbo_oranBesPuan,2)=$J267),"TBO-001",IF(AND($F267="Evet",ROUND($C267*tbo_oranKadinGenc,2)=$J267),"TBO-004","TBO-ENG")))))</f>
        <v/>
      </c>
      <c r="J267" s="31">
        <f>IF($A267="","",MAX(IF($D267="Evet",ROUND($C267*tbo_oranBesPuan,2),0),IF($E267="Evet",ROUND($C267*tbo_oranIlave,2),0),IF($F267="Evet",ROUND($C267*tbo_oranKadinGenc,2),0),IF($G267="Evet",ROUND($C267*tbo_isverenOran,2),0)))</f>
        <v/>
      </c>
      <c r="K267" s="31">
        <f>IF($A267="","",IF($H267="TBO-001",IF($D267="Evet",ROUND($C267*tbo_oranBesPuan,2),0),IF($H267="TBO-002",IF($E267="Evet",ROUND($C267*tbo_oranIlave,2),0),IF($H267="TBO-004",IF($F267="Evet",ROUND($C267*tbo_oranKadinGenc,2),0),IF($H267="TBO-ENG",IF($G267="Evet",ROUND($C267*tbo_isverenOran,2),0),0)))))</f>
        <v/>
      </c>
      <c r="L267" s="31">
        <f>IF($A267="","",MAX(0,$J267-$K267))</f>
        <v/>
      </c>
    </row>
    <row r="268">
      <c r="I268" s="31">
        <f>IF($A268="","",IF($J268=0,"YOK",IF(AND($E268="Evet",ROUND($C268*tbo_oranIlave,2)=$J268),"TBO-002",IF(AND($D268="Evet",ROUND($C268*tbo_oranBesPuan,2)=$J268),"TBO-001",IF(AND($F268="Evet",ROUND($C268*tbo_oranKadinGenc,2)=$J268),"TBO-004","TBO-ENG")))))</f>
        <v/>
      </c>
      <c r="J268" s="31">
        <f>IF($A268="","",MAX(IF($D268="Evet",ROUND($C268*tbo_oranBesPuan,2),0),IF($E268="Evet",ROUND($C268*tbo_oranIlave,2),0),IF($F268="Evet",ROUND($C268*tbo_oranKadinGenc,2),0),IF($G268="Evet",ROUND($C268*tbo_isverenOran,2),0)))</f>
        <v/>
      </c>
      <c r="K268" s="31">
        <f>IF($A268="","",IF($H268="TBO-001",IF($D268="Evet",ROUND($C268*tbo_oranBesPuan,2),0),IF($H268="TBO-002",IF($E268="Evet",ROUND($C268*tbo_oranIlave,2),0),IF($H268="TBO-004",IF($F268="Evet",ROUND($C268*tbo_oranKadinGenc,2),0),IF($H268="TBO-ENG",IF($G268="Evet",ROUND($C268*tbo_isverenOran,2),0),0)))))</f>
        <v/>
      </c>
      <c r="L268" s="31">
        <f>IF($A268="","",MAX(0,$J268-$K268))</f>
        <v/>
      </c>
    </row>
    <row r="269">
      <c r="I269" s="31">
        <f>IF($A269="","",IF($J269=0,"YOK",IF(AND($E269="Evet",ROUND($C269*tbo_oranIlave,2)=$J269),"TBO-002",IF(AND($D269="Evet",ROUND($C269*tbo_oranBesPuan,2)=$J269),"TBO-001",IF(AND($F269="Evet",ROUND($C269*tbo_oranKadinGenc,2)=$J269),"TBO-004","TBO-ENG")))))</f>
        <v/>
      </c>
      <c r="J269" s="31">
        <f>IF($A269="","",MAX(IF($D269="Evet",ROUND($C269*tbo_oranBesPuan,2),0),IF($E269="Evet",ROUND($C269*tbo_oranIlave,2),0),IF($F269="Evet",ROUND($C269*tbo_oranKadinGenc,2),0),IF($G269="Evet",ROUND($C269*tbo_isverenOran,2),0)))</f>
        <v/>
      </c>
      <c r="K269" s="31">
        <f>IF($A269="","",IF($H269="TBO-001",IF($D269="Evet",ROUND($C269*tbo_oranBesPuan,2),0),IF($H269="TBO-002",IF($E269="Evet",ROUND($C269*tbo_oranIlave,2),0),IF($H269="TBO-004",IF($F269="Evet",ROUND($C269*tbo_oranKadinGenc,2),0),IF($H269="TBO-ENG",IF($G269="Evet",ROUND($C269*tbo_isverenOran,2),0),0)))))</f>
        <v/>
      </c>
      <c r="L269" s="31">
        <f>IF($A269="","",MAX(0,$J269-$K269))</f>
        <v/>
      </c>
    </row>
    <row r="270">
      <c r="I270" s="31">
        <f>IF($A270="","",IF($J270=0,"YOK",IF(AND($E270="Evet",ROUND($C270*tbo_oranIlave,2)=$J270),"TBO-002",IF(AND($D270="Evet",ROUND($C270*tbo_oranBesPuan,2)=$J270),"TBO-001",IF(AND($F270="Evet",ROUND($C270*tbo_oranKadinGenc,2)=$J270),"TBO-004","TBO-ENG")))))</f>
        <v/>
      </c>
      <c r="J270" s="31">
        <f>IF($A270="","",MAX(IF($D270="Evet",ROUND($C270*tbo_oranBesPuan,2),0),IF($E270="Evet",ROUND($C270*tbo_oranIlave,2),0),IF($F270="Evet",ROUND($C270*tbo_oranKadinGenc,2),0),IF($G270="Evet",ROUND($C270*tbo_isverenOran,2),0)))</f>
        <v/>
      </c>
      <c r="K270" s="31">
        <f>IF($A270="","",IF($H270="TBO-001",IF($D270="Evet",ROUND($C270*tbo_oranBesPuan,2),0),IF($H270="TBO-002",IF($E270="Evet",ROUND($C270*tbo_oranIlave,2),0),IF($H270="TBO-004",IF($F270="Evet",ROUND($C270*tbo_oranKadinGenc,2),0),IF($H270="TBO-ENG",IF($G270="Evet",ROUND($C270*tbo_isverenOran,2),0),0)))))</f>
        <v/>
      </c>
      <c r="L270" s="31">
        <f>IF($A270="","",MAX(0,$J270-$K270))</f>
        <v/>
      </c>
    </row>
    <row r="271">
      <c r="I271" s="31">
        <f>IF($A271="","",IF($J271=0,"YOK",IF(AND($E271="Evet",ROUND($C271*tbo_oranIlave,2)=$J271),"TBO-002",IF(AND($D271="Evet",ROUND($C271*tbo_oranBesPuan,2)=$J271),"TBO-001",IF(AND($F271="Evet",ROUND($C271*tbo_oranKadinGenc,2)=$J271),"TBO-004","TBO-ENG")))))</f>
        <v/>
      </c>
      <c r="J271" s="31">
        <f>IF($A271="","",MAX(IF($D271="Evet",ROUND($C271*tbo_oranBesPuan,2),0),IF($E271="Evet",ROUND($C271*tbo_oranIlave,2),0),IF($F271="Evet",ROUND($C271*tbo_oranKadinGenc,2),0),IF($G271="Evet",ROUND($C271*tbo_isverenOran,2),0)))</f>
        <v/>
      </c>
      <c r="K271" s="31">
        <f>IF($A271="","",IF($H271="TBO-001",IF($D271="Evet",ROUND($C271*tbo_oranBesPuan,2),0),IF($H271="TBO-002",IF($E271="Evet",ROUND($C271*tbo_oranIlave,2),0),IF($H271="TBO-004",IF($F271="Evet",ROUND($C271*tbo_oranKadinGenc,2),0),IF($H271="TBO-ENG",IF($G271="Evet",ROUND($C271*tbo_isverenOran,2),0),0)))))</f>
        <v/>
      </c>
      <c r="L271" s="31">
        <f>IF($A271="","",MAX(0,$J271-$K271))</f>
        <v/>
      </c>
    </row>
    <row r="272">
      <c r="I272" s="31">
        <f>IF($A272="","",IF($J272=0,"YOK",IF(AND($E272="Evet",ROUND($C272*tbo_oranIlave,2)=$J272),"TBO-002",IF(AND($D272="Evet",ROUND($C272*tbo_oranBesPuan,2)=$J272),"TBO-001",IF(AND($F272="Evet",ROUND($C272*tbo_oranKadinGenc,2)=$J272),"TBO-004","TBO-ENG")))))</f>
        <v/>
      </c>
      <c r="J272" s="31">
        <f>IF($A272="","",MAX(IF($D272="Evet",ROUND($C272*tbo_oranBesPuan,2),0),IF($E272="Evet",ROUND($C272*tbo_oranIlave,2),0),IF($F272="Evet",ROUND($C272*tbo_oranKadinGenc,2),0),IF($G272="Evet",ROUND($C272*tbo_isverenOran,2),0)))</f>
        <v/>
      </c>
      <c r="K272" s="31">
        <f>IF($A272="","",IF($H272="TBO-001",IF($D272="Evet",ROUND($C272*tbo_oranBesPuan,2),0),IF($H272="TBO-002",IF($E272="Evet",ROUND($C272*tbo_oranIlave,2),0),IF($H272="TBO-004",IF($F272="Evet",ROUND($C272*tbo_oranKadinGenc,2),0),IF($H272="TBO-ENG",IF($G272="Evet",ROUND($C272*tbo_isverenOran,2),0),0)))))</f>
        <v/>
      </c>
      <c r="L272" s="31">
        <f>IF($A272="","",MAX(0,$J272-$K272))</f>
        <v/>
      </c>
    </row>
    <row r="273">
      <c r="I273" s="31">
        <f>IF($A273="","",IF($J273=0,"YOK",IF(AND($E273="Evet",ROUND($C273*tbo_oranIlave,2)=$J273),"TBO-002",IF(AND($D273="Evet",ROUND($C273*tbo_oranBesPuan,2)=$J273),"TBO-001",IF(AND($F273="Evet",ROUND($C273*tbo_oranKadinGenc,2)=$J273),"TBO-004","TBO-ENG")))))</f>
        <v/>
      </c>
      <c r="J273" s="31">
        <f>IF($A273="","",MAX(IF($D273="Evet",ROUND($C273*tbo_oranBesPuan,2),0),IF($E273="Evet",ROUND($C273*tbo_oranIlave,2),0),IF($F273="Evet",ROUND($C273*tbo_oranKadinGenc,2),0),IF($G273="Evet",ROUND($C273*tbo_isverenOran,2),0)))</f>
        <v/>
      </c>
      <c r="K273" s="31">
        <f>IF($A273="","",IF($H273="TBO-001",IF($D273="Evet",ROUND($C273*tbo_oranBesPuan,2),0),IF($H273="TBO-002",IF($E273="Evet",ROUND($C273*tbo_oranIlave,2),0),IF($H273="TBO-004",IF($F273="Evet",ROUND($C273*tbo_oranKadinGenc,2),0),IF($H273="TBO-ENG",IF($G273="Evet",ROUND($C273*tbo_isverenOran,2),0),0)))))</f>
        <v/>
      </c>
      <c r="L273" s="31">
        <f>IF($A273="","",MAX(0,$J273-$K273))</f>
        <v/>
      </c>
    </row>
    <row r="274">
      <c r="I274" s="31">
        <f>IF($A274="","",IF($J274=0,"YOK",IF(AND($E274="Evet",ROUND($C274*tbo_oranIlave,2)=$J274),"TBO-002",IF(AND($D274="Evet",ROUND($C274*tbo_oranBesPuan,2)=$J274),"TBO-001",IF(AND($F274="Evet",ROUND($C274*tbo_oranKadinGenc,2)=$J274),"TBO-004","TBO-ENG")))))</f>
        <v/>
      </c>
      <c r="J274" s="31">
        <f>IF($A274="","",MAX(IF($D274="Evet",ROUND($C274*tbo_oranBesPuan,2),0),IF($E274="Evet",ROUND($C274*tbo_oranIlave,2),0),IF($F274="Evet",ROUND($C274*tbo_oranKadinGenc,2),0),IF($G274="Evet",ROUND($C274*tbo_isverenOran,2),0)))</f>
        <v/>
      </c>
      <c r="K274" s="31">
        <f>IF($A274="","",IF($H274="TBO-001",IF($D274="Evet",ROUND($C274*tbo_oranBesPuan,2),0),IF($H274="TBO-002",IF($E274="Evet",ROUND($C274*tbo_oranIlave,2),0),IF($H274="TBO-004",IF($F274="Evet",ROUND($C274*tbo_oranKadinGenc,2),0),IF($H274="TBO-ENG",IF($G274="Evet",ROUND($C274*tbo_isverenOran,2),0),0)))))</f>
        <v/>
      </c>
      <c r="L274" s="31">
        <f>IF($A274="","",MAX(0,$J274-$K274))</f>
        <v/>
      </c>
    </row>
    <row r="275">
      <c r="I275" s="31">
        <f>IF($A275="","",IF($J275=0,"YOK",IF(AND($E275="Evet",ROUND($C275*tbo_oranIlave,2)=$J275),"TBO-002",IF(AND($D275="Evet",ROUND($C275*tbo_oranBesPuan,2)=$J275),"TBO-001",IF(AND($F275="Evet",ROUND($C275*tbo_oranKadinGenc,2)=$J275),"TBO-004","TBO-ENG")))))</f>
        <v/>
      </c>
      <c r="J275" s="31">
        <f>IF($A275="","",MAX(IF($D275="Evet",ROUND($C275*tbo_oranBesPuan,2),0),IF($E275="Evet",ROUND($C275*tbo_oranIlave,2),0),IF($F275="Evet",ROUND($C275*tbo_oranKadinGenc,2),0),IF($G275="Evet",ROUND($C275*tbo_isverenOran,2),0)))</f>
        <v/>
      </c>
      <c r="K275" s="31">
        <f>IF($A275="","",IF($H275="TBO-001",IF($D275="Evet",ROUND($C275*tbo_oranBesPuan,2),0),IF($H275="TBO-002",IF($E275="Evet",ROUND($C275*tbo_oranIlave,2),0),IF($H275="TBO-004",IF($F275="Evet",ROUND($C275*tbo_oranKadinGenc,2),0),IF($H275="TBO-ENG",IF($G275="Evet",ROUND($C275*tbo_isverenOran,2),0),0)))))</f>
        <v/>
      </c>
      <c r="L275" s="31">
        <f>IF($A275="","",MAX(0,$J275-$K275))</f>
        <v/>
      </c>
    </row>
    <row r="276">
      <c r="I276" s="31">
        <f>IF($A276="","",IF($J276=0,"YOK",IF(AND($E276="Evet",ROUND($C276*tbo_oranIlave,2)=$J276),"TBO-002",IF(AND($D276="Evet",ROUND($C276*tbo_oranBesPuan,2)=$J276),"TBO-001",IF(AND($F276="Evet",ROUND($C276*tbo_oranKadinGenc,2)=$J276),"TBO-004","TBO-ENG")))))</f>
        <v/>
      </c>
      <c r="J276" s="31">
        <f>IF($A276="","",MAX(IF($D276="Evet",ROUND($C276*tbo_oranBesPuan,2),0),IF($E276="Evet",ROUND($C276*tbo_oranIlave,2),0),IF($F276="Evet",ROUND($C276*tbo_oranKadinGenc,2),0),IF($G276="Evet",ROUND($C276*tbo_isverenOran,2),0)))</f>
        <v/>
      </c>
      <c r="K276" s="31">
        <f>IF($A276="","",IF($H276="TBO-001",IF($D276="Evet",ROUND($C276*tbo_oranBesPuan,2),0),IF($H276="TBO-002",IF($E276="Evet",ROUND($C276*tbo_oranIlave,2),0),IF($H276="TBO-004",IF($F276="Evet",ROUND($C276*tbo_oranKadinGenc,2),0),IF($H276="TBO-ENG",IF($G276="Evet",ROUND($C276*tbo_isverenOran,2),0),0)))))</f>
        <v/>
      </c>
      <c r="L276" s="31">
        <f>IF($A276="","",MAX(0,$J276-$K276))</f>
        <v/>
      </c>
    </row>
    <row r="277">
      <c r="I277" s="31">
        <f>IF($A277="","",IF($J277=0,"YOK",IF(AND($E277="Evet",ROUND($C277*tbo_oranIlave,2)=$J277),"TBO-002",IF(AND($D277="Evet",ROUND($C277*tbo_oranBesPuan,2)=$J277),"TBO-001",IF(AND($F277="Evet",ROUND($C277*tbo_oranKadinGenc,2)=$J277),"TBO-004","TBO-ENG")))))</f>
        <v/>
      </c>
      <c r="J277" s="31">
        <f>IF($A277="","",MAX(IF($D277="Evet",ROUND($C277*tbo_oranBesPuan,2),0),IF($E277="Evet",ROUND($C277*tbo_oranIlave,2),0),IF($F277="Evet",ROUND($C277*tbo_oranKadinGenc,2),0),IF($G277="Evet",ROUND($C277*tbo_isverenOran,2),0)))</f>
        <v/>
      </c>
      <c r="K277" s="31">
        <f>IF($A277="","",IF($H277="TBO-001",IF($D277="Evet",ROUND($C277*tbo_oranBesPuan,2),0),IF($H277="TBO-002",IF($E277="Evet",ROUND($C277*tbo_oranIlave,2),0),IF($H277="TBO-004",IF($F277="Evet",ROUND($C277*tbo_oranKadinGenc,2),0),IF($H277="TBO-ENG",IF($G277="Evet",ROUND($C277*tbo_isverenOran,2),0),0)))))</f>
        <v/>
      </c>
      <c r="L277" s="31">
        <f>IF($A277="","",MAX(0,$J277-$K277))</f>
        <v/>
      </c>
    </row>
    <row r="278">
      <c r="I278" s="31">
        <f>IF($A278="","",IF($J278=0,"YOK",IF(AND($E278="Evet",ROUND($C278*tbo_oranIlave,2)=$J278),"TBO-002",IF(AND($D278="Evet",ROUND($C278*tbo_oranBesPuan,2)=$J278),"TBO-001",IF(AND($F278="Evet",ROUND($C278*tbo_oranKadinGenc,2)=$J278),"TBO-004","TBO-ENG")))))</f>
        <v/>
      </c>
      <c r="J278" s="31">
        <f>IF($A278="","",MAX(IF($D278="Evet",ROUND($C278*tbo_oranBesPuan,2),0),IF($E278="Evet",ROUND($C278*tbo_oranIlave,2),0),IF($F278="Evet",ROUND($C278*tbo_oranKadinGenc,2),0),IF($G278="Evet",ROUND($C278*tbo_isverenOran,2),0)))</f>
        <v/>
      </c>
      <c r="K278" s="31">
        <f>IF($A278="","",IF($H278="TBO-001",IF($D278="Evet",ROUND($C278*tbo_oranBesPuan,2),0),IF($H278="TBO-002",IF($E278="Evet",ROUND($C278*tbo_oranIlave,2),0),IF($H278="TBO-004",IF($F278="Evet",ROUND($C278*tbo_oranKadinGenc,2),0),IF($H278="TBO-ENG",IF($G278="Evet",ROUND($C278*tbo_isverenOran,2),0),0)))))</f>
        <v/>
      </c>
      <c r="L278" s="31">
        <f>IF($A278="","",MAX(0,$J278-$K278))</f>
        <v/>
      </c>
    </row>
    <row r="279">
      <c r="I279" s="31">
        <f>IF($A279="","",IF($J279=0,"YOK",IF(AND($E279="Evet",ROUND($C279*tbo_oranIlave,2)=$J279),"TBO-002",IF(AND($D279="Evet",ROUND($C279*tbo_oranBesPuan,2)=$J279),"TBO-001",IF(AND($F279="Evet",ROUND($C279*tbo_oranKadinGenc,2)=$J279),"TBO-004","TBO-ENG")))))</f>
        <v/>
      </c>
      <c r="J279" s="31">
        <f>IF($A279="","",MAX(IF($D279="Evet",ROUND($C279*tbo_oranBesPuan,2),0),IF($E279="Evet",ROUND($C279*tbo_oranIlave,2),0),IF($F279="Evet",ROUND($C279*tbo_oranKadinGenc,2),0),IF($G279="Evet",ROUND($C279*tbo_isverenOran,2),0)))</f>
        <v/>
      </c>
      <c r="K279" s="31">
        <f>IF($A279="","",IF($H279="TBO-001",IF($D279="Evet",ROUND($C279*tbo_oranBesPuan,2),0),IF($H279="TBO-002",IF($E279="Evet",ROUND($C279*tbo_oranIlave,2),0),IF($H279="TBO-004",IF($F279="Evet",ROUND($C279*tbo_oranKadinGenc,2),0),IF($H279="TBO-ENG",IF($G279="Evet",ROUND($C279*tbo_isverenOran,2),0),0)))))</f>
        <v/>
      </c>
      <c r="L279" s="31">
        <f>IF($A279="","",MAX(0,$J279-$K279))</f>
        <v/>
      </c>
    </row>
    <row r="280">
      <c r="I280" s="31">
        <f>IF($A280="","",IF($J280=0,"YOK",IF(AND($E280="Evet",ROUND($C280*tbo_oranIlave,2)=$J280),"TBO-002",IF(AND($D280="Evet",ROUND($C280*tbo_oranBesPuan,2)=$J280),"TBO-001",IF(AND($F280="Evet",ROUND($C280*tbo_oranKadinGenc,2)=$J280),"TBO-004","TBO-ENG")))))</f>
        <v/>
      </c>
      <c r="J280" s="31">
        <f>IF($A280="","",MAX(IF($D280="Evet",ROUND($C280*tbo_oranBesPuan,2),0),IF($E280="Evet",ROUND($C280*tbo_oranIlave,2),0),IF($F280="Evet",ROUND($C280*tbo_oranKadinGenc,2),0),IF($G280="Evet",ROUND($C280*tbo_isverenOran,2),0)))</f>
        <v/>
      </c>
      <c r="K280" s="31">
        <f>IF($A280="","",IF($H280="TBO-001",IF($D280="Evet",ROUND($C280*tbo_oranBesPuan,2),0),IF($H280="TBO-002",IF($E280="Evet",ROUND($C280*tbo_oranIlave,2),0),IF($H280="TBO-004",IF($F280="Evet",ROUND($C280*tbo_oranKadinGenc,2),0),IF($H280="TBO-ENG",IF($G280="Evet",ROUND($C280*tbo_isverenOran,2),0),0)))))</f>
        <v/>
      </c>
      <c r="L280" s="31">
        <f>IF($A280="","",MAX(0,$J280-$K280))</f>
        <v/>
      </c>
    </row>
    <row r="281">
      <c r="I281" s="31">
        <f>IF($A281="","",IF($J281=0,"YOK",IF(AND($E281="Evet",ROUND($C281*tbo_oranIlave,2)=$J281),"TBO-002",IF(AND($D281="Evet",ROUND($C281*tbo_oranBesPuan,2)=$J281),"TBO-001",IF(AND($F281="Evet",ROUND($C281*tbo_oranKadinGenc,2)=$J281),"TBO-004","TBO-ENG")))))</f>
        <v/>
      </c>
      <c r="J281" s="31">
        <f>IF($A281="","",MAX(IF($D281="Evet",ROUND($C281*tbo_oranBesPuan,2),0),IF($E281="Evet",ROUND($C281*tbo_oranIlave,2),0),IF($F281="Evet",ROUND($C281*tbo_oranKadinGenc,2),0),IF($G281="Evet",ROUND($C281*tbo_isverenOran,2),0)))</f>
        <v/>
      </c>
      <c r="K281" s="31">
        <f>IF($A281="","",IF($H281="TBO-001",IF($D281="Evet",ROUND($C281*tbo_oranBesPuan,2),0),IF($H281="TBO-002",IF($E281="Evet",ROUND($C281*tbo_oranIlave,2),0),IF($H281="TBO-004",IF($F281="Evet",ROUND($C281*tbo_oranKadinGenc,2),0),IF($H281="TBO-ENG",IF($G281="Evet",ROUND($C281*tbo_isverenOran,2),0),0)))))</f>
        <v/>
      </c>
      <c r="L281" s="31">
        <f>IF($A281="","",MAX(0,$J281-$K281))</f>
        <v/>
      </c>
    </row>
    <row r="282">
      <c r="I282" s="31">
        <f>IF($A282="","",IF($J282=0,"YOK",IF(AND($E282="Evet",ROUND($C282*tbo_oranIlave,2)=$J282),"TBO-002",IF(AND($D282="Evet",ROUND($C282*tbo_oranBesPuan,2)=$J282),"TBO-001",IF(AND($F282="Evet",ROUND($C282*tbo_oranKadinGenc,2)=$J282),"TBO-004","TBO-ENG")))))</f>
        <v/>
      </c>
      <c r="J282" s="31">
        <f>IF($A282="","",MAX(IF($D282="Evet",ROUND($C282*tbo_oranBesPuan,2),0),IF($E282="Evet",ROUND($C282*tbo_oranIlave,2),0),IF($F282="Evet",ROUND($C282*tbo_oranKadinGenc,2),0),IF($G282="Evet",ROUND($C282*tbo_isverenOran,2),0)))</f>
        <v/>
      </c>
      <c r="K282" s="31">
        <f>IF($A282="","",IF($H282="TBO-001",IF($D282="Evet",ROUND($C282*tbo_oranBesPuan,2),0),IF($H282="TBO-002",IF($E282="Evet",ROUND($C282*tbo_oranIlave,2),0),IF($H282="TBO-004",IF($F282="Evet",ROUND($C282*tbo_oranKadinGenc,2),0),IF($H282="TBO-ENG",IF($G282="Evet",ROUND($C282*tbo_isverenOran,2),0),0)))))</f>
        <v/>
      </c>
      <c r="L282" s="31">
        <f>IF($A282="","",MAX(0,$J282-$K282))</f>
        <v/>
      </c>
    </row>
    <row r="283">
      <c r="I283" s="31">
        <f>IF($A283="","",IF($J283=0,"YOK",IF(AND($E283="Evet",ROUND($C283*tbo_oranIlave,2)=$J283),"TBO-002",IF(AND($D283="Evet",ROUND($C283*tbo_oranBesPuan,2)=$J283),"TBO-001",IF(AND($F283="Evet",ROUND($C283*tbo_oranKadinGenc,2)=$J283),"TBO-004","TBO-ENG")))))</f>
        <v/>
      </c>
      <c r="J283" s="31">
        <f>IF($A283="","",MAX(IF($D283="Evet",ROUND($C283*tbo_oranBesPuan,2),0),IF($E283="Evet",ROUND($C283*tbo_oranIlave,2),0),IF($F283="Evet",ROUND($C283*tbo_oranKadinGenc,2),0),IF($G283="Evet",ROUND($C283*tbo_isverenOran,2),0)))</f>
        <v/>
      </c>
      <c r="K283" s="31">
        <f>IF($A283="","",IF($H283="TBO-001",IF($D283="Evet",ROUND($C283*tbo_oranBesPuan,2),0),IF($H283="TBO-002",IF($E283="Evet",ROUND($C283*tbo_oranIlave,2),0),IF($H283="TBO-004",IF($F283="Evet",ROUND($C283*tbo_oranKadinGenc,2),0),IF($H283="TBO-ENG",IF($G283="Evet",ROUND($C283*tbo_isverenOran,2),0),0)))))</f>
        <v/>
      </c>
      <c r="L283" s="31">
        <f>IF($A283="","",MAX(0,$J283-$K283))</f>
        <v/>
      </c>
    </row>
    <row r="284">
      <c r="I284" s="31">
        <f>IF($A284="","",IF($J284=0,"YOK",IF(AND($E284="Evet",ROUND($C284*tbo_oranIlave,2)=$J284),"TBO-002",IF(AND($D284="Evet",ROUND($C284*tbo_oranBesPuan,2)=$J284),"TBO-001",IF(AND($F284="Evet",ROUND($C284*tbo_oranKadinGenc,2)=$J284),"TBO-004","TBO-ENG")))))</f>
        <v/>
      </c>
      <c r="J284" s="31">
        <f>IF($A284="","",MAX(IF($D284="Evet",ROUND($C284*tbo_oranBesPuan,2),0),IF($E284="Evet",ROUND($C284*tbo_oranIlave,2),0),IF($F284="Evet",ROUND($C284*tbo_oranKadinGenc,2),0),IF($G284="Evet",ROUND($C284*tbo_isverenOran,2),0)))</f>
        <v/>
      </c>
      <c r="K284" s="31">
        <f>IF($A284="","",IF($H284="TBO-001",IF($D284="Evet",ROUND($C284*tbo_oranBesPuan,2),0),IF($H284="TBO-002",IF($E284="Evet",ROUND($C284*tbo_oranIlave,2),0),IF($H284="TBO-004",IF($F284="Evet",ROUND($C284*tbo_oranKadinGenc,2),0),IF($H284="TBO-ENG",IF($G284="Evet",ROUND($C284*tbo_isverenOran,2),0),0)))))</f>
        <v/>
      </c>
      <c r="L284" s="31">
        <f>IF($A284="","",MAX(0,$J284-$K284))</f>
        <v/>
      </c>
    </row>
    <row r="285">
      <c r="I285" s="31">
        <f>IF($A285="","",IF($J285=0,"YOK",IF(AND($E285="Evet",ROUND($C285*tbo_oranIlave,2)=$J285),"TBO-002",IF(AND($D285="Evet",ROUND($C285*tbo_oranBesPuan,2)=$J285),"TBO-001",IF(AND($F285="Evet",ROUND($C285*tbo_oranKadinGenc,2)=$J285),"TBO-004","TBO-ENG")))))</f>
        <v/>
      </c>
      <c r="J285" s="31">
        <f>IF($A285="","",MAX(IF($D285="Evet",ROUND($C285*tbo_oranBesPuan,2),0),IF($E285="Evet",ROUND($C285*tbo_oranIlave,2),0),IF($F285="Evet",ROUND($C285*tbo_oranKadinGenc,2),0),IF($G285="Evet",ROUND($C285*tbo_isverenOran,2),0)))</f>
        <v/>
      </c>
      <c r="K285" s="31">
        <f>IF($A285="","",IF($H285="TBO-001",IF($D285="Evet",ROUND($C285*tbo_oranBesPuan,2),0),IF($H285="TBO-002",IF($E285="Evet",ROUND($C285*tbo_oranIlave,2),0),IF($H285="TBO-004",IF($F285="Evet",ROUND($C285*tbo_oranKadinGenc,2),0),IF($H285="TBO-ENG",IF($G285="Evet",ROUND($C285*tbo_isverenOran,2),0),0)))))</f>
        <v/>
      </c>
      <c r="L285" s="31">
        <f>IF($A285="","",MAX(0,$J285-$K285))</f>
        <v/>
      </c>
    </row>
    <row r="286">
      <c r="I286" s="31">
        <f>IF($A286="","",IF($J286=0,"YOK",IF(AND($E286="Evet",ROUND($C286*tbo_oranIlave,2)=$J286),"TBO-002",IF(AND($D286="Evet",ROUND($C286*tbo_oranBesPuan,2)=$J286),"TBO-001",IF(AND($F286="Evet",ROUND($C286*tbo_oranKadinGenc,2)=$J286),"TBO-004","TBO-ENG")))))</f>
        <v/>
      </c>
      <c r="J286" s="31">
        <f>IF($A286="","",MAX(IF($D286="Evet",ROUND($C286*tbo_oranBesPuan,2),0),IF($E286="Evet",ROUND($C286*tbo_oranIlave,2),0),IF($F286="Evet",ROUND($C286*tbo_oranKadinGenc,2),0),IF($G286="Evet",ROUND($C286*tbo_isverenOran,2),0)))</f>
        <v/>
      </c>
      <c r="K286" s="31">
        <f>IF($A286="","",IF($H286="TBO-001",IF($D286="Evet",ROUND($C286*tbo_oranBesPuan,2),0),IF($H286="TBO-002",IF($E286="Evet",ROUND($C286*tbo_oranIlave,2),0),IF($H286="TBO-004",IF($F286="Evet",ROUND($C286*tbo_oranKadinGenc,2),0),IF($H286="TBO-ENG",IF($G286="Evet",ROUND($C286*tbo_isverenOran,2),0),0)))))</f>
        <v/>
      </c>
      <c r="L286" s="31">
        <f>IF($A286="","",MAX(0,$J286-$K286))</f>
        <v/>
      </c>
    </row>
    <row r="287">
      <c r="I287" s="31">
        <f>IF($A287="","",IF($J287=0,"YOK",IF(AND($E287="Evet",ROUND($C287*tbo_oranIlave,2)=$J287),"TBO-002",IF(AND($D287="Evet",ROUND($C287*tbo_oranBesPuan,2)=$J287),"TBO-001",IF(AND($F287="Evet",ROUND($C287*tbo_oranKadinGenc,2)=$J287),"TBO-004","TBO-ENG")))))</f>
        <v/>
      </c>
      <c r="J287" s="31">
        <f>IF($A287="","",MAX(IF($D287="Evet",ROUND($C287*tbo_oranBesPuan,2),0),IF($E287="Evet",ROUND($C287*tbo_oranIlave,2),0),IF($F287="Evet",ROUND($C287*tbo_oranKadinGenc,2),0),IF($G287="Evet",ROUND($C287*tbo_isverenOran,2),0)))</f>
        <v/>
      </c>
      <c r="K287" s="31">
        <f>IF($A287="","",IF($H287="TBO-001",IF($D287="Evet",ROUND($C287*tbo_oranBesPuan,2),0),IF($H287="TBO-002",IF($E287="Evet",ROUND($C287*tbo_oranIlave,2),0),IF($H287="TBO-004",IF($F287="Evet",ROUND($C287*tbo_oranKadinGenc,2),0),IF($H287="TBO-ENG",IF($G287="Evet",ROUND($C287*tbo_isverenOran,2),0),0)))))</f>
        <v/>
      </c>
      <c r="L287" s="31">
        <f>IF($A287="","",MAX(0,$J287-$K287))</f>
        <v/>
      </c>
    </row>
    <row r="288">
      <c r="I288" s="31">
        <f>IF($A288="","",IF($J288=0,"YOK",IF(AND($E288="Evet",ROUND($C288*tbo_oranIlave,2)=$J288),"TBO-002",IF(AND($D288="Evet",ROUND($C288*tbo_oranBesPuan,2)=$J288),"TBO-001",IF(AND($F288="Evet",ROUND($C288*tbo_oranKadinGenc,2)=$J288),"TBO-004","TBO-ENG")))))</f>
        <v/>
      </c>
      <c r="J288" s="31">
        <f>IF($A288="","",MAX(IF($D288="Evet",ROUND($C288*tbo_oranBesPuan,2),0),IF($E288="Evet",ROUND($C288*tbo_oranIlave,2),0),IF($F288="Evet",ROUND($C288*tbo_oranKadinGenc,2),0),IF($G288="Evet",ROUND($C288*tbo_isverenOran,2),0)))</f>
        <v/>
      </c>
      <c r="K288" s="31">
        <f>IF($A288="","",IF($H288="TBO-001",IF($D288="Evet",ROUND($C288*tbo_oranBesPuan,2),0),IF($H288="TBO-002",IF($E288="Evet",ROUND($C288*tbo_oranIlave,2),0),IF($H288="TBO-004",IF($F288="Evet",ROUND($C288*tbo_oranKadinGenc,2),0),IF($H288="TBO-ENG",IF($G288="Evet",ROUND($C288*tbo_isverenOran,2),0),0)))))</f>
        <v/>
      </c>
      <c r="L288" s="31">
        <f>IF($A288="","",MAX(0,$J288-$K288))</f>
        <v/>
      </c>
    </row>
    <row r="289">
      <c r="I289" s="31">
        <f>IF($A289="","",IF($J289=0,"YOK",IF(AND($E289="Evet",ROUND($C289*tbo_oranIlave,2)=$J289),"TBO-002",IF(AND($D289="Evet",ROUND($C289*tbo_oranBesPuan,2)=$J289),"TBO-001",IF(AND($F289="Evet",ROUND($C289*tbo_oranKadinGenc,2)=$J289),"TBO-004","TBO-ENG")))))</f>
        <v/>
      </c>
      <c r="J289" s="31">
        <f>IF($A289="","",MAX(IF($D289="Evet",ROUND($C289*tbo_oranBesPuan,2),0),IF($E289="Evet",ROUND($C289*tbo_oranIlave,2),0),IF($F289="Evet",ROUND($C289*tbo_oranKadinGenc,2),0),IF($G289="Evet",ROUND($C289*tbo_isverenOran,2),0)))</f>
        <v/>
      </c>
      <c r="K289" s="31">
        <f>IF($A289="","",IF($H289="TBO-001",IF($D289="Evet",ROUND($C289*tbo_oranBesPuan,2),0),IF($H289="TBO-002",IF($E289="Evet",ROUND($C289*tbo_oranIlave,2),0),IF($H289="TBO-004",IF($F289="Evet",ROUND($C289*tbo_oranKadinGenc,2),0),IF($H289="TBO-ENG",IF($G289="Evet",ROUND($C289*tbo_isverenOran,2),0),0)))))</f>
        <v/>
      </c>
      <c r="L289" s="31">
        <f>IF($A289="","",MAX(0,$J289-$K289))</f>
        <v/>
      </c>
    </row>
    <row r="290">
      <c r="I290" s="31">
        <f>IF($A290="","",IF($J290=0,"YOK",IF(AND($E290="Evet",ROUND($C290*tbo_oranIlave,2)=$J290),"TBO-002",IF(AND($D290="Evet",ROUND($C290*tbo_oranBesPuan,2)=$J290),"TBO-001",IF(AND($F290="Evet",ROUND($C290*tbo_oranKadinGenc,2)=$J290),"TBO-004","TBO-ENG")))))</f>
        <v/>
      </c>
      <c r="J290" s="31">
        <f>IF($A290="","",MAX(IF($D290="Evet",ROUND($C290*tbo_oranBesPuan,2),0),IF($E290="Evet",ROUND($C290*tbo_oranIlave,2),0),IF($F290="Evet",ROUND($C290*tbo_oranKadinGenc,2),0),IF($G290="Evet",ROUND($C290*tbo_isverenOran,2),0)))</f>
        <v/>
      </c>
      <c r="K290" s="31">
        <f>IF($A290="","",IF($H290="TBO-001",IF($D290="Evet",ROUND($C290*tbo_oranBesPuan,2),0),IF($H290="TBO-002",IF($E290="Evet",ROUND($C290*tbo_oranIlave,2),0),IF($H290="TBO-004",IF($F290="Evet",ROUND($C290*tbo_oranKadinGenc,2),0),IF($H290="TBO-ENG",IF($G290="Evet",ROUND($C290*tbo_isverenOran,2),0),0)))))</f>
        <v/>
      </c>
      <c r="L290" s="31">
        <f>IF($A290="","",MAX(0,$J290-$K290))</f>
        <v/>
      </c>
    </row>
    <row r="291">
      <c r="I291" s="31">
        <f>IF($A291="","",IF($J291=0,"YOK",IF(AND($E291="Evet",ROUND($C291*tbo_oranIlave,2)=$J291),"TBO-002",IF(AND($D291="Evet",ROUND($C291*tbo_oranBesPuan,2)=$J291),"TBO-001",IF(AND($F291="Evet",ROUND($C291*tbo_oranKadinGenc,2)=$J291),"TBO-004","TBO-ENG")))))</f>
        <v/>
      </c>
      <c r="J291" s="31">
        <f>IF($A291="","",MAX(IF($D291="Evet",ROUND($C291*tbo_oranBesPuan,2),0),IF($E291="Evet",ROUND($C291*tbo_oranIlave,2),0),IF($F291="Evet",ROUND($C291*tbo_oranKadinGenc,2),0),IF($G291="Evet",ROUND($C291*tbo_isverenOran,2),0)))</f>
        <v/>
      </c>
      <c r="K291" s="31">
        <f>IF($A291="","",IF($H291="TBO-001",IF($D291="Evet",ROUND($C291*tbo_oranBesPuan,2),0),IF($H291="TBO-002",IF($E291="Evet",ROUND($C291*tbo_oranIlave,2),0),IF($H291="TBO-004",IF($F291="Evet",ROUND($C291*tbo_oranKadinGenc,2),0),IF($H291="TBO-ENG",IF($G291="Evet",ROUND($C291*tbo_isverenOran,2),0),0)))))</f>
        <v/>
      </c>
      <c r="L291" s="31">
        <f>IF($A291="","",MAX(0,$J291-$K291))</f>
        <v/>
      </c>
    </row>
    <row r="292">
      <c r="I292" s="31">
        <f>IF($A292="","",IF($J292=0,"YOK",IF(AND($E292="Evet",ROUND($C292*tbo_oranIlave,2)=$J292),"TBO-002",IF(AND($D292="Evet",ROUND($C292*tbo_oranBesPuan,2)=$J292),"TBO-001",IF(AND($F292="Evet",ROUND($C292*tbo_oranKadinGenc,2)=$J292),"TBO-004","TBO-ENG")))))</f>
        <v/>
      </c>
      <c r="J292" s="31">
        <f>IF($A292="","",MAX(IF($D292="Evet",ROUND($C292*tbo_oranBesPuan,2),0),IF($E292="Evet",ROUND($C292*tbo_oranIlave,2),0),IF($F292="Evet",ROUND($C292*tbo_oranKadinGenc,2),0),IF($G292="Evet",ROUND($C292*tbo_isverenOran,2),0)))</f>
        <v/>
      </c>
      <c r="K292" s="31">
        <f>IF($A292="","",IF($H292="TBO-001",IF($D292="Evet",ROUND($C292*tbo_oranBesPuan,2),0),IF($H292="TBO-002",IF($E292="Evet",ROUND($C292*tbo_oranIlave,2),0),IF($H292="TBO-004",IF($F292="Evet",ROUND($C292*tbo_oranKadinGenc,2),0),IF($H292="TBO-ENG",IF($G292="Evet",ROUND($C292*tbo_isverenOran,2),0),0)))))</f>
        <v/>
      </c>
      <c r="L292" s="31">
        <f>IF($A292="","",MAX(0,$J292-$K292))</f>
        <v/>
      </c>
    </row>
    <row r="293">
      <c r="I293" s="31">
        <f>IF($A293="","",IF($J293=0,"YOK",IF(AND($E293="Evet",ROUND($C293*tbo_oranIlave,2)=$J293),"TBO-002",IF(AND($D293="Evet",ROUND($C293*tbo_oranBesPuan,2)=$J293),"TBO-001",IF(AND($F293="Evet",ROUND($C293*tbo_oranKadinGenc,2)=$J293),"TBO-004","TBO-ENG")))))</f>
        <v/>
      </c>
      <c r="J293" s="31">
        <f>IF($A293="","",MAX(IF($D293="Evet",ROUND($C293*tbo_oranBesPuan,2),0),IF($E293="Evet",ROUND($C293*tbo_oranIlave,2),0),IF($F293="Evet",ROUND($C293*tbo_oranKadinGenc,2),0),IF($G293="Evet",ROUND($C293*tbo_isverenOran,2),0)))</f>
        <v/>
      </c>
      <c r="K293" s="31">
        <f>IF($A293="","",IF($H293="TBO-001",IF($D293="Evet",ROUND($C293*tbo_oranBesPuan,2),0),IF($H293="TBO-002",IF($E293="Evet",ROUND($C293*tbo_oranIlave,2),0),IF($H293="TBO-004",IF($F293="Evet",ROUND($C293*tbo_oranKadinGenc,2),0),IF($H293="TBO-ENG",IF($G293="Evet",ROUND($C293*tbo_isverenOran,2),0),0)))))</f>
        <v/>
      </c>
      <c r="L293" s="31">
        <f>IF($A293="","",MAX(0,$J293-$K293))</f>
        <v/>
      </c>
    </row>
    <row r="294">
      <c r="I294" s="31">
        <f>IF($A294="","",IF($J294=0,"YOK",IF(AND($E294="Evet",ROUND($C294*tbo_oranIlave,2)=$J294),"TBO-002",IF(AND($D294="Evet",ROUND($C294*tbo_oranBesPuan,2)=$J294),"TBO-001",IF(AND($F294="Evet",ROUND($C294*tbo_oranKadinGenc,2)=$J294),"TBO-004","TBO-ENG")))))</f>
        <v/>
      </c>
      <c r="J294" s="31">
        <f>IF($A294="","",MAX(IF($D294="Evet",ROUND($C294*tbo_oranBesPuan,2),0),IF($E294="Evet",ROUND($C294*tbo_oranIlave,2),0),IF($F294="Evet",ROUND($C294*tbo_oranKadinGenc,2),0),IF($G294="Evet",ROUND($C294*tbo_isverenOran,2),0)))</f>
        <v/>
      </c>
      <c r="K294" s="31">
        <f>IF($A294="","",IF($H294="TBO-001",IF($D294="Evet",ROUND($C294*tbo_oranBesPuan,2),0),IF($H294="TBO-002",IF($E294="Evet",ROUND($C294*tbo_oranIlave,2),0),IF($H294="TBO-004",IF($F294="Evet",ROUND($C294*tbo_oranKadinGenc,2),0),IF($H294="TBO-ENG",IF($G294="Evet",ROUND($C294*tbo_isverenOran,2),0),0)))))</f>
        <v/>
      </c>
      <c r="L294" s="31">
        <f>IF($A294="","",MAX(0,$J294-$K294))</f>
        <v/>
      </c>
    </row>
    <row r="295">
      <c r="I295" s="31">
        <f>IF($A295="","",IF($J295=0,"YOK",IF(AND($E295="Evet",ROUND($C295*tbo_oranIlave,2)=$J295),"TBO-002",IF(AND($D295="Evet",ROUND($C295*tbo_oranBesPuan,2)=$J295),"TBO-001",IF(AND($F295="Evet",ROUND($C295*tbo_oranKadinGenc,2)=$J295),"TBO-004","TBO-ENG")))))</f>
        <v/>
      </c>
      <c r="J295" s="31">
        <f>IF($A295="","",MAX(IF($D295="Evet",ROUND($C295*tbo_oranBesPuan,2),0),IF($E295="Evet",ROUND($C295*tbo_oranIlave,2),0),IF($F295="Evet",ROUND($C295*tbo_oranKadinGenc,2),0),IF($G295="Evet",ROUND($C295*tbo_isverenOran,2),0)))</f>
        <v/>
      </c>
      <c r="K295" s="31">
        <f>IF($A295="","",IF($H295="TBO-001",IF($D295="Evet",ROUND($C295*tbo_oranBesPuan,2),0),IF($H295="TBO-002",IF($E295="Evet",ROUND($C295*tbo_oranIlave,2),0),IF($H295="TBO-004",IF($F295="Evet",ROUND($C295*tbo_oranKadinGenc,2),0),IF($H295="TBO-ENG",IF($G295="Evet",ROUND($C295*tbo_isverenOran,2),0),0)))))</f>
        <v/>
      </c>
      <c r="L295" s="31">
        <f>IF($A295="","",MAX(0,$J295-$K295))</f>
        <v/>
      </c>
    </row>
    <row r="296">
      <c r="I296" s="31">
        <f>IF($A296="","",IF($J296=0,"YOK",IF(AND($E296="Evet",ROUND($C296*tbo_oranIlave,2)=$J296),"TBO-002",IF(AND($D296="Evet",ROUND($C296*tbo_oranBesPuan,2)=$J296),"TBO-001",IF(AND($F296="Evet",ROUND($C296*tbo_oranKadinGenc,2)=$J296),"TBO-004","TBO-ENG")))))</f>
        <v/>
      </c>
      <c r="J296" s="31">
        <f>IF($A296="","",MAX(IF($D296="Evet",ROUND($C296*tbo_oranBesPuan,2),0),IF($E296="Evet",ROUND($C296*tbo_oranIlave,2),0),IF($F296="Evet",ROUND($C296*tbo_oranKadinGenc,2),0),IF($G296="Evet",ROUND($C296*tbo_isverenOran,2),0)))</f>
        <v/>
      </c>
      <c r="K296" s="31">
        <f>IF($A296="","",IF($H296="TBO-001",IF($D296="Evet",ROUND($C296*tbo_oranBesPuan,2),0),IF($H296="TBO-002",IF($E296="Evet",ROUND($C296*tbo_oranIlave,2),0),IF($H296="TBO-004",IF($F296="Evet",ROUND($C296*tbo_oranKadinGenc,2),0),IF($H296="TBO-ENG",IF($G296="Evet",ROUND($C296*tbo_isverenOran,2),0),0)))))</f>
        <v/>
      </c>
      <c r="L296" s="31">
        <f>IF($A296="","",MAX(0,$J296-$K296))</f>
        <v/>
      </c>
    </row>
    <row r="297">
      <c r="I297" s="31">
        <f>IF($A297="","",IF($J297=0,"YOK",IF(AND($E297="Evet",ROUND($C297*tbo_oranIlave,2)=$J297),"TBO-002",IF(AND($D297="Evet",ROUND($C297*tbo_oranBesPuan,2)=$J297),"TBO-001",IF(AND($F297="Evet",ROUND($C297*tbo_oranKadinGenc,2)=$J297),"TBO-004","TBO-ENG")))))</f>
        <v/>
      </c>
      <c r="J297" s="31">
        <f>IF($A297="","",MAX(IF($D297="Evet",ROUND($C297*tbo_oranBesPuan,2),0),IF($E297="Evet",ROUND($C297*tbo_oranIlave,2),0),IF($F297="Evet",ROUND($C297*tbo_oranKadinGenc,2),0),IF($G297="Evet",ROUND($C297*tbo_isverenOran,2),0)))</f>
        <v/>
      </c>
      <c r="K297" s="31">
        <f>IF($A297="","",IF($H297="TBO-001",IF($D297="Evet",ROUND($C297*tbo_oranBesPuan,2),0),IF($H297="TBO-002",IF($E297="Evet",ROUND($C297*tbo_oranIlave,2),0),IF($H297="TBO-004",IF($F297="Evet",ROUND($C297*tbo_oranKadinGenc,2),0),IF($H297="TBO-ENG",IF($G297="Evet",ROUND($C297*tbo_isverenOran,2),0),0)))))</f>
        <v/>
      </c>
      <c r="L297" s="31">
        <f>IF($A297="","",MAX(0,$J297-$K297))</f>
        <v/>
      </c>
    </row>
    <row r="298">
      <c r="I298" s="31">
        <f>IF($A298="","",IF($J298=0,"YOK",IF(AND($E298="Evet",ROUND($C298*tbo_oranIlave,2)=$J298),"TBO-002",IF(AND($D298="Evet",ROUND($C298*tbo_oranBesPuan,2)=$J298),"TBO-001",IF(AND($F298="Evet",ROUND($C298*tbo_oranKadinGenc,2)=$J298),"TBO-004","TBO-ENG")))))</f>
        <v/>
      </c>
      <c r="J298" s="31">
        <f>IF($A298="","",MAX(IF($D298="Evet",ROUND($C298*tbo_oranBesPuan,2),0),IF($E298="Evet",ROUND($C298*tbo_oranIlave,2),0),IF($F298="Evet",ROUND($C298*tbo_oranKadinGenc,2),0),IF($G298="Evet",ROUND($C298*tbo_isverenOran,2),0)))</f>
        <v/>
      </c>
      <c r="K298" s="31">
        <f>IF($A298="","",IF($H298="TBO-001",IF($D298="Evet",ROUND($C298*tbo_oranBesPuan,2),0),IF($H298="TBO-002",IF($E298="Evet",ROUND($C298*tbo_oranIlave,2),0),IF($H298="TBO-004",IF($F298="Evet",ROUND($C298*tbo_oranKadinGenc,2),0),IF($H298="TBO-ENG",IF($G298="Evet",ROUND($C298*tbo_isverenOran,2),0),0)))))</f>
        <v/>
      </c>
      <c r="L298" s="31">
        <f>IF($A298="","",MAX(0,$J298-$K298))</f>
        <v/>
      </c>
    </row>
    <row r="299">
      <c r="I299" s="31">
        <f>IF($A299="","",IF($J299=0,"YOK",IF(AND($E299="Evet",ROUND($C299*tbo_oranIlave,2)=$J299),"TBO-002",IF(AND($D299="Evet",ROUND($C299*tbo_oranBesPuan,2)=$J299),"TBO-001",IF(AND($F299="Evet",ROUND($C299*tbo_oranKadinGenc,2)=$J299),"TBO-004","TBO-ENG")))))</f>
        <v/>
      </c>
      <c r="J299" s="31">
        <f>IF($A299="","",MAX(IF($D299="Evet",ROUND($C299*tbo_oranBesPuan,2),0),IF($E299="Evet",ROUND($C299*tbo_oranIlave,2),0),IF($F299="Evet",ROUND($C299*tbo_oranKadinGenc,2),0),IF($G299="Evet",ROUND($C299*tbo_isverenOran,2),0)))</f>
        <v/>
      </c>
      <c r="K299" s="31">
        <f>IF($A299="","",IF($H299="TBO-001",IF($D299="Evet",ROUND($C299*tbo_oranBesPuan,2),0),IF($H299="TBO-002",IF($E299="Evet",ROUND($C299*tbo_oranIlave,2),0),IF($H299="TBO-004",IF($F299="Evet",ROUND($C299*tbo_oranKadinGenc,2),0),IF($H299="TBO-ENG",IF($G299="Evet",ROUND($C299*tbo_isverenOran,2),0),0)))))</f>
        <v/>
      </c>
      <c r="L299" s="31">
        <f>IF($A299="","",MAX(0,$J299-$K299))</f>
        <v/>
      </c>
    </row>
    <row r="300">
      <c r="I300" s="31">
        <f>IF($A300="","",IF($J300=0,"YOK",IF(AND($E300="Evet",ROUND($C300*tbo_oranIlave,2)=$J300),"TBO-002",IF(AND($D300="Evet",ROUND($C300*tbo_oranBesPuan,2)=$J300),"TBO-001",IF(AND($F300="Evet",ROUND($C300*tbo_oranKadinGenc,2)=$J300),"TBO-004","TBO-ENG")))))</f>
        <v/>
      </c>
      <c r="J300" s="31">
        <f>IF($A300="","",MAX(IF($D300="Evet",ROUND($C300*tbo_oranBesPuan,2),0),IF($E300="Evet",ROUND($C300*tbo_oranIlave,2),0),IF($F300="Evet",ROUND($C300*tbo_oranKadinGenc,2),0),IF($G300="Evet",ROUND($C300*tbo_isverenOran,2),0)))</f>
        <v/>
      </c>
      <c r="K300" s="31">
        <f>IF($A300="","",IF($H300="TBO-001",IF($D300="Evet",ROUND($C300*tbo_oranBesPuan,2),0),IF($H300="TBO-002",IF($E300="Evet",ROUND($C300*tbo_oranIlave,2),0),IF($H300="TBO-004",IF($F300="Evet",ROUND($C300*tbo_oranKadinGenc,2),0),IF($H300="TBO-ENG",IF($G300="Evet",ROUND($C300*tbo_isverenOran,2),0),0)))))</f>
        <v/>
      </c>
      <c r="L300" s="31">
        <f>IF($A300="","",MAX(0,$J300-$K300))</f>
        <v/>
      </c>
    </row>
    <row r="301">
      <c r="I301" s="31">
        <f>IF($A301="","",IF($J301=0,"YOK",IF(AND($E301="Evet",ROUND($C301*tbo_oranIlave,2)=$J301),"TBO-002",IF(AND($D301="Evet",ROUND($C301*tbo_oranBesPuan,2)=$J301),"TBO-001",IF(AND($F301="Evet",ROUND($C301*tbo_oranKadinGenc,2)=$J301),"TBO-004","TBO-ENG")))))</f>
        <v/>
      </c>
      <c r="J301" s="31">
        <f>IF($A301="","",MAX(IF($D301="Evet",ROUND($C301*tbo_oranBesPuan,2),0),IF($E301="Evet",ROUND($C301*tbo_oranIlave,2),0),IF($F301="Evet",ROUND($C301*tbo_oranKadinGenc,2),0),IF($G301="Evet",ROUND($C301*tbo_isverenOran,2),0)))</f>
        <v/>
      </c>
      <c r="K301" s="31">
        <f>IF($A301="","",IF($H301="TBO-001",IF($D301="Evet",ROUND($C301*tbo_oranBesPuan,2),0),IF($H301="TBO-002",IF($E301="Evet",ROUND($C301*tbo_oranIlave,2),0),IF($H301="TBO-004",IF($F301="Evet",ROUND($C301*tbo_oranKadinGenc,2),0),IF($H301="TBO-ENG",IF($G301="Evet",ROUND($C301*tbo_isverenOran,2),0),0)))))</f>
        <v/>
      </c>
      <c r="L301" s="31">
        <f>IF($A301="","",MAX(0,$J301-$K301))</f>
        <v/>
      </c>
    </row>
    <row r="302">
      <c r="I302" s="31">
        <f>IF($A302="","",IF($J302=0,"YOK",IF(AND($E302="Evet",ROUND($C302*tbo_oranIlave,2)=$J302),"TBO-002",IF(AND($D302="Evet",ROUND($C302*tbo_oranBesPuan,2)=$J302),"TBO-001",IF(AND($F302="Evet",ROUND($C302*tbo_oranKadinGenc,2)=$J302),"TBO-004","TBO-ENG")))))</f>
        <v/>
      </c>
      <c r="J302" s="31">
        <f>IF($A302="","",MAX(IF($D302="Evet",ROUND($C302*tbo_oranBesPuan,2),0),IF($E302="Evet",ROUND($C302*tbo_oranIlave,2),0),IF($F302="Evet",ROUND($C302*tbo_oranKadinGenc,2),0),IF($G302="Evet",ROUND($C302*tbo_isverenOran,2),0)))</f>
        <v/>
      </c>
      <c r="K302" s="31">
        <f>IF($A302="","",IF($H302="TBO-001",IF($D302="Evet",ROUND($C302*tbo_oranBesPuan,2),0),IF($H302="TBO-002",IF($E302="Evet",ROUND($C302*tbo_oranIlave,2),0),IF($H302="TBO-004",IF($F302="Evet",ROUND($C302*tbo_oranKadinGenc,2),0),IF($H302="TBO-ENG",IF($G302="Evet",ROUND($C302*tbo_isverenOran,2),0),0)))))</f>
        <v/>
      </c>
      <c r="L302" s="31">
        <f>IF($A302="","",MAX(0,$J302-$K302))</f>
        <v/>
      </c>
    </row>
    <row r="303">
      <c r="I303" s="31">
        <f>IF($A303="","",IF($J303=0,"YOK",IF(AND($E303="Evet",ROUND($C303*tbo_oranIlave,2)=$J303),"TBO-002",IF(AND($D303="Evet",ROUND($C303*tbo_oranBesPuan,2)=$J303),"TBO-001",IF(AND($F303="Evet",ROUND($C303*tbo_oranKadinGenc,2)=$J303),"TBO-004","TBO-ENG")))))</f>
        <v/>
      </c>
      <c r="J303" s="31">
        <f>IF($A303="","",MAX(IF($D303="Evet",ROUND($C303*tbo_oranBesPuan,2),0),IF($E303="Evet",ROUND($C303*tbo_oranIlave,2),0),IF($F303="Evet",ROUND($C303*tbo_oranKadinGenc,2),0),IF($G303="Evet",ROUND($C303*tbo_isverenOran,2),0)))</f>
        <v/>
      </c>
      <c r="K303" s="31">
        <f>IF($A303="","",IF($H303="TBO-001",IF($D303="Evet",ROUND($C303*tbo_oranBesPuan,2),0),IF($H303="TBO-002",IF($E303="Evet",ROUND($C303*tbo_oranIlave,2),0),IF($H303="TBO-004",IF($F303="Evet",ROUND($C303*tbo_oranKadinGenc,2),0),IF($H303="TBO-ENG",IF($G303="Evet",ROUND($C303*tbo_isverenOran,2),0),0)))))</f>
        <v/>
      </c>
      <c r="L303" s="31">
        <f>IF($A303="","",MAX(0,$J303-$K303))</f>
        <v/>
      </c>
    </row>
    <row r="304">
      <c r="I304" s="31">
        <f>IF($A304="","",IF($J304=0,"YOK",IF(AND($E304="Evet",ROUND($C304*tbo_oranIlave,2)=$J304),"TBO-002",IF(AND($D304="Evet",ROUND($C304*tbo_oranBesPuan,2)=$J304),"TBO-001",IF(AND($F304="Evet",ROUND($C304*tbo_oranKadinGenc,2)=$J304),"TBO-004","TBO-ENG")))))</f>
        <v/>
      </c>
      <c r="J304" s="31">
        <f>IF($A304="","",MAX(IF($D304="Evet",ROUND($C304*tbo_oranBesPuan,2),0),IF($E304="Evet",ROUND($C304*tbo_oranIlave,2),0),IF($F304="Evet",ROUND($C304*tbo_oranKadinGenc,2),0),IF($G304="Evet",ROUND($C304*tbo_isverenOran,2),0)))</f>
        <v/>
      </c>
      <c r="K304" s="31">
        <f>IF($A304="","",IF($H304="TBO-001",IF($D304="Evet",ROUND($C304*tbo_oranBesPuan,2),0),IF($H304="TBO-002",IF($E304="Evet",ROUND($C304*tbo_oranIlave,2),0),IF($H304="TBO-004",IF($F304="Evet",ROUND($C304*tbo_oranKadinGenc,2),0),IF($H304="TBO-ENG",IF($G304="Evet",ROUND($C304*tbo_isverenOran,2),0),0)))))</f>
        <v/>
      </c>
      <c r="L304" s="31">
        <f>IF($A304="","",MAX(0,$J304-$K304))</f>
        <v/>
      </c>
    </row>
    <row r="305">
      <c r="I305" s="31">
        <f>IF($A305="","",IF($J305=0,"YOK",IF(AND($E305="Evet",ROUND($C305*tbo_oranIlave,2)=$J305),"TBO-002",IF(AND($D305="Evet",ROUND($C305*tbo_oranBesPuan,2)=$J305),"TBO-001",IF(AND($F305="Evet",ROUND($C305*tbo_oranKadinGenc,2)=$J305),"TBO-004","TBO-ENG")))))</f>
        <v/>
      </c>
      <c r="J305" s="31">
        <f>IF($A305="","",MAX(IF($D305="Evet",ROUND($C305*tbo_oranBesPuan,2),0),IF($E305="Evet",ROUND($C305*tbo_oranIlave,2),0),IF($F305="Evet",ROUND($C305*tbo_oranKadinGenc,2),0),IF($G305="Evet",ROUND($C305*tbo_isverenOran,2),0)))</f>
        <v/>
      </c>
      <c r="K305" s="31">
        <f>IF($A305="","",IF($H305="TBO-001",IF($D305="Evet",ROUND($C305*tbo_oranBesPuan,2),0),IF($H305="TBO-002",IF($E305="Evet",ROUND($C305*tbo_oranIlave,2),0),IF($H305="TBO-004",IF($F305="Evet",ROUND($C305*tbo_oranKadinGenc,2),0),IF($H305="TBO-ENG",IF($G305="Evet",ROUND($C305*tbo_isverenOran,2),0),0)))))</f>
        <v/>
      </c>
      <c r="L305" s="31">
        <f>IF($A305="","",MAX(0,$J305-$K305))</f>
        <v/>
      </c>
    </row>
    <row r="306">
      <c r="I306" s="31">
        <f>IF($A306="","",IF($J306=0,"YOK",IF(AND($E306="Evet",ROUND($C306*tbo_oranIlave,2)=$J306),"TBO-002",IF(AND($D306="Evet",ROUND($C306*tbo_oranBesPuan,2)=$J306),"TBO-001",IF(AND($F306="Evet",ROUND($C306*tbo_oranKadinGenc,2)=$J306),"TBO-004","TBO-ENG")))))</f>
        <v/>
      </c>
      <c r="J306" s="31">
        <f>IF($A306="","",MAX(IF($D306="Evet",ROUND($C306*tbo_oranBesPuan,2),0),IF($E306="Evet",ROUND($C306*tbo_oranIlave,2),0),IF($F306="Evet",ROUND($C306*tbo_oranKadinGenc,2),0),IF($G306="Evet",ROUND($C306*tbo_isverenOran,2),0)))</f>
        <v/>
      </c>
      <c r="K306" s="31">
        <f>IF($A306="","",IF($H306="TBO-001",IF($D306="Evet",ROUND($C306*tbo_oranBesPuan,2),0),IF($H306="TBO-002",IF($E306="Evet",ROUND($C306*tbo_oranIlave,2),0),IF($H306="TBO-004",IF($F306="Evet",ROUND($C306*tbo_oranKadinGenc,2),0),IF($H306="TBO-ENG",IF($G306="Evet",ROUND($C306*tbo_isverenOran,2),0),0)))))</f>
        <v/>
      </c>
      <c r="L306" s="31">
        <f>IF($A306="","",MAX(0,$J306-$K306))</f>
        <v/>
      </c>
    </row>
    <row r="307">
      <c r="I307" s="31">
        <f>IF($A307="","",IF($J307=0,"YOK",IF(AND($E307="Evet",ROUND($C307*tbo_oranIlave,2)=$J307),"TBO-002",IF(AND($D307="Evet",ROUND($C307*tbo_oranBesPuan,2)=$J307),"TBO-001",IF(AND($F307="Evet",ROUND($C307*tbo_oranKadinGenc,2)=$J307),"TBO-004","TBO-ENG")))))</f>
        <v/>
      </c>
      <c r="J307" s="31">
        <f>IF($A307="","",MAX(IF($D307="Evet",ROUND($C307*tbo_oranBesPuan,2),0),IF($E307="Evet",ROUND($C307*tbo_oranIlave,2),0),IF($F307="Evet",ROUND($C307*tbo_oranKadinGenc,2),0),IF($G307="Evet",ROUND($C307*tbo_isverenOran,2),0)))</f>
        <v/>
      </c>
      <c r="K307" s="31">
        <f>IF($A307="","",IF($H307="TBO-001",IF($D307="Evet",ROUND($C307*tbo_oranBesPuan,2),0),IF($H307="TBO-002",IF($E307="Evet",ROUND($C307*tbo_oranIlave,2),0),IF($H307="TBO-004",IF($F307="Evet",ROUND($C307*tbo_oranKadinGenc,2),0),IF($H307="TBO-ENG",IF($G307="Evet",ROUND($C307*tbo_isverenOran,2),0),0)))))</f>
        <v/>
      </c>
      <c r="L307" s="31">
        <f>IF($A307="","",MAX(0,$J307-$K307))</f>
        <v/>
      </c>
    </row>
    <row r="308">
      <c r="I308" s="31">
        <f>IF($A308="","",IF($J308=0,"YOK",IF(AND($E308="Evet",ROUND($C308*tbo_oranIlave,2)=$J308),"TBO-002",IF(AND($D308="Evet",ROUND($C308*tbo_oranBesPuan,2)=$J308),"TBO-001",IF(AND($F308="Evet",ROUND($C308*tbo_oranKadinGenc,2)=$J308),"TBO-004","TBO-ENG")))))</f>
        <v/>
      </c>
      <c r="J308" s="31">
        <f>IF($A308="","",MAX(IF($D308="Evet",ROUND($C308*tbo_oranBesPuan,2),0),IF($E308="Evet",ROUND($C308*tbo_oranIlave,2),0),IF($F308="Evet",ROUND($C308*tbo_oranKadinGenc,2),0),IF($G308="Evet",ROUND($C308*tbo_isverenOran,2),0)))</f>
        <v/>
      </c>
      <c r="K308" s="31">
        <f>IF($A308="","",IF($H308="TBO-001",IF($D308="Evet",ROUND($C308*tbo_oranBesPuan,2),0),IF($H308="TBO-002",IF($E308="Evet",ROUND($C308*tbo_oranIlave,2),0),IF($H308="TBO-004",IF($F308="Evet",ROUND($C308*tbo_oranKadinGenc,2),0),IF($H308="TBO-ENG",IF($G308="Evet",ROUND($C308*tbo_isverenOran,2),0),0)))))</f>
        <v/>
      </c>
      <c r="L308" s="31">
        <f>IF($A308="","",MAX(0,$J308-$K308))</f>
        <v/>
      </c>
    </row>
    <row r="309">
      <c r="I309" s="31">
        <f>IF($A309="","",IF($J309=0,"YOK",IF(AND($E309="Evet",ROUND($C309*tbo_oranIlave,2)=$J309),"TBO-002",IF(AND($D309="Evet",ROUND($C309*tbo_oranBesPuan,2)=$J309),"TBO-001",IF(AND($F309="Evet",ROUND($C309*tbo_oranKadinGenc,2)=$J309),"TBO-004","TBO-ENG")))))</f>
        <v/>
      </c>
      <c r="J309" s="31">
        <f>IF($A309="","",MAX(IF($D309="Evet",ROUND($C309*tbo_oranBesPuan,2),0),IF($E309="Evet",ROUND($C309*tbo_oranIlave,2),0),IF($F309="Evet",ROUND($C309*tbo_oranKadinGenc,2),0),IF($G309="Evet",ROUND($C309*tbo_isverenOran,2),0)))</f>
        <v/>
      </c>
      <c r="K309" s="31">
        <f>IF($A309="","",IF($H309="TBO-001",IF($D309="Evet",ROUND($C309*tbo_oranBesPuan,2),0),IF($H309="TBO-002",IF($E309="Evet",ROUND($C309*tbo_oranIlave,2),0),IF($H309="TBO-004",IF($F309="Evet",ROUND($C309*tbo_oranKadinGenc,2),0),IF($H309="TBO-ENG",IF($G309="Evet",ROUND($C309*tbo_isverenOran,2),0),0)))))</f>
        <v/>
      </c>
      <c r="L309" s="31">
        <f>IF($A309="","",MAX(0,$J309-$K309))</f>
        <v/>
      </c>
    </row>
    <row r="310">
      <c r="I310" s="31">
        <f>IF($A310="","",IF($J310=0,"YOK",IF(AND($E310="Evet",ROUND($C310*tbo_oranIlave,2)=$J310),"TBO-002",IF(AND($D310="Evet",ROUND($C310*tbo_oranBesPuan,2)=$J310),"TBO-001",IF(AND($F310="Evet",ROUND($C310*tbo_oranKadinGenc,2)=$J310),"TBO-004","TBO-ENG")))))</f>
        <v/>
      </c>
      <c r="J310" s="31">
        <f>IF($A310="","",MAX(IF($D310="Evet",ROUND($C310*tbo_oranBesPuan,2),0),IF($E310="Evet",ROUND($C310*tbo_oranIlave,2),0),IF($F310="Evet",ROUND($C310*tbo_oranKadinGenc,2),0),IF($G310="Evet",ROUND($C310*tbo_isverenOran,2),0)))</f>
        <v/>
      </c>
      <c r="K310" s="31">
        <f>IF($A310="","",IF($H310="TBO-001",IF($D310="Evet",ROUND($C310*tbo_oranBesPuan,2),0),IF($H310="TBO-002",IF($E310="Evet",ROUND($C310*tbo_oranIlave,2),0),IF($H310="TBO-004",IF($F310="Evet",ROUND($C310*tbo_oranKadinGenc,2),0),IF($H310="TBO-ENG",IF($G310="Evet",ROUND($C310*tbo_isverenOran,2),0),0)))))</f>
        <v/>
      </c>
      <c r="L310" s="31">
        <f>IF($A310="","",MAX(0,$J310-$K310))</f>
        <v/>
      </c>
    </row>
    <row r="311">
      <c r="I311" s="31">
        <f>IF($A311="","",IF($J311=0,"YOK",IF(AND($E311="Evet",ROUND($C311*tbo_oranIlave,2)=$J311),"TBO-002",IF(AND($D311="Evet",ROUND($C311*tbo_oranBesPuan,2)=$J311),"TBO-001",IF(AND($F311="Evet",ROUND($C311*tbo_oranKadinGenc,2)=$J311),"TBO-004","TBO-ENG")))))</f>
        <v/>
      </c>
      <c r="J311" s="31">
        <f>IF($A311="","",MAX(IF($D311="Evet",ROUND($C311*tbo_oranBesPuan,2),0),IF($E311="Evet",ROUND($C311*tbo_oranIlave,2),0),IF($F311="Evet",ROUND($C311*tbo_oranKadinGenc,2),0),IF($G311="Evet",ROUND($C311*tbo_isverenOran,2),0)))</f>
        <v/>
      </c>
      <c r="K311" s="31">
        <f>IF($A311="","",IF($H311="TBO-001",IF($D311="Evet",ROUND($C311*tbo_oranBesPuan,2),0),IF($H311="TBO-002",IF($E311="Evet",ROUND($C311*tbo_oranIlave,2),0),IF($H311="TBO-004",IF($F311="Evet",ROUND($C311*tbo_oranKadinGenc,2),0),IF($H311="TBO-ENG",IF($G311="Evet",ROUND($C311*tbo_isverenOran,2),0),0)))))</f>
        <v/>
      </c>
      <c r="L311" s="31">
        <f>IF($A311="","",MAX(0,$J311-$K311))</f>
        <v/>
      </c>
    </row>
    <row r="312">
      <c r="I312" s="31">
        <f>IF($A312="","",IF($J312=0,"YOK",IF(AND($E312="Evet",ROUND($C312*tbo_oranIlave,2)=$J312),"TBO-002",IF(AND($D312="Evet",ROUND($C312*tbo_oranBesPuan,2)=$J312),"TBO-001",IF(AND($F312="Evet",ROUND($C312*tbo_oranKadinGenc,2)=$J312),"TBO-004","TBO-ENG")))))</f>
        <v/>
      </c>
      <c r="J312" s="31">
        <f>IF($A312="","",MAX(IF($D312="Evet",ROUND($C312*tbo_oranBesPuan,2),0),IF($E312="Evet",ROUND($C312*tbo_oranIlave,2),0),IF($F312="Evet",ROUND($C312*tbo_oranKadinGenc,2),0),IF($G312="Evet",ROUND($C312*tbo_isverenOran,2),0)))</f>
        <v/>
      </c>
      <c r="K312" s="31">
        <f>IF($A312="","",IF($H312="TBO-001",IF($D312="Evet",ROUND($C312*tbo_oranBesPuan,2),0),IF($H312="TBO-002",IF($E312="Evet",ROUND($C312*tbo_oranIlave,2),0),IF($H312="TBO-004",IF($F312="Evet",ROUND($C312*tbo_oranKadinGenc,2),0),IF($H312="TBO-ENG",IF($G312="Evet",ROUND($C312*tbo_isverenOran,2),0),0)))))</f>
        <v/>
      </c>
      <c r="L312" s="31">
        <f>IF($A312="","",MAX(0,$J312-$K312))</f>
        <v/>
      </c>
    </row>
    <row r="313">
      <c r="I313" s="31">
        <f>IF($A313="","",IF($J313=0,"YOK",IF(AND($E313="Evet",ROUND($C313*tbo_oranIlave,2)=$J313),"TBO-002",IF(AND($D313="Evet",ROUND($C313*tbo_oranBesPuan,2)=$J313),"TBO-001",IF(AND($F313="Evet",ROUND($C313*tbo_oranKadinGenc,2)=$J313),"TBO-004","TBO-ENG")))))</f>
        <v/>
      </c>
      <c r="J313" s="31">
        <f>IF($A313="","",MAX(IF($D313="Evet",ROUND($C313*tbo_oranBesPuan,2),0),IF($E313="Evet",ROUND($C313*tbo_oranIlave,2),0),IF($F313="Evet",ROUND($C313*tbo_oranKadinGenc,2),0),IF($G313="Evet",ROUND($C313*tbo_isverenOran,2),0)))</f>
        <v/>
      </c>
      <c r="K313" s="31">
        <f>IF($A313="","",IF($H313="TBO-001",IF($D313="Evet",ROUND($C313*tbo_oranBesPuan,2),0),IF($H313="TBO-002",IF($E313="Evet",ROUND($C313*tbo_oranIlave,2),0),IF($H313="TBO-004",IF($F313="Evet",ROUND($C313*tbo_oranKadinGenc,2),0),IF($H313="TBO-ENG",IF($G313="Evet",ROUND($C313*tbo_isverenOran,2),0),0)))))</f>
        <v/>
      </c>
      <c r="L313" s="31">
        <f>IF($A313="","",MAX(0,$J313-$K313))</f>
        <v/>
      </c>
    </row>
    <row r="314">
      <c r="I314" s="31">
        <f>IF($A314="","",IF($J314=0,"YOK",IF(AND($E314="Evet",ROUND($C314*tbo_oranIlave,2)=$J314),"TBO-002",IF(AND($D314="Evet",ROUND($C314*tbo_oranBesPuan,2)=$J314),"TBO-001",IF(AND($F314="Evet",ROUND($C314*tbo_oranKadinGenc,2)=$J314),"TBO-004","TBO-ENG")))))</f>
        <v/>
      </c>
      <c r="J314" s="31">
        <f>IF($A314="","",MAX(IF($D314="Evet",ROUND($C314*tbo_oranBesPuan,2),0),IF($E314="Evet",ROUND($C314*tbo_oranIlave,2),0),IF($F314="Evet",ROUND($C314*tbo_oranKadinGenc,2),0),IF($G314="Evet",ROUND($C314*tbo_isverenOran,2),0)))</f>
        <v/>
      </c>
      <c r="K314" s="31">
        <f>IF($A314="","",IF($H314="TBO-001",IF($D314="Evet",ROUND($C314*tbo_oranBesPuan,2),0),IF($H314="TBO-002",IF($E314="Evet",ROUND($C314*tbo_oranIlave,2),0),IF($H314="TBO-004",IF($F314="Evet",ROUND($C314*tbo_oranKadinGenc,2),0),IF($H314="TBO-ENG",IF($G314="Evet",ROUND($C314*tbo_isverenOran,2),0),0)))))</f>
        <v/>
      </c>
      <c r="L314" s="31">
        <f>IF($A314="","",MAX(0,$J314-$K314))</f>
        <v/>
      </c>
    </row>
    <row r="315">
      <c r="I315" s="31">
        <f>IF($A315="","",IF($J315=0,"YOK",IF(AND($E315="Evet",ROUND($C315*tbo_oranIlave,2)=$J315),"TBO-002",IF(AND($D315="Evet",ROUND($C315*tbo_oranBesPuan,2)=$J315),"TBO-001",IF(AND($F315="Evet",ROUND($C315*tbo_oranKadinGenc,2)=$J315),"TBO-004","TBO-ENG")))))</f>
        <v/>
      </c>
      <c r="J315" s="31">
        <f>IF($A315="","",MAX(IF($D315="Evet",ROUND($C315*tbo_oranBesPuan,2),0),IF($E315="Evet",ROUND($C315*tbo_oranIlave,2),0),IF($F315="Evet",ROUND($C315*tbo_oranKadinGenc,2),0),IF($G315="Evet",ROUND($C315*tbo_isverenOran,2),0)))</f>
        <v/>
      </c>
      <c r="K315" s="31">
        <f>IF($A315="","",IF($H315="TBO-001",IF($D315="Evet",ROUND($C315*tbo_oranBesPuan,2),0),IF($H315="TBO-002",IF($E315="Evet",ROUND($C315*tbo_oranIlave,2),0),IF($H315="TBO-004",IF($F315="Evet",ROUND($C315*tbo_oranKadinGenc,2),0),IF($H315="TBO-ENG",IF($G315="Evet",ROUND($C315*tbo_isverenOran,2),0),0)))))</f>
        <v/>
      </c>
      <c r="L315" s="31">
        <f>IF($A315="","",MAX(0,$J315-$K315))</f>
        <v/>
      </c>
    </row>
    <row r="316">
      <c r="I316" s="31">
        <f>IF($A316="","",IF($J316=0,"YOK",IF(AND($E316="Evet",ROUND($C316*tbo_oranIlave,2)=$J316),"TBO-002",IF(AND($D316="Evet",ROUND($C316*tbo_oranBesPuan,2)=$J316),"TBO-001",IF(AND($F316="Evet",ROUND($C316*tbo_oranKadinGenc,2)=$J316),"TBO-004","TBO-ENG")))))</f>
        <v/>
      </c>
      <c r="J316" s="31">
        <f>IF($A316="","",MAX(IF($D316="Evet",ROUND($C316*tbo_oranBesPuan,2),0),IF($E316="Evet",ROUND($C316*tbo_oranIlave,2),0),IF($F316="Evet",ROUND($C316*tbo_oranKadinGenc,2),0),IF($G316="Evet",ROUND($C316*tbo_isverenOran,2),0)))</f>
        <v/>
      </c>
      <c r="K316" s="31">
        <f>IF($A316="","",IF($H316="TBO-001",IF($D316="Evet",ROUND($C316*tbo_oranBesPuan,2),0),IF($H316="TBO-002",IF($E316="Evet",ROUND($C316*tbo_oranIlave,2),0),IF($H316="TBO-004",IF($F316="Evet",ROUND($C316*tbo_oranKadinGenc,2),0),IF($H316="TBO-ENG",IF($G316="Evet",ROUND($C316*tbo_isverenOran,2),0),0)))))</f>
        <v/>
      </c>
      <c r="L316" s="31">
        <f>IF($A316="","",MAX(0,$J316-$K316))</f>
        <v/>
      </c>
    </row>
    <row r="317">
      <c r="I317" s="31">
        <f>IF($A317="","",IF($J317=0,"YOK",IF(AND($E317="Evet",ROUND($C317*tbo_oranIlave,2)=$J317),"TBO-002",IF(AND($D317="Evet",ROUND($C317*tbo_oranBesPuan,2)=$J317),"TBO-001",IF(AND($F317="Evet",ROUND($C317*tbo_oranKadinGenc,2)=$J317),"TBO-004","TBO-ENG")))))</f>
        <v/>
      </c>
      <c r="J317" s="31">
        <f>IF($A317="","",MAX(IF($D317="Evet",ROUND($C317*tbo_oranBesPuan,2),0),IF($E317="Evet",ROUND($C317*tbo_oranIlave,2),0),IF($F317="Evet",ROUND($C317*tbo_oranKadinGenc,2),0),IF($G317="Evet",ROUND($C317*tbo_isverenOran,2),0)))</f>
        <v/>
      </c>
      <c r="K317" s="31">
        <f>IF($A317="","",IF($H317="TBO-001",IF($D317="Evet",ROUND($C317*tbo_oranBesPuan,2),0),IF($H317="TBO-002",IF($E317="Evet",ROUND($C317*tbo_oranIlave,2),0),IF($H317="TBO-004",IF($F317="Evet",ROUND($C317*tbo_oranKadinGenc,2),0),IF($H317="TBO-ENG",IF($G317="Evet",ROUND($C317*tbo_isverenOran,2),0),0)))))</f>
        <v/>
      </c>
      <c r="L317" s="31">
        <f>IF($A317="","",MAX(0,$J317-$K317))</f>
        <v/>
      </c>
    </row>
    <row r="318">
      <c r="I318" s="31">
        <f>IF($A318="","",IF($J318=0,"YOK",IF(AND($E318="Evet",ROUND($C318*tbo_oranIlave,2)=$J318),"TBO-002",IF(AND($D318="Evet",ROUND($C318*tbo_oranBesPuan,2)=$J318),"TBO-001",IF(AND($F318="Evet",ROUND($C318*tbo_oranKadinGenc,2)=$J318),"TBO-004","TBO-ENG")))))</f>
        <v/>
      </c>
      <c r="J318" s="31">
        <f>IF($A318="","",MAX(IF($D318="Evet",ROUND($C318*tbo_oranBesPuan,2),0),IF($E318="Evet",ROUND($C318*tbo_oranIlave,2),0),IF($F318="Evet",ROUND($C318*tbo_oranKadinGenc,2),0),IF($G318="Evet",ROUND($C318*tbo_isverenOran,2),0)))</f>
        <v/>
      </c>
      <c r="K318" s="31">
        <f>IF($A318="","",IF($H318="TBO-001",IF($D318="Evet",ROUND($C318*tbo_oranBesPuan,2),0),IF($H318="TBO-002",IF($E318="Evet",ROUND($C318*tbo_oranIlave,2),0),IF($H318="TBO-004",IF($F318="Evet",ROUND($C318*tbo_oranKadinGenc,2),0),IF($H318="TBO-ENG",IF($G318="Evet",ROUND($C318*tbo_isverenOran,2),0),0)))))</f>
        <v/>
      </c>
      <c r="L318" s="31">
        <f>IF($A318="","",MAX(0,$J318-$K318))</f>
        <v/>
      </c>
    </row>
    <row r="319">
      <c r="I319" s="31">
        <f>IF($A319="","",IF($J319=0,"YOK",IF(AND($E319="Evet",ROUND($C319*tbo_oranIlave,2)=$J319),"TBO-002",IF(AND($D319="Evet",ROUND($C319*tbo_oranBesPuan,2)=$J319),"TBO-001",IF(AND($F319="Evet",ROUND($C319*tbo_oranKadinGenc,2)=$J319),"TBO-004","TBO-ENG")))))</f>
        <v/>
      </c>
      <c r="J319" s="31">
        <f>IF($A319="","",MAX(IF($D319="Evet",ROUND($C319*tbo_oranBesPuan,2),0),IF($E319="Evet",ROUND($C319*tbo_oranIlave,2),0),IF($F319="Evet",ROUND($C319*tbo_oranKadinGenc,2),0),IF($G319="Evet",ROUND($C319*tbo_isverenOran,2),0)))</f>
        <v/>
      </c>
      <c r="K319" s="31">
        <f>IF($A319="","",IF($H319="TBO-001",IF($D319="Evet",ROUND($C319*tbo_oranBesPuan,2),0),IF($H319="TBO-002",IF($E319="Evet",ROUND($C319*tbo_oranIlave,2),0),IF($H319="TBO-004",IF($F319="Evet",ROUND($C319*tbo_oranKadinGenc,2),0),IF($H319="TBO-ENG",IF($G319="Evet",ROUND($C319*tbo_isverenOran,2),0),0)))))</f>
        <v/>
      </c>
      <c r="L319" s="31">
        <f>IF($A319="","",MAX(0,$J319-$K319))</f>
        <v/>
      </c>
    </row>
    <row r="320">
      <c r="I320" s="31">
        <f>IF($A320="","",IF($J320=0,"YOK",IF(AND($E320="Evet",ROUND($C320*tbo_oranIlave,2)=$J320),"TBO-002",IF(AND($D320="Evet",ROUND($C320*tbo_oranBesPuan,2)=$J320),"TBO-001",IF(AND($F320="Evet",ROUND($C320*tbo_oranKadinGenc,2)=$J320),"TBO-004","TBO-ENG")))))</f>
        <v/>
      </c>
      <c r="J320" s="31">
        <f>IF($A320="","",MAX(IF($D320="Evet",ROUND($C320*tbo_oranBesPuan,2),0),IF($E320="Evet",ROUND($C320*tbo_oranIlave,2),0),IF($F320="Evet",ROUND($C320*tbo_oranKadinGenc,2),0),IF($G320="Evet",ROUND($C320*tbo_isverenOran,2),0)))</f>
        <v/>
      </c>
      <c r="K320" s="31">
        <f>IF($A320="","",IF($H320="TBO-001",IF($D320="Evet",ROUND($C320*tbo_oranBesPuan,2),0),IF($H320="TBO-002",IF($E320="Evet",ROUND($C320*tbo_oranIlave,2),0),IF($H320="TBO-004",IF($F320="Evet",ROUND($C320*tbo_oranKadinGenc,2),0),IF($H320="TBO-ENG",IF($G320="Evet",ROUND($C320*tbo_isverenOran,2),0),0)))))</f>
        <v/>
      </c>
      <c r="L320" s="31">
        <f>IF($A320="","",MAX(0,$J320-$K320))</f>
        <v/>
      </c>
    </row>
    <row r="321">
      <c r="I321" s="31">
        <f>IF($A321="","",IF($J321=0,"YOK",IF(AND($E321="Evet",ROUND($C321*tbo_oranIlave,2)=$J321),"TBO-002",IF(AND($D321="Evet",ROUND($C321*tbo_oranBesPuan,2)=$J321),"TBO-001",IF(AND($F321="Evet",ROUND($C321*tbo_oranKadinGenc,2)=$J321),"TBO-004","TBO-ENG")))))</f>
        <v/>
      </c>
      <c r="J321" s="31">
        <f>IF($A321="","",MAX(IF($D321="Evet",ROUND($C321*tbo_oranBesPuan,2),0),IF($E321="Evet",ROUND($C321*tbo_oranIlave,2),0),IF($F321="Evet",ROUND($C321*tbo_oranKadinGenc,2),0),IF($G321="Evet",ROUND($C321*tbo_isverenOran,2),0)))</f>
        <v/>
      </c>
      <c r="K321" s="31">
        <f>IF($A321="","",IF($H321="TBO-001",IF($D321="Evet",ROUND($C321*tbo_oranBesPuan,2),0),IF($H321="TBO-002",IF($E321="Evet",ROUND($C321*tbo_oranIlave,2),0),IF($H321="TBO-004",IF($F321="Evet",ROUND($C321*tbo_oranKadinGenc,2),0),IF($H321="TBO-ENG",IF($G321="Evet",ROUND($C321*tbo_isverenOran,2),0),0)))))</f>
        <v/>
      </c>
      <c r="L321" s="31">
        <f>IF($A321="","",MAX(0,$J321-$K321))</f>
        <v/>
      </c>
    </row>
    <row r="322">
      <c r="I322" s="31">
        <f>IF($A322="","",IF($J322=0,"YOK",IF(AND($E322="Evet",ROUND($C322*tbo_oranIlave,2)=$J322),"TBO-002",IF(AND($D322="Evet",ROUND($C322*tbo_oranBesPuan,2)=$J322),"TBO-001",IF(AND($F322="Evet",ROUND($C322*tbo_oranKadinGenc,2)=$J322),"TBO-004","TBO-ENG")))))</f>
        <v/>
      </c>
      <c r="J322" s="31">
        <f>IF($A322="","",MAX(IF($D322="Evet",ROUND($C322*tbo_oranBesPuan,2),0),IF($E322="Evet",ROUND($C322*tbo_oranIlave,2),0),IF($F322="Evet",ROUND($C322*tbo_oranKadinGenc,2),0),IF($G322="Evet",ROUND($C322*tbo_isverenOran,2),0)))</f>
        <v/>
      </c>
      <c r="K322" s="31">
        <f>IF($A322="","",IF($H322="TBO-001",IF($D322="Evet",ROUND($C322*tbo_oranBesPuan,2),0),IF($H322="TBO-002",IF($E322="Evet",ROUND($C322*tbo_oranIlave,2),0),IF($H322="TBO-004",IF($F322="Evet",ROUND($C322*tbo_oranKadinGenc,2),0),IF($H322="TBO-ENG",IF($G322="Evet",ROUND($C322*tbo_isverenOran,2),0),0)))))</f>
        <v/>
      </c>
      <c r="L322" s="31">
        <f>IF($A322="","",MAX(0,$J322-$K322))</f>
        <v/>
      </c>
    </row>
    <row r="323">
      <c r="I323" s="31">
        <f>IF($A323="","",IF($J323=0,"YOK",IF(AND($E323="Evet",ROUND($C323*tbo_oranIlave,2)=$J323),"TBO-002",IF(AND($D323="Evet",ROUND($C323*tbo_oranBesPuan,2)=$J323),"TBO-001",IF(AND($F323="Evet",ROUND($C323*tbo_oranKadinGenc,2)=$J323),"TBO-004","TBO-ENG")))))</f>
        <v/>
      </c>
      <c r="J323" s="31">
        <f>IF($A323="","",MAX(IF($D323="Evet",ROUND($C323*tbo_oranBesPuan,2),0),IF($E323="Evet",ROUND($C323*tbo_oranIlave,2),0),IF($F323="Evet",ROUND($C323*tbo_oranKadinGenc,2),0),IF($G323="Evet",ROUND($C323*tbo_isverenOran,2),0)))</f>
        <v/>
      </c>
      <c r="K323" s="31">
        <f>IF($A323="","",IF($H323="TBO-001",IF($D323="Evet",ROUND($C323*tbo_oranBesPuan,2),0),IF($H323="TBO-002",IF($E323="Evet",ROUND($C323*tbo_oranIlave,2),0),IF($H323="TBO-004",IF($F323="Evet",ROUND($C323*tbo_oranKadinGenc,2),0),IF($H323="TBO-ENG",IF($G323="Evet",ROUND($C323*tbo_isverenOran,2),0),0)))))</f>
        <v/>
      </c>
      <c r="L323" s="31">
        <f>IF($A323="","",MAX(0,$J323-$K323))</f>
        <v/>
      </c>
    </row>
    <row r="324">
      <c r="I324" s="31">
        <f>IF($A324="","",IF($J324=0,"YOK",IF(AND($E324="Evet",ROUND($C324*tbo_oranIlave,2)=$J324),"TBO-002",IF(AND($D324="Evet",ROUND($C324*tbo_oranBesPuan,2)=$J324),"TBO-001",IF(AND($F324="Evet",ROUND($C324*tbo_oranKadinGenc,2)=$J324),"TBO-004","TBO-ENG")))))</f>
        <v/>
      </c>
      <c r="J324" s="31">
        <f>IF($A324="","",MAX(IF($D324="Evet",ROUND($C324*tbo_oranBesPuan,2),0),IF($E324="Evet",ROUND($C324*tbo_oranIlave,2),0),IF($F324="Evet",ROUND($C324*tbo_oranKadinGenc,2),0),IF($G324="Evet",ROUND($C324*tbo_isverenOran,2),0)))</f>
        <v/>
      </c>
      <c r="K324" s="31">
        <f>IF($A324="","",IF($H324="TBO-001",IF($D324="Evet",ROUND($C324*tbo_oranBesPuan,2),0),IF($H324="TBO-002",IF($E324="Evet",ROUND($C324*tbo_oranIlave,2),0),IF($H324="TBO-004",IF($F324="Evet",ROUND($C324*tbo_oranKadinGenc,2),0),IF($H324="TBO-ENG",IF($G324="Evet",ROUND($C324*tbo_isverenOran,2),0),0)))))</f>
        <v/>
      </c>
      <c r="L324" s="31">
        <f>IF($A324="","",MAX(0,$J324-$K324))</f>
        <v/>
      </c>
    </row>
    <row r="325">
      <c r="I325" s="31">
        <f>IF($A325="","",IF($J325=0,"YOK",IF(AND($E325="Evet",ROUND($C325*tbo_oranIlave,2)=$J325),"TBO-002",IF(AND($D325="Evet",ROUND($C325*tbo_oranBesPuan,2)=$J325),"TBO-001",IF(AND($F325="Evet",ROUND($C325*tbo_oranKadinGenc,2)=$J325),"TBO-004","TBO-ENG")))))</f>
        <v/>
      </c>
      <c r="J325" s="31">
        <f>IF($A325="","",MAX(IF($D325="Evet",ROUND($C325*tbo_oranBesPuan,2),0),IF($E325="Evet",ROUND($C325*tbo_oranIlave,2),0),IF($F325="Evet",ROUND($C325*tbo_oranKadinGenc,2),0),IF($G325="Evet",ROUND($C325*tbo_isverenOran,2),0)))</f>
        <v/>
      </c>
      <c r="K325" s="31">
        <f>IF($A325="","",IF($H325="TBO-001",IF($D325="Evet",ROUND($C325*tbo_oranBesPuan,2),0),IF($H325="TBO-002",IF($E325="Evet",ROUND($C325*tbo_oranIlave,2),0),IF($H325="TBO-004",IF($F325="Evet",ROUND($C325*tbo_oranKadinGenc,2),0),IF($H325="TBO-ENG",IF($G325="Evet",ROUND($C325*tbo_isverenOran,2),0),0)))))</f>
        <v/>
      </c>
      <c r="L325" s="31">
        <f>IF($A325="","",MAX(0,$J325-$K325))</f>
        <v/>
      </c>
    </row>
    <row r="326">
      <c r="I326" s="31">
        <f>IF($A326="","",IF($J326=0,"YOK",IF(AND($E326="Evet",ROUND($C326*tbo_oranIlave,2)=$J326),"TBO-002",IF(AND($D326="Evet",ROUND($C326*tbo_oranBesPuan,2)=$J326),"TBO-001",IF(AND($F326="Evet",ROUND($C326*tbo_oranKadinGenc,2)=$J326),"TBO-004","TBO-ENG")))))</f>
        <v/>
      </c>
      <c r="J326" s="31">
        <f>IF($A326="","",MAX(IF($D326="Evet",ROUND($C326*tbo_oranBesPuan,2),0),IF($E326="Evet",ROUND($C326*tbo_oranIlave,2),0),IF($F326="Evet",ROUND($C326*tbo_oranKadinGenc,2),0),IF($G326="Evet",ROUND($C326*tbo_isverenOran,2),0)))</f>
        <v/>
      </c>
      <c r="K326" s="31">
        <f>IF($A326="","",IF($H326="TBO-001",IF($D326="Evet",ROUND($C326*tbo_oranBesPuan,2),0),IF($H326="TBO-002",IF($E326="Evet",ROUND($C326*tbo_oranIlave,2),0),IF($H326="TBO-004",IF($F326="Evet",ROUND($C326*tbo_oranKadinGenc,2),0),IF($H326="TBO-ENG",IF($G326="Evet",ROUND($C326*tbo_isverenOran,2),0),0)))))</f>
        <v/>
      </c>
      <c r="L326" s="31">
        <f>IF($A326="","",MAX(0,$J326-$K326))</f>
        <v/>
      </c>
    </row>
    <row r="327">
      <c r="I327" s="31">
        <f>IF($A327="","",IF($J327=0,"YOK",IF(AND($E327="Evet",ROUND($C327*tbo_oranIlave,2)=$J327),"TBO-002",IF(AND($D327="Evet",ROUND($C327*tbo_oranBesPuan,2)=$J327),"TBO-001",IF(AND($F327="Evet",ROUND($C327*tbo_oranKadinGenc,2)=$J327),"TBO-004","TBO-ENG")))))</f>
        <v/>
      </c>
      <c r="J327" s="31">
        <f>IF($A327="","",MAX(IF($D327="Evet",ROUND($C327*tbo_oranBesPuan,2),0),IF($E327="Evet",ROUND($C327*tbo_oranIlave,2),0),IF($F327="Evet",ROUND($C327*tbo_oranKadinGenc,2),0),IF($G327="Evet",ROUND($C327*tbo_isverenOran,2),0)))</f>
        <v/>
      </c>
      <c r="K327" s="31">
        <f>IF($A327="","",IF($H327="TBO-001",IF($D327="Evet",ROUND($C327*tbo_oranBesPuan,2),0),IF($H327="TBO-002",IF($E327="Evet",ROUND($C327*tbo_oranIlave,2),0),IF($H327="TBO-004",IF($F327="Evet",ROUND($C327*tbo_oranKadinGenc,2),0),IF($H327="TBO-ENG",IF($G327="Evet",ROUND($C327*tbo_isverenOran,2),0),0)))))</f>
        <v/>
      </c>
      <c r="L327" s="31">
        <f>IF($A327="","",MAX(0,$J327-$K327))</f>
        <v/>
      </c>
    </row>
    <row r="328">
      <c r="I328" s="31">
        <f>IF($A328="","",IF($J328=0,"YOK",IF(AND($E328="Evet",ROUND($C328*tbo_oranIlave,2)=$J328),"TBO-002",IF(AND($D328="Evet",ROUND($C328*tbo_oranBesPuan,2)=$J328),"TBO-001",IF(AND($F328="Evet",ROUND($C328*tbo_oranKadinGenc,2)=$J328),"TBO-004","TBO-ENG")))))</f>
        <v/>
      </c>
      <c r="J328" s="31">
        <f>IF($A328="","",MAX(IF($D328="Evet",ROUND($C328*tbo_oranBesPuan,2),0),IF($E328="Evet",ROUND($C328*tbo_oranIlave,2),0),IF($F328="Evet",ROUND($C328*tbo_oranKadinGenc,2),0),IF($G328="Evet",ROUND($C328*tbo_isverenOran,2),0)))</f>
        <v/>
      </c>
      <c r="K328" s="31">
        <f>IF($A328="","",IF($H328="TBO-001",IF($D328="Evet",ROUND($C328*tbo_oranBesPuan,2),0),IF($H328="TBO-002",IF($E328="Evet",ROUND($C328*tbo_oranIlave,2),0),IF($H328="TBO-004",IF($F328="Evet",ROUND($C328*tbo_oranKadinGenc,2),0),IF($H328="TBO-ENG",IF($G328="Evet",ROUND($C328*tbo_isverenOran,2),0),0)))))</f>
        <v/>
      </c>
      <c r="L328" s="31">
        <f>IF($A328="","",MAX(0,$J328-$K328))</f>
        <v/>
      </c>
    </row>
    <row r="329">
      <c r="I329" s="31">
        <f>IF($A329="","",IF($J329=0,"YOK",IF(AND($E329="Evet",ROUND($C329*tbo_oranIlave,2)=$J329),"TBO-002",IF(AND($D329="Evet",ROUND($C329*tbo_oranBesPuan,2)=$J329),"TBO-001",IF(AND($F329="Evet",ROUND($C329*tbo_oranKadinGenc,2)=$J329),"TBO-004","TBO-ENG")))))</f>
        <v/>
      </c>
      <c r="J329" s="31">
        <f>IF($A329="","",MAX(IF($D329="Evet",ROUND($C329*tbo_oranBesPuan,2),0),IF($E329="Evet",ROUND($C329*tbo_oranIlave,2),0),IF($F329="Evet",ROUND($C329*tbo_oranKadinGenc,2),0),IF($G329="Evet",ROUND($C329*tbo_isverenOran,2),0)))</f>
        <v/>
      </c>
      <c r="K329" s="31">
        <f>IF($A329="","",IF($H329="TBO-001",IF($D329="Evet",ROUND($C329*tbo_oranBesPuan,2),0),IF($H329="TBO-002",IF($E329="Evet",ROUND($C329*tbo_oranIlave,2),0),IF($H329="TBO-004",IF($F329="Evet",ROUND($C329*tbo_oranKadinGenc,2),0),IF($H329="TBO-ENG",IF($G329="Evet",ROUND($C329*tbo_isverenOran,2),0),0)))))</f>
        <v/>
      </c>
      <c r="L329" s="31">
        <f>IF($A329="","",MAX(0,$J329-$K329))</f>
        <v/>
      </c>
    </row>
    <row r="330">
      <c r="I330" s="31">
        <f>IF($A330="","",IF($J330=0,"YOK",IF(AND($E330="Evet",ROUND($C330*tbo_oranIlave,2)=$J330),"TBO-002",IF(AND($D330="Evet",ROUND($C330*tbo_oranBesPuan,2)=$J330),"TBO-001",IF(AND($F330="Evet",ROUND($C330*tbo_oranKadinGenc,2)=$J330),"TBO-004","TBO-ENG")))))</f>
        <v/>
      </c>
      <c r="J330" s="31">
        <f>IF($A330="","",MAX(IF($D330="Evet",ROUND($C330*tbo_oranBesPuan,2),0),IF($E330="Evet",ROUND($C330*tbo_oranIlave,2),0),IF($F330="Evet",ROUND($C330*tbo_oranKadinGenc,2),0),IF($G330="Evet",ROUND($C330*tbo_isverenOran,2),0)))</f>
        <v/>
      </c>
      <c r="K330" s="31">
        <f>IF($A330="","",IF($H330="TBO-001",IF($D330="Evet",ROUND($C330*tbo_oranBesPuan,2),0),IF($H330="TBO-002",IF($E330="Evet",ROUND($C330*tbo_oranIlave,2),0),IF($H330="TBO-004",IF($F330="Evet",ROUND($C330*tbo_oranKadinGenc,2),0),IF($H330="TBO-ENG",IF($G330="Evet",ROUND($C330*tbo_isverenOran,2),0),0)))))</f>
        <v/>
      </c>
      <c r="L330" s="31">
        <f>IF($A330="","",MAX(0,$J330-$K330))</f>
        <v/>
      </c>
    </row>
    <row r="331">
      <c r="I331" s="31">
        <f>IF($A331="","",IF($J331=0,"YOK",IF(AND($E331="Evet",ROUND($C331*tbo_oranIlave,2)=$J331),"TBO-002",IF(AND($D331="Evet",ROUND($C331*tbo_oranBesPuan,2)=$J331),"TBO-001",IF(AND($F331="Evet",ROUND($C331*tbo_oranKadinGenc,2)=$J331),"TBO-004","TBO-ENG")))))</f>
        <v/>
      </c>
      <c r="J331" s="31">
        <f>IF($A331="","",MAX(IF($D331="Evet",ROUND($C331*tbo_oranBesPuan,2),0),IF($E331="Evet",ROUND($C331*tbo_oranIlave,2),0),IF($F331="Evet",ROUND($C331*tbo_oranKadinGenc,2),0),IF($G331="Evet",ROUND($C331*tbo_isverenOran,2),0)))</f>
        <v/>
      </c>
      <c r="K331" s="31">
        <f>IF($A331="","",IF($H331="TBO-001",IF($D331="Evet",ROUND($C331*tbo_oranBesPuan,2),0),IF($H331="TBO-002",IF($E331="Evet",ROUND($C331*tbo_oranIlave,2),0),IF($H331="TBO-004",IF($F331="Evet",ROUND($C331*tbo_oranKadinGenc,2),0),IF($H331="TBO-ENG",IF($G331="Evet",ROUND($C331*tbo_isverenOran,2),0),0)))))</f>
        <v/>
      </c>
      <c r="L331" s="31">
        <f>IF($A331="","",MAX(0,$J331-$K331))</f>
        <v/>
      </c>
    </row>
    <row r="332">
      <c r="I332" s="31">
        <f>IF($A332="","",IF($J332=0,"YOK",IF(AND($E332="Evet",ROUND($C332*tbo_oranIlave,2)=$J332),"TBO-002",IF(AND($D332="Evet",ROUND($C332*tbo_oranBesPuan,2)=$J332),"TBO-001",IF(AND($F332="Evet",ROUND($C332*tbo_oranKadinGenc,2)=$J332),"TBO-004","TBO-ENG")))))</f>
        <v/>
      </c>
      <c r="J332" s="31">
        <f>IF($A332="","",MAX(IF($D332="Evet",ROUND($C332*tbo_oranBesPuan,2),0),IF($E332="Evet",ROUND($C332*tbo_oranIlave,2),0),IF($F332="Evet",ROUND($C332*tbo_oranKadinGenc,2),0),IF($G332="Evet",ROUND($C332*tbo_isverenOran,2),0)))</f>
        <v/>
      </c>
      <c r="K332" s="31">
        <f>IF($A332="","",IF($H332="TBO-001",IF($D332="Evet",ROUND($C332*tbo_oranBesPuan,2),0),IF($H332="TBO-002",IF($E332="Evet",ROUND($C332*tbo_oranIlave,2),0),IF($H332="TBO-004",IF($F332="Evet",ROUND($C332*tbo_oranKadinGenc,2),0),IF($H332="TBO-ENG",IF($G332="Evet",ROUND($C332*tbo_isverenOran,2),0),0)))))</f>
        <v/>
      </c>
      <c r="L332" s="31">
        <f>IF($A332="","",MAX(0,$J332-$K332))</f>
        <v/>
      </c>
    </row>
    <row r="333">
      <c r="I333" s="31">
        <f>IF($A333="","",IF($J333=0,"YOK",IF(AND($E333="Evet",ROUND($C333*tbo_oranIlave,2)=$J333),"TBO-002",IF(AND($D333="Evet",ROUND($C333*tbo_oranBesPuan,2)=$J333),"TBO-001",IF(AND($F333="Evet",ROUND($C333*tbo_oranKadinGenc,2)=$J333),"TBO-004","TBO-ENG")))))</f>
        <v/>
      </c>
      <c r="J333" s="31">
        <f>IF($A333="","",MAX(IF($D333="Evet",ROUND($C333*tbo_oranBesPuan,2),0),IF($E333="Evet",ROUND($C333*tbo_oranIlave,2),0),IF($F333="Evet",ROUND($C333*tbo_oranKadinGenc,2),0),IF($G333="Evet",ROUND($C333*tbo_isverenOran,2),0)))</f>
        <v/>
      </c>
      <c r="K333" s="31">
        <f>IF($A333="","",IF($H333="TBO-001",IF($D333="Evet",ROUND($C333*tbo_oranBesPuan,2),0),IF($H333="TBO-002",IF($E333="Evet",ROUND($C333*tbo_oranIlave,2),0),IF($H333="TBO-004",IF($F333="Evet",ROUND($C333*tbo_oranKadinGenc,2),0),IF($H333="TBO-ENG",IF($G333="Evet",ROUND($C333*tbo_isverenOran,2),0),0)))))</f>
        <v/>
      </c>
      <c r="L333" s="31">
        <f>IF($A333="","",MAX(0,$J333-$K333))</f>
        <v/>
      </c>
    </row>
    <row r="334">
      <c r="I334" s="31">
        <f>IF($A334="","",IF($J334=0,"YOK",IF(AND($E334="Evet",ROUND($C334*tbo_oranIlave,2)=$J334),"TBO-002",IF(AND($D334="Evet",ROUND($C334*tbo_oranBesPuan,2)=$J334),"TBO-001",IF(AND($F334="Evet",ROUND($C334*tbo_oranKadinGenc,2)=$J334),"TBO-004","TBO-ENG")))))</f>
        <v/>
      </c>
      <c r="J334" s="31">
        <f>IF($A334="","",MAX(IF($D334="Evet",ROUND($C334*tbo_oranBesPuan,2),0),IF($E334="Evet",ROUND($C334*tbo_oranIlave,2),0),IF($F334="Evet",ROUND($C334*tbo_oranKadinGenc,2),0),IF($G334="Evet",ROUND($C334*tbo_isverenOran,2),0)))</f>
        <v/>
      </c>
      <c r="K334" s="31">
        <f>IF($A334="","",IF($H334="TBO-001",IF($D334="Evet",ROUND($C334*tbo_oranBesPuan,2),0),IF($H334="TBO-002",IF($E334="Evet",ROUND($C334*tbo_oranIlave,2),0),IF($H334="TBO-004",IF($F334="Evet",ROUND($C334*tbo_oranKadinGenc,2),0),IF($H334="TBO-ENG",IF($G334="Evet",ROUND($C334*tbo_isverenOran,2),0),0)))))</f>
        <v/>
      </c>
      <c r="L334" s="31">
        <f>IF($A334="","",MAX(0,$J334-$K334))</f>
        <v/>
      </c>
    </row>
    <row r="335">
      <c r="I335" s="31">
        <f>IF($A335="","",IF($J335=0,"YOK",IF(AND($E335="Evet",ROUND($C335*tbo_oranIlave,2)=$J335),"TBO-002",IF(AND($D335="Evet",ROUND($C335*tbo_oranBesPuan,2)=$J335),"TBO-001",IF(AND($F335="Evet",ROUND($C335*tbo_oranKadinGenc,2)=$J335),"TBO-004","TBO-ENG")))))</f>
        <v/>
      </c>
      <c r="J335" s="31">
        <f>IF($A335="","",MAX(IF($D335="Evet",ROUND($C335*tbo_oranBesPuan,2),0),IF($E335="Evet",ROUND($C335*tbo_oranIlave,2),0),IF($F335="Evet",ROUND($C335*tbo_oranKadinGenc,2),0),IF($G335="Evet",ROUND($C335*tbo_isverenOran,2),0)))</f>
        <v/>
      </c>
      <c r="K335" s="31">
        <f>IF($A335="","",IF($H335="TBO-001",IF($D335="Evet",ROUND($C335*tbo_oranBesPuan,2),0),IF($H335="TBO-002",IF($E335="Evet",ROUND($C335*tbo_oranIlave,2),0),IF($H335="TBO-004",IF($F335="Evet",ROUND($C335*tbo_oranKadinGenc,2),0),IF($H335="TBO-ENG",IF($G335="Evet",ROUND($C335*tbo_isverenOran,2),0),0)))))</f>
        <v/>
      </c>
      <c r="L335" s="31">
        <f>IF($A335="","",MAX(0,$J335-$K335))</f>
        <v/>
      </c>
    </row>
    <row r="336">
      <c r="I336" s="31">
        <f>IF($A336="","",IF($J336=0,"YOK",IF(AND($E336="Evet",ROUND($C336*tbo_oranIlave,2)=$J336),"TBO-002",IF(AND($D336="Evet",ROUND($C336*tbo_oranBesPuan,2)=$J336),"TBO-001",IF(AND($F336="Evet",ROUND($C336*tbo_oranKadinGenc,2)=$J336),"TBO-004","TBO-ENG")))))</f>
        <v/>
      </c>
      <c r="J336" s="31">
        <f>IF($A336="","",MAX(IF($D336="Evet",ROUND($C336*tbo_oranBesPuan,2),0),IF($E336="Evet",ROUND($C336*tbo_oranIlave,2),0),IF($F336="Evet",ROUND($C336*tbo_oranKadinGenc,2),0),IF($G336="Evet",ROUND($C336*tbo_isverenOran,2),0)))</f>
        <v/>
      </c>
      <c r="K336" s="31">
        <f>IF($A336="","",IF($H336="TBO-001",IF($D336="Evet",ROUND($C336*tbo_oranBesPuan,2),0),IF($H336="TBO-002",IF($E336="Evet",ROUND($C336*tbo_oranIlave,2),0),IF($H336="TBO-004",IF($F336="Evet",ROUND($C336*tbo_oranKadinGenc,2),0),IF($H336="TBO-ENG",IF($G336="Evet",ROUND($C336*tbo_isverenOran,2),0),0)))))</f>
        <v/>
      </c>
      <c r="L336" s="31">
        <f>IF($A336="","",MAX(0,$J336-$K336))</f>
        <v/>
      </c>
    </row>
    <row r="337">
      <c r="I337" s="31">
        <f>IF($A337="","",IF($J337=0,"YOK",IF(AND($E337="Evet",ROUND($C337*tbo_oranIlave,2)=$J337),"TBO-002",IF(AND($D337="Evet",ROUND($C337*tbo_oranBesPuan,2)=$J337),"TBO-001",IF(AND($F337="Evet",ROUND($C337*tbo_oranKadinGenc,2)=$J337),"TBO-004","TBO-ENG")))))</f>
        <v/>
      </c>
      <c r="J337" s="31">
        <f>IF($A337="","",MAX(IF($D337="Evet",ROUND($C337*tbo_oranBesPuan,2),0),IF($E337="Evet",ROUND($C337*tbo_oranIlave,2),0),IF($F337="Evet",ROUND($C337*tbo_oranKadinGenc,2),0),IF($G337="Evet",ROUND($C337*tbo_isverenOran,2),0)))</f>
        <v/>
      </c>
      <c r="K337" s="31">
        <f>IF($A337="","",IF($H337="TBO-001",IF($D337="Evet",ROUND($C337*tbo_oranBesPuan,2),0),IF($H337="TBO-002",IF($E337="Evet",ROUND($C337*tbo_oranIlave,2),0),IF($H337="TBO-004",IF($F337="Evet",ROUND($C337*tbo_oranKadinGenc,2),0),IF($H337="TBO-ENG",IF($G337="Evet",ROUND($C337*tbo_isverenOran,2),0),0)))))</f>
        <v/>
      </c>
      <c r="L337" s="31">
        <f>IF($A337="","",MAX(0,$J337-$K337))</f>
        <v/>
      </c>
    </row>
    <row r="338">
      <c r="I338" s="31">
        <f>IF($A338="","",IF($J338=0,"YOK",IF(AND($E338="Evet",ROUND($C338*tbo_oranIlave,2)=$J338),"TBO-002",IF(AND($D338="Evet",ROUND($C338*tbo_oranBesPuan,2)=$J338),"TBO-001",IF(AND($F338="Evet",ROUND($C338*tbo_oranKadinGenc,2)=$J338),"TBO-004","TBO-ENG")))))</f>
        <v/>
      </c>
      <c r="J338" s="31">
        <f>IF($A338="","",MAX(IF($D338="Evet",ROUND($C338*tbo_oranBesPuan,2),0),IF($E338="Evet",ROUND($C338*tbo_oranIlave,2),0),IF($F338="Evet",ROUND($C338*tbo_oranKadinGenc,2),0),IF($G338="Evet",ROUND($C338*tbo_isverenOran,2),0)))</f>
        <v/>
      </c>
      <c r="K338" s="31">
        <f>IF($A338="","",IF($H338="TBO-001",IF($D338="Evet",ROUND($C338*tbo_oranBesPuan,2),0),IF($H338="TBO-002",IF($E338="Evet",ROUND($C338*tbo_oranIlave,2),0),IF($H338="TBO-004",IF($F338="Evet",ROUND($C338*tbo_oranKadinGenc,2),0),IF($H338="TBO-ENG",IF($G338="Evet",ROUND($C338*tbo_isverenOran,2),0),0)))))</f>
        <v/>
      </c>
      <c r="L338" s="31">
        <f>IF($A338="","",MAX(0,$J338-$K338))</f>
        <v/>
      </c>
    </row>
    <row r="339">
      <c r="I339" s="31">
        <f>IF($A339="","",IF($J339=0,"YOK",IF(AND($E339="Evet",ROUND($C339*tbo_oranIlave,2)=$J339),"TBO-002",IF(AND($D339="Evet",ROUND($C339*tbo_oranBesPuan,2)=$J339),"TBO-001",IF(AND($F339="Evet",ROUND($C339*tbo_oranKadinGenc,2)=$J339),"TBO-004","TBO-ENG")))))</f>
        <v/>
      </c>
      <c r="J339" s="31">
        <f>IF($A339="","",MAX(IF($D339="Evet",ROUND($C339*tbo_oranBesPuan,2),0),IF($E339="Evet",ROUND($C339*tbo_oranIlave,2),0),IF($F339="Evet",ROUND($C339*tbo_oranKadinGenc,2),0),IF($G339="Evet",ROUND($C339*tbo_isverenOran,2),0)))</f>
        <v/>
      </c>
      <c r="K339" s="31">
        <f>IF($A339="","",IF($H339="TBO-001",IF($D339="Evet",ROUND($C339*tbo_oranBesPuan,2),0),IF($H339="TBO-002",IF($E339="Evet",ROUND($C339*tbo_oranIlave,2),0),IF($H339="TBO-004",IF($F339="Evet",ROUND($C339*tbo_oranKadinGenc,2),0),IF($H339="TBO-ENG",IF($G339="Evet",ROUND($C339*tbo_isverenOran,2),0),0)))))</f>
        <v/>
      </c>
      <c r="L339" s="31">
        <f>IF($A339="","",MAX(0,$J339-$K339))</f>
        <v/>
      </c>
    </row>
    <row r="340">
      <c r="I340" s="31">
        <f>IF($A340="","",IF($J340=0,"YOK",IF(AND($E340="Evet",ROUND($C340*tbo_oranIlave,2)=$J340),"TBO-002",IF(AND($D340="Evet",ROUND($C340*tbo_oranBesPuan,2)=$J340),"TBO-001",IF(AND($F340="Evet",ROUND($C340*tbo_oranKadinGenc,2)=$J340),"TBO-004","TBO-ENG")))))</f>
        <v/>
      </c>
      <c r="J340" s="31">
        <f>IF($A340="","",MAX(IF($D340="Evet",ROUND($C340*tbo_oranBesPuan,2),0),IF($E340="Evet",ROUND($C340*tbo_oranIlave,2),0),IF($F340="Evet",ROUND($C340*tbo_oranKadinGenc,2),0),IF($G340="Evet",ROUND($C340*tbo_isverenOran,2),0)))</f>
        <v/>
      </c>
      <c r="K340" s="31">
        <f>IF($A340="","",IF($H340="TBO-001",IF($D340="Evet",ROUND($C340*tbo_oranBesPuan,2),0),IF($H340="TBO-002",IF($E340="Evet",ROUND($C340*tbo_oranIlave,2),0),IF($H340="TBO-004",IF($F340="Evet",ROUND($C340*tbo_oranKadinGenc,2),0),IF($H340="TBO-ENG",IF($G340="Evet",ROUND($C340*tbo_isverenOran,2),0),0)))))</f>
        <v/>
      </c>
      <c r="L340" s="31">
        <f>IF($A340="","",MAX(0,$J340-$K340))</f>
        <v/>
      </c>
    </row>
    <row r="341">
      <c r="I341" s="31">
        <f>IF($A341="","",IF($J341=0,"YOK",IF(AND($E341="Evet",ROUND($C341*tbo_oranIlave,2)=$J341),"TBO-002",IF(AND($D341="Evet",ROUND($C341*tbo_oranBesPuan,2)=$J341),"TBO-001",IF(AND($F341="Evet",ROUND($C341*tbo_oranKadinGenc,2)=$J341),"TBO-004","TBO-ENG")))))</f>
        <v/>
      </c>
      <c r="J341" s="31">
        <f>IF($A341="","",MAX(IF($D341="Evet",ROUND($C341*tbo_oranBesPuan,2),0),IF($E341="Evet",ROUND($C341*tbo_oranIlave,2),0),IF($F341="Evet",ROUND($C341*tbo_oranKadinGenc,2),0),IF($G341="Evet",ROUND($C341*tbo_isverenOran,2),0)))</f>
        <v/>
      </c>
      <c r="K341" s="31">
        <f>IF($A341="","",IF($H341="TBO-001",IF($D341="Evet",ROUND($C341*tbo_oranBesPuan,2),0),IF($H341="TBO-002",IF($E341="Evet",ROUND($C341*tbo_oranIlave,2),0),IF($H341="TBO-004",IF($F341="Evet",ROUND($C341*tbo_oranKadinGenc,2),0),IF($H341="TBO-ENG",IF($G341="Evet",ROUND($C341*tbo_isverenOran,2),0),0)))))</f>
        <v/>
      </c>
      <c r="L341" s="31">
        <f>IF($A341="","",MAX(0,$J341-$K341))</f>
        <v/>
      </c>
    </row>
    <row r="342">
      <c r="I342" s="31">
        <f>IF($A342="","",IF($J342=0,"YOK",IF(AND($E342="Evet",ROUND($C342*tbo_oranIlave,2)=$J342),"TBO-002",IF(AND($D342="Evet",ROUND($C342*tbo_oranBesPuan,2)=$J342),"TBO-001",IF(AND($F342="Evet",ROUND($C342*tbo_oranKadinGenc,2)=$J342),"TBO-004","TBO-ENG")))))</f>
        <v/>
      </c>
      <c r="J342" s="31">
        <f>IF($A342="","",MAX(IF($D342="Evet",ROUND($C342*tbo_oranBesPuan,2),0),IF($E342="Evet",ROUND($C342*tbo_oranIlave,2),0),IF($F342="Evet",ROUND($C342*tbo_oranKadinGenc,2),0),IF($G342="Evet",ROUND($C342*tbo_isverenOran,2),0)))</f>
        <v/>
      </c>
      <c r="K342" s="31">
        <f>IF($A342="","",IF($H342="TBO-001",IF($D342="Evet",ROUND($C342*tbo_oranBesPuan,2),0),IF($H342="TBO-002",IF($E342="Evet",ROUND($C342*tbo_oranIlave,2),0),IF($H342="TBO-004",IF($F342="Evet",ROUND($C342*tbo_oranKadinGenc,2),0),IF($H342="TBO-ENG",IF($G342="Evet",ROUND($C342*tbo_isverenOran,2),0),0)))))</f>
        <v/>
      </c>
      <c r="L342" s="31">
        <f>IF($A342="","",MAX(0,$J342-$K342))</f>
        <v/>
      </c>
    </row>
    <row r="343">
      <c r="I343" s="31">
        <f>IF($A343="","",IF($J343=0,"YOK",IF(AND($E343="Evet",ROUND($C343*tbo_oranIlave,2)=$J343),"TBO-002",IF(AND($D343="Evet",ROUND($C343*tbo_oranBesPuan,2)=$J343),"TBO-001",IF(AND($F343="Evet",ROUND($C343*tbo_oranKadinGenc,2)=$J343),"TBO-004","TBO-ENG")))))</f>
        <v/>
      </c>
      <c r="J343" s="31">
        <f>IF($A343="","",MAX(IF($D343="Evet",ROUND($C343*tbo_oranBesPuan,2),0),IF($E343="Evet",ROUND($C343*tbo_oranIlave,2),0),IF($F343="Evet",ROUND($C343*tbo_oranKadinGenc,2),0),IF($G343="Evet",ROUND($C343*tbo_isverenOran,2),0)))</f>
        <v/>
      </c>
      <c r="K343" s="31">
        <f>IF($A343="","",IF($H343="TBO-001",IF($D343="Evet",ROUND($C343*tbo_oranBesPuan,2),0),IF($H343="TBO-002",IF($E343="Evet",ROUND($C343*tbo_oranIlave,2),0),IF($H343="TBO-004",IF($F343="Evet",ROUND($C343*tbo_oranKadinGenc,2),0),IF($H343="TBO-ENG",IF($G343="Evet",ROUND($C343*tbo_isverenOran,2),0),0)))))</f>
        <v/>
      </c>
      <c r="L343" s="31">
        <f>IF($A343="","",MAX(0,$J343-$K343))</f>
        <v/>
      </c>
    </row>
    <row r="344">
      <c r="I344" s="31">
        <f>IF($A344="","",IF($J344=0,"YOK",IF(AND($E344="Evet",ROUND($C344*tbo_oranIlave,2)=$J344),"TBO-002",IF(AND($D344="Evet",ROUND($C344*tbo_oranBesPuan,2)=$J344),"TBO-001",IF(AND($F344="Evet",ROUND($C344*tbo_oranKadinGenc,2)=$J344),"TBO-004","TBO-ENG")))))</f>
        <v/>
      </c>
      <c r="J344" s="31">
        <f>IF($A344="","",MAX(IF($D344="Evet",ROUND($C344*tbo_oranBesPuan,2),0),IF($E344="Evet",ROUND($C344*tbo_oranIlave,2),0),IF($F344="Evet",ROUND($C344*tbo_oranKadinGenc,2),0),IF($G344="Evet",ROUND($C344*tbo_isverenOran,2),0)))</f>
        <v/>
      </c>
      <c r="K344" s="31">
        <f>IF($A344="","",IF($H344="TBO-001",IF($D344="Evet",ROUND($C344*tbo_oranBesPuan,2),0),IF($H344="TBO-002",IF($E344="Evet",ROUND($C344*tbo_oranIlave,2),0),IF($H344="TBO-004",IF($F344="Evet",ROUND($C344*tbo_oranKadinGenc,2),0),IF($H344="TBO-ENG",IF($G344="Evet",ROUND($C344*tbo_isverenOran,2),0),0)))))</f>
        <v/>
      </c>
      <c r="L344" s="31">
        <f>IF($A344="","",MAX(0,$J344-$K344))</f>
        <v/>
      </c>
    </row>
    <row r="345">
      <c r="I345" s="31">
        <f>IF($A345="","",IF($J345=0,"YOK",IF(AND($E345="Evet",ROUND($C345*tbo_oranIlave,2)=$J345),"TBO-002",IF(AND($D345="Evet",ROUND($C345*tbo_oranBesPuan,2)=$J345),"TBO-001",IF(AND($F345="Evet",ROUND($C345*tbo_oranKadinGenc,2)=$J345),"TBO-004","TBO-ENG")))))</f>
        <v/>
      </c>
      <c r="J345" s="31">
        <f>IF($A345="","",MAX(IF($D345="Evet",ROUND($C345*tbo_oranBesPuan,2),0),IF($E345="Evet",ROUND($C345*tbo_oranIlave,2),0),IF($F345="Evet",ROUND($C345*tbo_oranKadinGenc,2),0),IF($G345="Evet",ROUND($C345*tbo_isverenOran,2),0)))</f>
        <v/>
      </c>
      <c r="K345" s="31">
        <f>IF($A345="","",IF($H345="TBO-001",IF($D345="Evet",ROUND($C345*tbo_oranBesPuan,2),0),IF($H345="TBO-002",IF($E345="Evet",ROUND($C345*tbo_oranIlave,2),0),IF($H345="TBO-004",IF($F345="Evet",ROUND($C345*tbo_oranKadinGenc,2),0),IF($H345="TBO-ENG",IF($G345="Evet",ROUND($C345*tbo_isverenOran,2),0),0)))))</f>
        <v/>
      </c>
      <c r="L345" s="31">
        <f>IF($A345="","",MAX(0,$J345-$K345))</f>
        <v/>
      </c>
    </row>
    <row r="346">
      <c r="I346" s="31">
        <f>IF($A346="","",IF($J346=0,"YOK",IF(AND($E346="Evet",ROUND($C346*tbo_oranIlave,2)=$J346),"TBO-002",IF(AND($D346="Evet",ROUND($C346*tbo_oranBesPuan,2)=$J346),"TBO-001",IF(AND($F346="Evet",ROUND($C346*tbo_oranKadinGenc,2)=$J346),"TBO-004","TBO-ENG")))))</f>
        <v/>
      </c>
      <c r="J346" s="31">
        <f>IF($A346="","",MAX(IF($D346="Evet",ROUND($C346*tbo_oranBesPuan,2),0),IF($E346="Evet",ROUND($C346*tbo_oranIlave,2),0),IF($F346="Evet",ROUND($C346*tbo_oranKadinGenc,2),0),IF($G346="Evet",ROUND($C346*tbo_isverenOran,2),0)))</f>
        <v/>
      </c>
      <c r="K346" s="31">
        <f>IF($A346="","",IF($H346="TBO-001",IF($D346="Evet",ROUND($C346*tbo_oranBesPuan,2),0),IF($H346="TBO-002",IF($E346="Evet",ROUND($C346*tbo_oranIlave,2),0),IF($H346="TBO-004",IF($F346="Evet",ROUND($C346*tbo_oranKadinGenc,2),0),IF($H346="TBO-ENG",IF($G346="Evet",ROUND($C346*tbo_isverenOran,2),0),0)))))</f>
        <v/>
      </c>
      <c r="L346" s="31">
        <f>IF($A346="","",MAX(0,$J346-$K346))</f>
        <v/>
      </c>
    </row>
    <row r="347">
      <c r="I347" s="31">
        <f>IF($A347="","",IF($J347=0,"YOK",IF(AND($E347="Evet",ROUND($C347*tbo_oranIlave,2)=$J347),"TBO-002",IF(AND($D347="Evet",ROUND($C347*tbo_oranBesPuan,2)=$J347),"TBO-001",IF(AND($F347="Evet",ROUND($C347*tbo_oranKadinGenc,2)=$J347),"TBO-004","TBO-ENG")))))</f>
        <v/>
      </c>
      <c r="J347" s="31">
        <f>IF($A347="","",MAX(IF($D347="Evet",ROUND($C347*tbo_oranBesPuan,2),0),IF($E347="Evet",ROUND($C347*tbo_oranIlave,2),0),IF($F347="Evet",ROUND($C347*tbo_oranKadinGenc,2),0),IF($G347="Evet",ROUND($C347*tbo_isverenOran,2),0)))</f>
        <v/>
      </c>
      <c r="K347" s="31">
        <f>IF($A347="","",IF($H347="TBO-001",IF($D347="Evet",ROUND($C347*tbo_oranBesPuan,2),0),IF($H347="TBO-002",IF($E347="Evet",ROUND($C347*tbo_oranIlave,2),0),IF($H347="TBO-004",IF($F347="Evet",ROUND($C347*tbo_oranKadinGenc,2),0),IF($H347="TBO-ENG",IF($G347="Evet",ROUND($C347*tbo_isverenOran,2),0),0)))))</f>
        <v/>
      </c>
      <c r="L347" s="31">
        <f>IF($A347="","",MAX(0,$J347-$K347))</f>
        <v/>
      </c>
    </row>
    <row r="348">
      <c r="I348" s="31">
        <f>IF($A348="","",IF($J348=0,"YOK",IF(AND($E348="Evet",ROUND($C348*tbo_oranIlave,2)=$J348),"TBO-002",IF(AND($D348="Evet",ROUND($C348*tbo_oranBesPuan,2)=$J348),"TBO-001",IF(AND($F348="Evet",ROUND($C348*tbo_oranKadinGenc,2)=$J348),"TBO-004","TBO-ENG")))))</f>
        <v/>
      </c>
      <c r="J348" s="31">
        <f>IF($A348="","",MAX(IF($D348="Evet",ROUND($C348*tbo_oranBesPuan,2),0),IF($E348="Evet",ROUND($C348*tbo_oranIlave,2),0),IF($F348="Evet",ROUND($C348*tbo_oranKadinGenc,2),0),IF($G348="Evet",ROUND($C348*tbo_isverenOran,2),0)))</f>
        <v/>
      </c>
      <c r="K348" s="31">
        <f>IF($A348="","",IF($H348="TBO-001",IF($D348="Evet",ROUND($C348*tbo_oranBesPuan,2),0),IF($H348="TBO-002",IF($E348="Evet",ROUND($C348*tbo_oranIlave,2),0),IF($H348="TBO-004",IF($F348="Evet",ROUND($C348*tbo_oranKadinGenc,2),0),IF($H348="TBO-ENG",IF($G348="Evet",ROUND($C348*tbo_isverenOran,2),0),0)))))</f>
        <v/>
      </c>
      <c r="L348" s="31">
        <f>IF($A348="","",MAX(0,$J348-$K348))</f>
        <v/>
      </c>
    </row>
    <row r="349">
      <c r="I349" s="31">
        <f>IF($A349="","",IF($J349=0,"YOK",IF(AND($E349="Evet",ROUND($C349*tbo_oranIlave,2)=$J349),"TBO-002",IF(AND($D349="Evet",ROUND($C349*tbo_oranBesPuan,2)=$J349),"TBO-001",IF(AND($F349="Evet",ROUND($C349*tbo_oranKadinGenc,2)=$J349),"TBO-004","TBO-ENG")))))</f>
        <v/>
      </c>
      <c r="J349" s="31">
        <f>IF($A349="","",MAX(IF($D349="Evet",ROUND($C349*tbo_oranBesPuan,2),0),IF($E349="Evet",ROUND($C349*tbo_oranIlave,2),0),IF($F349="Evet",ROUND($C349*tbo_oranKadinGenc,2),0),IF($G349="Evet",ROUND($C349*tbo_isverenOran,2),0)))</f>
        <v/>
      </c>
      <c r="K349" s="31">
        <f>IF($A349="","",IF($H349="TBO-001",IF($D349="Evet",ROUND($C349*tbo_oranBesPuan,2),0),IF($H349="TBO-002",IF($E349="Evet",ROUND($C349*tbo_oranIlave,2),0),IF($H349="TBO-004",IF($F349="Evet",ROUND($C349*tbo_oranKadinGenc,2),0),IF($H349="TBO-ENG",IF($G349="Evet",ROUND($C349*tbo_isverenOran,2),0),0)))))</f>
        <v/>
      </c>
      <c r="L349" s="31">
        <f>IF($A349="","",MAX(0,$J349-$K349))</f>
        <v/>
      </c>
    </row>
    <row r="350">
      <c r="I350" s="31">
        <f>IF($A350="","",IF($J350=0,"YOK",IF(AND($E350="Evet",ROUND($C350*tbo_oranIlave,2)=$J350),"TBO-002",IF(AND($D350="Evet",ROUND($C350*tbo_oranBesPuan,2)=$J350),"TBO-001",IF(AND($F350="Evet",ROUND($C350*tbo_oranKadinGenc,2)=$J350),"TBO-004","TBO-ENG")))))</f>
        <v/>
      </c>
      <c r="J350" s="31">
        <f>IF($A350="","",MAX(IF($D350="Evet",ROUND($C350*tbo_oranBesPuan,2),0),IF($E350="Evet",ROUND($C350*tbo_oranIlave,2),0),IF($F350="Evet",ROUND($C350*tbo_oranKadinGenc,2),0),IF($G350="Evet",ROUND($C350*tbo_isverenOran,2),0)))</f>
        <v/>
      </c>
      <c r="K350" s="31">
        <f>IF($A350="","",IF($H350="TBO-001",IF($D350="Evet",ROUND($C350*tbo_oranBesPuan,2),0),IF($H350="TBO-002",IF($E350="Evet",ROUND($C350*tbo_oranIlave,2),0),IF($H350="TBO-004",IF($F350="Evet",ROUND($C350*tbo_oranKadinGenc,2),0),IF($H350="TBO-ENG",IF($G350="Evet",ROUND($C350*tbo_isverenOran,2),0),0)))))</f>
        <v/>
      </c>
      <c r="L350" s="31">
        <f>IF($A350="","",MAX(0,$J350-$K350))</f>
        <v/>
      </c>
    </row>
    <row r="351">
      <c r="I351" s="31">
        <f>IF($A351="","",IF($J351=0,"YOK",IF(AND($E351="Evet",ROUND($C351*tbo_oranIlave,2)=$J351),"TBO-002",IF(AND($D351="Evet",ROUND($C351*tbo_oranBesPuan,2)=$J351),"TBO-001",IF(AND($F351="Evet",ROUND($C351*tbo_oranKadinGenc,2)=$J351),"TBO-004","TBO-ENG")))))</f>
        <v/>
      </c>
      <c r="J351" s="31">
        <f>IF($A351="","",MAX(IF($D351="Evet",ROUND($C351*tbo_oranBesPuan,2),0),IF($E351="Evet",ROUND($C351*tbo_oranIlave,2),0),IF($F351="Evet",ROUND($C351*tbo_oranKadinGenc,2),0),IF($G351="Evet",ROUND($C351*tbo_isverenOran,2),0)))</f>
        <v/>
      </c>
      <c r="K351" s="31">
        <f>IF($A351="","",IF($H351="TBO-001",IF($D351="Evet",ROUND($C351*tbo_oranBesPuan,2),0),IF($H351="TBO-002",IF($E351="Evet",ROUND($C351*tbo_oranIlave,2),0),IF($H351="TBO-004",IF($F351="Evet",ROUND($C351*tbo_oranKadinGenc,2),0),IF($H351="TBO-ENG",IF($G351="Evet",ROUND($C351*tbo_isverenOran,2),0),0)))))</f>
        <v/>
      </c>
      <c r="L351" s="31">
        <f>IF($A351="","",MAX(0,$J351-$K351))</f>
        <v/>
      </c>
    </row>
    <row r="352">
      <c r="I352" s="31">
        <f>IF($A352="","",IF($J352=0,"YOK",IF(AND($E352="Evet",ROUND($C352*tbo_oranIlave,2)=$J352),"TBO-002",IF(AND($D352="Evet",ROUND($C352*tbo_oranBesPuan,2)=$J352),"TBO-001",IF(AND($F352="Evet",ROUND($C352*tbo_oranKadinGenc,2)=$J352),"TBO-004","TBO-ENG")))))</f>
        <v/>
      </c>
      <c r="J352" s="31">
        <f>IF($A352="","",MAX(IF($D352="Evet",ROUND($C352*tbo_oranBesPuan,2),0),IF($E352="Evet",ROUND($C352*tbo_oranIlave,2),0),IF($F352="Evet",ROUND($C352*tbo_oranKadinGenc,2),0),IF($G352="Evet",ROUND($C352*tbo_isverenOran,2),0)))</f>
        <v/>
      </c>
      <c r="K352" s="31">
        <f>IF($A352="","",IF($H352="TBO-001",IF($D352="Evet",ROUND($C352*tbo_oranBesPuan,2),0),IF($H352="TBO-002",IF($E352="Evet",ROUND($C352*tbo_oranIlave,2),0),IF($H352="TBO-004",IF($F352="Evet",ROUND($C352*tbo_oranKadinGenc,2),0),IF($H352="TBO-ENG",IF($G352="Evet",ROUND($C352*tbo_isverenOran,2),0),0)))))</f>
        <v/>
      </c>
      <c r="L352" s="31">
        <f>IF($A352="","",MAX(0,$J352-$K352))</f>
        <v/>
      </c>
    </row>
    <row r="353">
      <c r="I353" s="31">
        <f>IF($A353="","",IF($J353=0,"YOK",IF(AND($E353="Evet",ROUND($C353*tbo_oranIlave,2)=$J353),"TBO-002",IF(AND($D353="Evet",ROUND($C353*tbo_oranBesPuan,2)=$J353),"TBO-001",IF(AND($F353="Evet",ROUND($C353*tbo_oranKadinGenc,2)=$J353),"TBO-004","TBO-ENG")))))</f>
        <v/>
      </c>
      <c r="J353" s="31">
        <f>IF($A353="","",MAX(IF($D353="Evet",ROUND($C353*tbo_oranBesPuan,2),0),IF($E353="Evet",ROUND($C353*tbo_oranIlave,2),0),IF($F353="Evet",ROUND($C353*tbo_oranKadinGenc,2),0),IF($G353="Evet",ROUND($C353*tbo_isverenOran,2),0)))</f>
        <v/>
      </c>
      <c r="K353" s="31">
        <f>IF($A353="","",IF($H353="TBO-001",IF($D353="Evet",ROUND($C353*tbo_oranBesPuan,2),0),IF($H353="TBO-002",IF($E353="Evet",ROUND($C353*tbo_oranIlave,2),0),IF($H353="TBO-004",IF($F353="Evet",ROUND($C353*tbo_oranKadinGenc,2),0),IF($H353="TBO-ENG",IF($G353="Evet",ROUND($C353*tbo_isverenOran,2),0),0)))))</f>
        <v/>
      </c>
      <c r="L353" s="31">
        <f>IF($A353="","",MAX(0,$J353-$K353))</f>
        <v/>
      </c>
    </row>
    <row r="354">
      <c r="I354" s="31">
        <f>IF($A354="","",IF($J354=0,"YOK",IF(AND($E354="Evet",ROUND($C354*tbo_oranIlave,2)=$J354),"TBO-002",IF(AND($D354="Evet",ROUND($C354*tbo_oranBesPuan,2)=$J354),"TBO-001",IF(AND($F354="Evet",ROUND($C354*tbo_oranKadinGenc,2)=$J354),"TBO-004","TBO-ENG")))))</f>
        <v/>
      </c>
      <c r="J354" s="31">
        <f>IF($A354="","",MAX(IF($D354="Evet",ROUND($C354*tbo_oranBesPuan,2),0),IF($E354="Evet",ROUND($C354*tbo_oranIlave,2),0),IF($F354="Evet",ROUND($C354*tbo_oranKadinGenc,2),0),IF($G354="Evet",ROUND($C354*tbo_isverenOran,2),0)))</f>
        <v/>
      </c>
      <c r="K354" s="31">
        <f>IF($A354="","",IF($H354="TBO-001",IF($D354="Evet",ROUND($C354*tbo_oranBesPuan,2),0),IF($H354="TBO-002",IF($E354="Evet",ROUND($C354*tbo_oranIlave,2),0),IF($H354="TBO-004",IF($F354="Evet",ROUND($C354*tbo_oranKadinGenc,2),0),IF($H354="TBO-ENG",IF($G354="Evet",ROUND($C354*tbo_isverenOran,2),0),0)))))</f>
        <v/>
      </c>
      <c r="L354" s="31">
        <f>IF($A354="","",MAX(0,$J354-$K354))</f>
        <v/>
      </c>
    </row>
    <row r="355">
      <c r="I355" s="31">
        <f>IF($A355="","",IF($J355=0,"YOK",IF(AND($E355="Evet",ROUND($C355*tbo_oranIlave,2)=$J355),"TBO-002",IF(AND($D355="Evet",ROUND($C355*tbo_oranBesPuan,2)=$J355),"TBO-001",IF(AND($F355="Evet",ROUND($C355*tbo_oranKadinGenc,2)=$J355),"TBO-004","TBO-ENG")))))</f>
        <v/>
      </c>
      <c r="J355" s="31">
        <f>IF($A355="","",MAX(IF($D355="Evet",ROUND($C355*tbo_oranBesPuan,2),0),IF($E355="Evet",ROUND($C355*tbo_oranIlave,2),0),IF($F355="Evet",ROUND($C355*tbo_oranKadinGenc,2),0),IF($G355="Evet",ROUND($C355*tbo_isverenOran,2),0)))</f>
        <v/>
      </c>
      <c r="K355" s="31">
        <f>IF($A355="","",IF($H355="TBO-001",IF($D355="Evet",ROUND($C355*tbo_oranBesPuan,2),0),IF($H355="TBO-002",IF($E355="Evet",ROUND($C355*tbo_oranIlave,2),0),IF($H355="TBO-004",IF($F355="Evet",ROUND($C355*tbo_oranKadinGenc,2),0),IF($H355="TBO-ENG",IF($G355="Evet",ROUND($C355*tbo_isverenOran,2),0),0)))))</f>
        <v/>
      </c>
      <c r="L355" s="31">
        <f>IF($A355="","",MAX(0,$J355-$K355))</f>
        <v/>
      </c>
    </row>
    <row r="356">
      <c r="I356" s="31">
        <f>IF($A356="","",IF($J356=0,"YOK",IF(AND($E356="Evet",ROUND($C356*tbo_oranIlave,2)=$J356),"TBO-002",IF(AND($D356="Evet",ROUND($C356*tbo_oranBesPuan,2)=$J356),"TBO-001",IF(AND($F356="Evet",ROUND($C356*tbo_oranKadinGenc,2)=$J356),"TBO-004","TBO-ENG")))))</f>
        <v/>
      </c>
      <c r="J356" s="31">
        <f>IF($A356="","",MAX(IF($D356="Evet",ROUND($C356*tbo_oranBesPuan,2),0),IF($E356="Evet",ROUND($C356*tbo_oranIlave,2),0),IF($F356="Evet",ROUND($C356*tbo_oranKadinGenc,2),0),IF($G356="Evet",ROUND($C356*tbo_isverenOran,2),0)))</f>
        <v/>
      </c>
      <c r="K356" s="31">
        <f>IF($A356="","",IF($H356="TBO-001",IF($D356="Evet",ROUND($C356*tbo_oranBesPuan,2),0),IF($H356="TBO-002",IF($E356="Evet",ROUND($C356*tbo_oranIlave,2),0),IF($H356="TBO-004",IF($F356="Evet",ROUND($C356*tbo_oranKadinGenc,2),0),IF($H356="TBO-ENG",IF($G356="Evet",ROUND($C356*tbo_isverenOran,2),0),0)))))</f>
        <v/>
      </c>
      <c r="L356" s="31">
        <f>IF($A356="","",MAX(0,$J356-$K356))</f>
        <v/>
      </c>
    </row>
    <row r="357">
      <c r="I357" s="31">
        <f>IF($A357="","",IF($J357=0,"YOK",IF(AND($E357="Evet",ROUND($C357*tbo_oranIlave,2)=$J357),"TBO-002",IF(AND($D357="Evet",ROUND($C357*tbo_oranBesPuan,2)=$J357),"TBO-001",IF(AND($F357="Evet",ROUND($C357*tbo_oranKadinGenc,2)=$J357),"TBO-004","TBO-ENG")))))</f>
        <v/>
      </c>
      <c r="J357" s="31">
        <f>IF($A357="","",MAX(IF($D357="Evet",ROUND($C357*tbo_oranBesPuan,2),0),IF($E357="Evet",ROUND($C357*tbo_oranIlave,2),0),IF($F357="Evet",ROUND($C357*tbo_oranKadinGenc,2),0),IF($G357="Evet",ROUND($C357*tbo_isverenOran,2),0)))</f>
        <v/>
      </c>
      <c r="K357" s="31">
        <f>IF($A357="","",IF($H357="TBO-001",IF($D357="Evet",ROUND($C357*tbo_oranBesPuan,2),0),IF($H357="TBO-002",IF($E357="Evet",ROUND($C357*tbo_oranIlave,2),0),IF($H357="TBO-004",IF($F357="Evet",ROUND($C357*tbo_oranKadinGenc,2),0),IF($H357="TBO-ENG",IF($G357="Evet",ROUND($C357*tbo_isverenOran,2),0),0)))))</f>
        <v/>
      </c>
      <c r="L357" s="31">
        <f>IF($A357="","",MAX(0,$J357-$K357))</f>
        <v/>
      </c>
    </row>
    <row r="358">
      <c r="I358" s="31">
        <f>IF($A358="","",IF($J358=0,"YOK",IF(AND($E358="Evet",ROUND($C358*tbo_oranIlave,2)=$J358),"TBO-002",IF(AND($D358="Evet",ROUND($C358*tbo_oranBesPuan,2)=$J358),"TBO-001",IF(AND($F358="Evet",ROUND($C358*tbo_oranKadinGenc,2)=$J358),"TBO-004","TBO-ENG")))))</f>
        <v/>
      </c>
      <c r="J358" s="31">
        <f>IF($A358="","",MAX(IF($D358="Evet",ROUND($C358*tbo_oranBesPuan,2),0),IF($E358="Evet",ROUND($C358*tbo_oranIlave,2),0),IF($F358="Evet",ROUND($C358*tbo_oranKadinGenc,2),0),IF($G358="Evet",ROUND($C358*tbo_isverenOran,2),0)))</f>
        <v/>
      </c>
      <c r="K358" s="31">
        <f>IF($A358="","",IF($H358="TBO-001",IF($D358="Evet",ROUND($C358*tbo_oranBesPuan,2),0),IF($H358="TBO-002",IF($E358="Evet",ROUND($C358*tbo_oranIlave,2),0),IF($H358="TBO-004",IF($F358="Evet",ROUND($C358*tbo_oranKadinGenc,2),0),IF($H358="TBO-ENG",IF($G358="Evet",ROUND($C358*tbo_isverenOran,2),0),0)))))</f>
        <v/>
      </c>
      <c r="L358" s="31">
        <f>IF($A358="","",MAX(0,$J358-$K358))</f>
        <v/>
      </c>
    </row>
    <row r="359">
      <c r="I359" s="31">
        <f>IF($A359="","",IF($J359=0,"YOK",IF(AND($E359="Evet",ROUND($C359*tbo_oranIlave,2)=$J359),"TBO-002",IF(AND($D359="Evet",ROUND($C359*tbo_oranBesPuan,2)=$J359),"TBO-001",IF(AND($F359="Evet",ROUND($C359*tbo_oranKadinGenc,2)=$J359),"TBO-004","TBO-ENG")))))</f>
        <v/>
      </c>
      <c r="J359" s="31">
        <f>IF($A359="","",MAX(IF($D359="Evet",ROUND($C359*tbo_oranBesPuan,2),0),IF($E359="Evet",ROUND($C359*tbo_oranIlave,2),0),IF($F359="Evet",ROUND($C359*tbo_oranKadinGenc,2),0),IF($G359="Evet",ROUND($C359*tbo_isverenOran,2),0)))</f>
        <v/>
      </c>
      <c r="K359" s="31">
        <f>IF($A359="","",IF($H359="TBO-001",IF($D359="Evet",ROUND($C359*tbo_oranBesPuan,2),0),IF($H359="TBO-002",IF($E359="Evet",ROUND($C359*tbo_oranIlave,2),0),IF($H359="TBO-004",IF($F359="Evet",ROUND($C359*tbo_oranKadinGenc,2),0),IF($H359="TBO-ENG",IF($G359="Evet",ROUND($C359*tbo_isverenOran,2),0),0)))))</f>
        <v/>
      </c>
      <c r="L359" s="31">
        <f>IF($A359="","",MAX(0,$J359-$K359))</f>
        <v/>
      </c>
    </row>
    <row r="360">
      <c r="I360" s="31">
        <f>IF($A360="","",IF($J360=0,"YOK",IF(AND($E360="Evet",ROUND($C360*tbo_oranIlave,2)=$J360),"TBO-002",IF(AND($D360="Evet",ROUND($C360*tbo_oranBesPuan,2)=$J360),"TBO-001",IF(AND($F360="Evet",ROUND($C360*tbo_oranKadinGenc,2)=$J360),"TBO-004","TBO-ENG")))))</f>
        <v/>
      </c>
      <c r="J360" s="31">
        <f>IF($A360="","",MAX(IF($D360="Evet",ROUND($C360*tbo_oranBesPuan,2),0),IF($E360="Evet",ROUND($C360*tbo_oranIlave,2),0),IF($F360="Evet",ROUND($C360*tbo_oranKadinGenc,2),0),IF($G360="Evet",ROUND($C360*tbo_isverenOran,2),0)))</f>
        <v/>
      </c>
      <c r="K360" s="31">
        <f>IF($A360="","",IF($H360="TBO-001",IF($D360="Evet",ROUND($C360*tbo_oranBesPuan,2),0),IF($H360="TBO-002",IF($E360="Evet",ROUND($C360*tbo_oranIlave,2),0),IF($H360="TBO-004",IF($F360="Evet",ROUND($C360*tbo_oranKadinGenc,2),0),IF($H360="TBO-ENG",IF($G360="Evet",ROUND($C360*tbo_isverenOran,2),0),0)))))</f>
        <v/>
      </c>
      <c r="L360" s="31">
        <f>IF($A360="","",MAX(0,$J360-$K360))</f>
        <v/>
      </c>
    </row>
    <row r="361">
      <c r="I361" s="31">
        <f>IF($A361="","",IF($J361=0,"YOK",IF(AND($E361="Evet",ROUND($C361*tbo_oranIlave,2)=$J361),"TBO-002",IF(AND($D361="Evet",ROUND($C361*tbo_oranBesPuan,2)=$J361),"TBO-001",IF(AND($F361="Evet",ROUND($C361*tbo_oranKadinGenc,2)=$J361),"TBO-004","TBO-ENG")))))</f>
        <v/>
      </c>
      <c r="J361" s="31">
        <f>IF($A361="","",MAX(IF($D361="Evet",ROUND($C361*tbo_oranBesPuan,2),0),IF($E361="Evet",ROUND($C361*tbo_oranIlave,2),0),IF($F361="Evet",ROUND($C361*tbo_oranKadinGenc,2),0),IF($G361="Evet",ROUND($C361*tbo_isverenOran,2),0)))</f>
        <v/>
      </c>
      <c r="K361" s="31">
        <f>IF($A361="","",IF($H361="TBO-001",IF($D361="Evet",ROUND($C361*tbo_oranBesPuan,2),0),IF($H361="TBO-002",IF($E361="Evet",ROUND($C361*tbo_oranIlave,2),0),IF($H361="TBO-004",IF($F361="Evet",ROUND($C361*tbo_oranKadinGenc,2),0),IF($H361="TBO-ENG",IF($G361="Evet",ROUND($C361*tbo_isverenOran,2),0),0)))))</f>
        <v/>
      </c>
      <c r="L361" s="31">
        <f>IF($A361="","",MAX(0,$J361-$K361))</f>
        <v/>
      </c>
    </row>
    <row r="362">
      <c r="I362" s="31">
        <f>IF($A362="","",IF($J362=0,"YOK",IF(AND($E362="Evet",ROUND($C362*tbo_oranIlave,2)=$J362),"TBO-002",IF(AND($D362="Evet",ROUND($C362*tbo_oranBesPuan,2)=$J362),"TBO-001",IF(AND($F362="Evet",ROUND($C362*tbo_oranKadinGenc,2)=$J362),"TBO-004","TBO-ENG")))))</f>
        <v/>
      </c>
      <c r="J362" s="31">
        <f>IF($A362="","",MAX(IF($D362="Evet",ROUND($C362*tbo_oranBesPuan,2),0),IF($E362="Evet",ROUND($C362*tbo_oranIlave,2),0),IF($F362="Evet",ROUND($C362*tbo_oranKadinGenc,2),0),IF($G362="Evet",ROUND($C362*tbo_isverenOran,2),0)))</f>
        <v/>
      </c>
      <c r="K362" s="31">
        <f>IF($A362="","",IF($H362="TBO-001",IF($D362="Evet",ROUND($C362*tbo_oranBesPuan,2),0),IF($H362="TBO-002",IF($E362="Evet",ROUND($C362*tbo_oranIlave,2),0),IF($H362="TBO-004",IF($F362="Evet",ROUND($C362*tbo_oranKadinGenc,2),0),IF($H362="TBO-ENG",IF($G362="Evet",ROUND($C362*tbo_isverenOran,2),0),0)))))</f>
        <v/>
      </c>
      <c r="L362" s="31">
        <f>IF($A362="","",MAX(0,$J362-$K362))</f>
        <v/>
      </c>
    </row>
    <row r="363">
      <c r="I363" s="31">
        <f>IF($A363="","",IF($J363=0,"YOK",IF(AND($E363="Evet",ROUND($C363*tbo_oranIlave,2)=$J363),"TBO-002",IF(AND($D363="Evet",ROUND($C363*tbo_oranBesPuan,2)=$J363),"TBO-001",IF(AND($F363="Evet",ROUND($C363*tbo_oranKadinGenc,2)=$J363),"TBO-004","TBO-ENG")))))</f>
        <v/>
      </c>
      <c r="J363" s="31">
        <f>IF($A363="","",MAX(IF($D363="Evet",ROUND($C363*tbo_oranBesPuan,2),0),IF($E363="Evet",ROUND($C363*tbo_oranIlave,2),0),IF($F363="Evet",ROUND($C363*tbo_oranKadinGenc,2),0),IF($G363="Evet",ROUND($C363*tbo_isverenOran,2),0)))</f>
        <v/>
      </c>
      <c r="K363" s="31">
        <f>IF($A363="","",IF($H363="TBO-001",IF($D363="Evet",ROUND($C363*tbo_oranBesPuan,2),0),IF($H363="TBO-002",IF($E363="Evet",ROUND($C363*tbo_oranIlave,2),0),IF($H363="TBO-004",IF($F363="Evet",ROUND($C363*tbo_oranKadinGenc,2),0),IF($H363="TBO-ENG",IF($G363="Evet",ROUND($C363*tbo_isverenOran,2),0),0)))))</f>
        <v/>
      </c>
      <c r="L363" s="31">
        <f>IF($A363="","",MAX(0,$J363-$K363))</f>
        <v/>
      </c>
    </row>
    <row r="364">
      <c r="I364" s="31">
        <f>IF($A364="","",IF($J364=0,"YOK",IF(AND($E364="Evet",ROUND($C364*tbo_oranIlave,2)=$J364),"TBO-002",IF(AND($D364="Evet",ROUND($C364*tbo_oranBesPuan,2)=$J364),"TBO-001",IF(AND($F364="Evet",ROUND($C364*tbo_oranKadinGenc,2)=$J364),"TBO-004","TBO-ENG")))))</f>
        <v/>
      </c>
      <c r="J364" s="31">
        <f>IF($A364="","",MAX(IF($D364="Evet",ROUND($C364*tbo_oranBesPuan,2),0),IF($E364="Evet",ROUND($C364*tbo_oranIlave,2),0),IF($F364="Evet",ROUND($C364*tbo_oranKadinGenc,2),0),IF($G364="Evet",ROUND($C364*tbo_isverenOran,2),0)))</f>
        <v/>
      </c>
      <c r="K364" s="31">
        <f>IF($A364="","",IF($H364="TBO-001",IF($D364="Evet",ROUND($C364*tbo_oranBesPuan,2),0),IF($H364="TBO-002",IF($E364="Evet",ROUND($C364*tbo_oranIlave,2),0),IF($H364="TBO-004",IF($F364="Evet",ROUND($C364*tbo_oranKadinGenc,2),0),IF($H364="TBO-ENG",IF($G364="Evet",ROUND($C364*tbo_isverenOran,2),0),0)))))</f>
        <v/>
      </c>
      <c r="L364" s="31">
        <f>IF($A364="","",MAX(0,$J364-$K364))</f>
        <v/>
      </c>
    </row>
    <row r="365">
      <c r="I365" s="31">
        <f>IF($A365="","",IF($J365=0,"YOK",IF(AND($E365="Evet",ROUND($C365*tbo_oranIlave,2)=$J365),"TBO-002",IF(AND($D365="Evet",ROUND($C365*tbo_oranBesPuan,2)=$J365),"TBO-001",IF(AND($F365="Evet",ROUND($C365*tbo_oranKadinGenc,2)=$J365),"TBO-004","TBO-ENG")))))</f>
        <v/>
      </c>
      <c r="J365" s="31">
        <f>IF($A365="","",MAX(IF($D365="Evet",ROUND($C365*tbo_oranBesPuan,2),0),IF($E365="Evet",ROUND($C365*tbo_oranIlave,2),0),IF($F365="Evet",ROUND($C365*tbo_oranKadinGenc,2),0),IF($G365="Evet",ROUND($C365*tbo_isverenOran,2),0)))</f>
        <v/>
      </c>
      <c r="K365" s="31">
        <f>IF($A365="","",IF($H365="TBO-001",IF($D365="Evet",ROUND($C365*tbo_oranBesPuan,2),0),IF($H365="TBO-002",IF($E365="Evet",ROUND($C365*tbo_oranIlave,2),0),IF($H365="TBO-004",IF($F365="Evet",ROUND($C365*tbo_oranKadinGenc,2),0),IF($H365="TBO-ENG",IF($G365="Evet",ROUND($C365*tbo_isverenOran,2),0),0)))))</f>
        <v/>
      </c>
      <c r="L365" s="31">
        <f>IF($A365="","",MAX(0,$J365-$K365))</f>
        <v/>
      </c>
    </row>
    <row r="366">
      <c r="I366" s="31">
        <f>IF($A366="","",IF($J366=0,"YOK",IF(AND($E366="Evet",ROUND($C366*tbo_oranIlave,2)=$J366),"TBO-002",IF(AND($D366="Evet",ROUND($C366*tbo_oranBesPuan,2)=$J366),"TBO-001",IF(AND($F366="Evet",ROUND($C366*tbo_oranKadinGenc,2)=$J366),"TBO-004","TBO-ENG")))))</f>
        <v/>
      </c>
      <c r="J366" s="31">
        <f>IF($A366="","",MAX(IF($D366="Evet",ROUND($C366*tbo_oranBesPuan,2),0),IF($E366="Evet",ROUND($C366*tbo_oranIlave,2),0),IF($F366="Evet",ROUND($C366*tbo_oranKadinGenc,2),0),IF($G366="Evet",ROUND($C366*tbo_isverenOran,2),0)))</f>
        <v/>
      </c>
      <c r="K366" s="31">
        <f>IF($A366="","",IF($H366="TBO-001",IF($D366="Evet",ROUND($C366*tbo_oranBesPuan,2),0),IF($H366="TBO-002",IF($E366="Evet",ROUND($C366*tbo_oranIlave,2),0),IF($H366="TBO-004",IF($F366="Evet",ROUND($C366*tbo_oranKadinGenc,2),0),IF($H366="TBO-ENG",IF($G366="Evet",ROUND($C366*tbo_isverenOran,2),0),0)))))</f>
        <v/>
      </c>
      <c r="L366" s="31">
        <f>IF($A366="","",MAX(0,$J366-$K366))</f>
        <v/>
      </c>
    </row>
    <row r="367">
      <c r="I367" s="31">
        <f>IF($A367="","",IF($J367=0,"YOK",IF(AND($E367="Evet",ROUND($C367*tbo_oranIlave,2)=$J367),"TBO-002",IF(AND($D367="Evet",ROUND($C367*tbo_oranBesPuan,2)=$J367),"TBO-001",IF(AND($F367="Evet",ROUND($C367*tbo_oranKadinGenc,2)=$J367),"TBO-004","TBO-ENG")))))</f>
        <v/>
      </c>
      <c r="J367" s="31">
        <f>IF($A367="","",MAX(IF($D367="Evet",ROUND($C367*tbo_oranBesPuan,2),0),IF($E367="Evet",ROUND($C367*tbo_oranIlave,2),0),IF($F367="Evet",ROUND($C367*tbo_oranKadinGenc,2),0),IF($G367="Evet",ROUND($C367*tbo_isverenOran,2),0)))</f>
        <v/>
      </c>
      <c r="K367" s="31">
        <f>IF($A367="","",IF($H367="TBO-001",IF($D367="Evet",ROUND($C367*tbo_oranBesPuan,2),0),IF($H367="TBO-002",IF($E367="Evet",ROUND($C367*tbo_oranIlave,2),0),IF($H367="TBO-004",IF($F367="Evet",ROUND($C367*tbo_oranKadinGenc,2),0),IF($H367="TBO-ENG",IF($G367="Evet",ROUND($C367*tbo_isverenOran,2),0),0)))))</f>
        <v/>
      </c>
      <c r="L367" s="31">
        <f>IF($A367="","",MAX(0,$J367-$K367))</f>
        <v/>
      </c>
    </row>
    <row r="368">
      <c r="I368" s="31">
        <f>IF($A368="","",IF($J368=0,"YOK",IF(AND($E368="Evet",ROUND($C368*tbo_oranIlave,2)=$J368),"TBO-002",IF(AND($D368="Evet",ROUND($C368*tbo_oranBesPuan,2)=$J368),"TBO-001",IF(AND($F368="Evet",ROUND($C368*tbo_oranKadinGenc,2)=$J368),"TBO-004","TBO-ENG")))))</f>
        <v/>
      </c>
      <c r="J368" s="31">
        <f>IF($A368="","",MAX(IF($D368="Evet",ROUND($C368*tbo_oranBesPuan,2),0),IF($E368="Evet",ROUND($C368*tbo_oranIlave,2),0),IF($F368="Evet",ROUND($C368*tbo_oranKadinGenc,2),0),IF($G368="Evet",ROUND($C368*tbo_isverenOran,2),0)))</f>
        <v/>
      </c>
      <c r="K368" s="31">
        <f>IF($A368="","",IF($H368="TBO-001",IF($D368="Evet",ROUND($C368*tbo_oranBesPuan,2),0),IF($H368="TBO-002",IF($E368="Evet",ROUND($C368*tbo_oranIlave,2),0),IF($H368="TBO-004",IF($F368="Evet",ROUND($C368*tbo_oranKadinGenc,2),0),IF($H368="TBO-ENG",IF($G368="Evet",ROUND($C368*tbo_isverenOran,2),0),0)))))</f>
        <v/>
      </c>
      <c r="L368" s="31">
        <f>IF($A368="","",MAX(0,$J368-$K368))</f>
        <v/>
      </c>
    </row>
    <row r="369">
      <c r="I369" s="31">
        <f>IF($A369="","",IF($J369=0,"YOK",IF(AND($E369="Evet",ROUND($C369*tbo_oranIlave,2)=$J369),"TBO-002",IF(AND($D369="Evet",ROUND($C369*tbo_oranBesPuan,2)=$J369),"TBO-001",IF(AND($F369="Evet",ROUND($C369*tbo_oranKadinGenc,2)=$J369),"TBO-004","TBO-ENG")))))</f>
        <v/>
      </c>
      <c r="J369" s="31">
        <f>IF($A369="","",MAX(IF($D369="Evet",ROUND($C369*tbo_oranBesPuan,2),0),IF($E369="Evet",ROUND($C369*tbo_oranIlave,2),0),IF($F369="Evet",ROUND($C369*tbo_oranKadinGenc,2),0),IF($G369="Evet",ROUND($C369*tbo_isverenOran,2),0)))</f>
        <v/>
      </c>
      <c r="K369" s="31">
        <f>IF($A369="","",IF($H369="TBO-001",IF($D369="Evet",ROUND($C369*tbo_oranBesPuan,2),0),IF($H369="TBO-002",IF($E369="Evet",ROUND($C369*tbo_oranIlave,2),0),IF($H369="TBO-004",IF($F369="Evet",ROUND($C369*tbo_oranKadinGenc,2),0),IF($H369="TBO-ENG",IF($G369="Evet",ROUND($C369*tbo_isverenOran,2),0),0)))))</f>
        <v/>
      </c>
      <c r="L369" s="31">
        <f>IF($A369="","",MAX(0,$J369-$K369))</f>
        <v/>
      </c>
    </row>
    <row r="370">
      <c r="I370" s="31">
        <f>IF($A370="","",IF($J370=0,"YOK",IF(AND($E370="Evet",ROUND($C370*tbo_oranIlave,2)=$J370),"TBO-002",IF(AND($D370="Evet",ROUND($C370*tbo_oranBesPuan,2)=$J370),"TBO-001",IF(AND($F370="Evet",ROUND($C370*tbo_oranKadinGenc,2)=$J370),"TBO-004","TBO-ENG")))))</f>
        <v/>
      </c>
      <c r="J370" s="31">
        <f>IF($A370="","",MAX(IF($D370="Evet",ROUND($C370*tbo_oranBesPuan,2),0),IF($E370="Evet",ROUND($C370*tbo_oranIlave,2),0),IF($F370="Evet",ROUND($C370*tbo_oranKadinGenc,2),0),IF($G370="Evet",ROUND($C370*tbo_isverenOran,2),0)))</f>
        <v/>
      </c>
      <c r="K370" s="31">
        <f>IF($A370="","",IF($H370="TBO-001",IF($D370="Evet",ROUND($C370*tbo_oranBesPuan,2),0),IF($H370="TBO-002",IF($E370="Evet",ROUND($C370*tbo_oranIlave,2),0),IF($H370="TBO-004",IF($F370="Evet",ROUND($C370*tbo_oranKadinGenc,2),0),IF($H370="TBO-ENG",IF($G370="Evet",ROUND($C370*tbo_isverenOran,2),0),0)))))</f>
        <v/>
      </c>
      <c r="L370" s="31">
        <f>IF($A370="","",MAX(0,$J370-$K370))</f>
        <v/>
      </c>
    </row>
    <row r="371">
      <c r="I371" s="31">
        <f>IF($A371="","",IF($J371=0,"YOK",IF(AND($E371="Evet",ROUND($C371*tbo_oranIlave,2)=$J371),"TBO-002",IF(AND($D371="Evet",ROUND($C371*tbo_oranBesPuan,2)=$J371),"TBO-001",IF(AND($F371="Evet",ROUND($C371*tbo_oranKadinGenc,2)=$J371),"TBO-004","TBO-ENG")))))</f>
        <v/>
      </c>
      <c r="J371" s="31">
        <f>IF($A371="","",MAX(IF($D371="Evet",ROUND($C371*tbo_oranBesPuan,2),0),IF($E371="Evet",ROUND($C371*tbo_oranIlave,2),0),IF($F371="Evet",ROUND($C371*tbo_oranKadinGenc,2),0),IF($G371="Evet",ROUND($C371*tbo_isverenOran,2),0)))</f>
        <v/>
      </c>
      <c r="K371" s="31">
        <f>IF($A371="","",IF($H371="TBO-001",IF($D371="Evet",ROUND($C371*tbo_oranBesPuan,2),0),IF($H371="TBO-002",IF($E371="Evet",ROUND($C371*tbo_oranIlave,2),0),IF($H371="TBO-004",IF($F371="Evet",ROUND($C371*tbo_oranKadinGenc,2),0),IF($H371="TBO-ENG",IF($G371="Evet",ROUND($C371*tbo_isverenOran,2),0),0)))))</f>
        <v/>
      </c>
      <c r="L371" s="31">
        <f>IF($A371="","",MAX(0,$J371-$K371))</f>
        <v/>
      </c>
    </row>
    <row r="372">
      <c r="I372" s="31">
        <f>IF($A372="","",IF($J372=0,"YOK",IF(AND($E372="Evet",ROUND($C372*tbo_oranIlave,2)=$J372),"TBO-002",IF(AND($D372="Evet",ROUND($C372*tbo_oranBesPuan,2)=$J372),"TBO-001",IF(AND($F372="Evet",ROUND($C372*tbo_oranKadinGenc,2)=$J372),"TBO-004","TBO-ENG")))))</f>
        <v/>
      </c>
      <c r="J372" s="31">
        <f>IF($A372="","",MAX(IF($D372="Evet",ROUND($C372*tbo_oranBesPuan,2),0),IF($E372="Evet",ROUND($C372*tbo_oranIlave,2),0),IF($F372="Evet",ROUND($C372*tbo_oranKadinGenc,2),0),IF($G372="Evet",ROUND($C372*tbo_isverenOran,2),0)))</f>
        <v/>
      </c>
      <c r="K372" s="31">
        <f>IF($A372="","",IF($H372="TBO-001",IF($D372="Evet",ROUND($C372*tbo_oranBesPuan,2),0),IF($H372="TBO-002",IF($E372="Evet",ROUND($C372*tbo_oranIlave,2),0),IF($H372="TBO-004",IF($F372="Evet",ROUND($C372*tbo_oranKadinGenc,2),0),IF($H372="TBO-ENG",IF($G372="Evet",ROUND($C372*tbo_isverenOran,2),0),0)))))</f>
        <v/>
      </c>
      <c r="L372" s="31">
        <f>IF($A372="","",MAX(0,$J372-$K372))</f>
        <v/>
      </c>
    </row>
    <row r="373">
      <c r="I373" s="31">
        <f>IF($A373="","",IF($J373=0,"YOK",IF(AND($E373="Evet",ROUND($C373*tbo_oranIlave,2)=$J373),"TBO-002",IF(AND($D373="Evet",ROUND($C373*tbo_oranBesPuan,2)=$J373),"TBO-001",IF(AND($F373="Evet",ROUND($C373*tbo_oranKadinGenc,2)=$J373),"TBO-004","TBO-ENG")))))</f>
        <v/>
      </c>
      <c r="J373" s="31">
        <f>IF($A373="","",MAX(IF($D373="Evet",ROUND($C373*tbo_oranBesPuan,2),0),IF($E373="Evet",ROUND($C373*tbo_oranIlave,2),0),IF($F373="Evet",ROUND($C373*tbo_oranKadinGenc,2),0),IF($G373="Evet",ROUND($C373*tbo_isverenOran,2),0)))</f>
        <v/>
      </c>
      <c r="K373" s="31">
        <f>IF($A373="","",IF($H373="TBO-001",IF($D373="Evet",ROUND($C373*tbo_oranBesPuan,2),0),IF($H373="TBO-002",IF($E373="Evet",ROUND($C373*tbo_oranIlave,2),0),IF($H373="TBO-004",IF($F373="Evet",ROUND($C373*tbo_oranKadinGenc,2),0),IF($H373="TBO-ENG",IF($G373="Evet",ROUND($C373*tbo_isverenOran,2),0),0)))))</f>
        <v/>
      </c>
      <c r="L373" s="31">
        <f>IF($A373="","",MAX(0,$J373-$K373))</f>
        <v/>
      </c>
    </row>
    <row r="374">
      <c r="I374" s="31">
        <f>IF($A374="","",IF($J374=0,"YOK",IF(AND($E374="Evet",ROUND($C374*tbo_oranIlave,2)=$J374),"TBO-002",IF(AND($D374="Evet",ROUND($C374*tbo_oranBesPuan,2)=$J374),"TBO-001",IF(AND($F374="Evet",ROUND($C374*tbo_oranKadinGenc,2)=$J374),"TBO-004","TBO-ENG")))))</f>
        <v/>
      </c>
      <c r="J374" s="31">
        <f>IF($A374="","",MAX(IF($D374="Evet",ROUND($C374*tbo_oranBesPuan,2),0),IF($E374="Evet",ROUND($C374*tbo_oranIlave,2),0),IF($F374="Evet",ROUND($C374*tbo_oranKadinGenc,2),0),IF($G374="Evet",ROUND($C374*tbo_isverenOran,2),0)))</f>
        <v/>
      </c>
      <c r="K374" s="31">
        <f>IF($A374="","",IF($H374="TBO-001",IF($D374="Evet",ROUND($C374*tbo_oranBesPuan,2),0),IF($H374="TBO-002",IF($E374="Evet",ROUND($C374*tbo_oranIlave,2),0),IF($H374="TBO-004",IF($F374="Evet",ROUND($C374*tbo_oranKadinGenc,2),0),IF($H374="TBO-ENG",IF($G374="Evet",ROUND($C374*tbo_isverenOran,2),0),0)))))</f>
        <v/>
      </c>
      <c r="L374" s="31">
        <f>IF($A374="","",MAX(0,$J374-$K374))</f>
        <v/>
      </c>
    </row>
    <row r="375">
      <c r="I375" s="31">
        <f>IF($A375="","",IF($J375=0,"YOK",IF(AND($E375="Evet",ROUND($C375*tbo_oranIlave,2)=$J375),"TBO-002",IF(AND($D375="Evet",ROUND($C375*tbo_oranBesPuan,2)=$J375),"TBO-001",IF(AND($F375="Evet",ROUND($C375*tbo_oranKadinGenc,2)=$J375),"TBO-004","TBO-ENG")))))</f>
        <v/>
      </c>
      <c r="J375" s="31">
        <f>IF($A375="","",MAX(IF($D375="Evet",ROUND($C375*tbo_oranBesPuan,2),0),IF($E375="Evet",ROUND($C375*tbo_oranIlave,2),0),IF($F375="Evet",ROUND($C375*tbo_oranKadinGenc,2),0),IF($G375="Evet",ROUND($C375*tbo_isverenOran,2),0)))</f>
        <v/>
      </c>
      <c r="K375" s="31">
        <f>IF($A375="","",IF($H375="TBO-001",IF($D375="Evet",ROUND($C375*tbo_oranBesPuan,2),0),IF($H375="TBO-002",IF($E375="Evet",ROUND($C375*tbo_oranIlave,2),0),IF($H375="TBO-004",IF($F375="Evet",ROUND($C375*tbo_oranKadinGenc,2),0),IF($H375="TBO-ENG",IF($G375="Evet",ROUND($C375*tbo_isverenOran,2),0),0)))))</f>
        <v/>
      </c>
      <c r="L375" s="31">
        <f>IF($A375="","",MAX(0,$J375-$K375))</f>
        <v/>
      </c>
    </row>
    <row r="376">
      <c r="I376" s="31">
        <f>IF($A376="","",IF($J376=0,"YOK",IF(AND($E376="Evet",ROUND($C376*tbo_oranIlave,2)=$J376),"TBO-002",IF(AND($D376="Evet",ROUND($C376*tbo_oranBesPuan,2)=$J376),"TBO-001",IF(AND($F376="Evet",ROUND($C376*tbo_oranKadinGenc,2)=$J376),"TBO-004","TBO-ENG")))))</f>
        <v/>
      </c>
      <c r="J376" s="31">
        <f>IF($A376="","",MAX(IF($D376="Evet",ROUND($C376*tbo_oranBesPuan,2),0),IF($E376="Evet",ROUND($C376*tbo_oranIlave,2),0),IF($F376="Evet",ROUND($C376*tbo_oranKadinGenc,2),0),IF($G376="Evet",ROUND($C376*tbo_isverenOran,2),0)))</f>
        <v/>
      </c>
      <c r="K376" s="31">
        <f>IF($A376="","",IF($H376="TBO-001",IF($D376="Evet",ROUND($C376*tbo_oranBesPuan,2),0),IF($H376="TBO-002",IF($E376="Evet",ROUND($C376*tbo_oranIlave,2),0),IF($H376="TBO-004",IF($F376="Evet",ROUND($C376*tbo_oranKadinGenc,2),0),IF($H376="TBO-ENG",IF($G376="Evet",ROUND($C376*tbo_isverenOran,2),0),0)))))</f>
        <v/>
      </c>
      <c r="L376" s="31">
        <f>IF($A376="","",MAX(0,$J376-$K376))</f>
        <v/>
      </c>
    </row>
    <row r="377">
      <c r="I377" s="31">
        <f>IF($A377="","",IF($J377=0,"YOK",IF(AND($E377="Evet",ROUND($C377*tbo_oranIlave,2)=$J377),"TBO-002",IF(AND($D377="Evet",ROUND($C377*tbo_oranBesPuan,2)=$J377),"TBO-001",IF(AND($F377="Evet",ROUND($C377*tbo_oranKadinGenc,2)=$J377),"TBO-004","TBO-ENG")))))</f>
        <v/>
      </c>
      <c r="J377" s="31">
        <f>IF($A377="","",MAX(IF($D377="Evet",ROUND($C377*tbo_oranBesPuan,2),0),IF($E377="Evet",ROUND($C377*tbo_oranIlave,2),0),IF($F377="Evet",ROUND($C377*tbo_oranKadinGenc,2),0),IF($G377="Evet",ROUND($C377*tbo_isverenOran,2),0)))</f>
        <v/>
      </c>
      <c r="K377" s="31">
        <f>IF($A377="","",IF($H377="TBO-001",IF($D377="Evet",ROUND($C377*tbo_oranBesPuan,2),0),IF($H377="TBO-002",IF($E377="Evet",ROUND($C377*tbo_oranIlave,2),0),IF($H377="TBO-004",IF($F377="Evet",ROUND($C377*tbo_oranKadinGenc,2),0),IF($H377="TBO-ENG",IF($G377="Evet",ROUND($C377*tbo_isverenOran,2),0),0)))))</f>
        <v/>
      </c>
      <c r="L377" s="31">
        <f>IF($A377="","",MAX(0,$J377-$K377))</f>
        <v/>
      </c>
    </row>
    <row r="378">
      <c r="I378" s="31">
        <f>IF($A378="","",IF($J378=0,"YOK",IF(AND($E378="Evet",ROUND($C378*tbo_oranIlave,2)=$J378),"TBO-002",IF(AND($D378="Evet",ROUND($C378*tbo_oranBesPuan,2)=$J378),"TBO-001",IF(AND($F378="Evet",ROUND($C378*tbo_oranKadinGenc,2)=$J378),"TBO-004","TBO-ENG")))))</f>
        <v/>
      </c>
      <c r="J378" s="31">
        <f>IF($A378="","",MAX(IF($D378="Evet",ROUND($C378*tbo_oranBesPuan,2),0),IF($E378="Evet",ROUND($C378*tbo_oranIlave,2),0),IF($F378="Evet",ROUND($C378*tbo_oranKadinGenc,2),0),IF($G378="Evet",ROUND($C378*tbo_isverenOran,2),0)))</f>
        <v/>
      </c>
      <c r="K378" s="31">
        <f>IF($A378="","",IF($H378="TBO-001",IF($D378="Evet",ROUND($C378*tbo_oranBesPuan,2),0),IF($H378="TBO-002",IF($E378="Evet",ROUND($C378*tbo_oranIlave,2),0),IF($H378="TBO-004",IF($F378="Evet",ROUND($C378*tbo_oranKadinGenc,2),0),IF($H378="TBO-ENG",IF($G378="Evet",ROUND($C378*tbo_isverenOran,2),0),0)))))</f>
        <v/>
      </c>
      <c r="L378" s="31">
        <f>IF($A378="","",MAX(0,$J378-$K378))</f>
        <v/>
      </c>
    </row>
    <row r="379">
      <c r="I379" s="31">
        <f>IF($A379="","",IF($J379=0,"YOK",IF(AND($E379="Evet",ROUND($C379*tbo_oranIlave,2)=$J379),"TBO-002",IF(AND($D379="Evet",ROUND($C379*tbo_oranBesPuan,2)=$J379),"TBO-001",IF(AND($F379="Evet",ROUND($C379*tbo_oranKadinGenc,2)=$J379),"TBO-004","TBO-ENG")))))</f>
        <v/>
      </c>
      <c r="J379" s="31">
        <f>IF($A379="","",MAX(IF($D379="Evet",ROUND($C379*tbo_oranBesPuan,2),0),IF($E379="Evet",ROUND($C379*tbo_oranIlave,2),0),IF($F379="Evet",ROUND($C379*tbo_oranKadinGenc,2),0),IF($G379="Evet",ROUND($C379*tbo_isverenOran,2),0)))</f>
        <v/>
      </c>
      <c r="K379" s="31">
        <f>IF($A379="","",IF($H379="TBO-001",IF($D379="Evet",ROUND($C379*tbo_oranBesPuan,2),0),IF($H379="TBO-002",IF($E379="Evet",ROUND($C379*tbo_oranIlave,2),0),IF($H379="TBO-004",IF($F379="Evet",ROUND($C379*tbo_oranKadinGenc,2),0),IF($H379="TBO-ENG",IF($G379="Evet",ROUND($C379*tbo_isverenOran,2),0),0)))))</f>
        <v/>
      </c>
      <c r="L379" s="31">
        <f>IF($A379="","",MAX(0,$J379-$K379))</f>
        <v/>
      </c>
    </row>
    <row r="380">
      <c r="I380" s="31">
        <f>IF($A380="","",IF($J380=0,"YOK",IF(AND($E380="Evet",ROUND($C380*tbo_oranIlave,2)=$J380),"TBO-002",IF(AND($D380="Evet",ROUND($C380*tbo_oranBesPuan,2)=$J380),"TBO-001",IF(AND($F380="Evet",ROUND($C380*tbo_oranKadinGenc,2)=$J380),"TBO-004","TBO-ENG")))))</f>
        <v/>
      </c>
      <c r="J380" s="31">
        <f>IF($A380="","",MAX(IF($D380="Evet",ROUND($C380*tbo_oranBesPuan,2),0),IF($E380="Evet",ROUND($C380*tbo_oranIlave,2),0),IF($F380="Evet",ROUND($C380*tbo_oranKadinGenc,2),0),IF($G380="Evet",ROUND($C380*tbo_isverenOran,2),0)))</f>
        <v/>
      </c>
      <c r="K380" s="31">
        <f>IF($A380="","",IF($H380="TBO-001",IF($D380="Evet",ROUND($C380*tbo_oranBesPuan,2),0),IF($H380="TBO-002",IF($E380="Evet",ROUND($C380*tbo_oranIlave,2),0),IF($H380="TBO-004",IF($F380="Evet",ROUND($C380*tbo_oranKadinGenc,2),0),IF($H380="TBO-ENG",IF($G380="Evet",ROUND($C380*tbo_isverenOran,2),0),0)))))</f>
        <v/>
      </c>
      <c r="L380" s="31">
        <f>IF($A380="","",MAX(0,$J380-$K380))</f>
        <v/>
      </c>
    </row>
    <row r="381">
      <c r="I381" s="31">
        <f>IF($A381="","",IF($J381=0,"YOK",IF(AND($E381="Evet",ROUND($C381*tbo_oranIlave,2)=$J381),"TBO-002",IF(AND($D381="Evet",ROUND($C381*tbo_oranBesPuan,2)=$J381),"TBO-001",IF(AND($F381="Evet",ROUND($C381*tbo_oranKadinGenc,2)=$J381),"TBO-004","TBO-ENG")))))</f>
        <v/>
      </c>
      <c r="J381" s="31">
        <f>IF($A381="","",MAX(IF($D381="Evet",ROUND($C381*tbo_oranBesPuan,2),0),IF($E381="Evet",ROUND($C381*tbo_oranIlave,2),0),IF($F381="Evet",ROUND($C381*tbo_oranKadinGenc,2),0),IF($G381="Evet",ROUND($C381*tbo_isverenOran,2),0)))</f>
        <v/>
      </c>
      <c r="K381" s="31">
        <f>IF($A381="","",IF($H381="TBO-001",IF($D381="Evet",ROUND($C381*tbo_oranBesPuan,2),0),IF($H381="TBO-002",IF($E381="Evet",ROUND($C381*tbo_oranIlave,2),0),IF($H381="TBO-004",IF($F381="Evet",ROUND($C381*tbo_oranKadinGenc,2),0),IF($H381="TBO-ENG",IF($G381="Evet",ROUND($C381*tbo_isverenOran,2),0),0)))))</f>
        <v/>
      </c>
      <c r="L381" s="31">
        <f>IF($A381="","",MAX(0,$J381-$K381))</f>
        <v/>
      </c>
    </row>
    <row r="382">
      <c r="I382" s="31">
        <f>IF($A382="","",IF($J382=0,"YOK",IF(AND($E382="Evet",ROUND($C382*tbo_oranIlave,2)=$J382),"TBO-002",IF(AND($D382="Evet",ROUND($C382*tbo_oranBesPuan,2)=$J382),"TBO-001",IF(AND($F382="Evet",ROUND($C382*tbo_oranKadinGenc,2)=$J382),"TBO-004","TBO-ENG")))))</f>
        <v/>
      </c>
      <c r="J382" s="31">
        <f>IF($A382="","",MAX(IF($D382="Evet",ROUND($C382*tbo_oranBesPuan,2),0),IF($E382="Evet",ROUND($C382*tbo_oranIlave,2),0),IF($F382="Evet",ROUND($C382*tbo_oranKadinGenc,2),0),IF($G382="Evet",ROUND($C382*tbo_isverenOran,2),0)))</f>
        <v/>
      </c>
      <c r="K382" s="31">
        <f>IF($A382="","",IF($H382="TBO-001",IF($D382="Evet",ROUND($C382*tbo_oranBesPuan,2),0),IF($H382="TBO-002",IF($E382="Evet",ROUND($C382*tbo_oranIlave,2),0),IF($H382="TBO-004",IF($F382="Evet",ROUND($C382*tbo_oranKadinGenc,2),0),IF($H382="TBO-ENG",IF($G382="Evet",ROUND($C382*tbo_isverenOran,2),0),0)))))</f>
        <v/>
      </c>
      <c r="L382" s="31">
        <f>IF($A382="","",MAX(0,$J382-$K382))</f>
        <v/>
      </c>
    </row>
    <row r="383">
      <c r="I383" s="31">
        <f>IF($A383="","",IF($J383=0,"YOK",IF(AND($E383="Evet",ROUND($C383*tbo_oranIlave,2)=$J383),"TBO-002",IF(AND($D383="Evet",ROUND($C383*tbo_oranBesPuan,2)=$J383),"TBO-001",IF(AND($F383="Evet",ROUND($C383*tbo_oranKadinGenc,2)=$J383),"TBO-004","TBO-ENG")))))</f>
        <v/>
      </c>
      <c r="J383" s="31">
        <f>IF($A383="","",MAX(IF($D383="Evet",ROUND($C383*tbo_oranBesPuan,2),0),IF($E383="Evet",ROUND($C383*tbo_oranIlave,2),0),IF($F383="Evet",ROUND($C383*tbo_oranKadinGenc,2),0),IF($G383="Evet",ROUND($C383*tbo_isverenOran,2),0)))</f>
        <v/>
      </c>
      <c r="K383" s="31">
        <f>IF($A383="","",IF($H383="TBO-001",IF($D383="Evet",ROUND($C383*tbo_oranBesPuan,2),0),IF($H383="TBO-002",IF($E383="Evet",ROUND($C383*tbo_oranIlave,2),0),IF($H383="TBO-004",IF($F383="Evet",ROUND($C383*tbo_oranKadinGenc,2),0),IF($H383="TBO-ENG",IF($G383="Evet",ROUND($C383*tbo_isverenOran,2),0),0)))))</f>
        <v/>
      </c>
      <c r="L383" s="31">
        <f>IF($A383="","",MAX(0,$J383-$K383))</f>
        <v/>
      </c>
    </row>
    <row r="384">
      <c r="I384" s="31">
        <f>IF($A384="","",IF($J384=0,"YOK",IF(AND($E384="Evet",ROUND($C384*tbo_oranIlave,2)=$J384),"TBO-002",IF(AND($D384="Evet",ROUND($C384*tbo_oranBesPuan,2)=$J384),"TBO-001",IF(AND($F384="Evet",ROUND($C384*tbo_oranKadinGenc,2)=$J384),"TBO-004","TBO-ENG")))))</f>
        <v/>
      </c>
      <c r="J384" s="31">
        <f>IF($A384="","",MAX(IF($D384="Evet",ROUND($C384*tbo_oranBesPuan,2),0),IF($E384="Evet",ROUND($C384*tbo_oranIlave,2),0),IF($F384="Evet",ROUND($C384*tbo_oranKadinGenc,2),0),IF($G384="Evet",ROUND($C384*tbo_isverenOran,2),0)))</f>
        <v/>
      </c>
      <c r="K384" s="31">
        <f>IF($A384="","",IF($H384="TBO-001",IF($D384="Evet",ROUND($C384*tbo_oranBesPuan,2),0),IF($H384="TBO-002",IF($E384="Evet",ROUND($C384*tbo_oranIlave,2),0),IF($H384="TBO-004",IF($F384="Evet",ROUND($C384*tbo_oranKadinGenc,2),0),IF($H384="TBO-ENG",IF($G384="Evet",ROUND($C384*tbo_isverenOran,2),0),0)))))</f>
        <v/>
      </c>
      <c r="L384" s="31">
        <f>IF($A384="","",MAX(0,$J384-$K384))</f>
        <v/>
      </c>
    </row>
    <row r="385">
      <c r="I385" s="31">
        <f>IF($A385="","",IF($J385=0,"YOK",IF(AND($E385="Evet",ROUND($C385*tbo_oranIlave,2)=$J385),"TBO-002",IF(AND($D385="Evet",ROUND($C385*tbo_oranBesPuan,2)=$J385),"TBO-001",IF(AND($F385="Evet",ROUND($C385*tbo_oranKadinGenc,2)=$J385),"TBO-004","TBO-ENG")))))</f>
        <v/>
      </c>
      <c r="J385" s="31">
        <f>IF($A385="","",MAX(IF($D385="Evet",ROUND($C385*tbo_oranBesPuan,2),0),IF($E385="Evet",ROUND($C385*tbo_oranIlave,2),0),IF($F385="Evet",ROUND($C385*tbo_oranKadinGenc,2),0),IF($G385="Evet",ROUND($C385*tbo_isverenOran,2),0)))</f>
        <v/>
      </c>
      <c r="K385" s="31">
        <f>IF($A385="","",IF($H385="TBO-001",IF($D385="Evet",ROUND($C385*tbo_oranBesPuan,2),0),IF($H385="TBO-002",IF($E385="Evet",ROUND($C385*tbo_oranIlave,2),0),IF($H385="TBO-004",IF($F385="Evet",ROUND($C385*tbo_oranKadinGenc,2),0),IF($H385="TBO-ENG",IF($G385="Evet",ROUND($C385*tbo_isverenOran,2),0),0)))))</f>
        <v/>
      </c>
      <c r="L385" s="31">
        <f>IF($A385="","",MAX(0,$J385-$K385))</f>
        <v/>
      </c>
    </row>
    <row r="386">
      <c r="I386" s="31">
        <f>IF($A386="","",IF($J386=0,"YOK",IF(AND($E386="Evet",ROUND($C386*tbo_oranIlave,2)=$J386),"TBO-002",IF(AND($D386="Evet",ROUND($C386*tbo_oranBesPuan,2)=$J386),"TBO-001",IF(AND($F386="Evet",ROUND($C386*tbo_oranKadinGenc,2)=$J386),"TBO-004","TBO-ENG")))))</f>
        <v/>
      </c>
      <c r="J386" s="31">
        <f>IF($A386="","",MAX(IF($D386="Evet",ROUND($C386*tbo_oranBesPuan,2),0),IF($E386="Evet",ROUND($C386*tbo_oranIlave,2),0),IF($F386="Evet",ROUND($C386*tbo_oranKadinGenc,2),0),IF($G386="Evet",ROUND($C386*tbo_isverenOran,2),0)))</f>
        <v/>
      </c>
      <c r="K386" s="31">
        <f>IF($A386="","",IF($H386="TBO-001",IF($D386="Evet",ROUND($C386*tbo_oranBesPuan,2),0),IF($H386="TBO-002",IF($E386="Evet",ROUND($C386*tbo_oranIlave,2),0),IF($H386="TBO-004",IF($F386="Evet",ROUND($C386*tbo_oranKadinGenc,2),0),IF($H386="TBO-ENG",IF($G386="Evet",ROUND($C386*tbo_isverenOran,2),0),0)))))</f>
        <v/>
      </c>
      <c r="L386" s="31">
        <f>IF($A386="","",MAX(0,$J386-$K386))</f>
        <v/>
      </c>
    </row>
    <row r="387">
      <c r="I387" s="31">
        <f>IF($A387="","",IF($J387=0,"YOK",IF(AND($E387="Evet",ROUND($C387*tbo_oranIlave,2)=$J387),"TBO-002",IF(AND($D387="Evet",ROUND($C387*tbo_oranBesPuan,2)=$J387),"TBO-001",IF(AND($F387="Evet",ROUND($C387*tbo_oranKadinGenc,2)=$J387),"TBO-004","TBO-ENG")))))</f>
        <v/>
      </c>
      <c r="J387" s="31">
        <f>IF($A387="","",MAX(IF($D387="Evet",ROUND($C387*tbo_oranBesPuan,2),0),IF($E387="Evet",ROUND($C387*tbo_oranIlave,2),0),IF($F387="Evet",ROUND($C387*tbo_oranKadinGenc,2),0),IF($G387="Evet",ROUND($C387*tbo_isverenOran,2),0)))</f>
        <v/>
      </c>
      <c r="K387" s="31">
        <f>IF($A387="","",IF($H387="TBO-001",IF($D387="Evet",ROUND($C387*tbo_oranBesPuan,2),0),IF($H387="TBO-002",IF($E387="Evet",ROUND($C387*tbo_oranIlave,2),0),IF($H387="TBO-004",IF($F387="Evet",ROUND($C387*tbo_oranKadinGenc,2),0),IF($H387="TBO-ENG",IF($G387="Evet",ROUND($C387*tbo_isverenOran,2),0),0)))))</f>
        <v/>
      </c>
      <c r="L387" s="31">
        <f>IF($A387="","",MAX(0,$J387-$K387))</f>
        <v/>
      </c>
    </row>
    <row r="388">
      <c r="I388" s="31">
        <f>IF($A388="","",IF($J388=0,"YOK",IF(AND($E388="Evet",ROUND($C388*tbo_oranIlave,2)=$J388),"TBO-002",IF(AND($D388="Evet",ROUND($C388*tbo_oranBesPuan,2)=$J388),"TBO-001",IF(AND($F388="Evet",ROUND($C388*tbo_oranKadinGenc,2)=$J388),"TBO-004","TBO-ENG")))))</f>
        <v/>
      </c>
      <c r="J388" s="31">
        <f>IF($A388="","",MAX(IF($D388="Evet",ROUND($C388*tbo_oranBesPuan,2),0),IF($E388="Evet",ROUND($C388*tbo_oranIlave,2),0),IF($F388="Evet",ROUND($C388*tbo_oranKadinGenc,2),0),IF($G388="Evet",ROUND($C388*tbo_isverenOran,2),0)))</f>
        <v/>
      </c>
      <c r="K388" s="31">
        <f>IF($A388="","",IF($H388="TBO-001",IF($D388="Evet",ROUND($C388*tbo_oranBesPuan,2),0),IF($H388="TBO-002",IF($E388="Evet",ROUND($C388*tbo_oranIlave,2),0),IF($H388="TBO-004",IF($F388="Evet",ROUND($C388*tbo_oranKadinGenc,2),0),IF($H388="TBO-ENG",IF($G388="Evet",ROUND($C388*tbo_isverenOran,2),0),0)))))</f>
        <v/>
      </c>
      <c r="L388" s="31">
        <f>IF($A388="","",MAX(0,$J388-$K388))</f>
        <v/>
      </c>
    </row>
    <row r="389">
      <c r="I389" s="31">
        <f>IF($A389="","",IF($J389=0,"YOK",IF(AND($E389="Evet",ROUND($C389*tbo_oranIlave,2)=$J389),"TBO-002",IF(AND($D389="Evet",ROUND($C389*tbo_oranBesPuan,2)=$J389),"TBO-001",IF(AND($F389="Evet",ROUND($C389*tbo_oranKadinGenc,2)=$J389),"TBO-004","TBO-ENG")))))</f>
        <v/>
      </c>
      <c r="J389" s="31">
        <f>IF($A389="","",MAX(IF($D389="Evet",ROUND($C389*tbo_oranBesPuan,2),0),IF($E389="Evet",ROUND($C389*tbo_oranIlave,2),0),IF($F389="Evet",ROUND($C389*tbo_oranKadinGenc,2),0),IF($G389="Evet",ROUND($C389*tbo_isverenOran,2),0)))</f>
        <v/>
      </c>
      <c r="K389" s="31">
        <f>IF($A389="","",IF($H389="TBO-001",IF($D389="Evet",ROUND($C389*tbo_oranBesPuan,2),0),IF($H389="TBO-002",IF($E389="Evet",ROUND($C389*tbo_oranIlave,2),0),IF($H389="TBO-004",IF($F389="Evet",ROUND($C389*tbo_oranKadinGenc,2),0),IF($H389="TBO-ENG",IF($G389="Evet",ROUND($C389*tbo_isverenOran,2),0),0)))))</f>
        <v/>
      </c>
      <c r="L389" s="31">
        <f>IF($A389="","",MAX(0,$J389-$K389))</f>
        <v/>
      </c>
    </row>
    <row r="390">
      <c r="I390" s="31">
        <f>IF($A390="","",IF($J390=0,"YOK",IF(AND($E390="Evet",ROUND($C390*tbo_oranIlave,2)=$J390),"TBO-002",IF(AND($D390="Evet",ROUND($C390*tbo_oranBesPuan,2)=$J390),"TBO-001",IF(AND($F390="Evet",ROUND($C390*tbo_oranKadinGenc,2)=$J390),"TBO-004","TBO-ENG")))))</f>
        <v/>
      </c>
      <c r="J390" s="31">
        <f>IF($A390="","",MAX(IF($D390="Evet",ROUND($C390*tbo_oranBesPuan,2),0),IF($E390="Evet",ROUND($C390*tbo_oranIlave,2),0),IF($F390="Evet",ROUND($C390*tbo_oranKadinGenc,2),0),IF($G390="Evet",ROUND($C390*tbo_isverenOran,2),0)))</f>
        <v/>
      </c>
      <c r="K390" s="31">
        <f>IF($A390="","",IF($H390="TBO-001",IF($D390="Evet",ROUND($C390*tbo_oranBesPuan,2),0),IF($H390="TBO-002",IF($E390="Evet",ROUND($C390*tbo_oranIlave,2),0),IF($H390="TBO-004",IF($F390="Evet",ROUND($C390*tbo_oranKadinGenc,2),0),IF($H390="TBO-ENG",IF($G390="Evet",ROUND($C390*tbo_isverenOran,2),0),0)))))</f>
        <v/>
      </c>
      <c r="L390" s="31">
        <f>IF($A390="","",MAX(0,$J390-$K390))</f>
        <v/>
      </c>
    </row>
    <row r="391">
      <c r="I391" s="31">
        <f>IF($A391="","",IF($J391=0,"YOK",IF(AND($E391="Evet",ROUND($C391*tbo_oranIlave,2)=$J391),"TBO-002",IF(AND($D391="Evet",ROUND($C391*tbo_oranBesPuan,2)=$J391),"TBO-001",IF(AND($F391="Evet",ROUND($C391*tbo_oranKadinGenc,2)=$J391),"TBO-004","TBO-ENG")))))</f>
        <v/>
      </c>
      <c r="J391" s="31">
        <f>IF($A391="","",MAX(IF($D391="Evet",ROUND($C391*tbo_oranBesPuan,2),0),IF($E391="Evet",ROUND($C391*tbo_oranIlave,2),0),IF($F391="Evet",ROUND($C391*tbo_oranKadinGenc,2),0),IF($G391="Evet",ROUND($C391*tbo_isverenOran,2),0)))</f>
        <v/>
      </c>
      <c r="K391" s="31">
        <f>IF($A391="","",IF($H391="TBO-001",IF($D391="Evet",ROUND($C391*tbo_oranBesPuan,2),0),IF($H391="TBO-002",IF($E391="Evet",ROUND($C391*tbo_oranIlave,2),0),IF($H391="TBO-004",IF($F391="Evet",ROUND($C391*tbo_oranKadinGenc,2),0),IF($H391="TBO-ENG",IF($G391="Evet",ROUND($C391*tbo_isverenOran,2),0),0)))))</f>
        <v/>
      </c>
      <c r="L391" s="31">
        <f>IF($A391="","",MAX(0,$J391-$K391))</f>
        <v/>
      </c>
    </row>
    <row r="392">
      <c r="I392" s="31">
        <f>IF($A392="","",IF($J392=0,"YOK",IF(AND($E392="Evet",ROUND($C392*tbo_oranIlave,2)=$J392),"TBO-002",IF(AND($D392="Evet",ROUND($C392*tbo_oranBesPuan,2)=$J392),"TBO-001",IF(AND($F392="Evet",ROUND($C392*tbo_oranKadinGenc,2)=$J392),"TBO-004","TBO-ENG")))))</f>
        <v/>
      </c>
      <c r="J392" s="31">
        <f>IF($A392="","",MAX(IF($D392="Evet",ROUND($C392*tbo_oranBesPuan,2),0),IF($E392="Evet",ROUND($C392*tbo_oranIlave,2),0),IF($F392="Evet",ROUND($C392*tbo_oranKadinGenc,2),0),IF($G392="Evet",ROUND($C392*tbo_isverenOran,2),0)))</f>
        <v/>
      </c>
      <c r="K392" s="31">
        <f>IF($A392="","",IF($H392="TBO-001",IF($D392="Evet",ROUND($C392*tbo_oranBesPuan,2),0),IF($H392="TBO-002",IF($E392="Evet",ROUND($C392*tbo_oranIlave,2),0),IF($H392="TBO-004",IF($F392="Evet",ROUND($C392*tbo_oranKadinGenc,2),0),IF($H392="TBO-ENG",IF($G392="Evet",ROUND($C392*tbo_isverenOran,2),0),0)))))</f>
        <v/>
      </c>
      <c r="L392" s="31">
        <f>IF($A392="","",MAX(0,$J392-$K392))</f>
        <v/>
      </c>
    </row>
    <row r="393">
      <c r="I393" s="31">
        <f>IF($A393="","",IF($J393=0,"YOK",IF(AND($E393="Evet",ROUND($C393*tbo_oranIlave,2)=$J393),"TBO-002",IF(AND($D393="Evet",ROUND($C393*tbo_oranBesPuan,2)=$J393),"TBO-001",IF(AND($F393="Evet",ROUND($C393*tbo_oranKadinGenc,2)=$J393),"TBO-004","TBO-ENG")))))</f>
        <v/>
      </c>
      <c r="J393" s="31">
        <f>IF($A393="","",MAX(IF($D393="Evet",ROUND($C393*tbo_oranBesPuan,2),0),IF($E393="Evet",ROUND($C393*tbo_oranIlave,2),0),IF($F393="Evet",ROUND($C393*tbo_oranKadinGenc,2),0),IF($G393="Evet",ROUND($C393*tbo_isverenOran,2),0)))</f>
        <v/>
      </c>
      <c r="K393" s="31">
        <f>IF($A393="","",IF($H393="TBO-001",IF($D393="Evet",ROUND($C393*tbo_oranBesPuan,2),0),IF($H393="TBO-002",IF($E393="Evet",ROUND($C393*tbo_oranIlave,2),0),IF($H393="TBO-004",IF($F393="Evet",ROUND($C393*tbo_oranKadinGenc,2),0),IF($H393="TBO-ENG",IF($G393="Evet",ROUND($C393*tbo_isverenOran,2),0),0)))))</f>
        <v/>
      </c>
      <c r="L393" s="31">
        <f>IF($A393="","",MAX(0,$J393-$K393))</f>
        <v/>
      </c>
    </row>
    <row r="394">
      <c r="I394" s="31">
        <f>IF($A394="","",IF($J394=0,"YOK",IF(AND($E394="Evet",ROUND($C394*tbo_oranIlave,2)=$J394),"TBO-002",IF(AND($D394="Evet",ROUND($C394*tbo_oranBesPuan,2)=$J394),"TBO-001",IF(AND($F394="Evet",ROUND($C394*tbo_oranKadinGenc,2)=$J394),"TBO-004","TBO-ENG")))))</f>
        <v/>
      </c>
      <c r="J394" s="31">
        <f>IF($A394="","",MAX(IF($D394="Evet",ROUND($C394*tbo_oranBesPuan,2),0),IF($E394="Evet",ROUND($C394*tbo_oranIlave,2),0),IF($F394="Evet",ROUND($C394*tbo_oranKadinGenc,2),0),IF($G394="Evet",ROUND($C394*tbo_isverenOran,2),0)))</f>
        <v/>
      </c>
      <c r="K394" s="31">
        <f>IF($A394="","",IF($H394="TBO-001",IF($D394="Evet",ROUND($C394*tbo_oranBesPuan,2),0),IF($H394="TBO-002",IF($E394="Evet",ROUND($C394*tbo_oranIlave,2),0),IF($H394="TBO-004",IF($F394="Evet",ROUND($C394*tbo_oranKadinGenc,2),0),IF($H394="TBO-ENG",IF($G394="Evet",ROUND($C394*tbo_isverenOran,2),0),0)))))</f>
        <v/>
      </c>
      <c r="L394" s="31">
        <f>IF($A394="","",MAX(0,$J394-$K394))</f>
        <v/>
      </c>
    </row>
    <row r="395">
      <c r="I395" s="31">
        <f>IF($A395="","",IF($J395=0,"YOK",IF(AND($E395="Evet",ROUND($C395*tbo_oranIlave,2)=$J395),"TBO-002",IF(AND($D395="Evet",ROUND($C395*tbo_oranBesPuan,2)=$J395),"TBO-001",IF(AND($F395="Evet",ROUND($C395*tbo_oranKadinGenc,2)=$J395),"TBO-004","TBO-ENG")))))</f>
        <v/>
      </c>
      <c r="J395" s="31">
        <f>IF($A395="","",MAX(IF($D395="Evet",ROUND($C395*tbo_oranBesPuan,2),0),IF($E395="Evet",ROUND($C395*tbo_oranIlave,2),0),IF($F395="Evet",ROUND($C395*tbo_oranKadinGenc,2),0),IF($G395="Evet",ROUND($C395*tbo_isverenOran,2),0)))</f>
        <v/>
      </c>
      <c r="K395" s="31">
        <f>IF($A395="","",IF($H395="TBO-001",IF($D395="Evet",ROUND($C395*tbo_oranBesPuan,2),0),IF($H395="TBO-002",IF($E395="Evet",ROUND($C395*tbo_oranIlave,2),0),IF($H395="TBO-004",IF($F395="Evet",ROUND($C395*tbo_oranKadinGenc,2),0),IF($H395="TBO-ENG",IF($G395="Evet",ROUND($C395*tbo_isverenOran,2),0),0)))))</f>
        <v/>
      </c>
      <c r="L395" s="31">
        <f>IF($A395="","",MAX(0,$J395-$K395))</f>
        <v/>
      </c>
    </row>
    <row r="396">
      <c r="I396" s="31">
        <f>IF($A396="","",IF($J396=0,"YOK",IF(AND($E396="Evet",ROUND($C396*tbo_oranIlave,2)=$J396),"TBO-002",IF(AND($D396="Evet",ROUND($C396*tbo_oranBesPuan,2)=$J396),"TBO-001",IF(AND($F396="Evet",ROUND($C396*tbo_oranKadinGenc,2)=$J396),"TBO-004","TBO-ENG")))))</f>
        <v/>
      </c>
      <c r="J396" s="31">
        <f>IF($A396="","",MAX(IF($D396="Evet",ROUND($C396*tbo_oranBesPuan,2),0),IF($E396="Evet",ROUND($C396*tbo_oranIlave,2),0),IF($F396="Evet",ROUND($C396*tbo_oranKadinGenc,2),0),IF($G396="Evet",ROUND($C396*tbo_isverenOran,2),0)))</f>
        <v/>
      </c>
      <c r="K396" s="31">
        <f>IF($A396="","",IF($H396="TBO-001",IF($D396="Evet",ROUND($C396*tbo_oranBesPuan,2),0),IF($H396="TBO-002",IF($E396="Evet",ROUND($C396*tbo_oranIlave,2),0),IF($H396="TBO-004",IF($F396="Evet",ROUND($C396*tbo_oranKadinGenc,2),0),IF($H396="TBO-ENG",IF($G396="Evet",ROUND($C396*tbo_isverenOran,2),0),0)))))</f>
        <v/>
      </c>
      <c r="L396" s="31">
        <f>IF($A396="","",MAX(0,$J396-$K396))</f>
        <v/>
      </c>
    </row>
    <row r="397">
      <c r="I397" s="31">
        <f>IF($A397="","",IF($J397=0,"YOK",IF(AND($E397="Evet",ROUND($C397*tbo_oranIlave,2)=$J397),"TBO-002",IF(AND($D397="Evet",ROUND($C397*tbo_oranBesPuan,2)=$J397),"TBO-001",IF(AND($F397="Evet",ROUND($C397*tbo_oranKadinGenc,2)=$J397),"TBO-004","TBO-ENG")))))</f>
        <v/>
      </c>
      <c r="J397" s="31">
        <f>IF($A397="","",MAX(IF($D397="Evet",ROUND($C397*tbo_oranBesPuan,2),0),IF($E397="Evet",ROUND($C397*tbo_oranIlave,2),0),IF($F397="Evet",ROUND($C397*tbo_oranKadinGenc,2),0),IF($G397="Evet",ROUND($C397*tbo_isverenOran,2),0)))</f>
        <v/>
      </c>
      <c r="K397" s="31">
        <f>IF($A397="","",IF($H397="TBO-001",IF($D397="Evet",ROUND($C397*tbo_oranBesPuan,2),0),IF($H397="TBO-002",IF($E397="Evet",ROUND($C397*tbo_oranIlave,2),0),IF($H397="TBO-004",IF($F397="Evet",ROUND($C397*tbo_oranKadinGenc,2),0),IF($H397="TBO-ENG",IF($G397="Evet",ROUND($C397*tbo_isverenOran,2),0),0)))))</f>
        <v/>
      </c>
      <c r="L397" s="31">
        <f>IF($A397="","",MAX(0,$J397-$K397))</f>
        <v/>
      </c>
    </row>
    <row r="398">
      <c r="I398" s="31">
        <f>IF($A398="","",IF($J398=0,"YOK",IF(AND($E398="Evet",ROUND($C398*tbo_oranIlave,2)=$J398),"TBO-002",IF(AND($D398="Evet",ROUND($C398*tbo_oranBesPuan,2)=$J398),"TBO-001",IF(AND($F398="Evet",ROUND($C398*tbo_oranKadinGenc,2)=$J398),"TBO-004","TBO-ENG")))))</f>
        <v/>
      </c>
      <c r="J398" s="31">
        <f>IF($A398="","",MAX(IF($D398="Evet",ROUND($C398*tbo_oranBesPuan,2),0),IF($E398="Evet",ROUND($C398*tbo_oranIlave,2),0),IF($F398="Evet",ROUND($C398*tbo_oranKadinGenc,2),0),IF($G398="Evet",ROUND($C398*tbo_isverenOran,2),0)))</f>
        <v/>
      </c>
      <c r="K398" s="31">
        <f>IF($A398="","",IF($H398="TBO-001",IF($D398="Evet",ROUND($C398*tbo_oranBesPuan,2),0),IF($H398="TBO-002",IF($E398="Evet",ROUND($C398*tbo_oranIlave,2),0),IF($H398="TBO-004",IF($F398="Evet",ROUND($C398*tbo_oranKadinGenc,2),0),IF($H398="TBO-ENG",IF($G398="Evet",ROUND($C398*tbo_isverenOran,2),0),0)))))</f>
        <v/>
      </c>
      <c r="L398" s="31">
        <f>IF($A398="","",MAX(0,$J398-$K398))</f>
        <v/>
      </c>
    </row>
    <row r="399">
      <c r="I399" s="31">
        <f>IF($A399="","",IF($J399=0,"YOK",IF(AND($E399="Evet",ROUND($C399*tbo_oranIlave,2)=$J399),"TBO-002",IF(AND($D399="Evet",ROUND($C399*tbo_oranBesPuan,2)=$J399),"TBO-001",IF(AND($F399="Evet",ROUND($C399*tbo_oranKadinGenc,2)=$J399),"TBO-004","TBO-ENG")))))</f>
        <v/>
      </c>
      <c r="J399" s="31">
        <f>IF($A399="","",MAX(IF($D399="Evet",ROUND($C399*tbo_oranBesPuan,2),0),IF($E399="Evet",ROUND($C399*tbo_oranIlave,2),0),IF($F399="Evet",ROUND($C399*tbo_oranKadinGenc,2),0),IF($G399="Evet",ROUND($C399*tbo_isverenOran,2),0)))</f>
        <v/>
      </c>
      <c r="K399" s="31">
        <f>IF($A399="","",IF($H399="TBO-001",IF($D399="Evet",ROUND($C399*tbo_oranBesPuan,2),0),IF($H399="TBO-002",IF($E399="Evet",ROUND($C399*tbo_oranIlave,2),0),IF($H399="TBO-004",IF($F399="Evet",ROUND($C399*tbo_oranKadinGenc,2),0),IF($H399="TBO-ENG",IF($G399="Evet",ROUND($C399*tbo_isverenOran,2),0),0)))))</f>
        <v/>
      </c>
      <c r="L399" s="31">
        <f>IF($A399="","",MAX(0,$J399-$K399))</f>
        <v/>
      </c>
    </row>
    <row r="400">
      <c r="I400" s="31">
        <f>IF($A400="","",IF($J400=0,"YOK",IF(AND($E400="Evet",ROUND($C400*tbo_oranIlave,2)=$J400),"TBO-002",IF(AND($D400="Evet",ROUND($C400*tbo_oranBesPuan,2)=$J400),"TBO-001",IF(AND($F400="Evet",ROUND($C400*tbo_oranKadinGenc,2)=$J400),"TBO-004","TBO-ENG")))))</f>
        <v/>
      </c>
      <c r="J400" s="31">
        <f>IF($A400="","",MAX(IF($D400="Evet",ROUND($C400*tbo_oranBesPuan,2),0),IF($E400="Evet",ROUND($C400*tbo_oranIlave,2),0),IF($F400="Evet",ROUND($C400*tbo_oranKadinGenc,2),0),IF($G400="Evet",ROUND($C400*tbo_isverenOran,2),0)))</f>
        <v/>
      </c>
      <c r="K400" s="31">
        <f>IF($A400="","",IF($H400="TBO-001",IF($D400="Evet",ROUND($C400*tbo_oranBesPuan,2),0),IF($H400="TBO-002",IF($E400="Evet",ROUND($C400*tbo_oranIlave,2),0),IF($H400="TBO-004",IF($F400="Evet",ROUND($C400*tbo_oranKadinGenc,2),0),IF($H400="TBO-ENG",IF($G400="Evet",ROUND($C400*tbo_isverenOran,2),0),0)))))</f>
        <v/>
      </c>
      <c r="L400" s="31">
        <f>IF($A400="","",MAX(0,$J400-$K400))</f>
        <v/>
      </c>
    </row>
    <row r="401">
      <c r="I401" s="31">
        <f>IF($A401="","",IF($J401=0,"YOK",IF(AND($E401="Evet",ROUND($C401*tbo_oranIlave,2)=$J401),"TBO-002",IF(AND($D401="Evet",ROUND($C401*tbo_oranBesPuan,2)=$J401),"TBO-001",IF(AND($F401="Evet",ROUND($C401*tbo_oranKadinGenc,2)=$J401),"TBO-004","TBO-ENG")))))</f>
        <v/>
      </c>
      <c r="J401" s="31">
        <f>IF($A401="","",MAX(IF($D401="Evet",ROUND($C401*tbo_oranBesPuan,2),0),IF($E401="Evet",ROUND($C401*tbo_oranIlave,2),0),IF($F401="Evet",ROUND($C401*tbo_oranKadinGenc,2),0),IF($G401="Evet",ROUND($C401*tbo_isverenOran,2),0)))</f>
        <v/>
      </c>
      <c r="K401" s="31">
        <f>IF($A401="","",IF($H401="TBO-001",IF($D401="Evet",ROUND($C401*tbo_oranBesPuan,2),0),IF($H401="TBO-002",IF($E401="Evet",ROUND($C401*tbo_oranIlave,2),0),IF($H401="TBO-004",IF($F401="Evet",ROUND($C401*tbo_oranKadinGenc,2),0),IF($H401="TBO-ENG",IF($G401="Evet",ROUND($C401*tbo_isverenOran,2),0),0)))))</f>
        <v/>
      </c>
      <c r="L401" s="31">
        <f>IF($A401="","",MAX(0,$J401-$K401))</f>
        <v/>
      </c>
    </row>
    <row r="402">
      <c r="I402" s="31">
        <f>IF($A402="","",IF($J402=0,"YOK",IF(AND($E402="Evet",ROUND($C402*tbo_oranIlave,2)=$J402),"TBO-002",IF(AND($D402="Evet",ROUND($C402*tbo_oranBesPuan,2)=$J402),"TBO-001",IF(AND($F402="Evet",ROUND($C402*tbo_oranKadinGenc,2)=$J402),"TBO-004","TBO-ENG")))))</f>
        <v/>
      </c>
      <c r="J402" s="31">
        <f>IF($A402="","",MAX(IF($D402="Evet",ROUND($C402*tbo_oranBesPuan,2),0),IF($E402="Evet",ROUND($C402*tbo_oranIlave,2),0),IF($F402="Evet",ROUND($C402*tbo_oranKadinGenc,2),0),IF($G402="Evet",ROUND($C402*tbo_isverenOran,2),0)))</f>
        <v/>
      </c>
      <c r="K402" s="31">
        <f>IF($A402="","",IF($H402="TBO-001",IF($D402="Evet",ROUND($C402*tbo_oranBesPuan,2),0),IF($H402="TBO-002",IF($E402="Evet",ROUND($C402*tbo_oranIlave,2),0),IF($H402="TBO-004",IF($F402="Evet",ROUND($C402*tbo_oranKadinGenc,2),0),IF($H402="TBO-ENG",IF($G402="Evet",ROUND($C402*tbo_isverenOran,2),0),0)))))</f>
        <v/>
      </c>
      <c r="L402" s="31">
        <f>IF($A402="","",MAX(0,$J402-$K402))</f>
        <v/>
      </c>
    </row>
    <row r="403">
      <c r="I403" s="31">
        <f>IF($A403="","",IF($J403=0,"YOK",IF(AND($E403="Evet",ROUND($C403*tbo_oranIlave,2)=$J403),"TBO-002",IF(AND($D403="Evet",ROUND($C403*tbo_oranBesPuan,2)=$J403),"TBO-001",IF(AND($F403="Evet",ROUND($C403*tbo_oranKadinGenc,2)=$J403),"TBO-004","TBO-ENG")))))</f>
        <v/>
      </c>
      <c r="J403" s="31">
        <f>IF($A403="","",MAX(IF($D403="Evet",ROUND($C403*tbo_oranBesPuan,2),0),IF($E403="Evet",ROUND($C403*tbo_oranIlave,2),0),IF($F403="Evet",ROUND($C403*tbo_oranKadinGenc,2),0),IF($G403="Evet",ROUND($C403*tbo_isverenOran,2),0)))</f>
        <v/>
      </c>
      <c r="K403" s="31">
        <f>IF($A403="","",IF($H403="TBO-001",IF($D403="Evet",ROUND($C403*tbo_oranBesPuan,2),0),IF($H403="TBO-002",IF($E403="Evet",ROUND($C403*tbo_oranIlave,2),0),IF($H403="TBO-004",IF($F403="Evet",ROUND($C403*tbo_oranKadinGenc,2),0),IF($H403="TBO-ENG",IF($G403="Evet",ROUND($C403*tbo_isverenOran,2),0),0)))))</f>
        <v/>
      </c>
      <c r="L403" s="31">
        <f>IF($A403="","",MAX(0,$J403-$K403))</f>
        <v/>
      </c>
    </row>
    <row r="404">
      <c r="I404" s="31">
        <f>IF($A404="","",IF($J404=0,"YOK",IF(AND($E404="Evet",ROUND($C404*tbo_oranIlave,2)=$J404),"TBO-002",IF(AND($D404="Evet",ROUND($C404*tbo_oranBesPuan,2)=$J404),"TBO-001",IF(AND($F404="Evet",ROUND($C404*tbo_oranKadinGenc,2)=$J404),"TBO-004","TBO-ENG")))))</f>
        <v/>
      </c>
      <c r="J404" s="31">
        <f>IF($A404="","",MAX(IF($D404="Evet",ROUND($C404*tbo_oranBesPuan,2),0),IF($E404="Evet",ROUND($C404*tbo_oranIlave,2),0),IF($F404="Evet",ROUND($C404*tbo_oranKadinGenc,2),0),IF($G404="Evet",ROUND($C404*tbo_isverenOran,2),0)))</f>
        <v/>
      </c>
      <c r="K404" s="31">
        <f>IF($A404="","",IF($H404="TBO-001",IF($D404="Evet",ROUND($C404*tbo_oranBesPuan,2),0),IF($H404="TBO-002",IF($E404="Evet",ROUND($C404*tbo_oranIlave,2),0),IF($H404="TBO-004",IF($F404="Evet",ROUND($C404*tbo_oranKadinGenc,2),0),IF($H404="TBO-ENG",IF($G404="Evet",ROUND($C404*tbo_isverenOran,2),0),0)))))</f>
        <v/>
      </c>
      <c r="L404" s="31">
        <f>IF($A404="","",MAX(0,$J404-$K404))</f>
        <v/>
      </c>
    </row>
    <row r="405">
      <c r="I405" s="31">
        <f>IF($A405="","",IF($J405=0,"YOK",IF(AND($E405="Evet",ROUND($C405*tbo_oranIlave,2)=$J405),"TBO-002",IF(AND($D405="Evet",ROUND($C405*tbo_oranBesPuan,2)=$J405),"TBO-001",IF(AND($F405="Evet",ROUND($C405*tbo_oranKadinGenc,2)=$J405),"TBO-004","TBO-ENG")))))</f>
        <v/>
      </c>
      <c r="J405" s="31">
        <f>IF($A405="","",MAX(IF($D405="Evet",ROUND($C405*tbo_oranBesPuan,2),0),IF($E405="Evet",ROUND($C405*tbo_oranIlave,2),0),IF($F405="Evet",ROUND($C405*tbo_oranKadinGenc,2),0),IF($G405="Evet",ROUND($C405*tbo_isverenOran,2),0)))</f>
        <v/>
      </c>
      <c r="K405" s="31">
        <f>IF($A405="","",IF($H405="TBO-001",IF($D405="Evet",ROUND($C405*tbo_oranBesPuan,2),0),IF($H405="TBO-002",IF($E405="Evet",ROUND($C405*tbo_oranIlave,2),0),IF($H405="TBO-004",IF($F405="Evet",ROUND($C405*tbo_oranKadinGenc,2),0),IF($H405="TBO-ENG",IF($G405="Evet",ROUND($C405*tbo_isverenOran,2),0),0)))))</f>
        <v/>
      </c>
      <c r="L405" s="31">
        <f>IF($A405="","",MAX(0,$J405-$K405))</f>
        <v/>
      </c>
    </row>
    <row r="406">
      <c r="I406" s="31">
        <f>IF($A406="","",IF($J406=0,"YOK",IF(AND($E406="Evet",ROUND($C406*tbo_oranIlave,2)=$J406),"TBO-002",IF(AND($D406="Evet",ROUND($C406*tbo_oranBesPuan,2)=$J406),"TBO-001",IF(AND($F406="Evet",ROUND($C406*tbo_oranKadinGenc,2)=$J406),"TBO-004","TBO-ENG")))))</f>
        <v/>
      </c>
      <c r="J406" s="31">
        <f>IF($A406="","",MAX(IF($D406="Evet",ROUND($C406*tbo_oranBesPuan,2),0),IF($E406="Evet",ROUND($C406*tbo_oranIlave,2),0),IF($F406="Evet",ROUND($C406*tbo_oranKadinGenc,2),0),IF($G406="Evet",ROUND($C406*tbo_isverenOran,2),0)))</f>
        <v/>
      </c>
      <c r="K406" s="31">
        <f>IF($A406="","",IF($H406="TBO-001",IF($D406="Evet",ROUND($C406*tbo_oranBesPuan,2),0),IF($H406="TBO-002",IF($E406="Evet",ROUND($C406*tbo_oranIlave,2),0),IF($H406="TBO-004",IF($F406="Evet",ROUND($C406*tbo_oranKadinGenc,2),0),IF($H406="TBO-ENG",IF($G406="Evet",ROUND($C406*tbo_isverenOran,2),0),0)))))</f>
        <v/>
      </c>
      <c r="L406" s="31">
        <f>IF($A406="","",MAX(0,$J406-$K406))</f>
        <v/>
      </c>
    </row>
    <row r="407">
      <c r="I407" s="31">
        <f>IF($A407="","",IF($J407=0,"YOK",IF(AND($E407="Evet",ROUND($C407*tbo_oranIlave,2)=$J407),"TBO-002",IF(AND($D407="Evet",ROUND($C407*tbo_oranBesPuan,2)=$J407),"TBO-001",IF(AND($F407="Evet",ROUND($C407*tbo_oranKadinGenc,2)=$J407),"TBO-004","TBO-ENG")))))</f>
        <v/>
      </c>
      <c r="J407" s="31">
        <f>IF($A407="","",MAX(IF($D407="Evet",ROUND($C407*tbo_oranBesPuan,2),0),IF($E407="Evet",ROUND($C407*tbo_oranIlave,2),0),IF($F407="Evet",ROUND($C407*tbo_oranKadinGenc,2),0),IF($G407="Evet",ROUND($C407*tbo_isverenOran,2),0)))</f>
        <v/>
      </c>
      <c r="K407" s="31">
        <f>IF($A407="","",IF($H407="TBO-001",IF($D407="Evet",ROUND($C407*tbo_oranBesPuan,2),0),IF($H407="TBO-002",IF($E407="Evet",ROUND($C407*tbo_oranIlave,2),0),IF($H407="TBO-004",IF($F407="Evet",ROUND($C407*tbo_oranKadinGenc,2),0),IF($H407="TBO-ENG",IF($G407="Evet",ROUND($C407*tbo_isverenOran,2),0),0)))))</f>
        <v/>
      </c>
      <c r="L407" s="31">
        <f>IF($A407="","",MAX(0,$J407-$K407))</f>
        <v/>
      </c>
    </row>
    <row r="408">
      <c r="I408" s="31">
        <f>IF($A408="","",IF($J408=0,"YOK",IF(AND($E408="Evet",ROUND($C408*tbo_oranIlave,2)=$J408),"TBO-002",IF(AND($D408="Evet",ROUND($C408*tbo_oranBesPuan,2)=$J408),"TBO-001",IF(AND($F408="Evet",ROUND($C408*tbo_oranKadinGenc,2)=$J408),"TBO-004","TBO-ENG")))))</f>
        <v/>
      </c>
      <c r="J408" s="31">
        <f>IF($A408="","",MAX(IF($D408="Evet",ROUND($C408*tbo_oranBesPuan,2),0),IF($E408="Evet",ROUND($C408*tbo_oranIlave,2),0),IF($F408="Evet",ROUND($C408*tbo_oranKadinGenc,2),0),IF($G408="Evet",ROUND($C408*tbo_isverenOran,2),0)))</f>
        <v/>
      </c>
      <c r="K408" s="31">
        <f>IF($A408="","",IF($H408="TBO-001",IF($D408="Evet",ROUND($C408*tbo_oranBesPuan,2),0),IF($H408="TBO-002",IF($E408="Evet",ROUND($C408*tbo_oranIlave,2),0),IF($H408="TBO-004",IF($F408="Evet",ROUND($C408*tbo_oranKadinGenc,2),0),IF($H408="TBO-ENG",IF($G408="Evet",ROUND($C408*tbo_isverenOran,2),0),0)))))</f>
        <v/>
      </c>
      <c r="L408" s="31">
        <f>IF($A408="","",MAX(0,$J408-$K408))</f>
        <v/>
      </c>
    </row>
    <row r="409">
      <c r="I409" s="31">
        <f>IF($A409="","",IF($J409=0,"YOK",IF(AND($E409="Evet",ROUND($C409*tbo_oranIlave,2)=$J409),"TBO-002",IF(AND($D409="Evet",ROUND($C409*tbo_oranBesPuan,2)=$J409),"TBO-001",IF(AND($F409="Evet",ROUND($C409*tbo_oranKadinGenc,2)=$J409),"TBO-004","TBO-ENG")))))</f>
        <v/>
      </c>
      <c r="J409" s="31">
        <f>IF($A409="","",MAX(IF($D409="Evet",ROUND($C409*tbo_oranBesPuan,2),0),IF($E409="Evet",ROUND($C409*tbo_oranIlave,2),0),IF($F409="Evet",ROUND($C409*tbo_oranKadinGenc,2),0),IF($G409="Evet",ROUND($C409*tbo_isverenOran,2),0)))</f>
        <v/>
      </c>
      <c r="K409" s="31">
        <f>IF($A409="","",IF($H409="TBO-001",IF($D409="Evet",ROUND($C409*tbo_oranBesPuan,2),0),IF($H409="TBO-002",IF($E409="Evet",ROUND($C409*tbo_oranIlave,2),0),IF($H409="TBO-004",IF($F409="Evet",ROUND($C409*tbo_oranKadinGenc,2),0),IF($H409="TBO-ENG",IF($G409="Evet",ROUND($C409*tbo_isverenOran,2),0),0)))))</f>
        <v/>
      </c>
      <c r="L409" s="31">
        <f>IF($A409="","",MAX(0,$J409-$K409))</f>
        <v/>
      </c>
    </row>
    <row r="410">
      <c r="I410" s="31">
        <f>IF($A410="","",IF($J410=0,"YOK",IF(AND($E410="Evet",ROUND($C410*tbo_oranIlave,2)=$J410),"TBO-002",IF(AND($D410="Evet",ROUND($C410*tbo_oranBesPuan,2)=$J410),"TBO-001",IF(AND($F410="Evet",ROUND($C410*tbo_oranKadinGenc,2)=$J410),"TBO-004","TBO-ENG")))))</f>
        <v/>
      </c>
      <c r="J410" s="31">
        <f>IF($A410="","",MAX(IF($D410="Evet",ROUND($C410*tbo_oranBesPuan,2),0),IF($E410="Evet",ROUND($C410*tbo_oranIlave,2),0),IF($F410="Evet",ROUND($C410*tbo_oranKadinGenc,2),0),IF($G410="Evet",ROUND($C410*tbo_isverenOran,2),0)))</f>
        <v/>
      </c>
      <c r="K410" s="31">
        <f>IF($A410="","",IF($H410="TBO-001",IF($D410="Evet",ROUND($C410*tbo_oranBesPuan,2),0),IF($H410="TBO-002",IF($E410="Evet",ROUND($C410*tbo_oranIlave,2),0),IF($H410="TBO-004",IF($F410="Evet",ROUND($C410*tbo_oranKadinGenc,2),0),IF($H410="TBO-ENG",IF($G410="Evet",ROUND($C410*tbo_isverenOran,2),0),0)))))</f>
        <v/>
      </c>
      <c r="L410" s="31">
        <f>IF($A410="","",MAX(0,$J410-$K410))</f>
        <v/>
      </c>
    </row>
    <row r="411">
      <c r="I411" s="31">
        <f>IF($A411="","",IF($J411=0,"YOK",IF(AND($E411="Evet",ROUND($C411*tbo_oranIlave,2)=$J411),"TBO-002",IF(AND($D411="Evet",ROUND($C411*tbo_oranBesPuan,2)=$J411),"TBO-001",IF(AND($F411="Evet",ROUND($C411*tbo_oranKadinGenc,2)=$J411),"TBO-004","TBO-ENG")))))</f>
        <v/>
      </c>
      <c r="J411" s="31">
        <f>IF($A411="","",MAX(IF($D411="Evet",ROUND($C411*tbo_oranBesPuan,2),0),IF($E411="Evet",ROUND($C411*tbo_oranIlave,2),0),IF($F411="Evet",ROUND($C411*tbo_oranKadinGenc,2),0),IF($G411="Evet",ROUND($C411*tbo_isverenOran,2),0)))</f>
        <v/>
      </c>
      <c r="K411" s="31">
        <f>IF($A411="","",IF($H411="TBO-001",IF($D411="Evet",ROUND($C411*tbo_oranBesPuan,2),0),IF($H411="TBO-002",IF($E411="Evet",ROUND($C411*tbo_oranIlave,2),0),IF($H411="TBO-004",IF($F411="Evet",ROUND($C411*tbo_oranKadinGenc,2),0),IF($H411="TBO-ENG",IF($G411="Evet",ROUND($C411*tbo_isverenOran,2),0),0)))))</f>
        <v/>
      </c>
      <c r="L411" s="31">
        <f>IF($A411="","",MAX(0,$J411-$K411))</f>
        <v/>
      </c>
    </row>
    <row r="412">
      <c r="I412" s="31">
        <f>IF($A412="","",IF($J412=0,"YOK",IF(AND($E412="Evet",ROUND($C412*tbo_oranIlave,2)=$J412),"TBO-002",IF(AND($D412="Evet",ROUND($C412*tbo_oranBesPuan,2)=$J412),"TBO-001",IF(AND($F412="Evet",ROUND($C412*tbo_oranKadinGenc,2)=$J412),"TBO-004","TBO-ENG")))))</f>
        <v/>
      </c>
      <c r="J412" s="31">
        <f>IF($A412="","",MAX(IF($D412="Evet",ROUND($C412*tbo_oranBesPuan,2),0),IF($E412="Evet",ROUND($C412*tbo_oranIlave,2),0),IF($F412="Evet",ROUND($C412*tbo_oranKadinGenc,2),0),IF($G412="Evet",ROUND($C412*tbo_isverenOran,2),0)))</f>
        <v/>
      </c>
      <c r="K412" s="31">
        <f>IF($A412="","",IF($H412="TBO-001",IF($D412="Evet",ROUND($C412*tbo_oranBesPuan,2),0),IF($H412="TBO-002",IF($E412="Evet",ROUND($C412*tbo_oranIlave,2),0),IF($H412="TBO-004",IF($F412="Evet",ROUND($C412*tbo_oranKadinGenc,2),0),IF($H412="TBO-ENG",IF($G412="Evet",ROUND($C412*tbo_isverenOran,2),0),0)))))</f>
        <v/>
      </c>
      <c r="L412" s="31">
        <f>IF($A412="","",MAX(0,$J412-$K412))</f>
        <v/>
      </c>
    </row>
    <row r="413">
      <c r="I413" s="31">
        <f>IF($A413="","",IF($J413=0,"YOK",IF(AND($E413="Evet",ROUND($C413*tbo_oranIlave,2)=$J413),"TBO-002",IF(AND($D413="Evet",ROUND($C413*tbo_oranBesPuan,2)=$J413),"TBO-001",IF(AND($F413="Evet",ROUND($C413*tbo_oranKadinGenc,2)=$J413),"TBO-004","TBO-ENG")))))</f>
        <v/>
      </c>
      <c r="J413" s="31">
        <f>IF($A413="","",MAX(IF($D413="Evet",ROUND($C413*tbo_oranBesPuan,2),0),IF($E413="Evet",ROUND($C413*tbo_oranIlave,2),0),IF($F413="Evet",ROUND($C413*tbo_oranKadinGenc,2),0),IF($G413="Evet",ROUND($C413*tbo_isverenOran,2),0)))</f>
        <v/>
      </c>
      <c r="K413" s="31">
        <f>IF($A413="","",IF($H413="TBO-001",IF($D413="Evet",ROUND($C413*tbo_oranBesPuan,2),0),IF($H413="TBO-002",IF($E413="Evet",ROUND($C413*tbo_oranIlave,2),0),IF($H413="TBO-004",IF($F413="Evet",ROUND($C413*tbo_oranKadinGenc,2),0),IF($H413="TBO-ENG",IF($G413="Evet",ROUND($C413*tbo_isverenOran,2),0),0)))))</f>
        <v/>
      </c>
      <c r="L413" s="31">
        <f>IF($A413="","",MAX(0,$J413-$K413))</f>
        <v/>
      </c>
    </row>
    <row r="414">
      <c r="I414" s="31">
        <f>IF($A414="","",IF($J414=0,"YOK",IF(AND($E414="Evet",ROUND($C414*tbo_oranIlave,2)=$J414),"TBO-002",IF(AND($D414="Evet",ROUND($C414*tbo_oranBesPuan,2)=$J414),"TBO-001",IF(AND($F414="Evet",ROUND($C414*tbo_oranKadinGenc,2)=$J414),"TBO-004","TBO-ENG")))))</f>
        <v/>
      </c>
      <c r="J414" s="31">
        <f>IF($A414="","",MAX(IF($D414="Evet",ROUND($C414*tbo_oranBesPuan,2),0),IF($E414="Evet",ROUND($C414*tbo_oranIlave,2),0),IF($F414="Evet",ROUND($C414*tbo_oranKadinGenc,2),0),IF($G414="Evet",ROUND($C414*tbo_isverenOran,2),0)))</f>
        <v/>
      </c>
      <c r="K414" s="31">
        <f>IF($A414="","",IF($H414="TBO-001",IF($D414="Evet",ROUND($C414*tbo_oranBesPuan,2),0),IF($H414="TBO-002",IF($E414="Evet",ROUND($C414*tbo_oranIlave,2),0),IF($H414="TBO-004",IF($F414="Evet",ROUND($C414*tbo_oranKadinGenc,2),0),IF($H414="TBO-ENG",IF($G414="Evet",ROUND($C414*tbo_isverenOran,2),0),0)))))</f>
        <v/>
      </c>
      <c r="L414" s="31">
        <f>IF($A414="","",MAX(0,$J414-$K414))</f>
        <v/>
      </c>
    </row>
    <row r="415">
      <c r="I415" s="31">
        <f>IF($A415="","",IF($J415=0,"YOK",IF(AND($E415="Evet",ROUND($C415*tbo_oranIlave,2)=$J415),"TBO-002",IF(AND($D415="Evet",ROUND($C415*tbo_oranBesPuan,2)=$J415),"TBO-001",IF(AND($F415="Evet",ROUND($C415*tbo_oranKadinGenc,2)=$J415),"TBO-004","TBO-ENG")))))</f>
        <v/>
      </c>
      <c r="J415" s="31">
        <f>IF($A415="","",MAX(IF($D415="Evet",ROUND($C415*tbo_oranBesPuan,2),0),IF($E415="Evet",ROUND($C415*tbo_oranIlave,2),0),IF($F415="Evet",ROUND($C415*tbo_oranKadinGenc,2),0),IF($G415="Evet",ROUND($C415*tbo_isverenOran,2),0)))</f>
        <v/>
      </c>
      <c r="K415" s="31">
        <f>IF($A415="","",IF($H415="TBO-001",IF($D415="Evet",ROUND($C415*tbo_oranBesPuan,2),0),IF($H415="TBO-002",IF($E415="Evet",ROUND($C415*tbo_oranIlave,2),0),IF($H415="TBO-004",IF($F415="Evet",ROUND($C415*tbo_oranKadinGenc,2),0),IF($H415="TBO-ENG",IF($G415="Evet",ROUND($C415*tbo_isverenOran,2),0),0)))))</f>
        <v/>
      </c>
      <c r="L415" s="31">
        <f>IF($A415="","",MAX(0,$J415-$K415))</f>
        <v/>
      </c>
    </row>
    <row r="416">
      <c r="I416" s="31">
        <f>IF($A416="","",IF($J416=0,"YOK",IF(AND($E416="Evet",ROUND($C416*tbo_oranIlave,2)=$J416),"TBO-002",IF(AND($D416="Evet",ROUND($C416*tbo_oranBesPuan,2)=$J416),"TBO-001",IF(AND($F416="Evet",ROUND($C416*tbo_oranKadinGenc,2)=$J416),"TBO-004","TBO-ENG")))))</f>
        <v/>
      </c>
      <c r="J416" s="31">
        <f>IF($A416="","",MAX(IF($D416="Evet",ROUND($C416*tbo_oranBesPuan,2),0),IF($E416="Evet",ROUND($C416*tbo_oranIlave,2),0),IF($F416="Evet",ROUND($C416*tbo_oranKadinGenc,2),0),IF($G416="Evet",ROUND($C416*tbo_isverenOran,2),0)))</f>
        <v/>
      </c>
      <c r="K416" s="31">
        <f>IF($A416="","",IF($H416="TBO-001",IF($D416="Evet",ROUND($C416*tbo_oranBesPuan,2),0),IF($H416="TBO-002",IF($E416="Evet",ROUND($C416*tbo_oranIlave,2),0),IF($H416="TBO-004",IF($F416="Evet",ROUND($C416*tbo_oranKadinGenc,2),0),IF($H416="TBO-ENG",IF($G416="Evet",ROUND($C416*tbo_isverenOran,2),0),0)))))</f>
        <v/>
      </c>
      <c r="L416" s="31">
        <f>IF($A416="","",MAX(0,$J416-$K416))</f>
        <v/>
      </c>
    </row>
    <row r="417">
      <c r="I417" s="31">
        <f>IF($A417="","",IF($J417=0,"YOK",IF(AND($E417="Evet",ROUND($C417*tbo_oranIlave,2)=$J417),"TBO-002",IF(AND($D417="Evet",ROUND($C417*tbo_oranBesPuan,2)=$J417),"TBO-001",IF(AND($F417="Evet",ROUND($C417*tbo_oranKadinGenc,2)=$J417),"TBO-004","TBO-ENG")))))</f>
        <v/>
      </c>
      <c r="J417" s="31">
        <f>IF($A417="","",MAX(IF($D417="Evet",ROUND($C417*tbo_oranBesPuan,2),0),IF($E417="Evet",ROUND($C417*tbo_oranIlave,2),0),IF($F417="Evet",ROUND($C417*tbo_oranKadinGenc,2),0),IF($G417="Evet",ROUND($C417*tbo_isverenOran,2),0)))</f>
        <v/>
      </c>
      <c r="K417" s="31">
        <f>IF($A417="","",IF($H417="TBO-001",IF($D417="Evet",ROUND($C417*tbo_oranBesPuan,2),0),IF($H417="TBO-002",IF($E417="Evet",ROUND($C417*tbo_oranIlave,2),0),IF($H417="TBO-004",IF($F417="Evet",ROUND($C417*tbo_oranKadinGenc,2),0),IF($H417="TBO-ENG",IF($G417="Evet",ROUND($C417*tbo_isverenOran,2),0),0)))))</f>
        <v/>
      </c>
      <c r="L417" s="31">
        <f>IF($A417="","",MAX(0,$J417-$K417))</f>
        <v/>
      </c>
    </row>
    <row r="418">
      <c r="I418" s="31">
        <f>IF($A418="","",IF($J418=0,"YOK",IF(AND($E418="Evet",ROUND($C418*tbo_oranIlave,2)=$J418),"TBO-002",IF(AND($D418="Evet",ROUND($C418*tbo_oranBesPuan,2)=$J418),"TBO-001",IF(AND($F418="Evet",ROUND($C418*tbo_oranKadinGenc,2)=$J418),"TBO-004","TBO-ENG")))))</f>
        <v/>
      </c>
      <c r="J418" s="31">
        <f>IF($A418="","",MAX(IF($D418="Evet",ROUND($C418*tbo_oranBesPuan,2),0),IF($E418="Evet",ROUND($C418*tbo_oranIlave,2),0),IF($F418="Evet",ROUND($C418*tbo_oranKadinGenc,2),0),IF($G418="Evet",ROUND($C418*tbo_isverenOran,2),0)))</f>
        <v/>
      </c>
      <c r="K418" s="31">
        <f>IF($A418="","",IF($H418="TBO-001",IF($D418="Evet",ROUND($C418*tbo_oranBesPuan,2),0),IF($H418="TBO-002",IF($E418="Evet",ROUND($C418*tbo_oranIlave,2),0),IF($H418="TBO-004",IF($F418="Evet",ROUND($C418*tbo_oranKadinGenc,2),0),IF($H418="TBO-ENG",IF($G418="Evet",ROUND($C418*tbo_isverenOran,2),0),0)))))</f>
        <v/>
      </c>
      <c r="L418" s="31">
        <f>IF($A418="","",MAX(0,$J418-$K418))</f>
        <v/>
      </c>
    </row>
    <row r="419">
      <c r="I419" s="31">
        <f>IF($A419="","",IF($J419=0,"YOK",IF(AND($E419="Evet",ROUND($C419*tbo_oranIlave,2)=$J419),"TBO-002",IF(AND($D419="Evet",ROUND($C419*tbo_oranBesPuan,2)=$J419),"TBO-001",IF(AND($F419="Evet",ROUND($C419*tbo_oranKadinGenc,2)=$J419),"TBO-004","TBO-ENG")))))</f>
        <v/>
      </c>
      <c r="J419" s="31">
        <f>IF($A419="","",MAX(IF($D419="Evet",ROUND($C419*tbo_oranBesPuan,2),0),IF($E419="Evet",ROUND($C419*tbo_oranIlave,2),0),IF($F419="Evet",ROUND($C419*tbo_oranKadinGenc,2),0),IF($G419="Evet",ROUND($C419*tbo_isverenOran,2),0)))</f>
        <v/>
      </c>
      <c r="K419" s="31">
        <f>IF($A419="","",IF($H419="TBO-001",IF($D419="Evet",ROUND($C419*tbo_oranBesPuan,2),0),IF($H419="TBO-002",IF($E419="Evet",ROUND($C419*tbo_oranIlave,2),0),IF($H419="TBO-004",IF($F419="Evet",ROUND($C419*tbo_oranKadinGenc,2),0),IF($H419="TBO-ENG",IF($G419="Evet",ROUND($C419*tbo_isverenOran,2),0),0)))))</f>
        <v/>
      </c>
      <c r="L419" s="31">
        <f>IF($A419="","",MAX(0,$J419-$K419))</f>
        <v/>
      </c>
    </row>
    <row r="420">
      <c r="I420" s="31">
        <f>IF($A420="","",IF($J420=0,"YOK",IF(AND($E420="Evet",ROUND($C420*tbo_oranIlave,2)=$J420),"TBO-002",IF(AND($D420="Evet",ROUND($C420*tbo_oranBesPuan,2)=$J420),"TBO-001",IF(AND($F420="Evet",ROUND($C420*tbo_oranKadinGenc,2)=$J420),"TBO-004","TBO-ENG")))))</f>
        <v/>
      </c>
      <c r="J420" s="31">
        <f>IF($A420="","",MAX(IF($D420="Evet",ROUND($C420*tbo_oranBesPuan,2),0),IF($E420="Evet",ROUND($C420*tbo_oranIlave,2),0),IF($F420="Evet",ROUND($C420*tbo_oranKadinGenc,2),0),IF($G420="Evet",ROUND($C420*tbo_isverenOran,2),0)))</f>
        <v/>
      </c>
      <c r="K420" s="31">
        <f>IF($A420="","",IF($H420="TBO-001",IF($D420="Evet",ROUND($C420*tbo_oranBesPuan,2),0),IF($H420="TBO-002",IF($E420="Evet",ROUND($C420*tbo_oranIlave,2),0),IF($H420="TBO-004",IF($F420="Evet",ROUND($C420*tbo_oranKadinGenc,2),0),IF($H420="TBO-ENG",IF($G420="Evet",ROUND($C420*tbo_isverenOran,2),0),0)))))</f>
        <v/>
      </c>
      <c r="L420" s="31">
        <f>IF($A420="","",MAX(0,$J420-$K420))</f>
        <v/>
      </c>
    </row>
    <row r="421">
      <c r="I421" s="31">
        <f>IF($A421="","",IF($J421=0,"YOK",IF(AND($E421="Evet",ROUND($C421*tbo_oranIlave,2)=$J421),"TBO-002",IF(AND($D421="Evet",ROUND($C421*tbo_oranBesPuan,2)=$J421),"TBO-001",IF(AND($F421="Evet",ROUND($C421*tbo_oranKadinGenc,2)=$J421),"TBO-004","TBO-ENG")))))</f>
        <v/>
      </c>
      <c r="J421" s="31">
        <f>IF($A421="","",MAX(IF($D421="Evet",ROUND($C421*tbo_oranBesPuan,2),0),IF($E421="Evet",ROUND($C421*tbo_oranIlave,2),0),IF($F421="Evet",ROUND($C421*tbo_oranKadinGenc,2),0),IF($G421="Evet",ROUND($C421*tbo_isverenOran,2),0)))</f>
        <v/>
      </c>
      <c r="K421" s="31">
        <f>IF($A421="","",IF($H421="TBO-001",IF($D421="Evet",ROUND($C421*tbo_oranBesPuan,2),0),IF($H421="TBO-002",IF($E421="Evet",ROUND($C421*tbo_oranIlave,2),0),IF($H421="TBO-004",IF($F421="Evet",ROUND($C421*tbo_oranKadinGenc,2),0),IF($H421="TBO-ENG",IF($G421="Evet",ROUND($C421*tbo_isverenOran,2),0),0)))))</f>
        <v/>
      </c>
      <c r="L421" s="31">
        <f>IF($A421="","",MAX(0,$J421-$K421))</f>
        <v/>
      </c>
    </row>
    <row r="422">
      <c r="I422" s="31">
        <f>IF($A422="","",IF($J422=0,"YOK",IF(AND($E422="Evet",ROUND($C422*tbo_oranIlave,2)=$J422),"TBO-002",IF(AND($D422="Evet",ROUND($C422*tbo_oranBesPuan,2)=$J422),"TBO-001",IF(AND($F422="Evet",ROUND($C422*tbo_oranKadinGenc,2)=$J422),"TBO-004","TBO-ENG")))))</f>
        <v/>
      </c>
      <c r="J422" s="31">
        <f>IF($A422="","",MAX(IF($D422="Evet",ROUND($C422*tbo_oranBesPuan,2),0),IF($E422="Evet",ROUND($C422*tbo_oranIlave,2),0),IF($F422="Evet",ROUND($C422*tbo_oranKadinGenc,2),0),IF($G422="Evet",ROUND($C422*tbo_isverenOran,2),0)))</f>
        <v/>
      </c>
      <c r="K422" s="31">
        <f>IF($A422="","",IF($H422="TBO-001",IF($D422="Evet",ROUND($C422*tbo_oranBesPuan,2),0),IF($H422="TBO-002",IF($E422="Evet",ROUND($C422*tbo_oranIlave,2),0),IF($H422="TBO-004",IF($F422="Evet",ROUND($C422*tbo_oranKadinGenc,2),0),IF($H422="TBO-ENG",IF($G422="Evet",ROUND($C422*tbo_isverenOran,2),0),0)))))</f>
        <v/>
      </c>
      <c r="L422" s="31">
        <f>IF($A422="","",MAX(0,$J422-$K422))</f>
        <v/>
      </c>
    </row>
    <row r="423">
      <c r="I423" s="31">
        <f>IF($A423="","",IF($J423=0,"YOK",IF(AND($E423="Evet",ROUND($C423*tbo_oranIlave,2)=$J423),"TBO-002",IF(AND($D423="Evet",ROUND($C423*tbo_oranBesPuan,2)=$J423),"TBO-001",IF(AND($F423="Evet",ROUND($C423*tbo_oranKadinGenc,2)=$J423),"TBO-004","TBO-ENG")))))</f>
        <v/>
      </c>
      <c r="J423" s="31">
        <f>IF($A423="","",MAX(IF($D423="Evet",ROUND($C423*tbo_oranBesPuan,2),0),IF($E423="Evet",ROUND($C423*tbo_oranIlave,2),0),IF($F423="Evet",ROUND($C423*tbo_oranKadinGenc,2),0),IF($G423="Evet",ROUND($C423*tbo_isverenOran,2),0)))</f>
        <v/>
      </c>
      <c r="K423" s="31">
        <f>IF($A423="","",IF($H423="TBO-001",IF($D423="Evet",ROUND($C423*tbo_oranBesPuan,2),0),IF($H423="TBO-002",IF($E423="Evet",ROUND($C423*tbo_oranIlave,2),0),IF($H423="TBO-004",IF($F423="Evet",ROUND($C423*tbo_oranKadinGenc,2),0),IF($H423="TBO-ENG",IF($G423="Evet",ROUND($C423*tbo_isverenOran,2),0),0)))))</f>
        <v/>
      </c>
      <c r="L423" s="31">
        <f>IF($A423="","",MAX(0,$J423-$K423))</f>
        <v/>
      </c>
    </row>
    <row r="424">
      <c r="I424" s="31">
        <f>IF($A424="","",IF($J424=0,"YOK",IF(AND($E424="Evet",ROUND($C424*tbo_oranIlave,2)=$J424),"TBO-002",IF(AND($D424="Evet",ROUND($C424*tbo_oranBesPuan,2)=$J424),"TBO-001",IF(AND($F424="Evet",ROUND($C424*tbo_oranKadinGenc,2)=$J424),"TBO-004","TBO-ENG")))))</f>
        <v/>
      </c>
      <c r="J424" s="31">
        <f>IF($A424="","",MAX(IF($D424="Evet",ROUND($C424*tbo_oranBesPuan,2),0),IF($E424="Evet",ROUND($C424*tbo_oranIlave,2),0),IF($F424="Evet",ROUND($C424*tbo_oranKadinGenc,2),0),IF($G424="Evet",ROUND($C424*tbo_isverenOran,2),0)))</f>
        <v/>
      </c>
      <c r="K424" s="31">
        <f>IF($A424="","",IF($H424="TBO-001",IF($D424="Evet",ROUND($C424*tbo_oranBesPuan,2),0),IF($H424="TBO-002",IF($E424="Evet",ROUND($C424*tbo_oranIlave,2),0),IF($H424="TBO-004",IF($F424="Evet",ROUND($C424*tbo_oranKadinGenc,2),0),IF($H424="TBO-ENG",IF($G424="Evet",ROUND($C424*tbo_isverenOran,2),0),0)))))</f>
        <v/>
      </c>
      <c r="L424" s="31">
        <f>IF($A424="","",MAX(0,$J424-$K424))</f>
        <v/>
      </c>
    </row>
    <row r="425">
      <c r="I425" s="31">
        <f>IF($A425="","",IF($J425=0,"YOK",IF(AND($E425="Evet",ROUND($C425*tbo_oranIlave,2)=$J425),"TBO-002",IF(AND($D425="Evet",ROUND($C425*tbo_oranBesPuan,2)=$J425),"TBO-001",IF(AND($F425="Evet",ROUND($C425*tbo_oranKadinGenc,2)=$J425),"TBO-004","TBO-ENG")))))</f>
        <v/>
      </c>
      <c r="J425" s="31">
        <f>IF($A425="","",MAX(IF($D425="Evet",ROUND($C425*tbo_oranBesPuan,2),0),IF($E425="Evet",ROUND($C425*tbo_oranIlave,2),0),IF($F425="Evet",ROUND($C425*tbo_oranKadinGenc,2),0),IF($G425="Evet",ROUND($C425*tbo_isverenOran,2),0)))</f>
        <v/>
      </c>
      <c r="K425" s="31">
        <f>IF($A425="","",IF($H425="TBO-001",IF($D425="Evet",ROUND($C425*tbo_oranBesPuan,2),0),IF($H425="TBO-002",IF($E425="Evet",ROUND($C425*tbo_oranIlave,2),0),IF($H425="TBO-004",IF($F425="Evet",ROUND($C425*tbo_oranKadinGenc,2),0),IF($H425="TBO-ENG",IF($G425="Evet",ROUND($C425*tbo_isverenOran,2),0),0)))))</f>
        <v/>
      </c>
      <c r="L425" s="31">
        <f>IF($A425="","",MAX(0,$J425-$K425))</f>
        <v/>
      </c>
    </row>
    <row r="426">
      <c r="I426" s="31">
        <f>IF($A426="","",IF($J426=0,"YOK",IF(AND($E426="Evet",ROUND($C426*tbo_oranIlave,2)=$J426),"TBO-002",IF(AND($D426="Evet",ROUND($C426*tbo_oranBesPuan,2)=$J426),"TBO-001",IF(AND($F426="Evet",ROUND($C426*tbo_oranKadinGenc,2)=$J426),"TBO-004","TBO-ENG")))))</f>
        <v/>
      </c>
      <c r="J426" s="31">
        <f>IF($A426="","",MAX(IF($D426="Evet",ROUND($C426*tbo_oranBesPuan,2),0),IF($E426="Evet",ROUND($C426*tbo_oranIlave,2),0),IF($F426="Evet",ROUND($C426*tbo_oranKadinGenc,2),0),IF($G426="Evet",ROUND($C426*tbo_isverenOran,2),0)))</f>
        <v/>
      </c>
      <c r="K426" s="31">
        <f>IF($A426="","",IF($H426="TBO-001",IF($D426="Evet",ROUND($C426*tbo_oranBesPuan,2),0),IF($H426="TBO-002",IF($E426="Evet",ROUND($C426*tbo_oranIlave,2),0),IF($H426="TBO-004",IF($F426="Evet",ROUND($C426*tbo_oranKadinGenc,2),0),IF($H426="TBO-ENG",IF($G426="Evet",ROUND($C426*tbo_isverenOran,2),0),0)))))</f>
        <v/>
      </c>
      <c r="L426" s="31">
        <f>IF($A426="","",MAX(0,$J426-$K426))</f>
        <v/>
      </c>
    </row>
    <row r="427">
      <c r="I427" s="31">
        <f>IF($A427="","",IF($J427=0,"YOK",IF(AND($E427="Evet",ROUND($C427*tbo_oranIlave,2)=$J427),"TBO-002",IF(AND($D427="Evet",ROUND($C427*tbo_oranBesPuan,2)=$J427),"TBO-001",IF(AND($F427="Evet",ROUND($C427*tbo_oranKadinGenc,2)=$J427),"TBO-004","TBO-ENG")))))</f>
        <v/>
      </c>
      <c r="J427" s="31">
        <f>IF($A427="","",MAX(IF($D427="Evet",ROUND($C427*tbo_oranBesPuan,2),0),IF($E427="Evet",ROUND($C427*tbo_oranIlave,2),0),IF($F427="Evet",ROUND($C427*tbo_oranKadinGenc,2),0),IF($G427="Evet",ROUND($C427*tbo_isverenOran,2),0)))</f>
        <v/>
      </c>
      <c r="K427" s="31">
        <f>IF($A427="","",IF($H427="TBO-001",IF($D427="Evet",ROUND($C427*tbo_oranBesPuan,2),0),IF($H427="TBO-002",IF($E427="Evet",ROUND($C427*tbo_oranIlave,2),0),IF($H427="TBO-004",IF($F427="Evet",ROUND($C427*tbo_oranKadinGenc,2),0),IF($H427="TBO-ENG",IF($G427="Evet",ROUND($C427*tbo_isverenOran,2),0),0)))))</f>
        <v/>
      </c>
      <c r="L427" s="31">
        <f>IF($A427="","",MAX(0,$J427-$K427))</f>
        <v/>
      </c>
    </row>
    <row r="428">
      <c r="I428" s="31">
        <f>IF($A428="","",IF($J428=0,"YOK",IF(AND($E428="Evet",ROUND($C428*tbo_oranIlave,2)=$J428),"TBO-002",IF(AND($D428="Evet",ROUND($C428*tbo_oranBesPuan,2)=$J428),"TBO-001",IF(AND($F428="Evet",ROUND($C428*tbo_oranKadinGenc,2)=$J428),"TBO-004","TBO-ENG")))))</f>
        <v/>
      </c>
      <c r="J428" s="31">
        <f>IF($A428="","",MAX(IF($D428="Evet",ROUND($C428*tbo_oranBesPuan,2),0),IF($E428="Evet",ROUND($C428*tbo_oranIlave,2),0),IF($F428="Evet",ROUND($C428*tbo_oranKadinGenc,2),0),IF($G428="Evet",ROUND($C428*tbo_isverenOran,2),0)))</f>
        <v/>
      </c>
      <c r="K428" s="31">
        <f>IF($A428="","",IF($H428="TBO-001",IF($D428="Evet",ROUND($C428*tbo_oranBesPuan,2),0),IF($H428="TBO-002",IF($E428="Evet",ROUND($C428*tbo_oranIlave,2),0),IF($H428="TBO-004",IF($F428="Evet",ROUND($C428*tbo_oranKadinGenc,2),0),IF($H428="TBO-ENG",IF($G428="Evet",ROUND($C428*tbo_isverenOran,2),0),0)))))</f>
        <v/>
      </c>
      <c r="L428" s="31">
        <f>IF($A428="","",MAX(0,$J428-$K428))</f>
        <v/>
      </c>
    </row>
    <row r="429">
      <c r="I429" s="31">
        <f>IF($A429="","",IF($J429=0,"YOK",IF(AND($E429="Evet",ROUND($C429*tbo_oranIlave,2)=$J429),"TBO-002",IF(AND($D429="Evet",ROUND($C429*tbo_oranBesPuan,2)=$J429),"TBO-001",IF(AND($F429="Evet",ROUND($C429*tbo_oranKadinGenc,2)=$J429),"TBO-004","TBO-ENG")))))</f>
        <v/>
      </c>
      <c r="J429" s="31">
        <f>IF($A429="","",MAX(IF($D429="Evet",ROUND($C429*tbo_oranBesPuan,2),0),IF($E429="Evet",ROUND($C429*tbo_oranIlave,2),0),IF($F429="Evet",ROUND($C429*tbo_oranKadinGenc,2),0),IF($G429="Evet",ROUND($C429*tbo_isverenOran,2),0)))</f>
        <v/>
      </c>
      <c r="K429" s="31">
        <f>IF($A429="","",IF($H429="TBO-001",IF($D429="Evet",ROUND($C429*tbo_oranBesPuan,2),0),IF($H429="TBO-002",IF($E429="Evet",ROUND($C429*tbo_oranIlave,2),0),IF($H429="TBO-004",IF($F429="Evet",ROUND($C429*tbo_oranKadinGenc,2),0),IF($H429="TBO-ENG",IF($G429="Evet",ROUND($C429*tbo_isverenOran,2),0),0)))))</f>
        <v/>
      </c>
      <c r="L429" s="31">
        <f>IF($A429="","",MAX(0,$J429-$K429))</f>
        <v/>
      </c>
    </row>
    <row r="430">
      <c r="I430" s="31">
        <f>IF($A430="","",IF($J430=0,"YOK",IF(AND($E430="Evet",ROUND($C430*tbo_oranIlave,2)=$J430),"TBO-002",IF(AND($D430="Evet",ROUND($C430*tbo_oranBesPuan,2)=$J430),"TBO-001",IF(AND($F430="Evet",ROUND($C430*tbo_oranKadinGenc,2)=$J430),"TBO-004","TBO-ENG")))))</f>
        <v/>
      </c>
      <c r="J430" s="31">
        <f>IF($A430="","",MAX(IF($D430="Evet",ROUND($C430*tbo_oranBesPuan,2),0),IF($E430="Evet",ROUND($C430*tbo_oranIlave,2),0),IF($F430="Evet",ROUND($C430*tbo_oranKadinGenc,2),0),IF($G430="Evet",ROUND($C430*tbo_isverenOran,2),0)))</f>
        <v/>
      </c>
      <c r="K430" s="31">
        <f>IF($A430="","",IF($H430="TBO-001",IF($D430="Evet",ROUND($C430*tbo_oranBesPuan,2),0),IF($H430="TBO-002",IF($E430="Evet",ROUND($C430*tbo_oranIlave,2),0),IF($H430="TBO-004",IF($F430="Evet",ROUND($C430*tbo_oranKadinGenc,2),0),IF($H430="TBO-ENG",IF($G430="Evet",ROUND($C430*tbo_isverenOran,2),0),0)))))</f>
        <v/>
      </c>
      <c r="L430" s="31">
        <f>IF($A430="","",MAX(0,$J430-$K430))</f>
        <v/>
      </c>
    </row>
    <row r="431">
      <c r="I431" s="31">
        <f>IF($A431="","",IF($J431=0,"YOK",IF(AND($E431="Evet",ROUND($C431*tbo_oranIlave,2)=$J431),"TBO-002",IF(AND($D431="Evet",ROUND($C431*tbo_oranBesPuan,2)=$J431),"TBO-001",IF(AND($F431="Evet",ROUND($C431*tbo_oranKadinGenc,2)=$J431),"TBO-004","TBO-ENG")))))</f>
        <v/>
      </c>
      <c r="J431" s="31">
        <f>IF($A431="","",MAX(IF($D431="Evet",ROUND($C431*tbo_oranBesPuan,2),0),IF($E431="Evet",ROUND($C431*tbo_oranIlave,2),0),IF($F431="Evet",ROUND($C431*tbo_oranKadinGenc,2),0),IF($G431="Evet",ROUND($C431*tbo_isverenOran,2),0)))</f>
        <v/>
      </c>
      <c r="K431" s="31">
        <f>IF($A431="","",IF($H431="TBO-001",IF($D431="Evet",ROUND($C431*tbo_oranBesPuan,2),0),IF($H431="TBO-002",IF($E431="Evet",ROUND($C431*tbo_oranIlave,2),0),IF($H431="TBO-004",IF($F431="Evet",ROUND($C431*tbo_oranKadinGenc,2),0),IF($H431="TBO-ENG",IF($G431="Evet",ROUND($C431*tbo_isverenOran,2),0),0)))))</f>
        <v/>
      </c>
      <c r="L431" s="31">
        <f>IF($A431="","",MAX(0,$J431-$K431))</f>
        <v/>
      </c>
    </row>
    <row r="432">
      <c r="I432" s="31">
        <f>IF($A432="","",IF($J432=0,"YOK",IF(AND($E432="Evet",ROUND($C432*tbo_oranIlave,2)=$J432),"TBO-002",IF(AND($D432="Evet",ROUND($C432*tbo_oranBesPuan,2)=$J432),"TBO-001",IF(AND($F432="Evet",ROUND($C432*tbo_oranKadinGenc,2)=$J432),"TBO-004","TBO-ENG")))))</f>
        <v/>
      </c>
      <c r="J432" s="31">
        <f>IF($A432="","",MAX(IF($D432="Evet",ROUND($C432*tbo_oranBesPuan,2),0),IF($E432="Evet",ROUND($C432*tbo_oranIlave,2),0),IF($F432="Evet",ROUND($C432*tbo_oranKadinGenc,2),0),IF($G432="Evet",ROUND($C432*tbo_isverenOran,2),0)))</f>
        <v/>
      </c>
      <c r="K432" s="31">
        <f>IF($A432="","",IF($H432="TBO-001",IF($D432="Evet",ROUND($C432*tbo_oranBesPuan,2),0),IF($H432="TBO-002",IF($E432="Evet",ROUND($C432*tbo_oranIlave,2),0),IF($H432="TBO-004",IF($F432="Evet",ROUND($C432*tbo_oranKadinGenc,2),0),IF($H432="TBO-ENG",IF($G432="Evet",ROUND($C432*tbo_isverenOran,2),0),0)))))</f>
        <v/>
      </c>
      <c r="L432" s="31">
        <f>IF($A432="","",MAX(0,$J432-$K432))</f>
        <v/>
      </c>
    </row>
    <row r="433">
      <c r="I433" s="31">
        <f>IF($A433="","",IF($J433=0,"YOK",IF(AND($E433="Evet",ROUND($C433*tbo_oranIlave,2)=$J433),"TBO-002",IF(AND($D433="Evet",ROUND($C433*tbo_oranBesPuan,2)=$J433),"TBO-001",IF(AND($F433="Evet",ROUND($C433*tbo_oranKadinGenc,2)=$J433),"TBO-004","TBO-ENG")))))</f>
        <v/>
      </c>
      <c r="J433" s="31">
        <f>IF($A433="","",MAX(IF($D433="Evet",ROUND($C433*tbo_oranBesPuan,2),0),IF($E433="Evet",ROUND($C433*tbo_oranIlave,2),0),IF($F433="Evet",ROUND($C433*tbo_oranKadinGenc,2),0),IF($G433="Evet",ROUND($C433*tbo_isverenOran,2),0)))</f>
        <v/>
      </c>
      <c r="K433" s="31">
        <f>IF($A433="","",IF($H433="TBO-001",IF($D433="Evet",ROUND($C433*tbo_oranBesPuan,2),0),IF($H433="TBO-002",IF($E433="Evet",ROUND($C433*tbo_oranIlave,2),0),IF($H433="TBO-004",IF($F433="Evet",ROUND($C433*tbo_oranKadinGenc,2),0),IF($H433="TBO-ENG",IF($G433="Evet",ROUND($C433*tbo_isverenOran,2),0),0)))))</f>
        <v/>
      </c>
      <c r="L433" s="31">
        <f>IF($A433="","",MAX(0,$J433-$K433))</f>
        <v/>
      </c>
    </row>
    <row r="434">
      <c r="I434" s="31">
        <f>IF($A434="","",IF($J434=0,"YOK",IF(AND($E434="Evet",ROUND($C434*tbo_oranIlave,2)=$J434),"TBO-002",IF(AND($D434="Evet",ROUND($C434*tbo_oranBesPuan,2)=$J434),"TBO-001",IF(AND($F434="Evet",ROUND($C434*tbo_oranKadinGenc,2)=$J434),"TBO-004","TBO-ENG")))))</f>
        <v/>
      </c>
      <c r="J434" s="31">
        <f>IF($A434="","",MAX(IF($D434="Evet",ROUND($C434*tbo_oranBesPuan,2),0),IF($E434="Evet",ROUND($C434*tbo_oranIlave,2),0),IF($F434="Evet",ROUND($C434*tbo_oranKadinGenc,2),0),IF($G434="Evet",ROUND($C434*tbo_isverenOran,2),0)))</f>
        <v/>
      </c>
      <c r="K434" s="31">
        <f>IF($A434="","",IF($H434="TBO-001",IF($D434="Evet",ROUND($C434*tbo_oranBesPuan,2),0),IF($H434="TBO-002",IF($E434="Evet",ROUND($C434*tbo_oranIlave,2),0),IF($H434="TBO-004",IF($F434="Evet",ROUND($C434*tbo_oranKadinGenc,2),0),IF($H434="TBO-ENG",IF($G434="Evet",ROUND($C434*tbo_isverenOran,2),0),0)))))</f>
        <v/>
      </c>
      <c r="L434" s="31">
        <f>IF($A434="","",MAX(0,$J434-$K434))</f>
        <v/>
      </c>
    </row>
    <row r="435">
      <c r="I435" s="31">
        <f>IF($A435="","",IF($J435=0,"YOK",IF(AND($E435="Evet",ROUND($C435*tbo_oranIlave,2)=$J435),"TBO-002",IF(AND($D435="Evet",ROUND($C435*tbo_oranBesPuan,2)=$J435),"TBO-001",IF(AND($F435="Evet",ROUND($C435*tbo_oranKadinGenc,2)=$J435),"TBO-004","TBO-ENG")))))</f>
        <v/>
      </c>
      <c r="J435" s="31">
        <f>IF($A435="","",MAX(IF($D435="Evet",ROUND($C435*tbo_oranBesPuan,2),0),IF($E435="Evet",ROUND($C435*tbo_oranIlave,2),0),IF($F435="Evet",ROUND($C435*tbo_oranKadinGenc,2),0),IF($G435="Evet",ROUND($C435*tbo_isverenOran,2),0)))</f>
        <v/>
      </c>
      <c r="K435" s="31">
        <f>IF($A435="","",IF($H435="TBO-001",IF($D435="Evet",ROUND($C435*tbo_oranBesPuan,2),0),IF($H435="TBO-002",IF($E435="Evet",ROUND($C435*tbo_oranIlave,2),0),IF($H435="TBO-004",IF($F435="Evet",ROUND($C435*tbo_oranKadinGenc,2),0),IF($H435="TBO-ENG",IF($G435="Evet",ROUND($C435*tbo_isverenOran,2),0),0)))))</f>
        <v/>
      </c>
      <c r="L435" s="31">
        <f>IF($A435="","",MAX(0,$J435-$K435))</f>
        <v/>
      </c>
    </row>
    <row r="436">
      <c r="I436" s="31">
        <f>IF($A436="","",IF($J436=0,"YOK",IF(AND($E436="Evet",ROUND($C436*tbo_oranIlave,2)=$J436),"TBO-002",IF(AND($D436="Evet",ROUND($C436*tbo_oranBesPuan,2)=$J436),"TBO-001",IF(AND($F436="Evet",ROUND($C436*tbo_oranKadinGenc,2)=$J436),"TBO-004","TBO-ENG")))))</f>
        <v/>
      </c>
      <c r="J436" s="31">
        <f>IF($A436="","",MAX(IF($D436="Evet",ROUND($C436*tbo_oranBesPuan,2),0),IF($E436="Evet",ROUND($C436*tbo_oranIlave,2),0),IF($F436="Evet",ROUND($C436*tbo_oranKadinGenc,2),0),IF($G436="Evet",ROUND($C436*tbo_isverenOran,2),0)))</f>
        <v/>
      </c>
      <c r="K436" s="31">
        <f>IF($A436="","",IF($H436="TBO-001",IF($D436="Evet",ROUND($C436*tbo_oranBesPuan,2),0),IF($H436="TBO-002",IF($E436="Evet",ROUND($C436*tbo_oranIlave,2),0),IF($H436="TBO-004",IF($F436="Evet",ROUND($C436*tbo_oranKadinGenc,2),0),IF($H436="TBO-ENG",IF($G436="Evet",ROUND($C436*tbo_isverenOran,2),0),0)))))</f>
        <v/>
      </c>
      <c r="L436" s="31">
        <f>IF($A436="","",MAX(0,$J436-$K436))</f>
        <v/>
      </c>
    </row>
    <row r="437">
      <c r="I437" s="31">
        <f>IF($A437="","",IF($J437=0,"YOK",IF(AND($E437="Evet",ROUND($C437*tbo_oranIlave,2)=$J437),"TBO-002",IF(AND($D437="Evet",ROUND($C437*tbo_oranBesPuan,2)=$J437),"TBO-001",IF(AND($F437="Evet",ROUND($C437*tbo_oranKadinGenc,2)=$J437),"TBO-004","TBO-ENG")))))</f>
        <v/>
      </c>
      <c r="J437" s="31">
        <f>IF($A437="","",MAX(IF($D437="Evet",ROUND($C437*tbo_oranBesPuan,2),0),IF($E437="Evet",ROUND($C437*tbo_oranIlave,2),0),IF($F437="Evet",ROUND($C437*tbo_oranKadinGenc,2),0),IF($G437="Evet",ROUND($C437*tbo_isverenOran,2),0)))</f>
        <v/>
      </c>
      <c r="K437" s="31">
        <f>IF($A437="","",IF($H437="TBO-001",IF($D437="Evet",ROUND($C437*tbo_oranBesPuan,2),0),IF($H437="TBO-002",IF($E437="Evet",ROUND($C437*tbo_oranIlave,2),0),IF($H437="TBO-004",IF($F437="Evet",ROUND($C437*tbo_oranKadinGenc,2),0),IF($H437="TBO-ENG",IF($G437="Evet",ROUND($C437*tbo_isverenOran,2),0),0)))))</f>
        <v/>
      </c>
      <c r="L437" s="31">
        <f>IF($A437="","",MAX(0,$J437-$K437))</f>
        <v/>
      </c>
    </row>
    <row r="438">
      <c r="I438" s="31">
        <f>IF($A438="","",IF($J438=0,"YOK",IF(AND($E438="Evet",ROUND($C438*tbo_oranIlave,2)=$J438),"TBO-002",IF(AND($D438="Evet",ROUND($C438*tbo_oranBesPuan,2)=$J438),"TBO-001",IF(AND($F438="Evet",ROUND($C438*tbo_oranKadinGenc,2)=$J438),"TBO-004","TBO-ENG")))))</f>
        <v/>
      </c>
      <c r="J438" s="31">
        <f>IF($A438="","",MAX(IF($D438="Evet",ROUND($C438*tbo_oranBesPuan,2),0),IF($E438="Evet",ROUND($C438*tbo_oranIlave,2),0),IF($F438="Evet",ROUND($C438*tbo_oranKadinGenc,2),0),IF($G438="Evet",ROUND($C438*tbo_isverenOran,2),0)))</f>
        <v/>
      </c>
      <c r="K438" s="31">
        <f>IF($A438="","",IF($H438="TBO-001",IF($D438="Evet",ROUND($C438*tbo_oranBesPuan,2),0),IF($H438="TBO-002",IF($E438="Evet",ROUND($C438*tbo_oranIlave,2),0),IF($H438="TBO-004",IF($F438="Evet",ROUND($C438*tbo_oranKadinGenc,2),0),IF($H438="TBO-ENG",IF($G438="Evet",ROUND($C438*tbo_isverenOran,2),0),0)))))</f>
        <v/>
      </c>
      <c r="L438" s="31">
        <f>IF($A438="","",MAX(0,$J438-$K438))</f>
        <v/>
      </c>
    </row>
    <row r="439">
      <c r="I439" s="31">
        <f>IF($A439="","",IF($J439=0,"YOK",IF(AND($E439="Evet",ROUND($C439*tbo_oranIlave,2)=$J439),"TBO-002",IF(AND($D439="Evet",ROUND($C439*tbo_oranBesPuan,2)=$J439),"TBO-001",IF(AND($F439="Evet",ROUND($C439*tbo_oranKadinGenc,2)=$J439),"TBO-004","TBO-ENG")))))</f>
        <v/>
      </c>
      <c r="J439" s="31">
        <f>IF($A439="","",MAX(IF($D439="Evet",ROUND($C439*tbo_oranBesPuan,2),0),IF($E439="Evet",ROUND($C439*tbo_oranIlave,2),0),IF($F439="Evet",ROUND($C439*tbo_oranKadinGenc,2),0),IF($G439="Evet",ROUND($C439*tbo_isverenOran,2),0)))</f>
        <v/>
      </c>
      <c r="K439" s="31">
        <f>IF($A439="","",IF($H439="TBO-001",IF($D439="Evet",ROUND($C439*tbo_oranBesPuan,2),0),IF($H439="TBO-002",IF($E439="Evet",ROUND($C439*tbo_oranIlave,2),0),IF($H439="TBO-004",IF($F439="Evet",ROUND($C439*tbo_oranKadinGenc,2),0),IF($H439="TBO-ENG",IF($G439="Evet",ROUND($C439*tbo_isverenOran,2),0),0)))))</f>
        <v/>
      </c>
      <c r="L439" s="31">
        <f>IF($A439="","",MAX(0,$J439-$K439))</f>
        <v/>
      </c>
    </row>
    <row r="440">
      <c r="I440" s="31">
        <f>IF($A440="","",IF($J440=0,"YOK",IF(AND($E440="Evet",ROUND($C440*tbo_oranIlave,2)=$J440),"TBO-002",IF(AND($D440="Evet",ROUND($C440*tbo_oranBesPuan,2)=$J440),"TBO-001",IF(AND($F440="Evet",ROUND($C440*tbo_oranKadinGenc,2)=$J440),"TBO-004","TBO-ENG")))))</f>
        <v/>
      </c>
      <c r="J440" s="31">
        <f>IF($A440="","",MAX(IF($D440="Evet",ROUND($C440*tbo_oranBesPuan,2),0),IF($E440="Evet",ROUND($C440*tbo_oranIlave,2),0),IF($F440="Evet",ROUND($C440*tbo_oranKadinGenc,2),0),IF($G440="Evet",ROUND($C440*tbo_isverenOran,2),0)))</f>
        <v/>
      </c>
      <c r="K440" s="31">
        <f>IF($A440="","",IF($H440="TBO-001",IF($D440="Evet",ROUND($C440*tbo_oranBesPuan,2),0),IF($H440="TBO-002",IF($E440="Evet",ROUND($C440*tbo_oranIlave,2),0),IF($H440="TBO-004",IF($F440="Evet",ROUND($C440*tbo_oranKadinGenc,2),0),IF($H440="TBO-ENG",IF($G440="Evet",ROUND($C440*tbo_isverenOran,2),0),0)))))</f>
        <v/>
      </c>
      <c r="L440" s="31">
        <f>IF($A440="","",MAX(0,$J440-$K440))</f>
        <v/>
      </c>
    </row>
    <row r="441">
      <c r="I441" s="31">
        <f>IF($A441="","",IF($J441=0,"YOK",IF(AND($E441="Evet",ROUND($C441*tbo_oranIlave,2)=$J441),"TBO-002",IF(AND($D441="Evet",ROUND($C441*tbo_oranBesPuan,2)=$J441),"TBO-001",IF(AND($F441="Evet",ROUND($C441*tbo_oranKadinGenc,2)=$J441),"TBO-004","TBO-ENG")))))</f>
        <v/>
      </c>
      <c r="J441" s="31">
        <f>IF($A441="","",MAX(IF($D441="Evet",ROUND($C441*tbo_oranBesPuan,2),0),IF($E441="Evet",ROUND($C441*tbo_oranIlave,2),0),IF($F441="Evet",ROUND($C441*tbo_oranKadinGenc,2),0),IF($G441="Evet",ROUND($C441*tbo_isverenOran,2),0)))</f>
        <v/>
      </c>
      <c r="K441" s="31">
        <f>IF($A441="","",IF($H441="TBO-001",IF($D441="Evet",ROUND($C441*tbo_oranBesPuan,2),0),IF($H441="TBO-002",IF($E441="Evet",ROUND($C441*tbo_oranIlave,2),0),IF($H441="TBO-004",IF($F441="Evet",ROUND($C441*tbo_oranKadinGenc,2),0),IF($H441="TBO-ENG",IF($G441="Evet",ROUND($C441*tbo_isverenOran,2),0),0)))))</f>
        <v/>
      </c>
      <c r="L441" s="31">
        <f>IF($A441="","",MAX(0,$J441-$K441))</f>
        <v/>
      </c>
    </row>
    <row r="442">
      <c r="I442" s="31">
        <f>IF($A442="","",IF($J442=0,"YOK",IF(AND($E442="Evet",ROUND($C442*tbo_oranIlave,2)=$J442),"TBO-002",IF(AND($D442="Evet",ROUND($C442*tbo_oranBesPuan,2)=$J442),"TBO-001",IF(AND($F442="Evet",ROUND($C442*tbo_oranKadinGenc,2)=$J442),"TBO-004","TBO-ENG")))))</f>
        <v/>
      </c>
      <c r="J442" s="31">
        <f>IF($A442="","",MAX(IF($D442="Evet",ROUND($C442*tbo_oranBesPuan,2),0),IF($E442="Evet",ROUND($C442*tbo_oranIlave,2),0),IF($F442="Evet",ROUND($C442*tbo_oranKadinGenc,2),0),IF($G442="Evet",ROUND($C442*tbo_isverenOran,2),0)))</f>
        <v/>
      </c>
      <c r="K442" s="31">
        <f>IF($A442="","",IF($H442="TBO-001",IF($D442="Evet",ROUND($C442*tbo_oranBesPuan,2),0),IF($H442="TBO-002",IF($E442="Evet",ROUND($C442*tbo_oranIlave,2),0),IF($H442="TBO-004",IF($F442="Evet",ROUND($C442*tbo_oranKadinGenc,2),0),IF($H442="TBO-ENG",IF($G442="Evet",ROUND($C442*tbo_isverenOran,2),0),0)))))</f>
        <v/>
      </c>
      <c r="L442" s="31">
        <f>IF($A442="","",MAX(0,$J442-$K442))</f>
        <v/>
      </c>
    </row>
    <row r="443">
      <c r="I443" s="31">
        <f>IF($A443="","",IF($J443=0,"YOK",IF(AND($E443="Evet",ROUND($C443*tbo_oranIlave,2)=$J443),"TBO-002",IF(AND($D443="Evet",ROUND($C443*tbo_oranBesPuan,2)=$J443),"TBO-001",IF(AND($F443="Evet",ROUND($C443*tbo_oranKadinGenc,2)=$J443),"TBO-004","TBO-ENG")))))</f>
        <v/>
      </c>
      <c r="J443" s="31">
        <f>IF($A443="","",MAX(IF($D443="Evet",ROUND($C443*tbo_oranBesPuan,2),0),IF($E443="Evet",ROUND($C443*tbo_oranIlave,2),0),IF($F443="Evet",ROUND($C443*tbo_oranKadinGenc,2),0),IF($G443="Evet",ROUND($C443*tbo_isverenOran,2),0)))</f>
        <v/>
      </c>
      <c r="K443" s="31">
        <f>IF($A443="","",IF($H443="TBO-001",IF($D443="Evet",ROUND($C443*tbo_oranBesPuan,2),0),IF($H443="TBO-002",IF($E443="Evet",ROUND($C443*tbo_oranIlave,2),0),IF($H443="TBO-004",IF($F443="Evet",ROUND($C443*tbo_oranKadinGenc,2),0),IF($H443="TBO-ENG",IF($G443="Evet",ROUND($C443*tbo_isverenOran,2),0),0)))))</f>
        <v/>
      </c>
      <c r="L443" s="31">
        <f>IF($A443="","",MAX(0,$J443-$K443))</f>
        <v/>
      </c>
    </row>
    <row r="444">
      <c r="I444" s="31">
        <f>IF($A444="","",IF($J444=0,"YOK",IF(AND($E444="Evet",ROUND($C444*tbo_oranIlave,2)=$J444),"TBO-002",IF(AND($D444="Evet",ROUND($C444*tbo_oranBesPuan,2)=$J444),"TBO-001",IF(AND($F444="Evet",ROUND($C444*tbo_oranKadinGenc,2)=$J444),"TBO-004","TBO-ENG")))))</f>
        <v/>
      </c>
      <c r="J444" s="31">
        <f>IF($A444="","",MAX(IF($D444="Evet",ROUND($C444*tbo_oranBesPuan,2),0),IF($E444="Evet",ROUND($C444*tbo_oranIlave,2),0),IF($F444="Evet",ROUND($C444*tbo_oranKadinGenc,2),0),IF($G444="Evet",ROUND($C444*tbo_isverenOran,2),0)))</f>
        <v/>
      </c>
      <c r="K444" s="31">
        <f>IF($A444="","",IF($H444="TBO-001",IF($D444="Evet",ROUND($C444*tbo_oranBesPuan,2),0),IF($H444="TBO-002",IF($E444="Evet",ROUND($C444*tbo_oranIlave,2),0),IF($H444="TBO-004",IF($F444="Evet",ROUND($C444*tbo_oranKadinGenc,2),0),IF($H444="TBO-ENG",IF($G444="Evet",ROUND($C444*tbo_isverenOran,2),0),0)))))</f>
        <v/>
      </c>
      <c r="L444" s="31">
        <f>IF($A444="","",MAX(0,$J444-$K444))</f>
        <v/>
      </c>
    </row>
    <row r="445">
      <c r="I445" s="31">
        <f>IF($A445="","",IF($J445=0,"YOK",IF(AND($E445="Evet",ROUND($C445*tbo_oranIlave,2)=$J445),"TBO-002",IF(AND($D445="Evet",ROUND($C445*tbo_oranBesPuan,2)=$J445),"TBO-001",IF(AND($F445="Evet",ROUND($C445*tbo_oranKadinGenc,2)=$J445),"TBO-004","TBO-ENG")))))</f>
        <v/>
      </c>
      <c r="J445" s="31">
        <f>IF($A445="","",MAX(IF($D445="Evet",ROUND($C445*tbo_oranBesPuan,2),0),IF($E445="Evet",ROUND($C445*tbo_oranIlave,2),0),IF($F445="Evet",ROUND($C445*tbo_oranKadinGenc,2),0),IF($G445="Evet",ROUND($C445*tbo_isverenOran,2),0)))</f>
        <v/>
      </c>
      <c r="K445" s="31">
        <f>IF($A445="","",IF($H445="TBO-001",IF($D445="Evet",ROUND($C445*tbo_oranBesPuan,2),0),IF($H445="TBO-002",IF($E445="Evet",ROUND($C445*tbo_oranIlave,2),0),IF($H445="TBO-004",IF($F445="Evet",ROUND($C445*tbo_oranKadinGenc,2),0),IF($H445="TBO-ENG",IF($G445="Evet",ROUND($C445*tbo_isverenOran,2),0),0)))))</f>
        <v/>
      </c>
      <c r="L445" s="31">
        <f>IF($A445="","",MAX(0,$J445-$K445))</f>
        <v/>
      </c>
    </row>
    <row r="446">
      <c r="I446" s="31">
        <f>IF($A446="","",IF($J446=0,"YOK",IF(AND($E446="Evet",ROUND($C446*tbo_oranIlave,2)=$J446),"TBO-002",IF(AND($D446="Evet",ROUND($C446*tbo_oranBesPuan,2)=$J446),"TBO-001",IF(AND($F446="Evet",ROUND($C446*tbo_oranKadinGenc,2)=$J446),"TBO-004","TBO-ENG")))))</f>
        <v/>
      </c>
      <c r="J446" s="31">
        <f>IF($A446="","",MAX(IF($D446="Evet",ROUND($C446*tbo_oranBesPuan,2),0),IF($E446="Evet",ROUND($C446*tbo_oranIlave,2),0),IF($F446="Evet",ROUND($C446*tbo_oranKadinGenc,2),0),IF($G446="Evet",ROUND($C446*tbo_isverenOran,2),0)))</f>
        <v/>
      </c>
      <c r="K446" s="31">
        <f>IF($A446="","",IF($H446="TBO-001",IF($D446="Evet",ROUND($C446*tbo_oranBesPuan,2),0),IF($H446="TBO-002",IF($E446="Evet",ROUND($C446*tbo_oranIlave,2),0),IF($H446="TBO-004",IF($F446="Evet",ROUND($C446*tbo_oranKadinGenc,2),0),IF($H446="TBO-ENG",IF($G446="Evet",ROUND($C446*tbo_isverenOran,2),0),0)))))</f>
        <v/>
      </c>
      <c r="L446" s="31">
        <f>IF($A446="","",MAX(0,$J446-$K446))</f>
        <v/>
      </c>
    </row>
    <row r="447">
      <c r="I447" s="31">
        <f>IF($A447="","",IF($J447=0,"YOK",IF(AND($E447="Evet",ROUND($C447*tbo_oranIlave,2)=$J447),"TBO-002",IF(AND($D447="Evet",ROUND($C447*tbo_oranBesPuan,2)=$J447),"TBO-001",IF(AND($F447="Evet",ROUND($C447*tbo_oranKadinGenc,2)=$J447),"TBO-004","TBO-ENG")))))</f>
        <v/>
      </c>
      <c r="J447" s="31">
        <f>IF($A447="","",MAX(IF($D447="Evet",ROUND($C447*tbo_oranBesPuan,2),0),IF($E447="Evet",ROUND($C447*tbo_oranIlave,2),0),IF($F447="Evet",ROUND($C447*tbo_oranKadinGenc,2),0),IF($G447="Evet",ROUND($C447*tbo_isverenOran,2),0)))</f>
        <v/>
      </c>
      <c r="K447" s="31">
        <f>IF($A447="","",IF($H447="TBO-001",IF($D447="Evet",ROUND($C447*tbo_oranBesPuan,2),0),IF($H447="TBO-002",IF($E447="Evet",ROUND($C447*tbo_oranIlave,2),0),IF($H447="TBO-004",IF($F447="Evet",ROUND($C447*tbo_oranKadinGenc,2),0),IF($H447="TBO-ENG",IF($G447="Evet",ROUND($C447*tbo_isverenOran,2),0),0)))))</f>
        <v/>
      </c>
      <c r="L447" s="31">
        <f>IF($A447="","",MAX(0,$J447-$K447))</f>
        <v/>
      </c>
    </row>
    <row r="448">
      <c r="I448" s="31">
        <f>IF($A448="","",IF($J448=0,"YOK",IF(AND($E448="Evet",ROUND($C448*tbo_oranIlave,2)=$J448),"TBO-002",IF(AND($D448="Evet",ROUND($C448*tbo_oranBesPuan,2)=$J448),"TBO-001",IF(AND($F448="Evet",ROUND($C448*tbo_oranKadinGenc,2)=$J448),"TBO-004","TBO-ENG")))))</f>
        <v/>
      </c>
      <c r="J448" s="31">
        <f>IF($A448="","",MAX(IF($D448="Evet",ROUND($C448*tbo_oranBesPuan,2),0),IF($E448="Evet",ROUND($C448*tbo_oranIlave,2),0),IF($F448="Evet",ROUND($C448*tbo_oranKadinGenc,2),0),IF($G448="Evet",ROUND($C448*tbo_isverenOran,2),0)))</f>
        <v/>
      </c>
      <c r="K448" s="31">
        <f>IF($A448="","",IF($H448="TBO-001",IF($D448="Evet",ROUND($C448*tbo_oranBesPuan,2),0),IF($H448="TBO-002",IF($E448="Evet",ROUND($C448*tbo_oranIlave,2),0),IF($H448="TBO-004",IF($F448="Evet",ROUND($C448*tbo_oranKadinGenc,2),0),IF($H448="TBO-ENG",IF($G448="Evet",ROUND($C448*tbo_isverenOran,2),0),0)))))</f>
        <v/>
      </c>
      <c r="L448" s="31">
        <f>IF($A448="","",MAX(0,$J448-$K448))</f>
        <v/>
      </c>
    </row>
    <row r="449">
      <c r="I449" s="31">
        <f>IF($A449="","",IF($J449=0,"YOK",IF(AND($E449="Evet",ROUND($C449*tbo_oranIlave,2)=$J449),"TBO-002",IF(AND($D449="Evet",ROUND($C449*tbo_oranBesPuan,2)=$J449),"TBO-001",IF(AND($F449="Evet",ROUND($C449*tbo_oranKadinGenc,2)=$J449),"TBO-004","TBO-ENG")))))</f>
        <v/>
      </c>
      <c r="J449" s="31">
        <f>IF($A449="","",MAX(IF($D449="Evet",ROUND($C449*tbo_oranBesPuan,2),0),IF($E449="Evet",ROUND($C449*tbo_oranIlave,2),0),IF($F449="Evet",ROUND($C449*tbo_oranKadinGenc,2),0),IF($G449="Evet",ROUND($C449*tbo_isverenOran,2),0)))</f>
        <v/>
      </c>
      <c r="K449" s="31">
        <f>IF($A449="","",IF($H449="TBO-001",IF($D449="Evet",ROUND($C449*tbo_oranBesPuan,2),0),IF($H449="TBO-002",IF($E449="Evet",ROUND($C449*tbo_oranIlave,2),0),IF($H449="TBO-004",IF($F449="Evet",ROUND($C449*tbo_oranKadinGenc,2),0),IF($H449="TBO-ENG",IF($G449="Evet",ROUND($C449*tbo_isverenOran,2),0),0)))))</f>
        <v/>
      </c>
      <c r="L449" s="31">
        <f>IF($A449="","",MAX(0,$J449-$K449))</f>
        <v/>
      </c>
    </row>
    <row r="450">
      <c r="I450" s="31">
        <f>IF($A450="","",IF($J450=0,"YOK",IF(AND($E450="Evet",ROUND($C450*tbo_oranIlave,2)=$J450),"TBO-002",IF(AND($D450="Evet",ROUND($C450*tbo_oranBesPuan,2)=$J450),"TBO-001",IF(AND($F450="Evet",ROUND($C450*tbo_oranKadinGenc,2)=$J450),"TBO-004","TBO-ENG")))))</f>
        <v/>
      </c>
      <c r="J450" s="31">
        <f>IF($A450="","",MAX(IF($D450="Evet",ROUND($C450*tbo_oranBesPuan,2),0),IF($E450="Evet",ROUND($C450*tbo_oranIlave,2),0),IF($F450="Evet",ROUND($C450*tbo_oranKadinGenc,2),0),IF($G450="Evet",ROUND($C450*tbo_isverenOran,2),0)))</f>
        <v/>
      </c>
      <c r="K450" s="31">
        <f>IF($A450="","",IF($H450="TBO-001",IF($D450="Evet",ROUND($C450*tbo_oranBesPuan,2),0),IF($H450="TBO-002",IF($E450="Evet",ROUND($C450*tbo_oranIlave,2),0),IF($H450="TBO-004",IF($F450="Evet",ROUND($C450*tbo_oranKadinGenc,2),0),IF($H450="TBO-ENG",IF($G450="Evet",ROUND($C450*tbo_isverenOran,2),0),0)))))</f>
        <v/>
      </c>
      <c r="L450" s="31">
        <f>IF($A450="","",MAX(0,$J450-$K450))</f>
        <v/>
      </c>
    </row>
    <row r="451">
      <c r="I451" s="31">
        <f>IF($A451="","",IF($J451=0,"YOK",IF(AND($E451="Evet",ROUND($C451*tbo_oranIlave,2)=$J451),"TBO-002",IF(AND($D451="Evet",ROUND($C451*tbo_oranBesPuan,2)=$J451),"TBO-001",IF(AND($F451="Evet",ROUND($C451*tbo_oranKadinGenc,2)=$J451),"TBO-004","TBO-ENG")))))</f>
        <v/>
      </c>
      <c r="J451" s="31">
        <f>IF($A451="","",MAX(IF($D451="Evet",ROUND($C451*tbo_oranBesPuan,2),0),IF($E451="Evet",ROUND($C451*tbo_oranIlave,2),0),IF($F451="Evet",ROUND($C451*tbo_oranKadinGenc,2),0),IF($G451="Evet",ROUND($C451*tbo_isverenOran,2),0)))</f>
        <v/>
      </c>
      <c r="K451" s="31">
        <f>IF($A451="","",IF($H451="TBO-001",IF($D451="Evet",ROUND($C451*tbo_oranBesPuan,2),0),IF($H451="TBO-002",IF($E451="Evet",ROUND($C451*tbo_oranIlave,2),0),IF($H451="TBO-004",IF($F451="Evet",ROUND($C451*tbo_oranKadinGenc,2),0),IF($H451="TBO-ENG",IF($G451="Evet",ROUND($C451*tbo_isverenOran,2),0),0)))))</f>
        <v/>
      </c>
      <c r="L451" s="31">
        <f>IF($A451="","",MAX(0,$J451-$K451))</f>
        <v/>
      </c>
    </row>
    <row r="452">
      <c r="I452" s="31">
        <f>IF($A452="","",IF($J452=0,"YOK",IF(AND($E452="Evet",ROUND($C452*tbo_oranIlave,2)=$J452),"TBO-002",IF(AND($D452="Evet",ROUND($C452*tbo_oranBesPuan,2)=$J452),"TBO-001",IF(AND($F452="Evet",ROUND($C452*tbo_oranKadinGenc,2)=$J452),"TBO-004","TBO-ENG")))))</f>
        <v/>
      </c>
      <c r="J452" s="31">
        <f>IF($A452="","",MAX(IF($D452="Evet",ROUND($C452*tbo_oranBesPuan,2),0),IF($E452="Evet",ROUND($C452*tbo_oranIlave,2),0),IF($F452="Evet",ROUND($C452*tbo_oranKadinGenc,2),0),IF($G452="Evet",ROUND($C452*tbo_isverenOran,2),0)))</f>
        <v/>
      </c>
      <c r="K452" s="31">
        <f>IF($A452="","",IF($H452="TBO-001",IF($D452="Evet",ROUND($C452*tbo_oranBesPuan,2),0),IF($H452="TBO-002",IF($E452="Evet",ROUND($C452*tbo_oranIlave,2),0),IF($H452="TBO-004",IF($F452="Evet",ROUND($C452*tbo_oranKadinGenc,2),0),IF($H452="TBO-ENG",IF($G452="Evet",ROUND($C452*tbo_isverenOran,2),0),0)))))</f>
        <v/>
      </c>
      <c r="L452" s="31">
        <f>IF($A452="","",MAX(0,$J452-$K452))</f>
        <v/>
      </c>
    </row>
    <row r="453">
      <c r="I453" s="31">
        <f>IF($A453="","",IF($J453=0,"YOK",IF(AND($E453="Evet",ROUND($C453*tbo_oranIlave,2)=$J453),"TBO-002",IF(AND($D453="Evet",ROUND($C453*tbo_oranBesPuan,2)=$J453),"TBO-001",IF(AND($F453="Evet",ROUND($C453*tbo_oranKadinGenc,2)=$J453),"TBO-004","TBO-ENG")))))</f>
        <v/>
      </c>
      <c r="J453" s="31">
        <f>IF($A453="","",MAX(IF($D453="Evet",ROUND($C453*tbo_oranBesPuan,2),0),IF($E453="Evet",ROUND($C453*tbo_oranIlave,2),0),IF($F453="Evet",ROUND($C453*tbo_oranKadinGenc,2),0),IF($G453="Evet",ROUND($C453*tbo_isverenOran,2),0)))</f>
        <v/>
      </c>
      <c r="K453" s="31">
        <f>IF($A453="","",IF($H453="TBO-001",IF($D453="Evet",ROUND($C453*tbo_oranBesPuan,2),0),IF($H453="TBO-002",IF($E453="Evet",ROUND($C453*tbo_oranIlave,2),0),IF($H453="TBO-004",IF($F453="Evet",ROUND($C453*tbo_oranKadinGenc,2),0),IF($H453="TBO-ENG",IF($G453="Evet",ROUND($C453*tbo_isverenOran,2),0),0)))))</f>
        <v/>
      </c>
      <c r="L453" s="31">
        <f>IF($A453="","",MAX(0,$J453-$K453))</f>
        <v/>
      </c>
    </row>
    <row r="454">
      <c r="I454" s="31">
        <f>IF($A454="","",IF($J454=0,"YOK",IF(AND($E454="Evet",ROUND($C454*tbo_oranIlave,2)=$J454),"TBO-002",IF(AND($D454="Evet",ROUND($C454*tbo_oranBesPuan,2)=$J454),"TBO-001",IF(AND($F454="Evet",ROUND($C454*tbo_oranKadinGenc,2)=$J454),"TBO-004","TBO-ENG")))))</f>
        <v/>
      </c>
      <c r="J454" s="31">
        <f>IF($A454="","",MAX(IF($D454="Evet",ROUND($C454*tbo_oranBesPuan,2),0),IF($E454="Evet",ROUND($C454*tbo_oranIlave,2),0),IF($F454="Evet",ROUND($C454*tbo_oranKadinGenc,2),0),IF($G454="Evet",ROUND($C454*tbo_isverenOran,2),0)))</f>
        <v/>
      </c>
      <c r="K454" s="31">
        <f>IF($A454="","",IF($H454="TBO-001",IF($D454="Evet",ROUND($C454*tbo_oranBesPuan,2),0),IF($H454="TBO-002",IF($E454="Evet",ROUND($C454*tbo_oranIlave,2),0),IF($H454="TBO-004",IF($F454="Evet",ROUND($C454*tbo_oranKadinGenc,2),0),IF($H454="TBO-ENG",IF($G454="Evet",ROUND($C454*tbo_isverenOran,2),0),0)))))</f>
        <v/>
      </c>
      <c r="L454" s="31">
        <f>IF($A454="","",MAX(0,$J454-$K454))</f>
        <v/>
      </c>
    </row>
    <row r="455">
      <c r="I455" s="31">
        <f>IF($A455="","",IF($J455=0,"YOK",IF(AND($E455="Evet",ROUND($C455*tbo_oranIlave,2)=$J455),"TBO-002",IF(AND($D455="Evet",ROUND($C455*tbo_oranBesPuan,2)=$J455),"TBO-001",IF(AND($F455="Evet",ROUND($C455*tbo_oranKadinGenc,2)=$J455),"TBO-004","TBO-ENG")))))</f>
        <v/>
      </c>
      <c r="J455" s="31">
        <f>IF($A455="","",MAX(IF($D455="Evet",ROUND($C455*tbo_oranBesPuan,2),0),IF($E455="Evet",ROUND($C455*tbo_oranIlave,2),0),IF($F455="Evet",ROUND($C455*tbo_oranKadinGenc,2),0),IF($G455="Evet",ROUND($C455*tbo_isverenOran,2),0)))</f>
        <v/>
      </c>
      <c r="K455" s="31">
        <f>IF($A455="","",IF($H455="TBO-001",IF($D455="Evet",ROUND($C455*tbo_oranBesPuan,2),0),IF($H455="TBO-002",IF($E455="Evet",ROUND($C455*tbo_oranIlave,2),0),IF($H455="TBO-004",IF($F455="Evet",ROUND($C455*tbo_oranKadinGenc,2),0),IF($H455="TBO-ENG",IF($G455="Evet",ROUND($C455*tbo_isverenOran,2),0),0)))))</f>
        <v/>
      </c>
      <c r="L455" s="31">
        <f>IF($A455="","",MAX(0,$J455-$K455))</f>
        <v/>
      </c>
    </row>
    <row r="456">
      <c r="I456" s="31">
        <f>IF($A456="","",IF($J456=0,"YOK",IF(AND($E456="Evet",ROUND($C456*tbo_oranIlave,2)=$J456),"TBO-002",IF(AND($D456="Evet",ROUND($C456*tbo_oranBesPuan,2)=$J456),"TBO-001",IF(AND($F456="Evet",ROUND($C456*tbo_oranKadinGenc,2)=$J456),"TBO-004","TBO-ENG")))))</f>
        <v/>
      </c>
      <c r="J456" s="31">
        <f>IF($A456="","",MAX(IF($D456="Evet",ROUND($C456*tbo_oranBesPuan,2),0),IF($E456="Evet",ROUND($C456*tbo_oranIlave,2),0),IF($F456="Evet",ROUND($C456*tbo_oranKadinGenc,2),0),IF($G456="Evet",ROUND($C456*tbo_isverenOran,2),0)))</f>
        <v/>
      </c>
      <c r="K456" s="31">
        <f>IF($A456="","",IF($H456="TBO-001",IF($D456="Evet",ROUND($C456*tbo_oranBesPuan,2),0),IF($H456="TBO-002",IF($E456="Evet",ROUND($C456*tbo_oranIlave,2),0),IF($H456="TBO-004",IF($F456="Evet",ROUND($C456*tbo_oranKadinGenc,2),0),IF($H456="TBO-ENG",IF($G456="Evet",ROUND($C456*tbo_isverenOran,2),0),0)))))</f>
        <v/>
      </c>
      <c r="L456" s="31">
        <f>IF($A456="","",MAX(0,$J456-$K456))</f>
        <v/>
      </c>
    </row>
    <row r="457">
      <c r="I457" s="31">
        <f>IF($A457="","",IF($J457=0,"YOK",IF(AND($E457="Evet",ROUND($C457*tbo_oranIlave,2)=$J457),"TBO-002",IF(AND($D457="Evet",ROUND($C457*tbo_oranBesPuan,2)=$J457),"TBO-001",IF(AND($F457="Evet",ROUND($C457*tbo_oranKadinGenc,2)=$J457),"TBO-004","TBO-ENG")))))</f>
        <v/>
      </c>
      <c r="J457" s="31">
        <f>IF($A457="","",MAX(IF($D457="Evet",ROUND($C457*tbo_oranBesPuan,2),0),IF($E457="Evet",ROUND($C457*tbo_oranIlave,2),0),IF($F457="Evet",ROUND($C457*tbo_oranKadinGenc,2),0),IF($G457="Evet",ROUND($C457*tbo_isverenOran,2),0)))</f>
        <v/>
      </c>
      <c r="K457" s="31">
        <f>IF($A457="","",IF($H457="TBO-001",IF($D457="Evet",ROUND($C457*tbo_oranBesPuan,2),0),IF($H457="TBO-002",IF($E457="Evet",ROUND($C457*tbo_oranIlave,2),0),IF($H457="TBO-004",IF($F457="Evet",ROUND($C457*tbo_oranKadinGenc,2),0),IF($H457="TBO-ENG",IF($G457="Evet",ROUND($C457*tbo_isverenOran,2),0),0)))))</f>
        <v/>
      </c>
      <c r="L457" s="31">
        <f>IF($A457="","",MAX(0,$J457-$K457))</f>
        <v/>
      </c>
    </row>
    <row r="458">
      <c r="I458" s="31">
        <f>IF($A458="","",IF($J458=0,"YOK",IF(AND($E458="Evet",ROUND($C458*tbo_oranIlave,2)=$J458),"TBO-002",IF(AND($D458="Evet",ROUND($C458*tbo_oranBesPuan,2)=$J458),"TBO-001",IF(AND($F458="Evet",ROUND($C458*tbo_oranKadinGenc,2)=$J458),"TBO-004","TBO-ENG")))))</f>
        <v/>
      </c>
      <c r="J458" s="31">
        <f>IF($A458="","",MAX(IF($D458="Evet",ROUND($C458*tbo_oranBesPuan,2),0),IF($E458="Evet",ROUND($C458*tbo_oranIlave,2),0),IF($F458="Evet",ROUND($C458*tbo_oranKadinGenc,2),0),IF($G458="Evet",ROUND($C458*tbo_isverenOran,2),0)))</f>
        <v/>
      </c>
      <c r="K458" s="31">
        <f>IF($A458="","",IF($H458="TBO-001",IF($D458="Evet",ROUND($C458*tbo_oranBesPuan,2),0),IF($H458="TBO-002",IF($E458="Evet",ROUND($C458*tbo_oranIlave,2),0),IF($H458="TBO-004",IF($F458="Evet",ROUND($C458*tbo_oranKadinGenc,2),0),IF($H458="TBO-ENG",IF($G458="Evet",ROUND($C458*tbo_isverenOran,2),0),0)))))</f>
        <v/>
      </c>
      <c r="L458" s="31">
        <f>IF($A458="","",MAX(0,$J458-$K458))</f>
        <v/>
      </c>
    </row>
    <row r="459">
      <c r="I459" s="31">
        <f>IF($A459="","",IF($J459=0,"YOK",IF(AND($E459="Evet",ROUND($C459*tbo_oranIlave,2)=$J459),"TBO-002",IF(AND($D459="Evet",ROUND($C459*tbo_oranBesPuan,2)=$J459),"TBO-001",IF(AND($F459="Evet",ROUND($C459*tbo_oranKadinGenc,2)=$J459),"TBO-004","TBO-ENG")))))</f>
        <v/>
      </c>
      <c r="J459" s="31">
        <f>IF($A459="","",MAX(IF($D459="Evet",ROUND($C459*tbo_oranBesPuan,2),0),IF($E459="Evet",ROUND($C459*tbo_oranIlave,2),0),IF($F459="Evet",ROUND($C459*tbo_oranKadinGenc,2),0),IF($G459="Evet",ROUND($C459*tbo_isverenOran,2),0)))</f>
        <v/>
      </c>
      <c r="K459" s="31">
        <f>IF($A459="","",IF($H459="TBO-001",IF($D459="Evet",ROUND($C459*tbo_oranBesPuan,2),0),IF($H459="TBO-002",IF($E459="Evet",ROUND($C459*tbo_oranIlave,2),0),IF($H459="TBO-004",IF($F459="Evet",ROUND($C459*tbo_oranKadinGenc,2),0),IF($H459="TBO-ENG",IF($G459="Evet",ROUND($C459*tbo_isverenOran,2),0),0)))))</f>
        <v/>
      </c>
      <c r="L459" s="31">
        <f>IF($A459="","",MAX(0,$J459-$K459))</f>
        <v/>
      </c>
    </row>
    <row r="460">
      <c r="I460" s="31">
        <f>IF($A460="","",IF($J460=0,"YOK",IF(AND($E460="Evet",ROUND($C460*tbo_oranIlave,2)=$J460),"TBO-002",IF(AND($D460="Evet",ROUND($C460*tbo_oranBesPuan,2)=$J460),"TBO-001",IF(AND($F460="Evet",ROUND($C460*tbo_oranKadinGenc,2)=$J460),"TBO-004","TBO-ENG")))))</f>
        <v/>
      </c>
      <c r="J460" s="31">
        <f>IF($A460="","",MAX(IF($D460="Evet",ROUND($C460*tbo_oranBesPuan,2),0),IF($E460="Evet",ROUND($C460*tbo_oranIlave,2),0),IF($F460="Evet",ROUND($C460*tbo_oranKadinGenc,2),0),IF($G460="Evet",ROUND($C460*tbo_isverenOran,2),0)))</f>
        <v/>
      </c>
      <c r="K460" s="31">
        <f>IF($A460="","",IF($H460="TBO-001",IF($D460="Evet",ROUND($C460*tbo_oranBesPuan,2),0),IF($H460="TBO-002",IF($E460="Evet",ROUND($C460*tbo_oranIlave,2),0),IF($H460="TBO-004",IF($F460="Evet",ROUND($C460*tbo_oranKadinGenc,2),0),IF($H460="TBO-ENG",IF($G460="Evet",ROUND($C460*tbo_isverenOran,2),0),0)))))</f>
        <v/>
      </c>
      <c r="L460" s="31">
        <f>IF($A460="","",MAX(0,$J460-$K460))</f>
        <v/>
      </c>
    </row>
    <row r="461">
      <c r="I461" s="31">
        <f>IF($A461="","",IF($J461=0,"YOK",IF(AND($E461="Evet",ROUND($C461*tbo_oranIlave,2)=$J461),"TBO-002",IF(AND($D461="Evet",ROUND($C461*tbo_oranBesPuan,2)=$J461),"TBO-001",IF(AND($F461="Evet",ROUND($C461*tbo_oranKadinGenc,2)=$J461),"TBO-004","TBO-ENG")))))</f>
        <v/>
      </c>
      <c r="J461" s="31">
        <f>IF($A461="","",MAX(IF($D461="Evet",ROUND($C461*tbo_oranBesPuan,2),0),IF($E461="Evet",ROUND($C461*tbo_oranIlave,2),0),IF($F461="Evet",ROUND($C461*tbo_oranKadinGenc,2),0),IF($G461="Evet",ROUND($C461*tbo_isverenOran,2),0)))</f>
        <v/>
      </c>
      <c r="K461" s="31">
        <f>IF($A461="","",IF($H461="TBO-001",IF($D461="Evet",ROUND($C461*tbo_oranBesPuan,2),0),IF($H461="TBO-002",IF($E461="Evet",ROUND($C461*tbo_oranIlave,2),0),IF($H461="TBO-004",IF($F461="Evet",ROUND($C461*tbo_oranKadinGenc,2),0),IF($H461="TBO-ENG",IF($G461="Evet",ROUND($C461*tbo_isverenOran,2),0),0)))))</f>
        <v/>
      </c>
      <c r="L461" s="31">
        <f>IF($A461="","",MAX(0,$J461-$K461))</f>
        <v/>
      </c>
    </row>
    <row r="462">
      <c r="I462" s="31">
        <f>IF($A462="","",IF($J462=0,"YOK",IF(AND($E462="Evet",ROUND($C462*tbo_oranIlave,2)=$J462),"TBO-002",IF(AND($D462="Evet",ROUND($C462*tbo_oranBesPuan,2)=$J462),"TBO-001",IF(AND($F462="Evet",ROUND($C462*tbo_oranKadinGenc,2)=$J462),"TBO-004","TBO-ENG")))))</f>
        <v/>
      </c>
      <c r="J462" s="31">
        <f>IF($A462="","",MAX(IF($D462="Evet",ROUND($C462*tbo_oranBesPuan,2),0),IF($E462="Evet",ROUND($C462*tbo_oranIlave,2),0),IF($F462="Evet",ROUND($C462*tbo_oranKadinGenc,2),0),IF($G462="Evet",ROUND($C462*tbo_isverenOran,2),0)))</f>
        <v/>
      </c>
      <c r="K462" s="31">
        <f>IF($A462="","",IF($H462="TBO-001",IF($D462="Evet",ROUND($C462*tbo_oranBesPuan,2),0),IF($H462="TBO-002",IF($E462="Evet",ROUND($C462*tbo_oranIlave,2),0),IF($H462="TBO-004",IF($F462="Evet",ROUND($C462*tbo_oranKadinGenc,2),0),IF($H462="TBO-ENG",IF($G462="Evet",ROUND($C462*tbo_isverenOran,2),0),0)))))</f>
        <v/>
      </c>
      <c r="L462" s="31">
        <f>IF($A462="","",MAX(0,$J462-$K462))</f>
        <v/>
      </c>
    </row>
    <row r="463">
      <c r="I463" s="31">
        <f>IF($A463="","",IF($J463=0,"YOK",IF(AND($E463="Evet",ROUND($C463*tbo_oranIlave,2)=$J463),"TBO-002",IF(AND($D463="Evet",ROUND($C463*tbo_oranBesPuan,2)=$J463),"TBO-001",IF(AND($F463="Evet",ROUND($C463*tbo_oranKadinGenc,2)=$J463),"TBO-004","TBO-ENG")))))</f>
        <v/>
      </c>
      <c r="J463" s="31">
        <f>IF($A463="","",MAX(IF($D463="Evet",ROUND($C463*tbo_oranBesPuan,2),0),IF($E463="Evet",ROUND($C463*tbo_oranIlave,2),0),IF($F463="Evet",ROUND($C463*tbo_oranKadinGenc,2),0),IF($G463="Evet",ROUND($C463*tbo_isverenOran,2),0)))</f>
        <v/>
      </c>
      <c r="K463" s="31">
        <f>IF($A463="","",IF($H463="TBO-001",IF($D463="Evet",ROUND($C463*tbo_oranBesPuan,2),0),IF($H463="TBO-002",IF($E463="Evet",ROUND($C463*tbo_oranIlave,2),0),IF($H463="TBO-004",IF($F463="Evet",ROUND($C463*tbo_oranKadinGenc,2),0),IF($H463="TBO-ENG",IF($G463="Evet",ROUND($C463*tbo_isverenOran,2),0),0)))))</f>
        <v/>
      </c>
      <c r="L463" s="31">
        <f>IF($A463="","",MAX(0,$J463-$K463))</f>
        <v/>
      </c>
    </row>
    <row r="464">
      <c r="I464" s="31">
        <f>IF($A464="","",IF($J464=0,"YOK",IF(AND($E464="Evet",ROUND($C464*tbo_oranIlave,2)=$J464),"TBO-002",IF(AND($D464="Evet",ROUND($C464*tbo_oranBesPuan,2)=$J464),"TBO-001",IF(AND($F464="Evet",ROUND($C464*tbo_oranKadinGenc,2)=$J464),"TBO-004","TBO-ENG")))))</f>
        <v/>
      </c>
      <c r="J464" s="31">
        <f>IF($A464="","",MAX(IF($D464="Evet",ROUND($C464*tbo_oranBesPuan,2),0),IF($E464="Evet",ROUND($C464*tbo_oranIlave,2),0),IF($F464="Evet",ROUND($C464*tbo_oranKadinGenc,2),0),IF($G464="Evet",ROUND($C464*tbo_isverenOran,2),0)))</f>
        <v/>
      </c>
      <c r="K464" s="31">
        <f>IF($A464="","",IF($H464="TBO-001",IF($D464="Evet",ROUND($C464*tbo_oranBesPuan,2),0),IF($H464="TBO-002",IF($E464="Evet",ROUND($C464*tbo_oranIlave,2),0),IF($H464="TBO-004",IF($F464="Evet",ROUND($C464*tbo_oranKadinGenc,2),0),IF($H464="TBO-ENG",IF($G464="Evet",ROUND($C464*tbo_isverenOran,2),0),0)))))</f>
        <v/>
      </c>
      <c r="L464" s="31">
        <f>IF($A464="","",MAX(0,$J464-$K464))</f>
        <v/>
      </c>
    </row>
    <row r="465">
      <c r="I465" s="31">
        <f>IF($A465="","",IF($J465=0,"YOK",IF(AND($E465="Evet",ROUND($C465*tbo_oranIlave,2)=$J465),"TBO-002",IF(AND($D465="Evet",ROUND($C465*tbo_oranBesPuan,2)=$J465),"TBO-001",IF(AND($F465="Evet",ROUND($C465*tbo_oranKadinGenc,2)=$J465),"TBO-004","TBO-ENG")))))</f>
        <v/>
      </c>
      <c r="J465" s="31">
        <f>IF($A465="","",MAX(IF($D465="Evet",ROUND($C465*tbo_oranBesPuan,2),0),IF($E465="Evet",ROUND($C465*tbo_oranIlave,2),0),IF($F465="Evet",ROUND($C465*tbo_oranKadinGenc,2),0),IF($G465="Evet",ROUND($C465*tbo_isverenOran,2),0)))</f>
        <v/>
      </c>
      <c r="K465" s="31">
        <f>IF($A465="","",IF($H465="TBO-001",IF($D465="Evet",ROUND($C465*tbo_oranBesPuan,2),0),IF($H465="TBO-002",IF($E465="Evet",ROUND($C465*tbo_oranIlave,2),0),IF($H465="TBO-004",IF($F465="Evet",ROUND($C465*tbo_oranKadinGenc,2),0),IF($H465="TBO-ENG",IF($G465="Evet",ROUND($C465*tbo_isverenOran,2),0),0)))))</f>
        <v/>
      </c>
      <c r="L465" s="31">
        <f>IF($A465="","",MAX(0,$J465-$K465))</f>
        <v/>
      </c>
    </row>
    <row r="466">
      <c r="I466" s="31">
        <f>IF($A466="","",IF($J466=0,"YOK",IF(AND($E466="Evet",ROUND($C466*tbo_oranIlave,2)=$J466),"TBO-002",IF(AND($D466="Evet",ROUND($C466*tbo_oranBesPuan,2)=$J466),"TBO-001",IF(AND($F466="Evet",ROUND($C466*tbo_oranKadinGenc,2)=$J466),"TBO-004","TBO-ENG")))))</f>
        <v/>
      </c>
      <c r="J466" s="31">
        <f>IF($A466="","",MAX(IF($D466="Evet",ROUND($C466*tbo_oranBesPuan,2),0),IF($E466="Evet",ROUND($C466*tbo_oranIlave,2),0),IF($F466="Evet",ROUND($C466*tbo_oranKadinGenc,2),0),IF($G466="Evet",ROUND($C466*tbo_isverenOran,2),0)))</f>
        <v/>
      </c>
      <c r="K466" s="31">
        <f>IF($A466="","",IF($H466="TBO-001",IF($D466="Evet",ROUND($C466*tbo_oranBesPuan,2),0),IF($H466="TBO-002",IF($E466="Evet",ROUND($C466*tbo_oranIlave,2),0),IF($H466="TBO-004",IF($F466="Evet",ROUND($C466*tbo_oranKadinGenc,2),0),IF($H466="TBO-ENG",IF($G466="Evet",ROUND($C466*tbo_isverenOran,2),0),0)))))</f>
        <v/>
      </c>
      <c r="L466" s="31">
        <f>IF($A466="","",MAX(0,$J466-$K466))</f>
        <v/>
      </c>
    </row>
    <row r="467">
      <c r="I467" s="31">
        <f>IF($A467="","",IF($J467=0,"YOK",IF(AND($E467="Evet",ROUND($C467*tbo_oranIlave,2)=$J467),"TBO-002",IF(AND($D467="Evet",ROUND($C467*tbo_oranBesPuan,2)=$J467),"TBO-001",IF(AND($F467="Evet",ROUND($C467*tbo_oranKadinGenc,2)=$J467),"TBO-004","TBO-ENG")))))</f>
        <v/>
      </c>
      <c r="J467" s="31">
        <f>IF($A467="","",MAX(IF($D467="Evet",ROUND($C467*tbo_oranBesPuan,2),0),IF($E467="Evet",ROUND($C467*tbo_oranIlave,2),0),IF($F467="Evet",ROUND($C467*tbo_oranKadinGenc,2),0),IF($G467="Evet",ROUND($C467*tbo_isverenOran,2),0)))</f>
        <v/>
      </c>
      <c r="K467" s="31">
        <f>IF($A467="","",IF($H467="TBO-001",IF($D467="Evet",ROUND($C467*tbo_oranBesPuan,2),0),IF($H467="TBO-002",IF($E467="Evet",ROUND($C467*tbo_oranIlave,2),0),IF($H467="TBO-004",IF($F467="Evet",ROUND($C467*tbo_oranKadinGenc,2),0),IF($H467="TBO-ENG",IF($G467="Evet",ROUND($C467*tbo_isverenOran,2),0),0)))))</f>
        <v/>
      </c>
      <c r="L467" s="31">
        <f>IF($A467="","",MAX(0,$J467-$K467))</f>
        <v/>
      </c>
    </row>
    <row r="468">
      <c r="I468" s="31">
        <f>IF($A468="","",IF($J468=0,"YOK",IF(AND($E468="Evet",ROUND($C468*tbo_oranIlave,2)=$J468),"TBO-002",IF(AND($D468="Evet",ROUND($C468*tbo_oranBesPuan,2)=$J468),"TBO-001",IF(AND($F468="Evet",ROUND($C468*tbo_oranKadinGenc,2)=$J468),"TBO-004","TBO-ENG")))))</f>
        <v/>
      </c>
      <c r="J468" s="31">
        <f>IF($A468="","",MAX(IF($D468="Evet",ROUND($C468*tbo_oranBesPuan,2),0),IF($E468="Evet",ROUND($C468*tbo_oranIlave,2),0),IF($F468="Evet",ROUND($C468*tbo_oranKadinGenc,2),0),IF($G468="Evet",ROUND($C468*tbo_isverenOran,2),0)))</f>
        <v/>
      </c>
      <c r="K468" s="31">
        <f>IF($A468="","",IF($H468="TBO-001",IF($D468="Evet",ROUND($C468*tbo_oranBesPuan,2),0),IF($H468="TBO-002",IF($E468="Evet",ROUND($C468*tbo_oranIlave,2),0),IF($H468="TBO-004",IF($F468="Evet",ROUND($C468*tbo_oranKadinGenc,2),0),IF($H468="TBO-ENG",IF($G468="Evet",ROUND($C468*tbo_isverenOran,2),0),0)))))</f>
        <v/>
      </c>
      <c r="L468" s="31">
        <f>IF($A468="","",MAX(0,$J468-$K468))</f>
        <v/>
      </c>
    </row>
    <row r="469">
      <c r="I469" s="31">
        <f>IF($A469="","",IF($J469=0,"YOK",IF(AND($E469="Evet",ROUND($C469*tbo_oranIlave,2)=$J469),"TBO-002",IF(AND($D469="Evet",ROUND($C469*tbo_oranBesPuan,2)=$J469),"TBO-001",IF(AND($F469="Evet",ROUND($C469*tbo_oranKadinGenc,2)=$J469),"TBO-004","TBO-ENG")))))</f>
        <v/>
      </c>
      <c r="J469" s="31">
        <f>IF($A469="","",MAX(IF($D469="Evet",ROUND($C469*tbo_oranBesPuan,2),0),IF($E469="Evet",ROUND($C469*tbo_oranIlave,2),0),IF($F469="Evet",ROUND($C469*tbo_oranKadinGenc,2),0),IF($G469="Evet",ROUND($C469*tbo_isverenOran,2),0)))</f>
        <v/>
      </c>
      <c r="K469" s="31">
        <f>IF($A469="","",IF($H469="TBO-001",IF($D469="Evet",ROUND($C469*tbo_oranBesPuan,2),0),IF($H469="TBO-002",IF($E469="Evet",ROUND($C469*tbo_oranIlave,2),0),IF($H469="TBO-004",IF($F469="Evet",ROUND($C469*tbo_oranKadinGenc,2),0),IF($H469="TBO-ENG",IF($G469="Evet",ROUND($C469*tbo_isverenOran,2),0),0)))))</f>
        <v/>
      </c>
      <c r="L469" s="31">
        <f>IF($A469="","",MAX(0,$J469-$K469))</f>
        <v/>
      </c>
    </row>
    <row r="470">
      <c r="I470" s="31">
        <f>IF($A470="","",IF($J470=0,"YOK",IF(AND($E470="Evet",ROUND($C470*tbo_oranIlave,2)=$J470),"TBO-002",IF(AND($D470="Evet",ROUND($C470*tbo_oranBesPuan,2)=$J470),"TBO-001",IF(AND($F470="Evet",ROUND($C470*tbo_oranKadinGenc,2)=$J470),"TBO-004","TBO-ENG")))))</f>
        <v/>
      </c>
      <c r="J470" s="31">
        <f>IF($A470="","",MAX(IF($D470="Evet",ROUND($C470*tbo_oranBesPuan,2),0),IF($E470="Evet",ROUND($C470*tbo_oranIlave,2),0),IF($F470="Evet",ROUND($C470*tbo_oranKadinGenc,2),0),IF($G470="Evet",ROUND($C470*tbo_isverenOran,2),0)))</f>
        <v/>
      </c>
      <c r="K470" s="31">
        <f>IF($A470="","",IF($H470="TBO-001",IF($D470="Evet",ROUND($C470*tbo_oranBesPuan,2),0),IF($H470="TBO-002",IF($E470="Evet",ROUND($C470*tbo_oranIlave,2),0),IF($H470="TBO-004",IF($F470="Evet",ROUND($C470*tbo_oranKadinGenc,2),0),IF($H470="TBO-ENG",IF($G470="Evet",ROUND($C470*tbo_isverenOran,2),0),0)))))</f>
        <v/>
      </c>
      <c r="L470" s="31">
        <f>IF($A470="","",MAX(0,$J470-$K470))</f>
        <v/>
      </c>
    </row>
    <row r="471">
      <c r="I471" s="31">
        <f>IF($A471="","",IF($J471=0,"YOK",IF(AND($E471="Evet",ROUND($C471*tbo_oranIlave,2)=$J471),"TBO-002",IF(AND($D471="Evet",ROUND($C471*tbo_oranBesPuan,2)=$J471),"TBO-001",IF(AND($F471="Evet",ROUND($C471*tbo_oranKadinGenc,2)=$J471),"TBO-004","TBO-ENG")))))</f>
        <v/>
      </c>
      <c r="J471" s="31">
        <f>IF($A471="","",MAX(IF($D471="Evet",ROUND($C471*tbo_oranBesPuan,2),0),IF($E471="Evet",ROUND($C471*tbo_oranIlave,2),0),IF($F471="Evet",ROUND($C471*tbo_oranKadinGenc,2),0),IF($G471="Evet",ROUND($C471*tbo_isverenOran,2),0)))</f>
        <v/>
      </c>
      <c r="K471" s="31">
        <f>IF($A471="","",IF($H471="TBO-001",IF($D471="Evet",ROUND($C471*tbo_oranBesPuan,2),0),IF($H471="TBO-002",IF($E471="Evet",ROUND($C471*tbo_oranIlave,2),0),IF($H471="TBO-004",IF($F471="Evet",ROUND($C471*tbo_oranKadinGenc,2),0),IF($H471="TBO-ENG",IF($G471="Evet",ROUND($C471*tbo_isverenOran,2),0),0)))))</f>
        <v/>
      </c>
      <c r="L471" s="31">
        <f>IF($A471="","",MAX(0,$J471-$K471))</f>
        <v/>
      </c>
    </row>
    <row r="472">
      <c r="I472" s="31">
        <f>IF($A472="","",IF($J472=0,"YOK",IF(AND($E472="Evet",ROUND($C472*tbo_oranIlave,2)=$J472),"TBO-002",IF(AND($D472="Evet",ROUND($C472*tbo_oranBesPuan,2)=$J472),"TBO-001",IF(AND($F472="Evet",ROUND($C472*tbo_oranKadinGenc,2)=$J472),"TBO-004","TBO-ENG")))))</f>
        <v/>
      </c>
      <c r="J472" s="31">
        <f>IF($A472="","",MAX(IF($D472="Evet",ROUND($C472*tbo_oranBesPuan,2),0),IF($E472="Evet",ROUND($C472*tbo_oranIlave,2),0),IF($F472="Evet",ROUND($C472*tbo_oranKadinGenc,2),0),IF($G472="Evet",ROUND($C472*tbo_isverenOran,2),0)))</f>
        <v/>
      </c>
      <c r="K472" s="31">
        <f>IF($A472="","",IF($H472="TBO-001",IF($D472="Evet",ROUND($C472*tbo_oranBesPuan,2),0),IF($H472="TBO-002",IF($E472="Evet",ROUND($C472*tbo_oranIlave,2),0),IF($H472="TBO-004",IF($F472="Evet",ROUND($C472*tbo_oranKadinGenc,2),0),IF($H472="TBO-ENG",IF($G472="Evet",ROUND($C472*tbo_isverenOran,2),0),0)))))</f>
        <v/>
      </c>
      <c r="L472" s="31">
        <f>IF($A472="","",MAX(0,$J472-$K472))</f>
        <v/>
      </c>
    </row>
    <row r="473">
      <c r="I473" s="31">
        <f>IF($A473="","",IF($J473=0,"YOK",IF(AND($E473="Evet",ROUND($C473*tbo_oranIlave,2)=$J473),"TBO-002",IF(AND($D473="Evet",ROUND($C473*tbo_oranBesPuan,2)=$J473),"TBO-001",IF(AND($F473="Evet",ROUND($C473*tbo_oranKadinGenc,2)=$J473),"TBO-004","TBO-ENG")))))</f>
        <v/>
      </c>
      <c r="J473" s="31">
        <f>IF($A473="","",MAX(IF($D473="Evet",ROUND($C473*tbo_oranBesPuan,2),0),IF($E473="Evet",ROUND($C473*tbo_oranIlave,2),0),IF($F473="Evet",ROUND($C473*tbo_oranKadinGenc,2),0),IF($G473="Evet",ROUND($C473*tbo_isverenOran,2),0)))</f>
        <v/>
      </c>
      <c r="K473" s="31">
        <f>IF($A473="","",IF($H473="TBO-001",IF($D473="Evet",ROUND($C473*tbo_oranBesPuan,2),0),IF($H473="TBO-002",IF($E473="Evet",ROUND($C473*tbo_oranIlave,2),0),IF($H473="TBO-004",IF($F473="Evet",ROUND($C473*tbo_oranKadinGenc,2),0),IF($H473="TBO-ENG",IF($G473="Evet",ROUND($C473*tbo_isverenOran,2),0),0)))))</f>
        <v/>
      </c>
      <c r="L473" s="31">
        <f>IF($A473="","",MAX(0,$J473-$K473))</f>
        <v/>
      </c>
    </row>
    <row r="474">
      <c r="I474" s="31">
        <f>IF($A474="","",IF($J474=0,"YOK",IF(AND($E474="Evet",ROUND($C474*tbo_oranIlave,2)=$J474),"TBO-002",IF(AND($D474="Evet",ROUND($C474*tbo_oranBesPuan,2)=$J474),"TBO-001",IF(AND($F474="Evet",ROUND($C474*tbo_oranKadinGenc,2)=$J474),"TBO-004","TBO-ENG")))))</f>
        <v/>
      </c>
      <c r="J474" s="31">
        <f>IF($A474="","",MAX(IF($D474="Evet",ROUND($C474*tbo_oranBesPuan,2),0),IF($E474="Evet",ROUND($C474*tbo_oranIlave,2),0),IF($F474="Evet",ROUND($C474*tbo_oranKadinGenc,2),0),IF($G474="Evet",ROUND($C474*tbo_isverenOran,2),0)))</f>
        <v/>
      </c>
      <c r="K474" s="31">
        <f>IF($A474="","",IF($H474="TBO-001",IF($D474="Evet",ROUND($C474*tbo_oranBesPuan,2),0),IF($H474="TBO-002",IF($E474="Evet",ROUND($C474*tbo_oranIlave,2),0),IF($H474="TBO-004",IF($F474="Evet",ROUND($C474*tbo_oranKadinGenc,2),0),IF($H474="TBO-ENG",IF($G474="Evet",ROUND($C474*tbo_isverenOran,2),0),0)))))</f>
        <v/>
      </c>
      <c r="L474" s="31">
        <f>IF($A474="","",MAX(0,$J474-$K474))</f>
        <v/>
      </c>
    </row>
    <row r="475">
      <c r="I475" s="31">
        <f>IF($A475="","",IF($J475=0,"YOK",IF(AND($E475="Evet",ROUND($C475*tbo_oranIlave,2)=$J475),"TBO-002",IF(AND($D475="Evet",ROUND($C475*tbo_oranBesPuan,2)=$J475),"TBO-001",IF(AND($F475="Evet",ROUND($C475*tbo_oranKadinGenc,2)=$J475),"TBO-004","TBO-ENG")))))</f>
        <v/>
      </c>
      <c r="J475" s="31">
        <f>IF($A475="","",MAX(IF($D475="Evet",ROUND($C475*tbo_oranBesPuan,2),0),IF($E475="Evet",ROUND($C475*tbo_oranIlave,2),0),IF($F475="Evet",ROUND($C475*tbo_oranKadinGenc,2),0),IF($G475="Evet",ROUND($C475*tbo_isverenOran,2),0)))</f>
        <v/>
      </c>
      <c r="K475" s="31">
        <f>IF($A475="","",IF($H475="TBO-001",IF($D475="Evet",ROUND($C475*tbo_oranBesPuan,2),0),IF($H475="TBO-002",IF($E475="Evet",ROUND($C475*tbo_oranIlave,2),0),IF($H475="TBO-004",IF($F475="Evet",ROUND($C475*tbo_oranKadinGenc,2),0),IF($H475="TBO-ENG",IF($G475="Evet",ROUND($C475*tbo_isverenOran,2),0),0)))))</f>
        <v/>
      </c>
      <c r="L475" s="31">
        <f>IF($A475="","",MAX(0,$J475-$K475))</f>
        <v/>
      </c>
    </row>
    <row r="476">
      <c r="I476" s="31">
        <f>IF($A476="","",IF($J476=0,"YOK",IF(AND($E476="Evet",ROUND($C476*tbo_oranIlave,2)=$J476),"TBO-002",IF(AND($D476="Evet",ROUND($C476*tbo_oranBesPuan,2)=$J476),"TBO-001",IF(AND($F476="Evet",ROUND($C476*tbo_oranKadinGenc,2)=$J476),"TBO-004","TBO-ENG")))))</f>
        <v/>
      </c>
      <c r="J476" s="31">
        <f>IF($A476="","",MAX(IF($D476="Evet",ROUND($C476*tbo_oranBesPuan,2),0),IF($E476="Evet",ROUND($C476*tbo_oranIlave,2),0),IF($F476="Evet",ROUND($C476*tbo_oranKadinGenc,2),0),IF($G476="Evet",ROUND($C476*tbo_isverenOran,2),0)))</f>
        <v/>
      </c>
      <c r="K476" s="31">
        <f>IF($A476="","",IF($H476="TBO-001",IF($D476="Evet",ROUND($C476*tbo_oranBesPuan,2),0),IF($H476="TBO-002",IF($E476="Evet",ROUND($C476*tbo_oranIlave,2),0),IF($H476="TBO-004",IF($F476="Evet",ROUND($C476*tbo_oranKadinGenc,2),0),IF($H476="TBO-ENG",IF($G476="Evet",ROUND($C476*tbo_isverenOran,2),0),0)))))</f>
        <v/>
      </c>
      <c r="L476" s="31">
        <f>IF($A476="","",MAX(0,$J476-$K476))</f>
        <v/>
      </c>
    </row>
    <row r="477">
      <c r="I477" s="31">
        <f>IF($A477="","",IF($J477=0,"YOK",IF(AND($E477="Evet",ROUND($C477*tbo_oranIlave,2)=$J477),"TBO-002",IF(AND($D477="Evet",ROUND($C477*tbo_oranBesPuan,2)=$J477),"TBO-001",IF(AND($F477="Evet",ROUND($C477*tbo_oranKadinGenc,2)=$J477),"TBO-004","TBO-ENG")))))</f>
        <v/>
      </c>
      <c r="J477" s="31">
        <f>IF($A477="","",MAX(IF($D477="Evet",ROUND($C477*tbo_oranBesPuan,2),0),IF($E477="Evet",ROUND($C477*tbo_oranIlave,2),0),IF($F477="Evet",ROUND($C477*tbo_oranKadinGenc,2),0),IF($G477="Evet",ROUND($C477*tbo_isverenOran,2),0)))</f>
        <v/>
      </c>
      <c r="K477" s="31">
        <f>IF($A477="","",IF($H477="TBO-001",IF($D477="Evet",ROUND($C477*tbo_oranBesPuan,2),0),IF($H477="TBO-002",IF($E477="Evet",ROUND($C477*tbo_oranIlave,2),0),IF($H477="TBO-004",IF($F477="Evet",ROUND($C477*tbo_oranKadinGenc,2),0),IF($H477="TBO-ENG",IF($G477="Evet",ROUND($C477*tbo_isverenOran,2),0),0)))))</f>
        <v/>
      </c>
      <c r="L477" s="31">
        <f>IF($A477="","",MAX(0,$J477-$K477))</f>
        <v/>
      </c>
    </row>
    <row r="478">
      <c r="I478" s="31">
        <f>IF($A478="","",IF($J478=0,"YOK",IF(AND($E478="Evet",ROUND($C478*tbo_oranIlave,2)=$J478),"TBO-002",IF(AND($D478="Evet",ROUND($C478*tbo_oranBesPuan,2)=$J478),"TBO-001",IF(AND($F478="Evet",ROUND($C478*tbo_oranKadinGenc,2)=$J478),"TBO-004","TBO-ENG")))))</f>
        <v/>
      </c>
      <c r="J478" s="31">
        <f>IF($A478="","",MAX(IF($D478="Evet",ROUND($C478*tbo_oranBesPuan,2),0),IF($E478="Evet",ROUND($C478*tbo_oranIlave,2),0),IF($F478="Evet",ROUND($C478*tbo_oranKadinGenc,2),0),IF($G478="Evet",ROUND($C478*tbo_isverenOran,2),0)))</f>
        <v/>
      </c>
      <c r="K478" s="31">
        <f>IF($A478="","",IF($H478="TBO-001",IF($D478="Evet",ROUND($C478*tbo_oranBesPuan,2),0),IF($H478="TBO-002",IF($E478="Evet",ROUND($C478*tbo_oranIlave,2),0),IF($H478="TBO-004",IF($F478="Evet",ROUND($C478*tbo_oranKadinGenc,2),0),IF($H478="TBO-ENG",IF($G478="Evet",ROUND($C478*tbo_isverenOran,2),0),0)))))</f>
        <v/>
      </c>
      <c r="L478" s="31">
        <f>IF($A478="","",MAX(0,$J478-$K478))</f>
        <v/>
      </c>
    </row>
    <row r="479">
      <c r="I479" s="31">
        <f>IF($A479="","",IF($J479=0,"YOK",IF(AND($E479="Evet",ROUND($C479*tbo_oranIlave,2)=$J479),"TBO-002",IF(AND($D479="Evet",ROUND($C479*tbo_oranBesPuan,2)=$J479),"TBO-001",IF(AND($F479="Evet",ROUND($C479*tbo_oranKadinGenc,2)=$J479),"TBO-004","TBO-ENG")))))</f>
        <v/>
      </c>
      <c r="J479" s="31">
        <f>IF($A479="","",MAX(IF($D479="Evet",ROUND($C479*tbo_oranBesPuan,2),0),IF($E479="Evet",ROUND($C479*tbo_oranIlave,2),0),IF($F479="Evet",ROUND($C479*tbo_oranKadinGenc,2),0),IF($G479="Evet",ROUND($C479*tbo_isverenOran,2),0)))</f>
        <v/>
      </c>
      <c r="K479" s="31">
        <f>IF($A479="","",IF($H479="TBO-001",IF($D479="Evet",ROUND($C479*tbo_oranBesPuan,2),0),IF($H479="TBO-002",IF($E479="Evet",ROUND($C479*tbo_oranIlave,2),0),IF($H479="TBO-004",IF($F479="Evet",ROUND($C479*tbo_oranKadinGenc,2),0),IF($H479="TBO-ENG",IF($G479="Evet",ROUND($C479*tbo_isverenOran,2),0),0)))))</f>
        <v/>
      </c>
      <c r="L479" s="31">
        <f>IF($A479="","",MAX(0,$J479-$K479))</f>
        <v/>
      </c>
    </row>
    <row r="480">
      <c r="I480" s="31">
        <f>IF($A480="","",IF($J480=0,"YOK",IF(AND($E480="Evet",ROUND($C480*tbo_oranIlave,2)=$J480),"TBO-002",IF(AND($D480="Evet",ROUND($C480*tbo_oranBesPuan,2)=$J480),"TBO-001",IF(AND($F480="Evet",ROUND($C480*tbo_oranKadinGenc,2)=$J480),"TBO-004","TBO-ENG")))))</f>
        <v/>
      </c>
      <c r="J480" s="31">
        <f>IF($A480="","",MAX(IF($D480="Evet",ROUND($C480*tbo_oranBesPuan,2),0),IF($E480="Evet",ROUND($C480*tbo_oranIlave,2),0),IF($F480="Evet",ROUND($C480*tbo_oranKadinGenc,2),0),IF($G480="Evet",ROUND($C480*tbo_isverenOran,2),0)))</f>
        <v/>
      </c>
      <c r="K480" s="31">
        <f>IF($A480="","",IF($H480="TBO-001",IF($D480="Evet",ROUND($C480*tbo_oranBesPuan,2),0),IF($H480="TBO-002",IF($E480="Evet",ROUND($C480*tbo_oranIlave,2),0),IF($H480="TBO-004",IF($F480="Evet",ROUND($C480*tbo_oranKadinGenc,2),0),IF($H480="TBO-ENG",IF($G480="Evet",ROUND($C480*tbo_isverenOran,2),0),0)))))</f>
        <v/>
      </c>
      <c r="L480" s="31">
        <f>IF($A480="","",MAX(0,$J480-$K480))</f>
        <v/>
      </c>
    </row>
    <row r="481">
      <c r="I481" s="31">
        <f>IF($A481="","",IF($J481=0,"YOK",IF(AND($E481="Evet",ROUND($C481*tbo_oranIlave,2)=$J481),"TBO-002",IF(AND($D481="Evet",ROUND($C481*tbo_oranBesPuan,2)=$J481),"TBO-001",IF(AND($F481="Evet",ROUND($C481*tbo_oranKadinGenc,2)=$J481),"TBO-004","TBO-ENG")))))</f>
        <v/>
      </c>
      <c r="J481" s="31">
        <f>IF($A481="","",MAX(IF($D481="Evet",ROUND($C481*tbo_oranBesPuan,2),0),IF($E481="Evet",ROUND($C481*tbo_oranIlave,2),0),IF($F481="Evet",ROUND($C481*tbo_oranKadinGenc,2),0),IF($G481="Evet",ROUND($C481*tbo_isverenOran,2),0)))</f>
        <v/>
      </c>
      <c r="K481" s="31">
        <f>IF($A481="","",IF($H481="TBO-001",IF($D481="Evet",ROUND($C481*tbo_oranBesPuan,2),0),IF($H481="TBO-002",IF($E481="Evet",ROUND($C481*tbo_oranIlave,2),0),IF($H481="TBO-004",IF($F481="Evet",ROUND($C481*tbo_oranKadinGenc,2),0),IF($H481="TBO-ENG",IF($G481="Evet",ROUND($C481*tbo_isverenOran,2),0),0)))))</f>
        <v/>
      </c>
      <c r="L481" s="31">
        <f>IF($A481="","",MAX(0,$J481-$K481))</f>
        <v/>
      </c>
    </row>
    <row r="482">
      <c r="I482" s="31">
        <f>IF($A482="","",IF($J482=0,"YOK",IF(AND($E482="Evet",ROUND($C482*tbo_oranIlave,2)=$J482),"TBO-002",IF(AND($D482="Evet",ROUND($C482*tbo_oranBesPuan,2)=$J482),"TBO-001",IF(AND($F482="Evet",ROUND($C482*tbo_oranKadinGenc,2)=$J482),"TBO-004","TBO-ENG")))))</f>
        <v/>
      </c>
      <c r="J482" s="31">
        <f>IF($A482="","",MAX(IF($D482="Evet",ROUND($C482*tbo_oranBesPuan,2),0),IF($E482="Evet",ROUND($C482*tbo_oranIlave,2),0),IF($F482="Evet",ROUND($C482*tbo_oranKadinGenc,2),0),IF($G482="Evet",ROUND($C482*tbo_isverenOran,2),0)))</f>
        <v/>
      </c>
      <c r="K482" s="31">
        <f>IF($A482="","",IF($H482="TBO-001",IF($D482="Evet",ROUND($C482*tbo_oranBesPuan,2),0),IF($H482="TBO-002",IF($E482="Evet",ROUND($C482*tbo_oranIlave,2),0),IF($H482="TBO-004",IF($F482="Evet",ROUND($C482*tbo_oranKadinGenc,2),0),IF($H482="TBO-ENG",IF($G482="Evet",ROUND($C482*tbo_isverenOran,2),0),0)))))</f>
        <v/>
      </c>
      <c r="L482" s="31">
        <f>IF($A482="","",MAX(0,$J482-$K482))</f>
        <v/>
      </c>
    </row>
    <row r="483">
      <c r="I483" s="31">
        <f>IF($A483="","",IF($J483=0,"YOK",IF(AND($E483="Evet",ROUND($C483*tbo_oranIlave,2)=$J483),"TBO-002",IF(AND($D483="Evet",ROUND($C483*tbo_oranBesPuan,2)=$J483),"TBO-001",IF(AND($F483="Evet",ROUND($C483*tbo_oranKadinGenc,2)=$J483),"TBO-004","TBO-ENG")))))</f>
        <v/>
      </c>
      <c r="J483" s="31">
        <f>IF($A483="","",MAX(IF($D483="Evet",ROUND($C483*tbo_oranBesPuan,2),0),IF($E483="Evet",ROUND($C483*tbo_oranIlave,2),0),IF($F483="Evet",ROUND($C483*tbo_oranKadinGenc,2),0),IF($G483="Evet",ROUND($C483*tbo_isverenOran,2),0)))</f>
        <v/>
      </c>
      <c r="K483" s="31">
        <f>IF($A483="","",IF($H483="TBO-001",IF($D483="Evet",ROUND($C483*tbo_oranBesPuan,2),0),IF($H483="TBO-002",IF($E483="Evet",ROUND($C483*tbo_oranIlave,2),0),IF($H483="TBO-004",IF($F483="Evet",ROUND($C483*tbo_oranKadinGenc,2),0),IF($H483="TBO-ENG",IF($G483="Evet",ROUND($C483*tbo_isverenOran,2),0),0)))))</f>
        <v/>
      </c>
      <c r="L483" s="31">
        <f>IF($A483="","",MAX(0,$J483-$K483))</f>
        <v/>
      </c>
    </row>
    <row r="484">
      <c r="I484" s="31">
        <f>IF($A484="","",IF($J484=0,"YOK",IF(AND($E484="Evet",ROUND($C484*tbo_oranIlave,2)=$J484),"TBO-002",IF(AND($D484="Evet",ROUND($C484*tbo_oranBesPuan,2)=$J484),"TBO-001",IF(AND($F484="Evet",ROUND($C484*tbo_oranKadinGenc,2)=$J484),"TBO-004","TBO-ENG")))))</f>
        <v/>
      </c>
      <c r="J484" s="31">
        <f>IF($A484="","",MAX(IF($D484="Evet",ROUND($C484*tbo_oranBesPuan,2),0),IF($E484="Evet",ROUND($C484*tbo_oranIlave,2),0),IF($F484="Evet",ROUND($C484*tbo_oranKadinGenc,2),0),IF($G484="Evet",ROUND($C484*tbo_isverenOran,2),0)))</f>
        <v/>
      </c>
      <c r="K484" s="31">
        <f>IF($A484="","",IF($H484="TBO-001",IF($D484="Evet",ROUND($C484*tbo_oranBesPuan,2),0),IF($H484="TBO-002",IF($E484="Evet",ROUND($C484*tbo_oranIlave,2),0),IF($H484="TBO-004",IF($F484="Evet",ROUND($C484*tbo_oranKadinGenc,2),0),IF($H484="TBO-ENG",IF($G484="Evet",ROUND($C484*tbo_isverenOran,2),0),0)))))</f>
        <v/>
      </c>
      <c r="L484" s="31">
        <f>IF($A484="","",MAX(0,$J484-$K484))</f>
        <v/>
      </c>
    </row>
    <row r="485">
      <c r="I485" s="31">
        <f>IF($A485="","",IF($J485=0,"YOK",IF(AND($E485="Evet",ROUND($C485*tbo_oranIlave,2)=$J485),"TBO-002",IF(AND($D485="Evet",ROUND($C485*tbo_oranBesPuan,2)=$J485),"TBO-001",IF(AND($F485="Evet",ROUND($C485*tbo_oranKadinGenc,2)=$J485),"TBO-004","TBO-ENG")))))</f>
        <v/>
      </c>
      <c r="J485" s="31">
        <f>IF($A485="","",MAX(IF($D485="Evet",ROUND($C485*tbo_oranBesPuan,2),0),IF($E485="Evet",ROUND($C485*tbo_oranIlave,2),0),IF($F485="Evet",ROUND($C485*tbo_oranKadinGenc,2),0),IF($G485="Evet",ROUND($C485*tbo_isverenOran,2),0)))</f>
        <v/>
      </c>
      <c r="K485" s="31">
        <f>IF($A485="","",IF($H485="TBO-001",IF($D485="Evet",ROUND($C485*tbo_oranBesPuan,2),0),IF($H485="TBO-002",IF($E485="Evet",ROUND($C485*tbo_oranIlave,2),0),IF($H485="TBO-004",IF($F485="Evet",ROUND($C485*tbo_oranKadinGenc,2),0),IF($H485="TBO-ENG",IF($G485="Evet",ROUND($C485*tbo_isverenOran,2),0),0)))))</f>
        <v/>
      </c>
      <c r="L485" s="31">
        <f>IF($A485="","",MAX(0,$J485-$K485))</f>
        <v/>
      </c>
    </row>
    <row r="486">
      <c r="I486" s="31">
        <f>IF($A486="","",IF($J486=0,"YOK",IF(AND($E486="Evet",ROUND($C486*tbo_oranIlave,2)=$J486),"TBO-002",IF(AND($D486="Evet",ROUND($C486*tbo_oranBesPuan,2)=$J486),"TBO-001",IF(AND($F486="Evet",ROUND($C486*tbo_oranKadinGenc,2)=$J486),"TBO-004","TBO-ENG")))))</f>
        <v/>
      </c>
      <c r="J486" s="31">
        <f>IF($A486="","",MAX(IF($D486="Evet",ROUND($C486*tbo_oranBesPuan,2),0),IF($E486="Evet",ROUND($C486*tbo_oranIlave,2),0),IF($F486="Evet",ROUND($C486*tbo_oranKadinGenc,2),0),IF($G486="Evet",ROUND($C486*tbo_isverenOran,2),0)))</f>
        <v/>
      </c>
      <c r="K486" s="31">
        <f>IF($A486="","",IF($H486="TBO-001",IF($D486="Evet",ROUND($C486*tbo_oranBesPuan,2),0),IF($H486="TBO-002",IF($E486="Evet",ROUND($C486*tbo_oranIlave,2),0),IF($H486="TBO-004",IF($F486="Evet",ROUND($C486*tbo_oranKadinGenc,2),0),IF($H486="TBO-ENG",IF($G486="Evet",ROUND($C486*tbo_isverenOran,2),0),0)))))</f>
        <v/>
      </c>
      <c r="L486" s="31">
        <f>IF($A486="","",MAX(0,$J486-$K486))</f>
        <v/>
      </c>
    </row>
    <row r="487">
      <c r="I487" s="31">
        <f>IF($A487="","",IF($J487=0,"YOK",IF(AND($E487="Evet",ROUND($C487*tbo_oranIlave,2)=$J487),"TBO-002",IF(AND($D487="Evet",ROUND($C487*tbo_oranBesPuan,2)=$J487),"TBO-001",IF(AND($F487="Evet",ROUND($C487*tbo_oranKadinGenc,2)=$J487),"TBO-004","TBO-ENG")))))</f>
        <v/>
      </c>
      <c r="J487" s="31">
        <f>IF($A487="","",MAX(IF($D487="Evet",ROUND($C487*tbo_oranBesPuan,2),0),IF($E487="Evet",ROUND($C487*tbo_oranIlave,2),0),IF($F487="Evet",ROUND($C487*tbo_oranKadinGenc,2),0),IF($G487="Evet",ROUND($C487*tbo_isverenOran,2),0)))</f>
        <v/>
      </c>
      <c r="K487" s="31">
        <f>IF($A487="","",IF($H487="TBO-001",IF($D487="Evet",ROUND($C487*tbo_oranBesPuan,2),0),IF($H487="TBO-002",IF($E487="Evet",ROUND($C487*tbo_oranIlave,2),0),IF($H487="TBO-004",IF($F487="Evet",ROUND($C487*tbo_oranKadinGenc,2),0),IF($H487="TBO-ENG",IF($G487="Evet",ROUND($C487*tbo_isverenOran,2),0),0)))))</f>
        <v/>
      </c>
      <c r="L487" s="31">
        <f>IF($A487="","",MAX(0,$J487-$K487))</f>
        <v/>
      </c>
    </row>
    <row r="488">
      <c r="I488" s="31">
        <f>IF($A488="","",IF($J488=0,"YOK",IF(AND($E488="Evet",ROUND($C488*tbo_oranIlave,2)=$J488),"TBO-002",IF(AND($D488="Evet",ROUND($C488*tbo_oranBesPuan,2)=$J488),"TBO-001",IF(AND($F488="Evet",ROUND($C488*tbo_oranKadinGenc,2)=$J488),"TBO-004","TBO-ENG")))))</f>
        <v/>
      </c>
      <c r="J488" s="31">
        <f>IF($A488="","",MAX(IF($D488="Evet",ROUND($C488*tbo_oranBesPuan,2),0),IF($E488="Evet",ROUND($C488*tbo_oranIlave,2),0),IF($F488="Evet",ROUND($C488*tbo_oranKadinGenc,2),0),IF($G488="Evet",ROUND($C488*tbo_isverenOran,2),0)))</f>
        <v/>
      </c>
      <c r="K488" s="31">
        <f>IF($A488="","",IF($H488="TBO-001",IF($D488="Evet",ROUND($C488*tbo_oranBesPuan,2),0),IF($H488="TBO-002",IF($E488="Evet",ROUND($C488*tbo_oranIlave,2),0),IF($H488="TBO-004",IF($F488="Evet",ROUND($C488*tbo_oranKadinGenc,2),0),IF($H488="TBO-ENG",IF($G488="Evet",ROUND($C488*tbo_isverenOran,2),0),0)))))</f>
        <v/>
      </c>
      <c r="L488" s="31">
        <f>IF($A488="","",MAX(0,$J488-$K488))</f>
        <v/>
      </c>
    </row>
    <row r="489">
      <c r="I489" s="31">
        <f>IF($A489="","",IF($J489=0,"YOK",IF(AND($E489="Evet",ROUND($C489*tbo_oranIlave,2)=$J489),"TBO-002",IF(AND($D489="Evet",ROUND($C489*tbo_oranBesPuan,2)=$J489),"TBO-001",IF(AND($F489="Evet",ROUND($C489*tbo_oranKadinGenc,2)=$J489),"TBO-004","TBO-ENG")))))</f>
        <v/>
      </c>
      <c r="J489" s="31">
        <f>IF($A489="","",MAX(IF($D489="Evet",ROUND($C489*tbo_oranBesPuan,2),0),IF($E489="Evet",ROUND($C489*tbo_oranIlave,2),0),IF($F489="Evet",ROUND($C489*tbo_oranKadinGenc,2),0),IF($G489="Evet",ROUND($C489*tbo_isverenOran,2),0)))</f>
        <v/>
      </c>
      <c r="K489" s="31">
        <f>IF($A489="","",IF($H489="TBO-001",IF($D489="Evet",ROUND($C489*tbo_oranBesPuan,2),0),IF($H489="TBO-002",IF($E489="Evet",ROUND($C489*tbo_oranIlave,2),0),IF($H489="TBO-004",IF($F489="Evet",ROUND($C489*tbo_oranKadinGenc,2),0),IF($H489="TBO-ENG",IF($G489="Evet",ROUND($C489*tbo_isverenOran,2),0),0)))))</f>
        <v/>
      </c>
      <c r="L489" s="31">
        <f>IF($A489="","",MAX(0,$J489-$K489))</f>
        <v/>
      </c>
    </row>
    <row r="490">
      <c r="I490" s="31">
        <f>IF($A490="","",IF($J490=0,"YOK",IF(AND($E490="Evet",ROUND($C490*tbo_oranIlave,2)=$J490),"TBO-002",IF(AND($D490="Evet",ROUND($C490*tbo_oranBesPuan,2)=$J490),"TBO-001",IF(AND($F490="Evet",ROUND($C490*tbo_oranKadinGenc,2)=$J490),"TBO-004","TBO-ENG")))))</f>
        <v/>
      </c>
      <c r="J490" s="31">
        <f>IF($A490="","",MAX(IF($D490="Evet",ROUND($C490*tbo_oranBesPuan,2),0),IF($E490="Evet",ROUND($C490*tbo_oranIlave,2),0),IF($F490="Evet",ROUND($C490*tbo_oranKadinGenc,2),0),IF($G490="Evet",ROUND($C490*tbo_isverenOran,2),0)))</f>
        <v/>
      </c>
      <c r="K490" s="31">
        <f>IF($A490="","",IF($H490="TBO-001",IF($D490="Evet",ROUND($C490*tbo_oranBesPuan,2),0),IF($H490="TBO-002",IF($E490="Evet",ROUND($C490*tbo_oranIlave,2),0),IF($H490="TBO-004",IF($F490="Evet",ROUND($C490*tbo_oranKadinGenc,2),0),IF($H490="TBO-ENG",IF($G490="Evet",ROUND($C490*tbo_isverenOran,2),0),0)))))</f>
        <v/>
      </c>
      <c r="L490" s="31">
        <f>IF($A490="","",MAX(0,$J490-$K490))</f>
        <v/>
      </c>
    </row>
    <row r="491">
      <c r="I491" s="31">
        <f>IF($A491="","",IF($J491=0,"YOK",IF(AND($E491="Evet",ROUND($C491*tbo_oranIlave,2)=$J491),"TBO-002",IF(AND($D491="Evet",ROUND($C491*tbo_oranBesPuan,2)=$J491),"TBO-001",IF(AND($F491="Evet",ROUND($C491*tbo_oranKadinGenc,2)=$J491),"TBO-004","TBO-ENG")))))</f>
        <v/>
      </c>
      <c r="J491" s="31">
        <f>IF($A491="","",MAX(IF($D491="Evet",ROUND($C491*tbo_oranBesPuan,2),0),IF($E491="Evet",ROUND($C491*tbo_oranIlave,2),0),IF($F491="Evet",ROUND($C491*tbo_oranKadinGenc,2),0),IF($G491="Evet",ROUND($C491*tbo_isverenOran,2),0)))</f>
        <v/>
      </c>
      <c r="K491" s="31">
        <f>IF($A491="","",IF($H491="TBO-001",IF($D491="Evet",ROUND($C491*tbo_oranBesPuan,2),0),IF($H491="TBO-002",IF($E491="Evet",ROUND($C491*tbo_oranIlave,2),0),IF($H491="TBO-004",IF($F491="Evet",ROUND($C491*tbo_oranKadinGenc,2),0),IF($H491="TBO-ENG",IF($G491="Evet",ROUND($C491*tbo_isverenOran,2),0),0)))))</f>
        <v/>
      </c>
      <c r="L491" s="31">
        <f>IF($A491="","",MAX(0,$J491-$K491))</f>
        <v/>
      </c>
    </row>
    <row r="492">
      <c r="I492" s="31">
        <f>IF($A492="","",IF($J492=0,"YOK",IF(AND($E492="Evet",ROUND($C492*tbo_oranIlave,2)=$J492),"TBO-002",IF(AND($D492="Evet",ROUND($C492*tbo_oranBesPuan,2)=$J492),"TBO-001",IF(AND($F492="Evet",ROUND($C492*tbo_oranKadinGenc,2)=$J492),"TBO-004","TBO-ENG")))))</f>
        <v/>
      </c>
      <c r="J492" s="31">
        <f>IF($A492="","",MAX(IF($D492="Evet",ROUND($C492*tbo_oranBesPuan,2),0),IF($E492="Evet",ROUND($C492*tbo_oranIlave,2),0),IF($F492="Evet",ROUND($C492*tbo_oranKadinGenc,2),0),IF($G492="Evet",ROUND($C492*tbo_isverenOran,2),0)))</f>
        <v/>
      </c>
      <c r="K492" s="31">
        <f>IF($A492="","",IF($H492="TBO-001",IF($D492="Evet",ROUND($C492*tbo_oranBesPuan,2),0),IF($H492="TBO-002",IF($E492="Evet",ROUND($C492*tbo_oranIlave,2),0),IF($H492="TBO-004",IF($F492="Evet",ROUND($C492*tbo_oranKadinGenc,2),0),IF($H492="TBO-ENG",IF($G492="Evet",ROUND($C492*tbo_isverenOran,2),0),0)))))</f>
        <v/>
      </c>
      <c r="L492" s="31">
        <f>IF($A492="","",MAX(0,$J492-$K492))</f>
        <v/>
      </c>
    </row>
    <row r="493">
      <c r="I493" s="31">
        <f>IF($A493="","",IF($J493=0,"YOK",IF(AND($E493="Evet",ROUND($C493*tbo_oranIlave,2)=$J493),"TBO-002",IF(AND($D493="Evet",ROUND($C493*tbo_oranBesPuan,2)=$J493),"TBO-001",IF(AND($F493="Evet",ROUND($C493*tbo_oranKadinGenc,2)=$J493),"TBO-004","TBO-ENG")))))</f>
        <v/>
      </c>
      <c r="J493" s="31">
        <f>IF($A493="","",MAX(IF($D493="Evet",ROUND($C493*tbo_oranBesPuan,2),0),IF($E493="Evet",ROUND($C493*tbo_oranIlave,2),0),IF($F493="Evet",ROUND($C493*tbo_oranKadinGenc,2),0),IF($G493="Evet",ROUND($C493*tbo_isverenOran,2),0)))</f>
        <v/>
      </c>
      <c r="K493" s="31">
        <f>IF($A493="","",IF($H493="TBO-001",IF($D493="Evet",ROUND($C493*tbo_oranBesPuan,2),0),IF($H493="TBO-002",IF($E493="Evet",ROUND($C493*tbo_oranIlave,2),0),IF($H493="TBO-004",IF($F493="Evet",ROUND($C493*tbo_oranKadinGenc,2),0),IF($H493="TBO-ENG",IF($G493="Evet",ROUND($C493*tbo_isverenOran,2),0),0)))))</f>
        <v/>
      </c>
      <c r="L493" s="31">
        <f>IF($A493="","",MAX(0,$J493-$K493))</f>
        <v/>
      </c>
    </row>
    <row r="494">
      <c r="I494" s="31">
        <f>IF($A494="","",IF($J494=0,"YOK",IF(AND($E494="Evet",ROUND($C494*tbo_oranIlave,2)=$J494),"TBO-002",IF(AND($D494="Evet",ROUND($C494*tbo_oranBesPuan,2)=$J494),"TBO-001",IF(AND($F494="Evet",ROUND($C494*tbo_oranKadinGenc,2)=$J494),"TBO-004","TBO-ENG")))))</f>
        <v/>
      </c>
      <c r="J494" s="31">
        <f>IF($A494="","",MAX(IF($D494="Evet",ROUND($C494*tbo_oranBesPuan,2),0),IF($E494="Evet",ROUND($C494*tbo_oranIlave,2),0),IF($F494="Evet",ROUND($C494*tbo_oranKadinGenc,2),0),IF($G494="Evet",ROUND($C494*tbo_isverenOran,2),0)))</f>
        <v/>
      </c>
      <c r="K494" s="31">
        <f>IF($A494="","",IF($H494="TBO-001",IF($D494="Evet",ROUND($C494*tbo_oranBesPuan,2),0),IF($H494="TBO-002",IF($E494="Evet",ROUND($C494*tbo_oranIlave,2),0),IF($H494="TBO-004",IF($F494="Evet",ROUND($C494*tbo_oranKadinGenc,2),0),IF($H494="TBO-ENG",IF($G494="Evet",ROUND($C494*tbo_isverenOran,2),0),0)))))</f>
        <v/>
      </c>
      <c r="L494" s="31">
        <f>IF($A494="","",MAX(0,$J494-$K494))</f>
        <v/>
      </c>
    </row>
    <row r="495">
      <c r="I495" s="31">
        <f>IF($A495="","",IF($J495=0,"YOK",IF(AND($E495="Evet",ROUND($C495*tbo_oranIlave,2)=$J495),"TBO-002",IF(AND($D495="Evet",ROUND($C495*tbo_oranBesPuan,2)=$J495),"TBO-001",IF(AND($F495="Evet",ROUND($C495*tbo_oranKadinGenc,2)=$J495),"TBO-004","TBO-ENG")))))</f>
        <v/>
      </c>
      <c r="J495" s="31">
        <f>IF($A495="","",MAX(IF($D495="Evet",ROUND($C495*tbo_oranBesPuan,2),0),IF($E495="Evet",ROUND($C495*tbo_oranIlave,2),0),IF($F495="Evet",ROUND($C495*tbo_oranKadinGenc,2),0),IF($G495="Evet",ROUND($C495*tbo_isverenOran,2),0)))</f>
        <v/>
      </c>
      <c r="K495" s="31">
        <f>IF($A495="","",IF($H495="TBO-001",IF($D495="Evet",ROUND($C495*tbo_oranBesPuan,2),0),IF($H495="TBO-002",IF($E495="Evet",ROUND($C495*tbo_oranIlave,2),0),IF($H495="TBO-004",IF($F495="Evet",ROUND($C495*tbo_oranKadinGenc,2),0),IF($H495="TBO-ENG",IF($G495="Evet",ROUND($C495*tbo_isverenOran,2),0),0)))))</f>
        <v/>
      </c>
      <c r="L495" s="31">
        <f>IF($A495="","",MAX(0,$J495-$K495))</f>
        <v/>
      </c>
    </row>
    <row r="496">
      <c r="I496" s="31">
        <f>IF($A496="","",IF($J496=0,"YOK",IF(AND($E496="Evet",ROUND($C496*tbo_oranIlave,2)=$J496),"TBO-002",IF(AND($D496="Evet",ROUND($C496*tbo_oranBesPuan,2)=$J496),"TBO-001",IF(AND($F496="Evet",ROUND($C496*tbo_oranKadinGenc,2)=$J496),"TBO-004","TBO-ENG")))))</f>
        <v/>
      </c>
      <c r="J496" s="31">
        <f>IF($A496="","",MAX(IF($D496="Evet",ROUND($C496*tbo_oranBesPuan,2),0),IF($E496="Evet",ROUND($C496*tbo_oranIlave,2),0),IF($F496="Evet",ROUND($C496*tbo_oranKadinGenc,2),0),IF($G496="Evet",ROUND($C496*tbo_isverenOran,2),0)))</f>
        <v/>
      </c>
      <c r="K496" s="31">
        <f>IF($A496="","",IF($H496="TBO-001",IF($D496="Evet",ROUND($C496*tbo_oranBesPuan,2),0),IF($H496="TBO-002",IF($E496="Evet",ROUND($C496*tbo_oranIlave,2),0),IF($H496="TBO-004",IF($F496="Evet",ROUND($C496*tbo_oranKadinGenc,2),0),IF($H496="TBO-ENG",IF($G496="Evet",ROUND($C496*tbo_isverenOran,2),0),0)))))</f>
        <v/>
      </c>
      <c r="L496" s="31">
        <f>IF($A496="","",MAX(0,$J496-$K496))</f>
        <v/>
      </c>
    </row>
    <row r="497">
      <c r="I497" s="31">
        <f>IF($A497="","",IF($J497=0,"YOK",IF(AND($E497="Evet",ROUND($C497*tbo_oranIlave,2)=$J497),"TBO-002",IF(AND($D497="Evet",ROUND($C497*tbo_oranBesPuan,2)=$J497),"TBO-001",IF(AND($F497="Evet",ROUND($C497*tbo_oranKadinGenc,2)=$J497),"TBO-004","TBO-ENG")))))</f>
        <v/>
      </c>
      <c r="J497" s="31">
        <f>IF($A497="","",MAX(IF($D497="Evet",ROUND($C497*tbo_oranBesPuan,2),0),IF($E497="Evet",ROUND($C497*tbo_oranIlave,2),0),IF($F497="Evet",ROUND($C497*tbo_oranKadinGenc,2),0),IF($G497="Evet",ROUND($C497*tbo_isverenOran,2),0)))</f>
        <v/>
      </c>
      <c r="K497" s="31">
        <f>IF($A497="","",IF($H497="TBO-001",IF($D497="Evet",ROUND($C497*tbo_oranBesPuan,2),0),IF($H497="TBO-002",IF($E497="Evet",ROUND($C497*tbo_oranIlave,2),0),IF($H497="TBO-004",IF($F497="Evet",ROUND($C497*tbo_oranKadinGenc,2),0),IF($H497="TBO-ENG",IF($G497="Evet",ROUND($C497*tbo_isverenOran,2),0),0)))))</f>
        <v/>
      </c>
      <c r="L497" s="31">
        <f>IF($A497="","",MAX(0,$J497-$K497))</f>
        <v/>
      </c>
    </row>
    <row r="498">
      <c r="I498" s="31">
        <f>IF($A498="","",IF($J498=0,"YOK",IF(AND($E498="Evet",ROUND($C498*tbo_oranIlave,2)=$J498),"TBO-002",IF(AND($D498="Evet",ROUND($C498*tbo_oranBesPuan,2)=$J498),"TBO-001",IF(AND($F498="Evet",ROUND($C498*tbo_oranKadinGenc,2)=$J498),"TBO-004","TBO-ENG")))))</f>
        <v/>
      </c>
      <c r="J498" s="31">
        <f>IF($A498="","",MAX(IF($D498="Evet",ROUND($C498*tbo_oranBesPuan,2),0),IF($E498="Evet",ROUND($C498*tbo_oranIlave,2),0),IF($F498="Evet",ROUND($C498*tbo_oranKadinGenc,2),0),IF($G498="Evet",ROUND($C498*tbo_isverenOran,2),0)))</f>
        <v/>
      </c>
      <c r="K498" s="31">
        <f>IF($A498="","",IF($H498="TBO-001",IF($D498="Evet",ROUND($C498*tbo_oranBesPuan,2),0),IF($H498="TBO-002",IF($E498="Evet",ROUND($C498*tbo_oranIlave,2),0),IF($H498="TBO-004",IF($F498="Evet",ROUND($C498*tbo_oranKadinGenc,2),0),IF($H498="TBO-ENG",IF($G498="Evet",ROUND($C498*tbo_isverenOran,2),0),0)))))</f>
        <v/>
      </c>
      <c r="L498" s="31">
        <f>IF($A498="","",MAX(0,$J498-$K498))</f>
        <v/>
      </c>
    </row>
    <row r="499">
      <c r="I499" s="31">
        <f>IF($A499="","",IF($J499=0,"YOK",IF(AND($E499="Evet",ROUND($C499*tbo_oranIlave,2)=$J499),"TBO-002",IF(AND($D499="Evet",ROUND($C499*tbo_oranBesPuan,2)=$J499),"TBO-001",IF(AND($F499="Evet",ROUND($C499*tbo_oranKadinGenc,2)=$J499),"TBO-004","TBO-ENG")))))</f>
        <v/>
      </c>
      <c r="J499" s="31">
        <f>IF($A499="","",MAX(IF($D499="Evet",ROUND($C499*tbo_oranBesPuan,2),0),IF($E499="Evet",ROUND($C499*tbo_oranIlave,2),0),IF($F499="Evet",ROUND($C499*tbo_oranKadinGenc,2),0),IF($G499="Evet",ROUND($C499*tbo_isverenOran,2),0)))</f>
        <v/>
      </c>
      <c r="K499" s="31">
        <f>IF($A499="","",IF($H499="TBO-001",IF($D499="Evet",ROUND($C499*tbo_oranBesPuan,2),0),IF($H499="TBO-002",IF($E499="Evet",ROUND($C499*tbo_oranIlave,2),0),IF($H499="TBO-004",IF($F499="Evet",ROUND($C499*tbo_oranKadinGenc,2),0),IF($H499="TBO-ENG",IF($G499="Evet",ROUND($C499*tbo_isverenOran,2),0),0)))))</f>
        <v/>
      </c>
      <c r="L499" s="31">
        <f>IF($A499="","",MAX(0,$J499-$K499))</f>
        <v/>
      </c>
    </row>
    <row r="500">
      <c r="I500" s="31">
        <f>IF($A500="","",IF($J500=0,"YOK",IF(AND($E500="Evet",ROUND($C500*tbo_oranIlave,2)=$J500),"TBO-002",IF(AND($D500="Evet",ROUND($C500*tbo_oranBesPuan,2)=$J500),"TBO-001",IF(AND($F500="Evet",ROUND($C500*tbo_oranKadinGenc,2)=$J500),"TBO-004","TBO-ENG")))))</f>
        <v/>
      </c>
      <c r="J500" s="31">
        <f>IF($A500="","",MAX(IF($D500="Evet",ROUND($C500*tbo_oranBesPuan,2),0),IF($E500="Evet",ROUND($C500*tbo_oranIlave,2),0),IF($F500="Evet",ROUND($C500*tbo_oranKadinGenc,2),0),IF($G500="Evet",ROUND($C500*tbo_isverenOran,2),0)))</f>
        <v/>
      </c>
      <c r="K500" s="31">
        <f>IF($A500="","",IF($H500="TBO-001",IF($D500="Evet",ROUND($C500*tbo_oranBesPuan,2),0),IF($H500="TBO-002",IF($E500="Evet",ROUND($C500*tbo_oranIlave,2),0),IF($H500="TBO-004",IF($F500="Evet",ROUND($C500*tbo_oranKadinGenc,2),0),IF($H500="TBO-ENG",IF($G500="Evet",ROUND($C500*tbo_isverenOran,2),0),0)))))</f>
        <v/>
      </c>
      <c r="L500" s="31">
        <f>IF($A500="","",MAX(0,$J500-$K500))</f>
        <v/>
      </c>
    </row>
    <row r="501">
      <c r="I501" s="31">
        <f>IF($A501="","",IF($J501=0,"YOK",IF(AND($E501="Evet",ROUND($C501*tbo_oranIlave,2)=$J501),"TBO-002",IF(AND($D501="Evet",ROUND($C501*tbo_oranBesPuan,2)=$J501),"TBO-001",IF(AND($F501="Evet",ROUND($C501*tbo_oranKadinGenc,2)=$J501),"TBO-004","TBO-ENG")))))</f>
        <v/>
      </c>
      <c r="J501" s="31">
        <f>IF($A501="","",MAX(IF($D501="Evet",ROUND($C501*tbo_oranBesPuan,2),0),IF($E501="Evet",ROUND($C501*tbo_oranIlave,2),0),IF($F501="Evet",ROUND($C501*tbo_oranKadinGenc,2),0),IF($G501="Evet",ROUND($C501*tbo_isverenOran,2),0)))</f>
        <v/>
      </c>
      <c r="K501" s="31">
        <f>IF($A501="","",IF($H501="TBO-001",IF($D501="Evet",ROUND($C501*tbo_oranBesPuan,2),0),IF($H501="TBO-002",IF($E501="Evet",ROUND($C501*tbo_oranIlave,2),0),IF($H501="TBO-004",IF($F501="Evet",ROUND($C501*tbo_oranKadinGenc,2),0),IF($H501="TBO-ENG",IF($G501="Evet",ROUND($C501*tbo_isverenOran,2),0),0)))))</f>
        <v/>
      </c>
      <c r="L501" s="31">
        <f>IF($A501="","",MAX(0,$J501-$K501))</f>
        <v/>
      </c>
    </row>
    <row r="502">
      <c r="I502" s="31">
        <f>IF($A502="","",IF($J502=0,"YOK",IF(AND($E502="Evet",ROUND($C502*tbo_oranIlave,2)=$J502),"TBO-002",IF(AND($D502="Evet",ROUND($C502*tbo_oranBesPuan,2)=$J502),"TBO-001",IF(AND($F502="Evet",ROUND($C502*tbo_oranKadinGenc,2)=$J502),"TBO-004","TBO-ENG")))))</f>
        <v/>
      </c>
      <c r="J502" s="31">
        <f>IF($A502="","",MAX(IF($D502="Evet",ROUND($C502*tbo_oranBesPuan,2),0),IF($E502="Evet",ROUND($C502*tbo_oranIlave,2),0),IF($F502="Evet",ROUND($C502*tbo_oranKadinGenc,2),0),IF($G502="Evet",ROUND($C502*tbo_isverenOran,2),0)))</f>
        <v/>
      </c>
      <c r="K502" s="31">
        <f>IF($A502="","",IF($H502="TBO-001",IF($D502="Evet",ROUND($C502*tbo_oranBesPuan,2),0),IF($H502="TBO-002",IF($E502="Evet",ROUND($C502*tbo_oranIlave,2),0),IF($H502="TBO-004",IF($F502="Evet",ROUND($C502*tbo_oranKadinGenc,2),0),IF($H502="TBO-ENG",IF($G502="Evet",ROUND($C502*tbo_isverenOran,2),0),0)))))</f>
        <v/>
      </c>
      <c r="L502" s="31">
        <f>IF($A502="","",MAX(0,$J502-$K502))</f>
        <v/>
      </c>
    </row>
    <row r="503">
      <c r="I503" s="31">
        <f>IF($A503="","",IF($J503=0,"YOK",IF(AND($E503="Evet",ROUND($C503*tbo_oranIlave,2)=$J503),"TBO-002",IF(AND($D503="Evet",ROUND($C503*tbo_oranBesPuan,2)=$J503),"TBO-001",IF(AND($F503="Evet",ROUND($C503*tbo_oranKadinGenc,2)=$J503),"TBO-004","TBO-ENG")))))</f>
        <v/>
      </c>
      <c r="J503" s="31">
        <f>IF($A503="","",MAX(IF($D503="Evet",ROUND($C503*tbo_oranBesPuan,2),0),IF($E503="Evet",ROUND($C503*tbo_oranIlave,2),0),IF($F503="Evet",ROUND($C503*tbo_oranKadinGenc,2),0),IF($G503="Evet",ROUND($C503*tbo_isverenOran,2),0)))</f>
        <v/>
      </c>
      <c r="K503" s="31">
        <f>IF($A503="","",IF($H503="TBO-001",IF($D503="Evet",ROUND($C503*tbo_oranBesPuan,2),0),IF($H503="TBO-002",IF($E503="Evet",ROUND($C503*tbo_oranIlave,2),0),IF($H503="TBO-004",IF($F503="Evet",ROUND($C503*tbo_oranKadinGenc,2),0),IF($H503="TBO-ENG",IF($G503="Evet",ROUND($C503*tbo_isverenOran,2),0),0)))))</f>
        <v/>
      </c>
      <c r="L503" s="31">
        <f>IF($A503="","",MAX(0,$J503-$K503))</f>
        <v/>
      </c>
    </row>
    <row r="504">
      <c r="I504" s="31">
        <f>IF($A504="","",IF($J504=0,"YOK",IF(AND($E504="Evet",ROUND($C504*tbo_oranIlave,2)=$J504),"TBO-002",IF(AND($D504="Evet",ROUND($C504*tbo_oranBesPuan,2)=$J504),"TBO-001",IF(AND($F504="Evet",ROUND($C504*tbo_oranKadinGenc,2)=$J504),"TBO-004","TBO-ENG")))))</f>
        <v/>
      </c>
      <c r="J504" s="31">
        <f>IF($A504="","",MAX(IF($D504="Evet",ROUND($C504*tbo_oranBesPuan,2),0),IF($E504="Evet",ROUND($C504*tbo_oranIlave,2),0),IF($F504="Evet",ROUND($C504*tbo_oranKadinGenc,2),0),IF($G504="Evet",ROUND($C504*tbo_isverenOran,2),0)))</f>
        <v/>
      </c>
      <c r="K504" s="31">
        <f>IF($A504="","",IF($H504="TBO-001",IF($D504="Evet",ROUND($C504*tbo_oranBesPuan,2),0),IF($H504="TBO-002",IF($E504="Evet",ROUND($C504*tbo_oranIlave,2),0),IF($H504="TBO-004",IF($F504="Evet",ROUND($C504*tbo_oranKadinGenc,2),0),IF($H504="TBO-ENG",IF($G504="Evet",ROUND($C504*tbo_isverenOran,2),0),0)))))</f>
        <v/>
      </c>
      <c r="L504" s="31">
        <f>IF($A504="","",MAX(0,$J504-$K504))</f>
        <v/>
      </c>
    </row>
    <row r="505">
      <c r="I505" s="31">
        <f>IF($A505="","",IF($J505=0,"YOK",IF(AND($E505="Evet",ROUND($C505*tbo_oranIlave,2)=$J505),"TBO-002",IF(AND($D505="Evet",ROUND($C505*tbo_oranBesPuan,2)=$J505),"TBO-001",IF(AND($F505="Evet",ROUND($C505*tbo_oranKadinGenc,2)=$J505),"TBO-004","TBO-ENG")))))</f>
        <v/>
      </c>
      <c r="J505" s="31">
        <f>IF($A505="","",MAX(IF($D505="Evet",ROUND($C505*tbo_oranBesPuan,2),0),IF($E505="Evet",ROUND($C505*tbo_oranIlave,2),0),IF($F505="Evet",ROUND($C505*tbo_oranKadinGenc,2),0),IF($G505="Evet",ROUND($C505*tbo_isverenOran,2),0)))</f>
        <v/>
      </c>
      <c r="K505" s="31">
        <f>IF($A505="","",IF($H505="TBO-001",IF($D505="Evet",ROUND($C505*tbo_oranBesPuan,2),0),IF($H505="TBO-002",IF($E505="Evet",ROUND($C505*tbo_oranIlave,2),0),IF($H505="TBO-004",IF($F505="Evet",ROUND($C505*tbo_oranKadinGenc,2),0),IF($H505="TBO-ENG",IF($G505="Evet",ROUND($C505*tbo_isverenOran,2),0),0)))))</f>
        <v/>
      </c>
      <c r="L505" s="31">
        <f>IF($A505="","",MAX(0,$J505-$K505))</f>
        <v/>
      </c>
    </row>
    <row r="506">
      <c r="I506" s="31">
        <f>IF($A506="","",IF($J506=0,"YOK",IF(AND($E506="Evet",ROUND($C506*tbo_oranIlave,2)=$J506),"TBO-002",IF(AND($D506="Evet",ROUND($C506*tbo_oranBesPuan,2)=$J506),"TBO-001",IF(AND($F506="Evet",ROUND($C506*tbo_oranKadinGenc,2)=$J506),"TBO-004","TBO-ENG")))))</f>
        <v/>
      </c>
      <c r="J506" s="31">
        <f>IF($A506="","",MAX(IF($D506="Evet",ROUND($C506*tbo_oranBesPuan,2),0),IF($E506="Evet",ROUND($C506*tbo_oranIlave,2),0),IF($F506="Evet",ROUND($C506*tbo_oranKadinGenc,2),0),IF($G506="Evet",ROUND($C506*tbo_isverenOran,2),0)))</f>
        <v/>
      </c>
      <c r="K506" s="31">
        <f>IF($A506="","",IF($H506="TBO-001",IF($D506="Evet",ROUND($C506*tbo_oranBesPuan,2),0),IF($H506="TBO-002",IF($E506="Evet",ROUND($C506*tbo_oranIlave,2),0),IF($H506="TBO-004",IF($F506="Evet",ROUND($C506*tbo_oranKadinGenc,2),0),IF($H506="TBO-ENG",IF($G506="Evet",ROUND($C506*tbo_isverenOran,2),0),0)))))</f>
        <v/>
      </c>
      <c r="L506" s="31">
        <f>IF($A506="","",MAX(0,$J506-$K506))</f>
        <v/>
      </c>
    </row>
    <row r="507">
      <c r="I507" s="31">
        <f>IF($A507="","",IF($J507=0,"YOK",IF(AND($E507="Evet",ROUND($C507*tbo_oranIlave,2)=$J507),"TBO-002",IF(AND($D507="Evet",ROUND($C507*tbo_oranBesPuan,2)=$J507),"TBO-001",IF(AND($F507="Evet",ROUND($C507*tbo_oranKadinGenc,2)=$J507),"TBO-004","TBO-ENG")))))</f>
        <v/>
      </c>
      <c r="J507" s="31">
        <f>IF($A507="","",MAX(IF($D507="Evet",ROUND($C507*tbo_oranBesPuan,2),0),IF($E507="Evet",ROUND($C507*tbo_oranIlave,2),0),IF($F507="Evet",ROUND($C507*tbo_oranKadinGenc,2),0),IF($G507="Evet",ROUND($C507*tbo_isverenOran,2),0)))</f>
        <v/>
      </c>
      <c r="K507" s="31">
        <f>IF($A507="","",IF($H507="TBO-001",IF($D507="Evet",ROUND($C507*tbo_oranBesPuan,2),0),IF($H507="TBO-002",IF($E507="Evet",ROUND($C507*tbo_oranIlave,2),0),IF($H507="TBO-004",IF($F507="Evet",ROUND($C507*tbo_oranKadinGenc,2),0),IF($H507="TBO-ENG",IF($G507="Evet",ROUND($C507*tbo_isverenOran,2),0),0)))))</f>
        <v/>
      </c>
      <c r="L507" s="31">
        <f>IF($A507="","",MAX(0,$J507-$K507))</f>
        <v/>
      </c>
    </row>
    <row r="508">
      <c r="I508" s="31">
        <f>IF($A508="","",IF($J508=0,"YOK",IF(AND($E508="Evet",ROUND($C508*tbo_oranIlave,2)=$J508),"TBO-002",IF(AND($D508="Evet",ROUND($C508*tbo_oranBesPuan,2)=$J508),"TBO-001",IF(AND($F508="Evet",ROUND($C508*tbo_oranKadinGenc,2)=$J508),"TBO-004","TBO-ENG")))))</f>
        <v/>
      </c>
      <c r="J508" s="31">
        <f>IF($A508="","",MAX(IF($D508="Evet",ROUND($C508*tbo_oranBesPuan,2),0),IF($E508="Evet",ROUND($C508*tbo_oranIlave,2),0),IF($F508="Evet",ROUND($C508*tbo_oranKadinGenc,2),0),IF($G508="Evet",ROUND($C508*tbo_isverenOran,2),0)))</f>
        <v/>
      </c>
      <c r="K508" s="31">
        <f>IF($A508="","",IF($H508="TBO-001",IF($D508="Evet",ROUND($C508*tbo_oranBesPuan,2),0),IF($H508="TBO-002",IF($E508="Evet",ROUND($C508*tbo_oranIlave,2),0),IF($H508="TBO-004",IF($F508="Evet",ROUND($C508*tbo_oranKadinGenc,2),0),IF($H508="TBO-ENG",IF($G508="Evet",ROUND($C508*tbo_isverenOran,2),0),0)))))</f>
        <v/>
      </c>
      <c r="L508" s="31">
        <f>IF($A508="","",MAX(0,$J508-$K508))</f>
        <v/>
      </c>
    </row>
    <row r="509">
      <c r="I509" s="31">
        <f>IF($A509="","",IF($J509=0,"YOK",IF(AND($E509="Evet",ROUND($C509*tbo_oranIlave,2)=$J509),"TBO-002",IF(AND($D509="Evet",ROUND($C509*tbo_oranBesPuan,2)=$J509),"TBO-001",IF(AND($F509="Evet",ROUND($C509*tbo_oranKadinGenc,2)=$J509),"TBO-004","TBO-ENG")))))</f>
        <v/>
      </c>
      <c r="J509" s="31">
        <f>IF($A509="","",MAX(IF($D509="Evet",ROUND($C509*tbo_oranBesPuan,2),0),IF($E509="Evet",ROUND($C509*tbo_oranIlave,2),0),IF($F509="Evet",ROUND($C509*tbo_oranKadinGenc,2),0),IF($G509="Evet",ROUND($C509*tbo_isverenOran,2),0)))</f>
        <v/>
      </c>
      <c r="K509" s="31">
        <f>IF($A509="","",IF($H509="TBO-001",IF($D509="Evet",ROUND($C509*tbo_oranBesPuan,2),0),IF($H509="TBO-002",IF($E509="Evet",ROUND($C509*tbo_oranIlave,2),0),IF($H509="TBO-004",IF($F509="Evet",ROUND($C509*tbo_oranKadinGenc,2),0),IF($H509="TBO-ENG",IF($G509="Evet",ROUND($C509*tbo_isverenOran,2),0),0)))))</f>
        <v/>
      </c>
      <c r="L509" s="31">
        <f>IF($A509="","",MAX(0,$J509-$K509))</f>
        <v/>
      </c>
    </row>
    <row r="510">
      <c r="I510" s="31">
        <f>IF($A510="","",IF($J510=0,"YOK",IF(AND($E510="Evet",ROUND($C510*tbo_oranIlave,2)=$J510),"TBO-002",IF(AND($D510="Evet",ROUND($C510*tbo_oranBesPuan,2)=$J510),"TBO-001",IF(AND($F510="Evet",ROUND($C510*tbo_oranKadinGenc,2)=$J510),"TBO-004","TBO-ENG")))))</f>
        <v/>
      </c>
      <c r="J510" s="31">
        <f>IF($A510="","",MAX(IF($D510="Evet",ROUND($C510*tbo_oranBesPuan,2),0),IF($E510="Evet",ROUND($C510*tbo_oranIlave,2),0),IF($F510="Evet",ROUND($C510*tbo_oranKadinGenc,2),0),IF($G510="Evet",ROUND($C510*tbo_isverenOran,2),0)))</f>
        <v/>
      </c>
      <c r="K510" s="31">
        <f>IF($A510="","",IF($H510="TBO-001",IF($D510="Evet",ROUND($C510*tbo_oranBesPuan,2),0),IF($H510="TBO-002",IF($E510="Evet",ROUND($C510*tbo_oranIlave,2),0),IF($H510="TBO-004",IF($F510="Evet",ROUND($C510*tbo_oranKadinGenc,2),0),IF($H510="TBO-ENG",IF($G510="Evet",ROUND($C510*tbo_isverenOran,2),0),0)))))</f>
        <v/>
      </c>
      <c r="L510" s="31">
        <f>IF($A510="","",MAX(0,$J510-$K510))</f>
        <v/>
      </c>
    </row>
    <row r="511">
      <c r="I511" s="31">
        <f>IF($A511="","",IF($J511=0,"YOK",IF(AND($E511="Evet",ROUND($C511*tbo_oranIlave,2)=$J511),"TBO-002",IF(AND($D511="Evet",ROUND($C511*tbo_oranBesPuan,2)=$J511),"TBO-001",IF(AND($F511="Evet",ROUND($C511*tbo_oranKadinGenc,2)=$J511),"TBO-004","TBO-ENG")))))</f>
        <v/>
      </c>
      <c r="J511" s="31">
        <f>IF($A511="","",MAX(IF($D511="Evet",ROUND($C511*tbo_oranBesPuan,2),0),IF($E511="Evet",ROUND($C511*tbo_oranIlave,2),0),IF($F511="Evet",ROUND($C511*tbo_oranKadinGenc,2),0),IF($G511="Evet",ROUND($C511*tbo_isverenOran,2),0)))</f>
        <v/>
      </c>
      <c r="K511" s="31">
        <f>IF($A511="","",IF($H511="TBO-001",IF($D511="Evet",ROUND($C511*tbo_oranBesPuan,2),0),IF($H511="TBO-002",IF($E511="Evet",ROUND($C511*tbo_oranIlave,2),0),IF($H511="TBO-004",IF($F511="Evet",ROUND($C511*tbo_oranKadinGenc,2),0),IF($H511="TBO-ENG",IF($G511="Evet",ROUND($C511*tbo_isverenOran,2),0),0)))))</f>
        <v/>
      </c>
      <c r="L511" s="31">
        <f>IF($A511="","",MAX(0,$J511-$K511))</f>
        <v/>
      </c>
    </row>
    <row r="512">
      <c r="I512" s="31">
        <f>IF($A512="","",IF($J512=0,"YOK",IF(AND($E512="Evet",ROUND($C512*tbo_oranIlave,2)=$J512),"TBO-002",IF(AND($D512="Evet",ROUND($C512*tbo_oranBesPuan,2)=$J512),"TBO-001",IF(AND($F512="Evet",ROUND($C512*tbo_oranKadinGenc,2)=$J512),"TBO-004","TBO-ENG")))))</f>
        <v/>
      </c>
      <c r="J512" s="31">
        <f>IF($A512="","",MAX(IF($D512="Evet",ROUND($C512*tbo_oranBesPuan,2),0),IF($E512="Evet",ROUND($C512*tbo_oranIlave,2),0),IF($F512="Evet",ROUND($C512*tbo_oranKadinGenc,2),0),IF($G512="Evet",ROUND($C512*tbo_isverenOran,2),0)))</f>
        <v/>
      </c>
      <c r="K512" s="31">
        <f>IF($A512="","",IF($H512="TBO-001",IF($D512="Evet",ROUND($C512*tbo_oranBesPuan,2),0),IF($H512="TBO-002",IF($E512="Evet",ROUND($C512*tbo_oranIlave,2),0),IF($H512="TBO-004",IF($F512="Evet",ROUND($C512*tbo_oranKadinGenc,2),0),IF($H512="TBO-ENG",IF($G512="Evet",ROUND($C512*tbo_isverenOran,2),0),0)))))</f>
        <v/>
      </c>
      <c r="L512" s="31">
        <f>IF($A512="","",MAX(0,$J512-$K512))</f>
        <v/>
      </c>
    </row>
    <row r="513">
      <c r="I513" s="31">
        <f>IF($A513="","",IF($J513=0,"YOK",IF(AND($E513="Evet",ROUND($C513*tbo_oranIlave,2)=$J513),"TBO-002",IF(AND($D513="Evet",ROUND($C513*tbo_oranBesPuan,2)=$J513),"TBO-001",IF(AND($F513="Evet",ROUND($C513*tbo_oranKadinGenc,2)=$J513),"TBO-004","TBO-ENG")))))</f>
        <v/>
      </c>
      <c r="J513" s="31">
        <f>IF($A513="","",MAX(IF($D513="Evet",ROUND($C513*tbo_oranBesPuan,2),0),IF($E513="Evet",ROUND($C513*tbo_oranIlave,2),0),IF($F513="Evet",ROUND($C513*tbo_oranKadinGenc,2),0),IF($G513="Evet",ROUND($C513*tbo_isverenOran,2),0)))</f>
        <v/>
      </c>
      <c r="K513" s="31">
        <f>IF($A513="","",IF($H513="TBO-001",IF($D513="Evet",ROUND($C513*tbo_oranBesPuan,2),0),IF($H513="TBO-002",IF($E513="Evet",ROUND($C513*tbo_oranIlave,2),0),IF($H513="TBO-004",IF($F513="Evet",ROUND($C513*tbo_oranKadinGenc,2),0),IF($H513="TBO-ENG",IF($G513="Evet",ROUND($C513*tbo_isverenOran,2),0),0)))))</f>
        <v/>
      </c>
      <c r="L513" s="31">
        <f>IF($A513="","",MAX(0,$J513-$K513))</f>
        <v/>
      </c>
    </row>
    <row r="514">
      <c r="I514" s="31">
        <f>IF($A514="","",IF($J514=0,"YOK",IF(AND($E514="Evet",ROUND($C514*tbo_oranIlave,2)=$J514),"TBO-002",IF(AND($D514="Evet",ROUND($C514*tbo_oranBesPuan,2)=$J514),"TBO-001",IF(AND($F514="Evet",ROUND($C514*tbo_oranKadinGenc,2)=$J514),"TBO-004","TBO-ENG")))))</f>
        <v/>
      </c>
      <c r="J514" s="31">
        <f>IF($A514="","",MAX(IF($D514="Evet",ROUND($C514*tbo_oranBesPuan,2),0),IF($E514="Evet",ROUND($C514*tbo_oranIlave,2),0),IF($F514="Evet",ROUND($C514*tbo_oranKadinGenc,2),0),IF($G514="Evet",ROUND($C514*tbo_isverenOran,2),0)))</f>
        <v/>
      </c>
      <c r="K514" s="31">
        <f>IF($A514="","",IF($H514="TBO-001",IF($D514="Evet",ROUND($C514*tbo_oranBesPuan,2),0),IF($H514="TBO-002",IF($E514="Evet",ROUND($C514*tbo_oranIlave,2),0),IF($H514="TBO-004",IF($F514="Evet",ROUND($C514*tbo_oranKadinGenc,2),0),IF($H514="TBO-ENG",IF($G514="Evet",ROUND($C514*tbo_isverenOran,2),0),0)))))</f>
        <v/>
      </c>
      <c r="L514" s="31">
        <f>IF($A514="","",MAX(0,$J514-$K514))</f>
        <v/>
      </c>
    </row>
    <row r="515">
      <c r="I515" s="31">
        <f>IF($A515="","",IF($J515=0,"YOK",IF(AND($E515="Evet",ROUND($C515*tbo_oranIlave,2)=$J515),"TBO-002",IF(AND($D515="Evet",ROUND($C515*tbo_oranBesPuan,2)=$J515),"TBO-001",IF(AND($F515="Evet",ROUND($C515*tbo_oranKadinGenc,2)=$J515),"TBO-004","TBO-ENG")))))</f>
        <v/>
      </c>
      <c r="J515" s="31">
        <f>IF($A515="","",MAX(IF($D515="Evet",ROUND($C515*tbo_oranBesPuan,2),0),IF($E515="Evet",ROUND($C515*tbo_oranIlave,2),0),IF($F515="Evet",ROUND($C515*tbo_oranKadinGenc,2),0),IF($G515="Evet",ROUND($C515*tbo_isverenOran,2),0)))</f>
        <v/>
      </c>
      <c r="K515" s="31">
        <f>IF($A515="","",IF($H515="TBO-001",IF($D515="Evet",ROUND($C515*tbo_oranBesPuan,2),0),IF($H515="TBO-002",IF($E515="Evet",ROUND($C515*tbo_oranIlave,2),0),IF($H515="TBO-004",IF($F515="Evet",ROUND($C515*tbo_oranKadinGenc,2),0),IF($H515="TBO-ENG",IF($G515="Evet",ROUND($C515*tbo_isverenOran,2),0),0)))))</f>
        <v/>
      </c>
      <c r="L515" s="31">
        <f>IF($A515="","",MAX(0,$J515-$K515))</f>
        <v/>
      </c>
    </row>
    <row r="516">
      <c r="I516" s="31">
        <f>IF($A516="","",IF($J516=0,"YOK",IF(AND($E516="Evet",ROUND($C516*tbo_oranIlave,2)=$J516),"TBO-002",IF(AND($D516="Evet",ROUND($C516*tbo_oranBesPuan,2)=$J516),"TBO-001",IF(AND($F516="Evet",ROUND($C516*tbo_oranKadinGenc,2)=$J516),"TBO-004","TBO-ENG")))))</f>
        <v/>
      </c>
      <c r="J516" s="31">
        <f>IF($A516="","",MAX(IF($D516="Evet",ROUND($C516*tbo_oranBesPuan,2),0),IF($E516="Evet",ROUND($C516*tbo_oranIlave,2),0),IF($F516="Evet",ROUND($C516*tbo_oranKadinGenc,2),0),IF($G516="Evet",ROUND($C516*tbo_isverenOran,2),0)))</f>
        <v/>
      </c>
      <c r="K516" s="31">
        <f>IF($A516="","",IF($H516="TBO-001",IF($D516="Evet",ROUND($C516*tbo_oranBesPuan,2),0),IF($H516="TBO-002",IF($E516="Evet",ROUND($C516*tbo_oranIlave,2),0),IF($H516="TBO-004",IF($F516="Evet",ROUND($C516*tbo_oranKadinGenc,2),0),IF($H516="TBO-ENG",IF($G516="Evet",ROUND($C516*tbo_isverenOran,2),0),0)))))</f>
        <v/>
      </c>
      <c r="L516" s="31">
        <f>IF($A516="","",MAX(0,$J516-$K516))</f>
        <v/>
      </c>
    </row>
    <row r="517">
      <c r="I517" s="31">
        <f>IF($A517="","",IF($J517=0,"YOK",IF(AND($E517="Evet",ROUND($C517*tbo_oranIlave,2)=$J517),"TBO-002",IF(AND($D517="Evet",ROUND($C517*tbo_oranBesPuan,2)=$J517),"TBO-001",IF(AND($F517="Evet",ROUND($C517*tbo_oranKadinGenc,2)=$J517),"TBO-004","TBO-ENG")))))</f>
        <v/>
      </c>
      <c r="J517" s="31">
        <f>IF($A517="","",MAX(IF($D517="Evet",ROUND($C517*tbo_oranBesPuan,2),0),IF($E517="Evet",ROUND($C517*tbo_oranIlave,2),0),IF($F517="Evet",ROUND($C517*tbo_oranKadinGenc,2),0),IF($G517="Evet",ROUND($C517*tbo_isverenOran,2),0)))</f>
        <v/>
      </c>
      <c r="K517" s="31">
        <f>IF($A517="","",IF($H517="TBO-001",IF($D517="Evet",ROUND($C517*tbo_oranBesPuan,2),0),IF($H517="TBO-002",IF($E517="Evet",ROUND($C517*tbo_oranIlave,2),0),IF($H517="TBO-004",IF($F517="Evet",ROUND($C517*tbo_oranKadinGenc,2),0),IF($H517="TBO-ENG",IF($G517="Evet",ROUND($C517*tbo_isverenOran,2),0),0)))))</f>
        <v/>
      </c>
      <c r="L517" s="31">
        <f>IF($A517="","",MAX(0,$J517-$K517))</f>
        <v/>
      </c>
    </row>
    <row r="518">
      <c r="I518" s="31">
        <f>IF($A518="","",IF($J518=0,"YOK",IF(AND($E518="Evet",ROUND($C518*tbo_oranIlave,2)=$J518),"TBO-002",IF(AND($D518="Evet",ROUND($C518*tbo_oranBesPuan,2)=$J518),"TBO-001",IF(AND($F518="Evet",ROUND($C518*tbo_oranKadinGenc,2)=$J518),"TBO-004","TBO-ENG")))))</f>
        <v/>
      </c>
      <c r="J518" s="31">
        <f>IF($A518="","",MAX(IF($D518="Evet",ROUND($C518*tbo_oranBesPuan,2),0),IF($E518="Evet",ROUND($C518*tbo_oranIlave,2),0),IF($F518="Evet",ROUND($C518*tbo_oranKadinGenc,2),0),IF($G518="Evet",ROUND($C518*tbo_isverenOran,2),0)))</f>
        <v/>
      </c>
      <c r="K518" s="31">
        <f>IF($A518="","",IF($H518="TBO-001",IF($D518="Evet",ROUND($C518*tbo_oranBesPuan,2),0),IF($H518="TBO-002",IF($E518="Evet",ROUND($C518*tbo_oranIlave,2),0),IF($H518="TBO-004",IF($F518="Evet",ROUND($C518*tbo_oranKadinGenc,2),0),IF($H518="TBO-ENG",IF($G518="Evet",ROUND($C518*tbo_isverenOran,2),0),0)))))</f>
        <v/>
      </c>
      <c r="L518" s="31">
        <f>IF($A518="","",MAX(0,$J518-$K518))</f>
        <v/>
      </c>
    </row>
    <row r="519">
      <c r="I519" s="31">
        <f>IF($A519="","",IF($J519=0,"YOK",IF(AND($E519="Evet",ROUND($C519*tbo_oranIlave,2)=$J519),"TBO-002",IF(AND($D519="Evet",ROUND($C519*tbo_oranBesPuan,2)=$J519),"TBO-001",IF(AND($F519="Evet",ROUND($C519*tbo_oranKadinGenc,2)=$J519),"TBO-004","TBO-ENG")))))</f>
        <v/>
      </c>
      <c r="J519" s="31">
        <f>IF($A519="","",MAX(IF($D519="Evet",ROUND($C519*tbo_oranBesPuan,2),0),IF($E519="Evet",ROUND($C519*tbo_oranIlave,2),0),IF($F519="Evet",ROUND($C519*tbo_oranKadinGenc,2),0),IF($G519="Evet",ROUND($C519*tbo_isverenOran,2),0)))</f>
        <v/>
      </c>
      <c r="K519" s="31">
        <f>IF($A519="","",IF($H519="TBO-001",IF($D519="Evet",ROUND($C519*tbo_oranBesPuan,2),0),IF($H519="TBO-002",IF($E519="Evet",ROUND($C519*tbo_oranIlave,2),0),IF($H519="TBO-004",IF($F519="Evet",ROUND($C519*tbo_oranKadinGenc,2),0),IF($H519="TBO-ENG",IF($G519="Evet",ROUND($C519*tbo_isverenOran,2),0),0)))))</f>
        <v/>
      </c>
      <c r="L519" s="31">
        <f>IF($A519="","",MAX(0,$J519-$K519))</f>
        <v/>
      </c>
    </row>
    <row r="520">
      <c r="I520" s="31">
        <f>IF($A520="","",IF($J520=0,"YOK",IF(AND($E520="Evet",ROUND($C520*tbo_oranIlave,2)=$J520),"TBO-002",IF(AND($D520="Evet",ROUND($C520*tbo_oranBesPuan,2)=$J520),"TBO-001",IF(AND($F520="Evet",ROUND($C520*tbo_oranKadinGenc,2)=$J520),"TBO-004","TBO-ENG")))))</f>
        <v/>
      </c>
      <c r="J520" s="31">
        <f>IF($A520="","",MAX(IF($D520="Evet",ROUND($C520*tbo_oranBesPuan,2),0),IF($E520="Evet",ROUND($C520*tbo_oranIlave,2),0),IF($F520="Evet",ROUND($C520*tbo_oranKadinGenc,2),0),IF($G520="Evet",ROUND($C520*tbo_isverenOran,2),0)))</f>
        <v/>
      </c>
      <c r="K520" s="31">
        <f>IF($A520="","",IF($H520="TBO-001",IF($D520="Evet",ROUND($C520*tbo_oranBesPuan,2),0),IF($H520="TBO-002",IF($E520="Evet",ROUND($C520*tbo_oranIlave,2),0),IF($H520="TBO-004",IF($F520="Evet",ROUND($C520*tbo_oranKadinGenc,2),0),IF($H520="TBO-ENG",IF($G520="Evet",ROUND($C520*tbo_isverenOran,2),0),0)))))</f>
        <v/>
      </c>
      <c r="L520" s="31">
        <f>IF($A520="","",MAX(0,$J520-$K520))</f>
        <v/>
      </c>
    </row>
    <row r="521">
      <c r="I521" s="31">
        <f>IF($A521="","",IF($J521=0,"YOK",IF(AND($E521="Evet",ROUND($C521*tbo_oranIlave,2)=$J521),"TBO-002",IF(AND($D521="Evet",ROUND($C521*tbo_oranBesPuan,2)=$J521),"TBO-001",IF(AND($F521="Evet",ROUND($C521*tbo_oranKadinGenc,2)=$J521),"TBO-004","TBO-ENG")))))</f>
        <v/>
      </c>
      <c r="J521" s="31">
        <f>IF($A521="","",MAX(IF($D521="Evet",ROUND($C521*tbo_oranBesPuan,2),0),IF($E521="Evet",ROUND($C521*tbo_oranIlave,2),0),IF($F521="Evet",ROUND($C521*tbo_oranKadinGenc,2),0),IF($G521="Evet",ROUND($C521*tbo_isverenOran,2),0)))</f>
        <v/>
      </c>
      <c r="K521" s="31">
        <f>IF($A521="","",IF($H521="TBO-001",IF($D521="Evet",ROUND($C521*tbo_oranBesPuan,2),0),IF($H521="TBO-002",IF($E521="Evet",ROUND($C521*tbo_oranIlave,2),0),IF($H521="TBO-004",IF($F521="Evet",ROUND($C521*tbo_oranKadinGenc,2),0),IF($H521="TBO-ENG",IF($G521="Evet",ROUND($C521*tbo_isverenOran,2),0),0)))))</f>
        <v/>
      </c>
      <c r="L521" s="31">
        <f>IF($A521="","",MAX(0,$J521-$K521))</f>
        <v/>
      </c>
    </row>
    <row r="522">
      <c r="I522" s="31">
        <f>IF($A522="","",IF($J522=0,"YOK",IF(AND($E522="Evet",ROUND($C522*tbo_oranIlave,2)=$J522),"TBO-002",IF(AND($D522="Evet",ROUND($C522*tbo_oranBesPuan,2)=$J522),"TBO-001",IF(AND($F522="Evet",ROUND($C522*tbo_oranKadinGenc,2)=$J522),"TBO-004","TBO-ENG")))))</f>
        <v/>
      </c>
      <c r="J522" s="31">
        <f>IF($A522="","",MAX(IF($D522="Evet",ROUND($C522*tbo_oranBesPuan,2),0),IF($E522="Evet",ROUND($C522*tbo_oranIlave,2),0),IF($F522="Evet",ROUND($C522*tbo_oranKadinGenc,2),0),IF($G522="Evet",ROUND($C522*tbo_isverenOran,2),0)))</f>
        <v/>
      </c>
      <c r="K522" s="31">
        <f>IF($A522="","",IF($H522="TBO-001",IF($D522="Evet",ROUND($C522*tbo_oranBesPuan,2),0),IF($H522="TBO-002",IF($E522="Evet",ROUND($C522*tbo_oranIlave,2),0),IF($H522="TBO-004",IF($F522="Evet",ROUND($C522*tbo_oranKadinGenc,2),0),IF($H522="TBO-ENG",IF($G522="Evet",ROUND($C522*tbo_isverenOran,2),0),0)))))</f>
        <v/>
      </c>
      <c r="L522" s="31">
        <f>IF($A522="","",MAX(0,$J522-$K522))</f>
        <v/>
      </c>
    </row>
    <row r="523">
      <c r="I523" s="31">
        <f>IF($A523="","",IF($J523=0,"YOK",IF(AND($E523="Evet",ROUND($C523*tbo_oranIlave,2)=$J523),"TBO-002",IF(AND($D523="Evet",ROUND($C523*tbo_oranBesPuan,2)=$J523),"TBO-001",IF(AND($F523="Evet",ROUND($C523*tbo_oranKadinGenc,2)=$J523),"TBO-004","TBO-ENG")))))</f>
        <v/>
      </c>
      <c r="J523" s="31">
        <f>IF($A523="","",MAX(IF($D523="Evet",ROUND($C523*tbo_oranBesPuan,2),0),IF($E523="Evet",ROUND($C523*tbo_oranIlave,2),0),IF($F523="Evet",ROUND($C523*tbo_oranKadinGenc,2),0),IF($G523="Evet",ROUND($C523*tbo_isverenOran,2),0)))</f>
        <v/>
      </c>
      <c r="K523" s="31">
        <f>IF($A523="","",IF($H523="TBO-001",IF($D523="Evet",ROUND($C523*tbo_oranBesPuan,2),0),IF($H523="TBO-002",IF($E523="Evet",ROUND($C523*tbo_oranIlave,2),0),IF($H523="TBO-004",IF($F523="Evet",ROUND($C523*tbo_oranKadinGenc,2),0),IF($H523="TBO-ENG",IF($G523="Evet",ROUND($C523*tbo_isverenOran,2),0),0)))))</f>
        <v/>
      </c>
      <c r="L523" s="31">
        <f>IF($A523="","",MAX(0,$J523-$K523))</f>
        <v/>
      </c>
    </row>
    <row r="524">
      <c r="I524" s="31">
        <f>IF($A524="","",IF($J524=0,"YOK",IF(AND($E524="Evet",ROUND($C524*tbo_oranIlave,2)=$J524),"TBO-002",IF(AND($D524="Evet",ROUND($C524*tbo_oranBesPuan,2)=$J524),"TBO-001",IF(AND($F524="Evet",ROUND($C524*tbo_oranKadinGenc,2)=$J524),"TBO-004","TBO-ENG")))))</f>
        <v/>
      </c>
      <c r="J524" s="31">
        <f>IF($A524="","",MAX(IF($D524="Evet",ROUND($C524*tbo_oranBesPuan,2),0),IF($E524="Evet",ROUND($C524*tbo_oranIlave,2),0),IF($F524="Evet",ROUND($C524*tbo_oranKadinGenc,2),0),IF($G524="Evet",ROUND($C524*tbo_isverenOran,2),0)))</f>
        <v/>
      </c>
      <c r="K524" s="31">
        <f>IF($A524="","",IF($H524="TBO-001",IF($D524="Evet",ROUND($C524*tbo_oranBesPuan,2),0),IF($H524="TBO-002",IF($E524="Evet",ROUND($C524*tbo_oranIlave,2),0),IF($H524="TBO-004",IF($F524="Evet",ROUND($C524*tbo_oranKadinGenc,2),0),IF($H524="TBO-ENG",IF($G524="Evet",ROUND($C524*tbo_isverenOran,2),0),0)))))</f>
        <v/>
      </c>
      <c r="L524" s="31">
        <f>IF($A524="","",MAX(0,$J524-$K524))</f>
        <v/>
      </c>
    </row>
    <row r="525">
      <c r="I525" s="31">
        <f>IF($A525="","",IF($J525=0,"YOK",IF(AND($E525="Evet",ROUND($C525*tbo_oranIlave,2)=$J525),"TBO-002",IF(AND($D525="Evet",ROUND($C525*tbo_oranBesPuan,2)=$J525),"TBO-001",IF(AND($F525="Evet",ROUND($C525*tbo_oranKadinGenc,2)=$J525),"TBO-004","TBO-ENG")))))</f>
        <v/>
      </c>
      <c r="J525" s="31">
        <f>IF($A525="","",MAX(IF($D525="Evet",ROUND($C525*tbo_oranBesPuan,2),0),IF($E525="Evet",ROUND($C525*tbo_oranIlave,2),0),IF($F525="Evet",ROUND($C525*tbo_oranKadinGenc,2),0),IF($G525="Evet",ROUND($C525*tbo_isverenOran,2),0)))</f>
        <v/>
      </c>
      <c r="K525" s="31">
        <f>IF($A525="","",IF($H525="TBO-001",IF($D525="Evet",ROUND($C525*tbo_oranBesPuan,2),0),IF($H525="TBO-002",IF($E525="Evet",ROUND($C525*tbo_oranIlave,2),0),IF($H525="TBO-004",IF($F525="Evet",ROUND($C525*tbo_oranKadinGenc,2),0),IF($H525="TBO-ENG",IF($G525="Evet",ROUND($C525*tbo_isverenOran,2),0),0)))))</f>
        <v/>
      </c>
      <c r="L525" s="31">
        <f>IF($A525="","",MAX(0,$J525-$K525))</f>
        <v/>
      </c>
    </row>
    <row r="526">
      <c r="I526" s="31">
        <f>IF($A526="","",IF($J526=0,"YOK",IF(AND($E526="Evet",ROUND($C526*tbo_oranIlave,2)=$J526),"TBO-002",IF(AND($D526="Evet",ROUND($C526*tbo_oranBesPuan,2)=$J526),"TBO-001",IF(AND($F526="Evet",ROUND($C526*tbo_oranKadinGenc,2)=$J526),"TBO-004","TBO-ENG")))))</f>
        <v/>
      </c>
      <c r="J526" s="31">
        <f>IF($A526="","",MAX(IF($D526="Evet",ROUND($C526*tbo_oranBesPuan,2),0),IF($E526="Evet",ROUND($C526*tbo_oranIlave,2),0),IF($F526="Evet",ROUND($C526*tbo_oranKadinGenc,2),0),IF($G526="Evet",ROUND($C526*tbo_isverenOran,2),0)))</f>
        <v/>
      </c>
      <c r="K526" s="31">
        <f>IF($A526="","",IF($H526="TBO-001",IF($D526="Evet",ROUND($C526*tbo_oranBesPuan,2),0),IF($H526="TBO-002",IF($E526="Evet",ROUND($C526*tbo_oranIlave,2),0),IF($H526="TBO-004",IF($F526="Evet",ROUND($C526*tbo_oranKadinGenc,2),0),IF($H526="TBO-ENG",IF($G526="Evet",ROUND($C526*tbo_isverenOran,2),0),0)))))</f>
        <v/>
      </c>
      <c r="L526" s="31">
        <f>IF($A526="","",MAX(0,$J526-$K526))</f>
        <v/>
      </c>
    </row>
    <row r="527">
      <c r="I527" s="31">
        <f>IF($A527="","",IF($J527=0,"YOK",IF(AND($E527="Evet",ROUND($C527*tbo_oranIlave,2)=$J527),"TBO-002",IF(AND($D527="Evet",ROUND($C527*tbo_oranBesPuan,2)=$J527),"TBO-001",IF(AND($F527="Evet",ROUND($C527*tbo_oranKadinGenc,2)=$J527),"TBO-004","TBO-ENG")))))</f>
        <v/>
      </c>
      <c r="J527" s="31">
        <f>IF($A527="","",MAX(IF($D527="Evet",ROUND($C527*tbo_oranBesPuan,2),0),IF($E527="Evet",ROUND($C527*tbo_oranIlave,2),0),IF($F527="Evet",ROUND($C527*tbo_oranKadinGenc,2),0),IF($G527="Evet",ROUND($C527*tbo_isverenOran,2),0)))</f>
        <v/>
      </c>
      <c r="K527" s="31">
        <f>IF($A527="","",IF($H527="TBO-001",IF($D527="Evet",ROUND($C527*tbo_oranBesPuan,2),0),IF($H527="TBO-002",IF($E527="Evet",ROUND($C527*tbo_oranIlave,2),0),IF($H527="TBO-004",IF($F527="Evet",ROUND($C527*tbo_oranKadinGenc,2),0),IF($H527="TBO-ENG",IF($G527="Evet",ROUND($C527*tbo_isverenOran,2),0),0)))))</f>
        <v/>
      </c>
      <c r="L527" s="31">
        <f>IF($A527="","",MAX(0,$J527-$K527))</f>
        <v/>
      </c>
    </row>
    <row r="528">
      <c r="I528" s="31">
        <f>IF($A528="","",IF($J528=0,"YOK",IF(AND($E528="Evet",ROUND($C528*tbo_oranIlave,2)=$J528),"TBO-002",IF(AND($D528="Evet",ROUND($C528*tbo_oranBesPuan,2)=$J528),"TBO-001",IF(AND($F528="Evet",ROUND($C528*tbo_oranKadinGenc,2)=$J528),"TBO-004","TBO-ENG")))))</f>
        <v/>
      </c>
      <c r="J528" s="31">
        <f>IF($A528="","",MAX(IF($D528="Evet",ROUND($C528*tbo_oranBesPuan,2),0),IF($E528="Evet",ROUND($C528*tbo_oranIlave,2),0),IF($F528="Evet",ROUND($C528*tbo_oranKadinGenc,2),0),IF($G528="Evet",ROUND($C528*tbo_isverenOran,2),0)))</f>
        <v/>
      </c>
      <c r="K528" s="31">
        <f>IF($A528="","",IF($H528="TBO-001",IF($D528="Evet",ROUND($C528*tbo_oranBesPuan,2),0),IF($H528="TBO-002",IF($E528="Evet",ROUND($C528*tbo_oranIlave,2),0),IF($H528="TBO-004",IF($F528="Evet",ROUND($C528*tbo_oranKadinGenc,2),0),IF($H528="TBO-ENG",IF($G528="Evet",ROUND($C528*tbo_isverenOran,2),0),0)))))</f>
        <v/>
      </c>
      <c r="L528" s="31">
        <f>IF($A528="","",MAX(0,$J528-$K528))</f>
        <v/>
      </c>
    </row>
    <row r="529">
      <c r="I529" s="31">
        <f>IF($A529="","",IF($J529=0,"YOK",IF(AND($E529="Evet",ROUND($C529*tbo_oranIlave,2)=$J529),"TBO-002",IF(AND($D529="Evet",ROUND($C529*tbo_oranBesPuan,2)=$J529),"TBO-001",IF(AND($F529="Evet",ROUND($C529*tbo_oranKadinGenc,2)=$J529),"TBO-004","TBO-ENG")))))</f>
        <v/>
      </c>
      <c r="J529" s="31">
        <f>IF($A529="","",MAX(IF($D529="Evet",ROUND($C529*tbo_oranBesPuan,2),0),IF($E529="Evet",ROUND($C529*tbo_oranIlave,2),0),IF($F529="Evet",ROUND($C529*tbo_oranKadinGenc,2),0),IF($G529="Evet",ROUND($C529*tbo_isverenOran,2),0)))</f>
        <v/>
      </c>
      <c r="K529" s="31">
        <f>IF($A529="","",IF($H529="TBO-001",IF($D529="Evet",ROUND($C529*tbo_oranBesPuan,2),0),IF($H529="TBO-002",IF($E529="Evet",ROUND($C529*tbo_oranIlave,2),0),IF($H529="TBO-004",IF($F529="Evet",ROUND($C529*tbo_oranKadinGenc,2),0),IF($H529="TBO-ENG",IF($G529="Evet",ROUND($C529*tbo_isverenOran,2),0),0)))))</f>
        <v/>
      </c>
      <c r="L529" s="31">
        <f>IF($A529="","",MAX(0,$J529-$K529))</f>
        <v/>
      </c>
    </row>
    <row r="530">
      <c r="I530" s="31">
        <f>IF($A530="","",IF($J530=0,"YOK",IF(AND($E530="Evet",ROUND($C530*tbo_oranIlave,2)=$J530),"TBO-002",IF(AND($D530="Evet",ROUND($C530*tbo_oranBesPuan,2)=$J530),"TBO-001",IF(AND($F530="Evet",ROUND($C530*tbo_oranKadinGenc,2)=$J530),"TBO-004","TBO-ENG")))))</f>
        <v/>
      </c>
      <c r="J530" s="31">
        <f>IF($A530="","",MAX(IF($D530="Evet",ROUND($C530*tbo_oranBesPuan,2),0),IF($E530="Evet",ROUND($C530*tbo_oranIlave,2),0),IF($F530="Evet",ROUND($C530*tbo_oranKadinGenc,2),0),IF($G530="Evet",ROUND($C530*tbo_isverenOran,2),0)))</f>
        <v/>
      </c>
      <c r="K530" s="31">
        <f>IF($A530="","",IF($H530="TBO-001",IF($D530="Evet",ROUND($C530*tbo_oranBesPuan,2),0),IF($H530="TBO-002",IF($E530="Evet",ROUND($C530*tbo_oranIlave,2),0),IF($H530="TBO-004",IF($F530="Evet",ROUND($C530*tbo_oranKadinGenc,2),0),IF($H530="TBO-ENG",IF($G530="Evet",ROUND($C530*tbo_isverenOran,2),0),0)))))</f>
        <v/>
      </c>
      <c r="L530" s="31">
        <f>IF($A530="","",MAX(0,$J530-$K530))</f>
        <v/>
      </c>
    </row>
    <row r="531">
      <c r="I531" s="31">
        <f>IF($A531="","",IF($J531=0,"YOK",IF(AND($E531="Evet",ROUND($C531*tbo_oranIlave,2)=$J531),"TBO-002",IF(AND($D531="Evet",ROUND($C531*tbo_oranBesPuan,2)=$J531),"TBO-001",IF(AND($F531="Evet",ROUND($C531*tbo_oranKadinGenc,2)=$J531),"TBO-004","TBO-ENG")))))</f>
        <v/>
      </c>
      <c r="J531" s="31">
        <f>IF($A531="","",MAX(IF($D531="Evet",ROUND($C531*tbo_oranBesPuan,2),0),IF($E531="Evet",ROUND($C531*tbo_oranIlave,2),0),IF($F531="Evet",ROUND($C531*tbo_oranKadinGenc,2),0),IF($G531="Evet",ROUND($C531*tbo_isverenOran,2),0)))</f>
        <v/>
      </c>
      <c r="K531" s="31">
        <f>IF($A531="","",IF($H531="TBO-001",IF($D531="Evet",ROUND($C531*tbo_oranBesPuan,2),0),IF($H531="TBO-002",IF($E531="Evet",ROUND($C531*tbo_oranIlave,2),0),IF($H531="TBO-004",IF($F531="Evet",ROUND($C531*tbo_oranKadinGenc,2),0),IF($H531="TBO-ENG",IF($G531="Evet",ROUND($C531*tbo_isverenOran,2),0),0)))))</f>
        <v/>
      </c>
      <c r="L531" s="31">
        <f>IF($A531="","",MAX(0,$J531-$K531))</f>
        <v/>
      </c>
    </row>
    <row r="532">
      <c r="I532" s="31">
        <f>IF($A532="","",IF($J532=0,"YOK",IF(AND($E532="Evet",ROUND($C532*tbo_oranIlave,2)=$J532),"TBO-002",IF(AND($D532="Evet",ROUND($C532*tbo_oranBesPuan,2)=$J532),"TBO-001",IF(AND($F532="Evet",ROUND($C532*tbo_oranKadinGenc,2)=$J532),"TBO-004","TBO-ENG")))))</f>
        <v/>
      </c>
      <c r="J532" s="31">
        <f>IF($A532="","",MAX(IF($D532="Evet",ROUND($C532*tbo_oranBesPuan,2),0),IF($E532="Evet",ROUND($C532*tbo_oranIlave,2),0),IF($F532="Evet",ROUND($C532*tbo_oranKadinGenc,2),0),IF($G532="Evet",ROUND($C532*tbo_isverenOran,2),0)))</f>
        <v/>
      </c>
      <c r="K532" s="31">
        <f>IF($A532="","",IF($H532="TBO-001",IF($D532="Evet",ROUND($C532*tbo_oranBesPuan,2),0),IF($H532="TBO-002",IF($E532="Evet",ROUND($C532*tbo_oranIlave,2),0),IF($H532="TBO-004",IF($F532="Evet",ROUND($C532*tbo_oranKadinGenc,2),0),IF($H532="TBO-ENG",IF($G532="Evet",ROUND($C532*tbo_isverenOran,2),0),0)))))</f>
        <v/>
      </c>
      <c r="L532" s="31">
        <f>IF($A532="","",MAX(0,$J532-$K532))</f>
        <v/>
      </c>
    </row>
    <row r="533">
      <c r="I533" s="31">
        <f>IF($A533="","",IF($J533=0,"YOK",IF(AND($E533="Evet",ROUND($C533*tbo_oranIlave,2)=$J533),"TBO-002",IF(AND($D533="Evet",ROUND($C533*tbo_oranBesPuan,2)=$J533),"TBO-001",IF(AND($F533="Evet",ROUND($C533*tbo_oranKadinGenc,2)=$J533),"TBO-004","TBO-ENG")))))</f>
        <v/>
      </c>
      <c r="J533" s="31">
        <f>IF($A533="","",MAX(IF($D533="Evet",ROUND($C533*tbo_oranBesPuan,2),0),IF($E533="Evet",ROUND($C533*tbo_oranIlave,2),0),IF($F533="Evet",ROUND($C533*tbo_oranKadinGenc,2),0),IF($G533="Evet",ROUND($C533*tbo_isverenOran,2),0)))</f>
        <v/>
      </c>
      <c r="K533" s="31">
        <f>IF($A533="","",IF($H533="TBO-001",IF($D533="Evet",ROUND($C533*tbo_oranBesPuan,2),0),IF($H533="TBO-002",IF($E533="Evet",ROUND($C533*tbo_oranIlave,2),0),IF($H533="TBO-004",IF($F533="Evet",ROUND($C533*tbo_oranKadinGenc,2),0),IF($H533="TBO-ENG",IF($G533="Evet",ROUND($C533*tbo_isverenOran,2),0),0)))))</f>
        <v/>
      </c>
      <c r="L533" s="31">
        <f>IF($A533="","",MAX(0,$J533-$K533))</f>
        <v/>
      </c>
    </row>
    <row r="534">
      <c r="I534" s="31">
        <f>IF($A534="","",IF($J534=0,"YOK",IF(AND($E534="Evet",ROUND($C534*tbo_oranIlave,2)=$J534),"TBO-002",IF(AND($D534="Evet",ROUND($C534*tbo_oranBesPuan,2)=$J534),"TBO-001",IF(AND($F534="Evet",ROUND($C534*tbo_oranKadinGenc,2)=$J534),"TBO-004","TBO-ENG")))))</f>
        <v/>
      </c>
      <c r="J534" s="31">
        <f>IF($A534="","",MAX(IF($D534="Evet",ROUND($C534*tbo_oranBesPuan,2),0),IF($E534="Evet",ROUND($C534*tbo_oranIlave,2),0),IF($F534="Evet",ROUND($C534*tbo_oranKadinGenc,2),0),IF($G534="Evet",ROUND($C534*tbo_isverenOran,2),0)))</f>
        <v/>
      </c>
      <c r="K534" s="31">
        <f>IF($A534="","",IF($H534="TBO-001",IF($D534="Evet",ROUND($C534*tbo_oranBesPuan,2),0),IF($H534="TBO-002",IF($E534="Evet",ROUND($C534*tbo_oranIlave,2),0),IF($H534="TBO-004",IF($F534="Evet",ROUND($C534*tbo_oranKadinGenc,2),0),IF($H534="TBO-ENG",IF($G534="Evet",ROUND($C534*tbo_isverenOran,2),0),0)))))</f>
        <v/>
      </c>
      <c r="L534" s="31">
        <f>IF($A534="","",MAX(0,$J534-$K534))</f>
        <v/>
      </c>
    </row>
    <row r="535">
      <c r="I535" s="31">
        <f>IF($A535="","",IF($J535=0,"YOK",IF(AND($E535="Evet",ROUND($C535*tbo_oranIlave,2)=$J535),"TBO-002",IF(AND($D535="Evet",ROUND($C535*tbo_oranBesPuan,2)=$J535),"TBO-001",IF(AND($F535="Evet",ROUND($C535*tbo_oranKadinGenc,2)=$J535),"TBO-004","TBO-ENG")))))</f>
        <v/>
      </c>
      <c r="J535" s="31">
        <f>IF($A535="","",MAX(IF($D535="Evet",ROUND($C535*tbo_oranBesPuan,2),0),IF($E535="Evet",ROUND($C535*tbo_oranIlave,2),0),IF($F535="Evet",ROUND($C535*tbo_oranKadinGenc,2),0),IF($G535="Evet",ROUND($C535*tbo_isverenOran,2),0)))</f>
        <v/>
      </c>
      <c r="K535" s="31">
        <f>IF($A535="","",IF($H535="TBO-001",IF($D535="Evet",ROUND($C535*tbo_oranBesPuan,2),0),IF($H535="TBO-002",IF($E535="Evet",ROUND($C535*tbo_oranIlave,2),0),IF($H535="TBO-004",IF($F535="Evet",ROUND($C535*tbo_oranKadinGenc,2),0),IF($H535="TBO-ENG",IF($G535="Evet",ROUND($C535*tbo_isverenOran,2),0),0)))))</f>
        <v/>
      </c>
      <c r="L535" s="31">
        <f>IF($A535="","",MAX(0,$J535-$K535))</f>
        <v/>
      </c>
    </row>
    <row r="536">
      <c r="I536" s="31">
        <f>IF($A536="","",IF($J536=0,"YOK",IF(AND($E536="Evet",ROUND($C536*tbo_oranIlave,2)=$J536),"TBO-002",IF(AND($D536="Evet",ROUND($C536*tbo_oranBesPuan,2)=$J536),"TBO-001",IF(AND($F536="Evet",ROUND($C536*tbo_oranKadinGenc,2)=$J536),"TBO-004","TBO-ENG")))))</f>
        <v/>
      </c>
      <c r="J536" s="31">
        <f>IF($A536="","",MAX(IF($D536="Evet",ROUND($C536*tbo_oranBesPuan,2),0),IF($E536="Evet",ROUND($C536*tbo_oranIlave,2),0),IF($F536="Evet",ROUND($C536*tbo_oranKadinGenc,2),0),IF($G536="Evet",ROUND($C536*tbo_isverenOran,2),0)))</f>
        <v/>
      </c>
      <c r="K536" s="31">
        <f>IF($A536="","",IF($H536="TBO-001",IF($D536="Evet",ROUND($C536*tbo_oranBesPuan,2),0),IF($H536="TBO-002",IF($E536="Evet",ROUND($C536*tbo_oranIlave,2),0),IF($H536="TBO-004",IF($F536="Evet",ROUND($C536*tbo_oranKadinGenc,2),0),IF($H536="TBO-ENG",IF($G536="Evet",ROUND($C536*tbo_isverenOran,2),0),0)))))</f>
        <v/>
      </c>
      <c r="L536" s="31">
        <f>IF($A536="","",MAX(0,$J536-$K536))</f>
        <v/>
      </c>
    </row>
    <row r="537">
      <c r="I537" s="31">
        <f>IF($A537="","",IF($J537=0,"YOK",IF(AND($E537="Evet",ROUND($C537*tbo_oranIlave,2)=$J537),"TBO-002",IF(AND($D537="Evet",ROUND($C537*tbo_oranBesPuan,2)=$J537),"TBO-001",IF(AND($F537="Evet",ROUND($C537*tbo_oranKadinGenc,2)=$J537),"TBO-004","TBO-ENG")))))</f>
        <v/>
      </c>
      <c r="J537" s="31">
        <f>IF($A537="","",MAX(IF($D537="Evet",ROUND($C537*tbo_oranBesPuan,2),0),IF($E537="Evet",ROUND($C537*tbo_oranIlave,2),0),IF($F537="Evet",ROUND($C537*tbo_oranKadinGenc,2),0),IF($G537="Evet",ROUND($C537*tbo_isverenOran,2),0)))</f>
        <v/>
      </c>
      <c r="K537" s="31">
        <f>IF($A537="","",IF($H537="TBO-001",IF($D537="Evet",ROUND($C537*tbo_oranBesPuan,2),0),IF($H537="TBO-002",IF($E537="Evet",ROUND($C537*tbo_oranIlave,2),0),IF($H537="TBO-004",IF($F537="Evet",ROUND($C537*tbo_oranKadinGenc,2),0),IF($H537="TBO-ENG",IF($G537="Evet",ROUND($C537*tbo_isverenOran,2),0),0)))))</f>
        <v/>
      </c>
      <c r="L537" s="31">
        <f>IF($A537="","",MAX(0,$J537-$K537))</f>
        <v/>
      </c>
    </row>
    <row r="538">
      <c r="I538" s="31">
        <f>IF($A538="","",IF($J538=0,"YOK",IF(AND($E538="Evet",ROUND($C538*tbo_oranIlave,2)=$J538),"TBO-002",IF(AND($D538="Evet",ROUND($C538*tbo_oranBesPuan,2)=$J538),"TBO-001",IF(AND($F538="Evet",ROUND($C538*tbo_oranKadinGenc,2)=$J538),"TBO-004","TBO-ENG")))))</f>
        <v/>
      </c>
      <c r="J538" s="31">
        <f>IF($A538="","",MAX(IF($D538="Evet",ROUND($C538*tbo_oranBesPuan,2),0),IF($E538="Evet",ROUND($C538*tbo_oranIlave,2),0),IF($F538="Evet",ROUND($C538*tbo_oranKadinGenc,2),0),IF($G538="Evet",ROUND($C538*tbo_isverenOran,2),0)))</f>
        <v/>
      </c>
      <c r="K538" s="31">
        <f>IF($A538="","",IF($H538="TBO-001",IF($D538="Evet",ROUND($C538*tbo_oranBesPuan,2),0),IF($H538="TBO-002",IF($E538="Evet",ROUND($C538*tbo_oranIlave,2),0),IF($H538="TBO-004",IF($F538="Evet",ROUND($C538*tbo_oranKadinGenc,2),0),IF($H538="TBO-ENG",IF($G538="Evet",ROUND($C538*tbo_isverenOran,2),0),0)))))</f>
        <v/>
      </c>
      <c r="L538" s="31">
        <f>IF($A538="","",MAX(0,$J538-$K538))</f>
        <v/>
      </c>
    </row>
    <row r="539">
      <c r="I539" s="31">
        <f>IF($A539="","",IF($J539=0,"YOK",IF(AND($E539="Evet",ROUND($C539*tbo_oranIlave,2)=$J539),"TBO-002",IF(AND($D539="Evet",ROUND($C539*tbo_oranBesPuan,2)=$J539),"TBO-001",IF(AND($F539="Evet",ROUND($C539*tbo_oranKadinGenc,2)=$J539),"TBO-004","TBO-ENG")))))</f>
        <v/>
      </c>
      <c r="J539" s="31">
        <f>IF($A539="","",MAX(IF($D539="Evet",ROUND($C539*tbo_oranBesPuan,2),0),IF($E539="Evet",ROUND($C539*tbo_oranIlave,2),0),IF($F539="Evet",ROUND($C539*tbo_oranKadinGenc,2),0),IF($G539="Evet",ROUND($C539*tbo_isverenOran,2),0)))</f>
        <v/>
      </c>
      <c r="K539" s="31">
        <f>IF($A539="","",IF($H539="TBO-001",IF($D539="Evet",ROUND($C539*tbo_oranBesPuan,2),0),IF($H539="TBO-002",IF($E539="Evet",ROUND($C539*tbo_oranIlave,2),0),IF($H539="TBO-004",IF($F539="Evet",ROUND($C539*tbo_oranKadinGenc,2),0),IF($H539="TBO-ENG",IF($G539="Evet",ROUND($C539*tbo_isverenOran,2),0),0)))))</f>
        <v/>
      </c>
      <c r="L539" s="31">
        <f>IF($A539="","",MAX(0,$J539-$K539))</f>
        <v/>
      </c>
    </row>
    <row r="540">
      <c r="I540" s="31">
        <f>IF($A540="","",IF($J540=0,"YOK",IF(AND($E540="Evet",ROUND($C540*tbo_oranIlave,2)=$J540),"TBO-002",IF(AND($D540="Evet",ROUND($C540*tbo_oranBesPuan,2)=$J540),"TBO-001",IF(AND($F540="Evet",ROUND($C540*tbo_oranKadinGenc,2)=$J540),"TBO-004","TBO-ENG")))))</f>
        <v/>
      </c>
      <c r="J540" s="31">
        <f>IF($A540="","",MAX(IF($D540="Evet",ROUND($C540*tbo_oranBesPuan,2),0),IF($E540="Evet",ROUND($C540*tbo_oranIlave,2),0),IF($F540="Evet",ROUND($C540*tbo_oranKadinGenc,2),0),IF($G540="Evet",ROUND($C540*tbo_isverenOran,2),0)))</f>
        <v/>
      </c>
      <c r="K540" s="31">
        <f>IF($A540="","",IF($H540="TBO-001",IF($D540="Evet",ROUND($C540*tbo_oranBesPuan,2),0),IF($H540="TBO-002",IF($E540="Evet",ROUND($C540*tbo_oranIlave,2),0),IF($H540="TBO-004",IF($F540="Evet",ROUND($C540*tbo_oranKadinGenc,2),0),IF($H540="TBO-ENG",IF($G540="Evet",ROUND($C540*tbo_isverenOran,2),0),0)))))</f>
        <v/>
      </c>
      <c r="L540" s="31">
        <f>IF($A540="","",MAX(0,$J540-$K540))</f>
        <v/>
      </c>
    </row>
    <row r="541">
      <c r="I541" s="31">
        <f>IF($A541="","",IF($J541=0,"YOK",IF(AND($E541="Evet",ROUND($C541*tbo_oranIlave,2)=$J541),"TBO-002",IF(AND($D541="Evet",ROUND($C541*tbo_oranBesPuan,2)=$J541),"TBO-001",IF(AND($F541="Evet",ROUND($C541*tbo_oranKadinGenc,2)=$J541),"TBO-004","TBO-ENG")))))</f>
        <v/>
      </c>
      <c r="J541" s="31">
        <f>IF($A541="","",MAX(IF($D541="Evet",ROUND($C541*tbo_oranBesPuan,2),0),IF($E541="Evet",ROUND($C541*tbo_oranIlave,2),0),IF($F541="Evet",ROUND($C541*tbo_oranKadinGenc,2),0),IF($G541="Evet",ROUND($C541*tbo_isverenOran,2),0)))</f>
        <v/>
      </c>
      <c r="K541" s="31">
        <f>IF($A541="","",IF($H541="TBO-001",IF($D541="Evet",ROUND($C541*tbo_oranBesPuan,2),0),IF($H541="TBO-002",IF($E541="Evet",ROUND($C541*tbo_oranIlave,2),0),IF($H541="TBO-004",IF($F541="Evet",ROUND($C541*tbo_oranKadinGenc,2),0),IF($H541="TBO-ENG",IF($G541="Evet",ROUND($C541*tbo_isverenOran,2),0),0)))))</f>
        <v/>
      </c>
      <c r="L541" s="31">
        <f>IF($A541="","",MAX(0,$J541-$K541))</f>
        <v/>
      </c>
    </row>
    <row r="542">
      <c r="I542" s="31">
        <f>IF($A542="","",IF($J542=0,"YOK",IF(AND($E542="Evet",ROUND($C542*tbo_oranIlave,2)=$J542),"TBO-002",IF(AND($D542="Evet",ROUND($C542*tbo_oranBesPuan,2)=$J542),"TBO-001",IF(AND($F542="Evet",ROUND($C542*tbo_oranKadinGenc,2)=$J542),"TBO-004","TBO-ENG")))))</f>
        <v/>
      </c>
      <c r="J542" s="31">
        <f>IF($A542="","",MAX(IF($D542="Evet",ROUND($C542*tbo_oranBesPuan,2),0),IF($E542="Evet",ROUND($C542*tbo_oranIlave,2),0),IF($F542="Evet",ROUND($C542*tbo_oranKadinGenc,2),0),IF($G542="Evet",ROUND($C542*tbo_isverenOran,2),0)))</f>
        <v/>
      </c>
      <c r="K542" s="31">
        <f>IF($A542="","",IF($H542="TBO-001",IF($D542="Evet",ROUND($C542*tbo_oranBesPuan,2),0),IF($H542="TBO-002",IF($E542="Evet",ROUND($C542*tbo_oranIlave,2),0),IF($H542="TBO-004",IF($F542="Evet",ROUND($C542*tbo_oranKadinGenc,2),0),IF($H542="TBO-ENG",IF($G542="Evet",ROUND($C542*tbo_isverenOran,2),0),0)))))</f>
        <v/>
      </c>
      <c r="L542" s="31">
        <f>IF($A542="","",MAX(0,$J542-$K542))</f>
        <v/>
      </c>
    </row>
    <row r="543">
      <c r="I543" s="31">
        <f>IF($A543="","",IF($J543=0,"YOK",IF(AND($E543="Evet",ROUND($C543*tbo_oranIlave,2)=$J543),"TBO-002",IF(AND($D543="Evet",ROUND($C543*tbo_oranBesPuan,2)=$J543),"TBO-001",IF(AND($F543="Evet",ROUND($C543*tbo_oranKadinGenc,2)=$J543),"TBO-004","TBO-ENG")))))</f>
        <v/>
      </c>
      <c r="J543" s="31">
        <f>IF($A543="","",MAX(IF($D543="Evet",ROUND($C543*tbo_oranBesPuan,2),0),IF($E543="Evet",ROUND($C543*tbo_oranIlave,2),0),IF($F543="Evet",ROUND($C543*tbo_oranKadinGenc,2),0),IF($G543="Evet",ROUND($C543*tbo_isverenOran,2),0)))</f>
        <v/>
      </c>
      <c r="K543" s="31">
        <f>IF($A543="","",IF($H543="TBO-001",IF($D543="Evet",ROUND($C543*tbo_oranBesPuan,2),0),IF($H543="TBO-002",IF($E543="Evet",ROUND($C543*tbo_oranIlave,2),0),IF($H543="TBO-004",IF($F543="Evet",ROUND($C543*tbo_oranKadinGenc,2),0),IF($H543="TBO-ENG",IF($G543="Evet",ROUND($C543*tbo_isverenOran,2),0),0)))))</f>
        <v/>
      </c>
      <c r="L543" s="31">
        <f>IF($A543="","",MAX(0,$J543-$K543))</f>
        <v/>
      </c>
    </row>
    <row r="544">
      <c r="I544" s="31">
        <f>IF($A544="","",IF($J544=0,"YOK",IF(AND($E544="Evet",ROUND($C544*tbo_oranIlave,2)=$J544),"TBO-002",IF(AND($D544="Evet",ROUND($C544*tbo_oranBesPuan,2)=$J544),"TBO-001",IF(AND($F544="Evet",ROUND($C544*tbo_oranKadinGenc,2)=$J544),"TBO-004","TBO-ENG")))))</f>
        <v/>
      </c>
      <c r="J544" s="31">
        <f>IF($A544="","",MAX(IF($D544="Evet",ROUND($C544*tbo_oranBesPuan,2),0),IF($E544="Evet",ROUND($C544*tbo_oranIlave,2),0),IF($F544="Evet",ROUND($C544*tbo_oranKadinGenc,2),0),IF($G544="Evet",ROUND($C544*tbo_isverenOran,2),0)))</f>
        <v/>
      </c>
      <c r="K544" s="31">
        <f>IF($A544="","",IF($H544="TBO-001",IF($D544="Evet",ROUND($C544*tbo_oranBesPuan,2),0),IF($H544="TBO-002",IF($E544="Evet",ROUND($C544*tbo_oranIlave,2),0),IF($H544="TBO-004",IF($F544="Evet",ROUND($C544*tbo_oranKadinGenc,2),0),IF($H544="TBO-ENG",IF($G544="Evet",ROUND($C544*tbo_isverenOran,2),0),0)))))</f>
        <v/>
      </c>
      <c r="L544" s="31">
        <f>IF($A544="","",MAX(0,$J544-$K544))</f>
        <v/>
      </c>
    </row>
    <row r="545">
      <c r="I545" s="31">
        <f>IF($A545="","",IF($J545=0,"YOK",IF(AND($E545="Evet",ROUND($C545*tbo_oranIlave,2)=$J545),"TBO-002",IF(AND($D545="Evet",ROUND($C545*tbo_oranBesPuan,2)=$J545),"TBO-001",IF(AND($F545="Evet",ROUND($C545*tbo_oranKadinGenc,2)=$J545),"TBO-004","TBO-ENG")))))</f>
        <v/>
      </c>
      <c r="J545" s="31">
        <f>IF($A545="","",MAX(IF($D545="Evet",ROUND($C545*tbo_oranBesPuan,2),0),IF($E545="Evet",ROUND($C545*tbo_oranIlave,2),0),IF($F545="Evet",ROUND($C545*tbo_oranKadinGenc,2),0),IF($G545="Evet",ROUND($C545*tbo_isverenOran,2),0)))</f>
        <v/>
      </c>
      <c r="K545" s="31">
        <f>IF($A545="","",IF($H545="TBO-001",IF($D545="Evet",ROUND($C545*tbo_oranBesPuan,2),0),IF($H545="TBO-002",IF($E545="Evet",ROUND($C545*tbo_oranIlave,2),0),IF($H545="TBO-004",IF($F545="Evet",ROUND($C545*tbo_oranKadinGenc,2),0),IF($H545="TBO-ENG",IF($G545="Evet",ROUND($C545*tbo_isverenOran,2),0),0)))))</f>
        <v/>
      </c>
      <c r="L545" s="31">
        <f>IF($A545="","",MAX(0,$J545-$K545))</f>
        <v/>
      </c>
    </row>
    <row r="546">
      <c r="I546" s="31">
        <f>IF($A546="","",IF($J546=0,"YOK",IF(AND($E546="Evet",ROUND($C546*tbo_oranIlave,2)=$J546),"TBO-002",IF(AND($D546="Evet",ROUND($C546*tbo_oranBesPuan,2)=$J546),"TBO-001",IF(AND($F546="Evet",ROUND($C546*tbo_oranKadinGenc,2)=$J546),"TBO-004","TBO-ENG")))))</f>
        <v/>
      </c>
      <c r="J546" s="31">
        <f>IF($A546="","",MAX(IF($D546="Evet",ROUND($C546*tbo_oranBesPuan,2),0),IF($E546="Evet",ROUND($C546*tbo_oranIlave,2),0),IF($F546="Evet",ROUND($C546*tbo_oranKadinGenc,2),0),IF($G546="Evet",ROUND($C546*tbo_isverenOran,2),0)))</f>
        <v/>
      </c>
      <c r="K546" s="31">
        <f>IF($A546="","",IF($H546="TBO-001",IF($D546="Evet",ROUND($C546*tbo_oranBesPuan,2),0),IF($H546="TBO-002",IF($E546="Evet",ROUND($C546*tbo_oranIlave,2),0),IF($H546="TBO-004",IF($F546="Evet",ROUND($C546*tbo_oranKadinGenc,2),0),IF($H546="TBO-ENG",IF($G546="Evet",ROUND($C546*tbo_isverenOran,2),0),0)))))</f>
        <v/>
      </c>
      <c r="L546" s="31">
        <f>IF($A546="","",MAX(0,$J546-$K546))</f>
        <v/>
      </c>
    </row>
    <row r="547">
      <c r="I547" s="31">
        <f>IF($A547="","",IF($J547=0,"YOK",IF(AND($E547="Evet",ROUND($C547*tbo_oranIlave,2)=$J547),"TBO-002",IF(AND($D547="Evet",ROUND($C547*tbo_oranBesPuan,2)=$J547),"TBO-001",IF(AND($F547="Evet",ROUND($C547*tbo_oranKadinGenc,2)=$J547),"TBO-004","TBO-ENG")))))</f>
        <v/>
      </c>
      <c r="J547" s="31">
        <f>IF($A547="","",MAX(IF($D547="Evet",ROUND($C547*tbo_oranBesPuan,2),0),IF($E547="Evet",ROUND($C547*tbo_oranIlave,2),0),IF($F547="Evet",ROUND($C547*tbo_oranKadinGenc,2),0),IF($G547="Evet",ROUND($C547*tbo_isverenOran,2),0)))</f>
        <v/>
      </c>
      <c r="K547" s="31">
        <f>IF($A547="","",IF($H547="TBO-001",IF($D547="Evet",ROUND($C547*tbo_oranBesPuan,2),0),IF($H547="TBO-002",IF($E547="Evet",ROUND($C547*tbo_oranIlave,2),0),IF($H547="TBO-004",IF($F547="Evet",ROUND($C547*tbo_oranKadinGenc,2),0),IF($H547="TBO-ENG",IF($G547="Evet",ROUND($C547*tbo_isverenOran,2),0),0)))))</f>
        <v/>
      </c>
      <c r="L547" s="31">
        <f>IF($A547="","",MAX(0,$J547-$K547))</f>
        <v/>
      </c>
    </row>
    <row r="548">
      <c r="I548" s="31">
        <f>IF($A548="","",IF($J548=0,"YOK",IF(AND($E548="Evet",ROUND($C548*tbo_oranIlave,2)=$J548),"TBO-002",IF(AND($D548="Evet",ROUND($C548*tbo_oranBesPuan,2)=$J548),"TBO-001",IF(AND($F548="Evet",ROUND($C548*tbo_oranKadinGenc,2)=$J548),"TBO-004","TBO-ENG")))))</f>
        <v/>
      </c>
      <c r="J548" s="31">
        <f>IF($A548="","",MAX(IF($D548="Evet",ROUND($C548*tbo_oranBesPuan,2),0),IF($E548="Evet",ROUND($C548*tbo_oranIlave,2),0),IF($F548="Evet",ROUND($C548*tbo_oranKadinGenc,2),0),IF($G548="Evet",ROUND($C548*tbo_isverenOran,2),0)))</f>
        <v/>
      </c>
      <c r="K548" s="31">
        <f>IF($A548="","",IF($H548="TBO-001",IF($D548="Evet",ROUND($C548*tbo_oranBesPuan,2),0),IF($H548="TBO-002",IF($E548="Evet",ROUND($C548*tbo_oranIlave,2),0),IF($H548="TBO-004",IF($F548="Evet",ROUND($C548*tbo_oranKadinGenc,2),0),IF($H548="TBO-ENG",IF($G548="Evet",ROUND($C548*tbo_isverenOran,2),0),0)))))</f>
        <v/>
      </c>
      <c r="L548" s="31">
        <f>IF($A548="","",MAX(0,$J548-$K548))</f>
        <v/>
      </c>
    </row>
    <row r="549">
      <c r="I549" s="31">
        <f>IF($A549="","",IF($J549=0,"YOK",IF(AND($E549="Evet",ROUND($C549*tbo_oranIlave,2)=$J549),"TBO-002",IF(AND($D549="Evet",ROUND($C549*tbo_oranBesPuan,2)=$J549),"TBO-001",IF(AND($F549="Evet",ROUND($C549*tbo_oranKadinGenc,2)=$J549),"TBO-004","TBO-ENG")))))</f>
        <v/>
      </c>
      <c r="J549" s="31">
        <f>IF($A549="","",MAX(IF($D549="Evet",ROUND($C549*tbo_oranBesPuan,2),0),IF($E549="Evet",ROUND($C549*tbo_oranIlave,2),0),IF($F549="Evet",ROUND($C549*tbo_oranKadinGenc,2),0),IF($G549="Evet",ROUND($C549*tbo_isverenOran,2),0)))</f>
        <v/>
      </c>
      <c r="K549" s="31">
        <f>IF($A549="","",IF($H549="TBO-001",IF($D549="Evet",ROUND($C549*tbo_oranBesPuan,2),0),IF($H549="TBO-002",IF($E549="Evet",ROUND($C549*tbo_oranIlave,2),0),IF($H549="TBO-004",IF($F549="Evet",ROUND($C549*tbo_oranKadinGenc,2),0),IF($H549="TBO-ENG",IF($G549="Evet",ROUND($C549*tbo_isverenOran,2),0),0)))))</f>
        <v/>
      </c>
      <c r="L549" s="31">
        <f>IF($A549="","",MAX(0,$J549-$K549))</f>
        <v/>
      </c>
    </row>
    <row r="550">
      <c r="I550" s="31">
        <f>IF($A550="","",IF($J550=0,"YOK",IF(AND($E550="Evet",ROUND($C550*tbo_oranIlave,2)=$J550),"TBO-002",IF(AND($D550="Evet",ROUND($C550*tbo_oranBesPuan,2)=$J550),"TBO-001",IF(AND($F550="Evet",ROUND($C550*tbo_oranKadinGenc,2)=$J550),"TBO-004","TBO-ENG")))))</f>
        <v/>
      </c>
      <c r="J550" s="31">
        <f>IF($A550="","",MAX(IF($D550="Evet",ROUND($C550*tbo_oranBesPuan,2),0),IF($E550="Evet",ROUND($C550*tbo_oranIlave,2),0),IF($F550="Evet",ROUND($C550*tbo_oranKadinGenc,2),0),IF($G550="Evet",ROUND($C550*tbo_isverenOran,2),0)))</f>
        <v/>
      </c>
      <c r="K550" s="31">
        <f>IF($A550="","",IF($H550="TBO-001",IF($D550="Evet",ROUND($C550*tbo_oranBesPuan,2),0),IF($H550="TBO-002",IF($E550="Evet",ROUND($C550*tbo_oranIlave,2),0),IF($H550="TBO-004",IF($F550="Evet",ROUND($C550*tbo_oranKadinGenc,2),0),IF($H550="TBO-ENG",IF($G550="Evet",ROUND($C550*tbo_isverenOran,2),0),0)))))</f>
        <v/>
      </c>
      <c r="L550" s="31">
        <f>IF($A550="","",MAX(0,$J550-$K550))</f>
        <v/>
      </c>
    </row>
    <row r="551">
      <c r="I551" s="31">
        <f>IF($A551="","",IF($J551=0,"YOK",IF(AND($E551="Evet",ROUND($C551*tbo_oranIlave,2)=$J551),"TBO-002",IF(AND($D551="Evet",ROUND($C551*tbo_oranBesPuan,2)=$J551),"TBO-001",IF(AND($F551="Evet",ROUND($C551*tbo_oranKadinGenc,2)=$J551),"TBO-004","TBO-ENG")))))</f>
        <v/>
      </c>
      <c r="J551" s="31">
        <f>IF($A551="","",MAX(IF($D551="Evet",ROUND($C551*tbo_oranBesPuan,2),0),IF($E551="Evet",ROUND($C551*tbo_oranIlave,2),0),IF($F551="Evet",ROUND($C551*tbo_oranKadinGenc,2),0),IF($G551="Evet",ROUND($C551*tbo_isverenOran,2),0)))</f>
        <v/>
      </c>
      <c r="K551" s="31">
        <f>IF($A551="","",IF($H551="TBO-001",IF($D551="Evet",ROUND($C551*tbo_oranBesPuan,2),0),IF($H551="TBO-002",IF($E551="Evet",ROUND($C551*tbo_oranIlave,2),0),IF($H551="TBO-004",IF($F551="Evet",ROUND($C551*tbo_oranKadinGenc,2),0),IF($H551="TBO-ENG",IF($G551="Evet",ROUND($C551*tbo_isverenOran,2),0),0)))))</f>
        <v/>
      </c>
      <c r="L551" s="31">
        <f>IF($A551="","",MAX(0,$J551-$K551))</f>
        <v/>
      </c>
    </row>
    <row r="552">
      <c r="I552" s="31">
        <f>IF($A552="","",IF($J552=0,"YOK",IF(AND($E552="Evet",ROUND($C552*tbo_oranIlave,2)=$J552),"TBO-002",IF(AND($D552="Evet",ROUND($C552*tbo_oranBesPuan,2)=$J552),"TBO-001",IF(AND($F552="Evet",ROUND($C552*tbo_oranKadinGenc,2)=$J552),"TBO-004","TBO-ENG")))))</f>
        <v/>
      </c>
      <c r="J552" s="31">
        <f>IF($A552="","",MAX(IF($D552="Evet",ROUND($C552*tbo_oranBesPuan,2),0),IF($E552="Evet",ROUND($C552*tbo_oranIlave,2),0),IF($F552="Evet",ROUND($C552*tbo_oranKadinGenc,2),0),IF($G552="Evet",ROUND($C552*tbo_isverenOran,2),0)))</f>
        <v/>
      </c>
      <c r="K552" s="31">
        <f>IF($A552="","",IF($H552="TBO-001",IF($D552="Evet",ROUND($C552*tbo_oranBesPuan,2),0),IF($H552="TBO-002",IF($E552="Evet",ROUND($C552*tbo_oranIlave,2),0),IF($H552="TBO-004",IF($F552="Evet",ROUND($C552*tbo_oranKadinGenc,2),0),IF($H552="TBO-ENG",IF($G552="Evet",ROUND($C552*tbo_isverenOran,2),0),0)))))</f>
        <v/>
      </c>
      <c r="L552" s="31">
        <f>IF($A552="","",MAX(0,$J552-$K552))</f>
        <v/>
      </c>
    </row>
    <row r="553">
      <c r="I553" s="31">
        <f>IF($A553="","",IF($J553=0,"YOK",IF(AND($E553="Evet",ROUND($C553*tbo_oranIlave,2)=$J553),"TBO-002",IF(AND($D553="Evet",ROUND($C553*tbo_oranBesPuan,2)=$J553),"TBO-001",IF(AND($F553="Evet",ROUND($C553*tbo_oranKadinGenc,2)=$J553),"TBO-004","TBO-ENG")))))</f>
        <v/>
      </c>
      <c r="J553" s="31">
        <f>IF($A553="","",MAX(IF($D553="Evet",ROUND($C553*tbo_oranBesPuan,2),0),IF($E553="Evet",ROUND($C553*tbo_oranIlave,2),0),IF($F553="Evet",ROUND($C553*tbo_oranKadinGenc,2),0),IF($G553="Evet",ROUND($C553*tbo_isverenOran,2),0)))</f>
        <v/>
      </c>
      <c r="K553" s="31">
        <f>IF($A553="","",IF($H553="TBO-001",IF($D553="Evet",ROUND($C553*tbo_oranBesPuan,2),0),IF($H553="TBO-002",IF($E553="Evet",ROUND($C553*tbo_oranIlave,2),0),IF($H553="TBO-004",IF($F553="Evet",ROUND($C553*tbo_oranKadinGenc,2),0),IF($H553="TBO-ENG",IF($G553="Evet",ROUND($C553*tbo_isverenOran,2),0),0)))))</f>
        <v/>
      </c>
      <c r="L553" s="31">
        <f>IF($A553="","",MAX(0,$J553-$K553))</f>
        <v/>
      </c>
    </row>
    <row r="554">
      <c r="I554" s="31">
        <f>IF($A554="","",IF($J554=0,"YOK",IF(AND($E554="Evet",ROUND($C554*tbo_oranIlave,2)=$J554),"TBO-002",IF(AND($D554="Evet",ROUND($C554*tbo_oranBesPuan,2)=$J554),"TBO-001",IF(AND($F554="Evet",ROUND($C554*tbo_oranKadinGenc,2)=$J554),"TBO-004","TBO-ENG")))))</f>
        <v/>
      </c>
      <c r="J554" s="31">
        <f>IF($A554="","",MAX(IF($D554="Evet",ROUND($C554*tbo_oranBesPuan,2),0),IF($E554="Evet",ROUND($C554*tbo_oranIlave,2),0),IF($F554="Evet",ROUND($C554*tbo_oranKadinGenc,2),0),IF($G554="Evet",ROUND($C554*tbo_isverenOran,2),0)))</f>
        <v/>
      </c>
      <c r="K554" s="31">
        <f>IF($A554="","",IF($H554="TBO-001",IF($D554="Evet",ROUND($C554*tbo_oranBesPuan,2),0),IF($H554="TBO-002",IF($E554="Evet",ROUND($C554*tbo_oranIlave,2),0),IF($H554="TBO-004",IF($F554="Evet",ROUND($C554*tbo_oranKadinGenc,2),0),IF($H554="TBO-ENG",IF($G554="Evet",ROUND($C554*tbo_isverenOran,2),0),0)))))</f>
        <v/>
      </c>
      <c r="L554" s="31">
        <f>IF($A554="","",MAX(0,$J554-$K554))</f>
        <v/>
      </c>
    </row>
    <row r="555">
      <c r="I555" s="31">
        <f>IF($A555="","",IF($J555=0,"YOK",IF(AND($E555="Evet",ROUND($C555*tbo_oranIlave,2)=$J555),"TBO-002",IF(AND($D555="Evet",ROUND($C555*tbo_oranBesPuan,2)=$J555),"TBO-001",IF(AND($F555="Evet",ROUND($C555*tbo_oranKadinGenc,2)=$J555),"TBO-004","TBO-ENG")))))</f>
        <v/>
      </c>
      <c r="J555" s="31">
        <f>IF($A555="","",MAX(IF($D555="Evet",ROUND($C555*tbo_oranBesPuan,2),0),IF($E555="Evet",ROUND($C555*tbo_oranIlave,2),0),IF($F555="Evet",ROUND($C555*tbo_oranKadinGenc,2),0),IF($G555="Evet",ROUND($C555*tbo_isverenOran,2),0)))</f>
        <v/>
      </c>
      <c r="K555" s="31">
        <f>IF($A555="","",IF($H555="TBO-001",IF($D555="Evet",ROUND($C555*tbo_oranBesPuan,2),0),IF($H555="TBO-002",IF($E555="Evet",ROUND($C555*tbo_oranIlave,2),0),IF($H555="TBO-004",IF($F555="Evet",ROUND($C555*tbo_oranKadinGenc,2),0),IF($H555="TBO-ENG",IF($G555="Evet",ROUND($C555*tbo_isverenOran,2),0),0)))))</f>
        <v/>
      </c>
      <c r="L555" s="31">
        <f>IF($A555="","",MAX(0,$J555-$K555))</f>
        <v/>
      </c>
    </row>
    <row r="556">
      <c r="I556" s="31">
        <f>IF($A556="","",IF($J556=0,"YOK",IF(AND($E556="Evet",ROUND($C556*tbo_oranIlave,2)=$J556),"TBO-002",IF(AND($D556="Evet",ROUND($C556*tbo_oranBesPuan,2)=$J556),"TBO-001",IF(AND($F556="Evet",ROUND($C556*tbo_oranKadinGenc,2)=$J556),"TBO-004","TBO-ENG")))))</f>
        <v/>
      </c>
      <c r="J556" s="31">
        <f>IF($A556="","",MAX(IF($D556="Evet",ROUND($C556*tbo_oranBesPuan,2),0),IF($E556="Evet",ROUND($C556*tbo_oranIlave,2),0),IF($F556="Evet",ROUND($C556*tbo_oranKadinGenc,2),0),IF($G556="Evet",ROUND($C556*tbo_isverenOran,2),0)))</f>
        <v/>
      </c>
      <c r="K556" s="31">
        <f>IF($A556="","",IF($H556="TBO-001",IF($D556="Evet",ROUND($C556*tbo_oranBesPuan,2),0),IF($H556="TBO-002",IF($E556="Evet",ROUND($C556*tbo_oranIlave,2),0),IF($H556="TBO-004",IF($F556="Evet",ROUND($C556*tbo_oranKadinGenc,2),0),IF($H556="TBO-ENG",IF($G556="Evet",ROUND($C556*tbo_isverenOran,2),0),0)))))</f>
        <v/>
      </c>
      <c r="L556" s="31">
        <f>IF($A556="","",MAX(0,$J556-$K556))</f>
        <v/>
      </c>
    </row>
    <row r="557">
      <c r="I557" s="31">
        <f>IF($A557="","",IF($J557=0,"YOK",IF(AND($E557="Evet",ROUND($C557*tbo_oranIlave,2)=$J557),"TBO-002",IF(AND($D557="Evet",ROUND($C557*tbo_oranBesPuan,2)=$J557),"TBO-001",IF(AND($F557="Evet",ROUND($C557*tbo_oranKadinGenc,2)=$J557),"TBO-004","TBO-ENG")))))</f>
        <v/>
      </c>
      <c r="J557" s="31">
        <f>IF($A557="","",MAX(IF($D557="Evet",ROUND($C557*tbo_oranBesPuan,2),0),IF($E557="Evet",ROUND($C557*tbo_oranIlave,2),0),IF($F557="Evet",ROUND($C557*tbo_oranKadinGenc,2),0),IF($G557="Evet",ROUND($C557*tbo_isverenOran,2),0)))</f>
        <v/>
      </c>
      <c r="K557" s="31">
        <f>IF($A557="","",IF($H557="TBO-001",IF($D557="Evet",ROUND($C557*tbo_oranBesPuan,2),0),IF($H557="TBO-002",IF($E557="Evet",ROUND($C557*tbo_oranIlave,2),0),IF($H557="TBO-004",IF($F557="Evet",ROUND($C557*tbo_oranKadinGenc,2),0),IF($H557="TBO-ENG",IF($G557="Evet",ROUND($C557*tbo_isverenOran,2),0),0)))))</f>
        <v/>
      </c>
      <c r="L557" s="31">
        <f>IF($A557="","",MAX(0,$J557-$K557))</f>
        <v/>
      </c>
    </row>
    <row r="558">
      <c r="I558" s="31">
        <f>IF($A558="","",IF($J558=0,"YOK",IF(AND($E558="Evet",ROUND($C558*tbo_oranIlave,2)=$J558),"TBO-002",IF(AND($D558="Evet",ROUND($C558*tbo_oranBesPuan,2)=$J558),"TBO-001",IF(AND($F558="Evet",ROUND($C558*tbo_oranKadinGenc,2)=$J558),"TBO-004","TBO-ENG")))))</f>
        <v/>
      </c>
      <c r="J558" s="31">
        <f>IF($A558="","",MAX(IF($D558="Evet",ROUND($C558*tbo_oranBesPuan,2),0),IF($E558="Evet",ROUND($C558*tbo_oranIlave,2),0),IF($F558="Evet",ROUND($C558*tbo_oranKadinGenc,2),0),IF($G558="Evet",ROUND($C558*tbo_isverenOran,2),0)))</f>
        <v/>
      </c>
      <c r="K558" s="31">
        <f>IF($A558="","",IF($H558="TBO-001",IF($D558="Evet",ROUND($C558*tbo_oranBesPuan,2),0),IF($H558="TBO-002",IF($E558="Evet",ROUND($C558*tbo_oranIlave,2),0),IF($H558="TBO-004",IF($F558="Evet",ROUND($C558*tbo_oranKadinGenc,2),0),IF($H558="TBO-ENG",IF($G558="Evet",ROUND($C558*tbo_isverenOran,2),0),0)))))</f>
        <v/>
      </c>
      <c r="L558" s="31">
        <f>IF($A558="","",MAX(0,$J558-$K558))</f>
        <v/>
      </c>
    </row>
    <row r="559">
      <c r="I559" s="31">
        <f>IF($A559="","",IF($J559=0,"YOK",IF(AND($E559="Evet",ROUND($C559*tbo_oranIlave,2)=$J559),"TBO-002",IF(AND($D559="Evet",ROUND($C559*tbo_oranBesPuan,2)=$J559),"TBO-001",IF(AND($F559="Evet",ROUND($C559*tbo_oranKadinGenc,2)=$J559),"TBO-004","TBO-ENG")))))</f>
        <v/>
      </c>
      <c r="J559" s="31">
        <f>IF($A559="","",MAX(IF($D559="Evet",ROUND($C559*tbo_oranBesPuan,2),0),IF($E559="Evet",ROUND($C559*tbo_oranIlave,2),0),IF($F559="Evet",ROUND($C559*tbo_oranKadinGenc,2),0),IF($G559="Evet",ROUND($C559*tbo_isverenOran,2),0)))</f>
        <v/>
      </c>
      <c r="K559" s="31">
        <f>IF($A559="","",IF($H559="TBO-001",IF($D559="Evet",ROUND($C559*tbo_oranBesPuan,2),0),IF($H559="TBO-002",IF($E559="Evet",ROUND($C559*tbo_oranIlave,2),0),IF($H559="TBO-004",IF($F559="Evet",ROUND($C559*tbo_oranKadinGenc,2),0),IF($H559="TBO-ENG",IF($G559="Evet",ROUND($C559*tbo_isverenOran,2),0),0)))))</f>
        <v/>
      </c>
      <c r="L559" s="31">
        <f>IF($A559="","",MAX(0,$J559-$K559))</f>
        <v/>
      </c>
    </row>
    <row r="560">
      <c r="I560" s="31">
        <f>IF($A560="","",IF($J560=0,"YOK",IF(AND($E560="Evet",ROUND($C560*tbo_oranIlave,2)=$J560),"TBO-002",IF(AND($D560="Evet",ROUND($C560*tbo_oranBesPuan,2)=$J560),"TBO-001",IF(AND($F560="Evet",ROUND($C560*tbo_oranKadinGenc,2)=$J560),"TBO-004","TBO-ENG")))))</f>
        <v/>
      </c>
      <c r="J560" s="31">
        <f>IF($A560="","",MAX(IF($D560="Evet",ROUND($C560*tbo_oranBesPuan,2),0),IF($E560="Evet",ROUND($C560*tbo_oranIlave,2),0),IF($F560="Evet",ROUND($C560*tbo_oranKadinGenc,2),0),IF($G560="Evet",ROUND($C560*tbo_isverenOran,2),0)))</f>
        <v/>
      </c>
      <c r="K560" s="31">
        <f>IF($A560="","",IF($H560="TBO-001",IF($D560="Evet",ROUND($C560*tbo_oranBesPuan,2),0),IF($H560="TBO-002",IF($E560="Evet",ROUND($C560*tbo_oranIlave,2),0),IF($H560="TBO-004",IF($F560="Evet",ROUND($C560*tbo_oranKadinGenc,2),0),IF($H560="TBO-ENG",IF($G560="Evet",ROUND($C560*tbo_isverenOran,2),0),0)))))</f>
        <v/>
      </c>
      <c r="L560" s="31">
        <f>IF($A560="","",MAX(0,$J560-$K560))</f>
        <v/>
      </c>
    </row>
    <row r="561">
      <c r="I561" s="31">
        <f>IF($A561="","",IF($J561=0,"YOK",IF(AND($E561="Evet",ROUND($C561*tbo_oranIlave,2)=$J561),"TBO-002",IF(AND($D561="Evet",ROUND($C561*tbo_oranBesPuan,2)=$J561),"TBO-001",IF(AND($F561="Evet",ROUND($C561*tbo_oranKadinGenc,2)=$J561),"TBO-004","TBO-ENG")))))</f>
        <v/>
      </c>
      <c r="J561" s="31">
        <f>IF($A561="","",MAX(IF($D561="Evet",ROUND($C561*tbo_oranBesPuan,2),0),IF($E561="Evet",ROUND($C561*tbo_oranIlave,2),0),IF($F561="Evet",ROUND($C561*tbo_oranKadinGenc,2),0),IF($G561="Evet",ROUND($C561*tbo_isverenOran,2),0)))</f>
        <v/>
      </c>
      <c r="K561" s="31">
        <f>IF($A561="","",IF($H561="TBO-001",IF($D561="Evet",ROUND($C561*tbo_oranBesPuan,2),0),IF($H561="TBO-002",IF($E561="Evet",ROUND($C561*tbo_oranIlave,2),0),IF($H561="TBO-004",IF($F561="Evet",ROUND($C561*tbo_oranKadinGenc,2),0),IF($H561="TBO-ENG",IF($G561="Evet",ROUND($C561*tbo_isverenOran,2),0),0)))))</f>
        <v/>
      </c>
      <c r="L561" s="31">
        <f>IF($A561="","",MAX(0,$J561-$K561))</f>
        <v/>
      </c>
    </row>
    <row r="562">
      <c r="I562" s="31">
        <f>IF($A562="","",IF($J562=0,"YOK",IF(AND($E562="Evet",ROUND($C562*tbo_oranIlave,2)=$J562),"TBO-002",IF(AND($D562="Evet",ROUND($C562*tbo_oranBesPuan,2)=$J562),"TBO-001",IF(AND($F562="Evet",ROUND($C562*tbo_oranKadinGenc,2)=$J562),"TBO-004","TBO-ENG")))))</f>
        <v/>
      </c>
      <c r="J562" s="31">
        <f>IF($A562="","",MAX(IF($D562="Evet",ROUND($C562*tbo_oranBesPuan,2),0),IF($E562="Evet",ROUND($C562*tbo_oranIlave,2),0),IF($F562="Evet",ROUND($C562*tbo_oranKadinGenc,2),0),IF($G562="Evet",ROUND($C562*tbo_isverenOran,2),0)))</f>
        <v/>
      </c>
      <c r="K562" s="31">
        <f>IF($A562="","",IF($H562="TBO-001",IF($D562="Evet",ROUND($C562*tbo_oranBesPuan,2),0),IF($H562="TBO-002",IF($E562="Evet",ROUND($C562*tbo_oranIlave,2),0),IF($H562="TBO-004",IF($F562="Evet",ROUND($C562*tbo_oranKadinGenc,2),0),IF($H562="TBO-ENG",IF($G562="Evet",ROUND($C562*tbo_isverenOran,2),0),0)))))</f>
        <v/>
      </c>
      <c r="L562" s="31">
        <f>IF($A562="","",MAX(0,$J562-$K562))</f>
        <v/>
      </c>
    </row>
    <row r="563">
      <c r="I563" s="31">
        <f>IF($A563="","",IF($J563=0,"YOK",IF(AND($E563="Evet",ROUND($C563*tbo_oranIlave,2)=$J563),"TBO-002",IF(AND($D563="Evet",ROUND($C563*tbo_oranBesPuan,2)=$J563),"TBO-001",IF(AND($F563="Evet",ROUND($C563*tbo_oranKadinGenc,2)=$J563),"TBO-004","TBO-ENG")))))</f>
        <v/>
      </c>
      <c r="J563" s="31">
        <f>IF($A563="","",MAX(IF($D563="Evet",ROUND($C563*tbo_oranBesPuan,2),0),IF($E563="Evet",ROUND($C563*tbo_oranIlave,2),0),IF($F563="Evet",ROUND($C563*tbo_oranKadinGenc,2),0),IF($G563="Evet",ROUND($C563*tbo_isverenOran,2),0)))</f>
        <v/>
      </c>
      <c r="K563" s="31">
        <f>IF($A563="","",IF($H563="TBO-001",IF($D563="Evet",ROUND($C563*tbo_oranBesPuan,2),0),IF($H563="TBO-002",IF($E563="Evet",ROUND($C563*tbo_oranIlave,2),0),IF($H563="TBO-004",IF($F563="Evet",ROUND($C563*tbo_oranKadinGenc,2),0),IF($H563="TBO-ENG",IF($G563="Evet",ROUND($C563*tbo_isverenOran,2),0),0)))))</f>
        <v/>
      </c>
      <c r="L563" s="31">
        <f>IF($A563="","",MAX(0,$J563-$K563))</f>
        <v/>
      </c>
    </row>
    <row r="564">
      <c r="I564" s="31">
        <f>IF($A564="","",IF($J564=0,"YOK",IF(AND($E564="Evet",ROUND($C564*tbo_oranIlave,2)=$J564),"TBO-002",IF(AND($D564="Evet",ROUND($C564*tbo_oranBesPuan,2)=$J564),"TBO-001",IF(AND($F564="Evet",ROUND($C564*tbo_oranKadinGenc,2)=$J564),"TBO-004","TBO-ENG")))))</f>
        <v/>
      </c>
      <c r="J564" s="31">
        <f>IF($A564="","",MAX(IF($D564="Evet",ROUND($C564*tbo_oranBesPuan,2),0),IF($E564="Evet",ROUND($C564*tbo_oranIlave,2),0),IF($F564="Evet",ROUND($C564*tbo_oranKadinGenc,2),0),IF($G564="Evet",ROUND($C564*tbo_isverenOran,2),0)))</f>
        <v/>
      </c>
      <c r="K564" s="31">
        <f>IF($A564="","",IF($H564="TBO-001",IF($D564="Evet",ROUND($C564*tbo_oranBesPuan,2),0),IF($H564="TBO-002",IF($E564="Evet",ROUND($C564*tbo_oranIlave,2),0),IF($H564="TBO-004",IF($F564="Evet",ROUND($C564*tbo_oranKadinGenc,2),0),IF($H564="TBO-ENG",IF($G564="Evet",ROUND($C564*tbo_isverenOran,2),0),0)))))</f>
        <v/>
      </c>
      <c r="L564" s="31">
        <f>IF($A564="","",MAX(0,$J564-$K564))</f>
        <v/>
      </c>
    </row>
    <row r="565">
      <c r="I565" s="31">
        <f>IF($A565="","",IF($J565=0,"YOK",IF(AND($E565="Evet",ROUND($C565*tbo_oranIlave,2)=$J565),"TBO-002",IF(AND($D565="Evet",ROUND($C565*tbo_oranBesPuan,2)=$J565),"TBO-001",IF(AND($F565="Evet",ROUND($C565*tbo_oranKadinGenc,2)=$J565),"TBO-004","TBO-ENG")))))</f>
        <v/>
      </c>
      <c r="J565" s="31">
        <f>IF($A565="","",MAX(IF($D565="Evet",ROUND($C565*tbo_oranBesPuan,2),0),IF($E565="Evet",ROUND($C565*tbo_oranIlave,2),0),IF($F565="Evet",ROUND($C565*tbo_oranKadinGenc,2),0),IF($G565="Evet",ROUND($C565*tbo_isverenOran,2),0)))</f>
        <v/>
      </c>
      <c r="K565" s="31">
        <f>IF($A565="","",IF($H565="TBO-001",IF($D565="Evet",ROUND($C565*tbo_oranBesPuan,2),0),IF($H565="TBO-002",IF($E565="Evet",ROUND($C565*tbo_oranIlave,2),0),IF($H565="TBO-004",IF($F565="Evet",ROUND($C565*tbo_oranKadinGenc,2),0),IF($H565="TBO-ENG",IF($G565="Evet",ROUND($C565*tbo_isverenOran,2),0),0)))))</f>
        <v/>
      </c>
      <c r="L565" s="31">
        <f>IF($A565="","",MAX(0,$J565-$K565))</f>
        <v/>
      </c>
    </row>
    <row r="566">
      <c r="I566" s="31">
        <f>IF($A566="","",IF($J566=0,"YOK",IF(AND($E566="Evet",ROUND($C566*tbo_oranIlave,2)=$J566),"TBO-002",IF(AND($D566="Evet",ROUND($C566*tbo_oranBesPuan,2)=$J566),"TBO-001",IF(AND($F566="Evet",ROUND($C566*tbo_oranKadinGenc,2)=$J566),"TBO-004","TBO-ENG")))))</f>
        <v/>
      </c>
      <c r="J566" s="31">
        <f>IF($A566="","",MAX(IF($D566="Evet",ROUND($C566*tbo_oranBesPuan,2),0),IF($E566="Evet",ROUND($C566*tbo_oranIlave,2),0),IF($F566="Evet",ROUND($C566*tbo_oranKadinGenc,2),0),IF($G566="Evet",ROUND($C566*tbo_isverenOran,2),0)))</f>
        <v/>
      </c>
      <c r="K566" s="31">
        <f>IF($A566="","",IF($H566="TBO-001",IF($D566="Evet",ROUND($C566*tbo_oranBesPuan,2),0),IF($H566="TBO-002",IF($E566="Evet",ROUND($C566*tbo_oranIlave,2),0),IF($H566="TBO-004",IF($F566="Evet",ROUND($C566*tbo_oranKadinGenc,2),0),IF($H566="TBO-ENG",IF($G566="Evet",ROUND($C566*tbo_isverenOran,2),0),0)))))</f>
        <v/>
      </c>
      <c r="L566" s="31">
        <f>IF($A566="","",MAX(0,$J566-$K566))</f>
        <v/>
      </c>
    </row>
    <row r="567">
      <c r="I567" s="31">
        <f>IF($A567="","",IF($J567=0,"YOK",IF(AND($E567="Evet",ROUND($C567*tbo_oranIlave,2)=$J567),"TBO-002",IF(AND($D567="Evet",ROUND($C567*tbo_oranBesPuan,2)=$J567),"TBO-001",IF(AND($F567="Evet",ROUND($C567*tbo_oranKadinGenc,2)=$J567),"TBO-004","TBO-ENG")))))</f>
        <v/>
      </c>
      <c r="J567" s="31">
        <f>IF($A567="","",MAX(IF($D567="Evet",ROUND($C567*tbo_oranBesPuan,2),0),IF($E567="Evet",ROUND($C567*tbo_oranIlave,2),0),IF($F567="Evet",ROUND($C567*tbo_oranKadinGenc,2),0),IF($G567="Evet",ROUND($C567*tbo_isverenOran,2),0)))</f>
        <v/>
      </c>
      <c r="K567" s="31">
        <f>IF($A567="","",IF($H567="TBO-001",IF($D567="Evet",ROUND($C567*tbo_oranBesPuan,2),0),IF($H567="TBO-002",IF($E567="Evet",ROUND($C567*tbo_oranIlave,2),0),IF($H567="TBO-004",IF($F567="Evet",ROUND($C567*tbo_oranKadinGenc,2),0),IF($H567="TBO-ENG",IF($G567="Evet",ROUND($C567*tbo_isverenOran,2),0),0)))))</f>
        <v/>
      </c>
      <c r="L567" s="31">
        <f>IF($A567="","",MAX(0,$J567-$K567))</f>
        <v/>
      </c>
    </row>
    <row r="568">
      <c r="I568" s="31">
        <f>IF($A568="","",IF($J568=0,"YOK",IF(AND($E568="Evet",ROUND($C568*tbo_oranIlave,2)=$J568),"TBO-002",IF(AND($D568="Evet",ROUND($C568*tbo_oranBesPuan,2)=$J568),"TBO-001",IF(AND($F568="Evet",ROUND($C568*tbo_oranKadinGenc,2)=$J568),"TBO-004","TBO-ENG")))))</f>
        <v/>
      </c>
      <c r="J568" s="31">
        <f>IF($A568="","",MAX(IF($D568="Evet",ROUND($C568*tbo_oranBesPuan,2),0),IF($E568="Evet",ROUND($C568*tbo_oranIlave,2),0),IF($F568="Evet",ROUND($C568*tbo_oranKadinGenc,2),0),IF($G568="Evet",ROUND($C568*tbo_isverenOran,2),0)))</f>
        <v/>
      </c>
      <c r="K568" s="31">
        <f>IF($A568="","",IF($H568="TBO-001",IF($D568="Evet",ROUND($C568*tbo_oranBesPuan,2),0),IF($H568="TBO-002",IF($E568="Evet",ROUND($C568*tbo_oranIlave,2),0),IF($H568="TBO-004",IF($F568="Evet",ROUND($C568*tbo_oranKadinGenc,2),0),IF($H568="TBO-ENG",IF($G568="Evet",ROUND($C568*tbo_isverenOran,2),0),0)))))</f>
        <v/>
      </c>
      <c r="L568" s="31">
        <f>IF($A568="","",MAX(0,$J568-$K568))</f>
        <v/>
      </c>
    </row>
    <row r="569">
      <c r="I569" s="31">
        <f>IF($A569="","",IF($J569=0,"YOK",IF(AND($E569="Evet",ROUND($C569*tbo_oranIlave,2)=$J569),"TBO-002",IF(AND($D569="Evet",ROUND($C569*tbo_oranBesPuan,2)=$J569),"TBO-001",IF(AND($F569="Evet",ROUND($C569*tbo_oranKadinGenc,2)=$J569),"TBO-004","TBO-ENG")))))</f>
        <v/>
      </c>
      <c r="J569" s="31">
        <f>IF($A569="","",MAX(IF($D569="Evet",ROUND($C569*tbo_oranBesPuan,2),0),IF($E569="Evet",ROUND($C569*tbo_oranIlave,2),0),IF($F569="Evet",ROUND($C569*tbo_oranKadinGenc,2),0),IF($G569="Evet",ROUND($C569*tbo_isverenOran,2),0)))</f>
        <v/>
      </c>
      <c r="K569" s="31">
        <f>IF($A569="","",IF($H569="TBO-001",IF($D569="Evet",ROUND($C569*tbo_oranBesPuan,2),0),IF($H569="TBO-002",IF($E569="Evet",ROUND($C569*tbo_oranIlave,2),0),IF($H569="TBO-004",IF($F569="Evet",ROUND($C569*tbo_oranKadinGenc,2),0),IF($H569="TBO-ENG",IF($G569="Evet",ROUND($C569*tbo_isverenOran,2),0),0)))))</f>
        <v/>
      </c>
      <c r="L569" s="31">
        <f>IF($A569="","",MAX(0,$J569-$K569))</f>
        <v/>
      </c>
    </row>
    <row r="570">
      <c r="I570" s="31">
        <f>IF($A570="","",IF($J570=0,"YOK",IF(AND($E570="Evet",ROUND($C570*tbo_oranIlave,2)=$J570),"TBO-002",IF(AND($D570="Evet",ROUND($C570*tbo_oranBesPuan,2)=$J570),"TBO-001",IF(AND($F570="Evet",ROUND($C570*tbo_oranKadinGenc,2)=$J570),"TBO-004","TBO-ENG")))))</f>
        <v/>
      </c>
      <c r="J570" s="31">
        <f>IF($A570="","",MAX(IF($D570="Evet",ROUND($C570*tbo_oranBesPuan,2),0),IF($E570="Evet",ROUND($C570*tbo_oranIlave,2),0),IF($F570="Evet",ROUND($C570*tbo_oranKadinGenc,2),0),IF($G570="Evet",ROUND($C570*tbo_isverenOran,2),0)))</f>
        <v/>
      </c>
      <c r="K570" s="31">
        <f>IF($A570="","",IF($H570="TBO-001",IF($D570="Evet",ROUND($C570*tbo_oranBesPuan,2),0),IF($H570="TBO-002",IF($E570="Evet",ROUND($C570*tbo_oranIlave,2),0),IF($H570="TBO-004",IF($F570="Evet",ROUND($C570*tbo_oranKadinGenc,2),0),IF($H570="TBO-ENG",IF($G570="Evet",ROUND($C570*tbo_isverenOran,2),0),0)))))</f>
        <v/>
      </c>
      <c r="L570" s="31">
        <f>IF($A570="","",MAX(0,$J570-$K570))</f>
        <v/>
      </c>
    </row>
    <row r="571">
      <c r="I571" s="31">
        <f>IF($A571="","",IF($J571=0,"YOK",IF(AND($E571="Evet",ROUND($C571*tbo_oranIlave,2)=$J571),"TBO-002",IF(AND($D571="Evet",ROUND($C571*tbo_oranBesPuan,2)=$J571),"TBO-001",IF(AND($F571="Evet",ROUND($C571*tbo_oranKadinGenc,2)=$J571),"TBO-004","TBO-ENG")))))</f>
        <v/>
      </c>
      <c r="J571" s="31">
        <f>IF($A571="","",MAX(IF($D571="Evet",ROUND($C571*tbo_oranBesPuan,2),0),IF($E571="Evet",ROUND($C571*tbo_oranIlave,2),0),IF($F571="Evet",ROUND($C571*tbo_oranKadinGenc,2),0),IF($G571="Evet",ROUND($C571*tbo_isverenOran,2),0)))</f>
        <v/>
      </c>
      <c r="K571" s="31">
        <f>IF($A571="","",IF($H571="TBO-001",IF($D571="Evet",ROUND($C571*tbo_oranBesPuan,2),0),IF($H571="TBO-002",IF($E571="Evet",ROUND($C571*tbo_oranIlave,2),0),IF($H571="TBO-004",IF($F571="Evet",ROUND($C571*tbo_oranKadinGenc,2),0),IF($H571="TBO-ENG",IF($G571="Evet",ROUND($C571*tbo_isverenOran,2),0),0)))))</f>
        <v/>
      </c>
      <c r="L571" s="31">
        <f>IF($A571="","",MAX(0,$J571-$K571))</f>
        <v/>
      </c>
    </row>
    <row r="572">
      <c r="I572" s="31">
        <f>IF($A572="","",IF($J572=0,"YOK",IF(AND($E572="Evet",ROUND($C572*tbo_oranIlave,2)=$J572),"TBO-002",IF(AND($D572="Evet",ROUND($C572*tbo_oranBesPuan,2)=$J572),"TBO-001",IF(AND($F572="Evet",ROUND($C572*tbo_oranKadinGenc,2)=$J572),"TBO-004","TBO-ENG")))))</f>
        <v/>
      </c>
      <c r="J572" s="31">
        <f>IF($A572="","",MAX(IF($D572="Evet",ROUND($C572*tbo_oranBesPuan,2),0),IF($E572="Evet",ROUND($C572*tbo_oranIlave,2),0),IF($F572="Evet",ROUND($C572*tbo_oranKadinGenc,2),0),IF($G572="Evet",ROUND($C572*tbo_isverenOran,2),0)))</f>
        <v/>
      </c>
      <c r="K572" s="31">
        <f>IF($A572="","",IF($H572="TBO-001",IF($D572="Evet",ROUND($C572*tbo_oranBesPuan,2),0),IF($H572="TBO-002",IF($E572="Evet",ROUND($C572*tbo_oranIlave,2),0),IF($H572="TBO-004",IF($F572="Evet",ROUND($C572*tbo_oranKadinGenc,2),0),IF($H572="TBO-ENG",IF($G572="Evet",ROUND($C572*tbo_isverenOran,2),0),0)))))</f>
        <v/>
      </c>
      <c r="L572" s="31">
        <f>IF($A572="","",MAX(0,$J572-$K572))</f>
        <v/>
      </c>
    </row>
    <row r="573">
      <c r="I573" s="31">
        <f>IF($A573="","",IF($J573=0,"YOK",IF(AND($E573="Evet",ROUND($C573*tbo_oranIlave,2)=$J573),"TBO-002",IF(AND($D573="Evet",ROUND($C573*tbo_oranBesPuan,2)=$J573),"TBO-001",IF(AND($F573="Evet",ROUND($C573*tbo_oranKadinGenc,2)=$J573),"TBO-004","TBO-ENG")))))</f>
        <v/>
      </c>
      <c r="J573" s="31">
        <f>IF($A573="","",MAX(IF($D573="Evet",ROUND($C573*tbo_oranBesPuan,2),0),IF($E573="Evet",ROUND($C573*tbo_oranIlave,2),0),IF($F573="Evet",ROUND($C573*tbo_oranKadinGenc,2),0),IF($G573="Evet",ROUND($C573*tbo_isverenOran,2),0)))</f>
        <v/>
      </c>
      <c r="K573" s="31">
        <f>IF($A573="","",IF($H573="TBO-001",IF($D573="Evet",ROUND($C573*tbo_oranBesPuan,2),0),IF($H573="TBO-002",IF($E573="Evet",ROUND($C573*tbo_oranIlave,2),0),IF($H573="TBO-004",IF($F573="Evet",ROUND($C573*tbo_oranKadinGenc,2),0),IF($H573="TBO-ENG",IF($G573="Evet",ROUND($C573*tbo_isverenOran,2),0),0)))))</f>
        <v/>
      </c>
      <c r="L573" s="31">
        <f>IF($A573="","",MAX(0,$J573-$K573))</f>
        <v/>
      </c>
    </row>
    <row r="574">
      <c r="I574" s="31">
        <f>IF($A574="","",IF($J574=0,"YOK",IF(AND($E574="Evet",ROUND($C574*tbo_oranIlave,2)=$J574),"TBO-002",IF(AND($D574="Evet",ROUND($C574*tbo_oranBesPuan,2)=$J574),"TBO-001",IF(AND($F574="Evet",ROUND($C574*tbo_oranKadinGenc,2)=$J574),"TBO-004","TBO-ENG")))))</f>
        <v/>
      </c>
      <c r="J574" s="31">
        <f>IF($A574="","",MAX(IF($D574="Evet",ROUND($C574*tbo_oranBesPuan,2),0),IF($E574="Evet",ROUND($C574*tbo_oranIlave,2),0),IF($F574="Evet",ROUND($C574*tbo_oranKadinGenc,2),0),IF($G574="Evet",ROUND($C574*tbo_isverenOran,2),0)))</f>
        <v/>
      </c>
      <c r="K574" s="31">
        <f>IF($A574="","",IF($H574="TBO-001",IF($D574="Evet",ROUND($C574*tbo_oranBesPuan,2),0),IF($H574="TBO-002",IF($E574="Evet",ROUND($C574*tbo_oranIlave,2),0),IF($H574="TBO-004",IF($F574="Evet",ROUND($C574*tbo_oranKadinGenc,2),0),IF($H574="TBO-ENG",IF($G574="Evet",ROUND($C574*tbo_isverenOran,2),0),0)))))</f>
        <v/>
      </c>
      <c r="L574" s="31">
        <f>IF($A574="","",MAX(0,$J574-$K574))</f>
        <v/>
      </c>
    </row>
    <row r="575">
      <c r="I575" s="31">
        <f>IF($A575="","",IF($J575=0,"YOK",IF(AND($E575="Evet",ROUND($C575*tbo_oranIlave,2)=$J575),"TBO-002",IF(AND($D575="Evet",ROUND($C575*tbo_oranBesPuan,2)=$J575),"TBO-001",IF(AND($F575="Evet",ROUND($C575*tbo_oranKadinGenc,2)=$J575),"TBO-004","TBO-ENG")))))</f>
        <v/>
      </c>
      <c r="J575" s="31">
        <f>IF($A575="","",MAX(IF($D575="Evet",ROUND($C575*tbo_oranBesPuan,2),0),IF($E575="Evet",ROUND($C575*tbo_oranIlave,2),0),IF($F575="Evet",ROUND($C575*tbo_oranKadinGenc,2),0),IF($G575="Evet",ROUND($C575*tbo_isverenOran,2),0)))</f>
        <v/>
      </c>
      <c r="K575" s="31">
        <f>IF($A575="","",IF($H575="TBO-001",IF($D575="Evet",ROUND($C575*tbo_oranBesPuan,2),0),IF($H575="TBO-002",IF($E575="Evet",ROUND($C575*tbo_oranIlave,2),0),IF($H575="TBO-004",IF($F575="Evet",ROUND($C575*tbo_oranKadinGenc,2),0),IF($H575="TBO-ENG",IF($G575="Evet",ROUND($C575*tbo_isverenOran,2),0),0)))))</f>
        <v/>
      </c>
      <c r="L575" s="31">
        <f>IF($A575="","",MAX(0,$J575-$K575))</f>
        <v/>
      </c>
    </row>
    <row r="576">
      <c r="I576" s="31">
        <f>IF($A576="","",IF($J576=0,"YOK",IF(AND($E576="Evet",ROUND($C576*tbo_oranIlave,2)=$J576),"TBO-002",IF(AND($D576="Evet",ROUND($C576*tbo_oranBesPuan,2)=$J576),"TBO-001",IF(AND($F576="Evet",ROUND($C576*tbo_oranKadinGenc,2)=$J576),"TBO-004","TBO-ENG")))))</f>
        <v/>
      </c>
      <c r="J576" s="31">
        <f>IF($A576="","",MAX(IF($D576="Evet",ROUND($C576*tbo_oranBesPuan,2),0),IF($E576="Evet",ROUND($C576*tbo_oranIlave,2),0),IF($F576="Evet",ROUND($C576*tbo_oranKadinGenc,2),0),IF($G576="Evet",ROUND($C576*tbo_isverenOran,2),0)))</f>
        <v/>
      </c>
      <c r="K576" s="31">
        <f>IF($A576="","",IF($H576="TBO-001",IF($D576="Evet",ROUND($C576*tbo_oranBesPuan,2),0),IF($H576="TBO-002",IF($E576="Evet",ROUND($C576*tbo_oranIlave,2),0),IF($H576="TBO-004",IF($F576="Evet",ROUND($C576*tbo_oranKadinGenc,2),0),IF($H576="TBO-ENG",IF($G576="Evet",ROUND($C576*tbo_isverenOran,2),0),0)))))</f>
        <v/>
      </c>
      <c r="L576" s="31">
        <f>IF($A576="","",MAX(0,$J576-$K576))</f>
        <v/>
      </c>
    </row>
    <row r="577">
      <c r="I577" s="31">
        <f>IF($A577="","",IF($J577=0,"YOK",IF(AND($E577="Evet",ROUND($C577*tbo_oranIlave,2)=$J577),"TBO-002",IF(AND($D577="Evet",ROUND($C577*tbo_oranBesPuan,2)=$J577),"TBO-001",IF(AND($F577="Evet",ROUND($C577*tbo_oranKadinGenc,2)=$J577),"TBO-004","TBO-ENG")))))</f>
        <v/>
      </c>
      <c r="J577" s="31">
        <f>IF($A577="","",MAX(IF($D577="Evet",ROUND($C577*tbo_oranBesPuan,2),0),IF($E577="Evet",ROUND($C577*tbo_oranIlave,2),0),IF($F577="Evet",ROUND($C577*tbo_oranKadinGenc,2),0),IF($G577="Evet",ROUND($C577*tbo_isverenOran,2),0)))</f>
        <v/>
      </c>
      <c r="K577" s="31">
        <f>IF($A577="","",IF($H577="TBO-001",IF($D577="Evet",ROUND($C577*tbo_oranBesPuan,2),0),IF($H577="TBO-002",IF($E577="Evet",ROUND($C577*tbo_oranIlave,2),0),IF($H577="TBO-004",IF($F577="Evet",ROUND($C577*tbo_oranKadinGenc,2),0),IF($H577="TBO-ENG",IF($G577="Evet",ROUND($C577*tbo_isverenOran,2),0),0)))))</f>
        <v/>
      </c>
      <c r="L577" s="31">
        <f>IF($A577="","",MAX(0,$J577-$K577))</f>
        <v/>
      </c>
    </row>
    <row r="578">
      <c r="I578" s="31">
        <f>IF($A578="","",IF($J578=0,"YOK",IF(AND($E578="Evet",ROUND($C578*tbo_oranIlave,2)=$J578),"TBO-002",IF(AND($D578="Evet",ROUND($C578*tbo_oranBesPuan,2)=$J578),"TBO-001",IF(AND($F578="Evet",ROUND($C578*tbo_oranKadinGenc,2)=$J578),"TBO-004","TBO-ENG")))))</f>
        <v/>
      </c>
      <c r="J578" s="31">
        <f>IF($A578="","",MAX(IF($D578="Evet",ROUND($C578*tbo_oranBesPuan,2),0),IF($E578="Evet",ROUND($C578*tbo_oranIlave,2),0),IF($F578="Evet",ROUND($C578*tbo_oranKadinGenc,2),0),IF($G578="Evet",ROUND($C578*tbo_isverenOran,2),0)))</f>
        <v/>
      </c>
      <c r="K578" s="31">
        <f>IF($A578="","",IF($H578="TBO-001",IF($D578="Evet",ROUND($C578*tbo_oranBesPuan,2),0),IF($H578="TBO-002",IF($E578="Evet",ROUND($C578*tbo_oranIlave,2),0),IF($H578="TBO-004",IF($F578="Evet",ROUND($C578*tbo_oranKadinGenc,2),0),IF($H578="TBO-ENG",IF($G578="Evet",ROUND($C578*tbo_isverenOran,2),0),0)))))</f>
        <v/>
      </c>
      <c r="L578" s="31">
        <f>IF($A578="","",MAX(0,$J578-$K578))</f>
        <v/>
      </c>
    </row>
    <row r="579">
      <c r="I579" s="31">
        <f>IF($A579="","",IF($J579=0,"YOK",IF(AND($E579="Evet",ROUND($C579*tbo_oranIlave,2)=$J579),"TBO-002",IF(AND($D579="Evet",ROUND($C579*tbo_oranBesPuan,2)=$J579),"TBO-001",IF(AND($F579="Evet",ROUND($C579*tbo_oranKadinGenc,2)=$J579),"TBO-004","TBO-ENG")))))</f>
        <v/>
      </c>
      <c r="J579" s="31">
        <f>IF($A579="","",MAX(IF($D579="Evet",ROUND($C579*tbo_oranBesPuan,2),0),IF($E579="Evet",ROUND($C579*tbo_oranIlave,2),0),IF($F579="Evet",ROUND($C579*tbo_oranKadinGenc,2),0),IF($G579="Evet",ROUND($C579*tbo_isverenOran,2),0)))</f>
        <v/>
      </c>
      <c r="K579" s="31">
        <f>IF($A579="","",IF($H579="TBO-001",IF($D579="Evet",ROUND($C579*tbo_oranBesPuan,2),0),IF($H579="TBO-002",IF($E579="Evet",ROUND($C579*tbo_oranIlave,2),0),IF($H579="TBO-004",IF($F579="Evet",ROUND($C579*tbo_oranKadinGenc,2),0),IF($H579="TBO-ENG",IF($G579="Evet",ROUND($C579*tbo_isverenOran,2),0),0)))))</f>
        <v/>
      </c>
      <c r="L579" s="31">
        <f>IF($A579="","",MAX(0,$J579-$K579))</f>
        <v/>
      </c>
    </row>
    <row r="580">
      <c r="I580" s="31">
        <f>IF($A580="","",IF($J580=0,"YOK",IF(AND($E580="Evet",ROUND($C580*tbo_oranIlave,2)=$J580),"TBO-002",IF(AND($D580="Evet",ROUND($C580*tbo_oranBesPuan,2)=$J580),"TBO-001",IF(AND($F580="Evet",ROUND($C580*tbo_oranKadinGenc,2)=$J580),"TBO-004","TBO-ENG")))))</f>
        <v/>
      </c>
      <c r="J580" s="31">
        <f>IF($A580="","",MAX(IF($D580="Evet",ROUND($C580*tbo_oranBesPuan,2),0),IF($E580="Evet",ROUND($C580*tbo_oranIlave,2),0),IF($F580="Evet",ROUND($C580*tbo_oranKadinGenc,2),0),IF($G580="Evet",ROUND($C580*tbo_isverenOran,2),0)))</f>
        <v/>
      </c>
      <c r="K580" s="31">
        <f>IF($A580="","",IF($H580="TBO-001",IF($D580="Evet",ROUND($C580*tbo_oranBesPuan,2),0),IF($H580="TBO-002",IF($E580="Evet",ROUND($C580*tbo_oranIlave,2),0),IF($H580="TBO-004",IF($F580="Evet",ROUND($C580*tbo_oranKadinGenc,2),0),IF($H580="TBO-ENG",IF($G580="Evet",ROUND($C580*tbo_isverenOran,2),0),0)))))</f>
        <v/>
      </c>
      <c r="L580" s="31">
        <f>IF($A580="","",MAX(0,$J580-$K580))</f>
        <v/>
      </c>
    </row>
    <row r="581">
      <c r="I581" s="31">
        <f>IF($A581="","",IF($J581=0,"YOK",IF(AND($E581="Evet",ROUND($C581*tbo_oranIlave,2)=$J581),"TBO-002",IF(AND($D581="Evet",ROUND($C581*tbo_oranBesPuan,2)=$J581),"TBO-001",IF(AND($F581="Evet",ROUND($C581*tbo_oranKadinGenc,2)=$J581),"TBO-004","TBO-ENG")))))</f>
        <v/>
      </c>
      <c r="J581" s="31">
        <f>IF($A581="","",MAX(IF($D581="Evet",ROUND($C581*tbo_oranBesPuan,2),0),IF($E581="Evet",ROUND($C581*tbo_oranIlave,2),0),IF($F581="Evet",ROUND($C581*tbo_oranKadinGenc,2),0),IF($G581="Evet",ROUND($C581*tbo_isverenOran,2),0)))</f>
        <v/>
      </c>
      <c r="K581" s="31">
        <f>IF($A581="","",IF($H581="TBO-001",IF($D581="Evet",ROUND($C581*tbo_oranBesPuan,2),0),IF($H581="TBO-002",IF($E581="Evet",ROUND($C581*tbo_oranIlave,2),0),IF($H581="TBO-004",IF($F581="Evet",ROUND($C581*tbo_oranKadinGenc,2),0),IF($H581="TBO-ENG",IF($G581="Evet",ROUND($C581*tbo_isverenOran,2),0),0)))))</f>
        <v/>
      </c>
      <c r="L581" s="31">
        <f>IF($A581="","",MAX(0,$J581-$K581))</f>
        <v/>
      </c>
    </row>
    <row r="582">
      <c r="I582" s="31">
        <f>IF($A582="","",IF($J582=0,"YOK",IF(AND($E582="Evet",ROUND($C582*tbo_oranIlave,2)=$J582),"TBO-002",IF(AND($D582="Evet",ROUND($C582*tbo_oranBesPuan,2)=$J582),"TBO-001",IF(AND($F582="Evet",ROUND($C582*tbo_oranKadinGenc,2)=$J582),"TBO-004","TBO-ENG")))))</f>
        <v/>
      </c>
      <c r="J582" s="31">
        <f>IF($A582="","",MAX(IF($D582="Evet",ROUND($C582*tbo_oranBesPuan,2),0),IF($E582="Evet",ROUND($C582*tbo_oranIlave,2),0),IF($F582="Evet",ROUND($C582*tbo_oranKadinGenc,2),0),IF($G582="Evet",ROUND($C582*tbo_isverenOran,2),0)))</f>
        <v/>
      </c>
      <c r="K582" s="31">
        <f>IF($A582="","",IF($H582="TBO-001",IF($D582="Evet",ROUND($C582*tbo_oranBesPuan,2),0),IF($H582="TBO-002",IF($E582="Evet",ROUND($C582*tbo_oranIlave,2),0),IF($H582="TBO-004",IF($F582="Evet",ROUND($C582*tbo_oranKadinGenc,2),0),IF($H582="TBO-ENG",IF($G582="Evet",ROUND($C582*tbo_isverenOran,2),0),0)))))</f>
        <v/>
      </c>
      <c r="L582" s="31">
        <f>IF($A582="","",MAX(0,$J582-$K582))</f>
        <v/>
      </c>
    </row>
    <row r="583">
      <c r="I583" s="31">
        <f>IF($A583="","",IF($J583=0,"YOK",IF(AND($E583="Evet",ROUND($C583*tbo_oranIlave,2)=$J583),"TBO-002",IF(AND($D583="Evet",ROUND($C583*tbo_oranBesPuan,2)=$J583),"TBO-001",IF(AND($F583="Evet",ROUND($C583*tbo_oranKadinGenc,2)=$J583),"TBO-004","TBO-ENG")))))</f>
        <v/>
      </c>
      <c r="J583" s="31">
        <f>IF($A583="","",MAX(IF($D583="Evet",ROUND($C583*tbo_oranBesPuan,2),0),IF($E583="Evet",ROUND($C583*tbo_oranIlave,2),0),IF($F583="Evet",ROUND($C583*tbo_oranKadinGenc,2),0),IF($G583="Evet",ROUND($C583*tbo_isverenOran,2),0)))</f>
        <v/>
      </c>
      <c r="K583" s="31">
        <f>IF($A583="","",IF($H583="TBO-001",IF($D583="Evet",ROUND($C583*tbo_oranBesPuan,2),0),IF($H583="TBO-002",IF($E583="Evet",ROUND($C583*tbo_oranIlave,2),0),IF($H583="TBO-004",IF($F583="Evet",ROUND($C583*tbo_oranKadinGenc,2),0),IF($H583="TBO-ENG",IF($G583="Evet",ROUND($C583*tbo_isverenOran,2),0),0)))))</f>
        <v/>
      </c>
      <c r="L583" s="31">
        <f>IF($A583="","",MAX(0,$J583-$K583))</f>
        <v/>
      </c>
    </row>
    <row r="584">
      <c r="I584" s="31">
        <f>IF($A584="","",IF($J584=0,"YOK",IF(AND($E584="Evet",ROUND($C584*tbo_oranIlave,2)=$J584),"TBO-002",IF(AND($D584="Evet",ROUND($C584*tbo_oranBesPuan,2)=$J584),"TBO-001",IF(AND($F584="Evet",ROUND($C584*tbo_oranKadinGenc,2)=$J584),"TBO-004","TBO-ENG")))))</f>
        <v/>
      </c>
      <c r="J584" s="31">
        <f>IF($A584="","",MAX(IF($D584="Evet",ROUND($C584*tbo_oranBesPuan,2),0),IF($E584="Evet",ROUND($C584*tbo_oranIlave,2),0),IF($F584="Evet",ROUND($C584*tbo_oranKadinGenc,2),0),IF($G584="Evet",ROUND($C584*tbo_isverenOran,2),0)))</f>
        <v/>
      </c>
      <c r="K584" s="31">
        <f>IF($A584="","",IF($H584="TBO-001",IF($D584="Evet",ROUND($C584*tbo_oranBesPuan,2),0),IF($H584="TBO-002",IF($E584="Evet",ROUND($C584*tbo_oranIlave,2),0),IF($H584="TBO-004",IF($F584="Evet",ROUND($C584*tbo_oranKadinGenc,2),0),IF($H584="TBO-ENG",IF($G584="Evet",ROUND($C584*tbo_isverenOran,2),0),0)))))</f>
        <v/>
      </c>
      <c r="L584" s="31">
        <f>IF($A584="","",MAX(0,$J584-$K584))</f>
        <v/>
      </c>
    </row>
    <row r="585">
      <c r="I585" s="31">
        <f>IF($A585="","",IF($J585=0,"YOK",IF(AND($E585="Evet",ROUND($C585*tbo_oranIlave,2)=$J585),"TBO-002",IF(AND($D585="Evet",ROUND($C585*tbo_oranBesPuan,2)=$J585),"TBO-001",IF(AND($F585="Evet",ROUND($C585*tbo_oranKadinGenc,2)=$J585),"TBO-004","TBO-ENG")))))</f>
        <v/>
      </c>
      <c r="J585" s="31">
        <f>IF($A585="","",MAX(IF($D585="Evet",ROUND($C585*tbo_oranBesPuan,2),0),IF($E585="Evet",ROUND($C585*tbo_oranIlave,2),0),IF($F585="Evet",ROUND($C585*tbo_oranKadinGenc,2),0),IF($G585="Evet",ROUND($C585*tbo_isverenOran,2),0)))</f>
        <v/>
      </c>
      <c r="K585" s="31">
        <f>IF($A585="","",IF($H585="TBO-001",IF($D585="Evet",ROUND($C585*tbo_oranBesPuan,2),0),IF($H585="TBO-002",IF($E585="Evet",ROUND($C585*tbo_oranIlave,2),0),IF($H585="TBO-004",IF($F585="Evet",ROUND($C585*tbo_oranKadinGenc,2),0),IF($H585="TBO-ENG",IF($G585="Evet",ROUND($C585*tbo_isverenOran,2),0),0)))))</f>
        <v/>
      </c>
      <c r="L585" s="31">
        <f>IF($A585="","",MAX(0,$J585-$K585))</f>
        <v/>
      </c>
    </row>
    <row r="586">
      <c r="I586" s="31">
        <f>IF($A586="","",IF($J586=0,"YOK",IF(AND($E586="Evet",ROUND($C586*tbo_oranIlave,2)=$J586),"TBO-002",IF(AND($D586="Evet",ROUND($C586*tbo_oranBesPuan,2)=$J586),"TBO-001",IF(AND($F586="Evet",ROUND($C586*tbo_oranKadinGenc,2)=$J586),"TBO-004","TBO-ENG")))))</f>
        <v/>
      </c>
      <c r="J586" s="31">
        <f>IF($A586="","",MAX(IF($D586="Evet",ROUND($C586*tbo_oranBesPuan,2),0),IF($E586="Evet",ROUND($C586*tbo_oranIlave,2),0),IF($F586="Evet",ROUND($C586*tbo_oranKadinGenc,2),0),IF($G586="Evet",ROUND($C586*tbo_isverenOran,2),0)))</f>
        <v/>
      </c>
      <c r="K586" s="31">
        <f>IF($A586="","",IF($H586="TBO-001",IF($D586="Evet",ROUND($C586*tbo_oranBesPuan,2),0),IF($H586="TBO-002",IF($E586="Evet",ROUND($C586*tbo_oranIlave,2),0),IF($H586="TBO-004",IF($F586="Evet",ROUND($C586*tbo_oranKadinGenc,2),0),IF($H586="TBO-ENG",IF($G586="Evet",ROUND($C586*tbo_isverenOran,2),0),0)))))</f>
        <v/>
      </c>
      <c r="L586" s="31">
        <f>IF($A586="","",MAX(0,$J586-$K586))</f>
        <v/>
      </c>
    </row>
    <row r="587">
      <c r="I587" s="31">
        <f>IF($A587="","",IF($J587=0,"YOK",IF(AND($E587="Evet",ROUND($C587*tbo_oranIlave,2)=$J587),"TBO-002",IF(AND($D587="Evet",ROUND($C587*tbo_oranBesPuan,2)=$J587),"TBO-001",IF(AND($F587="Evet",ROUND($C587*tbo_oranKadinGenc,2)=$J587),"TBO-004","TBO-ENG")))))</f>
        <v/>
      </c>
      <c r="J587" s="31">
        <f>IF($A587="","",MAX(IF($D587="Evet",ROUND($C587*tbo_oranBesPuan,2),0),IF($E587="Evet",ROUND($C587*tbo_oranIlave,2),0),IF($F587="Evet",ROUND($C587*tbo_oranKadinGenc,2),0),IF($G587="Evet",ROUND($C587*tbo_isverenOran,2),0)))</f>
        <v/>
      </c>
      <c r="K587" s="31">
        <f>IF($A587="","",IF($H587="TBO-001",IF($D587="Evet",ROUND($C587*tbo_oranBesPuan,2),0),IF($H587="TBO-002",IF($E587="Evet",ROUND($C587*tbo_oranIlave,2),0),IF($H587="TBO-004",IF($F587="Evet",ROUND($C587*tbo_oranKadinGenc,2),0),IF($H587="TBO-ENG",IF($G587="Evet",ROUND($C587*tbo_isverenOran,2),0),0)))))</f>
        <v/>
      </c>
      <c r="L587" s="31">
        <f>IF($A587="","",MAX(0,$J587-$K587))</f>
        <v/>
      </c>
    </row>
    <row r="588">
      <c r="I588" s="31">
        <f>IF($A588="","",IF($J588=0,"YOK",IF(AND($E588="Evet",ROUND($C588*tbo_oranIlave,2)=$J588),"TBO-002",IF(AND($D588="Evet",ROUND($C588*tbo_oranBesPuan,2)=$J588),"TBO-001",IF(AND($F588="Evet",ROUND($C588*tbo_oranKadinGenc,2)=$J588),"TBO-004","TBO-ENG")))))</f>
        <v/>
      </c>
      <c r="J588" s="31">
        <f>IF($A588="","",MAX(IF($D588="Evet",ROUND($C588*tbo_oranBesPuan,2),0),IF($E588="Evet",ROUND($C588*tbo_oranIlave,2),0),IF($F588="Evet",ROUND($C588*tbo_oranKadinGenc,2),0),IF($G588="Evet",ROUND($C588*tbo_isverenOran,2),0)))</f>
        <v/>
      </c>
      <c r="K588" s="31">
        <f>IF($A588="","",IF($H588="TBO-001",IF($D588="Evet",ROUND($C588*tbo_oranBesPuan,2),0),IF($H588="TBO-002",IF($E588="Evet",ROUND($C588*tbo_oranIlave,2),0),IF($H588="TBO-004",IF($F588="Evet",ROUND($C588*tbo_oranKadinGenc,2),0),IF($H588="TBO-ENG",IF($G588="Evet",ROUND($C588*tbo_isverenOran,2),0),0)))))</f>
        <v/>
      </c>
      <c r="L588" s="31">
        <f>IF($A588="","",MAX(0,$J588-$K588))</f>
        <v/>
      </c>
    </row>
    <row r="589">
      <c r="I589" s="31">
        <f>IF($A589="","",IF($J589=0,"YOK",IF(AND($E589="Evet",ROUND($C589*tbo_oranIlave,2)=$J589),"TBO-002",IF(AND($D589="Evet",ROUND($C589*tbo_oranBesPuan,2)=$J589),"TBO-001",IF(AND($F589="Evet",ROUND($C589*tbo_oranKadinGenc,2)=$J589),"TBO-004","TBO-ENG")))))</f>
        <v/>
      </c>
      <c r="J589" s="31">
        <f>IF($A589="","",MAX(IF($D589="Evet",ROUND($C589*tbo_oranBesPuan,2),0),IF($E589="Evet",ROUND($C589*tbo_oranIlave,2),0),IF($F589="Evet",ROUND($C589*tbo_oranKadinGenc,2),0),IF($G589="Evet",ROUND($C589*tbo_isverenOran,2),0)))</f>
        <v/>
      </c>
      <c r="K589" s="31">
        <f>IF($A589="","",IF($H589="TBO-001",IF($D589="Evet",ROUND($C589*tbo_oranBesPuan,2),0),IF($H589="TBO-002",IF($E589="Evet",ROUND($C589*tbo_oranIlave,2),0),IF($H589="TBO-004",IF($F589="Evet",ROUND($C589*tbo_oranKadinGenc,2),0),IF($H589="TBO-ENG",IF($G589="Evet",ROUND($C589*tbo_isverenOran,2),0),0)))))</f>
        <v/>
      </c>
      <c r="L589" s="31">
        <f>IF($A589="","",MAX(0,$J589-$K589))</f>
        <v/>
      </c>
    </row>
    <row r="590">
      <c r="I590" s="31">
        <f>IF($A590="","",IF($J590=0,"YOK",IF(AND($E590="Evet",ROUND($C590*tbo_oranIlave,2)=$J590),"TBO-002",IF(AND($D590="Evet",ROUND($C590*tbo_oranBesPuan,2)=$J590),"TBO-001",IF(AND($F590="Evet",ROUND($C590*tbo_oranKadinGenc,2)=$J590),"TBO-004","TBO-ENG")))))</f>
        <v/>
      </c>
      <c r="J590" s="31">
        <f>IF($A590="","",MAX(IF($D590="Evet",ROUND($C590*tbo_oranBesPuan,2),0),IF($E590="Evet",ROUND($C590*tbo_oranIlave,2),0),IF($F590="Evet",ROUND($C590*tbo_oranKadinGenc,2),0),IF($G590="Evet",ROUND($C590*tbo_isverenOran,2),0)))</f>
        <v/>
      </c>
      <c r="K590" s="31">
        <f>IF($A590="","",IF($H590="TBO-001",IF($D590="Evet",ROUND($C590*tbo_oranBesPuan,2),0),IF($H590="TBO-002",IF($E590="Evet",ROUND($C590*tbo_oranIlave,2),0),IF($H590="TBO-004",IF($F590="Evet",ROUND($C590*tbo_oranKadinGenc,2),0),IF($H590="TBO-ENG",IF($G590="Evet",ROUND($C590*tbo_isverenOran,2),0),0)))))</f>
        <v/>
      </c>
      <c r="L590" s="31">
        <f>IF($A590="","",MAX(0,$J590-$K590))</f>
        <v/>
      </c>
    </row>
    <row r="591">
      <c r="I591" s="31">
        <f>IF($A591="","",IF($J591=0,"YOK",IF(AND($E591="Evet",ROUND($C591*tbo_oranIlave,2)=$J591),"TBO-002",IF(AND($D591="Evet",ROUND($C591*tbo_oranBesPuan,2)=$J591),"TBO-001",IF(AND($F591="Evet",ROUND($C591*tbo_oranKadinGenc,2)=$J591),"TBO-004","TBO-ENG")))))</f>
        <v/>
      </c>
      <c r="J591" s="31">
        <f>IF($A591="","",MAX(IF($D591="Evet",ROUND($C591*tbo_oranBesPuan,2),0),IF($E591="Evet",ROUND($C591*tbo_oranIlave,2),0),IF($F591="Evet",ROUND($C591*tbo_oranKadinGenc,2),0),IF($G591="Evet",ROUND($C591*tbo_isverenOran,2),0)))</f>
        <v/>
      </c>
      <c r="K591" s="31">
        <f>IF($A591="","",IF($H591="TBO-001",IF($D591="Evet",ROUND($C591*tbo_oranBesPuan,2),0),IF($H591="TBO-002",IF($E591="Evet",ROUND($C591*tbo_oranIlave,2),0),IF($H591="TBO-004",IF($F591="Evet",ROUND($C591*tbo_oranKadinGenc,2),0),IF($H591="TBO-ENG",IF($G591="Evet",ROUND($C591*tbo_isverenOran,2),0),0)))))</f>
        <v/>
      </c>
      <c r="L591" s="31">
        <f>IF($A591="","",MAX(0,$J591-$K591))</f>
        <v/>
      </c>
    </row>
    <row r="592">
      <c r="I592" s="31">
        <f>IF($A592="","",IF($J592=0,"YOK",IF(AND($E592="Evet",ROUND($C592*tbo_oranIlave,2)=$J592),"TBO-002",IF(AND($D592="Evet",ROUND($C592*tbo_oranBesPuan,2)=$J592),"TBO-001",IF(AND($F592="Evet",ROUND($C592*tbo_oranKadinGenc,2)=$J592),"TBO-004","TBO-ENG")))))</f>
        <v/>
      </c>
      <c r="J592" s="31">
        <f>IF($A592="","",MAX(IF($D592="Evet",ROUND($C592*tbo_oranBesPuan,2),0),IF($E592="Evet",ROUND($C592*tbo_oranIlave,2),0),IF($F592="Evet",ROUND($C592*tbo_oranKadinGenc,2),0),IF($G592="Evet",ROUND($C592*tbo_isverenOran,2),0)))</f>
        <v/>
      </c>
      <c r="K592" s="31">
        <f>IF($A592="","",IF($H592="TBO-001",IF($D592="Evet",ROUND($C592*tbo_oranBesPuan,2),0),IF($H592="TBO-002",IF($E592="Evet",ROUND($C592*tbo_oranIlave,2),0),IF($H592="TBO-004",IF($F592="Evet",ROUND($C592*tbo_oranKadinGenc,2),0),IF($H592="TBO-ENG",IF($G592="Evet",ROUND($C592*tbo_isverenOran,2),0),0)))))</f>
        <v/>
      </c>
      <c r="L592" s="31">
        <f>IF($A592="","",MAX(0,$J592-$K592))</f>
        <v/>
      </c>
    </row>
    <row r="593">
      <c r="I593" s="31">
        <f>IF($A593="","",IF($J593=0,"YOK",IF(AND($E593="Evet",ROUND($C593*tbo_oranIlave,2)=$J593),"TBO-002",IF(AND($D593="Evet",ROUND($C593*tbo_oranBesPuan,2)=$J593),"TBO-001",IF(AND($F593="Evet",ROUND($C593*tbo_oranKadinGenc,2)=$J593),"TBO-004","TBO-ENG")))))</f>
        <v/>
      </c>
      <c r="J593" s="31">
        <f>IF($A593="","",MAX(IF($D593="Evet",ROUND($C593*tbo_oranBesPuan,2),0),IF($E593="Evet",ROUND($C593*tbo_oranIlave,2),0),IF($F593="Evet",ROUND($C593*tbo_oranKadinGenc,2),0),IF($G593="Evet",ROUND($C593*tbo_isverenOran,2),0)))</f>
        <v/>
      </c>
      <c r="K593" s="31">
        <f>IF($A593="","",IF($H593="TBO-001",IF($D593="Evet",ROUND($C593*tbo_oranBesPuan,2),0),IF($H593="TBO-002",IF($E593="Evet",ROUND($C593*tbo_oranIlave,2),0),IF($H593="TBO-004",IF($F593="Evet",ROUND($C593*tbo_oranKadinGenc,2),0),IF($H593="TBO-ENG",IF($G593="Evet",ROUND($C593*tbo_isverenOran,2),0),0)))))</f>
        <v/>
      </c>
      <c r="L593" s="31">
        <f>IF($A593="","",MAX(0,$J593-$K593))</f>
        <v/>
      </c>
    </row>
    <row r="594">
      <c r="I594" s="31">
        <f>IF($A594="","",IF($J594=0,"YOK",IF(AND($E594="Evet",ROUND($C594*tbo_oranIlave,2)=$J594),"TBO-002",IF(AND($D594="Evet",ROUND($C594*tbo_oranBesPuan,2)=$J594),"TBO-001",IF(AND($F594="Evet",ROUND($C594*tbo_oranKadinGenc,2)=$J594),"TBO-004","TBO-ENG")))))</f>
        <v/>
      </c>
      <c r="J594" s="31">
        <f>IF($A594="","",MAX(IF($D594="Evet",ROUND($C594*tbo_oranBesPuan,2),0),IF($E594="Evet",ROUND($C594*tbo_oranIlave,2),0),IF($F594="Evet",ROUND($C594*tbo_oranKadinGenc,2),0),IF($G594="Evet",ROUND($C594*tbo_isverenOran,2),0)))</f>
        <v/>
      </c>
      <c r="K594" s="31">
        <f>IF($A594="","",IF($H594="TBO-001",IF($D594="Evet",ROUND($C594*tbo_oranBesPuan,2),0),IF($H594="TBO-002",IF($E594="Evet",ROUND($C594*tbo_oranIlave,2),0),IF($H594="TBO-004",IF($F594="Evet",ROUND($C594*tbo_oranKadinGenc,2),0),IF($H594="TBO-ENG",IF($G594="Evet",ROUND($C594*tbo_isverenOran,2),0),0)))))</f>
        <v/>
      </c>
      <c r="L594" s="31">
        <f>IF($A594="","",MAX(0,$J594-$K594))</f>
        <v/>
      </c>
    </row>
    <row r="595">
      <c r="I595" s="31">
        <f>IF($A595="","",IF($J595=0,"YOK",IF(AND($E595="Evet",ROUND($C595*tbo_oranIlave,2)=$J595),"TBO-002",IF(AND($D595="Evet",ROUND($C595*tbo_oranBesPuan,2)=$J595),"TBO-001",IF(AND($F595="Evet",ROUND($C595*tbo_oranKadinGenc,2)=$J595),"TBO-004","TBO-ENG")))))</f>
        <v/>
      </c>
      <c r="J595" s="31">
        <f>IF($A595="","",MAX(IF($D595="Evet",ROUND($C595*tbo_oranBesPuan,2),0),IF($E595="Evet",ROUND($C595*tbo_oranIlave,2),0),IF($F595="Evet",ROUND($C595*tbo_oranKadinGenc,2),0),IF($G595="Evet",ROUND($C595*tbo_isverenOran,2),0)))</f>
        <v/>
      </c>
      <c r="K595" s="31">
        <f>IF($A595="","",IF($H595="TBO-001",IF($D595="Evet",ROUND($C595*tbo_oranBesPuan,2),0),IF($H595="TBO-002",IF($E595="Evet",ROUND($C595*tbo_oranIlave,2),0),IF($H595="TBO-004",IF($F595="Evet",ROUND($C595*tbo_oranKadinGenc,2),0),IF($H595="TBO-ENG",IF($G595="Evet",ROUND($C595*tbo_isverenOran,2),0),0)))))</f>
        <v/>
      </c>
      <c r="L595" s="31">
        <f>IF($A595="","",MAX(0,$J595-$K595))</f>
        <v/>
      </c>
    </row>
    <row r="596">
      <c r="I596" s="31">
        <f>IF($A596="","",IF($J596=0,"YOK",IF(AND($E596="Evet",ROUND($C596*tbo_oranIlave,2)=$J596),"TBO-002",IF(AND($D596="Evet",ROUND($C596*tbo_oranBesPuan,2)=$J596),"TBO-001",IF(AND($F596="Evet",ROUND($C596*tbo_oranKadinGenc,2)=$J596),"TBO-004","TBO-ENG")))))</f>
        <v/>
      </c>
      <c r="J596" s="31">
        <f>IF($A596="","",MAX(IF($D596="Evet",ROUND($C596*tbo_oranBesPuan,2),0),IF($E596="Evet",ROUND($C596*tbo_oranIlave,2),0),IF($F596="Evet",ROUND($C596*tbo_oranKadinGenc,2),0),IF($G596="Evet",ROUND($C596*tbo_isverenOran,2),0)))</f>
        <v/>
      </c>
      <c r="K596" s="31">
        <f>IF($A596="","",IF($H596="TBO-001",IF($D596="Evet",ROUND($C596*tbo_oranBesPuan,2),0),IF($H596="TBO-002",IF($E596="Evet",ROUND($C596*tbo_oranIlave,2),0),IF($H596="TBO-004",IF($F596="Evet",ROUND($C596*tbo_oranKadinGenc,2),0),IF($H596="TBO-ENG",IF($G596="Evet",ROUND($C596*tbo_isverenOran,2),0),0)))))</f>
        <v/>
      </c>
      <c r="L596" s="31">
        <f>IF($A596="","",MAX(0,$J596-$K596))</f>
        <v/>
      </c>
    </row>
    <row r="597">
      <c r="I597" s="31">
        <f>IF($A597="","",IF($J597=0,"YOK",IF(AND($E597="Evet",ROUND($C597*tbo_oranIlave,2)=$J597),"TBO-002",IF(AND($D597="Evet",ROUND($C597*tbo_oranBesPuan,2)=$J597),"TBO-001",IF(AND($F597="Evet",ROUND($C597*tbo_oranKadinGenc,2)=$J597),"TBO-004","TBO-ENG")))))</f>
        <v/>
      </c>
      <c r="J597" s="31">
        <f>IF($A597="","",MAX(IF($D597="Evet",ROUND($C597*tbo_oranBesPuan,2),0),IF($E597="Evet",ROUND($C597*tbo_oranIlave,2),0),IF($F597="Evet",ROUND($C597*tbo_oranKadinGenc,2),0),IF($G597="Evet",ROUND($C597*tbo_isverenOran,2),0)))</f>
        <v/>
      </c>
      <c r="K597" s="31">
        <f>IF($A597="","",IF($H597="TBO-001",IF($D597="Evet",ROUND($C597*tbo_oranBesPuan,2),0),IF($H597="TBO-002",IF($E597="Evet",ROUND($C597*tbo_oranIlave,2),0),IF($H597="TBO-004",IF($F597="Evet",ROUND($C597*tbo_oranKadinGenc,2),0),IF($H597="TBO-ENG",IF($G597="Evet",ROUND($C597*tbo_isverenOran,2),0),0)))))</f>
        <v/>
      </c>
      <c r="L597" s="31">
        <f>IF($A597="","",MAX(0,$J597-$K597))</f>
        <v/>
      </c>
    </row>
    <row r="598">
      <c r="I598" s="31">
        <f>IF($A598="","",IF($J598=0,"YOK",IF(AND($E598="Evet",ROUND($C598*tbo_oranIlave,2)=$J598),"TBO-002",IF(AND($D598="Evet",ROUND($C598*tbo_oranBesPuan,2)=$J598),"TBO-001",IF(AND($F598="Evet",ROUND($C598*tbo_oranKadinGenc,2)=$J598),"TBO-004","TBO-ENG")))))</f>
        <v/>
      </c>
      <c r="J598" s="31">
        <f>IF($A598="","",MAX(IF($D598="Evet",ROUND($C598*tbo_oranBesPuan,2),0),IF($E598="Evet",ROUND($C598*tbo_oranIlave,2),0),IF($F598="Evet",ROUND($C598*tbo_oranKadinGenc,2),0),IF($G598="Evet",ROUND($C598*tbo_isverenOran,2),0)))</f>
        <v/>
      </c>
      <c r="K598" s="31">
        <f>IF($A598="","",IF($H598="TBO-001",IF($D598="Evet",ROUND($C598*tbo_oranBesPuan,2),0),IF($H598="TBO-002",IF($E598="Evet",ROUND($C598*tbo_oranIlave,2),0),IF($H598="TBO-004",IF($F598="Evet",ROUND($C598*tbo_oranKadinGenc,2),0),IF($H598="TBO-ENG",IF($G598="Evet",ROUND($C598*tbo_isverenOran,2),0),0)))))</f>
        <v/>
      </c>
      <c r="L598" s="31">
        <f>IF($A598="","",MAX(0,$J598-$K598))</f>
        <v/>
      </c>
    </row>
    <row r="599">
      <c r="I599" s="31">
        <f>IF($A599="","",IF($J599=0,"YOK",IF(AND($E599="Evet",ROUND($C599*tbo_oranIlave,2)=$J599),"TBO-002",IF(AND($D599="Evet",ROUND($C599*tbo_oranBesPuan,2)=$J599),"TBO-001",IF(AND($F599="Evet",ROUND($C599*tbo_oranKadinGenc,2)=$J599),"TBO-004","TBO-ENG")))))</f>
        <v/>
      </c>
      <c r="J599" s="31">
        <f>IF($A599="","",MAX(IF($D599="Evet",ROUND($C599*tbo_oranBesPuan,2),0),IF($E599="Evet",ROUND($C599*tbo_oranIlave,2),0),IF($F599="Evet",ROUND($C599*tbo_oranKadinGenc,2),0),IF($G599="Evet",ROUND($C599*tbo_isverenOran,2),0)))</f>
        <v/>
      </c>
      <c r="K599" s="31">
        <f>IF($A599="","",IF($H599="TBO-001",IF($D599="Evet",ROUND($C599*tbo_oranBesPuan,2),0),IF($H599="TBO-002",IF($E599="Evet",ROUND($C599*tbo_oranIlave,2),0),IF($H599="TBO-004",IF($F599="Evet",ROUND($C599*tbo_oranKadinGenc,2),0),IF($H599="TBO-ENG",IF($G599="Evet",ROUND($C599*tbo_isverenOran,2),0),0)))))</f>
        <v/>
      </c>
      <c r="L599" s="31">
        <f>IF($A599="","",MAX(0,$J599-$K599))</f>
        <v/>
      </c>
    </row>
    <row r="600">
      <c r="I600" s="31">
        <f>IF($A600="","",IF($J600=0,"YOK",IF(AND($E600="Evet",ROUND($C600*tbo_oranIlave,2)=$J600),"TBO-002",IF(AND($D600="Evet",ROUND($C600*tbo_oranBesPuan,2)=$J600),"TBO-001",IF(AND($F600="Evet",ROUND($C600*tbo_oranKadinGenc,2)=$J600),"TBO-004","TBO-ENG")))))</f>
        <v/>
      </c>
      <c r="J600" s="31">
        <f>IF($A600="","",MAX(IF($D600="Evet",ROUND($C600*tbo_oranBesPuan,2),0),IF($E600="Evet",ROUND($C600*tbo_oranIlave,2),0),IF($F600="Evet",ROUND($C600*tbo_oranKadinGenc,2),0),IF($G600="Evet",ROUND($C600*tbo_isverenOran,2),0)))</f>
        <v/>
      </c>
      <c r="K600" s="31">
        <f>IF($A600="","",IF($H600="TBO-001",IF($D600="Evet",ROUND($C600*tbo_oranBesPuan,2),0),IF($H600="TBO-002",IF($E600="Evet",ROUND($C600*tbo_oranIlave,2),0),IF($H600="TBO-004",IF($F600="Evet",ROUND($C600*tbo_oranKadinGenc,2),0),IF($H600="TBO-ENG",IF($G600="Evet",ROUND($C600*tbo_isverenOran,2),0),0)))))</f>
        <v/>
      </c>
      <c r="L600" s="31">
        <f>IF($A600="","",MAX(0,$J600-$K600))</f>
        <v/>
      </c>
    </row>
    <row r="601">
      <c r="I601" s="31">
        <f>IF($A601="","",IF($J601=0,"YOK",IF(AND($E601="Evet",ROUND($C601*tbo_oranIlave,2)=$J601),"TBO-002",IF(AND($D601="Evet",ROUND($C601*tbo_oranBesPuan,2)=$J601),"TBO-001",IF(AND($F601="Evet",ROUND($C601*tbo_oranKadinGenc,2)=$J601),"TBO-004","TBO-ENG")))))</f>
        <v/>
      </c>
      <c r="J601" s="31">
        <f>IF($A601="","",MAX(IF($D601="Evet",ROUND($C601*tbo_oranBesPuan,2),0),IF($E601="Evet",ROUND($C601*tbo_oranIlave,2),0),IF($F601="Evet",ROUND($C601*tbo_oranKadinGenc,2),0),IF($G601="Evet",ROUND($C601*tbo_isverenOran,2),0)))</f>
        <v/>
      </c>
      <c r="K601" s="31">
        <f>IF($A601="","",IF($H601="TBO-001",IF($D601="Evet",ROUND($C601*tbo_oranBesPuan,2),0),IF($H601="TBO-002",IF($E601="Evet",ROUND($C601*tbo_oranIlave,2),0),IF($H601="TBO-004",IF($F601="Evet",ROUND($C601*tbo_oranKadinGenc,2),0),IF($H601="TBO-ENG",IF($G601="Evet",ROUND($C601*tbo_isverenOran,2),0),0)))))</f>
        <v/>
      </c>
      <c r="L601" s="31">
        <f>IF($A601="","",MAX(0,$J601-$K601))</f>
        <v/>
      </c>
    </row>
    <row r="602">
      <c r="I602" s="31">
        <f>IF($A602="","",IF($J602=0,"YOK",IF(AND($E602="Evet",ROUND($C602*tbo_oranIlave,2)=$J602),"TBO-002",IF(AND($D602="Evet",ROUND($C602*tbo_oranBesPuan,2)=$J602),"TBO-001",IF(AND($F602="Evet",ROUND($C602*tbo_oranKadinGenc,2)=$J602),"TBO-004","TBO-ENG")))))</f>
        <v/>
      </c>
      <c r="J602" s="31">
        <f>IF($A602="","",MAX(IF($D602="Evet",ROUND($C602*tbo_oranBesPuan,2),0),IF($E602="Evet",ROUND($C602*tbo_oranIlave,2),0),IF($F602="Evet",ROUND($C602*tbo_oranKadinGenc,2),0),IF($G602="Evet",ROUND($C602*tbo_isverenOran,2),0)))</f>
        <v/>
      </c>
      <c r="K602" s="31">
        <f>IF($A602="","",IF($H602="TBO-001",IF($D602="Evet",ROUND($C602*tbo_oranBesPuan,2),0),IF($H602="TBO-002",IF($E602="Evet",ROUND($C602*tbo_oranIlave,2),0),IF($H602="TBO-004",IF($F602="Evet",ROUND($C602*tbo_oranKadinGenc,2),0),IF($H602="TBO-ENG",IF($G602="Evet",ROUND($C602*tbo_isverenOran,2),0),0)))))</f>
        <v/>
      </c>
      <c r="L602" s="31">
        <f>IF($A602="","",MAX(0,$J602-$K602))</f>
        <v/>
      </c>
    </row>
    <row r="603">
      <c r="I603" s="31">
        <f>IF($A603="","",IF($J603=0,"YOK",IF(AND($E603="Evet",ROUND($C603*tbo_oranIlave,2)=$J603),"TBO-002",IF(AND($D603="Evet",ROUND($C603*tbo_oranBesPuan,2)=$J603),"TBO-001",IF(AND($F603="Evet",ROUND($C603*tbo_oranKadinGenc,2)=$J603),"TBO-004","TBO-ENG")))))</f>
        <v/>
      </c>
      <c r="J603" s="31">
        <f>IF($A603="","",MAX(IF($D603="Evet",ROUND($C603*tbo_oranBesPuan,2),0),IF($E603="Evet",ROUND($C603*tbo_oranIlave,2),0),IF($F603="Evet",ROUND($C603*tbo_oranKadinGenc,2),0),IF($G603="Evet",ROUND($C603*tbo_isverenOran,2),0)))</f>
        <v/>
      </c>
      <c r="K603" s="31">
        <f>IF($A603="","",IF($H603="TBO-001",IF($D603="Evet",ROUND($C603*tbo_oranBesPuan,2),0),IF($H603="TBO-002",IF($E603="Evet",ROUND($C603*tbo_oranIlave,2),0),IF($H603="TBO-004",IF($F603="Evet",ROUND($C603*tbo_oranKadinGenc,2),0),IF($H603="TBO-ENG",IF($G603="Evet",ROUND($C603*tbo_isverenOran,2),0),0)))))</f>
        <v/>
      </c>
      <c r="L603" s="31">
        <f>IF($A603="","",MAX(0,$J603-$K603))</f>
        <v/>
      </c>
    </row>
    <row r="604">
      <c r="I604" s="31">
        <f>IF($A604="","",IF($J604=0,"YOK",IF(AND($E604="Evet",ROUND($C604*tbo_oranIlave,2)=$J604),"TBO-002",IF(AND($D604="Evet",ROUND($C604*tbo_oranBesPuan,2)=$J604),"TBO-001",IF(AND($F604="Evet",ROUND($C604*tbo_oranKadinGenc,2)=$J604),"TBO-004","TBO-ENG")))))</f>
        <v/>
      </c>
      <c r="J604" s="31">
        <f>IF($A604="","",MAX(IF($D604="Evet",ROUND($C604*tbo_oranBesPuan,2),0),IF($E604="Evet",ROUND($C604*tbo_oranIlave,2),0),IF($F604="Evet",ROUND($C604*tbo_oranKadinGenc,2),0),IF($G604="Evet",ROUND($C604*tbo_isverenOran,2),0)))</f>
        <v/>
      </c>
      <c r="K604" s="31">
        <f>IF($A604="","",IF($H604="TBO-001",IF($D604="Evet",ROUND($C604*tbo_oranBesPuan,2),0),IF($H604="TBO-002",IF($E604="Evet",ROUND($C604*tbo_oranIlave,2),0),IF($H604="TBO-004",IF($F604="Evet",ROUND($C604*tbo_oranKadinGenc,2),0),IF($H604="TBO-ENG",IF($G604="Evet",ROUND($C604*tbo_isverenOran,2),0),0)))))</f>
        <v/>
      </c>
      <c r="L604" s="31">
        <f>IF($A604="","",MAX(0,$J604-$K604))</f>
        <v/>
      </c>
    </row>
    <row r="605">
      <c r="I605" s="31">
        <f>IF($A605="","",IF($J605=0,"YOK",IF(AND($E605="Evet",ROUND($C605*tbo_oranIlave,2)=$J605),"TBO-002",IF(AND($D605="Evet",ROUND($C605*tbo_oranBesPuan,2)=$J605),"TBO-001",IF(AND($F605="Evet",ROUND($C605*tbo_oranKadinGenc,2)=$J605),"TBO-004","TBO-ENG")))))</f>
        <v/>
      </c>
      <c r="J605" s="31">
        <f>IF($A605="","",MAX(IF($D605="Evet",ROUND($C605*tbo_oranBesPuan,2),0),IF($E605="Evet",ROUND($C605*tbo_oranIlave,2),0),IF($F605="Evet",ROUND($C605*tbo_oranKadinGenc,2),0),IF($G605="Evet",ROUND($C605*tbo_isverenOran,2),0)))</f>
        <v/>
      </c>
      <c r="K605" s="31">
        <f>IF($A605="","",IF($H605="TBO-001",IF($D605="Evet",ROUND($C605*tbo_oranBesPuan,2),0),IF($H605="TBO-002",IF($E605="Evet",ROUND($C605*tbo_oranIlave,2),0),IF($H605="TBO-004",IF($F605="Evet",ROUND($C605*tbo_oranKadinGenc,2),0),IF($H605="TBO-ENG",IF($G605="Evet",ROUND($C605*tbo_isverenOran,2),0),0)))))</f>
        <v/>
      </c>
      <c r="L605" s="31">
        <f>IF($A605="","",MAX(0,$J605-$K605))</f>
        <v/>
      </c>
    </row>
    <row r="606">
      <c r="I606" s="31">
        <f>IF($A606="","",IF($J606=0,"YOK",IF(AND($E606="Evet",ROUND($C606*tbo_oranIlave,2)=$J606),"TBO-002",IF(AND($D606="Evet",ROUND($C606*tbo_oranBesPuan,2)=$J606),"TBO-001",IF(AND($F606="Evet",ROUND($C606*tbo_oranKadinGenc,2)=$J606),"TBO-004","TBO-ENG")))))</f>
        <v/>
      </c>
      <c r="J606" s="31">
        <f>IF($A606="","",MAX(IF($D606="Evet",ROUND($C606*tbo_oranBesPuan,2),0),IF($E606="Evet",ROUND($C606*tbo_oranIlave,2),0),IF($F606="Evet",ROUND($C606*tbo_oranKadinGenc,2),0),IF($G606="Evet",ROUND($C606*tbo_isverenOran,2),0)))</f>
        <v/>
      </c>
      <c r="K606" s="31">
        <f>IF($A606="","",IF($H606="TBO-001",IF($D606="Evet",ROUND($C606*tbo_oranBesPuan,2),0),IF($H606="TBO-002",IF($E606="Evet",ROUND($C606*tbo_oranIlave,2),0),IF($H606="TBO-004",IF($F606="Evet",ROUND($C606*tbo_oranKadinGenc,2),0),IF($H606="TBO-ENG",IF($G606="Evet",ROUND($C606*tbo_isverenOran,2),0),0)))))</f>
        <v/>
      </c>
      <c r="L606" s="31">
        <f>IF($A606="","",MAX(0,$J606-$K606))</f>
        <v/>
      </c>
    </row>
    <row r="607">
      <c r="I607" s="31">
        <f>IF($A607="","",IF($J607=0,"YOK",IF(AND($E607="Evet",ROUND($C607*tbo_oranIlave,2)=$J607),"TBO-002",IF(AND($D607="Evet",ROUND($C607*tbo_oranBesPuan,2)=$J607),"TBO-001",IF(AND($F607="Evet",ROUND($C607*tbo_oranKadinGenc,2)=$J607),"TBO-004","TBO-ENG")))))</f>
        <v/>
      </c>
      <c r="J607" s="31">
        <f>IF($A607="","",MAX(IF($D607="Evet",ROUND($C607*tbo_oranBesPuan,2),0),IF($E607="Evet",ROUND($C607*tbo_oranIlave,2),0),IF($F607="Evet",ROUND($C607*tbo_oranKadinGenc,2),0),IF($G607="Evet",ROUND($C607*tbo_isverenOran,2),0)))</f>
        <v/>
      </c>
      <c r="K607" s="31">
        <f>IF($A607="","",IF($H607="TBO-001",IF($D607="Evet",ROUND($C607*tbo_oranBesPuan,2),0),IF($H607="TBO-002",IF($E607="Evet",ROUND($C607*tbo_oranIlave,2),0),IF($H607="TBO-004",IF($F607="Evet",ROUND($C607*tbo_oranKadinGenc,2),0),IF($H607="TBO-ENG",IF($G607="Evet",ROUND($C607*tbo_isverenOran,2),0),0)))))</f>
        <v/>
      </c>
      <c r="L607" s="31">
        <f>IF($A607="","",MAX(0,$J607-$K607))</f>
        <v/>
      </c>
    </row>
    <row r="608">
      <c r="I608" s="31">
        <f>IF($A608="","",IF($J608=0,"YOK",IF(AND($E608="Evet",ROUND($C608*tbo_oranIlave,2)=$J608),"TBO-002",IF(AND($D608="Evet",ROUND($C608*tbo_oranBesPuan,2)=$J608),"TBO-001",IF(AND($F608="Evet",ROUND($C608*tbo_oranKadinGenc,2)=$J608),"TBO-004","TBO-ENG")))))</f>
        <v/>
      </c>
      <c r="J608" s="31">
        <f>IF($A608="","",MAX(IF($D608="Evet",ROUND($C608*tbo_oranBesPuan,2),0),IF($E608="Evet",ROUND($C608*tbo_oranIlave,2),0),IF($F608="Evet",ROUND($C608*tbo_oranKadinGenc,2),0),IF($G608="Evet",ROUND($C608*tbo_isverenOran,2),0)))</f>
        <v/>
      </c>
      <c r="K608" s="31">
        <f>IF($A608="","",IF($H608="TBO-001",IF($D608="Evet",ROUND($C608*tbo_oranBesPuan,2),0),IF($H608="TBO-002",IF($E608="Evet",ROUND($C608*tbo_oranIlave,2),0),IF($H608="TBO-004",IF($F608="Evet",ROUND($C608*tbo_oranKadinGenc,2),0),IF($H608="TBO-ENG",IF($G608="Evet",ROUND($C608*tbo_isverenOran,2),0),0)))))</f>
        <v/>
      </c>
      <c r="L608" s="31">
        <f>IF($A608="","",MAX(0,$J608-$K608))</f>
        <v/>
      </c>
    </row>
    <row r="609">
      <c r="I609" s="31">
        <f>IF($A609="","",IF($J609=0,"YOK",IF(AND($E609="Evet",ROUND($C609*tbo_oranIlave,2)=$J609),"TBO-002",IF(AND($D609="Evet",ROUND($C609*tbo_oranBesPuan,2)=$J609),"TBO-001",IF(AND($F609="Evet",ROUND($C609*tbo_oranKadinGenc,2)=$J609),"TBO-004","TBO-ENG")))))</f>
        <v/>
      </c>
      <c r="J609" s="31">
        <f>IF($A609="","",MAX(IF($D609="Evet",ROUND($C609*tbo_oranBesPuan,2),0),IF($E609="Evet",ROUND($C609*tbo_oranIlave,2),0),IF($F609="Evet",ROUND($C609*tbo_oranKadinGenc,2),0),IF($G609="Evet",ROUND($C609*tbo_isverenOran,2),0)))</f>
        <v/>
      </c>
      <c r="K609" s="31">
        <f>IF($A609="","",IF($H609="TBO-001",IF($D609="Evet",ROUND($C609*tbo_oranBesPuan,2),0),IF($H609="TBO-002",IF($E609="Evet",ROUND($C609*tbo_oranIlave,2),0),IF($H609="TBO-004",IF($F609="Evet",ROUND($C609*tbo_oranKadinGenc,2),0),IF($H609="TBO-ENG",IF($G609="Evet",ROUND($C609*tbo_isverenOran,2),0),0)))))</f>
        <v/>
      </c>
      <c r="L609" s="31">
        <f>IF($A609="","",MAX(0,$J609-$K609))</f>
        <v/>
      </c>
    </row>
    <row r="610">
      <c r="I610" s="31">
        <f>IF($A610="","",IF($J610=0,"YOK",IF(AND($E610="Evet",ROUND($C610*tbo_oranIlave,2)=$J610),"TBO-002",IF(AND($D610="Evet",ROUND($C610*tbo_oranBesPuan,2)=$J610),"TBO-001",IF(AND($F610="Evet",ROUND($C610*tbo_oranKadinGenc,2)=$J610),"TBO-004","TBO-ENG")))))</f>
        <v/>
      </c>
      <c r="J610" s="31">
        <f>IF($A610="","",MAX(IF($D610="Evet",ROUND($C610*tbo_oranBesPuan,2),0),IF($E610="Evet",ROUND($C610*tbo_oranIlave,2),0),IF($F610="Evet",ROUND($C610*tbo_oranKadinGenc,2),0),IF($G610="Evet",ROUND($C610*tbo_isverenOran,2),0)))</f>
        <v/>
      </c>
      <c r="K610" s="31">
        <f>IF($A610="","",IF($H610="TBO-001",IF($D610="Evet",ROUND($C610*tbo_oranBesPuan,2),0),IF($H610="TBO-002",IF($E610="Evet",ROUND($C610*tbo_oranIlave,2),0),IF($H610="TBO-004",IF($F610="Evet",ROUND($C610*tbo_oranKadinGenc,2),0),IF($H610="TBO-ENG",IF($G610="Evet",ROUND($C610*tbo_isverenOran,2),0),0)))))</f>
        <v/>
      </c>
      <c r="L610" s="31">
        <f>IF($A610="","",MAX(0,$J610-$K610))</f>
        <v/>
      </c>
    </row>
    <row r="611">
      <c r="I611" s="31">
        <f>IF($A611="","",IF($J611=0,"YOK",IF(AND($E611="Evet",ROUND($C611*tbo_oranIlave,2)=$J611),"TBO-002",IF(AND($D611="Evet",ROUND($C611*tbo_oranBesPuan,2)=$J611),"TBO-001",IF(AND($F611="Evet",ROUND($C611*tbo_oranKadinGenc,2)=$J611),"TBO-004","TBO-ENG")))))</f>
        <v/>
      </c>
      <c r="J611" s="31">
        <f>IF($A611="","",MAX(IF($D611="Evet",ROUND($C611*tbo_oranBesPuan,2),0),IF($E611="Evet",ROUND($C611*tbo_oranIlave,2),0),IF($F611="Evet",ROUND($C611*tbo_oranKadinGenc,2),0),IF($G611="Evet",ROUND($C611*tbo_isverenOran,2),0)))</f>
        <v/>
      </c>
      <c r="K611" s="31">
        <f>IF($A611="","",IF($H611="TBO-001",IF($D611="Evet",ROUND($C611*tbo_oranBesPuan,2),0),IF($H611="TBO-002",IF($E611="Evet",ROUND($C611*tbo_oranIlave,2),0),IF($H611="TBO-004",IF($F611="Evet",ROUND($C611*tbo_oranKadinGenc,2),0),IF($H611="TBO-ENG",IF($G611="Evet",ROUND($C611*tbo_isverenOran,2),0),0)))))</f>
        <v/>
      </c>
      <c r="L611" s="31">
        <f>IF($A611="","",MAX(0,$J611-$K611))</f>
        <v/>
      </c>
    </row>
    <row r="612">
      <c r="I612" s="31">
        <f>IF($A612="","",IF($J612=0,"YOK",IF(AND($E612="Evet",ROUND($C612*tbo_oranIlave,2)=$J612),"TBO-002",IF(AND($D612="Evet",ROUND($C612*tbo_oranBesPuan,2)=$J612),"TBO-001",IF(AND($F612="Evet",ROUND($C612*tbo_oranKadinGenc,2)=$J612),"TBO-004","TBO-ENG")))))</f>
        <v/>
      </c>
      <c r="J612" s="31">
        <f>IF($A612="","",MAX(IF($D612="Evet",ROUND($C612*tbo_oranBesPuan,2),0),IF($E612="Evet",ROUND($C612*tbo_oranIlave,2),0),IF($F612="Evet",ROUND($C612*tbo_oranKadinGenc,2),0),IF($G612="Evet",ROUND($C612*tbo_isverenOran,2),0)))</f>
        <v/>
      </c>
      <c r="K612" s="31">
        <f>IF($A612="","",IF($H612="TBO-001",IF($D612="Evet",ROUND($C612*tbo_oranBesPuan,2),0),IF($H612="TBO-002",IF($E612="Evet",ROUND($C612*tbo_oranIlave,2),0),IF($H612="TBO-004",IF($F612="Evet",ROUND($C612*tbo_oranKadinGenc,2),0),IF($H612="TBO-ENG",IF($G612="Evet",ROUND($C612*tbo_isverenOran,2),0),0)))))</f>
        <v/>
      </c>
      <c r="L612" s="31">
        <f>IF($A612="","",MAX(0,$J612-$K612))</f>
        <v/>
      </c>
    </row>
    <row r="613">
      <c r="I613" s="31">
        <f>IF($A613="","",IF($J613=0,"YOK",IF(AND($E613="Evet",ROUND($C613*tbo_oranIlave,2)=$J613),"TBO-002",IF(AND($D613="Evet",ROUND($C613*tbo_oranBesPuan,2)=$J613),"TBO-001",IF(AND($F613="Evet",ROUND($C613*tbo_oranKadinGenc,2)=$J613),"TBO-004","TBO-ENG")))))</f>
        <v/>
      </c>
      <c r="J613" s="31">
        <f>IF($A613="","",MAX(IF($D613="Evet",ROUND($C613*tbo_oranBesPuan,2),0),IF($E613="Evet",ROUND($C613*tbo_oranIlave,2),0),IF($F613="Evet",ROUND($C613*tbo_oranKadinGenc,2),0),IF($G613="Evet",ROUND($C613*tbo_isverenOran,2),0)))</f>
        <v/>
      </c>
      <c r="K613" s="31">
        <f>IF($A613="","",IF($H613="TBO-001",IF($D613="Evet",ROUND($C613*tbo_oranBesPuan,2),0),IF($H613="TBO-002",IF($E613="Evet",ROUND($C613*tbo_oranIlave,2),0),IF($H613="TBO-004",IF($F613="Evet",ROUND($C613*tbo_oranKadinGenc,2),0),IF($H613="TBO-ENG",IF($G613="Evet",ROUND($C613*tbo_isverenOran,2),0),0)))))</f>
        <v/>
      </c>
      <c r="L613" s="31">
        <f>IF($A613="","",MAX(0,$J613-$K613))</f>
        <v/>
      </c>
    </row>
    <row r="614">
      <c r="I614" s="31">
        <f>IF($A614="","",IF($J614=0,"YOK",IF(AND($E614="Evet",ROUND($C614*tbo_oranIlave,2)=$J614),"TBO-002",IF(AND($D614="Evet",ROUND($C614*tbo_oranBesPuan,2)=$J614),"TBO-001",IF(AND($F614="Evet",ROUND($C614*tbo_oranKadinGenc,2)=$J614),"TBO-004","TBO-ENG")))))</f>
        <v/>
      </c>
      <c r="J614" s="31">
        <f>IF($A614="","",MAX(IF($D614="Evet",ROUND($C614*tbo_oranBesPuan,2),0),IF($E614="Evet",ROUND($C614*tbo_oranIlave,2),0),IF($F614="Evet",ROUND($C614*tbo_oranKadinGenc,2),0),IF($G614="Evet",ROUND($C614*tbo_isverenOran,2),0)))</f>
        <v/>
      </c>
      <c r="K614" s="31">
        <f>IF($A614="","",IF($H614="TBO-001",IF($D614="Evet",ROUND($C614*tbo_oranBesPuan,2),0),IF($H614="TBO-002",IF($E614="Evet",ROUND($C614*tbo_oranIlave,2),0),IF($H614="TBO-004",IF($F614="Evet",ROUND($C614*tbo_oranKadinGenc,2),0),IF($H614="TBO-ENG",IF($G614="Evet",ROUND($C614*tbo_isverenOran,2),0),0)))))</f>
        <v/>
      </c>
      <c r="L614" s="31">
        <f>IF($A614="","",MAX(0,$J614-$K614))</f>
        <v/>
      </c>
    </row>
    <row r="615">
      <c r="I615" s="31">
        <f>IF($A615="","",IF($J615=0,"YOK",IF(AND($E615="Evet",ROUND($C615*tbo_oranIlave,2)=$J615),"TBO-002",IF(AND($D615="Evet",ROUND($C615*tbo_oranBesPuan,2)=$J615),"TBO-001",IF(AND($F615="Evet",ROUND($C615*tbo_oranKadinGenc,2)=$J615),"TBO-004","TBO-ENG")))))</f>
        <v/>
      </c>
      <c r="J615" s="31">
        <f>IF($A615="","",MAX(IF($D615="Evet",ROUND($C615*tbo_oranBesPuan,2),0),IF($E615="Evet",ROUND($C615*tbo_oranIlave,2),0),IF($F615="Evet",ROUND($C615*tbo_oranKadinGenc,2),0),IF($G615="Evet",ROUND($C615*tbo_isverenOran,2),0)))</f>
        <v/>
      </c>
      <c r="K615" s="31">
        <f>IF($A615="","",IF($H615="TBO-001",IF($D615="Evet",ROUND($C615*tbo_oranBesPuan,2),0),IF($H615="TBO-002",IF($E615="Evet",ROUND($C615*tbo_oranIlave,2),0),IF($H615="TBO-004",IF($F615="Evet",ROUND($C615*tbo_oranKadinGenc,2),0),IF($H615="TBO-ENG",IF($G615="Evet",ROUND($C615*tbo_isverenOran,2),0),0)))))</f>
        <v/>
      </c>
      <c r="L615" s="31">
        <f>IF($A615="","",MAX(0,$J615-$K615))</f>
        <v/>
      </c>
    </row>
    <row r="616">
      <c r="I616" s="31">
        <f>IF($A616="","",IF($J616=0,"YOK",IF(AND($E616="Evet",ROUND($C616*tbo_oranIlave,2)=$J616),"TBO-002",IF(AND($D616="Evet",ROUND($C616*tbo_oranBesPuan,2)=$J616),"TBO-001",IF(AND($F616="Evet",ROUND($C616*tbo_oranKadinGenc,2)=$J616),"TBO-004","TBO-ENG")))))</f>
        <v/>
      </c>
      <c r="J616" s="31">
        <f>IF($A616="","",MAX(IF($D616="Evet",ROUND($C616*tbo_oranBesPuan,2),0),IF($E616="Evet",ROUND($C616*tbo_oranIlave,2),0),IF($F616="Evet",ROUND($C616*tbo_oranKadinGenc,2),0),IF($G616="Evet",ROUND($C616*tbo_isverenOran,2),0)))</f>
        <v/>
      </c>
      <c r="K616" s="31">
        <f>IF($A616="","",IF($H616="TBO-001",IF($D616="Evet",ROUND($C616*tbo_oranBesPuan,2),0),IF($H616="TBO-002",IF($E616="Evet",ROUND($C616*tbo_oranIlave,2),0),IF($H616="TBO-004",IF($F616="Evet",ROUND($C616*tbo_oranKadinGenc,2),0),IF($H616="TBO-ENG",IF($G616="Evet",ROUND($C616*tbo_isverenOran,2),0),0)))))</f>
        <v/>
      </c>
      <c r="L616" s="31">
        <f>IF($A616="","",MAX(0,$J616-$K616))</f>
        <v/>
      </c>
    </row>
    <row r="617">
      <c r="I617" s="31">
        <f>IF($A617="","",IF($J617=0,"YOK",IF(AND($E617="Evet",ROUND($C617*tbo_oranIlave,2)=$J617),"TBO-002",IF(AND($D617="Evet",ROUND($C617*tbo_oranBesPuan,2)=$J617),"TBO-001",IF(AND($F617="Evet",ROUND($C617*tbo_oranKadinGenc,2)=$J617),"TBO-004","TBO-ENG")))))</f>
        <v/>
      </c>
      <c r="J617" s="31">
        <f>IF($A617="","",MAX(IF($D617="Evet",ROUND($C617*tbo_oranBesPuan,2),0),IF($E617="Evet",ROUND($C617*tbo_oranIlave,2),0),IF($F617="Evet",ROUND($C617*tbo_oranKadinGenc,2),0),IF($G617="Evet",ROUND($C617*tbo_isverenOran,2),0)))</f>
        <v/>
      </c>
      <c r="K617" s="31">
        <f>IF($A617="","",IF($H617="TBO-001",IF($D617="Evet",ROUND($C617*tbo_oranBesPuan,2),0),IF($H617="TBO-002",IF($E617="Evet",ROUND($C617*tbo_oranIlave,2),0),IF($H617="TBO-004",IF($F617="Evet",ROUND($C617*tbo_oranKadinGenc,2),0),IF($H617="TBO-ENG",IF($G617="Evet",ROUND($C617*tbo_isverenOran,2),0),0)))))</f>
        <v/>
      </c>
      <c r="L617" s="31">
        <f>IF($A617="","",MAX(0,$J617-$K617))</f>
        <v/>
      </c>
    </row>
    <row r="618">
      <c r="I618" s="31">
        <f>IF($A618="","",IF($J618=0,"YOK",IF(AND($E618="Evet",ROUND($C618*tbo_oranIlave,2)=$J618),"TBO-002",IF(AND($D618="Evet",ROUND($C618*tbo_oranBesPuan,2)=$J618),"TBO-001",IF(AND($F618="Evet",ROUND($C618*tbo_oranKadinGenc,2)=$J618),"TBO-004","TBO-ENG")))))</f>
        <v/>
      </c>
      <c r="J618" s="31">
        <f>IF($A618="","",MAX(IF($D618="Evet",ROUND($C618*tbo_oranBesPuan,2),0),IF($E618="Evet",ROUND($C618*tbo_oranIlave,2),0),IF($F618="Evet",ROUND($C618*tbo_oranKadinGenc,2),0),IF($G618="Evet",ROUND($C618*tbo_isverenOran,2),0)))</f>
        <v/>
      </c>
      <c r="K618" s="31">
        <f>IF($A618="","",IF($H618="TBO-001",IF($D618="Evet",ROUND($C618*tbo_oranBesPuan,2),0),IF($H618="TBO-002",IF($E618="Evet",ROUND($C618*tbo_oranIlave,2),0),IF($H618="TBO-004",IF($F618="Evet",ROUND($C618*tbo_oranKadinGenc,2),0),IF($H618="TBO-ENG",IF($G618="Evet",ROUND($C618*tbo_isverenOran,2),0),0)))))</f>
        <v/>
      </c>
      <c r="L618" s="31">
        <f>IF($A618="","",MAX(0,$J618-$K618))</f>
        <v/>
      </c>
    </row>
    <row r="619">
      <c r="I619" s="31">
        <f>IF($A619="","",IF($J619=0,"YOK",IF(AND($E619="Evet",ROUND($C619*tbo_oranIlave,2)=$J619),"TBO-002",IF(AND($D619="Evet",ROUND($C619*tbo_oranBesPuan,2)=$J619),"TBO-001",IF(AND($F619="Evet",ROUND($C619*tbo_oranKadinGenc,2)=$J619),"TBO-004","TBO-ENG")))))</f>
        <v/>
      </c>
      <c r="J619" s="31">
        <f>IF($A619="","",MAX(IF($D619="Evet",ROUND($C619*tbo_oranBesPuan,2),0),IF($E619="Evet",ROUND($C619*tbo_oranIlave,2),0),IF($F619="Evet",ROUND($C619*tbo_oranKadinGenc,2),0),IF($G619="Evet",ROUND($C619*tbo_isverenOran,2),0)))</f>
        <v/>
      </c>
      <c r="K619" s="31">
        <f>IF($A619="","",IF($H619="TBO-001",IF($D619="Evet",ROUND($C619*tbo_oranBesPuan,2),0),IF($H619="TBO-002",IF($E619="Evet",ROUND($C619*tbo_oranIlave,2),0),IF($H619="TBO-004",IF($F619="Evet",ROUND($C619*tbo_oranKadinGenc,2),0),IF($H619="TBO-ENG",IF($G619="Evet",ROUND($C619*tbo_isverenOran,2),0),0)))))</f>
        <v/>
      </c>
      <c r="L619" s="31">
        <f>IF($A619="","",MAX(0,$J619-$K619))</f>
        <v/>
      </c>
    </row>
    <row r="620">
      <c r="I620" s="31">
        <f>IF($A620="","",IF($J620=0,"YOK",IF(AND($E620="Evet",ROUND($C620*tbo_oranIlave,2)=$J620),"TBO-002",IF(AND($D620="Evet",ROUND($C620*tbo_oranBesPuan,2)=$J620),"TBO-001",IF(AND($F620="Evet",ROUND($C620*tbo_oranKadinGenc,2)=$J620),"TBO-004","TBO-ENG")))))</f>
        <v/>
      </c>
      <c r="J620" s="31">
        <f>IF($A620="","",MAX(IF($D620="Evet",ROUND($C620*tbo_oranBesPuan,2),0),IF($E620="Evet",ROUND($C620*tbo_oranIlave,2),0),IF($F620="Evet",ROUND($C620*tbo_oranKadinGenc,2),0),IF($G620="Evet",ROUND($C620*tbo_isverenOran,2),0)))</f>
        <v/>
      </c>
      <c r="K620" s="31">
        <f>IF($A620="","",IF($H620="TBO-001",IF($D620="Evet",ROUND($C620*tbo_oranBesPuan,2),0),IF($H620="TBO-002",IF($E620="Evet",ROUND($C620*tbo_oranIlave,2),0),IF($H620="TBO-004",IF($F620="Evet",ROUND($C620*tbo_oranKadinGenc,2),0),IF($H620="TBO-ENG",IF($G620="Evet",ROUND($C620*tbo_isverenOran,2),0),0)))))</f>
        <v/>
      </c>
      <c r="L620" s="31">
        <f>IF($A620="","",MAX(0,$J620-$K620))</f>
        <v/>
      </c>
    </row>
    <row r="621">
      <c r="I621" s="31">
        <f>IF($A621="","",IF($J621=0,"YOK",IF(AND($E621="Evet",ROUND($C621*tbo_oranIlave,2)=$J621),"TBO-002",IF(AND($D621="Evet",ROUND($C621*tbo_oranBesPuan,2)=$J621),"TBO-001",IF(AND($F621="Evet",ROUND($C621*tbo_oranKadinGenc,2)=$J621),"TBO-004","TBO-ENG")))))</f>
        <v/>
      </c>
      <c r="J621" s="31">
        <f>IF($A621="","",MAX(IF($D621="Evet",ROUND($C621*tbo_oranBesPuan,2),0),IF($E621="Evet",ROUND($C621*tbo_oranIlave,2),0),IF($F621="Evet",ROUND($C621*tbo_oranKadinGenc,2),0),IF($G621="Evet",ROUND($C621*tbo_isverenOran,2),0)))</f>
        <v/>
      </c>
      <c r="K621" s="31">
        <f>IF($A621="","",IF($H621="TBO-001",IF($D621="Evet",ROUND($C621*tbo_oranBesPuan,2),0),IF($H621="TBO-002",IF($E621="Evet",ROUND($C621*tbo_oranIlave,2),0),IF($H621="TBO-004",IF($F621="Evet",ROUND($C621*tbo_oranKadinGenc,2),0),IF($H621="TBO-ENG",IF($G621="Evet",ROUND($C621*tbo_isverenOran,2),0),0)))))</f>
        <v/>
      </c>
      <c r="L621" s="31">
        <f>IF($A621="","",MAX(0,$J621-$K621))</f>
        <v/>
      </c>
    </row>
    <row r="622">
      <c r="I622" s="31">
        <f>IF($A622="","",IF($J622=0,"YOK",IF(AND($E622="Evet",ROUND($C622*tbo_oranIlave,2)=$J622),"TBO-002",IF(AND($D622="Evet",ROUND($C622*tbo_oranBesPuan,2)=$J622),"TBO-001",IF(AND($F622="Evet",ROUND($C622*tbo_oranKadinGenc,2)=$J622),"TBO-004","TBO-ENG")))))</f>
        <v/>
      </c>
      <c r="J622" s="31">
        <f>IF($A622="","",MAX(IF($D622="Evet",ROUND($C622*tbo_oranBesPuan,2),0),IF($E622="Evet",ROUND($C622*tbo_oranIlave,2),0),IF($F622="Evet",ROUND($C622*tbo_oranKadinGenc,2),0),IF($G622="Evet",ROUND($C622*tbo_isverenOran,2),0)))</f>
        <v/>
      </c>
      <c r="K622" s="31">
        <f>IF($A622="","",IF($H622="TBO-001",IF($D622="Evet",ROUND($C622*tbo_oranBesPuan,2),0),IF($H622="TBO-002",IF($E622="Evet",ROUND($C622*tbo_oranIlave,2),0),IF($H622="TBO-004",IF($F622="Evet",ROUND($C622*tbo_oranKadinGenc,2),0),IF($H622="TBO-ENG",IF($G622="Evet",ROUND($C622*tbo_isverenOran,2),0),0)))))</f>
        <v/>
      </c>
      <c r="L622" s="31">
        <f>IF($A622="","",MAX(0,$J622-$K622))</f>
        <v/>
      </c>
    </row>
    <row r="623">
      <c r="I623" s="31">
        <f>IF($A623="","",IF($J623=0,"YOK",IF(AND($E623="Evet",ROUND($C623*tbo_oranIlave,2)=$J623),"TBO-002",IF(AND($D623="Evet",ROUND($C623*tbo_oranBesPuan,2)=$J623),"TBO-001",IF(AND($F623="Evet",ROUND($C623*tbo_oranKadinGenc,2)=$J623),"TBO-004","TBO-ENG")))))</f>
        <v/>
      </c>
      <c r="J623" s="31">
        <f>IF($A623="","",MAX(IF($D623="Evet",ROUND($C623*tbo_oranBesPuan,2),0),IF($E623="Evet",ROUND($C623*tbo_oranIlave,2),0),IF($F623="Evet",ROUND($C623*tbo_oranKadinGenc,2),0),IF($G623="Evet",ROUND($C623*tbo_isverenOran,2),0)))</f>
        <v/>
      </c>
      <c r="K623" s="31">
        <f>IF($A623="","",IF($H623="TBO-001",IF($D623="Evet",ROUND($C623*tbo_oranBesPuan,2),0),IF($H623="TBO-002",IF($E623="Evet",ROUND($C623*tbo_oranIlave,2),0),IF($H623="TBO-004",IF($F623="Evet",ROUND($C623*tbo_oranKadinGenc,2),0),IF($H623="TBO-ENG",IF($G623="Evet",ROUND($C623*tbo_isverenOran,2),0),0)))))</f>
        <v/>
      </c>
      <c r="L623" s="31">
        <f>IF($A623="","",MAX(0,$J623-$K623))</f>
        <v/>
      </c>
    </row>
    <row r="624">
      <c r="I624" s="31">
        <f>IF($A624="","",IF($J624=0,"YOK",IF(AND($E624="Evet",ROUND($C624*tbo_oranIlave,2)=$J624),"TBO-002",IF(AND($D624="Evet",ROUND($C624*tbo_oranBesPuan,2)=$J624),"TBO-001",IF(AND($F624="Evet",ROUND($C624*tbo_oranKadinGenc,2)=$J624),"TBO-004","TBO-ENG")))))</f>
        <v/>
      </c>
      <c r="J624" s="31">
        <f>IF($A624="","",MAX(IF($D624="Evet",ROUND($C624*tbo_oranBesPuan,2),0),IF($E624="Evet",ROUND($C624*tbo_oranIlave,2),0),IF($F624="Evet",ROUND($C624*tbo_oranKadinGenc,2),0),IF($G624="Evet",ROUND($C624*tbo_isverenOran,2),0)))</f>
        <v/>
      </c>
      <c r="K624" s="31">
        <f>IF($A624="","",IF($H624="TBO-001",IF($D624="Evet",ROUND($C624*tbo_oranBesPuan,2),0),IF($H624="TBO-002",IF($E624="Evet",ROUND($C624*tbo_oranIlave,2),0),IF($H624="TBO-004",IF($F624="Evet",ROUND($C624*tbo_oranKadinGenc,2),0),IF($H624="TBO-ENG",IF($G624="Evet",ROUND($C624*tbo_isverenOran,2),0),0)))))</f>
        <v/>
      </c>
      <c r="L624" s="31">
        <f>IF($A624="","",MAX(0,$J624-$K624))</f>
        <v/>
      </c>
    </row>
    <row r="625">
      <c r="I625" s="31">
        <f>IF($A625="","",IF($J625=0,"YOK",IF(AND($E625="Evet",ROUND($C625*tbo_oranIlave,2)=$J625),"TBO-002",IF(AND($D625="Evet",ROUND($C625*tbo_oranBesPuan,2)=$J625),"TBO-001",IF(AND($F625="Evet",ROUND($C625*tbo_oranKadinGenc,2)=$J625),"TBO-004","TBO-ENG")))))</f>
        <v/>
      </c>
      <c r="J625" s="31">
        <f>IF($A625="","",MAX(IF($D625="Evet",ROUND($C625*tbo_oranBesPuan,2),0),IF($E625="Evet",ROUND($C625*tbo_oranIlave,2),0),IF($F625="Evet",ROUND($C625*tbo_oranKadinGenc,2),0),IF($G625="Evet",ROUND($C625*tbo_isverenOran,2),0)))</f>
        <v/>
      </c>
      <c r="K625" s="31">
        <f>IF($A625="","",IF($H625="TBO-001",IF($D625="Evet",ROUND($C625*tbo_oranBesPuan,2),0),IF($H625="TBO-002",IF($E625="Evet",ROUND($C625*tbo_oranIlave,2),0),IF($H625="TBO-004",IF($F625="Evet",ROUND($C625*tbo_oranKadinGenc,2),0),IF($H625="TBO-ENG",IF($G625="Evet",ROUND($C625*tbo_isverenOran,2),0),0)))))</f>
        <v/>
      </c>
      <c r="L625" s="31">
        <f>IF($A625="","",MAX(0,$J625-$K625))</f>
        <v/>
      </c>
    </row>
    <row r="626">
      <c r="I626" s="31">
        <f>IF($A626="","",IF($J626=0,"YOK",IF(AND($E626="Evet",ROUND($C626*tbo_oranIlave,2)=$J626),"TBO-002",IF(AND($D626="Evet",ROUND($C626*tbo_oranBesPuan,2)=$J626),"TBO-001",IF(AND($F626="Evet",ROUND($C626*tbo_oranKadinGenc,2)=$J626),"TBO-004","TBO-ENG")))))</f>
        <v/>
      </c>
      <c r="J626" s="31">
        <f>IF($A626="","",MAX(IF($D626="Evet",ROUND($C626*tbo_oranBesPuan,2),0),IF($E626="Evet",ROUND($C626*tbo_oranIlave,2),0),IF($F626="Evet",ROUND($C626*tbo_oranKadinGenc,2),0),IF($G626="Evet",ROUND($C626*tbo_isverenOran,2),0)))</f>
        <v/>
      </c>
      <c r="K626" s="31">
        <f>IF($A626="","",IF($H626="TBO-001",IF($D626="Evet",ROUND($C626*tbo_oranBesPuan,2),0),IF($H626="TBO-002",IF($E626="Evet",ROUND($C626*tbo_oranIlave,2),0),IF($H626="TBO-004",IF($F626="Evet",ROUND($C626*tbo_oranKadinGenc,2),0),IF($H626="TBO-ENG",IF($G626="Evet",ROUND($C626*tbo_isverenOran,2),0),0)))))</f>
        <v/>
      </c>
      <c r="L626" s="31">
        <f>IF($A626="","",MAX(0,$J626-$K626))</f>
        <v/>
      </c>
    </row>
    <row r="627">
      <c r="I627" s="31">
        <f>IF($A627="","",IF($J627=0,"YOK",IF(AND($E627="Evet",ROUND($C627*tbo_oranIlave,2)=$J627),"TBO-002",IF(AND($D627="Evet",ROUND($C627*tbo_oranBesPuan,2)=$J627),"TBO-001",IF(AND($F627="Evet",ROUND($C627*tbo_oranKadinGenc,2)=$J627),"TBO-004","TBO-ENG")))))</f>
        <v/>
      </c>
      <c r="J627" s="31">
        <f>IF($A627="","",MAX(IF($D627="Evet",ROUND($C627*tbo_oranBesPuan,2),0),IF($E627="Evet",ROUND($C627*tbo_oranIlave,2),0),IF($F627="Evet",ROUND($C627*tbo_oranKadinGenc,2),0),IF($G627="Evet",ROUND($C627*tbo_isverenOran,2),0)))</f>
        <v/>
      </c>
      <c r="K627" s="31">
        <f>IF($A627="","",IF($H627="TBO-001",IF($D627="Evet",ROUND($C627*tbo_oranBesPuan,2),0),IF($H627="TBO-002",IF($E627="Evet",ROUND($C627*tbo_oranIlave,2),0),IF($H627="TBO-004",IF($F627="Evet",ROUND($C627*tbo_oranKadinGenc,2),0),IF($H627="TBO-ENG",IF($G627="Evet",ROUND($C627*tbo_isverenOran,2),0),0)))))</f>
        <v/>
      </c>
      <c r="L627" s="31">
        <f>IF($A627="","",MAX(0,$J627-$K627))</f>
        <v/>
      </c>
    </row>
    <row r="628">
      <c r="I628" s="31">
        <f>IF($A628="","",IF($J628=0,"YOK",IF(AND($E628="Evet",ROUND($C628*tbo_oranIlave,2)=$J628),"TBO-002",IF(AND($D628="Evet",ROUND($C628*tbo_oranBesPuan,2)=$J628),"TBO-001",IF(AND($F628="Evet",ROUND($C628*tbo_oranKadinGenc,2)=$J628),"TBO-004","TBO-ENG")))))</f>
        <v/>
      </c>
      <c r="J628" s="31">
        <f>IF($A628="","",MAX(IF($D628="Evet",ROUND($C628*tbo_oranBesPuan,2),0),IF($E628="Evet",ROUND($C628*tbo_oranIlave,2),0),IF($F628="Evet",ROUND($C628*tbo_oranKadinGenc,2),0),IF($G628="Evet",ROUND($C628*tbo_isverenOran,2),0)))</f>
        <v/>
      </c>
      <c r="K628" s="31">
        <f>IF($A628="","",IF($H628="TBO-001",IF($D628="Evet",ROUND($C628*tbo_oranBesPuan,2),0),IF($H628="TBO-002",IF($E628="Evet",ROUND($C628*tbo_oranIlave,2),0),IF($H628="TBO-004",IF($F628="Evet",ROUND($C628*tbo_oranKadinGenc,2),0),IF($H628="TBO-ENG",IF($G628="Evet",ROUND($C628*tbo_isverenOran,2),0),0)))))</f>
        <v/>
      </c>
      <c r="L628" s="31">
        <f>IF($A628="","",MAX(0,$J628-$K628))</f>
        <v/>
      </c>
    </row>
    <row r="629">
      <c r="I629" s="31">
        <f>IF($A629="","",IF($J629=0,"YOK",IF(AND($E629="Evet",ROUND($C629*tbo_oranIlave,2)=$J629),"TBO-002",IF(AND($D629="Evet",ROUND($C629*tbo_oranBesPuan,2)=$J629),"TBO-001",IF(AND($F629="Evet",ROUND($C629*tbo_oranKadinGenc,2)=$J629),"TBO-004","TBO-ENG")))))</f>
        <v/>
      </c>
      <c r="J629" s="31">
        <f>IF($A629="","",MAX(IF($D629="Evet",ROUND($C629*tbo_oranBesPuan,2),0),IF($E629="Evet",ROUND($C629*tbo_oranIlave,2),0),IF($F629="Evet",ROUND($C629*tbo_oranKadinGenc,2),0),IF($G629="Evet",ROUND($C629*tbo_isverenOran,2),0)))</f>
        <v/>
      </c>
      <c r="K629" s="31">
        <f>IF($A629="","",IF($H629="TBO-001",IF($D629="Evet",ROUND($C629*tbo_oranBesPuan,2),0),IF($H629="TBO-002",IF($E629="Evet",ROUND($C629*tbo_oranIlave,2),0),IF($H629="TBO-004",IF($F629="Evet",ROUND($C629*tbo_oranKadinGenc,2),0),IF($H629="TBO-ENG",IF($G629="Evet",ROUND($C629*tbo_isverenOran,2),0),0)))))</f>
        <v/>
      </c>
      <c r="L629" s="31">
        <f>IF($A629="","",MAX(0,$J629-$K629))</f>
        <v/>
      </c>
    </row>
    <row r="630">
      <c r="I630" s="31">
        <f>IF($A630="","",IF($J630=0,"YOK",IF(AND($E630="Evet",ROUND($C630*tbo_oranIlave,2)=$J630),"TBO-002",IF(AND($D630="Evet",ROUND($C630*tbo_oranBesPuan,2)=$J630),"TBO-001",IF(AND($F630="Evet",ROUND($C630*tbo_oranKadinGenc,2)=$J630),"TBO-004","TBO-ENG")))))</f>
        <v/>
      </c>
      <c r="J630" s="31">
        <f>IF($A630="","",MAX(IF($D630="Evet",ROUND($C630*tbo_oranBesPuan,2),0),IF($E630="Evet",ROUND($C630*tbo_oranIlave,2),0),IF($F630="Evet",ROUND($C630*tbo_oranKadinGenc,2),0),IF($G630="Evet",ROUND($C630*tbo_isverenOran,2),0)))</f>
        <v/>
      </c>
      <c r="K630" s="31">
        <f>IF($A630="","",IF($H630="TBO-001",IF($D630="Evet",ROUND($C630*tbo_oranBesPuan,2),0),IF($H630="TBO-002",IF($E630="Evet",ROUND($C630*tbo_oranIlave,2),0),IF($H630="TBO-004",IF($F630="Evet",ROUND($C630*tbo_oranKadinGenc,2),0),IF($H630="TBO-ENG",IF($G630="Evet",ROUND($C630*tbo_isverenOran,2),0),0)))))</f>
        <v/>
      </c>
      <c r="L630" s="31">
        <f>IF($A630="","",MAX(0,$J630-$K630))</f>
        <v/>
      </c>
    </row>
    <row r="631">
      <c r="I631" s="31">
        <f>IF($A631="","",IF($J631=0,"YOK",IF(AND($E631="Evet",ROUND($C631*tbo_oranIlave,2)=$J631),"TBO-002",IF(AND($D631="Evet",ROUND($C631*tbo_oranBesPuan,2)=$J631),"TBO-001",IF(AND($F631="Evet",ROUND($C631*tbo_oranKadinGenc,2)=$J631),"TBO-004","TBO-ENG")))))</f>
        <v/>
      </c>
      <c r="J631" s="31">
        <f>IF($A631="","",MAX(IF($D631="Evet",ROUND($C631*tbo_oranBesPuan,2),0),IF($E631="Evet",ROUND($C631*tbo_oranIlave,2),0),IF($F631="Evet",ROUND($C631*tbo_oranKadinGenc,2),0),IF($G631="Evet",ROUND($C631*tbo_isverenOran,2),0)))</f>
        <v/>
      </c>
      <c r="K631" s="31">
        <f>IF($A631="","",IF($H631="TBO-001",IF($D631="Evet",ROUND($C631*tbo_oranBesPuan,2),0),IF($H631="TBO-002",IF($E631="Evet",ROUND($C631*tbo_oranIlave,2),0),IF($H631="TBO-004",IF($F631="Evet",ROUND($C631*tbo_oranKadinGenc,2),0),IF($H631="TBO-ENG",IF($G631="Evet",ROUND($C631*tbo_isverenOran,2),0),0)))))</f>
        <v/>
      </c>
      <c r="L631" s="31">
        <f>IF($A631="","",MAX(0,$J631-$K631))</f>
        <v/>
      </c>
    </row>
    <row r="632">
      <c r="I632" s="31">
        <f>IF($A632="","",IF($J632=0,"YOK",IF(AND($E632="Evet",ROUND($C632*tbo_oranIlave,2)=$J632),"TBO-002",IF(AND($D632="Evet",ROUND($C632*tbo_oranBesPuan,2)=$J632),"TBO-001",IF(AND($F632="Evet",ROUND($C632*tbo_oranKadinGenc,2)=$J632),"TBO-004","TBO-ENG")))))</f>
        <v/>
      </c>
      <c r="J632" s="31">
        <f>IF($A632="","",MAX(IF($D632="Evet",ROUND($C632*tbo_oranBesPuan,2),0),IF($E632="Evet",ROUND($C632*tbo_oranIlave,2),0),IF($F632="Evet",ROUND($C632*tbo_oranKadinGenc,2),0),IF($G632="Evet",ROUND($C632*tbo_isverenOran,2),0)))</f>
        <v/>
      </c>
      <c r="K632" s="31">
        <f>IF($A632="","",IF($H632="TBO-001",IF($D632="Evet",ROUND($C632*tbo_oranBesPuan,2),0),IF($H632="TBO-002",IF($E632="Evet",ROUND($C632*tbo_oranIlave,2),0),IF($H632="TBO-004",IF($F632="Evet",ROUND($C632*tbo_oranKadinGenc,2),0),IF($H632="TBO-ENG",IF($G632="Evet",ROUND($C632*tbo_isverenOran,2),0),0)))))</f>
        <v/>
      </c>
      <c r="L632" s="31">
        <f>IF($A632="","",MAX(0,$J632-$K632))</f>
        <v/>
      </c>
    </row>
    <row r="633">
      <c r="I633" s="31">
        <f>IF($A633="","",IF($J633=0,"YOK",IF(AND($E633="Evet",ROUND($C633*tbo_oranIlave,2)=$J633),"TBO-002",IF(AND($D633="Evet",ROUND($C633*tbo_oranBesPuan,2)=$J633),"TBO-001",IF(AND($F633="Evet",ROUND($C633*tbo_oranKadinGenc,2)=$J633),"TBO-004","TBO-ENG")))))</f>
        <v/>
      </c>
      <c r="J633" s="31">
        <f>IF($A633="","",MAX(IF($D633="Evet",ROUND($C633*tbo_oranBesPuan,2),0),IF($E633="Evet",ROUND($C633*tbo_oranIlave,2),0),IF($F633="Evet",ROUND($C633*tbo_oranKadinGenc,2),0),IF($G633="Evet",ROUND($C633*tbo_isverenOran,2),0)))</f>
        <v/>
      </c>
      <c r="K633" s="31">
        <f>IF($A633="","",IF($H633="TBO-001",IF($D633="Evet",ROUND($C633*tbo_oranBesPuan,2),0),IF($H633="TBO-002",IF($E633="Evet",ROUND($C633*tbo_oranIlave,2),0),IF($H633="TBO-004",IF($F633="Evet",ROUND($C633*tbo_oranKadinGenc,2),0),IF($H633="TBO-ENG",IF($G633="Evet",ROUND($C633*tbo_isverenOran,2),0),0)))))</f>
        <v/>
      </c>
      <c r="L633" s="31">
        <f>IF($A633="","",MAX(0,$J633-$K633))</f>
        <v/>
      </c>
    </row>
    <row r="634">
      <c r="I634" s="31">
        <f>IF($A634="","",IF($J634=0,"YOK",IF(AND($E634="Evet",ROUND($C634*tbo_oranIlave,2)=$J634),"TBO-002",IF(AND($D634="Evet",ROUND($C634*tbo_oranBesPuan,2)=$J634),"TBO-001",IF(AND($F634="Evet",ROUND($C634*tbo_oranKadinGenc,2)=$J634),"TBO-004","TBO-ENG")))))</f>
        <v/>
      </c>
      <c r="J634" s="31">
        <f>IF($A634="","",MAX(IF($D634="Evet",ROUND($C634*tbo_oranBesPuan,2),0),IF($E634="Evet",ROUND($C634*tbo_oranIlave,2),0),IF($F634="Evet",ROUND($C634*tbo_oranKadinGenc,2),0),IF($G634="Evet",ROUND($C634*tbo_isverenOran,2),0)))</f>
        <v/>
      </c>
      <c r="K634" s="31">
        <f>IF($A634="","",IF($H634="TBO-001",IF($D634="Evet",ROUND($C634*tbo_oranBesPuan,2),0),IF($H634="TBO-002",IF($E634="Evet",ROUND($C634*tbo_oranIlave,2),0),IF($H634="TBO-004",IF($F634="Evet",ROUND($C634*tbo_oranKadinGenc,2),0),IF($H634="TBO-ENG",IF($G634="Evet",ROUND($C634*tbo_isverenOran,2),0),0)))))</f>
        <v/>
      </c>
      <c r="L634" s="31">
        <f>IF($A634="","",MAX(0,$J634-$K634))</f>
        <v/>
      </c>
    </row>
    <row r="635">
      <c r="I635" s="31">
        <f>IF($A635="","",IF($J635=0,"YOK",IF(AND($E635="Evet",ROUND($C635*tbo_oranIlave,2)=$J635),"TBO-002",IF(AND($D635="Evet",ROUND($C635*tbo_oranBesPuan,2)=$J635),"TBO-001",IF(AND($F635="Evet",ROUND($C635*tbo_oranKadinGenc,2)=$J635),"TBO-004","TBO-ENG")))))</f>
        <v/>
      </c>
      <c r="J635" s="31">
        <f>IF($A635="","",MAX(IF($D635="Evet",ROUND($C635*tbo_oranBesPuan,2),0),IF($E635="Evet",ROUND($C635*tbo_oranIlave,2),0),IF($F635="Evet",ROUND($C635*tbo_oranKadinGenc,2),0),IF($G635="Evet",ROUND($C635*tbo_isverenOran,2),0)))</f>
        <v/>
      </c>
      <c r="K635" s="31">
        <f>IF($A635="","",IF($H635="TBO-001",IF($D635="Evet",ROUND($C635*tbo_oranBesPuan,2),0),IF($H635="TBO-002",IF($E635="Evet",ROUND($C635*tbo_oranIlave,2),0),IF($H635="TBO-004",IF($F635="Evet",ROUND($C635*tbo_oranKadinGenc,2),0),IF($H635="TBO-ENG",IF($G635="Evet",ROUND($C635*tbo_isverenOran,2),0),0)))))</f>
        <v/>
      </c>
      <c r="L635" s="31">
        <f>IF($A635="","",MAX(0,$J635-$K635))</f>
        <v/>
      </c>
    </row>
    <row r="636">
      <c r="I636" s="31">
        <f>IF($A636="","",IF($J636=0,"YOK",IF(AND($E636="Evet",ROUND($C636*tbo_oranIlave,2)=$J636),"TBO-002",IF(AND($D636="Evet",ROUND($C636*tbo_oranBesPuan,2)=$J636),"TBO-001",IF(AND($F636="Evet",ROUND($C636*tbo_oranKadinGenc,2)=$J636),"TBO-004","TBO-ENG")))))</f>
        <v/>
      </c>
      <c r="J636" s="31">
        <f>IF($A636="","",MAX(IF($D636="Evet",ROUND($C636*tbo_oranBesPuan,2),0),IF($E636="Evet",ROUND($C636*tbo_oranIlave,2),0),IF($F636="Evet",ROUND($C636*tbo_oranKadinGenc,2),0),IF($G636="Evet",ROUND($C636*tbo_isverenOran,2),0)))</f>
        <v/>
      </c>
      <c r="K636" s="31">
        <f>IF($A636="","",IF($H636="TBO-001",IF($D636="Evet",ROUND($C636*tbo_oranBesPuan,2),0),IF($H636="TBO-002",IF($E636="Evet",ROUND($C636*tbo_oranIlave,2),0),IF($H636="TBO-004",IF($F636="Evet",ROUND($C636*tbo_oranKadinGenc,2),0),IF($H636="TBO-ENG",IF($G636="Evet",ROUND($C636*tbo_isverenOran,2),0),0)))))</f>
        <v/>
      </c>
      <c r="L636" s="31">
        <f>IF($A636="","",MAX(0,$J636-$K636))</f>
        <v/>
      </c>
    </row>
    <row r="637">
      <c r="I637" s="31">
        <f>IF($A637="","",IF($J637=0,"YOK",IF(AND($E637="Evet",ROUND($C637*tbo_oranIlave,2)=$J637),"TBO-002",IF(AND($D637="Evet",ROUND($C637*tbo_oranBesPuan,2)=$J637),"TBO-001",IF(AND($F637="Evet",ROUND($C637*tbo_oranKadinGenc,2)=$J637),"TBO-004","TBO-ENG")))))</f>
        <v/>
      </c>
      <c r="J637" s="31">
        <f>IF($A637="","",MAX(IF($D637="Evet",ROUND($C637*tbo_oranBesPuan,2),0),IF($E637="Evet",ROUND($C637*tbo_oranIlave,2),0),IF($F637="Evet",ROUND($C637*tbo_oranKadinGenc,2),0),IF($G637="Evet",ROUND($C637*tbo_isverenOran,2),0)))</f>
        <v/>
      </c>
      <c r="K637" s="31">
        <f>IF($A637="","",IF($H637="TBO-001",IF($D637="Evet",ROUND($C637*tbo_oranBesPuan,2),0),IF($H637="TBO-002",IF($E637="Evet",ROUND($C637*tbo_oranIlave,2),0),IF($H637="TBO-004",IF($F637="Evet",ROUND($C637*tbo_oranKadinGenc,2),0),IF($H637="TBO-ENG",IF($G637="Evet",ROUND($C637*tbo_isverenOran,2),0),0)))))</f>
        <v/>
      </c>
      <c r="L637" s="31">
        <f>IF($A637="","",MAX(0,$J637-$K637))</f>
        <v/>
      </c>
    </row>
    <row r="638">
      <c r="I638" s="31">
        <f>IF($A638="","",IF($J638=0,"YOK",IF(AND($E638="Evet",ROUND($C638*tbo_oranIlave,2)=$J638),"TBO-002",IF(AND($D638="Evet",ROUND($C638*tbo_oranBesPuan,2)=$J638),"TBO-001",IF(AND($F638="Evet",ROUND($C638*tbo_oranKadinGenc,2)=$J638),"TBO-004","TBO-ENG")))))</f>
        <v/>
      </c>
      <c r="J638" s="31">
        <f>IF($A638="","",MAX(IF($D638="Evet",ROUND($C638*tbo_oranBesPuan,2),0),IF($E638="Evet",ROUND($C638*tbo_oranIlave,2),0),IF($F638="Evet",ROUND($C638*tbo_oranKadinGenc,2),0),IF($G638="Evet",ROUND($C638*tbo_isverenOran,2),0)))</f>
        <v/>
      </c>
      <c r="K638" s="31">
        <f>IF($A638="","",IF($H638="TBO-001",IF($D638="Evet",ROUND($C638*tbo_oranBesPuan,2),0),IF($H638="TBO-002",IF($E638="Evet",ROUND($C638*tbo_oranIlave,2),0),IF($H638="TBO-004",IF($F638="Evet",ROUND($C638*tbo_oranKadinGenc,2),0),IF($H638="TBO-ENG",IF($G638="Evet",ROUND($C638*tbo_isverenOran,2),0),0)))))</f>
        <v/>
      </c>
      <c r="L638" s="31">
        <f>IF($A638="","",MAX(0,$J638-$K638))</f>
        <v/>
      </c>
    </row>
    <row r="639">
      <c r="I639" s="31">
        <f>IF($A639="","",IF($J639=0,"YOK",IF(AND($E639="Evet",ROUND($C639*tbo_oranIlave,2)=$J639),"TBO-002",IF(AND($D639="Evet",ROUND($C639*tbo_oranBesPuan,2)=$J639),"TBO-001",IF(AND($F639="Evet",ROUND($C639*tbo_oranKadinGenc,2)=$J639),"TBO-004","TBO-ENG")))))</f>
        <v/>
      </c>
      <c r="J639" s="31">
        <f>IF($A639="","",MAX(IF($D639="Evet",ROUND($C639*tbo_oranBesPuan,2),0),IF($E639="Evet",ROUND($C639*tbo_oranIlave,2),0),IF($F639="Evet",ROUND($C639*tbo_oranKadinGenc,2),0),IF($G639="Evet",ROUND($C639*tbo_isverenOran,2),0)))</f>
        <v/>
      </c>
      <c r="K639" s="31">
        <f>IF($A639="","",IF($H639="TBO-001",IF($D639="Evet",ROUND($C639*tbo_oranBesPuan,2),0),IF($H639="TBO-002",IF($E639="Evet",ROUND($C639*tbo_oranIlave,2),0),IF($H639="TBO-004",IF($F639="Evet",ROUND($C639*tbo_oranKadinGenc,2),0),IF($H639="TBO-ENG",IF($G639="Evet",ROUND($C639*tbo_isverenOran,2),0),0)))))</f>
        <v/>
      </c>
      <c r="L639" s="31">
        <f>IF($A639="","",MAX(0,$J639-$K639))</f>
        <v/>
      </c>
    </row>
    <row r="640">
      <c r="I640" s="31">
        <f>IF($A640="","",IF($J640=0,"YOK",IF(AND($E640="Evet",ROUND($C640*tbo_oranIlave,2)=$J640),"TBO-002",IF(AND($D640="Evet",ROUND($C640*tbo_oranBesPuan,2)=$J640),"TBO-001",IF(AND($F640="Evet",ROUND($C640*tbo_oranKadinGenc,2)=$J640),"TBO-004","TBO-ENG")))))</f>
        <v/>
      </c>
      <c r="J640" s="31">
        <f>IF($A640="","",MAX(IF($D640="Evet",ROUND($C640*tbo_oranBesPuan,2),0),IF($E640="Evet",ROUND($C640*tbo_oranIlave,2),0),IF($F640="Evet",ROUND($C640*tbo_oranKadinGenc,2),0),IF($G640="Evet",ROUND($C640*tbo_isverenOran,2),0)))</f>
        <v/>
      </c>
      <c r="K640" s="31">
        <f>IF($A640="","",IF($H640="TBO-001",IF($D640="Evet",ROUND($C640*tbo_oranBesPuan,2),0),IF($H640="TBO-002",IF($E640="Evet",ROUND($C640*tbo_oranIlave,2),0),IF($H640="TBO-004",IF($F640="Evet",ROUND($C640*tbo_oranKadinGenc,2),0),IF($H640="TBO-ENG",IF($G640="Evet",ROUND($C640*tbo_isverenOran,2),0),0)))))</f>
        <v/>
      </c>
      <c r="L640" s="31">
        <f>IF($A640="","",MAX(0,$J640-$K640))</f>
        <v/>
      </c>
    </row>
    <row r="641">
      <c r="I641" s="31">
        <f>IF($A641="","",IF($J641=0,"YOK",IF(AND($E641="Evet",ROUND($C641*tbo_oranIlave,2)=$J641),"TBO-002",IF(AND($D641="Evet",ROUND($C641*tbo_oranBesPuan,2)=$J641),"TBO-001",IF(AND($F641="Evet",ROUND($C641*tbo_oranKadinGenc,2)=$J641),"TBO-004","TBO-ENG")))))</f>
        <v/>
      </c>
      <c r="J641" s="31">
        <f>IF($A641="","",MAX(IF($D641="Evet",ROUND($C641*tbo_oranBesPuan,2),0),IF($E641="Evet",ROUND($C641*tbo_oranIlave,2),0),IF($F641="Evet",ROUND($C641*tbo_oranKadinGenc,2),0),IF($G641="Evet",ROUND($C641*tbo_isverenOran,2),0)))</f>
        <v/>
      </c>
      <c r="K641" s="31">
        <f>IF($A641="","",IF($H641="TBO-001",IF($D641="Evet",ROUND($C641*tbo_oranBesPuan,2),0),IF($H641="TBO-002",IF($E641="Evet",ROUND($C641*tbo_oranIlave,2),0),IF($H641="TBO-004",IF($F641="Evet",ROUND($C641*tbo_oranKadinGenc,2),0),IF($H641="TBO-ENG",IF($G641="Evet",ROUND($C641*tbo_isverenOran,2),0),0)))))</f>
        <v/>
      </c>
      <c r="L641" s="31">
        <f>IF($A641="","",MAX(0,$J641-$K641))</f>
        <v/>
      </c>
    </row>
    <row r="642">
      <c r="I642" s="31">
        <f>IF($A642="","",IF($J642=0,"YOK",IF(AND($E642="Evet",ROUND($C642*tbo_oranIlave,2)=$J642),"TBO-002",IF(AND($D642="Evet",ROUND($C642*tbo_oranBesPuan,2)=$J642),"TBO-001",IF(AND($F642="Evet",ROUND($C642*tbo_oranKadinGenc,2)=$J642),"TBO-004","TBO-ENG")))))</f>
        <v/>
      </c>
      <c r="J642" s="31">
        <f>IF($A642="","",MAX(IF($D642="Evet",ROUND($C642*tbo_oranBesPuan,2),0),IF($E642="Evet",ROUND($C642*tbo_oranIlave,2),0),IF($F642="Evet",ROUND($C642*tbo_oranKadinGenc,2),0),IF($G642="Evet",ROUND($C642*tbo_isverenOran,2),0)))</f>
        <v/>
      </c>
      <c r="K642" s="31">
        <f>IF($A642="","",IF($H642="TBO-001",IF($D642="Evet",ROUND($C642*tbo_oranBesPuan,2),0),IF($H642="TBO-002",IF($E642="Evet",ROUND($C642*tbo_oranIlave,2),0),IF($H642="TBO-004",IF($F642="Evet",ROUND($C642*tbo_oranKadinGenc,2),0),IF($H642="TBO-ENG",IF($G642="Evet",ROUND($C642*tbo_isverenOran,2),0),0)))))</f>
        <v/>
      </c>
      <c r="L642" s="31">
        <f>IF($A642="","",MAX(0,$J642-$K642))</f>
        <v/>
      </c>
    </row>
    <row r="643">
      <c r="I643" s="31">
        <f>IF($A643="","",IF($J643=0,"YOK",IF(AND($E643="Evet",ROUND($C643*tbo_oranIlave,2)=$J643),"TBO-002",IF(AND($D643="Evet",ROUND($C643*tbo_oranBesPuan,2)=$J643),"TBO-001",IF(AND($F643="Evet",ROUND($C643*tbo_oranKadinGenc,2)=$J643),"TBO-004","TBO-ENG")))))</f>
        <v/>
      </c>
      <c r="J643" s="31">
        <f>IF($A643="","",MAX(IF($D643="Evet",ROUND($C643*tbo_oranBesPuan,2),0),IF($E643="Evet",ROUND($C643*tbo_oranIlave,2),0),IF($F643="Evet",ROUND($C643*tbo_oranKadinGenc,2),0),IF($G643="Evet",ROUND($C643*tbo_isverenOran,2),0)))</f>
        <v/>
      </c>
      <c r="K643" s="31">
        <f>IF($A643="","",IF($H643="TBO-001",IF($D643="Evet",ROUND($C643*tbo_oranBesPuan,2),0),IF($H643="TBO-002",IF($E643="Evet",ROUND($C643*tbo_oranIlave,2),0),IF($H643="TBO-004",IF($F643="Evet",ROUND($C643*tbo_oranKadinGenc,2),0),IF($H643="TBO-ENG",IF($G643="Evet",ROUND($C643*tbo_isverenOran,2),0),0)))))</f>
        <v/>
      </c>
      <c r="L643" s="31">
        <f>IF($A643="","",MAX(0,$J643-$K643))</f>
        <v/>
      </c>
    </row>
    <row r="644">
      <c r="I644" s="31">
        <f>IF($A644="","",IF($J644=0,"YOK",IF(AND($E644="Evet",ROUND($C644*tbo_oranIlave,2)=$J644),"TBO-002",IF(AND($D644="Evet",ROUND($C644*tbo_oranBesPuan,2)=$J644),"TBO-001",IF(AND($F644="Evet",ROUND($C644*tbo_oranKadinGenc,2)=$J644),"TBO-004","TBO-ENG")))))</f>
        <v/>
      </c>
      <c r="J644" s="31">
        <f>IF($A644="","",MAX(IF($D644="Evet",ROUND($C644*tbo_oranBesPuan,2),0),IF($E644="Evet",ROUND($C644*tbo_oranIlave,2),0),IF($F644="Evet",ROUND($C644*tbo_oranKadinGenc,2),0),IF($G644="Evet",ROUND($C644*tbo_isverenOran,2),0)))</f>
        <v/>
      </c>
      <c r="K644" s="31">
        <f>IF($A644="","",IF($H644="TBO-001",IF($D644="Evet",ROUND($C644*tbo_oranBesPuan,2),0),IF($H644="TBO-002",IF($E644="Evet",ROUND($C644*tbo_oranIlave,2),0),IF($H644="TBO-004",IF($F644="Evet",ROUND($C644*tbo_oranKadinGenc,2),0),IF($H644="TBO-ENG",IF($G644="Evet",ROUND($C644*tbo_isverenOran,2),0),0)))))</f>
        <v/>
      </c>
      <c r="L644" s="31">
        <f>IF($A644="","",MAX(0,$J644-$K644))</f>
        <v/>
      </c>
    </row>
    <row r="645">
      <c r="I645" s="31">
        <f>IF($A645="","",IF($J645=0,"YOK",IF(AND($E645="Evet",ROUND($C645*tbo_oranIlave,2)=$J645),"TBO-002",IF(AND($D645="Evet",ROUND($C645*tbo_oranBesPuan,2)=$J645),"TBO-001",IF(AND($F645="Evet",ROUND($C645*tbo_oranKadinGenc,2)=$J645),"TBO-004","TBO-ENG")))))</f>
        <v/>
      </c>
      <c r="J645" s="31">
        <f>IF($A645="","",MAX(IF($D645="Evet",ROUND($C645*tbo_oranBesPuan,2),0),IF($E645="Evet",ROUND($C645*tbo_oranIlave,2),0),IF($F645="Evet",ROUND($C645*tbo_oranKadinGenc,2),0),IF($G645="Evet",ROUND($C645*tbo_isverenOran,2),0)))</f>
        <v/>
      </c>
      <c r="K645" s="31">
        <f>IF($A645="","",IF($H645="TBO-001",IF($D645="Evet",ROUND($C645*tbo_oranBesPuan,2),0),IF($H645="TBO-002",IF($E645="Evet",ROUND($C645*tbo_oranIlave,2),0),IF($H645="TBO-004",IF($F645="Evet",ROUND($C645*tbo_oranKadinGenc,2),0),IF($H645="TBO-ENG",IF($G645="Evet",ROUND($C645*tbo_isverenOran,2),0),0)))))</f>
        <v/>
      </c>
      <c r="L645" s="31">
        <f>IF($A645="","",MAX(0,$J645-$K645))</f>
        <v/>
      </c>
    </row>
    <row r="646">
      <c r="I646" s="31">
        <f>IF($A646="","",IF($J646=0,"YOK",IF(AND($E646="Evet",ROUND($C646*tbo_oranIlave,2)=$J646),"TBO-002",IF(AND($D646="Evet",ROUND($C646*tbo_oranBesPuan,2)=$J646),"TBO-001",IF(AND($F646="Evet",ROUND($C646*tbo_oranKadinGenc,2)=$J646),"TBO-004","TBO-ENG")))))</f>
        <v/>
      </c>
      <c r="J646" s="31">
        <f>IF($A646="","",MAX(IF($D646="Evet",ROUND($C646*tbo_oranBesPuan,2),0),IF($E646="Evet",ROUND($C646*tbo_oranIlave,2),0),IF($F646="Evet",ROUND($C646*tbo_oranKadinGenc,2),0),IF($G646="Evet",ROUND($C646*tbo_isverenOran,2),0)))</f>
        <v/>
      </c>
      <c r="K646" s="31">
        <f>IF($A646="","",IF($H646="TBO-001",IF($D646="Evet",ROUND($C646*tbo_oranBesPuan,2),0),IF($H646="TBO-002",IF($E646="Evet",ROUND($C646*tbo_oranIlave,2),0),IF($H646="TBO-004",IF($F646="Evet",ROUND($C646*tbo_oranKadinGenc,2),0),IF($H646="TBO-ENG",IF($G646="Evet",ROUND($C646*tbo_isverenOran,2),0),0)))))</f>
        <v/>
      </c>
      <c r="L646" s="31">
        <f>IF($A646="","",MAX(0,$J646-$K646))</f>
        <v/>
      </c>
    </row>
    <row r="647">
      <c r="I647" s="31">
        <f>IF($A647="","",IF($J647=0,"YOK",IF(AND($E647="Evet",ROUND($C647*tbo_oranIlave,2)=$J647),"TBO-002",IF(AND($D647="Evet",ROUND($C647*tbo_oranBesPuan,2)=$J647),"TBO-001",IF(AND($F647="Evet",ROUND($C647*tbo_oranKadinGenc,2)=$J647),"TBO-004","TBO-ENG")))))</f>
        <v/>
      </c>
      <c r="J647" s="31">
        <f>IF($A647="","",MAX(IF($D647="Evet",ROUND($C647*tbo_oranBesPuan,2),0),IF($E647="Evet",ROUND($C647*tbo_oranIlave,2),0),IF($F647="Evet",ROUND($C647*tbo_oranKadinGenc,2),0),IF($G647="Evet",ROUND($C647*tbo_isverenOran,2),0)))</f>
        <v/>
      </c>
      <c r="K647" s="31">
        <f>IF($A647="","",IF($H647="TBO-001",IF($D647="Evet",ROUND($C647*tbo_oranBesPuan,2),0),IF($H647="TBO-002",IF($E647="Evet",ROUND($C647*tbo_oranIlave,2),0),IF($H647="TBO-004",IF($F647="Evet",ROUND($C647*tbo_oranKadinGenc,2),0),IF($H647="TBO-ENG",IF($G647="Evet",ROUND($C647*tbo_isverenOran,2),0),0)))))</f>
        <v/>
      </c>
      <c r="L647" s="31">
        <f>IF($A647="","",MAX(0,$J647-$K647))</f>
        <v/>
      </c>
    </row>
    <row r="648">
      <c r="I648" s="31">
        <f>IF($A648="","",IF($J648=0,"YOK",IF(AND($E648="Evet",ROUND($C648*tbo_oranIlave,2)=$J648),"TBO-002",IF(AND($D648="Evet",ROUND($C648*tbo_oranBesPuan,2)=$J648),"TBO-001",IF(AND($F648="Evet",ROUND($C648*tbo_oranKadinGenc,2)=$J648),"TBO-004","TBO-ENG")))))</f>
        <v/>
      </c>
      <c r="J648" s="31">
        <f>IF($A648="","",MAX(IF($D648="Evet",ROUND($C648*tbo_oranBesPuan,2),0),IF($E648="Evet",ROUND($C648*tbo_oranIlave,2),0),IF($F648="Evet",ROUND($C648*tbo_oranKadinGenc,2),0),IF($G648="Evet",ROUND($C648*tbo_isverenOran,2),0)))</f>
        <v/>
      </c>
      <c r="K648" s="31">
        <f>IF($A648="","",IF($H648="TBO-001",IF($D648="Evet",ROUND($C648*tbo_oranBesPuan,2),0),IF($H648="TBO-002",IF($E648="Evet",ROUND($C648*tbo_oranIlave,2),0),IF($H648="TBO-004",IF($F648="Evet",ROUND($C648*tbo_oranKadinGenc,2),0),IF($H648="TBO-ENG",IF($G648="Evet",ROUND($C648*tbo_isverenOran,2),0),0)))))</f>
        <v/>
      </c>
      <c r="L648" s="31">
        <f>IF($A648="","",MAX(0,$J648-$K648))</f>
        <v/>
      </c>
    </row>
    <row r="649">
      <c r="I649" s="31">
        <f>IF($A649="","",IF($J649=0,"YOK",IF(AND($E649="Evet",ROUND($C649*tbo_oranIlave,2)=$J649),"TBO-002",IF(AND($D649="Evet",ROUND($C649*tbo_oranBesPuan,2)=$J649),"TBO-001",IF(AND($F649="Evet",ROUND($C649*tbo_oranKadinGenc,2)=$J649),"TBO-004","TBO-ENG")))))</f>
        <v/>
      </c>
      <c r="J649" s="31">
        <f>IF($A649="","",MAX(IF($D649="Evet",ROUND($C649*tbo_oranBesPuan,2),0),IF($E649="Evet",ROUND($C649*tbo_oranIlave,2),0),IF($F649="Evet",ROUND($C649*tbo_oranKadinGenc,2),0),IF($G649="Evet",ROUND($C649*tbo_isverenOran,2),0)))</f>
        <v/>
      </c>
      <c r="K649" s="31">
        <f>IF($A649="","",IF($H649="TBO-001",IF($D649="Evet",ROUND($C649*tbo_oranBesPuan,2),0),IF($H649="TBO-002",IF($E649="Evet",ROUND($C649*tbo_oranIlave,2),0),IF($H649="TBO-004",IF($F649="Evet",ROUND($C649*tbo_oranKadinGenc,2),0),IF($H649="TBO-ENG",IF($G649="Evet",ROUND($C649*tbo_isverenOran,2),0),0)))))</f>
        <v/>
      </c>
      <c r="L649" s="31">
        <f>IF($A649="","",MAX(0,$J649-$K649))</f>
        <v/>
      </c>
    </row>
    <row r="650">
      <c r="I650" s="31">
        <f>IF($A650="","",IF($J650=0,"YOK",IF(AND($E650="Evet",ROUND($C650*tbo_oranIlave,2)=$J650),"TBO-002",IF(AND($D650="Evet",ROUND($C650*tbo_oranBesPuan,2)=$J650),"TBO-001",IF(AND($F650="Evet",ROUND($C650*tbo_oranKadinGenc,2)=$J650),"TBO-004","TBO-ENG")))))</f>
        <v/>
      </c>
      <c r="J650" s="31">
        <f>IF($A650="","",MAX(IF($D650="Evet",ROUND($C650*tbo_oranBesPuan,2),0),IF($E650="Evet",ROUND($C650*tbo_oranIlave,2),0),IF($F650="Evet",ROUND($C650*tbo_oranKadinGenc,2),0),IF($G650="Evet",ROUND($C650*tbo_isverenOran,2),0)))</f>
        <v/>
      </c>
      <c r="K650" s="31">
        <f>IF($A650="","",IF($H650="TBO-001",IF($D650="Evet",ROUND($C650*tbo_oranBesPuan,2),0),IF($H650="TBO-002",IF($E650="Evet",ROUND($C650*tbo_oranIlave,2),0),IF($H650="TBO-004",IF($F650="Evet",ROUND($C650*tbo_oranKadinGenc,2),0),IF($H650="TBO-ENG",IF($G650="Evet",ROUND($C650*tbo_isverenOran,2),0),0)))))</f>
        <v/>
      </c>
      <c r="L650" s="31">
        <f>IF($A650="","",MAX(0,$J650-$K650))</f>
        <v/>
      </c>
    </row>
    <row r="651">
      <c r="I651" s="31">
        <f>IF($A651="","",IF($J651=0,"YOK",IF(AND($E651="Evet",ROUND($C651*tbo_oranIlave,2)=$J651),"TBO-002",IF(AND($D651="Evet",ROUND($C651*tbo_oranBesPuan,2)=$J651),"TBO-001",IF(AND($F651="Evet",ROUND($C651*tbo_oranKadinGenc,2)=$J651),"TBO-004","TBO-ENG")))))</f>
        <v/>
      </c>
      <c r="J651" s="31">
        <f>IF($A651="","",MAX(IF($D651="Evet",ROUND($C651*tbo_oranBesPuan,2),0),IF($E651="Evet",ROUND($C651*tbo_oranIlave,2),0),IF($F651="Evet",ROUND($C651*tbo_oranKadinGenc,2),0),IF($G651="Evet",ROUND($C651*tbo_isverenOran,2),0)))</f>
        <v/>
      </c>
      <c r="K651" s="31">
        <f>IF($A651="","",IF($H651="TBO-001",IF($D651="Evet",ROUND($C651*tbo_oranBesPuan,2),0),IF($H651="TBO-002",IF($E651="Evet",ROUND($C651*tbo_oranIlave,2),0),IF($H651="TBO-004",IF($F651="Evet",ROUND($C651*tbo_oranKadinGenc,2),0),IF($H651="TBO-ENG",IF($G651="Evet",ROUND($C651*tbo_isverenOran,2),0),0)))))</f>
        <v/>
      </c>
      <c r="L651" s="31">
        <f>IF($A651="","",MAX(0,$J651-$K651))</f>
        <v/>
      </c>
    </row>
    <row r="652">
      <c r="I652" s="31">
        <f>IF($A652="","",IF($J652=0,"YOK",IF(AND($E652="Evet",ROUND($C652*tbo_oranIlave,2)=$J652),"TBO-002",IF(AND($D652="Evet",ROUND($C652*tbo_oranBesPuan,2)=$J652),"TBO-001",IF(AND($F652="Evet",ROUND($C652*tbo_oranKadinGenc,2)=$J652),"TBO-004","TBO-ENG")))))</f>
        <v/>
      </c>
      <c r="J652" s="31">
        <f>IF($A652="","",MAX(IF($D652="Evet",ROUND($C652*tbo_oranBesPuan,2),0),IF($E652="Evet",ROUND($C652*tbo_oranIlave,2),0),IF($F652="Evet",ROUND($C652*tbo_oranKadinGenc,2),0),IF($G652="Evet",ROUND($C652*tbo_isverenOran,2),0)))</f>
        <v/>
      </c>
      <c r="K652" s="31">
        <f>IF($A652="","",IF($H652="TBO-001",IF($D652="Evet",ROUND($C652*tbo_oranBesPuan,2),0),IF($H652="TBO-002",IF($E652="Evet",ROUND($C652*tbo_oranIlave,2),0),IF($H652="TBO-004",IF($F652="Evet",ROUND($C652*tbo_oranKadinGenc,2),0),IF($H652="TBO-ENG",IF($G652="Evet",ROUND($C652*tbo_isverenOran,2),0),0)))))</f>
        <v/>
      </c>
      <c r="L652" s="31">
        <f>IF($A652="","",MAX(0,$J652-$K652))</f>
        <v/>
      </c>
    </row>
    <row r="653">
      <c r="I653" s="31">
        <f>IF($A653="","",IF($J653=0,"YOK",IF(AND($E653="Evet",ROUND($C653*tbo_oranIlave,2)=$J653),"TBO-002",IF(AND($D653="Evet",ROUND($C653*tbo_oranBesPuan,2)=$J653),"TBO-001",IF(AND($F653="Evet",ROUND($C653*tbo_oranKadinGenc,2)=$J653),"TBO-004","TBO-ENG")))))</f>
        <v/>
      </c>
      <c r="J653" s="31">
        <f>IF($A653="","",MAX(IF($D653="Evet",ROUND($C653*tbo_oranBesPuan,2),0),IF($E653="Evet",ROUND($C653*tbo_oranIlave,2),0),IF($F653="Evet",ROUND($C653*tbo_oranKadinGenc,2),0),IF($G653="Evet",ROUND($C653*tbo_isverenOran,2),0)))</f>
        <v/>
      </c>
      <c r="K653" s="31">
        <f>IF($A653="","",IF($H653="TBO-001",IF($D653="Evet",ROUND($C653*tbo_oranBesPuan,2),0),IF($H653="TBO-002",IF($E653="Evet",ROUND($C653*tbo_oranIlave,2),0),IF($H653="TBO-004",IF($F653="Evet",ROUND($C653*tbo_oranKadinGenc,2),0),IF($H653="TBO-ENG",IF($G653="Evet",ROUND($C653*tbo_isverenOran,2),0),0)))))</f>
        <v/>
      </c>
      <c r="L653" s="31">
        <f>IF($A653="","",MAX(0,$J653-$K653))</f>
        <v/>
      </c>
    </row>
    <row r="654">
      <c r="I654" s="31">
        <f>IF($A654="","",IF($J654=0,"YOK",IF(AND($E654="Evet",ROUND($C654*tbo_oranIlave,2)=$J654),"TBO-002",IF(AND($D654="Evet",ROUND($C654*tbo_oranBesPuan,2)=$J654),"TBO-001",IF(AND($F654="Evet",ROUND($C654*tbo_oranKadinGenc,2)=$J654),"TBO-004","TBO-ENG")))))</f>
        <v/>
      </c>
      <c r="J654" s="31">
        <f>IF($A654="","",MAX(IF($D654="Evet",ROUND($C654*tbo_oranBesPuan,2),0),IF($E654="Evet",ROUND($C654*tbo_oranIlave,2),0),IF($F654="Evet",ROUND($C654*tbo_oranKadinGenc,2),0),IF($G654="Evet",ROUND($C654*tbo_isverenOran,2),0)))</f>
        <v/>
      </c>
      <c r="K654" s="31">
        <f>IF($A654="","",IF($H654="TBO-001",IF($D654="Evet",ROUND($C654*tbo_oranBesPuan,2),0),IF($H654="TBO-002",IF($E654="Evet",ROUND($C654*tbo_oranIlave,2),0),IF($H654="TBO-004",IF($F654="Evet",ROUND($C654*tbo_oranKadinGenc,2),0),IF($H654="TBO-ENG",IF($G654="Evet",ROUND($C654*tbo_isverenOran,2),0),0)))))</f>
        <v/>
      </c>
      <c r="L654" s="31">
        <f>IF($A654="","",MAX(0,$J654-$K654))</f>
        <v/>
      </c>
    </row>
    <row r="655">
      <c r="I655" s="31">
        <f>IF($A655="","",IF($J655=0,"YOK",IF(AND($E655="Evet",ROUND($C655*tbo_oranIlave,2)=$J655),"TBO-002",IF(AND($D655="Evet",ROUND($C655*tbo_oranBesPuan,2)=$J655),"TBO-001",IF(AND($F655="Evet",ROUND($C655*tbo_oranKadinGenc,2)=$J655),"TBO-004","TBO-ENG")))))</f>
        <v/>
      </c>
      <c r="J655" s="31">
        <f>IF($A655="","",MAX(IF($D655="Evet",ROUND($C655*tbo_oranBesPuan,2),0),IF($E655="Evet",ROUND($C655*tbo_oranIlave,2),0),IF($F655="Evet",ROUND($C655*tbo_oranKadinGenc,2),0),IF($G655="Evet",ROUND($C655*tbo_isverenOran,2),0)))</f>
        <v/>
      </c>
      <c r="K655" s="31">
        <f>IF($A655="","",IF($H655="TBO-001",IF($D655="Evet",ROUND($C655*tbo_oranBesPuan,2),0),IF($H655="TBO-002",IF($E655="Evet",ROUND($C655*tbo_oranIlave,2),0),IF($H655="TBO-004",IF($F655="Evet",ROUND($C655*tbo_oranKadinGenc,2),0),IF($H655="TBO-ENG",IF($G655="Evet",ROUND($C655*tbo_isverenOran,2),0),0)))))</f>
        <v/>
      </c>
      <c r="L655" s="31">
        <f>IF($A655="","",MAX(0,$J655-$K655))</f>
        <v/>
      </c>
    </row>
    <row r="656">
      <c r="I656" s="31">
        <f>IF($A656="","",IF($J656=0,"YOK",IF(AND($E656="Evet",ROUND($C656*tbo_oranIlave,2)=$J656),"TBO-002",IF(AND($D656="Evet",ROUND($C656*tbo_oranBesPuan,2)=$J656),"TBO-001",IF(AND($F656="Evet",ROUND($C656*tbo_oranKadinGenc,2)=$J656),"TBO-004","TBO-ENG")))))</f>
        <v/>
      </c>
      <c r="J656" s="31">
        <f>IF($A656="","",MAX(IF($D656="Evet",ROUND($C656*tbo_oranBesPuan,2),0),IF($E656="Evet",ROUND($C656*tbo_oranIlave,2),0),IF($F656="Evet",ROUND($C656*tbo_oranKadinGenc,2),0),IF($G656="Evet",ROUND($C656*tbo_isverenOran,2),0)))</f>
        <v/>
      </c>
      <c r="K656" s="31">
        <f>IF($A656="","",IF($H656="TBO-001",IF($D656="Evet",ROUND($C656*tbo_oranBesPuan,2),0),IF($H656="TBO-002",IF($E656="Evet",ROUND($C656*tbo_oranIlave,2),0),IF($H656="TBO-004",IF($F656="Evet",ROUND($C656*tbo_oranKadinGenc,2),0),IF($H656="TBO-ENG",IF($G656="Evet",ROUND($C656*tbo_isverenOran,2),0),0)))))</f>
        <v/>
      </c>
      <c r="L656" s="31">
        <f>IF($A656="","",MAX(0,$J656-$K656))</f>
        <v/>
      </c>
    </row>
    <row r="657">
      <c r="I657" s="31">
        <f>IF($A657="","",IF($J657=0,"YOK",IF(AND($E657="Evet",ROUND($C657*tbo_oranIlave,2)=$J657),"TBO-002",IF(AND($D657="Evet",ROUND($C657*tbo_oranBesPuan,2)=$J657),"TBO-001",IF(AND($F657="Evet",ROUND($C657*tbo_oranKadinGenc,2)=$J657),"TBO-004","TBO-ENG")))))</f>
        <v/>
      </c>
      <c r="J657" s="31">
        <f>IF($A657="","",MAX(IF($D657="Evet",ROUND($C657*tbo_oranBesPuan,2),0),IF($E657="Evet",ROUND($C657*tbo_oranIlave,2),0),IF($F657="Evet",ROUND($C657*tbo_oranKadinGenc,2),0),IF($G657="Evet",ROUND($C657*tbo_isverenOran,2),0)))</f>
        <v/>
      </c>
      <c r="K657" s="31">
        <f>IF($A657="","",IF($H657="TBO-001",IF($D657="Evet",ROUND($C657*tbo_oranBesPuan,2),0),IF($H657="TBO-002",IF($E657="Evet",ROUND($C657*tbo_oranIlave,2),0),IF($H657="TBO-004",IF($F657="Evet",ROUND($C657*tbo_oranKadinGenc,2),0),IF($H657="TBO-ENG",IF($G657="Evet",ROUND($C657*tbo_isverenOran,2),0),0)))))</f>
        <v/>
      </c>
      <c r="L657" s="31">
        <f>IF($A657="","",MAX(0,$J657-$K657))</f>
        <v/>
      </c>
    </row>
    <row r="658">
      <c r="I658" s="31">
        <f>IF($A658="","",IF($J658=0,"YOK",IF(AND($E658="Evet",ROUND($C658*tbo_oranIlave,2)=$J658),"TBO-002",IF(AND($D658="Evet",ROUND($C658*tbo_oranBesPuan,2)=$J658),"TBO-001",IF(AND($F658="Evet",ROUND($C658*tbo_oranKadinGenc,2)=$J658),"TBO-004","TBO-ENG")))))</f>
        <v/>
      </c>
      <c r="J658" s="31">
        <f>IF($A658="","",MAX(IF($D658="Evet",ROUND($C658*tbo_oranBesPuan,2),0),IF($E658="Evet",ROUND($C658*tbo_oranIlave,2),0),IF($F658="Evet",ROUND($C658*tbo_oranKadinGenc,2),0),IF($G658="Evet",ROUND($C658*tbo_isverenOran,2),0)))</f>
        <v/>
      </c>
      <c r="K658" s="31">
        <f>IF($A658="","",IF($H658="TBO-001",IF($D658="Evet",ROUND($C658*tbo_oranBesPuan,2),0),IF($H658="TBO-002",IF($E658="Evet",ROUND($C658*tbo_oranIlave,2),0),IF($H658="TBO-004",IF($F658="Evet",ROUND($C658*tbo_oranKadinGenc,2),0),IF($H658="TBO-ENG",IF($G658="Evet",ROUND($C658*tbo_isverenOran,2),0),0)))))</f>
        <v/>
      </c>
      <c r="L658" s="31">
        <f>IF($A658="","",MAX(0,$J658-$K658))</f>
        <v/>
      </c>
    </row>
    <row r="659">
      <c r="I659" s="31">
        <f>IF($A659="","",IF($J659=0,"YOK",IF(AND($E659="Evet",ROUND($C659*tbo_oranIlave,2)=$J659),"TBO-002",IF(AND($D659="Evet",ROUND($C659*tbo_oranBesPuan,2)=$J659),"TBO-001",IF(AND($F659="Evet",ROUND($C659*tbo_oranKadinGenc,2)=$J659),"TBO-004","TBO-ENG")))))</f>
        <v/>
      </c>
      <c r="J659" s="31">
        <f>IF($A659="","",MAX(IF($D659="Evet",ROUND($C659*tbo_oranBesPuan,2),0),IF($E659="Evet",ROUND($C659*tbo_oranIlave,2),0),IF($F659="Evet",ROUND($C659*tbo_oranKadinGenc,2),0),IF($G659="Evet",ROUND($C659*tbo_isverenOran,2),0)))</f>
        <v/>
      </c>
      <c r="K659" s="31">
        <f>IF($A659="","",IF($H659="TBO-001",IF($D659="Evet",ROUND($C659*tbo_oranBesPuan,2),0),IF($H659="TBO-002",IF($E659="Evet",ROUND($C659*tbo_oranIlave,2),0),IF($H659="TBO-004",IF($F659="Evet",ROUND($C659*tbo_oranKadinGenc,2),0),IF($H659="TBO-ENG",IF($G659="Evet",ROUND($C659*tbo_isverenOran,2),0),0)))))</f>
        <v/>
      </c>
      <c r="L659" s="31">
        <f>IF($A659="","",MAX(0,$J659-$K659))</f>
        <v/>
      </c>
    </row>
    <row r="660">
      <c r="I660" s="31">
        <f>IF($A660="","",IF($J660=0,"YOK",IF(AND($E660="Evet",ROUND($C660*tbo_oranIlave,2)=$J660),"TBO-002",IF(AND($D660="Evet",ROUND($C660*tbo_oranBesPuan,2)=$J660),"TBO-001",IF(AND($F660="Evet",ROUND($C660*tbo_oranKadinGenc,2)=$J660),"TBO-004","TBO-ENG")))))</f>
        <v/>
      </c>
      <c r="J660" s="31">
        <f>IF($A660="","",MAX(IF($D660="Evet",ROUND($C660*tbo_oranBesPuan,2),0),IF($E660="Evet",ROUND($C660*tbo_oranIlave,2),0),IF($F660="Evet",ROUND($C660*tbo_oranKadinGenc,2),0),IF($G660="Evet",ROUND($C660*tbo_isverenOran,2),0)))</f>
        <v/>
      </c>
      <c r="K660" s="31">
        <f>IF($A660="","",IF($H660="TBO-001",IF($D660="Evet",ROUND($C660*tbo_oranBesPuan,2),0),IF($H660="TBO-002",IF($E660="Evet",ROUND($C660*tbo_oranIlave,2),0),IF($H660="TBO-004",IF($F660="Evet",ROUND($C660*tbo_oranKadinGenc,2),0),IF($H660="TBO-ENG",IF($G660="Evet",ROUND($C660*tbo_isverenOran,2),0),0)))))</f>
        <v/>
      </c>
      <c r="L660" s="31">
        <f>IF($A660="","",MAX(0,$J660-$K660))</f>
        <v/>
      </c>
    </row>
    <row r="661">
      <c r="I661" s="31">
        <f>IF($A661="","",IF($J661=0,"YOK",IF(AND($E661="Evet",ROUND($C661*tbo_oranIlave,2)=$J661),"TBO-002",IF(AND($D661="Evet",ROUND($C661*tbo_oranBesPuan,2)=$J661),"TBO-001",IF(AND($F661="Evet",ROUND($C661*tbo_oranKadinGenc,2)=$J661),"TBO-004","TBO-ENG")))))</f>
        <v/>
      </c>
      <c r="J661" s="31">
        <f>IF($A661="","",MAX(IF($D661="Evet",ROUND($C661*tbo_oranBesPuan,2),0),IF($E661="Evet",ROUND($C661*tbo_oranIlave,2),0),IF($F661="Evet",ROUND($C661*tbo_oranKadinGenc,2),0),IF($G661="Evet",ROUND($C661*tbo_isverenOran,2),0)))</f>
        <v/>
      </c>
      <c r="K661" s="31">
        <f>IF($A661="","",IF($H661="TBO-001",IF($D661="Evet",ROUND($C661*tbo_oranBesPuan,2),0),IF($H661="TBO-002",IF($E661="Evet",ROUND($C661*tbo_oranIlave,2),0),IF($H661="TBO-004",IF($F661="Evet",ROUND($C661*tbo_oranKadinGenc,2),0),IF($H661="TBO-ENG",IF($G661="Evet",ROUND($C661*tbo_isverenOran,2),0),0)))))</f>
        <v/>
      </c>
      <c r="L661" s="31">
        <f>IF($A661="","",MAX(0,$J661-$K661))</f>
        <v/>
      </c>
    </row>
    <row r="662">
      <c r="I662" s="31">
        <f>IF($A662="","",IF($J662=0,"YOK",IF(AND($E662="Evet",ROUND($C662*tbo_oranIlave,2)=$J662),"TBO-002",IF(AND($D662="Evet",ROUND($C662*tbo_oranBesPuan,2)=$J662),"TBO-001",IF(AND($F662="Evet",ROUND($C662*tbo_oranKadinGenc,2)=$J662),"TBO-004","TBO-ENG")))))</f>
        <v/>
      </c>
      <c r="J662" s="31">
        <f>IF($A662="","",MAX(IF($D662="Evet",ROUND($C662*tbo_oranBesPuan,2),0),IF($E662="Evet",ROUND($C662*tbo_oranIlave,2),0),IF($F662="Evet",ROUND($C662*tbo_oranKadinGenc,2),0),IF($G662="Evet",ROUND($C662*tbo_isverenOran,2),0)))</f>
        <v/>
      </c>
      <c r="K662" s="31">
        <f>IF($A662="","",IF($H662="TBO-001",IF($D662="Evet",ROUND($C662*tbo_oranBesPuan,2),0),IF($H662="TBO-002",IF($E662="Evet",ROUND($C662*tbo_oranIlave,2),0),IF($H662="TBO-004",IF($F662="Evet",ROUND($C662*tbo_oranKadinGenc,2),0),IF($H662="TBO-ENG",IF($G662="Evet",ROUND($C662*tbo_isverenOran,2),0),0)))))</f>
        <v/>
      </c>
      <c r="L662" s="31">
        <f>IF($A662="","",MAX(0,$J662-$K662))</f>
        <v/>
      </c>
    </row>
    <row r="663">
      <c r="I663" s="31">
        <f>IF($A663="","",IF($J663=0,"YOK",IF(AND($E663="Evet",ROUND($C663*tbo_oranIlave,2)=$J663),"TBO-002",IF(AND($D663="Evet",ROUND($C663*tbo_oranBesPuan,2)=$J663),"TBO-001",IF(AND($F663="Evet",ROUND($C663*tbo_oranKadinGenc,2)=$J663),"TBO-004","TBO-ENG")))))</f>
        <v/>
      </c>
      <c r="J663" s="31">
        <f>IF($A663="","",MAX(IF($D663="Evet",ROUND($C663*tbo_oranBesPuan,2),0),IF($E663="Evet",ROUND($C663*tbo_oranIlave,2),0),IF($F663="Evet",ROUND($C663*tbo_oranKadinGenc,2),0),IF($G663="Evet",ROUND($C663*tbo_isverenOran,2),0)))</f>
        <v/>
      </c>
      <c r="K663" s="31">
        <f>IF($A663="","",IF($H663="TBO-001",IF($D663="Evet",ROUND($C663*tbo_oranBesPuan,2),0),IF($H663="TBO-002",IF($E663="Evet",ROUND($C663*tbo_oranIlave,2),0),IF($H663="TBO-004",IF($F663="Evet",ROUND($C663*tbo_oranKadinGenc,2),0),IF($H663="TBO-ENG",IF($G663="Evet",ROUND($C663*tbo_isverenOran,2),0),0)))))</f>
        <v/>
      </c>
      <c r="L663" s="31">
        <f>IF($A663="","",MAX(0,$J663-$K663))</f>
        <v/>
      </c>
    </row>
    <row r="664">
      <c r="I664" s="31">
        <f>IF($A664="","",IF($J664=0,"YOK",IF(AND($E664="Evet",ROUND($C664*tbo_oranIlave,2)=$J664),"TBO-002",IF(AND($D664="Evet",ROUND($C664*tbo_oranBesPuan,2)=$J664),"TBO-001",IF(AND($F664="Evet",ROUND($C664*tbo_oranKadinGenc,2)=$J664),"TBO-004","TBO-ENG")))))</f>
        <v/>
      </c>
      <c r="J664" s="31">
        <f>IF($A664="","",MAX(IF($D664="Evet",ROUND($C664*tbo_oranBesPuan,2),0),IF($E664="Evet",ROUND($C664*tbo_oranIlave,2),0),IF($F664="Evet",ROUND($C664*tbo_oranKadinGenc,2),0),IF($G664="Evet",ROUND($C664*tbo_isverenOran,2),0)))</f>
        <v/>
      </c>
      <c r="K664" s="31">
        <f>IF($A664="","",IF($H664="TBO-001",IF($D664="Evet",ROUND($C664*tbo_oranBesPuan,2),0),IF($H664="TBO-002",IF($E664="Evet",ROUND($C664*tbo_oranIlave,2),0),IF($H664="TBO-004",IF($F664="Evet",ROUND($C664*tbo_oranKadinGenc,2),0),IF($H664="TBO-ENG",IF($G664="Evet",ROUND($C664*tbo_isverenOran,2),0),0)))))</f>
        <v/>
      </c>
      <c r="L664" s="31">
        <f>IF($A664="","",MAX(0,$J664-$K664))</f>
        <v/>
      </c>
    </row>
    <row r="665">
      <c r="I665" s="31">
        <f>IF($A665="","",IF($J665=0,"YOK",IF(AND($E665="Evet",ROUND($C665*tbo_oranIlave,2)=$J665),"TBO-002",IF(AND($D665="Evet",ROUND($C665*tbo_oranBesPuan,2)=$J665),"TBO-001",IF(AND($F665="Evet",ROUND($C665*tbo_oranKadinGenc,2)=$J665),"TBO-004","TBO-ENG")))))</f>
        <v/>
      </c>
      <c r="J665" s="31">
        <f>IF($A665="","",MAX(IF($D665="Evet",ROUND($C665*tbo_oranBesPuan,2),0),IF($E665="Evet",ROUND($C665*tbo_oranIlave,2),0),IF($F665="Evet",ROUND($C665*tbo_oranKadinGenc,2),0),IF($G665="Evet",ROUND($C665*tbo_isverenOran,2),0)))</f>
        <v/>
      </c>
      <c r="K665" s="31">
        <f>IF($A665="","",IF($H665="TBO-001",IF($D665="Evet",ROUND($C665*tbo_oranBesPuan,2),0),IF($H665="TBO-002",IF($E665="Evet",ROUND($C665*tbo_oranIlave,2),0),IF($H665="TBO-004",IF($F665="Evet",ROUND($C665*tbo_oranKadinGenc,2),0),IF($H665="TBO-ENG",IF($G665="Evet",ROUND($C665*tbo_isverenOran,2),0),0)))))</f>
        <v/>
      </c>
      <c r="L665" s="31">
        <f>IF($A665="","",MAX(0,$J665-$K665))</f>
        <v/>
      </c>
    </row>
    <row r="666">
      <c r="I666" s="31">
        <f>IF($A666="","",IF($J666=0,"YOK",IF(AND($E666="Evet",ROUND($C666*tbo_oranIlave,2)=$J666),"TBO-002",IF(AND($D666="Evet",ROUND($C666*tbo_oranBesPuan,2)=$J666),"TBO-001",IF(AND($F666="Evet",ROUND($C666*tbo_oranKadinGenc,2)=$J666),"TBO-004","TBO-ENG")))))</f>
        <v/>
      </c>
      <c r="J666" s="31">
        <f>IF($A666="","",MAX(IF($D666="Evet",ROUND($C666*tbo_oranBesPuan,2),0),IF($E666="Evet",ROUND($C666*tbo_oranIlave,2),0),IF($F666="Evet",ROUND($C666*tbo_oranKadinGenc,2),0),IF($G666="Evet",ROUND($C666*tbo_isverenOran,2),0)))</f>
        <v/>
      </c>
      <c r="K666" s="31">
        <f>IF($A666="","",IF($H666="TBO-001",IF($D666="Evet",ROUND($C666*tbo_oranBesPuan,2),0),IF($H666="TBO-002",IF($E666="Evet",ROUND($C666*tbo_oranIlave,2),0),IF($H666="TBO-004",IF($F666="Evet",ROUND($C666*tbo_oranKadinGenc,2),0),IF($H666="TBO-ENG",IF($G666="Evet",ROUND($C666*tbo_isverenOran,2),0),0)))))</f>
        <v/>
      </c>
      <c r="L666" s="31">
        <f>IF($A666="","",MAX(0,$J666-$K666))</f>
        <v/>
      </c>
    </row>
    <row r="667">
      <c r="I667" s="31">
        <f>IF($A667="","",IF($J667=0,"YOK",IF(AND($E667="Evet",ROUND($C667*tbo_oranIlave,2)=$J667),"TBO-002",IF(AND($D667="Evet",ROUND($C667*tbo_oranBesPuan,2)=$J667),"TBO-001",IF(AND($F667="Evet",ROUND($C667*tbo_oranKadinGenc,2)=$J667),"TBO-004","TBO-ENG")))))</f>
        <v/>
      </c>
      <c r="J667" s="31">
        <f>IF($A667="","",MAX(IF($D667="Evet",ROUND($C667*tbo_oranBesPuan,2),0),IF($E667="Evet",ROUND($C667*tbo_oranIlave,2),0),IF($F667="Evet",ROUND($C667*tbo_oranKadinGenc,2),0),IF($G667="Evet",ROUND($C667*tbo_isverenOran,2),0)))</f>
        <v/>
      </c>
      <c r="K667" s="31">
        <f>IF($A667="","",IF($H667="TBO-001",IF($D667="Evet",ROUND($C667*tbo_oranBesPuan,2),0),IF($H667="TBO-002",IF($E667="Evet",ROUND($C667*tbo_oranIlave,2),0),IF($H667="TBO-004",IF($F667="Evet",ROUND($C667*tbo_oranKadinGenc,2),0),IF($H667="TBO-ENG",IF($G667="Evet",ROUND($C667*tbo_isverenOran,2),0),0)))))</f>
        <v/>
      </c>
      <c r="L667" s="31">
        <f>IF($A667="","",MAX(0,$J667-$K667))</f>
        <v/>
      </c>
    </row>
    <row r="668">
      <c r="I668" s="31">
        <f>IF($A668="","",IF($J668=0,"YOK",IF(AND($E668="Evet",ROUND($C668*tbo_oranIlave,2)=$J668),"TBO-002",IF(AND($D668="Evet",ROUND($C668*tbo_oranBesPuan,2)=$J668),"TBO-001",IF(AND($F668="Evet",ROUND($C668*tbo_oranKadinGenc,2)=$J668),"TBO-004","TBO-ENG")))))</f>
        <v/>
      </c>
      <c r="J668" s="31">
        <f>IF($A668="","",MAX(IF($D668="Evet",ROUND($C668*tbo_oranBesPuan,2),0),IF($E668="Evet",ROUND($C668*tbo_oranIlave,2),0),IF($F668="Evet",ROUND($C668*tbo_oranKadinGenc,2),0),IF($G668="Evet",ROUND($C668*tbo_isverenOran,2),0)))</f>
        <v/>
      </c>
      <c r="K668" s="31">
        <f>IF($A668="","",IF($H668="TBO-001",IF($D668="Evet",ROUND($C668*tbo_oranBesPuan,2),0),IF($H668="TBO-002",IF($E668="Evet",ROUND($C668*tbo_oranIlave,2),0),IF($H668="TBO-004",IF($F668="Evet",ROUND($C668*tbo_oranKadinGenc,2),0),IF($H668="TBO-ENG",IF($G668="Evet",ROUND($C668*tbo_isverenOran,2),0),0)))))</f>
        <v/>
      </c>
      <c r="L668" s="31">
        <f>IF($A668="","",MAX(0,$J668-$K668))</f>
        <v/>
      </c>
    </row>
    <row r="669">
      <c r="I669" s="31">
        <f>IF($A669="","",IF($J669=0,"YOK",IF(AND($E669="Evet",ROUND($C669*tbo_oranIlave,2)=$J669),"TBO-002",IF(AND($D669="Evet",ROUND($C669*tbo_oranBesPuan,2)=$J669),"TBO-001",IF(AND($F669="Evet",ROUND($C669*tbo_oranKadinGenc,2)=$J669),"TBO-004","TBO-ENG")))))</f>
        <v/>
      </c>
      <c r="J669" s="31">
        <f>IF($A669="","",MAX(IF($D669="Evet",ROUND($C669*tbo_oranBesPuan,2),0),IF($E669="Evet",ROUND($C669*tbo_oranIlave,2),0),IF($F669="Evet",ROUND($C669*tbo_oranKadinGenc,2),0),IF($G669="Evet",ROUND($C669*tbo_isverenOran,2),0)))</f>
        <v/>
      </c>
      <c r="K669" s="31">
        <f>IF($A669="","",IF($H669="TBO-001",IF($D669="Evet",ROUND($C669*tbo_oranBesPuan,2),0),IF($H669="TBO-002",IF($E669="Evet",ROUND($C669*tbo_oranIlave,2),0),IF($H669="TBO-004",IF($F669="Evet",ROUND($C669*tbo_oranKadinGenc,2),0),IF($H669="TBO-ENG",IF($G669="Evet",ROUND($C669*tbo_isverenOran,2),0),0)))))</f>
        <v/>
      </c>
      <c r="L669" s="31">
        <f>IF($A669="","",MAX(0,$J669-$K669))</f>
        <v/>
      </c>
    </row>
    <row r="670">
      <c r="I670" s="31">
        <f>IF($A670="","",IF($J670=0,"YOK",IF(AND($E670="Evet",ROUND($C670*tbo_oranIlave,2)=$J670),"TBO-002",IF(AND($D670="Evet",ROUND($C670*tbo_oranBesPuan,2)=$J670),"TBO-001",IF(AND($F670="Evet",ROUND($C670*tbo_oranKadinGenc,2)=$J670),"TBO-004","TBO-ENG")))))</f>
        <v/>
      </c>
      <c r="J670" s="31">
        <f>IF($A670="","",MAX(IF($D670="Evet",ROUND($C670*tbo_oranBesPuan,2),0),IF($E670="Evet",ROUND($C670*tbo_oranIlave,2),0),IF($F670="Evet",ROUND($C670*tbo_oranKadinGenc,2),0),IF($G670="Evet",ROUND($C670*tbo_isverenOran,2),0)))</f>
        <v/>
      </c>
      <c r="K670" s="31">
        <f>IF($A670="","",IF($H670="TBO-001",IF($D670="Evet",ROUND($C670*tbo_oranBesPuan,2),0),IF($H670="TBO-002",IF($E670="Evet",ROUND($C670*tbo_oranIlave,2),0),IF($H670="TBO-004",IF($F670="Evet",ROUND($C670*tbo_oranKadinGenc,2),0),IF($H670="TBO-ENG",IF($G670="Evet",ROUND($C670*tbo_isverenOran,2),0),0)))))</f>
        <v/>
      </c>
      <c r="L670" s="31">
        <f>IF($A670="","",MAX(0,$J670-$K670))</f>
        <v/>
      </c>
    </row>
    <row r="671">
      <c r="I671" s="31">
        <f>IF($A671="","",IF($J671=0,"YOK",IF(AND($E671="Evet",ROUND($C671*tbo_oranIlave,2)=$J671),"TBO-002",IF(AND($D671="Evet",ROUND($C671*tbo_oranBesPuan,2)=$J671),"TBO-001",IF(AND($F671="Evet",ROUND($C671*tbo_oranKadinGenc,2)=$J671),"TBO-004","TBO-ENG")))))</f>
        <v/>
      </c>
      <c r="J671" s="31">
        <f>IF($A671="","",MAX(IF($D671="Evet",ROUND($C671*tbo_oranBesPuan,2),0),IF($E671="Evet",ROUND($C671*tbo_oranIlave,2),0),IF($F671="Evet",ROUND($C671*tbo_oranKadinGenc,2),0),IF($G671="Evet",ROUND($C671*tbo_isverenOran,2),0)))</f>
        <v/>
      </c>
      <c r="K671" s="31">
        <f>IF($A671="","",IF($H671="TBO-001",IF($D671="Evet",ROUND($C671*tbo_oranBesPuan,2),0),IF($H671="TBO-002",IF($E671="Evet",ROUND($C671*tbo_oranIlave,2),0),IF($H671="TBO-004",IF($F671="Evet",ROUND($C671*tbo_oranKadinGenc,2),0),IF($H671="TBO-ENG",IF($G671="Evet",ROUND($C671*tbo_isverenOran,2),0),0)))))</f>
        <v/>
      </c>
      <c r="L671" s="31">
        <f>IF($A671="","",MAX(0,$J671-$K671))</f>
        <v/>
      </c>
    </row>
    <row r="672">
      <c r="I672" s="31">
        <f>IF($A672="","",IF($J672=0,"YOK",IF(AND($E672="Evet",ROUND($C672*tbo_oranIlave,2)=$J672),"TBO-002",IF(AND($D672="Evet",ROUND($C672*tbo_oranBesPuan,2)=$J672),"TBO-001",IF(AND($F672="Evet",ROUND($C672*tbo_oranKadinGenc,2)=$J672),"TBO-004","TBO-ENG")))))</f>
        <v/>
      </c>
      <c r="J672" s="31">
        <f>IF($A672="","",MAX(IF($D672="Evet",ROUND($C672*tbo_oranBesPuan,2),0),IF($E672="Evet",ROUND($C672*tbo_oranIlave,2),0),IF($F672="Evet",ROUND($C672*tbo_oranKadinGenc,2),0),IF($G672="Evet",ROUND($C672*tbo_isverenOran,2),0)))</f>
        <v/>
      </c>
      <c r="K672" s="31">
        <f>IF($A672="","",IF($H672="TBO-001",IF($D672="Evet",ROUND($C672*tbo_oranBesPuan,2),0),IF($H672="TBO-002",IF($E672="Evet",ROUND($C672*tbo_oranIlave,2),0),IF($H672="TBO-004",IF($F672="Evet",ROUND($C672*tbo_oranKadinGenc,2),0),IF($H672="TBO-ENG",IF($G672="Evet",ROUND($C672*tbo_isverenOran,2),0),0)))))</f>
        <v/>
      </c>
      <c r="L672" s="31">
        <f>IF($A672="","",MAX(0,$J672-$K672))</f>
        <v/>
      </c>
    </row>
    <row r="673">
      <c r="I673" s="31">
        <f>IF($A673="","",IF($J673=0,"YOK",IF(AND($E673="Evet",ROUND($C673*tbo_oranIlave,2)=$J673),"TBO-002",IF(AND($D673="Evet",ROUND($C673*tbo_oranBesPuan,2)=$J673),"TBO-001",IF(AND($F673="Evet",ROUND($C673*tbo_oranKadinGenc,2)=$J673),"TBO-004","TBO-ENG")))))</f>
        <v/>
      </c>
      <c r="J673" s="31">
        <f>IF($A673="","",MAX(IF($D673="Evet",ROUND($C673*tbo_oranBesPuan,2),0),IF($E673="Evet",ROUND($C673*tbo_oranIlave,2),0),IF($F673="Evet",ROUND($C673*tbo_oranKadinGenc,2),0),IF($G673="Evet",ROUND($C673*tbo_isverenOran,2),0)))</f>
        <v/>
      </c>
      <c r="K673" s="31">
        <f>IF($A673="","",IF($H673="TBO-001",IF($D673="Evet",ROUND($C673*tbo_oranBesPuan,2),0),IF($H673="TBO-002",IF($E673="Evet",ROUND($C673*tbo_oranIlave,2),0),IF($H673="TBO-004",IF($F673="Evet",ROUND($C673*tbo_oranKadinGenc,2),0),IF($H673="TBO-ENG",IF($G673="Evet",ROUND($C673*tbo_isverenOran,2),0),0)))))</f>
        <v/>
      </c>
      <c r="L673" s="31">
        <f>IF($A673="","",MAX(0,$J673-$K673))</f>
        <v/>
      </c>
    </row>
    <row r="674">
      <c r="I674" s="31">
        <f>IF($A674="","",IF($J674=0,"YOK",IF(AND($E674="Evet",ROUND($C674*tbo_oranIlave,2)=$J674),"TBO-002",IF(AND($D674="Evet",ROUND($C674*tbo_oranBesPuan,2)=$J674),"TBO-001",IF(AND($F674="Evet",ROUND($C674*tbo_oranKadinGenc,2)=$J674),"TBO-004","TBO-ENG")))))</f>
        <v/>
      </c>
      <c r="J674" s="31">
        <f>IF($A674="","",MAX(IF($D674="Evet",ROUND($C674*tbo_oranBesPuan,2),0),IF($E674="Evet",ROUND($C674*tbo_oranIlave,2),0),IF($F674="Evet",ROUND($C674*tbo_oranKadinGenc,2),0),IF($G674="Evet",ROUND($C674*tbo_isverenOran,2),0)))</f>
        <v/>
      </c>
      <c r="K674" s="31">
        <f>IF($A674="","",IF($H674="TBO-001",IF($D674="Evet",ROUND($C674*tbo_oranBesPuan,2),0),IF($H674="TBO-002",IF($E674="Evet",ROUND($C674*tbo_oranIlave,2),0),IF($H674="TBO-004",IF($F674="Evet",ROUND($C674*tbo_oranKadinGenc,2),0),IF($H674="TBO-ENG",IF($G674="Evet",ROUND($C674*tbo_isverenOran,2),0),0)))))</f>
        <v/>
      </c>
      <c r="L674" s="31">
        <f>IF($A674="","",MAX(0,$J674-$K674))</f>
        <v/>
      </c>
    </row>
    <row r="675">
      <c r="I675" s="31">
        <f>IF($A675="","",IF($J675=0,"YOK",IF(AND($E675="Evet",ROUND($C675*tbo_oranIlave,2)=$J675),"TBO-002",IF(AND($D675="Evet",ROUND($C675*tbo_oranBesPuan,2)=$J675),"TBO-001",IF(AND($F675="Evet",ROUND($C675*tbo_oranKadinGenc,2)=$J675),"TBO-004","TBO-ENG")))))</f>
        <v/>
      </c>
      <c r="J675" s="31">
        <f>IF($A675="","",MAX(IF($D675="Evet",ROUND($C675*tbo_oranBesPuan,2),0),IF($E675="Evet",ROUND($C675*tbo_oranIlave,2),0),IF($F675="Evet",ROUND($C675*tbo_oranKadinGenc,2),0),IF($G675="Evet",ROUND($C675*tbo_isverenOran,2),0)))</f>
        <v/>
      </c>
      <c r="K675" s="31">
        <f>IF($A675="","",IF($H675="TBO-001",IF($D675="Evet",ROUND($C675*tbo_oranBesPuan,2),0),IF($H675="TBO-002",IF($E675="Evet",ROUND($C675*tbo_oranIlave,2),0),IF($H675="TBO-004",IF($F675="Evet",ROUND($C675*tbo_oranKadinGenc,2),0),IF($H675="TBO-ENG",IF($G675="Evet",ROUND($C675*tbo_isverenOran,2),0),0)))))</f>
        <v/>
      </c>
      <c r="L675" s="31">
        <f>IF($A675="","",MAX(0,$J675-$K675))</f>
        <v/>
      </c>
    </row>
    <row r="676">
      <c r="I676" s="31">
        <f>IF($A676="","",IF($J676=0,"YOK",IF(AND($E676="Evet",ROUND($C676*tbo_oranIlave,2)=$J676),"TBO-002",IF(AND($D676="Evet",ROUND($C676*tbo_oranBesPuan,2)=$J676),"TBO-001",IF(AND($F676="Evet",ROUND($C676*tbo_oranKadinGenc,2)=$J676),"TBO-004","TBO-ENG")))))</f>
        <v/>
      </c>
      <c r="J676" s="31">
        <f>IF($A676="","",MAX(IF($D676="Evet",ROUND($C676*tbo_oranBesPuan,2),0),IF($E676="Evet",ROUND($C676*tbo_oranIlave,2),0),IF($F676="Evet",ROUND($C676*tbo_oranKadinGenc,2),0),IF($G676="Evet",ROUND($C676*tbo_isverenOran,2),0)))</f>
        <v/>
      </c>
      <c r="K676" s="31">
        <f>IF($A676="","",IF($H676="TBO-001",IF($D676="Evet",ROUND($C676*tbo_oranBesPuan,2),0),IF($H676="TBO-002",IF($E676="Evet",ROUND($C676*tbo_oranIlave,2),0),IF($H676="TBO-004",IF($F676="Evet",ROUND($C676*tbo_oranKadinGenc,2),0),IF($H676="TBO-ENG",IF($G676="Evet",ROUND($C676*tbo_isverenOran,2),0),0)))))</f>
        <v/>
      </c>
      <c r="L676" s="31">
        <f>IF($A676="","",MAX(0,$J676-$K676))</f>
        <v/>
      </c>
    </row>
    <row r="677">
      <c r="I677" s="31">
        <f>IF($A677="","",IF($J677=0,"YOK",IF(AND($E677="Evet",ROUND($C677*tbo_oranIlave,2)=$J677),"TBO-002",IF(AND($D677="Evet",ROUND($C677*tbo_oranBesPuan,2)=$J677),"TBO-001",IF(AND($F677="Evet",ROUND($C677*tbo_oranKadinGenc,2)=$J677),"TBO-004","TBO-ENG")))))</f>
        <v/>
      </c>
      <c r="J677" s="31">
        <f>IF($A677="","",MAX(IF($D677="Evet",ROUND($C677*tbo_oranBesPuan,2),0),IF($E677="Evet",ROUND($C677*tbo_oranIlave,2),0),IF($F677="Evet",ROUND($C677*tbo_oranKadinGenc,2),0),IF($G677="Evet",ROUND($C677*tbo_isverenOran,2),0)))</f>
        <v/>
      </c>
      <c r="K677" s="31">
        <f>IF($A677="","",IF($H677="TBO-001",IF($D677="Evet",ROUND($C677*tbo_oranBesPuan,2),0),IF($H677="TBO-002",IF($E677="Evet",ROUND($C677*tbo_oranIlave,2),0),IF($H677="TBO-004",IF($F677="Evet",ROUND($C677*tbo_oranKadinGenc,2),0),IF($H677="TBO-ENG",IF($G677="Evet",ROUND($C677*tbo_isverenOran,2),0),0)))))</f>
        <v/>
      </c>
      <c r="L677" s="31">
        <f>IF($A677="","",MAX(0,$J677-$K677))</f>
        <v/>
      </c>
    </row>
    <row r="678">
      <c r="I678" s="31">
        <f>IF($A678="","",IF($J678=0,"YOK",IF(AND($E678="Evet",ROUND($C678*tbo_oranIlave,2)=$J678),"TBO-002",IF(AND($D678="Evet",ROUND($C678*tbo_oranBesPuan,2)=$J678),"TBO-001",IF(AND($F678="Evet",ROUND($C678*tbo_oranKadinGenc,2)=$J678),"TBO-004","TBO-ENG")))))</f>
        <v/>
      </c>
      <c r="J678" s="31">
        <f>IF($A678="","",MAX(IF($D678="Evet",ROUND($C678*tbo_oranBesPuan,2),0),IF($E678="Evet",ROUND($C678*tbo_oranIlave,2),0),IF($F678="Evet",ROUND($C678*tbo_oranKadinGenc,2),0),IF($G678="Evet",ROUND($C678*tbo_isverenOran,2),0)))</f>
        <v/>
      </c>
      <c r="K678" s="31">
        <f>IF($A678="","",IF($H678="TBO-001",IF($D678="Evet",ROUND($C678*tbo_oranBesPuan,2),0),IF($H678="TBO-002",IF($E678="Evet",ROUND($C678*tbo_oranIlave,2),0),IF($H678="TBO-004",IF($F678="Evet",ROUND($C678*tbo_oranKadinGenc,2),0),IF($H678="TBO-ENG",IF($G678="Evet",ROUND($C678*tbo_isverenOran,2),0),0)))))</f>
        <v/>
      </c>
      <c r="L678" s="31">
        <f>IF($A678="","",MAX(0,$J678-$K678))</f>
        <v/>
      </c>
    </row>
    <row r="679">
      <c r="I679" s="31">
        <f>IF($A679="","",IF($J679=0,"YOK",IF(AND($E679="Evet",ROUND($C679*tbo_oranIlave,2)=$J679),"TBO-002",IF(AND($D679="Evet",ROUND($C679*tbo_oranBesPuan,2)=$J679),"TBO-001",IF(AND($F679="Evet",ROUND($C679*tbo_oranKadinGenc,2)=$J679),"TBO-004","TBO-ENG")))))</f>
        <v/>
      </c>
      <c r="J679" s="31">
        <f>IF($A679="","",MAX(IF($D679="Evet",ROUND($C679*tbo_oranBesPuan,2),0),IF($E679="Evet",ROUND($C679*tbo_oranIlave,2),0),IF($F679="Evet",ROUND($C679*tbo_oranKadinGenc,2),0),IF($G679="Evet",ROUND($C679*tbo_isverenOran,2),0)))</f>
        <v/>
      </c>
      <c r="K679" s="31">
        <f>IF($A679="","",IF($H679="TBO-001",IF($D679="Evet",ROUND($C679*tbo_oranBesPuan,2),0),IF($H679="TBO-002",IF($E679="Evet",ROUND($C679*tbo_oranIlave,2),0),IF($H679="TBO-004",IF($F679="Evet",ROUND($C679*tbo_oranKadinGenc,2),0),IF($H679="TBO-ENG",IF($G679="Evet",ROUND($C679*tbo_isverenOran,2),0),0)))))</f>
        <v/>
      </c>
      <c r="L679" s="31">
        <f>IF($A679="","",MAX(0,$J679-$K679))</f>
        <v/>
      </c>
    </row>
    <row r="680">
      <c r="I680" s="31">
        <f>IF($A680="","",IF($J680=0,"YOK",IF(AND($E680="Evet",ROUND($C680*tbo_oranIlave,2)=$J680),"TBO-002",IF(AND($D680="Evet",ROUND($C680*tbo_oranBesPuan,2)=$J680),"TBO-001",IF(AND($F680="Evet",ROUND($C680*tbo_oranKadinGenc,2)=$J680),"TBO-004","TBO-ENG")))))</f>
        <v/>
      </c>
      <c r="J680" s="31">
        <f>IF($A680="","",MAX(IF($D680="Evet",ROUND($C680*tbo_oranBesPuan,2),0),IF($E680="Evet",ROUND($C680*tbo_oranIlave,2),0),IF($F680="Evet",ROUND($C680*tbo_oranKadinGenc,2),0),IF($G680="Evet",ROUND($C680*tbo_isverenOran,2),0)))</f>
        <v/>
      </c>
      <c r="K680" s="31">
        <f>IF($A680="","",IF($H680="TBO-001",IF($D680="Evet",ROUND($C680*tbo_oranBesPuan,2),0),IF($H680="TBO-002",IF($E680="Evet",ROUND($C680*tbo_oranIlave,2),0),IF($H680="TBO-004",IF($F680="Evet",ROUND($C680*tbo_oranKadinGenc,2),0),IF($H680="TBO-ENG",IF($G680="Evet",ROUND($C680*tbo_isverenOran,2),0),0)))))</f>
        <v/>
      </c>
      <c r="L680" s="31">
        <f>IF($A680="","",MAX(0,$J680-$K680))</f>
        <v/>
      </c>
    </row>
    <row r="681">
      <c r="I681" s="31">
        <f>IF($A681="","",IF($J681=0,"YOK",IF(AND($E681="Evet",ROUND($C681*tbo_oranIlave,2)=$J681),"TBO-002",IF(AND($D681="Evet",ROUND($C681*tbo_oranBesPuan,2)=$J681),"TBO-001",IF(AND($F681="Evet",ROUND($C681*tbo_oranKadinGenc,2)=$J681),"TBO-004","TBO-ENG")))))</f>
        <v/>
      </c>
      <c r="J681" s="31">
        <f>IF($A681="","",MAX(IF($D681="Evet",ROUND($C681*tbo_oranBesPuan,2),0),IF($E681="Evet",ROUND($C681*tbo_oranIlave,2),0),IF($F681="Evet",ROUND($C681*tbo_oranKadinGenc,2),0),IF($G681="Evet",ROUND($C681*tbo_isverenOran,2),0)))</f>
        <v/>
      </c>
      <c r="K681" s="31">
        <f>IF($A681="","",IF($H681="TBO-001",IF($D681="Evet",ROUND($C681*tbo_oranBesPuan,2),0),IF($H681="TBO-002",IF($E681="Evet",ROUND($C681*tbo_oranIlave,2),0),IF($H681="TBO-004",IF($F681="Evet",ROUND($C681*tbo_oranKadinGenc,2),0),IF($H681="TBO-ENG",IF($G681="Evet",ROUND($C681*tbo_isverenOran,2),0),0)))))</f>
        <v/>
      </c>
      <c r="L681" s="31">
        <f>IF($A681="","",MAX(0,$J681-$K681))</f>
        <v/>
      </c>
    </row>
    <row r="682">
      <c r="I682" s="31">
        <f>IF($A682="","",IF($J682=0,"YOK",IF(AND($E682="Evet",ROUND($C682*tbo_oranIlave,2)=$J682),"TBO-002",IF(AND($D682="Evet",ROUND($C682*tbo_oranBesPuan,2)=$J682),"TBO-001",IF(AND($F682="Evet",ROUND($C682*tbo_oranKadinGenc,2)=$J682),"TBO-004","TBO-ENG")))))</f>
        <v/>
      </c>
      <c r="J682" s="31">
        <f>IF($A682="","",MAX(IF($D682="Evet",ROUND($C682*tbo_oranBesPuan,2),0),IF($E682="Evet",ROUND($C682*tbo_oranIlave,2),0),IF($F682="Evet",ROUND($C682*tbo_oranKadinGenc,2),0),IF($G682="Evet",ROUND($C682*tbo_isverenOran,2),0)))</f>
        <v/>
      </c>
      <c r="K682" s="31">
        <f>IF($A682="","",IF($H682="TBO-001",IF($D682="Evet",ROUND($C682*tbo_oranBesPuan,2),0),IF($H682="TBO-002",IF($E682="Evet",ROUND($C682*tbo_oranIlave,2),0),IF($H682="TBO-004",IF($F682="Evet",ROUND($C682*tbo_oranKadinGenc,2),0),IF($H682="TBO-ENG",IF($G682="Evet",ROUND($C682*tbo_isverenOran,2),0),0)))))</f>
        <v/>
      </c>
      <c r="L682" s="31">
        <f>IF($A682="","",MAX(0,$J682-$K682))</f>
        <v/>
      </c>
    </row>
    <row r="683">
      <c r="I683" s="31">
        <f>IF($A683="","",IF($J683=0,"YOK",IF(AND($E683="Evet",ROUND($C683*tbo_oranIlave,2)=$J683),"TBO-002",IF(AND($D683="Evet",ROUND($C683*tbo_oranBesPuan,2)=$J683),"TBO-001",IF(AND($F683="Evet",ROUND($C683*tbo_oranKadinGenc,2)=$J683),"TBO-004","TBO-ENG")))))</f>
        <v/>
      </c>
      <c r="J683" s="31">
        <f>IF($A683="","",MAX(IF($D683="Evet",ROUND($C683*tbo_oranBesPuan,2),0),IF($E683="Evet",ROUND($C683*tbo_oranIlave,2),0),IF($F683="Evet",ROUND($C683*tbo_oranKadinGenc,2),0),IF($G683="Evet",ROUND($C683*tbo_isverenOran,2),0)))</f>
        <v/>
      </c>
      <c r="K683" s="31">
        <f>IF($A683="","",IF($H683="TBO-001",IF($D683="Evet",ROUND($C683*tbo_oranBesPuan,2),0),IF($H683="TBO-002",IF($E683="Evet",ROUND($C683*tbo_oranIlave,2),0),IF($H683="TBO-004",IF($F683="Evet",ROUND($C683*tbo_oranKadinGenc,2),0),IF($H683="TBO-ENG",IF($G683="Evet",ROUND($C683*tbo_isverenOran,2),0),0)))))</f>
        <v/>
      </c>
      <c r="L683" s="31">
        <f>IF($A683="","",MAX(0,$J683-$K683))</f>
        <v/>
      </c>
    </row>
    <row r="684">
      <c r="I684" s="31">
        <f>IF($A684="","",IF($J684=0,"YOK",IF(AND($E684="Evet",ROUND($C684*tbo_oranIlave,2)=$J684),"TBO-002",IF(AND($D684="Evet",ROUND($C684*tbo_oranBesPuan,2)=$J684),"TBO-001",IF(AND($F684="Evet",ROUND($C684*tbo_oranKadinGenc,2)=$J684),"TBO-004","TBO-ENG")))))</f>
        <v/>
      </c>
      <c r="J684" s="31">
        <f>IF($A684="","",MAX(IF($D684="Evet",ROUND($C684*tbo_oranBesPuan,2),0),IF($E684="Evet",ROUND($C684*tbo_oranIlave,2),0),IF($F684="Evet",ROUND($C684*tbo_oranKadinGenc,2),0),IF($G684="Evet",ROUND($C684*tbo_isverenOran,2),0)))</f>
        <v/>
      </c>
      <c r="K684" s="31">
        <f>IF($A684="","",IF($H684="TBO-001",IF($D684="Evet",ROUND($C684*tbo_oranBesPuan,2),0),IF($H684="TBO-002",IF($E684="Evet",ROUND($C684*tbo_oranIlave,2),0),IF($H684="TBO-004",IF($F684="Evet",ROUND($C684*tbo_oranKadinGenc,2),0),IF($H684="TBO-ENG",IF($G684="Evet",ROUND($C684*tbo_isverenOran,2),0),0)))))</f>
        <v/>
      </c>
      <c r="L684" s="31">
        <f>IF($A684="","",MAX(0,$J684-$K684))</f>
        <v/>
      </c>
    </row>
    <row r="685">
      <c r="I685" s="31">
        <f>IF($A685="","",IF($J685=0,"YOK",IF(AND($E685="Evet",ROUND($C685*tbo_oranIlave,2)=$J685),"TBO-002",IF(AND($D685="Evet",ROUND($C685*tbo_oranBesPuan,2)=$J685),"TBO-001",IF(AND($F685="Evet",ROUND($C685*tbo_oranKadinGenc,2)=$J685),"TBO-004","TBO-ENG")))))</f>
        <v/>
      </c>
      <c r="J685" s="31">
        <f>IF($A685="","",MAX(IF($D685="Evet",ROUND($C685*tbo_oranBesPuan,2),0),IF($E685="Evet",ROUND($C685*tbo_oranIlave,2),0),IF($F685="Evet",ROUND($C685*tbo_oranKadinGenc,2),0),IF($G685="Evet",ROUND($C685*tbo_isverenOran,2),0)))</f>
        <v/>
      </c>
      <c r="K685" s="31">
        <f>IF($A685="","",IF($H685="TBO-001",IF($D685="Evet",ROUND($C685*tbo_oranBesPuan,2),0),IF($H685="TBO-002",IF($E685="Evet",ROUND($C685*tbo_oranIlave,2),0),IF($H685="TBO-004",IF($F685="Evet",ROUND($C685*tbo_oranKadinGenc,2),0),IF($H685="TBO-ENG",IF($G685="Evet",ROUND($C685*tbo_isverenOran,2),0),0)))))</f>
        <v/>
      </c>
      <c r="L685" s="31">
        <f>IF($A685="","",MAX(0,$J685-$K685))</f>
        <v/>
      </c>
    </row>
    <row r="686">
      <c r="I686" s="31">
        <f>IF($A686="","",IF($J686=0,"YOK",IF(AND($E686="Evet",ROUND($C686*tbo_oranIlave,2)=$J686),"TBO-002",IF(AND($D686="Evet",ROUND($C686*tbo_oranBesPuan,2)=$J686),"TBO-001",IF(AND($F686="Evet",ROUND($C686*tbo_oranKadinGenc,2)=$J686),"TBO-004","TBO-ENG")))))</f>
        <v/>
      </c>
      <c r="J686" s="31">
        <f>IF($A686="","",MAX(IF($D686="Evet",ROUND($C686*tbo_oranBesPuan,2),0),IF($E686="Evet",ROUND($C686*tbo_oranIlave,2),0),IF($F686="Evet",ROUND($C686*tbo_oranKadinGenc,2),0),IF($G686="Evet",ROUND($C686*tbo_isverenOran,2),0)))</f>
        <v/>
      </c>
      <c r="K686" s="31">
        <f>IF($A686="","",IF($H686="TBO-001",IF($D686="Evet",ROUND($C686*tbo_oranBesPuan,2),0),IF($H686="TBO-002",IF($E686="Evet",ROUND($C686*tbo_oranIlave,2),0),IF($H686="TBO-004",IF($F686="Evet",ROUND($C686*tbo_oranKadinGenc,2),0),IF($H686="TBO-ENG",IF($G686="Evet",ROUND($C686*tbo_isverenOran,2),0),0)))))</f>
        <v/>
      </c>
      <c r="L686" s="31">
        <f>IF($A686="","",MAX(0,$J686-$K686))</f>
        <v/>
      </c>
    </row>
    <row r="687">
      <c r="I687" s="31">
        <f>IF($A687="","",IF($J687=0,"YOK",IF(AND($E687="Evet",ROUND($C687*tbo_oranIlave,2)=$J687),"TBO-002",IF(AND($D687="Evet",ROUND($C687*tbo_oranBesPuan,2)=$J687),"TBO-001",IF(AND($F687="Evet",ROUND($C687*tbo_oranKadinGenc,2)=$J687),"TBO-004","TBO-ENG")))))</f>
        <v/>
      </c>
      <c r="J687" s="31">
        <f>IF($A687="","",MAX(IF($D687="Evet",ROUND($C687*tbo_oranBesPuan,2),0),IF($E687="Evet",ROUND($C687*tbo_oranIlave,2),0),IF($F687="Evet",ROUND($C687*tbo_oranKadinGenc,2),0),IF($G687="Evet",ROUND($C687*tbo_isverenOran,2),0)))</f>
        <v/>
      </c>
      <c r="K687" s="31">
        <f>IF($A687="","",IF($H687="TBO-001",IF($D687="Evet",ROUND($C687*tbo_oranBesPuan,2),0),IF($H687="TBO-002",IF($E687="Evet",ROUND($C687*tbo_oranIlave,2),0),IF($H687="TBO-004",IF($F687="Evet",ROUND($C687*tbo_oranKadinGenc,2),0),IF($H687="TBO-ENG",IF($G687="Evet",ROUND($C687*tbo_isverenOran,2),0),0)))))</f>
        <v/>
      </c>
      <c r="L687" s="31">
        <f>IF($A687="","",MAX(0,$J687-$K687))</f>
        <v/>
      </c>
    </row>
    <row r="688">
      <c r="I688" s="31">
        <f>IF($A688="","",IF($J688=0,"YOK",IF(AND($E688="Evet",ROUND($C688*tbo_oranIlave,2)=$J688),"TBO-002",IF(AND($D688="Evet",ROUND($C688*tbo_oranBesPuan,2)=$J688),"TBO-001",IF(AND($F688="Evet",ROUND($C688*tbo_oranKadinGenc,2)=$J688),"TBO-004","TBO-ENG")))))</f>
        <v/>
      </c>
      <c r="J688" s="31">
        <f>IF($A688="","",MAX(IF($D688="Evet",ROUND($C688*tbo_oranBesPuan,2),0),IF($E688="Evet",ROUND($C688*tbo_oranIlave,2),0),IF($F688="Evet",ROUND($C688*tbo_oranKadinGenc,2),0),IF($G688="Evet",ROUND($C688*tbo_isverenOran,2),0)))</f>
        <v/>
      </c>
      <c r="K688" s="31">
        <f>IF($A688="","",IF($H688="TBO-001",IF($D688="Evet",ROUND($C688*tbo_oranBesPuan,2),0),IF($H688="TBO-002",IF($E688="Evet",ROUND($C688*tbo_oranIlave,2),0),IF($H688="TBO-004",IF($F688="Evet",ROUND($C688*tbo_oranKadinGenc,2),0),IF($H688="TBO-ENG",IF($G688="Evet",ROUND($C688*tbo_isverenOran,2),0),0)))))</f>
        <v/>
      </c>
      <c r="L688" s="31">
        <f>IF($A688="","",MAX(0,$J688-$K688))</f>
        <v/>
      </c>
    </row>
    <row r="689">
      <c r="I689" s="31">
        <f>IF($A689="","",IF($J689=0,"YOK",IF(AND($E689="Evet",ROUND($C689*tbo_oranIlave,2)=$J689),"TBO-002",IF(AND($D689="Evet",ROUND($C689*tbo_oranBesPuan,2)=$J689),"TBO-001",IF(AND($F689="Evet",ROUND($C689*tbo_oranKadinGenc,2)=$J689),"TBO-004","TBO-ENG")))))</f>
        <v/>
      </c>
      <c r="J689" s="31">
        <f>IF($A689="","",MAX(IF($D689="Evet",ROUND($C689*tbo_oranBesPuan,2),0),IF($E689="Evet",ROUND($C689*tbo_oranIlave,2),0),IF($F689="Evet",ROUND($C689*tbo_oranKadinGenc,2),0),IF($G689="Evet",ROUND($C689*tbo_isverenOran,2),0)))</f>
        <v/>
      </c>
      <c r="K689" s="31">
        <f>IF($A689="","",IF($H689="TBO-001",IF($D689="Evet",ROUND($C689*tbo_oranBesPuan,2),0),IF($H689="TBO-002",IF($E689="Evet",ROUND($C689*tbo_oranIlave,2),0),IF($H689="TBO-004",IF($F689="Evet",ROUND($C689*tbo_oranKadinGenc,2),0),IF($H689="TBO-ENG",IF($G689="Evet",ROUND($C689*tbo_isverenOran,2),0),0)))))</f>
        <v/>
      </c>
      <c r="L689" s="31">
        <f>IF($A689="","",MAX(0,$J689-$K689))</f>
        <v/>
      </c>
    </row>
    <row r="690">
      <c r="I690" s="31">
        <f>IF($A690="","",IF($J690=0,"YOK",IF(AND($E690="Evet",ROUND($C690*tbo_oranIlave,2)=$J690),"TBO-002",IF(AND($D690="Evet",ROUND($C690*tbo_oranBesPuan,2)=$J690),"TBO-001",IF(AND($F690="Evet",ROUND($C690*tbo_oranKadinGenc,2)=$J690),"TBO-004","TBO-ENG")))))</f>
        <v/>
      </c>
      <c r="J690" s="31">
        <f>IF($A690="","",MAX(IF($D690="Evet",ROUND($C690*tbo_oranBesPuan,2),0),IF($E690="Evet",ROUND($C690*tbo_oranIlave,2),0),IF($F690="Evet",ROUND($C690*tbo_oranKadinGenc,2),0),IF($G690="Evet",ROUND($C690*tbo_isverenOran,2),0)))</f>
        <v/>
      </c>
      <c r="K690" s="31">
        <f>IF($A690="","",IF($H690="TBO-001",IF($D690="Evet",ROUND($C690*tbo_oranBesPuan,2),0),IF($H690="TBO-002",IF($E690="Evet",ROUND($C690*tbo_oranIlave,2),0),IF($H690="TBO-004",IF($F690="Evet",ROUND($C690*tbo_oranKadinGenc,2),0),IF($H690="TBO-ENG",IF($G690="Evet",ROUND($C690*tbo_isverenOran,2),0),0)))))</f>
        <v/>
      </c>
      <c r="L690" s="31">
        <f>IF($A690="","",MAX(0,$J690-$K690))</f>
        <v/>
      </c>
    </row>
    <row r="691">
      <c r="I691" s="31">
        <f>IF($A691="","",IF($J691=0,"YOK",IF(AND($E691="Evet",ROUND($C691*tbo_oranIlave,2)=$J691),"TBO-002",IF(AND($D691="Evet",ROUND($C691*tbo_oranBesPuan,2)=$J691),"TBO-001",IF(AND($F691="Evet",ROUND($C691*tbo_oranKadinGenc,2)=$J691),"TBO-004","TBO-ENG")))))</f>
        <v/>
      </c>
      <c r="J691" s="31">
        <f>IF($A691="","",MAX(IF($D691="Evet",ROUND($C691*tbo_oranBesPuan,2),0),IF($E691="Evet",ROUND($C691*tbo_oranIlave,2),0),IF($F691="Evet",ROUND($C691*tbo_oranKadinGenc,2),0),IF($G691="Evet",ROUND($C691*tbo_isverenOran,2),0)))</f>
        <v/>
      </c>
      <c r="K691" s="31">
        <f>IF($A691="","",IF($H691="TBO-001",IF($D691="Evet",ROUND($C691*tbo_oranBesPuan,2),0),IF($H691="TBO-002",IF($E691="Evet",ROUND($C691*tbo_oranIlave,2),0),IF($H691="TBO-004",IF($F691="Evet",ROUND($C691*tbo_oranKadinGenc,2),0),IF($H691="TBO-ENG",IF($G691="Evet",ROUND($C691*tbo_isverenOran,2),0),0)))))</f>
        <v/>
      </c>
      <c r="L691" s="31">
        <f>IF($A691="","",MAX(0,$J691-$K691))</f>
        <v/>
      </c>
    </row>
    <row r="692">
      <c r="I692" s="31">
        <f>IF($A692="","",IF($J692=0,"YOK",IF(AND($E692="Evet",ROUND($C692*tbo_oranIlave,2)=$J692),"TBO-002",IF(AND($D692="Evet",ROUND($C692*tbo_oranBesPuan,2)=$J692),"TBO-001",IF(AND($F692="Evet",ROUND($C692*tbo_oranKadinGenc,2)=$J692),"TBO-004","TBO-ENG")))))</f>
        <v/>
      </c>
      <c r="J692" s="31">
        <f>IF($A692="","",MAX(IF($D692="Evet",ROUND($C692*tbo_oranBesPuan,2),0),IF($E692="Evet",ROUND($C692*tbo_oranIlave,2),0),IF($F692="Evet",ROUND($C692*tbo_oranKadinGenc,2),0),IF($G692="Evet",ROUND($C692*tbo_isverenOran,2),0)))</f>
        <v/>
      </c>
      <c r="K692" s="31">
        <f>IF($A692="","",IF($H692="TBO-001",IF($D692="Evet",ROUND($C692*tbo_oranBesPuan,2),0),IF($H692="TBO-002",IF($E692="Evet",ROUND($C692*tbo_oranIlave,2),0),IF($H692="TBO-004",IF($F692="Evet",ROUND($C692*tbo_oranKadinGenc,2),0),IF($H692="TBO-ENG",IF($G692="Evet",ROUND($C692*tbo_isverenOran,2),0),0)))))</f>
        <v/>
      </c>
      <c r="L692" s="31">
        <f>IF($A692="","",MAX(0,$J692-$K692))</f>
        <v/>
      </c>
    </row>
    <row r="693">
      <c r="I693" s="31">
        <f>IF($A693="","",IF($J693=0,"YOK",IF(AND($E693="Evet",ROUND($C693*tbo_oranIlave,2)=$J693),"TBO-002",IF(AND($D693="Evet",ROUND($C693*tbo_oranBesPuan,2)=$J693),"TBO-001",IF(AND($F693="Evet",ROUND($C693*tbo_oranKadinGenc,2)=$J693),"TBO-004","TBO-ENG")))))</f>
        <v/>
      </c>
      <c r="J693" s="31">
        <f>IF($A693="","",MAX(IF($D693="Evet",ROUND($C693*tbo_oranBesPuan,2),0),IF($E693="Evet",ROUND($C693*tbo_oranIlave,2),0),IF($F693="Evet",ROUND($C693*tbo_oranKadinGenc,2),0),IF($G693="Evet",ROUND($C693*tbo_isverenOran,2),0)))</f>
        <v/>
      </c>
      <c r="K693" s="31">
        <f>IF($A693="","",IF($H693="TBO-001",IF($D693="Evet",ROUND($C693*tbo_oranBesPuan,2),0),IF($H693="TBO-002",IF($E693="Evet",ROUND($C693*tbo_oranIlave,2),0),IF($H693="TBO-004",IF($F693="Evet",ROUND($C693*tbo_oranKadinGenc,2),0),IF($H693="TBO-ENG",IF($G693="Evet",ROUND($C693*tbo_isverenOran,2),0),0)))))</f>
        <v/>
      </c>
      <c r="L693" s="31">
        <f>IF($A693="","",MAX(0,$J693-$K693))</f>
        <v/>
      </c>
    </row>
    <row r="694">
      <c r="I694" s="31">
        <f>IF($A694="","",IF($J694=0,"YOK",IF(AND($E694="Evet",ROUND($C694*tbo_oranIlave,2)=$J694),"TBO-002",IF(AND($D694="Evet",ROUND($C694*tbo_oranBesPuan,2)=$J694),"TBO-001",IF(AND($F694="Evet",ROUND($C694*tbo_oranKadinGenc,2)=$J694),"TBO-004","TBO-ENG")))))</f>
        <v/>
      </c>
      <c r="J694" s="31">
        <f>IF($A694="","",MAX(IF($D694="Evet",ROUND($C694*tbo_oranBesPuan,2),0),IF($E694="Evet",ROUND($C694*tbo_oranIlave,2),0),IF($F694="Evet",ROUND($C694*tbo_oranKadinGenc,2),0),IF($G694="Evet",ROUND($C694*tbo_isverenOran,2),0)))</f>
        <v/>
      </c>
      <c r="K694" s="31">
        <f>IF($A694="","",IF($H694="TBO-001",IF($D694="Evet",ROUND($C694*tbo_oranBesPuan,2),0),IF($H694="TBO-002",IF($E694="Evet",ROUND($C694*tbo_oranIlave,2),0),IF($H694="TBO-004",IF($F694="Evet",ROUND($C694*tbo_oranKadinGenc,2),0),IF($H694="TBO-ENG",IF($G694="Evet",ROUND($C694*tbo_isverenOran,2),0),0)))))</f>
        <v/>
      </c>
      <c r="L694" s="31">
        <f>IF($A694="","",MAX(0,$J694-$K694))</f>
        <v/>
      </c>
    </row>
    <row r="695">
      <c r="I695" s="31">
        <f>IF($A695="","",IF($J695=0,"YOK",IF(AND($E695="Evet",ROUND($C695*tbo_oranIlave,2)=$J695),"TBO-002",IF(AND($D695="Evet",ROUND($C695*tbo_oranBesPuan,2)=$J695),"TBO-001",IF(AND($F695="Evet",ROUND($C695*tbo_oranKadinGenc,2)=$J695),"TBO-004","TBO-ENG")))))</f>
        <v/>
      </c>
      <c r="J695" s="31">
        <f>IF($A695="","",MAX(IF($D695="Evet",ROUND($C695*tbo_oranBesPuan,2),0),IF($E695="Evet",ROUND($C695*tbo_oranIlave,2),0),IF($F695="Evet",ROUND($C695*tbo_oranKadinGenc,2),0),IF($G695="Evet",ROUND($C695*tbo_isverenOran,2),0)))</f>
        <v/>
      </c>
      <c r="K695" s="31">
        <f>IF($A695="","",IF($H695="TBO-001",IF($D695="Evet",ROUND($C695*tbo_oranBesPuan,2),0),IF($H695="TBO-002",IF($E695="Evet",ROUND($C695*tbo_oranIlave,2),0),IF($H695="TBO-004",IF($F695="Evet",ROUND($C695*tbo_oranKadinGenc,2),0),IF($H695="TBO-ENG",IF($G695="Evet",ROUND($C695*tbo_isverenOran,2),0),0)))))</f>
        <v/>
      </c>
      <c r="L695" s="31">
        <f>IF($A695="","",MAX(0,$J695-$K695))</f>
        <v/>
      </c>
    </row>
    <row r="696">
      <c r="I696" s="31">
        <f>IF($A696="","",IF($J696=0,"YOK",IF(AND($E696="Evet",ROUND($C696*tbo_oranIlave,2)=$J696),"TBO-002",IF(AND($D696="Evet",ROUND($C696*tbo_oranBesPuan,2)=$J696),"TBO-001",IF(AND($F696="Evet",ROUND($C696*tbo_oranKadinGenc,2)=$J696),"TBO-004","TBO-ENG")))))</f>
        <v/>
      </c>
      <c r="J696" s="31">
        <f>IF($A696="","",MAX(IF($D696="Evet",ROUND($C696*tbo_oranBesPuan,2),0),IF($E696="Evet",ROUND($C696*tbo_oranIlave,2),0),IF($F696="Evet",ROUND($C696*tbo_oranKadinGenc,2),0),IF($G696="Evet",ROUND($C696*tbo_isverenOran,2),0)))</f>
        <v/>
      </c>
      <c r="K696" s="31">
        <f>IF($A696="","",IF($H696="TBO-001",IF($D696="Evet",ROUND($C696*tbo_oranBesPuan,2),0),IF($H696="TBO-002",IF($E696="Evet",ROUND($C696*tbo_oranIlave,2),0),IF($H696="TBO-004",IF($F696="Evet",ROUND($C696*tbo_oranKadinGenc,2),0),IF($H696="TBO-ENG",IF($G696="Evet",ROUND($C696*tbo_isverenOran,2),0),0)))))</f>
        <v/>
      </c>
      <c r="L696" s="31">
        <f>IF($A696="","",MAX(0,$J696-$K696))</f>
        <v/>
      </c>
    </row>
    <row r="697">
      <c r="I697" s="31">
        <f>IF($A697="","",IF($J697=0,"YOK",IF(AND($E697="Evet",ROUND($C697*tbo_oranIlave,2)=$J697),"TBO-002",IF(AND($D697="Evet",ROUND($C697*tbo_oranBesPuan,2)=$J697),"TBO-001",IF(AND($F697="Evet",ROUND($C697*tbo_oranKadinGenc,2)=$J697),"TBO-004","TBO-ENG")))))</f>
        <v/>
      </c>
      <c r="J697" s="31">
        <f>IF($A697="","",MAX(IF($D697="Evet",ROUND($C697*tbo_oranBesPuan,2),0),IF($E697="Evet",ROUND($C697*tbo_oranIlave,2),0),IF($F697="Evet",ROUND($C697*tbo_oranKadinGenc,2),0),IF($G697="Evet",ROUND($C697*tbo_isverenOran,2),0)))</f>
        <v/>
      </c>
      <c r="K697" s="31">
        <f>IF($A697="","",IF($H697="TBO-001",IF($D697="Evet",ROUND($C697*tbo_oranBesPuan,2),0),IF($H697="TBO-002",IF($E697="Evet",ROUND($C697*tbo_oranIlave,2),0),IF($H697="TBO-004",IF($F697="Evet",ROUND($C697*tbo_oranKadinGenc,2),0),IF($H697="TBO-ENG",IF($G697="Evet",ROUND($C697*tbo_isverenOran,2),0),0)))))</f>
        <v/>
      </c>
      <c r="L697" s="31">
        <f>IF($A697="","",MAX(0,$J697-$K697))</f>
        <v/>
      </c>
    </row>
    <row r="698">
      <c r="I698" s="31">
        <f>IF($A698="","",IF($J698=0,"YOK",IF(AND($E698="Evet",ROUND($C698*tbo_oranIlave,2)=$J698),"TBO-002",IF(AND($D698="Evet",ROUND($C698*tbo_oranBesPuan,2)=$J698),"TBO-001",IF(AND($F698="Evet",ROUND($C698*tbo_oranKadinGenc,2)=$J698),"TBO-004","TBO-ENG")))))</f>
        <v/>
      </c>
      <c r="J698" s="31">
        <f>IF($A698="","",MAX(IF($D698="Evet",ROUND($C698*tbo_oranBesPuan,2),0),IF($E698="Evet",ROUND($C698*tbo_oranIlave,2),0),IF($F698="Evet",ROUND($C698*tbo_oranKadinGenc,2),0),IF($G698="Evet",ROUND($C698*tbo_isverenOran,2),0)))</f>
        <v/>
      </c>
      <c r="K698" s="31">
        <f>IF($A698="","",IF($H698="TBO-001",IF($D698="Evet",ROUND($C698*tbo_oranBesPuan,2),0),IF($H698="TBO-002",IF($E698="Evet",ROUND($C698*tbo_oranIlave,2),0),IF($H698="TBO-004",IF($F698="Evet",ROUND($C698*tbo_oranKadinGenc,2),0),IF($H698="TBO-ENG",IF($G698="Evet",ROUND($C698*tbo_isverenOran,2),0),0)))))</f>
        <v/>
      </c>
      <c r="L698" s="31">
        <f>IF($A698="","",MAX(0,$J698-$K698))</f>
        <v/>
      </c>
    </row>
    <row r="699">
      <c r="I699" s="31">
        <f>IF($A699="","",IF($J699=0,"YOK",IF(AND($E699="Evet",ROUND($C699*tbo_oranIlave,2)=$J699),"TBO-002",IF(AND($D699="Evet",ROUND($C699*tbo_oranBesPuan,2)=$J699),"TBO-001",IF(AND($F699="Evet",ROUND($C699*tbo_oranKadinGenc,2)=$J699),"TBO-004","TBO-ENG")))))</f>
        <v/>
      </c>
      <c r="J699" s="31">
        <f>IF($A699="","",MAX(IF($D699="Evet",ROUND($C699*tbo_oranBesPuan,2),0),IF($E699="Evet",ROUND($C699*tbo_oranIlave,2),0),IF($F699="Evet",ROUND($C699*tbo_oranKadinGenc,2),0),IF($G699="Evet",ROUND($C699*tbo_isverenOran,2),0)))</f>
        <v/>
      </c>
      <c r="K699" s="31">
        <f>IF($A699="","",IF($H699="TBO-001",IF($D699="Evet",ROUND($C699*tbo_oranBesPuan,2),0),IF($H699="TBO-002",IF($E699="Evet",ROUND($C699*tbo_oranIlave,2),0),IF($H699="TBO-004",IF($F699="Evet",ROUND($C699*tbo_oranKadinGenc,2),0),IF($H699="TBO-ENG",IF($G699="Evet",ROUND($C699*tbo_isverenOran,2),0),0)))))</f>
        <v/>
      </c>
      <c r="L699" s="31">
        <f>IF($A699="","",MAX(0,$J699-$K699))</f>
        <v/>
      </c>
    </row>
    <row r="700">
      <c r="I700" s="31">
        <f>IF($A700="","",IF($J700=0,"YOK",IF(AND($E700="Evet",ROUND($C700*tbo_oranIlave,2)=$J700),"TBO-002",IF(AND($D700="Evet",ROUND($C700*tbo_oranBesPuan,2)=$J700),"TBO-001",IF(AND($F700="Evet",ROUND($C700*tbo_oranKadinGenc,2)=$J700),"TBO-004","TBO-ENG")))))</f>
        <v/>
      </c>
      <c r="J700" s="31">
        <f>IF($A700="","",MAX(IF($D700="Evet",ROUND($C700*tbo_oranBesPuan,2),0),IF($E700="Evet",ROUND($C700*tbo_oranIlave,2),0),IF($F700="Evet",ROUND($C700*tbo_oranKadinGenc,2),0),IF($G700="Evet",ROUND($C700*tbo_isverenOran,2),0)))</f>
        <v/>
      </c>
      <c r="K700" s="31">
        <f>IF($A700="","",IF($H700="TBO-001",IF($D700="Evet",ROUND($C700*tbo_oranBesPuan,2),0),IF($H700="TBO-002",IF($E700="Evet",ROUND($C700*tbo_oranIlave,2),0),IF($H700="TBO-004",IF($F700="Evet",ROUND($C700*tbo_oranKadinGenc,2),0),IF($H700="TBO-ENG",IF($G700="Evet",ROUND($C700*tbo_isverenOran,2),0),0)))))</f>
        <v/>
      </c>
      <c r="L700" s="31">
        <f>IF($A700="","",MAX(0,$J700-$K700))</f>
        <v/>
      </c>
    </row>
    <row r="701">
      <c r="I701" s="31">
        <f>IF($A701="","",IF($J701=0,"YOK",IF(AND($E701="Evet",ROUND($C701*tbo_oranIlave,2)=$J701),"TBO-002",IF(AND($D701="Evet",ROUND($C701*tbo_oranBesPuan,2)=$J701),"TBO-001",IF(AND($F701="Evet",ROUND($C701*tbo_oranKadinGenc,2)=$J701),"TBO-004","TBO-ENG")))))</f>
        <v/>
      </c>
      <c r="J701" s="31">
        <f>IF($A701="","",MAX(IF($D701="Evet",ROUND($C701*tbo_oranBesPuan,2),0),IF($E701="Evet",ROUND($C701*tbo_oranIlave,2),0),IF($F701="Evet",ROUND($C701*tbo_oranKadinGenc,2),0),IF($G701="Evet",ROUND($C701*tbo_isverenOran,2),0)))</f>
        <v/>
      </c>
      <c r="K701" s="31">
        <f>IF($A701="","",IF($H701="TBO-001",IF($D701="Evet",ROUND($C701*tbo_oranBesPuan,2),0),IF($H701="TBO-002",IF($E701="Evet",ROUND($C701*tbo_oranIlave,2),0),IF($H701="TBO-004",IF($F701="Evet",ROUND($C701*tbo_oranKadinGenc,2),0),IF($H701="TBO-ENG",IF($G701="Evet",ROUND($C701*tbo_isverenOran,2),0),0)))))</f>
        <v/>
      </c>
      <c r="L701" s="31">
        <f>IF($A701="","",MAX(0,$J701-$K701))</f>
        <v/>
      </c>
    </row>
    <row r="702">
      <c r="I702" s="31">
        <f>IF($A702="","",IF($J702=0,"YOK",IF(AND($E702="Evet",ROUND($C702*tbo_oranIlave,2)=$J702),"TBO-002",IF(AND($D702="Evet",ROUND($C702*tbo_oranBesPuan,2)=$J702),"TBO-001",IF(AND($F702="Evet",ROUND($C702*tbo_oranKadinGenc,2)=$J702),"TBO-004","TBO-ENG")))))</f>
        <v/>
      </c>
      <c r="J702" s="31">
        <f>IF($A702="","",MAX(IF($D702="Evet",ROUND($C702*tbo_oranBesPuan,2),0),IF($E702="Evet",ROUND($C702*tbo_oranIlave,2),0),IF($F702="Evet",ROUND($C702*tbo_oranKadinGenc,2),0),IF($G702="Evet",ROUND($C702*tbo_isverenOran,2),0)))</f>
        <v/>
      </c>
      <c r="K702" s="31">
        <f>IF($A702="","",IF($H702="TBO-001",IF($D702="Evet",ROUND($C702*tbo_oranBesPuan,2),0),IF($H702="TBO-002",IF($E702="Evet",ROUND($C702*tbo_oranIlave,2),0),IF($H702="TBO-004",IF($F702="Evet",ROUND($C702*tbo_oranKadinGenc,2),0),IF($H702="TBO-ENG",IF($G702="Evet",ROUND($C702*tbo_isverenOran,2),0),0)))))</f>
        <v/>
      </c>
      <c r="L702" s="31">
        <f>IF($A702="","",MAX(0,$J702-$K702))</f>
        <v/>
      </c>
    </row>
    <row r="703">
      <c r="I703" s="31">
        <f>IF($A703="","",IF($J703=0,"YOK",IF(AND($E703="Evet",ROUND($C703*tbo_oranIlave,2)=$J703),"TBO-002",IF(AND($D703="Evet",ROUND($C703*tbo_oranBesPuan,2)=$J703),"TBO-001",IF(AND($F703="Evet",ROUND($C703*tbo_oranKadinGenc,2)=$J703),"TBO-004","TBO-ENG")))))</f>
        <v/>
      </c>
      <c r="J703" s="31">
        <f>IF($A703="","",MAX(IF($D703="Evet",ROUND($C703*tbo_oranBesPuan,2),0),IF($E703="Evet",ROUND($C703*tbo_oranIlave,2),0),IF($F703="Evet",ROUND($C703*tbo_oranKadinGenc,2),0),IF($G703="Evet",ROUND($C703*tbo_isverenOran,2),0)))</f>
        <v/>
      </c>
      <c r="K703" s="31">
        <f>IF($A703="","",IF($H703="TBO-001",IF($D703="Evet",ROUND($C703*tbo_oranBesPuan,2),0),IF($H703="TBO-002",IF($E703="Evet",ROUND($C703*tbo_oranIlave,2),0),IF($H703="TBO-004",IF($F703="Evet",ROUND($C703*tbo_oranKadinGenc,2),0),IF($H703="TBO-ENG",IF($G703="Evet",ROUND($C703*tbo_isverenOran,2),0),0)))))</f>
        <v/>
      </c>
      <c r="L703" s="31">
        <f>IF($A703="","",MAX(0,$J703-$K703))</f>
        <v/>
      </c>
    </row>
    <row r="704">
      <c r="I704" s="31">
        <f>IF($A704="","",IF($J704=0,"YOK",IF(AND($E704="Evet",ROUND($C704*tbo_oranIlave,2)=$J704),"TBO-002",IF(AND($D704="Evet",ROUND($C704*tbo_oranBesPuan,2)=$J704),"TBO-001",IF(AND($F704="Evet",ROUND($C704*tbo_oranKadinGenc,2)=$J704),"TBO-004","TBO-ENG")))))</f>
        <v/>
      </c>
      <c r="J704" s="31">
        <f>IF($A704="","",MAX(IF($D704="Evet",ROUND($C704*tbo_oranBesPuan,2),0),IF($E704="Evet",ROUND($C704*tbo_oranIlave,2),0),IF($F704="Evet",ROUND($C704*tbo_oranKadinGenc,2),0),IF($G704="Evet",ROUND($C704*tbo_isverenOran,2),0)))</f>
        <v/>
      </c>
      <c r="K704" s="31">
        <f>IF($A704="","",IF($H704="TBO-001",IF($D704="Evet",ROUND($C704*tbo_oranBesPuan,2),0),IF($H704="TBO-002",IF($E704="Evet",ROUND($C704*tbo_oranIlave,2),0),IF($H704="TBO-004",IF($F704="Evet",ROUND($C704*tbo_oranKadinGenc,2),0),IF($H704="TBO-ENG",IF($G704="Evet",ROUND($C704*tbo_isverenOran,2),0),0)))))</f>
        <v/>
      </c>
      <c r="L704" s="31">
        <f>IF($A704="","",MAX(0,$J704-$K704))</f>
        <v/>
      </c>
    </row>
    <row r="705">
      <c r="I705" s="31">
        <f>IF($A705="","",IF($J705=0,"YOK",IF(AND($E705="Evet",ROUND($C705*tbo_oranIlave,2)=$J705),"TBO-002",IF(AND($D705="Evet",ROUND($C705*tbo_oranBesPuan,2)=$J705),"TBO-001",IF(AND($F705="Evet",ROUND($C705*tbo_oranKadinGenc,2)=$J705),"TBO-004","TBO-ENG")))))</f>
        <v/>
      </c>
      <c r="J705" s="31">
        <f>IF($A705="","",MAX(IF($D705="Evet",ROUND($C705*tbo_oranBesPuan,2),0),IF($E705="Evet",ROUND($C705*tbo_oranIlave,2),0),IF($F705="Evet",ROUND($C705*tbo_oranKadinGenc,2),0),IF($G705="Evet",ROUND($C705*tbo_isverenOran,2),0)))</f>
        <v/>
      </c>
      <c r="K705" s="31">
        <f>IF($A705="","",IF($H705="TBO-001",IF($D705="Evet",ROUND($C705*tbo_oranBesPuan,2),0),IF($H705="TBO-002",IF($E705="Evet",ROUND($C705*tbo_oranIlave,2),0),IF($H705="TBO-004",IF($F705="Evet",ROUND($C705*tbo_oranKadinGenc,2),0),IF($H705="TBO-ENG",IF($G705="Evet",ROUND($C705*tbo_isverenOran,2),0),0)))))</f>
        <v/>
      </c>
      <c r="L705" s="31">
        <f>IF($A705="","",MAX(0,$J705-$K705))</f>
        <v/>
      </c>
    </row>
    <row r="706">
      <c r="I706" s="31">
        <f>IF($A706="","",IF($J706=0,"YOK",IF(AND($E706="Evet",ROUND($C706*tbo_oranIlave,2)=$J706),"TBO-002",IF(AND($D706="Evet",ROUND($C706*tbo_oranBesPuan,2)=$J706),"TBO-001",IF(AND($F706="Evet",ROUND($C706*tbo_oranKadinGenc,2)=$J706),"TBO-004","TBO-ENG")))))</f>
        <v/>
      </c>
      <c r="J706" s="31">
        <f>IF($A706="","",MAX(IF($D706="Evet",ROUND($C706*tbo_oranBesPuan,2),0),IF($E706="Evet",ROUND($C706*tbo_oranIlave,2),0),IF($F706="Evet",ROUND($C706*tbo_oranKadinGenc,2),0),IF($G706="Evet",ROUND($C706*tbo_isverenOran,2),0)))</f>
        <v/>
      </c>
      <c r="K706" s="31">
        <f>IF($A706="","",IF($H706="TBO-001",IF($D706="Evet",ROUND($C706*tbo_oranBesPuan,2),0),IF($H706="TBO-002",IF($E706="Evet",ROUND($C706*tbo_oranIlave,2),0),IF($H706="TBO-004",IF($F706="Evet",ROUND($C706*tbo_oranKadinGenc,2),0),IF($H706="TBO-ENG",IF($G706="Evet",ROUND($C706*tbo_isverenOran,2),0),0)))))</f>
        <v/>
      </c>
      <c r="L706" s="31">
        <f>IF($A706="","",MAX(0,$J706-$K706))</f>
        <v/>
      </c>
    </row>
    <row r="707">
      <c r="I707" s="31">
        <f>IF($A707="","",IF($J707=0,"YOK",IF(AND($E707="Evet",ROUND($C707*tbo_oranIlave,2)=$J707),"TBO-002",IF(AND($D707="Evet",ROUND($C707*tbo_oranBesPuan,2)=$J707),"TBO-001",IF(AND($F707="Evet",ROUND($C707*tbo_oranKadinGenc,2)=$J707),"TBO-004","TBO-ENG")))))</f>
        <v/>
      </c>
      <c r="J707" s="31">
        <f>IF($A707="","",MAX(IF($D707="Evet",ROUND($C707*tbo_oranBesPuan,2),0),IF($E707="Evet",ROUND($C707*tbo_oranIlave,2),0),IF($F707="Evet",ROUND($C707*tbo_oranKadinGenc,2),0),IF($G707="Evet",ROUND($C707*tbo_isverenOran,2),0)))</f>
        <v/>
      </c>
      <c r="K707" s="31">
        <f>IF($A707="","",IF($H707="TBO-001",IF($D707="Evet",ROUND($C707*tbo_oranBesPuan,2),0),IF($H707="TBO-002",IF($E707="Evet",ROUND($C707*tbo_oranIlave,2),0),IF($H707="TBO-004",IF($F707="Evet",ROUND($C707*tbo_oranKadinGenc,2),0),IF($H707="TBO-ENG",IF($G707="Evet",ROUND($C707*tbo_isverenOran,2),0),0)))))</f>
        <v/>
      </c>
      <c r="L707" s="31">
        <f>IF($A707="","",MAX(0,$J707-$K707))</f>
        <v/>
      </c>
    </row>
    <row r="708">
      <c r="I708" s="31">
        <f>IF($A708="","",IF($J708=0,"YOK",IF(AND($E708="Evet",ROUND($C708*tbo_oranIlave,2)=$J708),"TBO-002",IF(AND($D708="Evet",ROUND($C708*tbo_oranBesPuan,2)=$J708),"TBO-001",IF(AND($F708="Evet",ROUND($C708*tbo_oranKadinGenc,2)=$J708),"TBO-004","TBO-ENG")))))</f>
        <v/>
      </c>
      <c r="J708" s="31">
        <f>IF($A708="","",MAX(IF($D708="Evet",ROUND($C708*tbo_oranBesPuan,2),0),IF($E708="Evet",ROUND($C708*tbo_oranIlave,2),0),IF($F708="Evet",ROUND($C708*tbo_oranKadinGenc,2),0),IF($G708="Evet",ROUND($C708*tbo_isverenOran,2),0)))</f>
        <v/>
      </c>
      <c r="K708" s="31">
        <f>IF($A708="","",IF($H708="TBO-001",IF($D708="Evet",ROUND($C708*tbo_oranBesPuan,2),0),IF($H708="TBO-002",IF($E708="Evet",ROUND($C708*tbo_oranIlave,2),0),IF($H708="TBO-004",IF($F708="Evet",ROUND($C708*tbo_oranKadinGenc,2),0),IF($H708="TBO-ENG",IF($G708="Evet",ROUND($C708*tbo_isverenOran,2),0),0)))))</f>
        <v/>
      </c>
      <c r="L708" s="31">
        <f>IF($A708="","",MAX(0,$J708-$K708))</f>
        <v/>
      </c>
    </row>
    <row r="709">
      <c r="I709" s="31">
        <f>IF($A709="","",IF($J709=0,"YOK",IF(AND($E709="Evet",ROUND($C709*tbo_oranIlave,2)=$J709),"TBO-002",IF(AND($D709="Evet",ROUND($C709*tbo_oranBesPuan,2)=$J709),"TBO-001",IF(AND($F709="Evet",ROUND($C709*tbo_oranKadinGenc,2)=$J709),"TBO-004","TBO-ENG")))))</f>
        <v/>
      </c>
      <c r="J709" s="31">
        <f>IF($A709="","",MAX(IF($D709="Evet",ROUND($C709*tbo_oranBesPuan,2),0),IF($E709="Evet",ROUND($C709*tbo_oranIlave,2),0),IF($F709="Evet",ROUND($C709*tbo_oranKadinGenc,2),0),IF($G709="Evet",ROUND($C709*tbo_isverenOran,2),0)))</f>
        <v/>
      </c>
      <c r="K709" s="31">
        <f>IF($A709="","",IF($H709="TBO-001",IF($D709="Evet",ROUND($C709*tbo_oranBesPuan,2),0),IF($H709="TBO-002",IF($E709="Evet",ROUND($C709*tbo_oranIlave,2),0),IF($H709="TBO-004",IF($F709="Evet",ROUND($C709*tbo_oranKadinGenc,2),0),IF($H709="TBO-ENG",IF($G709="Evet",ROUND($C709*tbo_isverenOran,2),0),0)))))</f>
        <v/>
      </c>
      <c r="L709" s="31">
        <f>IF($A709="","",MAX(0,$J709-$K709))</f>
        <v/>
      </c>
    </row>
    <row r="710">
      <c r="I710" s="31">
        <f>IF($A710="","",IF($J710=0,"YOK",IF(AND($E710="Evet",ROUND($C710*tbo_oranIlave,2)=$J710),"TBO-002",IF(AND($D710="Evet",ROUND($C710*tbo_oranBesPuan,2)=$J710),"TBO-001",IF(AND($F710="Evet",ROUND($C710*tbo_oranKadinGenc,2)=$J710),"TBO-004","TBO-ENG")))))</f>
        <v/>
      </c>
      <c r="J710" s="31">
        <f>IF($A710="","",MAX(IF($D710="Evet",ROUND($C710*tbo_oranBesPuan,2),0),IF($E710="Evet",ROUND($C710*tbo_oranIlave,2),0),IF($F710="Evet",ROUND($C710*tbo_oranKadinGenc,2),0),IF($G710="Evet",ROUND($C710*tbo_isverenOran,2),0)))</f>
        <v/>
      </c>
      <c r="K710" s="31">
        <f>IF($A710="","",IF($H710="TBO-001",IF($D710="Evet",ROUND($C710*tbo_oranBesPuan,2),0),IF($H710="TBO-002",IF($E710="Evet",ROUND($C710*tbo_oranIlave,2),0),IF($H710="TBO-004",IF($F710="Evet",ROUND($C710*tbo_oranKadinGenc,2),0),IF($H710="TBO-ENG",IF($G710="Evet",ROUND($C710*tbo_isverenOran,2),0),0)))))</f>
        <v/>
      </c>
      <c r="L710" s="31">
        <f>IF($A710="","",MAX(0,$J710-$K710))</f>
        <v/>
      </c>
    </row>
    <row r="711">
      <c r="I711" s="31">
        <f>IF($A711="","",IF($J711=0,"YOK",IF(AND($E711="Evet",ROUND($C711*tbo_oranIlave,2)=$J711),"TBO-002",IF(AND($D711="Evet",ROUND($C711*tbo_oranBesPuan,2)=$J711),"TBO-001",IF(AND($F711="Evet",ROUND($C711*tbo_oranKadinGenc,2)=$J711),"TBO-004","TBO-ENG")))))</f>
        <v/>
      </c>
      <c r="J711" s="31">
        <f>IF($A711="","",MAX(IF($D711="Evet",ROUND($C711*tbo_oranBesPuan,2),0),IF($E711="Evet",ROUND($C711*tbo_oranIlave,2),0),IF($F711="Evet",ROUND($C711*tbo_oranKadinGenc,2),0),IF($G711="Evet",ROUND($C711*tbo_isverenOran,2),0)))</f>
        <v/>
      </c>
      <c r="K711" s="31">
        <f>IF($A711="","",IF($H711="TBO-001",IF($D711="Evet",ROUND($C711*tbo_oranBesPuan,2),0),IF($H711="TBO-002",IF($E711="Evet",ROUND($C711*tbo_oranIlave,2),0),IF($H711="TBO-004",IF($F711="Evet",ROUND($C711*tbo_oranKadinGenc,2),0),IF($H711="TBO-ENG",IF($G711="Evet",ROUND($C711*tbo_isverenOran,2),0),0)))))</f>
        <v/>
      </c>
      <c r="L711" s="31">
        <f>IF($A711="","",MAX(0,$J711-$K711))</f>
        <v/>
      </c>
    </row>
    <row r="712">
      <c r="I712" s="31">
        <f>IF($A712="","",IF($J712=0,"YOK",IF(AND($E712="Evet",ROUND($C712*tbo_oranIlave,2)=$J712),"TBO-002",IF(AND($D712="Evet",ROUND($C712*tbo_oranBesPuan,2)=$J712),"TBO-001",IF(AND($F712="Evet",ROUND($C712*tbo_oranKadinGenc,2)=$J712),"TBO-004","TBO-ENG")))))</f>
        <v/>
      </c>
      <c r="J712" s="31">
        <f>IF($A712="","",MAX(IF($D712="Evet",ROUND($C712*tbo_oranBesPuan,2),0),IF($E712="Evet",ROUND($C712*tbo_oranIlave,2),0),IF($F712="Evet",ROUND($C712*tbo_oranKadinGenc,2),0),IF($G712="Evet",ROUND($C712*tbo_isverenOran,2),0)))</f>
        <v/>
      </c>
      <c r="K712" s="31">
        <f>IF($A712="","",IF($H712="TBO-001",IF($D712="Evet",ROUND($C712*tbo_oranBesPuan,2),0),IF($H712="TBO-002",IF($E712="Evet",ROUND($C712*tbo_oranIlave,2),0),IF($H712="TBO-004",IF($F712="Evet",ROUND($C712*tbo_oranKadinGenc,2),0),IF($H712="TBO-ENG",IF($G712="Evet",ROUND($C712*tbo_isverenOran,2),0),0)))))</f>
        <v/>
      </c>
      <c r="L712" s="31">
        <f>IF($A712="","",MAX(0,$J712-$K712))</f>
        <v/>
      </c>
    </row>
    <row r="713">
      <c r="I713" s="31">
        <f>IF($A713="","",IF($J713=0,"YOK",IF(AND($E713="Evet",ROUND($C713*tbo_oranIlave,2)=$J713),"TBO-002",IF(AND($D713="Evet",ROUND($C713*tbo_oranBesPuan,2)=$J713),"TBO-001",IF(AND($F713="Evet",ROUND($C713*tbo_oranKadinGenc,2)=$J713),"TBO-004","TBO-ENG")))))</f>
        <v/>
      </c>
      <c r="J713" s="31">
        <f>IF($A713="","",MAX(IF($D713="Evet",ROUND($C713*tbo_oranBesPuan,2),0),IF($E713="Evet",ROUND($C713*tbo_oranIlave,2),0),IF($F713="Evet",ROUND($C713*tbo_oranKadinGenc,2),0),IF($G713="Evet",ROUND($C713*tbo_isverenOran,2),0)))</f>
        <v/>
      </c>
      <c r="K713" s="31">
        <f>IF($A713="","",IF($H713="TBO-001",IF($D713="Evet",ROUND($C713*tbo_oranBesPuan,2),0),IF($H713="TBO-002",IF($E713="Evet",ROUND($C713*tbo_oranIlave,2),0),IF($H713="TBO-004",IF($F713="Evet",ROUND($C713*tbo_oranKadinGenc,2),0),IF($H713="TBO-ENG",IF($G713="Evet",ROUND($C713*tbo_isverenOran,2),0),0)))))</f>
        <v/>
      </c>
      <c r="L713" s="31">
        <f>IF($A713="","",MAX(0,$J713-$K713))</f>
        <v/>
      </c>
    </row>
    <row r="714">
      <c r="I714" s="31">
        <f>IF($A714="","",IF($J714=0,"YOK",IF(AND($E714="Evet",ROUND($C714*tbo_oranIlave,2)=$J714),"TBO-002",IF(AND($D714="Evet",ROUND($C714*tbo_oranBesPuan,2)=$J714),"TBO-001",IF(AND($F714="Evet",ROUND($C714*tbo_oranKadinGenc,2)=$J714),"TBO-004","TBO-ENG")))))</f>
        <v/>
      </c>
      <c r="J714" s="31">
        <f>IF($A714="","",MAX(IF($D714="Evet",ROUND($C714*tbo_oranBesPuan,2),0),IF($E714="Evet",ROUND($C714*tbo_oranIlave,2),0),IF($F714="Evet",ROUND($C714*tbo_oranKadinGenc,2),0),IF($G714="Evet",ROUND($C714*tbo_isverenOran,2),0)))</f>
        <v/>
      </c>
      <c r="K714" s="31">
        <f>IF($A714="","",IF($H714="TBO-001",IF($D714="Evet",ROUND($C714*tbo_oranBesPuan,2),0),IF($H714="TBO-002",IF($E714="Evet",ROUND($C714*tbo_oranIlave,2),0),IF($H714="TBO-004",IF($F714="Evet",ROUND($C714*tbo_oranKadinGenc,2),0),IF($H714="TBO-ENG",IF($G714="Evet",ROUND($C714*tbo_isverenOran,2),0),0)))))</f>
        <v/>
      </c>
      <c r="L714" s="31">
        <f>IF($A714="","",MAX(0,$J714-$K714))</f>
        <v/>
      </c>
    </row>
    <row r="715">
      <c r="I715" s="31">
        <f>IF($A715="","",IF($J715=0,"YOK",IF(AND($E715="Evet",ROUND($C715*tbo_oranIlave,2)=$J715),"TBO-002",IF(AND($D715="Evet",ROUND($C715*tbo_oranBesPuan,2)=$J715),"TBO-001",IF(AND($F715="Evet",ROUND($C715*tbo_oranKadinGenc,2)=$J715),"TBO-004","TBO-ENG")))))</f>
        <v/>
      </c>
      <c r="J715" s="31">
        <f>IF($A715="","",MAX(IF($D715="Evet",ROUND($C715*tbo_oranBesPuan,2),0),IF($E715="Evet",ROUND($C715*tbo_oranIlave,2),0),IF($F715="Evet",ROUND($C715*tbo_oranKadinGenc,2),0),IF($G715="Evet",ROUND($C715*tbo_isverenOran,2),0)))</f>
        <v/>
      </c>
      <c r="K715" s="31">
        <f>IF($A715="","",IF($H715="TBO-001",IF($D715="Evet",ROUND($C715*tbo_oranBesPuan,2),0),IF($H715="TBO-002",IF($E715="Evet",ROUND($C715*tbo_oranIlave,2),0),IF($H715="TBO-004",IF($F715="Evet",ROUND($C715*tbo_oranKadinGenc,2),0),IF($H715="TBO-ENG",IF($G715="Evet",ROUND($C715*tbo_isverenOran,2),0),0)))))</f>
        <v/>
      </c>
      <c r="L715" s="31">
        <f>IF($A715="","",MAX(0,$J715-$K715))</f>
        <v/>
      </c>
    </row>
    <row r="716">
      <c r="I716" s="31">
        <f>IF($A716="","",IF($J716=0,"YOK",IF(AND($E716="Evet",ROUND($C716*tbo_oranIlave,2)=$J716),"TBO-002",IF(AND($D716="Evet",ROUND($C716*tbo_oranBesPuan,2)=$J716),"TBO-001",IF(AND($F716="Evet",ROUND($C716*tbo_oranKadinGenc,2)=$J716),"TBO-004","TBO-ENG")))))</f>
        <v/>
      </c>
      <c r="J716" s="31">
        <f>IF($A716="","",MAX(IF($D716="Evet",ROUND($C716*tbo_oranBesPuan,2),0),IF($E716="Evet",ROUND($C716*tbo_oranIlave,2),0),IF($F716="Evet",ROUND($C716*tbo_oranKadinGenc,2),0),IF($G716="Evet",ROUND($C716*tbo_isverenOran,2),0)))</f>
        <v/>
      </c>
      <c r="K716" s="31">
        <f>IF($A716="","",IF($H716="TBO-001",IF($D716="Evet",ROUND($C716*tbo_oranBesPuan,2),0),IF($H716="TBO-002",IF($E716="Evet",ROUND($C716*tbo_oranIlave,2),0),IF($H716="TBO-004",IF($F716="Evet",ROUND($C716*tbo_oranKadinGenc,2),0),IF($H716="TBO-ENG",IF($G716="Evet",ROUND($C716*tbo_isverenOran,2),0),0)))))</f>
        <v/>
      </c>
      <c r="L716" s="31">
        <f>IF($A716="","",MAX(0,$J716-$K716))</f>
        <v/>
      </c>
    </row>
    <row r="717">
      <c r="I717" s="31">
        <f>IF($A717="","",IF($J717=0,"YOK",IF(AND($E717="Evet",ROUND($C717*tbo_oranIlave,2)=$J717),"TBO-002",IF(AND($D717="Evet",ROUND($C717*tbo_oranBesPuan,2)=$J717),"TBO-001",IF(AND($F717="Evet",ROUND($C717*tbo_oranKadinGenc,2)=$J717),"TBO-004","TBO-ENG")))))</f>
        <v/>
      </c>
      <c r="J717" s="31">
        <f>IF($A717="","",MAX(IF($D717="Evet",ROUND($C717*tbo_oranBesPuan,2),0),IF($E717="Evet",ROUND($C717*tbo_oranIlave,2),0),IF($F717="Evet",ROUND($C717*tbo_oranKadinGenc,2),0),IF($G717="Evet",ROUND($C717*tbo_isverenOran,2),0)))</f>
        <v/>
      </c>
      <c r="K717" s="31">
        <f>IF($A717="","",IF($H717="TBO-001",IF($D717="Evet",ROUND($C717*tbo_oranBesPuan,2),0),IF($H717="TBO-002",IF($E717="Evet",ROUND($C717*tbo_oranIlave,2),0),IF($H717="TBO-004",IF($F717="Evet",ROUND($C717*tbo_oranKadinGenc,2),0),IF($H717="TBO-ENG",IF($G717="Evet",ROUND($C717*tbo_isverenOran,2),0),0)))))</f>
        <v/>
      </c>
      <c r="L717" s="31">
        <f>IF($A717="","",MAX(0,$J717-$K717))</f>
        <v/>
      </c>
    </row>
    <row r="718">
      <c r="I718" s="31">
        <f>IF($A718="","",IF($J718=0,"YOK",IF(AND($E718="Evet",ROUND($C718*tbo_oranIlave,2)=$J718),"TBO-002",IF(AND($D718="Evet",ROUND($C718*tbo_oranBesPuan,2)=$J718),"TBO-001",IF(AND($F718="Evet",ROUND($C718*tbo_oranKadinGenc,2)=$J718),"TBO-004","TBO-ENG")))))</f>
        <v/>
      </c>
      <c r="J718" s="31">
        <f>IF($A718="","",MAX(IF($D718="Evet",ROUND($C718*tbo_oranBesPuan,2),0),IF($E718="Evet",ROUND($C718*tbo_oranIlave,2),0),IF($F718="Evet",ROUND($C718*tbo_oranKadinGenc,2),0),IF($G718="Evet",ROUND($C718*tbo_isverenOran,2),0)))</f>
        <v/>
      </c>
      <c r="K718" s="31">
        <f>IF($A718="","",IF($H718="TBO-001",IF($D718="Evet",ROUND($C718*tbo_oranBesPuan,2),0),IF($H718="TBO-002",IF($E718="Evet",ROUND($C718*tbo_oranIlave,2),0),IF($H718="TBO-004",IF($F718="Evet",ROUND($C718*tbo_oranKadinGenc,2),0),IF($H718="TBO-ENG",IF($G718="Evet",ROUND($C718*tbo_isverenOran,2),0),0)))))</f>
        <v/>
      </c>
      <c r="L718" s="31">
        <f>IF($A718="","",MAX(0,$J718-$K718))</f>
        <v/>
      </c>
    </row>
    <row r="719">
      <c r="I719" s="31">
        <f>IF($A719="","",IF($J719=0,"YOK",IF(AND($E719="Evet",ROUND($C719*tbo_oranIlave,2)=$J719),"TBO-002",IF(AND($D719="Evet",ROUND($C719*tbo_oranBesPuan,2)=$J719),"TBO-001",IF(AND($F719="Evet",ROUND($C719*tbo_oranKadinGenc,2)=$J719),"TBO-004","TBO-ENG")))))</f>
        <v/>
      </c>
      <c r="J719" s="31">
        <f>IF($A719="","",MAX(IF($D719="Evet",ROUND($C719*tbo_oranBesPuan,2),0),IF($E719="Evet",ROUND($C719*tbo_oranIlave,2),0),IF($F719="Evet",ROUND($C719*tbo_oranKadinGenc,2),0),IF($G719="Evet",ROUND($C719*tbo_isverenOran,2),0)))</f>
        <v/>
      </c>
      <c r="K719" s="31">
        <f>IF($A719="","",IF($H719="TBO-001",IF($D719="Evet",ROUND($C719*tbo_oranBesPuan,2),0),IF($H719="TBO-002",IF($E719="Evet",ROUND($C719*tbo_oranIlave,2),0),IF($H719="TBO-004",IF($F719="Evet",ROUND($C719*tbo_oranKadinGenc,2),0),IF($H719="TBO-ENG",IF($G719="Evet",ROUND($C719*tbo_isverenOran,2),0),0)))))</f>
        <v/>
      </c>
      <c r="L719" s="31">
        <f>IF($A719="","",MAX(0,$J719-$K719))</f>
        <v/>
      </c>
    </row>
    <row r="720">
      <c r="I720" s="31">
        <f>IF($A720="","",IF($J720=0,"YOK",IF(AND($E720="Evet",ROUND($C720*tbo_oranIlave,2)=$J720),"TBO-002",IF(AND($D720="Evet",ROUND($C720*tbo_oranBesPuan,2)=$J720),"TBO-001",IF(AND($F720="Evet",ROUND($C720*tbo_oranKadinGenc,2)=$J720),"TBO-004","TBO-ENG")))))</f>
        <v/>
      </c>
      <c r="J720" s="31">
        <f>IF($A720="","",MAX(IF($D720="Evet",ROUND($C720*tbo_oranBesPuan,2),0),IF($E720="Evet",ROUND($C720*tbo_oranIlave,2),0),IF($F720="Evet",ROUND($C720*tbo_oranKadinGenc,2),0),IF($G720="Evet",ROUND($C720*tbo_isverenOran,2),0)))</f>
        <v/>
      </c>
      <c r="K720" s="31">
        <f>IF($A720="","",IF($H720="TBO-001",IF($D720="Evet",ROUND($C720*tbo_oranBesPuan,2),0),IF($H720="TBO-002",IF($E720="Evet",ROUND($C720*tbo_oranIlave,2),0),IF($H720="TBO-004",IF($F720="Evet",ROUND($C720*tbo_oranKadinGenc,2),0),IF($H720="TBO-ENG",IF($G720="Evet",ROUND($C720*tbo_isverenOran,2),0),0)))))</f>
        <v/>
      </c>
      <c r="L720" s="31">
        <f>IF($A720="","",MAX(0,$J720-$K720))</f>
        <v/>
      </c>
    </row>
    <row r="721">
      <c r="I721" s="31">
        <f>IF($A721="","",IF($J721=0,"YOK",IF(AND($E721="Evet",ROUND($C721*tbo_oranIlave,2)=$J721),"TBO-002",IF(AND($D721="Evet",ROUND($C721*tbo_oranBesPuan,2)=$J721),"TBO-001",IF(AND($F721="Evet",ROUND($C721*tbo_oranKadinGenc,2)=$J721),"TBO-004","TBO-ENG")))))</f>
        <v/>
      </c>
      <c r="J721" s="31">
        <f>IF($A721="","",MAX(IF($D721="Evet",ROUND($C721*tbo_oranBesPuan,2),0),IF($E721="Evet",ROUND($C721*tbo_oranIlave,2),0),IF($F721="Evet",ROUND($C721*tbo_oranKadinGenc,2),0),IF($G721="Evet",ROUND($C721*tbo_isverenOran,2),0)))</f>
        <v/>
      </c>
      <c r="K721" s="31">
        <f>IF($A721="","",IF($H721="TBO-001",IF($D721="Evet",ROUND($C721*tbo_oranBesPuan,2),0),IF($H721="TBO-002",IF($E721="Evet",ROUND($C721*tbo_oranIlave,2),0),IF($H721="TBO-004",IF($F721="Evet",ROUND($C721*tbo_oranKadinGenc,2),0),IF($H721="TBO-ENG",IF($G721="Evet",ROUND($C721*tbo_isverenOran,2),0),0)))))</f>
        <v/>
      </c>
      <c r="L721" s="31">
        <f>IF($A721="","",MAX(0,$J721-$K721))</f>
        <v/>
      </c>
    </row>
    <row r="722">
      <c r="I722" s="31">
        <f>IF($A722="","",IF($J722=0,"YOK",IF(AND($E722="Evet",ROUND($C722*tbo_oranIlave,2)=$J722),"TBO-002",IF(AND($D722="Evet",ROUND($C722*tbo_oranBesPuan,2)=$J722),"TBO-001",IF(AND($F722="Evet",ROUND($C722*tbo_oranKadinGenc,2)=$J722),"TBO-004","TBO-ENG")))))</f>
        <v/>
      </c>
      <c r="J722" s="31">
        <f>IF($A722="","",MAX(IF($D722="Evet",ROUND($C722*tbo_oranBesPuan,2),0),IF($E722="Evet",ROUND($C722*tbo_oranIlave,2),0),IF($F722="Evet",ROUND($C722*tbo_oranKadinGenc,2),0),IF($G722="Evet",ROUND($C722*tbo_isverenOran,2),0)))</f>
        <v/>
      </c>
      <c r="K722" s="31">
        <f>IF($A722="","",IF($H722="TBO-001",IF($D722="Evet",ROUND($C722*tbo_oranBesPuan,2),0),IF($H722="TBO-002",IF($E722="Evet",ROUND($C722*tbo_oranIlave,2),0),IF($H722="TBO-004",IF($F722="Evet",ROUND($C722*tbo_oranKadinGenc,2),0),IF($H722="TBO-ENG",IF($G722="Evet",ROUND($C722*tbo_isverenOran,2),0),0)))))</f>
        <v/>
      </c>
      <c r="L722" s="31">
        <f>IF($A722="","",MAX(0,$J722-$K722))</f>
        <v/>
      </c>
    </row>
    <row r="723">
      <c r="I723" s="31">
        <f>IF($A723="","",IF($J723=0,"YOK",IF(AND($E723="Evet",ROUND($C723*tbo_oranIlave,2)=$J723),"TBO-002",IF(AND($D723="Evet",ROUND($C723*tbo_oranBesPuan,2)=$J723),"TBO-001",IF(AND($F723="Evet",ROUND($C723*tbo_oranKadinGenc,2)=$J723),"TBO-004","TBO-ENG")))))</f>
        <v/>
      </c>
      <c r="J723" s="31">
        <f>IF($A723="","",MAX(IF($D723="Evet",ROUND($C723*tbo_oranBesPuan,2),0),IF($E723="Evet",ROUND($C723*tbo_oranIlave,2),0),IF($F723="Evet",ROUND($C723*tbo_oranKadinGenc,2),0),IF($G723="Evet",ROUND($C723*tbo_isverenOran,2),0)))</f>
        <v/>
      </c>
      <c r="K723" s="31">
        <f>IF($A723="","",IF($H723="TBO-001",IF($D723="Evet",ROUND($C723*tbo_oranBesPuan,2),0),IF($H723="TBO-002",IF($E723="Evet",ROUND($C723*tbo_oranIlave,2),0),IF($H723="TBO-004",IF($F723="Evet",ROUND($C723*tbo_oranKadinGenc,2),0),IF($H723="TBO-ENG",IF($G723="Evet",ROUND($C723*tbo_isverenOran,2),0),0)))))</f>
        <v/>
      </c>
      <c r="L723" s="31">
        <f>IF($A723="","",MAX(0,$J723-$K723))</f>
        <v/>
      </c>
    </row>
    <row r="724">
      <c r="I724" s="31">
        <f>IF($A724="","",IF($J724=0,"YOK",IF(AND($E724="Evet",ROUND($C724*tbo_oranIlave,2)=$J724),"TBO-002",IF(AND($D724="Evet",ROUND($C724*tbo_oranBesPuan,2)=$J724),"TBO-001",IF(AND($F724="Evet",ROUND($C724*tbo_oranKadinGenc,2)=$J724),"TBO-004","TBO-ENG")))))</f>
        <v/>
      </c>
      <c r="J724" s="31">
        <f>IF($A724="","",MAX(IF($D724="Evet",ROUND($C724*tbo_oranBesPuan,2),0),IF($E724="Evet",ROUND($C724*tbo_oranIlave,2),0),IF($F724="Evet",ROUND($C724*tbo_oranKadinGenc,2),0),IF($G724="Evet",ROUND($C724*tbo_isverenOran,2),0)))</f>
        <v/>
      </c>
      <c r="K724" s="31">
        <f>IF($A724="","",IF($H724="TBO-001",IF($D724="Evet",ROUND($C724*tbo_oranBesPuan,2),0),IF($H724="TBO-002",IF($E724="Evet",ROUND($C724*tbo_oranIlave,2),0),IF($H724="TBO-004",IF($F724="Evet",ROUND($C724*tbo_oranKadinGenc,2),0),IF($H724="TBO-ENG",IF($G724="Evet",ROUND($C724*tbo_isverenOran,2),0),0)))))</f>
        <v/>
      </c>
      <c r="L724" s="31">
        <f>IF($A724="","",MAX(0,$J724-$K724))</f>
        <v/>
      </c>
    </row>
    <row r="725">
      <c r="I725" s="31">
        <f>IF($A725="","",IF($J725=0,"YOK",IF(AND($E725="Evet",ROUND($C725*tbo_oranIlave,2)=$J725),"TBO-002",IF(AND($D725="Evet",ROUND($C725*tbo_oranBesPuan,2)=$J725),"TBO-001",IF(AND($F725="Evet",ROUND($C725*tbo_oranKadinGenc,2)=$J725),"TBO-004","TBO-ENG")))))</f>
        <v/>
      </c>
      <c r="J725" s="31">
        <f>IF($A725="","",MAX(IF($D725="Evet",ROUND($C725*tbo_oranBesPuan,2),0),IF($E725="Evet",ROUND($C725*tbo_oranIlave,2),0),IF($F725="Evet",ROUND($C725*tbo_oranKadinGenc,2),0),IF($G725="Evet",ROUND($C725*tbo_isverenOran,2),0)))</f>
        <v/>
      </c>
      <c r="K725" s="31">
        <f>IF($A725="","",IF($H725="TBO-001",IF($D725="Evet",ROUND($C725*tbo_oranBesPuan,2),0),IF($H725="TBO-002",IF($E725="Evet",ROUND($C725*tbo_oranIlave,2),0),IF($H725="TBO-004",IF($F725="Evet",ROUND($C725*tbo_oranKadinGenc,2),0),IF($H725="TBO-ENG",IF($G725="Evet",ROUND($C725*tbo_isverenOran,2),0),0)))))</f>
        <v/>
      </c>
      <c r="L725" s="31">
        <f>IF($A725="","",MAX(0,$J725-$K725))</f>
        <v/>
      </c>
    </row>
    <row r="726">
      <c r="I726" s="31">
        <f>IF($A726="","",IF($J726=0,"YOK",IF(AND($E726="Evet",ROUND($C726*tbo_oranIlave,2)=$J726),"TBO-002",IF(AND($D726="Evet",ROUND($C726*tbo_oranBesPuan,2)=$J726),"TBO-001",IF(AND($F726="Evet",ROUND($C726*tbo_oranKadinGenc,2)=$J726),"TBO-004","TBO-ENG")))))</f>
        <v/>
      </c>
      <c r="J726" s="31">
        <f>IF($A726="","",MAX(IF($D726="Evet",ROUND($C726*tbo_oranBesPuan,2),0),IF($E726="Evet",ROUND($C726*tbo_oranIlave,2),0),IF($F726="Evet",ROUND($C726*tbo_oranKadinGenc,2),0),IF($G726="Evet",ROUND($C726*tbo_isverenOran,2),0)))</f>
        <v/>
      </c>
      <c r="K726" s="31">
        <f>IF($A726="","",IF($H726="TBO-001",IF($D726="Evet",ROUND($C726*tbo_oranBesPuan,2),0),IF($H726="TBO-002",IF($E726="Evet",ROUND($C726*tbo_oranIlave,2),0),IF($H726="TBO-004",IF($F726="Evet",ROUND($C726*tbo_oranKadinGenc,2),0),IF($H726="TBO-ENG",IF($G726="Evet",ROUND($C726*tbo_isverenOran,2),0),0)))))</f>
        <v/>
      </c>
      <c r="L726" s="31">
        <f>IF($A726="","",MAX(0,$J726-$K726))</f>
        <v/>
      </c>
    </row>
    <row r="727">
      <c r="I727" s="31">
        <f>IF($A727="","",IF($J727=0,"YOK",IF(AND($E727="Evet",ROUND($C727*tbo_oranIlave,2)=$J727),"TBO-002",IF(AND($D727="Evet",ROUND($C727*tbo_oranBesPuan,2)=$J727),"TBO-001",IF(AND($F727="Evet",ROUND($C727*tbo_oranKadinGenc,2)=$J727),"TBO-004","TBO-ENG")))))</f>
        <v/>
      </c>
      <c r="J727" s="31">
        <f>IF($A727="","",MAX(IF($D727="Evet",ROUND($C727*tbo_oranBesPuan,2),0),IF($E727="Evet",ROUND($C727*tbo_oranIlave,2),0),IF($F727="Evet",ROUND($C727*tbo_oranKadinGenc,2),0),IF($G727="Evet",ROUND($C727*tbo_isverenOran,2),0)))</f>
        <v/>
      </c>
      <c r="K727" s="31">
        <f>IF($A727="","",IF($H727="TBO-001",IF($D727="Evet",ROUND($C727*tbo_oranBesPuan,2),0),IF($H727="TBO-002",IF($E727="Evet",ROUND($C727*tbo_oranIlave,2),0),IF($H727="TBO-004",IF($F727="Evet",ROUND($C727*tbo_oranKadinGenc,2),0),IF($H727="TBO-ENG",IF($G727="Evet",ROUND($C727*tbo_isverenOran,2),0),0)))))</f>
        <v/>
      </c>
      <c r="L727" s="31">
        <f>IF($A727="","",MAX(0,$J727-$K727))</f>
        <v/>
      </c>
    </row>
    <row r="728">
      <c r="I728" s="31">
        <f>IF($A728="","",IF($J728=0,"YOK",IF(AND($E728="Evet",ROUND($C728*tbo_oranIlave,2)=$J728),"TBO-002",IF(AND($D728="Evet",ROUND($C728*tbo_oranBesPuan,2)=$J728),"TBO-001",IF(AND($F728="Evet",ROUND($C728*tbo_oranKadinGenc,2)=$J728),"TBO-004","TBO-ENG")))))</f>
        <v/>
      </c>
      <c r="J728" s="31">
        <f>IF($A728="","",MAX(IF($D728="Evet",ROUND($C728*tbo_oranBesPuan,2),0),IF($E728="Evet",ROUND($C728*tbo_oranIlave,2),0),IF($F728="Evet",ROUND($C728*tbo_oranKadinGenc,2),0),IF($G728="Evet",ROUND($C728*tbo_isverenOran,2),0)))</f>
        <v/>
      </c>
      <c r="K728" s="31">
        <f>IF($A728="","",IF($H728="TBO-001",IF($D728="Evet",ROUND($C728*tbo_oranBesPuan,2),0),IF($H728="TBO-002",IF($E728="Evet",ROUND($C728*tbo_oranIlave,2),0),IF($H728="TBO-004",IF($F728="Evet",ROUND($C728*tbo_oranKadinGenc,2),0),IF($H728="TBO-ENG",IF($G728="Evet",ROUND($C728*tbo_isverenOran,2),0),0)))))</f>
        <v/>
      </c>
      <c r="L728" s="31">
        <f>IF($A728="","",MAX(0,$J728-$K728))</f>
        <v/>
      </c>
    </row>
    <row r="729">
      <c r="I729" s="31">
        <f>IF($A729="","",IF($J729=0,"YOK",IF(AND($E729="Evet",ROUND($C729*tbo_oranIlave,2)=$J729),"TBO-002",IF(AND($D729="Evet",ROUND($C729*tbo_oranBesPuan,2)=$J729),"TBO-001",IF(AND($F729="Evet",ROUND($C729*tbo_oranKadinGenc,2)=$J729),"TBO-004","TBO-ENG")))))</f>
        <v/>
      </c>
      <c r="J729" s="31">
        <f>IF($A729="","",MAX(IF($D729="Evet",ROUND($C729*tbo_oranBesPuan,2),0),IF($E729="Evet",ROUND($C729*tbo_oranIlave,2),0),IF($F729="Evet",ROUND($C729*tbo_oranKadinGenc,2),0),IF($G729="Evet",ROUND($C729*tbo_isverenOran,2),0)))</f>
        <v/>
      </c>
      <c r="K729" s="31">
        <f>IF($A729="","",IF($H729="TBO-001",IF($D729="Evet",ROUND($C729*tbo_oranBesPuan,2),0),IF($H729="TBO-002",IF($E729="Evet",ROUND($C729*tbo_oranIlave,2),0),IF($H729="TBO-004",IF($F729="Evet",ROUND($C729*tbo_oranKadinGenc,2),0),IF($H729="TBO-ENG",IF($G729="Evet",ROUND($C729*tbo_isverenOran,2),0),0)))))</f>
        <v/>
      </c>
      <c r="L729" s="31">
        <f>IF($A729="","",MAX(0,$J729-$K729))</f>
        <v/>
      </c>
    </row>
    <row r="730">
      <c r="I730" s="31">
        <f>IF($A730="","",IF($J730=0,"YOK",IF(AND($E730="Evet",ROUND($C730*tbo_oranIlave,2)=$J730),"TBO-002",IF(AND($D730="Evet",ROUND($C730*tbo_oranBesPuan,2)=$J730),"TBO-001",IF(AND($F730="Evet",ROUND($C730*tbo_oranKadinGenc,2)=$J730),"TBO-004","TBO-ENG")))))</f>
        <v/>
      </c>
      <c r="J730" s="31">
        <f>IF($A730="","",MAX(IF($D730="Evet",ROUND($C730*tbo_oranBesPuan,2),0),IF($E730="Evet",ROUND($C730*tbo_oranIlave,2),0),IF($F730="Evet",ROUND($C730*tbo_oranKadinGenc,2),0),IF($G730="Evet",ROUND($C730*tbo_isverenOran,2),0)))</f>
        <v/>
      </c>
      <c r="K730" s="31">
        <f>IF($A730="","",IF($H730="TBO-001",IF($D730="Evet",ROUND($C730*tbo_oranBesPuan,2),0),IF($H730="TBO-002",IF($E730="Evet",ROUND($C730*tbo_oranIlave,2),0),IF($H730="TBO-004",IF($F730="Evet",ROUND($C730*tbo_oranKadinGenc,2),0),IF($H730="TBO-ENG",IF($G730="Evet",ROUND($C730*tbo_isverenOran,2),0),0)))))</f>
        <v/>
      </c>
      <c r="L730" s="31">
        <f>IF($A730="","",MAX(0,$J730-$K730))</f>
        <v/>
      </c>
    </row>
    <row r="731">
      <c r="I731" s="31">
        <f>IF($A731="","",IF($J731=0,"YOK",IF(AND($E731="Evet",ROUND($C731*tbo_oranIlave,2)=$J731),"TBO-002",IF(AND($D731="Evet",ROUND($C731*tbo_oranBesPuan,2)=$J731),"TBO-001",IF(AND($F731="Evet",ROUND($C731*tbo_oranKadinGenc,2)=$J731),"TBO-004","TBO-ENG")))))</f>
        <v/>
      </c>
      <c r="J731" s="31">
        <f>IF($A731="","",MAX(IF($D731="Evet",ROUND($C731*tbo_oranBesPuan,2),0),IF($E731="Evet",ROUND($C731*tbo_oranIlave,2),0),IF($F731="Evet",ROUND($C731*tbo_oranKadinGenc,2),0),IF($G731="Evet",ROUND($C731*tbo_isverenOran,2),0)))</f>
        <v/>
      </c>
      <c r="K731" s="31">
        <f>IF($A731="","",IF($H731="TBO-001",IF($D731="Evet",ROUND($C731*tbo_oranBesPuan,2),0),IF($H731="TBO-002",IF($E731="Evet",ROUND($C731*tbo_oranIlave,2),0),IF($H731="TBO-004",IF($F731="Evet",ROUND($C731*tbo_oranKadinGenc,2),0),IF($H731="TBO-ENG",IF($G731="Evet",ROUND($C731*tbo_isverenOran,2),0),0)))))</f>
        <v/>
      </c>
      <c r="L731" s="31">
        <f>IF($A731="","",MAX(0,$J731-$K731))</f>
        <v/>
      </c>
    </row>
    <row r="732">
      <c r="I732" s="31">
        <f>IF($A732="","",IF($J732=0,"YOK",IF(AND($E732="Evet",ROUND($C732*tbo_oranIlave,2)=$J732),"TBO-002",IF(AND($D732="Evet",ROUND($C732*tbo_oranBesPuan,2)=$J732),"TBO-001",IF(AND($F732="Evet",ROUND($C732*tbo_oranKadinGenc,2)=$J732),"TBO-004","TBO-ENG")))))</f>
        <v/>
      </c>
      <c r="J732" s="31">
        <f>IF($A732="","",MAX(IF($D732="Evet",ROUND($C732*tbo_oranBesPuan,2),0),IF($E732="Evet",ROUND($C732*tbo_oranIlave,2),0),IF($F732="Evet",ROUND($C732*tbo_oranKadinGenc,2),0),IF($G732="Evet",ROUND($C732*tbo_isverenOran,2),0)))</f>
        <v/>
      </c>
      <c r="K732" s="31">
        <f>IF($A732="","",IF($H732="TBO-001",IF($D732="Evet",ROUND($C732*tbo_oranBesPuan,2),0),IF($H732="TBO-002",IF($E732="Evet",ROUND($C732*tbo_oranIlave,2),0),IF($H732="TBO-004",IF($F732="Evet",ROUND($C732*tbo_oranKadinGenc,2),0),IF($H732="TBO-ENG",IF($G732="Evet",ROUND($C732*tbo_isverenOran,2),0),0)))))</f>
        <v/>
      </c>
      <c r="L732" s="31">
        <f>IF($A732="","",MAX(0,$J732-$K732))</f>
        <v/>
      </c>
    </row>
    <row r="733">
      <c r="I733" s="31">
        <f>IF($A733="","",IF($J733=0,"YOK",IF(AND($E733="Evet",ROUND($C733*tbo_oranIlave,2)=$J733),"TBO-002",IF(AND($D733="Evet",ROUND($C733*tbo_oranBesPuan,2)=$J733),"TBO-001",IF(AND($F733="Evet",ROUND($C733*tbo_oranKadinGenc,2)=$J733),"TBO-004","TBO-ENG")))))</f>
        <v/>
      </c>
      <c r="J733" s="31">
        <f>IF($A733="","",MAX(IF($D733="Evet",ROUND($C733*tbo_oranBesPuan,2),0),IF($E733="Evet",ROUND($C733*tbo_oranIlave,2),0),IF($F733="Evet",ROUND($C733*tbo_oranKadinGenc,2),0),IF($G733="Evet",ROUND($C733*tbo_isverenOran,2),0)))</f>
        <v/>
      </c>
      <c r="K733" s="31">
        <f>IF($A733="","",IF($H733="TBO-001",IF($D733="Evet",ROUND($C733*tbo_oranBesPuan,2),0),IF($H733="TBO-002",IF($E733="Evet",ROUND($C733*tbo_oranIlave,2),0),IF($H733="TBO-004",IF($F733="Evet",ROUND($C733*tbo_oranKadinGenc,2),0),IF($H733="TBO-ENG",IF($G733="Evet",ROUND($C733*tbo_isverenOran,2),0),0)))))</f>
        <v/>
      </c>
      <c r="L733" s="31">
        <f>IF($A733="","",MAX(0,$J733-$K733))</f>
        <v/>
      </c>
    </row>
    <row r="734">
      <c r="I734" s="31">
        <f>IF($A734="","",IF($J734=0,"YOK",IF(AND($E734="Evet",ROUND($C734*tbo_oranIlave,2)=$J734),"TBO-002",IF(AND($D734="Evet",ROUND($C734*tbo_oranBesPuan,2)=$J734),"TBO-001",IF(AND($F734="Evet",ROUND($C734*tbo_oranKadinGenc,2)=$J734),"TBO-004","TBO-ENG")))))</f>
        <v/>
      </c>
      <c r="J734" s="31">
        <f>IF($A734="","",MAX(IF($D734="Evet",ROUND($C734*tbo_oranBesPuan,2),0),IF($E734="Evet",ROUND($C734*tbo_oranIlave,2),0),IF($F734="Evet",ROUND($C734*tbo_oranKadinGenc,2),0),IF($G734="Evet",ROUND($C734*tbo_isverenOran,2),0)))</f>
        <v/>
      </c>
      <c r="K734" s="31">
        <f>IF($A734="","",IF($H734="TBO-001",IF($D734="Evet",ROUND($C734*tbo_oranBesPuan,2),0),IF($H734="TBO-002",IF($E734="Evet",ROUND($C734*tbo_oranIlave,2),0),IF($H734="TBO-004",IF($F734="Evet",ROUND($C734*tbo_oranKadinGenc,2),0),IF($H734="TBO-ENG",IF($G734="Evet",ROUND($C734*tbo_isverenOran,2),0),0)))))</f>
        <v/>
      </c>
      <c r="L734" s="31">
        <f>IF($A734="","",MAX(0,$J734-$K734))</f>
        <v/>
      </c>
    </row>
    <row r="735">
      <c r="I735" s="31">
        <f>IF($A735="","",IF($J735=0,"YOK",IF(AND($E735="Evet",ROUND($C735*tbo_oranIlave,2)=$J735),"TBO-002",IF(AND($D735="Evet",ROUND($C735*tbo_oranBesPuan,2)=$J735),"TBO-001",IF(AND($F735="Evet",ROUND($C735*tbo_oranKadinGenc,2)=$J735),"TBO-004","TBO-ENG")))))</f>
        <v/>
      </c>
      <c r="J735" s="31">
        <f>IF($A735="","",MAX(IF($D735="Evet",ROUND($C735*tbo_oranBesPuan,2),0),IF($E735="Evet",ROUND($C735*tbo_oranIlave,2),0),IF($F735="Evet",ROUND($C735*tbo_oranKadinGenc,2),0),IF($G735="Evet",ROUND($C735*tbo_isverenOran,2),0)))</f>
        <v/>
      </c>
      <c r="K735" s="31">
        <f>IF($A735="","",IF($H735="TBO-001",IF($D735="Evet",ROUND($C735*tbo_oranBesPuan,2),0),IF($H735="TBO-002",IF($E735="Evet",ROUND($C735*tbo_oranIlave,2),0),IF($H735="TBO-004",IF($F735="Evet",ROUND($C735*tbo_oranKadinGenc,2),0),IF($H735="TBO-ENG",IF($G735="Evet",ROUND($C735*tbo_isverenOran,2),0),0)))))</f>
        <v/>
      </c>
      <c r="L735" s="31">
        <f>IF($A735="","",MAX(0,$J735-$K735))</f>
        <v/>
      </c>
    </row>
    <row r="736">
      <c r="I736" s="31">
        <f>IF($A736="","",IF($J736=0,"YOK",IF(AND($E736="Evet",ROUND($C736*tbo_oranIlave,2)=$J736),"TBO-002",IF(AND($D736="Evet",ROUND($C736*tbo_oranBesPuan,2)=$J736),"TBO-001",IF(AND($F736="Evet",ROUND($C736*tbo_oranKadinGenc,2)=$J736),"TBO-004","TBO-ENG")))))</f>
        <v/>
      </c>
      <c r="J736" s="31">
        <f>IF($A736="","",MAX(IF($D736="Evet",ROUND($C736*tbo_oranBesPuan,2),0),IF($E736="Evet",ROUND($C736*tbo_oranIlave,2),0),IF($F736="Evet",ROUND($C736*tbo_oranKadinGenc,2),0),IF($G736="Evet",ROUND($C736*tbo_isverenOran,2),0)))</f>
        <v/>
      </c>
      <c r="K736" s="31">
        <f>IF($A736="","",IF($H736="TBO-001",IF($D736="Evet",ROUND($C736*tbo_oranBesPuan,2),0),IF($H736="TBO-002",IF($E736="Evet",ROUND($C736*tbo_oranIlave,2),0),IF($H736="TBO-004",IF($F736="Evet",ROUND($C736*tbo_oranKadinGenc,2),0),IF($H736="TBO-ENG",IF($G736="Evet",ROUND($C736*tbo_isverenOran,2),0),0)))))</f>
        <v/>
      </c>
      <c r="L736" s="31">
        <f>IF($A736="","",MAX(0,$J736-$K736))</f>
        <v/>
      </c>
    </row>
    <row r="737">
      <c r="I737" s="31">
        <f>IF($A737="","",IF($J737=0,"YOK",IF(AND($E737="Evet",ROUND($C737*tbo_oranIlave,2)=$J737),"TBO-002",IF(AND($D737="Evet",ROUND($C737*tbo_oranBesPuan,2)=$J737),"TBO-001",IF(AND($F737="Evet",ROUND($C737*tbo_oranKadinGenc,2)=$J737),"TBO-004","TBO-ENG")))))</f>
        <v/>
      </c>
      <c r="J737" s="31">
        <f>IF($A737="","",MAX(IF($D737="Evet",ROUND($C737*tbo_oranBesPuan,2),0),IF($E737="Evet",ROUND($C737*tbo_oranIlave,2),0),IF($F737="Evet",ROUND($C737*tbo_oranKadinGenc,2),0),IF($G737="Evet",ROUND($C737*tbo_isverenOran,2),0)))</f>
        <v/>
      </c>
      <c r="K737" s="31">
        <f>IF($A737="","",IF($H737="TBO-001",IF($D737="Evet",ROUND($C737*tbo_oranBesPuan,2),0),IF($H737="TBO-002",IF($E737="Evet",ROUND($C737*tbo_oranIlave,2),0),IF($H737="TBO-004",IF($F737="Evet",ROUND($C737*tbo_oranKadinGenc,2),0),IF($H737="TBO-ENG",IF($G737="Evet",ROUND($C737*tbo_isverenOran,2),0),0)))))</f>
        <v/>
      </c>
      <c r="L737" s="31">
        <f>IF($A737="","",MAX(0,$J737-$K737))</f>
        <v/>
      </c>
    </row>
    <row r="738">
      <c r="I738" s="31">
        <f>IF($A738="","",IF($J738=0,"YOK",IF(AND($E738="Evet",ROUND($C738*tbo_oranIlave,2)=$J738),"TBO-002",IF(AND($D738="Evet",ROUND($C738*tbo_oranBesPuan,2)=$J738),"TBO-001",IF(AND($F738="Evet",ROUND($C738*tbo_oranKadinGenc,2)=$J738),"TBO-004","TBO-ENG")))))</f>
        <v/>
      </c>
      <c r="J738" s="31">
        <f>IF($A738="","",MAX(IF($D738="Evet",ROUND($C738*tbo_oranBesPuan,2),0),IF($E738="Evet",ROUND($C738*tbo_oranIlave,2),0),IF($F738="Evet",ROUND($C738*tbo_oranKadinGenc,2),0),IF($G738="Evet",ROUND($C738*tbo_isverenOran,2),0)))</f>
        <v/>
      </c>
      <c r="K738" s="31">
        <f>IF($A738="","",IF($H738="TBO-001",IF($D738="Evet",ROUND($C738*tbo_oranBesPuan,2),0),IF($H738="TBO-002",IF($E738="Evet",ROUND($C738*tbo_oranIlave,2),0),IF($H738="TBO-004",IF($F738="Evet",ROUND($C738*tbo_oranKadinGenc,2),0),IF($H738="TBO-ENG",IF($G738="Evet",ROUND($C738*tbo_isverenOran,2),0),0)))))</f>
        <v/>
      </c>
      <c r="L738" s="31">
        <f>IF($A738="","",MAX(0,$J738-$K738))</f>
        <v/>
      </c>
    </row>
    <row r="739">
      <c r="I739" s="31">
        <f>IF($A739="","",IF($J739=0,"YOK",IF(AND($E739="Evet",ROUND($C739*tbo_oranIlave,2)=$J739),"TBO-002",IF(AND($D739="Evet",ROUND($C739*tbo_oranBesPuan,2)=$J739),"TBO-001",IF(AND($F739="Evet",ROUND($C739*tbo_oranKadinGenc,2)=$J739),"TBO-004","TBO-ENG")))))</f>
        <v/>
      </c>
      <c r="J739" s="31">
        <f>IF($A739="","",MAX(IF($D739="Evet",ROUND($C739*tbo_oranBesPuan,2),0),IF($E739="Evet",ROUND($C739*tbo_oranIlave,2),0),IF($F739="Evet",ROUND($C739*tbo_oranKadinGenc,2),0),IF($G739="Evet",ROUND($C739*tbo_isverenOran,2),0)))</f>
        <v/>
      </c>
      <c r="K739" s="31">
        <f>IF($A739="","",IF($H739="TBO-001",IF($D739="Evet",ROUND($C739*tbo_oranBesPuan,2),0),IF($H739="TBO-002",IF($E739="Evet",ROUND($C739*tbo_oranIlave,2),0),IF($H739="TBO-004",IF($F739="Evet",ROUND($C739*tbo_oranKadinGenc,2),0),IF($H739="TBO-ENG",IF($G739="Evet",ROUND($C739*tbo_isverenOran,2),0),0)))))</f>
        <v/>
      </c>
      <c r="L739" s="31">
        <f>IF($A739="","",MAX(0,$J739-$K739))</f>
        <v/>
      </c>
    </row>
    <row r="740">
      <c r="I740" s="31">
        <f>IF($A740="","",IF($J740=0,"YOK",IF(AND($E740="Evet",ROUND($C740*tbo_oranIlave,2)=$J740),"TBO-002",IF(AND($D740="Evet",ROUND($C740*tbo_oranBesPuan,2)=$J740),"TBO-001",IF(AND($F740="Evet",ROUND($C740*tbo_oranKadinGenc,2)=$J740),"TBO-004","TBO-ENG")))))</f>
        <v/>
      </c>
      <c r="J740" s="31">
        <f>IF($A740="","",MAX(IF($D740="Evet",ROUND($C740*tbo_oranBesPuan,2),0),IF($E740="Evet",ROUND($C740*tbo_oranIlave,2),0),IF($F740="Evet",ROUND($C740*tbo_oranKadinGenc,2),0),IF($G740="Evet",ROUND($C740*tbo_isverenOran,2),0)))</f>
        <v/>
      </c>
      <c r="K740" s="31">
        <f>IF($A740="","",IF($H740="TBO-001",IF($D740="Evet",ROUND($C740*tbo_oranBesPuan,2),0),IF($H740="TBO-002",IF($E740="Evet",ROUND($C740*tbo_oranIlave,2),0),IF($H740="TBO-004",IF($F740="Evet",ROUND($C740*tbo_oranKadinGenc,2),0),IF($H740="TBO-ENG",IF($G740="Evet",ROUND($C740*tbo_isverenOran,2),0),0)))))</f>
        <v/>
      </c>
      <c r="L740" s="31">
        <f>IF($A740="","",MAX(0,$J740-$K740))</f>
        <v/>
      </c>
    </row>
    <row r="741">
      <c r="I741" s="31">
        <f>IF($A741="","",IF($J741=0,"YOK",IF(AND($E741="Evet",ROUND($C741*tbo_oranIlave,2)=$J741),"TBO-002",IF(AND($D741="Evet",ROUND($C741*tbo_oranBesPuan,2)=$J741),"TBO-001",IF(AND($F741="Evet",ROUND($C741*tbo_oranKadinGenc,2)=$J741),"TBO-004","TBO-ENG")))))</f>
        <v/>
      </c>
      <c r="J741" s="31">
        <f>IF($A741="","",MAX(IF($D741="Evet",ROUND($C741*tbo_oranBesPuan,2),0),IF($E741="Evet",ROUND($C741*tbo_oranIlave,2),0),IF($F741="Evet",ROUND($C741*tbo_oranKadinGenc,2),0),IF($G741="Evet",ROUND($C741*tbo_isverenOran,2),0)))</f>
        <v/>
      </c>
      <c r="K741" s="31">
        <f>IF($A741="","",IF($H741="TBO-001",IF($D741="Evet",ROUND($C741*tbo_oranBesPuan,2),0),IF($H741="TBO-002",IF($E741="Evet",ROUND($C741*tbo_oranIlave,2),0),IF($H741="TBO-004",IF($F741="Evet",ROUND($C741*tbo_oranKadinGenc,2),0),IF($H741="TBO-ENG",IF($G741="Evet",ROUND($C741*tbo_isverenOran,2),0),0)))))</f>
        <v/>
      </c>
      <c r="L741" s="31">
        <f>IF($A741="","",MAX(0,$J741-$K741))</f>
        <v/>
      </c>
    </row>
    <row r="742">
      <c r="I742" s="31">
        <f>IF($A742="","",IF($J742=0,"YOK",IF(AND($E742="Evet",ROUND($C742*tbo_oranIlave,2)=$J742),"TBO-002",IF(AND($D742="Evet",ROUND($C742*tbo_oranBesPuan,2)=$J742),"TBO-001",IF(AND($F742="Evet",ROUND($C742*tbo_oranKadinGenc,2)=$J742),"TBO-004","TBO-ENG")))))</f>
        <v/>
      </c>
      <c r="J742" s="31">
        <f>IF($A742="","",MAX(IF($D742="Evet",ROUND($C742*tbo_oranBesPuan,2),0),IF($E742="Evet",ROUND($C742*tbo_oranIlave,2),0),IF($F742="Evet",ROUND($C742*tbo_oranKadinGenc,2),0),IF($G742="Evet",ROUND($C742*tbo_isverenOran,2),0)))</f>
        <v/>
      </c>
      <c r="K742" s="31">
        <f>IF($A742="","",IF($H742="TBO-001",IF($D742="Evet",ROUND($C742*tbo_oranBesPuan,2),0),IF($H742="TBO-002",IF($E742="Evet",ROUND($C742*tbo_oranIlave,2),0),IF($H742="TBO-004",IF($F742="Evet",ROUND($C742*tbo_oranKadinGenc,2),0),IF($H742="TBO-ENG",IF($G742="Evet",ROUND($C742*tbo_isverenOran,2),0),0)))))</f>
        <v/>
      </c>
      <c r="L742" s="31">
        <f>IF($A742="","",MAX(0,$J742-$K742))</f>
        <v/>
      </c>
    </row>
    <row r="743">
      <c r="I743" s="31">
        <f>IF($A743="","",IF($J743=0,"YOK",IF(AND($E743="Evet",ROUND($C743*tbo_oranIlave,2)=$J743),"TBO-002",IF(AND($D743="Evet",ROUND($C743*tbo_oranBesPuan,2)=$J743),"TBO-001",IF(AND($F743="Evet",ROUND($C743*tbo_oranKadinGenc,2)=$J743),"TBO-004","TBO-ENG")))))</f>
        <v/>
      </c>
      <c r="J743" s="31">
        <f>IF($A743="","",MAX(IF($D743="Evet",ROUND($C743*tbo_oranBesPuan,2),0),IF($E743="Evet",ROUND($C743*tbo_oranIlave,2),0),IF($F743="Evet",ROUND($C743*tbo_oranKadinGenc,2),0),IF($G743="Evet",ROUND($C743*tbo_isverenOran,2),0)))</f>
        <v/>
      </c>
      <c r="K743" s="31">
        <f>IF($A743="","",IF($H743="TBO-001",IF($D743="Evet",ROUND($C743*tbo_oranBesPuan,2),0),IF($H743="TBO-002",IF($E743="Evet",ROUND($C743*tbo_oranIlave,2),0),IF($H743="TBO-004",IF($F743="Evet",ROUND($C743*tbo_oranKadinGenc,2),0),IF($H743="TBO-ENG",IF($G743="Evet",ROUND($C743*tbo_isverenOran,2),0),0)))))</f>
        <v/>
      </c>
      <c r="L743" s="31">
        <f>IF($A743="","",MAX(0,$J743-$K743))</f>
        <v/>
      </c>
    </row>
    <row r="744">
      <c r="I744" s="31">
        <f>IF($A744="","",IF($J744=0,"YOK",IF(AND($E744="Evet",ROUND($C744*tbo_oranIlave,2)=$J744),"TBO-002",IF(AND($D744="Evet",ROUND($C744*tbo_oranBesPuan,2)=$J744),"TBO-001",IF(AND($F744="Evet",ROUND($C744*tbo_oranKadinGenc,2)=$J744),"TBO-004","TBO-ENG")))))</f>
        <v/>
      </c>
      <c r="J744" s="31">
        <f>IF($A744="","",MAX(IF($D744="Evet",ROUND($C744*tbo_oranBesPuan,2),0),IF($E744="Evet",ROUND($C744*tbo_oranIlave,2),0),IF($F744="Evet",ROUND($C744*tbo_oranKadinGenc,2),0),IF($G744="Evet",ROUND($C744*tbo_isverenOran,2),0)))</f>
        <v/>
      </c>
      <c r="K744" s="31">
        <f>IF($A744="","",IF($H744="TBO-001",IF($D744="Evet",ROUND($C744*tbo_oranBesPuan,2),0),IF($H744="TBO-002",IF($E744="Evet",ROUND($C744*tbo_oranIlave,2),0),IF($H744="TBO-004",IF($F744="Evet",ROUND($C744*tbo_oranKadinGenc,2),0),IF($H744="TBO-ENG",IF($G744="Evet",ROUND($C744*tbo_isverenOran,2),0),0)))))</f>
        <v/>
      </c>
      <c r="L744" s="31">
        <f>IF($A744="","",MAX(0,$J744-$K744))</f>
        <v/>
      </c>
    </row>
    <row r="745">
      <c r="I745" s="31">
        <f>IF($A745="","",IF($J745=0,"YOK",IF(AND($E745="Evet",ROUND($C745*tbo_oranIlave,2)=$J745),"TBO-002",IF(AND($D745="Evet",ROUND($C745*tbo_oranBesPuan,2)=$J745),"TBO-001",IF(AND($F745="Evet",ROUND($C745*tbo_oranKadinGenc,2)=$J745),"TBO-004","TBO-ENG")))))</f>
        <v/>
      </c>
      <c r="J745" s="31">
        <f>IF($A745="","",MAX(IF($D745="Evet",ROUND($C745*tbo_oranBesPuan,2),0),IF($E745="Evet",ROUND($C745*tbo_oranIlave,2),0),IF($F745="Evet",ROUND($C745*tbo_oranKadinGenc,2),0),IF($G745="Evet",ROUND($C745*tbo_isverenOran,2),0)))</f>
        <v/>
      </c>
      <c r="K745" s="31">
        <f>IF($A745="","",IF($H745="TBO-001",IF($D745="Evet",ROUND($C745*tbo_oranBesPuan,2),0),IF($H745="TBO-002",IF($E745="Evet",ROUND($C745*tbo_oranIlave,2),0),IF($H745="TBO-004",IF($F745="Evet",ROUND($C745*tbo_oranKadinGenc,2),0),IF($H745="TBO-ENG",IF($G745="Evet",ROUND($C745*tbo_isverenOran,2),0),0)))))</f>
        <v/>
      </c>
      <c r="L745" s="31">
        <f>IF($A745="","",MAX(0,$J745-$K745))</f>
        <v/>
      </c>
    </row>
    <row r="746">
      <c r="I746" s="31">
        <f>IF($A746="","",IF($J746=0,"YOK",IF(AND($E746="Evet",ROUND($C746*tbo_oranIlave,2)=$J746),"TBO-002",IF(AND($D746="Evet",ROUND($C746*tbo_oranBesPuan,2)=$J746),"TBO-001",IF(AND($F746="Evet",ROUND($C746*tbo_oranKadinGenc,2)=$J746),"TBO-004","TBO-ENG")))))</f>
        <v/>
      </c>
      <c r="J746" s="31">
        <f>IF($A746="","",MAX(IF($D746="Evet",ROUND($C746*tbo_oranBesPuan,2),0),IF($E746="Evet",ROUND($C746*tbo_oranIlave,2),0),IF($F746="Evet",ROUND($C746*tbo_oranKadinGenc,2),0),IF($G746="Evet",ROUND($C746*tbo_isverenOran,2),0)))</f>
        <v/>
      </c>
      <c r="K746" s="31">
        <f>IF($A746="","",IF($H746="TBO-001",IF($D746="Evet",ROUND($C746*tbo_oranBesPuan,2),0),IF($H746="TBO-002",IF($E746="Evet",ROUND($C746*tbo_oranIlave,2),0),IF($H746="TBO-004",IF($F746="Evet",ROUND($C746*tbo_oranKadinGenc,2),0),IF($H746="TBO-ENG",IF($G746="Evet",ROUND($C746*tbo_isverenOran,2),0),0)))))</f>
        <v/>
      </c>
      <c r="L746" s="31">
        <f>IF($A746="","",MAX(0,$J746-$K746))</f>
        <v/>
      </c>
    </row>
    <row r="747">
      <c r="I747" s="31">
        <f>IF($A747="","",IF($J747=0,"YOK",IF(AND($E747="Evet",ROUND($C747*tbo_oranIlave,2)=$J747),"TBO-002",IF(AND($D747="Evet",ROUND($C747*tbo_oranBesPuan,2)=$J747),"TBO-001",IF(AND($F747="Evet",ROUND($C747*tbo_oranKadinGenc,2)=$J747),"TBO-004","TBO-ENG")))))</f>
        <v/>
      </c>
      <c r="J747" s="31">
        <f>IF($A747="","",MAX(IF($D747="Evet",ROUND($C747*tbo_oranBesPuan,2),0),IF($E747="Evet",ROUND($C747*tbo_oranIlave,2),0),IF($F747="Evet",ROUND($C747*tbo_oranKadinGenc,2),0),IF($G747="Evet",ROUND($C747*tbo_isverenOran,2),0)))</f>
        <v/>
      </c>
      <c r="K747" s="31">
        <f>IF($A747="","",IF($H747="TBO-001",IF($D747="Evet",ROUND($C747*tbo_oranBesPuan,2),0),IF($H747="TBO-002",IF($E747="Evet",ROUND($C747*tbo_oranIlave,2),0),IF($H747="TBO-004",IF($F747="Evet",ROUND($C747*tbo_oranKadinGenc,2),0),IF($H747="TBO-ENG",IF($G747="Evet",ROUND($C747*tbo_isverenOran,2),0),0)))))</f>
        <v/>
      </c>
      <c r="L747" s="31">
        <f>IF($A747="","",MAX(0,$J747-$K747))</f>
        <v/>
      </c>
    </row>
    <row r="748">
      <c r="I748" s="31">
        <f>IF($A748="","",IF($J748=0,"YOK",IF(AND($E748="Evet",ROUND($C748*tbo_oranIlave,2)=$J748),"TBO-002",IF(AND($D748="Evet",ROUND($C748*tbo_oranBesPuan,2)=$J748),"TBO-001",IF(AND($F748="Evet",ROUND($C748*tbo_oranKadinGenc,2)=$J748),"TBO-004","TBO-ENG")))))</f>
        <v/>
      </c>
      <c r="J748" s="31">
        <f>IF($A748="","",MAX(IF($D748="Evet",ROUND($C748*tbo_oranBesPuan,2),0),IF($E748="Evet",ROUND($C748*tbo_oranIlave,2),0),IF($F748="Evet",ROUND($C748*tbo_oranKadinGenc,2),0),IF($G748="Evet",ROUND($C748*tbo_isverenOran,2),0)))</f>
        <v/>
      </c>
      <c r="K748" s="31">
        <f>IF($A748="","",IF($H748="TBO-001",IF($D748="Evet",ROUND($C748*tbo_oranBesPuan,2),0),IF($H748="TBO-002",IF($E748="Evet",ROUND($C748*tbo_oranIlave,2),0),IF($H748="TBO-004",IF($F748="Evet",ROUND($C748*tbo_oranKadinGenc,2),0),IF($H748="TBO-ENG",IF($G748="Evet",ROUND($C748*tbo_isverenOran,2),0),0)))))</f>
        <v/>
      </c>
      <c r="L748" s="31">
        <f>IF($A748="","",MAX(0,$J748-$K748))</f>
        <v/>
      </c>
    </row>
    <row r="749">
      <c r="I749" s="31">
        <f>IF($A749="","",IF($J749=0,"YOK",IF(AND($E749="Evet",ROUND($C749*tbo_oranIlave,2)=$J749),"TBO-002",IF(AND($D749="Evet",ROUND($C749*tbo_oranBesPuan,2)=$J749),"TBO-001",IF(AND($F749="Evet",ROUND($C749*tbo_oranKadinGenc,2)=$J749),"TBO-004","TBO-ENG")))))</f>
        <v/>
      </c>
      <c r="J749" s="31">
        <f>IF($A749="","",MAX(IF($D749="Evet",ROUND($C749*tbo_oranBesPuan,2),0),IF($E749="Evet",ROUND($C749*tbo_oranIlave,2),0),IF($F749="Evet",ROUND($C749*tbo_oranKadinGenc,2),0),IF($G749="Evet",ROUND($C749*tbo_isverenOran,2),0)))</f>
        <v/>
      </c>
      <c r="K749" s="31">
        <f>IF($A749="","",IF($H749="TBO-001",IF($D749="Evet",ROUND($C749*tbo_oranBesPuan,2),0),IF($H749="TBO-002",IF($E749="Evet",ROUND($C749*tbo_oranIlave,2),0),IF($H749="TBO-004",IF($F749="Evet",ROUND($C749*tbo_oranKadinGenc,2),0),IF($H749="TBO-ENG",IF($G749="Evet",ROUND($C749*tbo_isverenOran,2),0),0)))))</f>
        <v/>
      </c>
      <c r="L749" s="31">
        <f>IF($A749="","",MAX(0,$J749-$K749))</f>
        <v/>
      </c>
    </row>
    <row r="750">
      <c r="I750" s="31">
        <f>IF($A750="","",IF($J750=0,"YOK",IF(AND($E750="Evet",ROUND($C750*tbo_oranIlave,2)=$J750),"TBO-002",IF(AND($D750="Evet",ROUND($C750*tbo_oranBesPuan,2)=$J750),"TBO-001",IF(AND($F750="Evet",ROUND($C750*tbo_oranKadinGenc,2)=$J750),"TBO-004","TBO-ENG")))))</f>
        <v/>
      </c>
      <c r="J750" s="31">
        <f>IF($A750="","",MAX(IF($D750="Evet",ROUND($C750*tbo_oranBesPuan,2),0),IF($E750="Evet",ROUND($C750*tbo_oranIlave,2),0),IF($F750="Evet",ROUND($C750*tbo_oranKadinGenc,2),0),IF($G750="Evet",ROUND($C750*tbo_isverenOran,2),0)))</f>
        <v/>
      </c>
      <c r="K750" s="31">
        <f>IF($A750="","",IF($H750="TBO-001",IF($D750="Evet",ROUND($C750*tbo_oranBesPuan,2),0),IF($H750="TBO-002",IF($E750="Evet",ROUND($C750*tbo_oranIlave,2),0),IF($H750="TBO-004",IF($F750="Evet",ROUND($C750*tbo_oranKadinGenc,2),0),IF($H750="TBO-ENG",IF($G750="Evet",ROUND($C750*tbo_isverenOran,2),0),0)))))</f>
        <v/>
      </c>
      <c r="L750" s="31">
        <f>IF($A750="","",MAX(0,$J750-$K750))</f>
        <v/>
      </c>
    </row>
    <row r="751">
      <c r="I751" s="31">
        <f>IF($A751="","",IF($J751=0,"YOK",IF(AND($E751="Evet",ROUND($C751*tbo_oranIlave,2)=$J751),"TBO-002",IF(AND($D751="Evet",ROUND($C751*tbo_oranBesPuan,2)=$J751),"TBO-001",IF(AND($F751="Evet",ROUND($C751*tbo_oranKadinGenc,2)=$J751),"TBO-004","TBO-ENG")))))</f>
        <v/>
      </c>
      <c r="J751" s="31">
        <f>IF($A751="","",MAX(IF($D751="Evet",ROUND($C751*tbo_oranBesPuan,2),0),IF($E751="Evet",ROUND($C751*tbo_oranIlave,2),0),IF($F751="Evet",ROUND($C751*tbo_oranKadinGenc,2),0),IF($G751="Evet",ROUND($C751*tbo_isverenOran,2),0)))</f>
        <v/>
      </c>
      <c r="K751" s="31">
        <f>IF($A751="","",IF($H751="TBO-001",IF($D751="Evet",ROUND($C751*tbo_oranBesPuan,2),0),IF($H751="TBO-002",IF($E751="Evet",ROUND($C751*tbo_oranIlave,2),0),IF($H751="TBO-004",IF($F751="Evet",ROUND($C751*tbo_oranKadinGenc,2),0),IF($H751="TBO-ENG",IF($G751="Evet",ROUND($C751*tbo_isverenOran,2),0),0)))))</f>
        <v/>
      </c>
      <c r="L751" s="31">
        <f>IF($A751="","",MAX(0,$J751-$K751))</f>
        <v/>
      </c>
    </row>
    <row r="752">
      <c r="I752" s="31">
        <f>IF($A752="","",IF($J752=0,"YOK",IF(AND($E752="Evet",ROUND($C752*tbo_oranIlave,2)=$J752),"TBO-002",IF(AND($D752="Evet",ROUND($C752*tbo_oranBesPuan,2)=$J752),"TBO-001",IF(AND($F752="Evet",ROUND($C752*tbo_oranKadinGenc,2)=$J752),"TBO-004","TBO-ENG")))))</f>
        <v/>
      </c>
      <c r="J752" s="31">
        <f>IF($A752="","",MAX(IF($D752="Evet",ROUND($C752*tbo_oranBesPuan,2),0),IF($E752="Evet",ROUND($C752*tbo_oranIlave,2),0),IF($F752="Evet",ROUND($C752*tbo_oranKadinGenc,2),0),IF($G752="Evet",ROUND($C752*tbo_isverenOran,2),0)))</f>
        <v/>
      </c>
      <c r="K752" s="31">
        <f>IF($A752="","",IF($H752="TBO-001",IF($D752="Evet",ROUND($C752*tbo_oranBesPuan,2),0),IF($H752="TBO-002",IF($E752="Evet",ROUND($C752*tbo_oranIlave,2),0),IF($H752="TBO-004",IF($F752="Evet",ROUND($C752*tbo_oranKadinGenc,2),0),IF($H752="TBO-ENG",IF($G752="Evet",ROUND($C752*tbo_isverenOran,2),0),0)))))</f>
        <v/>
      </c>
      <c r="L752" s="31">
        <f>IF($A752="","",MAX(0,$J752-$K752))</f>
        <v/>
      </c>
    </row>
    <row r="753">
      <c r="I753" s="31">
        <f>IF($A753="","",IF($J753=0,"YOK",IF(AND($E753="Evet",ROUND($C753*tbo_oranIlave,2)=$J753),"TBO-002",IF(AND($D753="Evet",ROUND($C753*tbo_oranBesPuan,2)=$J753),"TBO-001",IF(AND($F753="Evet",ROUND($C753*tbo_oranKadinGenc,2)=$J753),"TBO-004","TBO-ENG")))))</f>
        <v/>
      </c>
      <c r="J753" s="31">
        <f>IF($A753="","",MAX(IF($D753="Evet",ROUND($C753*tbo_oranBesPuan,2),0),IF($E753="Evet",ROUND($C753*tbo_oranIlave,2),0),IF($F753="Evet",ROUND($C753*tbo_oranKadinGenc,2),0),IF($G753="Evet",ROUND($C753*tbo_isverenOran,2),0)))</f>
        <v/>
      </c>
      <c r="K753" s="31">
        <f>IF($A753="","",IF($H753="TBO-001",IF($D753="Evet",ROUND($C753*tbo_oranBesPuan,2),0),IF($H753="TBO-002",IF($E753="Evet",ROUND($C753*tbo_oranIlave,2),0),IF($H753="TBO-004",IF($F753="Evet",ROUND($C753*tbo_oranKadinGenc,2),0),IF($H753="TBO-ENG",IF($G753="Evet",ROUND($C753*tbo_isverenOran,2),0),0)))))</f>
        <v/>
      </c>
      <c r="L753" s="31">
        <f>IF($A753="","",MAX(0,$J753-$K753))</f>
        <v/>
      </c>
    </row>
    <row r="754">
      <c r="I754" s="31">
        <f>IF($A754="","",IF($J754=0,"YOK",IF(AND($E754="Evet",ROUND($C754*tbo_oranIlave,2)=$J754),"TBO-002",IF(AND($D754="Evet",ROUND($C754*tbo_oranBesPuan,2)=$J754),"TBO-001",IF(AND($F754="Evet",ROUND($C754*tbo_oranKadinGenc,2)=$J754),"TBO-004","TBO-ENG")))))</f>
        <v/>
      </c>
      <c r="J754" s="31">
        <f>IF($A754="","",MAX(IF($D754="Evet",ROUND($C754*tbo_oranBesPuan,2),0),IF($E754="Evet",ROUND($C754*tbo_oranIlave,2),0),IF($F754="Evet",ROUND($C754*tbo_oranKadinGenc,2),0),IF($G754="Evet",ROUND($C754*tbo_isverenOran,2),0)))</f>
        <v/>
      </c>
      <c r="K754" s="31">
        <f>IF($A754="","",IF($H754="TBO-001",IF($D754="Evet",ROUND($C754*tbo_oranBesPuan,2),0),IF($H754="TBO-002",IF($E754="Evet",ROUND($C754*tbo_oranIlave,2),0),IF($H754="TBO-004",IF($F754="Evet",ROUND($C754*tbo_oranKadinGenc,2),0),IF($H754="TBO-ENG",IF($G754="Evet",ROUND($C754*tbo_isverenOran,2),0),0)))))</f>
        <v/>
      </c>
      <c r="L754" s="31">
        <f>IF($A754="","",MAX(0,$J754-$K754))</f>
        <v/>
      </c>
    </row>
    <row r="755">
      <c r="I755" s="31">
        <f>IF($A755="","",IF($J755=0,"YOK",IF(AND($E755="Evet",ROUND($C755*tbo_oranIlave,2)=$J755),"TBO-002",IF(AND($D755="Evet",ROUND($C755*tbo_oranBesPuan,2)=$J755),"TBO-001",IF(AND($F755="Evet",ROUND($C755*tbo_oranKadinGenc,2)=$J755),"TBO-004","TBO-ENG")))))</f>
        <v/>
      </c>
      <c r="J755" s="31">
        <f>IF($A755="","",MAX(IF($D755="Evet",ROUND($C755*tbo_oranBesPuan,2),0),IF($E755="Evet",ROUND($C755*tbo_oranIlave,2),0),IF($F755="Evet",ROUND($C755*tbo_oranKadinGenc,2),0),IF($G755="Evet",ROUND($C755*tbo_isverenOran,2),0)))</f>
        <v/>
      </c>
      <c r="K755" s="31">
        <f>IF($A755="","",IF($H755="TBO-001",IF($D755="Evet",ROUND($C755*tbo_oranBesPuan,2),0),IF($H755="TBO-002",IF($E755="Evet",ROUND($C755*tbo_oranIlave,2),0),IF($H755="TBO-004",IF($F755="Evet",ROUND($C755*tbo_oranKadinGenc,2),0),IF($H755="TBO-ENG",IF($G755="Evet",ROUND($C755*tbo_isverenOran,2),0),0)))))</f>
        <v/>
      </c>
      <c r="L755" s="31">
        <f>IF($A755="","",MAX(0,$J755-$K755))</f>
        <v/>
      </c>
    </row>
    <row r="756">
      <c r="I756" s="31">
        <f>IF($A756="","",IF($J756=0,"YOK",IF(AND($E756="Evet",ROUND($C756*tbo_oranIlave,2)=$J756),"TBO-002",IF(AND($D756="Evet",ROUND($C756*tbo_oranBesPuan,2)=$J756),"TBO-001",IF(AND($F756="Evet",ROUND($C756*tbo_oranKadinGenc,2)=$J756),"TBO-004","TBO-ENG")))))</f>
        <v/>
      </c>
      <c r="J756" s="31">
        <f>IF($A756="","",MAX(IF($D756="Evet",ROUND($C756*tbo_oranBesPuan,2),0),IF($E756="Evet",ROUND($C756*tbo_oranIlave,2),0),IF($F756="Evet",ROUND($C756*tbo_oranKadinGenc,2),0),IF($G756="Evet",ROUND($C756*tbo_isverenOran,2),0)))</f>
        <v/>
      </c>
      <c r="K756" s="31">
        <f>IF($A756="","",IF($H756="TBO-001",IF($D756="Evet",ROUND($C756*tbo_oranBesPuan,2),0),IF($H756="TBO-002",IF($E756="Evet",ROUND($C756*tbo_oranIlave,2),0),IF($H756="TBO-004",IF($F756="Evet",ROUND($C756*tbo_oranKadinGenc,2),0),IF($H756="TBO-ENG",IF($G756="Evet",ROUND($C756*tbo_isverenOran,2),0),0)))))</f>
        <v/>
      </c>
      <c r="L756" s="31">
        <f>IF($A756="","",MAX(0,$J756-$K756))</f>
        <v/>
      </c>
    </row>
    <row r="757">
      <c r="I757" s="31">
        <f>IF($A757="","",IF($J757=0,"YOK",IF(AND($E757="Evet",ROUND($C757*tbo_oranIlave,2)=$J757),"TBO-002",IF(AND($D757="Evet",ROUND($C757*tbo_oranBesPuan,2)=$J757),"TBO-001",IF(AND($F757="Evet",ROUND($C757*tbo_oranKadinGenc,2)=$J757),"TBO-004","TBO-ENG")))))</f>
        <v/>
      </c>
      <c r="J757" s="31">
        <f>IF($A757="","",MAX(IF($D757="Evet",ROUND($C757*tbo_oranBesPuan,2),0),IF($E757="Evet",ROUND($C757*tbo_oranIlave,2),0),IF($F757="Evet",ROUND($C757*tbo_oranKadinGenc,2),0),IF($G757="Evet",ROUND($C757*tbo_isverenOran,2),0)))</f>
        <v/>
      </c>
      <c r="K757" s="31">
        <f>IF($A757="","",IF($H757="TBO-001",IF($D757="Evet",ROUND($C757*tbo_oranBesPuan,2),0),IF($H757="TBO-002",IF($E757="Evet",ROUND($C757*tbo_oranIlave,2),0),IF($H757="TBO-004",IF($F757="Evet",ROUND($C757*tbo_oranKadinGenc,2),0),IF($H757="TBO-ENG",IF($G757="Evet",ROUND($C757*tbo_isverenOran,2),0),0)))))</f>
        <v/>
      </c>
      <c r="L757" s="31">
        <f>IF($A757="","",MAX(0,$J757-$K757))</f>
        <v/>
      </c>
    </row>
    <row r="758">
      <c r="I758" s="31">
        <f>IF($A758="","",IF($J758=0,"YOK",IF(AND($E758="Evet",ROUND($C758*tbo_oranIlave,2)=$J758),"TBO-002",IF(AND($D758="Evet",ROUND($C758*tbo_oranBesPuan,2)=$J758),"TBO-001",IF(AND($F758="Evet",ROUND($C758*tbo_oranKadinGenc,2)=$J758),"TBO-004","TBO-ENG")))))</f>
        <v/>
      </c>
      <c r="J758" s="31">
        <f>IF($A758="","",MAX(IF($D758="Evet",ROUND($C758*tbo_oranBesPuan,2),0),IF($E758="Evet",ROUND($C758*tbo_oranIlave,2),0),IF($F758="Evet",ROUND($C758*tbo_oranKadinGenc,2),0),IF($G758="Evet",ROUND($C758*tbo_isverenOran,2),0)))</f>
        <v/>
      </c>
      <c r="K758" s="31">
        <f>IF($A758="","",IF($H758="TBO-001",IF($D758="Evet",ROUND($C758*tbo_oranBesPuan,2),0),IF($H758="TBO-002",IF($E758="Evet",ROUND($C758*tbo_oranIlave,2),0),IF($H758="TBO-004",IF($F758="Evet",ROUND($C758*tbo_oranKadinGenc,2),0),IF($H758="TBO-ENG",IF($G758="Evet",ROUND($C758*tbo_isverenOran,2),0),0)))))</f>
        <v/>
      </c>
      <c r="L758" s="31">
        <f>IF($A758="","",MAX(0,$J758-$K758))</f>
        <v/>
      </c>
    </row>
    <row r="759">
      <c r="I759" s="31">
        <f>IF($A759="","",IF($J759=0,"YOK",IF(AND($E759="Evet",ROUND($C759*tbo_oranIlave,2)=$J759),"TBO-002",IF(AND($D759="Evet",ROUND($C759*tbo_oranBesPuan,2)=$J759),"TBO-001",IF(AND($F759="Evet",ROUND($C759*tbo_oranKadinGenc,2)=$J759),"TBO-004","TBO-ENG")))))</f>
        <v/>
      </c>
      <c r="J759" s="31">
        <f>IF($A759="","",MAX(IF($D759="Evet",ROUND($C759*tbo_oranBesPuan,2),0),IF($E759="Evet",ROUND($C759*tbo_oranIlave,2),0),IF($F759="Evet",ROUND($C759*tbo_oranKadinGenc,2),0),IF($G759="Evet",ROUND($C759*tbo_isverenOran,2),0)))</f>
        <v/>
      </c>
      <c r="K759" s="31">
        <f>IF($A759="","",IF($H759="TBO-001",IF($D759="Evet",ROUND($C759*tbo_oranBesPuan,2),0),IF($H759="TBO-002",IF($E759="Evet",ROUND($C759*tbo_oranIlave,2),0),IF($H759="TBO-004",IF($F759="Evet",ROUND($C759*tbo_oranKadinGenc,2),0),IF($H759="TBO-ENG",IF($G759="Evet",ROUND($C759*tbo_isverenOran,2),0),0)))))</f>
        <v/>
      </c>
      <c r="L759" s="31">
        <f>IF($A759="","",MAX(0,$J759-$K759))</f>
        <v/>
      </c>
    </row>
    <row r="760">
      <c r="I760" s="31">
        <f>IF($A760="","",IF($J760=0,"YOK",IF(AND($E760="Evet",ROUND($C760*tbo_oranIlave,2)=$J760),"TBO-002",IF(AND($D760="Evet",ROUND($C760*tbo_oranBesPuan,2)=$J760),"TBO-001",IF(AND($F760="Evet",ROUND($C760*tbo_oranKadinGenc,2)=$J760),"TBO-004","TBO-ENG")))))</f>
        <v/>
      </c>
      <c r="J760" s="31">
        <f>IF($A760="","",MAX(IF($D760="Evet",ROUND($C760*tbo_oranBesPuan,2),0),IF($E760="Evet",ROUND($C760*tbo_oranIlave,2),0),IF($F760="Evet",ROUND($C760*tbo_oranKadinGenc,2),0),IF($G760="Evet",ROUND($C760*tbo_isverenOran,2),0)))</f>
        <v/>
      </c>
      <c r="K760" s="31">
        <f>IF($A760="","",IF($H760="TBO-001",IF($D760="Evet",ROUND($C760*tbo_oranBesPuan,2),0),IF($H760="TBO-002",IF($E760="Evet",ROUND($C760*tbo_oranIlave,2),0),IF($H760="TBO-004",IF($F760="Evet",ROUND($C760*tbo_oranKadinGenc,2),0),IF($H760="TBO-ENG",IF($G760="Evet",ROUND($C760*tbo_isverenOran,2),0),0)))))</f>
        <v/>
      </c>
      <c r="L760" s="31">
        <f>IF($A760="","",MAX(0,$J760-$K760))</f>
        <v/>
      </c>
    </row>
    <row r="761">
      <c r="I761" s="31">
        <f>IF($A761="","",IF($J761=0,"YOK",IF(AND($E761="Evet",ROUND($C761*tbo_oranIlave,2)=$J761),"TBO-002",IF(AND($D761="Evet",ROUND($C761*tbo_oranBesPuan,2)=$J761),"TBO-001",IF(AND($F761="Evet",ROUND($C761*tbo_oranKadinGenc,2)=$J761),"TBO-004","TBO-ENG")))))</f>
        <v/>
      </c>
      <c r="J761" s="31">
        <f>IF($A761="","",MAX(IF($D761="Evet",ROUND($C761*tbo_oranBesPuan,2),0),IF($E761="Evet",ROUND($C761*tbo_oranIlave,2),0),IF($F761="Evet",ROUND($C761*tbo_oranKadinGenc,2),0),IF($G761="Evet",ROUND($C761*tbo_isverenOran,2),0)))</f>
        <v/>
      </c>
      <c r="K761" s="31">
        <f>IF($A761="","",IF($H761="TBO-001",IF($D761="Evet",ROUND($C761*tbo_oranBesPuan,2),0),IF($H761="TBO-002",IF($E761="Evet",ROUND($C761*tbo_oranIlave,2),0),IF($H761="TBO-004",IF($F761="Evet",ROUND($C761*tbo_oranKadinGenc,2),0),IF($H761="TBO-ENG",IF($G761="Evet",ROUND($C761*tbo_isverenOran,2),0),0)))))</f>
        <v/>
      </c>
      <c r="L761" s="31">
        <f>IF($A761="","",MAX(0,$J761-$K761))</f>
        <v/>
      </c>
    </row>
    <row r="762">
      <c r="I762" s="31">
        <f>IF($A762="","",IF($J762=0,"YOK",IF(AND($E762="Evet",ROUND($C762*tbo_oranIlave,2)=$J762),"TBO-002",IF(AND($D762="Evet",ROUND($C762*tbo_oranBesPuan,2)=$J762),"TBO-001",IF(AND($F762="Evet",ROUND($C762*tbo_oranKadinGenc,2)=$J762),"TBO-004","TBO-ENG")))))</f>
        <v/>
      </c>
      <c r="J762" s="31">
        <f>IF($A762="","",MAX(IF($D762="Evet",ROUND($C762*tbo_oranBesPuan,2),0),IF($E762="Evet",ROUND($C762*tbo_oranIlave,2),0),IF($F762="Evet",ROUND($C762*tbo_oranKadinGenc,2),0),IF($G762="Evet",ROUND($C762*tbo_isverenOran,2),0)))</f>
        <v/>
      </c>
      <c r="K762" s="31">
        <f>IF($A762="","",IF($H762="TBO-001",IF($D762="Evet",ROUND($C762*tbo_oranBesPuan,2),0),IF($H762="TBO-002",IF($E762="Evet",ROUND($C762*tbo_oranIlave,2),0),IF($H762="TBO-004",IF($F762="Evet",ROUND($C762*tbo_oranKadinGenc,2),0),IF($H762="TBO-ENG",IF($G762="Evet",ROUND($C762*tbo_isverenOran,2),0),0)))))</f>
        <v/>
      </c>
      <c r="L762" s="31">
        <f>IF($A762="","",MAX(0,$J762-$K762))</f>
        <v/>
      </c>
    </row>
    <row r="763">
      <c r="I763" s="31">
        <f>IF($A763="","",IF($J763=0,"YOK",IF(AND($E763="Evet",ROUND($C763*tbo_oranIlave,2)=$J763),"TBO-002",IF(AND($D763="Evet",ROUND($C763*tbo_oranBesPuan,2)=$J763),"TBO-001",IF(AND($F763="Evet",ROUND($C763*tbo_oranKadinGenc,2)=$J763),"TBO-004","TBO-ENG")))))</f>
        <v/>
      </c>
      <c r="J763" s="31">
        <f>IF($A763="","",MAX(IF($D763="Evet",ROUND($C763*tbo_oranBesPuan,2),0),IF($E763="Evet",ROUND($C763*tbo_oranIlave,2),0),IF($F763="Evet",ROUND($C763*tbo_oranKadinGenc,2),0),IF($G763="Evet",ROUND($C763*tbo_isverenOran,2),0)))</f>
        <v/>
      </c>
      <c r="K763" s="31">
        <f>IF($A763="","",IF($H763="TBO-001",IF($D763="Evet",ROUND($C763*tbo_oranBesPuan,2),0),IF($H763="TBO-002",IF($E763="Evet",ROUND($C763*tbo_oranIlave,2),0),IF($H763="TBO-004",IF($F763="Evet",ROUND($C763*tbo_oranKadinGenc,2),0),IF($H763="TBO-ENG",IF($G763="Evet",ROUND($C763*tbo_isverenOran,2),0),0)))))</f>
        <v/>
      </c>
      <c r="L763" s="31">
        <f>IF($A763="","",MAX(0,$J763-$K763))</f>
        <v/>
      </c>
    </row>
    <row r="764">
      <c r="I764" s="31">
        <f>IF($A764="","",IF($J764=0,"YOK",IF(AND($E764="Evet",ROUND($C764*tbo_oranIlave,2)=$J764),"TBO-002",IF(AND($D764="Evet",ROUND($C764*tbo_oranBesPuan,2)=$J764),"TBO-001",IF(AND($F764="Evet",ROUND($C764*tbo_oranKadinGenc,2)=$J764),"TBO-004","TBO-ENG")))))</f>
        <v/>
      </c>
      <c r="J764" s="31">
        <f>IF($A764="","",MAX(IF($D764="Evet",ROUND($C764*tbo_oranBesPuan,2),0),IF($E764="Evet",ROUND($C764*tbo_oranIlave,2),0),IF($F764="Evet",ROUND($C764*tbo_oranKadinGenc,2),0),IF($G764="Evet",ROUND($C764*tbo_isverenOran,2),0)))</f>
        <v/>
      </c>
      <c r="K764" s="31">
        <f>IF($A764="","",IF($H764="TBO-001",IF($D764="Evet",ROUND($C764*tbo_oranBesPuan,2),0),IF($H764="TBO-002",IF($E764="Evet",ROUND($C764*tbo_oranIlave,2),0),IF($H764="TBO-004",IF($F764="Evet",ROUND($C764*tbo_oranKadinGenc,2),0),IF($H764="TBO-ENG",IF($G764="Evet",ROUND($C764*tbo_isverenOran,2),0),0)))))</f>
        <v/>
      </c>
      <c r="L764" s="31">
        <f>IF($A764="","",MAX(0,$J764-$K764))</f>
        <v/>
      </c>
    </row>
    <row r="765">
      <c r="I765" s="31">
        <f>IF($A765="","",IF($J765=0,"YOK",IF(AND($E765="Evet",ROUND($C765*tbo_oranIlave,2)=$J765),"TBO-002",IF(AND($D765="Evet",ROUND($C765*tbo_oranBesPuan,2)=$J765),"TBO-001",IF(AND($F765="Evet",ROUND($C765*tbo_oranKadinGenc,2)=$J765),"TBO-004","TBO-ENG")))))</f>
        <v/>
      </c>
      <c r="J765" s="31">
        <f>IF($A765="","",MAX(IF($D765="Evet",ROUND($C765*tbo_oranBesPuan,2),0),IF($E765="Evet",ROUND($C765*tbo_oranIlave,2),0),IF($F765="Evet",ROUND($C765*tbo_oranKadinGenc,2),0),IF($G765="Evet",ROUND($C765*tbo_isverenOran,2),0)))</f>
        <v/>
      </c>
      <c r="K765" s="31">
        <f>IF($A765="","",IF($H765="TBO-001",IF($D765="Evet",ROUND($C765*tbo_oranBesPuan,2),0),IF($H765="TBO-002",IF($E765="Evet",ROUND($C765*tbo_oranIlave,2),0),IF($H765="TBO-004",IF($F765="Evet",ROUND($C765*tbo_oranKadinGenc,2),0),IF($H765="TBO-ENG",IF($G765="Evet",ROUND($C765*tbo_isverenOran,2),0),0)))))</f>
        <v/>
      </c>
      <c r="L765" s="31">
        <f>IF($A765="","",MAX(0,$J765-$K765))</f>
        <v/>
      </c>
    </row>
    <row r="766">
      <c r="I766" s="31">
        <f>IF($A766="","",IF($J766=0,"YOK",IF(AND($E766="Evet",ROUND($C766*tbo_oranIlave,2)=$J766),"TBO-002",IF(AND($D766="Evet",ROUND($C766*tbo_oranBesPuan,2)=$J766),"TBO-001",IF(AND($F766="Evet",ROUND($C766*tbo_oranKadinGenc,2)=$J766),"TBO-004","TBO-ENG")))))</f>
        <v/>
      </c>
      <c r="J766" s="31">
        <f>IF($A766="","",MAX(IF($D766="Evet",ROUND($C766*tbo_oranBesPuan,2),0),IF($E766="Evet",ROUND($C766*tbo_oranIlave,2),0),IF($F766="Evet",ROUND($C766*tbo_oranKadinGenc,2),0),IF($G766="Evet",ROUND($C766*tbo_isverenOran,2),0)))</f>
        <v/>
      </c>
      <c r="K766" s="31">
        <f>IF($A766="","",IF($H766="TBO-001",IF($D766="Evet",ROUND($C766*tbo_oranBesPuan,2),0),IF($H766="TBO-002",IF($E766="Evet",ROUND($C766*tbo_oranIlave,2),0),IF($H766="TBO-004",IF($F766="Evet",ROUND($C766*tbo_oranKadinGenc,2),0),IF($H766="TBO-ENG",IF($G766="Evet",ROUND($C766*tbo_isverenOran,2),0),0)))))</f>
        <v/>
      </c>
      <c r="L766" s="31">
        <f>IF($A766="","",MAX(0,$J766-$K766))</f>
        <v/>
      </c>
    </row>
    <row r="767">
      <c r="I767" s="31">
        <f>IF($A767="","",IF($J767=0,"YOK",IF(AND($E767="Evet",ROUND($C767*tbo_oranIlave,2)=$J767),"TBO-002",IF(AND($D767="Evet",ROUND($C767*tbo_oranBesPuan,2)=$J767),"TBO-001",IF(AND($F767="Evet",ROUND($C767*tbo_oranKadinGenc,2)=$J767),"TBO-004","TBO-ENG")))))</f>
        <v/>
      </c>
      <c r="J767" s="31">
        <f>IF($A767="","",MAX(IF($D767="Evet",ROUND($C767*tbo_oranBesPuan,2),0),IF($E767="Evet",ROUND($C767*tbo_oranIlave,2),0),IF($F767="Evet",ROUND($C767*tbo_oranKadinGenc,2),0),IF($G767="Evet",ROUND($C767*tbo_isverenOran,2),0)))</f>
        <v/>
      </c>
      <c r="K767" s="31">
        <f>IF($A767="","",IF($H767="TBO-001",IF($D767="Evet",ROUND($C767*tbo_oranBesPuan,2),0),IF($H767="TBO-002",IF($E767="Evet",ROUND($C767*tbo_oranIlave,2),0),IF($H767="TBO-004",IF($F767="Evet",ROUND($C767*tbo_oranKadinGenc,2),0),IF($H767="TBO-ENG",IF($G767="Evet",ROUND($C767*tbo_isverenOran,2),0),0)))))</f>
        <v/>
      </c>
      <c r="L767" s="31">
        <f>IF($A767="","",MAX(0,$J767-$K767))</f>
        <v/>
      </c>
    </row>
    <row r="768">
      <c r="I768" s="31">
        <f>IF($A768="","",IF($J768=0,"YOK",IF(AND($E768="Evet",ROUND($C768*tbo_oranIlave,2)=$J768),"TBO-002",IF(AND($D768="Evet",ROUND($C768*tbo_oranBesPuan,2)=$J768),"TBO-001",IF(AND($F768="Evet",ROUND($C768*tbo_oranKadinGenc,2)=$J768),"TBO-004","TBO-ENG")))))</f>
        <v/>
      </c>
      <c r="J768" s="31">
        <f>IF($A768="","",MAX(IF($D768="Evet",ROUND($C768*tbo_oranBesPuan,2),0),IF($E768="Evet",ROUND($C768*tbo_oranIlave,2),0),IF($F768="Evet",ROUND($C768*tbo_oranKadinGenc,2),0),IF($G768="Evet",ROUND($C768*tbo_isverenOran,2),0)))</f>
        <v/>
      </c>
      <c r="K768" s="31">
        <f>IF($A768="","",IF($H768="TBO-001",IF($D768="Evet",ROUND($C768*tbo_oranBesPuan,2),0),IF($H768="TBO-002",IF($E768="Evet",ROUND($C768*tbo_oranIlave,2),0),IF($H768="TBO-004",IF($F768="Evet",ROUND($C768*tbo_oranKadinGenc,2),0),IF($H768="TBO-ENG",IF($G768="Evet",ROUND($C768*tbo_isverenOran,2),0),0)))))</f>
        <v/>
      </c>
      <c r="L768" s="31">
        <f>IF($A768="","",MAX(0,$J768-$K768))</f>
        <v/>
      </c>
    </row>
    <row r="769">
      <c r="I769" s="31">
        <f>IF($A769="","",IF($J769=0,"YOK",IF(AND($E769="Evet",ROUND($C769*tbo_oranIlave,2)=$J769),"TBO-002",IF(AND($D769="Evet",ROUND($C769*tbo_oranBesPuan,2)=$J769),"TBO-001",IF(AND($F769="Evet",ROUND($C769*tbo_oranKadinGenc,2)=$J769),"TBO-004","TBO-ENG")))))</f>
        <v/>
      </c>
      <c r="J769" s="31">
        <f>IF($A769="","",MAX(IF($D769="Evet",ROUND($C769*tbo_oranBesPuan,2),0),IF($E769="Evet",ROUND($C769*tbo_oranIlave,2),0),IF($F769="Evet",ROUND($C769*tbo_oranKadinGenc,2),0),IF($G769="Evet",ROUND($C769*tbo_isverenOran,2),0)))</f>
        <v/>
      </c>
      <c r="K769" s="31">
        <f>IF($A769="","",IF($H769="TBO-001",IF($D769="Evet",ROUND($C769*tbo_oranBesPuan,2),0),IF($H769="TBO-002",IF($E769="Evet",ROUND($C769*tbo_oranIlave,2),0),IF($H769="TBO-004",IF($F769="Evet",ROUND($C769*tbo_oranKadinGenc,2),0),IF($H769="TBO-ENG",IF($G769="Evet",ROUND($C769*tbo_isverenOran,2),0),0)))))</f>
        <v/>
      </c>
      <c r="L769" s="31">
        <f>IF($A769="","",MAX(0,$J769-$K769))</f>
        <v/>
      </c>
    </row>
    <row r="770">
      <c r="I770" s="31">
        <f>IF($A770="","",IF($J770=0,"YOK",IF(AND($E770="Evet",ROUND($C770*tbo_oranIlave,2)=$J770),"TBO-002",IF(AND($D770="Evet",ROUND($C770*tbo_oranBesPuan,2)=$J770),"TBO-001",IF(AND($F770="Evet",ROUND($C770*tbo_oranKadinGenc,2)=$J770),"TBO-004","TBO-ENG")))))</f>
        <v/>
      </c>
      <c r="J770" s="31">
        <f>IF($A770="","",MAX(IF($D770="Evet",ROUND($C770*tbo_oranBesPuan,2),0),IF($E770="Evet",ROUND($C770*tbo_oranIlave,2),0),IF($F770="Evet",ROUND($C770*tbo_oranKadinGenc,2),0),IF($G770="Evet",ROUND($C770*tbo_isverenOran,2),0)))</f>
        <v/>
      </c>
      <c r="K770" s="31">
        <f>IF($A770="","",IF($H770="TBO-001",IF($D770="Evet",ROUND($C770*tbo_oranBesPuan,2),0),IF($H770="TBO-002",IF($E770="Evet",ROUND($C770*tbo_oranIlave,2),0),IF($H770="TBO-004",IF($F770="Evet",ROUND($C770*tbo_oranKadinGenc,2),0),IF($H770="TBO-ENG",IF($G770="Evet",ROUND($C770*tbo_isverenOran,2),0),0)))))</f>
        <v/>
      </c>
      <c r="L770" s="31">
        <f>IF($A770="","",MAX(0,$J770-$K770))</f>
        <v/>
      </c>
    </row>
    <row r="771">
      <c r="I771" s="31">
        <f>IF($A771="","",IF($J771=0,"YOK",IF(AND($E771="Evet",ROUND($C771*tbo_oranIlave,2)=$J771),"TBO-002",IF(AND($D771="Evet",ROUND($C771*tbo_oranBesPuan,2)=$J771),"TBO-001",IF(AND($F771="Evet",ROUND($C771*tbo_oranKadinGenc,2)=$J771),"TBO-004","TBO-ENG")))))</f>
        <v/>
      </c>
      <c r="J771" s="31">
        <f>IF($A771="","",MAX(IF($D771="Evet",ROUND($C771*tbo_oranBesPuan,2),0),IF($E771="Evet",ROUND($C771*tbo_oranIlave,2),0),IF($F771="Evet",ROUND($C771*tbo_oranKadinGenc,2),0),IF($G771="Evet",ROUND($C771*tbo_isverenOran,2),0)))</f>
        <v/>
      </c>
      <c r="K771" s="31">
        <f>IF($A771="","",IF($H771="TBO-001",IF($D771="Evet",ROUND($C771*tbo_oranBesPuan,2),0),IF($H771="TBO-002",IF($E771="Evet",ROUND($C771*tbo_oranIlave,2),0),IF($H771="TBO-004",IF($F771="Evet",ROUND($C771*tbo_oranKadinGenc,2),0),IF($H771="TBO-ENG",IF($G771="Evet",ROUND($C771*tbo_isverenOran,2),0),0)))))</f>
        <v/>
      </c>
      <c r="L771" s="31">
        <f>IF($A771="","",MAX(0,$J771-$K771))</f>
        <v/>
      </c>
    </row>
    <row r="772">
      <c r="I772" s="31">
        <f>IF($A772="","",IF($J772=0,"YOK",IF(AND($E772="Evet",ROUND($C772*tbo_oranIlave,2)=$J772),"TBO-002",IF(AND($D772="Evet",ROUND($C772*tbo_oranBesPuan,2)=$J772),"TBO-001",IF(AND($F772="Evet",ROUND($C772*tbo_oranKadinGenc,2)=$J772),"TBO-004","TBO-ENG")))))</f>
        <v/>
      </c>
      <c r="J772" s="31">
        <f>IF($A772="","",MAX(IF($D772="Evet",ROUND($C772*tbo_oranBesPuan,2),0),IF($E772="Evet",ROUND($C772*tbo_oranIlave,2),0),IF($F772="Evet",ROUND($C772*tbo_oranKadinGenc,2),0),IF($G772="Evet",ROUND($C772*tbo_isverenOran,2),0)))</f>
        <v/>
      </c>
      <c r="K772" s="31">
        <f>IF($A772="","",IF($H772="TBO-001",IF($D772="Evet",ROUND($C772*tbo_oranBesPuan,2),0),IF($H772="TBO-002",IF($E772="Evet",ROUND($C772*tbo_oranIlave,2),0),IF($H772="TBO-004",IF($F772="Evet",ROUND($C772*tbo_oranKadinGenc,2),0),IF($H772="TBO-ENG",IF($G772="Evet",ROUND($C772*tbo_isverenOran,2),0),0)))))</f>
        <v/>
      </c>
      <c r="L772" s="31">
        <f>IF($A772="","",MAX(0,$J772-$K772))</f>
        <v/>
      </c>
    </row>
    <row r="773">
      <c r="I773" s="31">
        <f>IF($A773="","",IF($J773=0,"YOK",IF(AND($E773="Evet",ROUND($C773*tbo_oranIlave,2)=$J773),"TBO-002",IF(AND($D773="Evet",ROUND($C773*tbo_oranBesPuan,2)=$J773),"TBO-001",IF(AND($F773="Evet",ROUND($C773*tbo_oranKadinGenc,2)=$J773),"TBO-004","TBO-ENG")))))</f>
        <v/>
      </c>
      <c r="J773" s="31">
        <f>IF($A773="","",MAX(IF($D773="Evet",ROUND($C773*tbo_oranBesPuan,2),0),IF($E773="Evet",ROUND($C773*tbo_oranIlave,2),0),IF($F773="Evet",ROUND($C773*tbo_oranKadinGenc,2),0),IF($G773="Evet",ROUND($C773*tbo_isverenOran,2),0)))</f>
        <v/>
      </c>
      <c r="K773" s="31">
        <f>IF($A773="","",IF($H773="TBO-001",IF($D773="Evet",ROUND($C773*tbo_oranBesPuan,2),0),IF($H773="TBO-002",IF($E773="Evet",ROUND($C773*tbo_oranIlave,2),0),IF($H773="TBO-004",IF($F773="Evet",ROUND($C773*tbo_oranKadinGenc,2),0),IF($H773="TBO-ENG",IF($G773="Evet",ROUND($C773*tbo_isverenOran,2),0),0)))))</f>
        <v/>
      </c>
      <c r="L773" s="31">
        <f>IF($A773="","",MAX(0,$J773-$K773))</f>
        <v/>
      </c>
    </row>
    <row r="774">
      <c r="I774" s="31">
        <f>IF($A774="","",IF($J774=0,"YOK",IF(AND($E774="Evet",ROUND($C774*tbo_oranIlave,2)=$J774),"TBO-002",IF(AND($D774="Evet",ROUND($C774*tbo_oranBesPuan,2)=$J774),"TBO-001",IF(AND($F774="Evet",ROUND($C774*tbo_oranKadinGenc,2)=$J774),"TBO-004","TBO-ENG")))))</f>
        <v/>
      </c>
      <c r="J774" s="31">
        <f>IF($A774="","",MAX(IF($D774="Evet",ROUND($C774*tbo_oranBesPuan,2),0),IF($E774="Evet",ROUND($C774*tbo_oranIlave,2),0),IF($F774="Evet",ROUND($C774*tbo_oranKadinGenc,2),0),IF($G774="Evet",ROUND($C774*tbo_isverenOran,2),0)))</f>
        <v/>
      </c>
      <c r="K774" s="31">
        <f>IF($A774="","",IF($H774="TBO-001",IF($D774="Evet",ROUND($C774*tbo_oranBesPuan,2),0),IF($H774="TBO-002",IF($E774="Evet",ROUND($C774*tbo_oranIlave,2),0),IF($H774="TBO-004",IF($F774="Evet",ROUND($C774*tbo_oranKadinGenc,2),0),IF($H774="TBO-ENG",IF($G774="Evet",ROUND($C774*tbo_isverenOran,2),0),0)))))</f>
        <v/>
      </c>
      <c r="L774" s="31">
        <f>IF($A774="","",MAX(0,$J774-$K774))</f>
        <v/>
      </c>
    </row>
    <row r="775">
      <c r="I775" s="31">
        <f>IF($A775="","",IF($J775=0,"YOK",IF(AND($E775="Evet",ROUND($C775*tbo_oranIlave,2)=$J775),"TBO-002",IF(AND($D775="Evet",ROUND($C775*tbo_oranBesPuan,2)=$J775),"TBO-001",IF(AND($F775="Evet",ROUND($C775*tbo_oranKadinGenc,2)=$J775),"TBO-004","TBO-ENG")))))</f>
        <v/>
      </c>
      <c r="J775" s="31">
        <f>IF($A775="","",MAX(IF($D775="Evet",ROUND($C775*tbo_oranBesPuan,2),0),IF($E775="Evet",ROUND($C775*tbo_oranIlave,2),0),IF($F775="Evet",ROUND($C775*tbo_oranKadinGenc,2),0),IF($G775="Evet",ROUND($C775*tbo_isverenOran,2),0)))</f>
        <v/>
      </c>
      <c r="K775" s="31">
        <f>IF($A775="","",IF($H775="TBO-001",IF($D775="Evet",ROUND($C775*tbo_oranBesPuan,2),0),IF($H775="TBO-002",IF($E775="Evet",ROUND($C775*tbo_oranIlave,2),0),IF($H775="TBO-004",IF($F775="Evet",ROUND($C775*tbo_oranKadinGenc,2),0),IF($H775="TBO-ENG",IF($G775="Evet",ROUND($C775*tbo_isverenOran,2),0),0)))))</f>
        <v/>
      </c>
      <c r="L775" s="31">
        <f>IF($A775="","",MAX(0,$J775-$K775))</f>
        <v/>
      </c>
    </row>
    <row r="776">
      <c r="I776" s="31">
        <f>IF($A776="","",IF($J776=0,"YOK",IF(AND($E776="Evet",ROUND($C776*tbo_oranIlave,2)=$J776),"TBO-002",IF(AND($D776="Evet",ROUND($C776*tbo_oranBesPuan,2)=$J776),"TBO-001",IF(AND($F776="Evet",ROUND($C776*tbo_oranKadinGenc,2)=$J776),"TBO-004","TBO-ENG")))))</f>
        <v/>
      </c>
      <c r="J776" s="31">
        <f>IF($A776="","",MAX(IF($D776="Evet",ROUND($C776*tbo_oranBesPuan,2),0),IF($E776="Evet",ROUND($C776*tbo_oranIlave,2),0),IF($F776="Evet",ROUND($C776*tbo_oranKadinGenc,2),0),IF($G776="Evet",ROUND($C776*tbo_isverenOran,2),0)))</f>
        <v/>
      </c>
      <c r="K776" s="31">
        <f>IF($A776="","",IF($H776="TBO-001",IF($D776="Evet",ROUND($C776*tbo_oranBesPuan,2),0),IF($H776="TBO-002",IF($E776="Evet",ROUND($C776*tbo_oranIlave,2),0),IF($H776="TBO-004",IF($F776="Evet",ROUND($C776*tbo_oranKadinGenc,2),0),IF($H776="TBO-ENG",IF($G776="Evet",ROUND($C776*tbo_isverenOran,2),0),0)))))</f>
        <v/>
      </c>
      <c r="L776" s="31">
        <f>IF($A776="","",MAX(0,$J776-$K776))</f>
        <v/>
      </c>
    </row>
    <row r="777">
      <c r="I777" s="31">
        <f>IF($A777="","",IF($J777=0,"YOK",IF(AND($E777="Evet",ROUND($C777*tbo_oranIlave,2)=$J777),"TBO-002",IF(AND($D777="Evet",ROUND($C777*tbo_oranBesPuan,2)=$J777),"TBO-001",IF(AND($F777="Evet",ROUND($C777*tbo_oranKadinGenc,2)=$J777),"TBO-004","TBO-ENG")))))</f>
        <v/>
      </c>
      <c r="J777" s="31">
        <f>IF($A777="","",MAX(IF($D777="Evet",ROUND($C777*tbo_oranBesPuan,2),0),IF($E777="Evet",ROUND($C777*tbo_oranIlave,2),0),IF($F777="Evet",ROUND($C777*tbo_oranKadinGenc,2),0),IF($G777="Evet",ROUND($C777*tbo_isverenOran,2),0)))</f>
        <v/>
      </c>
      <c r="K777" s="31">
        <f>IF($A777="","",IF($H777="TBO-001",IF($D777="Evet",ROUND($C777*tbo_oranBesPuan,2),0),IF($H777="TBO-002",IF($E777="Evet",ROUND($C777*tbo_oranIlave,2),0),IF($H777="TBO-004",IF($F777="Evet",ROUND($C777*tbo_oranKadinGenc,2),0),IF($H777="TBO-ENG",IF($G777="Evet",ROUND($C777*tbo_isverenOran,2),0),0)))))</f>
        <v/>
      </c>
      <c r="L777" s="31">
        <f>IF($A777="","",MAX(0,$J777-$K777))</f>
        <v/>
      </c>
    </row>
    <row r="778">
      <c r="I778" s="31">
        <f>IF($A778="","",IF($J778=0,"YOK",IF(AND($E778="Evet",ROUND($C778*tbo_oranIlave,2)=$J778),"TBO-002",IF(AND($D778="Evet",ROUND($C778*tbo_oranBesPuan,2)=$J778),"TBO-001",IF(AND($F778="Evet",ROUND($C778*tbo_oranKadinGenc,2)=$J778),"TBO-004","TBO-ENG")))))</f>
        <v/>
      </c>
      <c r="J778" s="31">
        <f>IF($A778="","",MAX(IF($D778="Evet",ROUND($C778*tbo_oranBesPuan,2),0),IF($E778="Evet",ROUND($C778*tbo_oranIlave,2),0),IF($F778="Evet",ROUND($C778*tbo_oranKadinGenc,2),0),IF($G778="Evet",ROUND($C778*tbo_isverenOran,2),0)))</f>
        <v/>
      </c>
      <c r="K778" s="31">
        <f>IF($A778="","",IF($H778="TBO-001",IF($D778="Evet",ROUND($C778*tbo_oranBesPuan,2),0),IF($H778="TBO-002",IF($E778="Evet",ROUND($C778*tbo_oranIlave,2),0),IF($H778="TBO-004",IF($F778="Evet",ROUND($C778*tbo_oranKadinGenc,2),0),IF($H778="TBO-ENG",IF($G778="Evet",ROUND($C778*tbo_isverenOran,2),0),0)))))</f>
        <v/>
      </c>
      <c r="L778" s="31">
        <f>IF($A778="","",MAX(0,$J778-$K778))</f>
        <v/>
      </c>
    </row>
    <row r="779">
      <c r="I779" s="31">
        <f>IF($A779="","",IF($J779=0,"YOK",IF(AND($E779="Evet",ROUND($C779*tbo_oranIlave,2)=$J779),"TBO-002",IF(AND($D779="Evet",ROUND($C779*tbo_oranBesPuan,2)=$J779),"TBO-001",IF(AND($F779="Evet",ROUND($C779*tbo_oranKadinGenc,2)=$J779),"TBO-004","TBO-ENG")))))</f>
        <v/>
      </c>
      <c r="J779" s="31">
        <f>IF($A779="","",MAX(IF($D779="Evet",ROUND($C779*tbo_oranBesPuan,2),0),IF($E779="Evet",ROUND($C779*tbo_oranIlave,2),0),IF($F779="Evet",ROUND($C779*tbo_oranKadinGenc,2),0),IF($G779="Evet",ROUND($C779*tbo_isverenOran,2),0)))</f>
        <v/>
      </c>
      <c r="K779" s="31">
        <f>IF($A779="","",IF($H779="TBO-001",IF($D779="Evet",ROUND($C779*tbo_oranBesPuan,2),0),IF($H779="TBO-002",IF($E779="Evet",ROUND($C779*tbo_oranIlave,2),0),IF($H779="TBO-004",IF($F779="Evet",ROUND($C779*tbo_oranKadinGenc,2),0),IF($H779="TBO-ENG",IF($G779="Evet",ROUND($C779*tbo_isverenOran,2),0),0)))))</f>
        <v/>
      </c>
      <c r="L779" s="31">
        <f>IF($A779="","",MAX(0,$J779-$K779))</f>
        <v/>
      </c>
    </row>
    <row r="780">
      <c r="I780" s="31">
        <f>IF($A780="","",IF($J780=0,"YOK",IF(AND($E780="Evet",ROUND($C780*tbo_oranIlave,2)=$J780),"TBO-002",IF(AND($D780="Evet",ROUND($C780*tbo_oranBesPuan,2)=$J780),"TBO-001",IF(AND($F780="Evet",ROUND($C780*tbo_oranKadinGenc,2)=$J780),"TBO-004","TBO-ENG")))))</f>
        <v/>
      </c>
      <c r="J780" s="31">
        <f>IF($A780="","",MAX(IF($D780="Evet",ROUND($C780*tbo_oranBesPuan,2),0),IF($E780="Evet",ROUND($C780*tbo_oranIlave,2),0),IF($F780="Evet",ROUND($C780*tbo_oranKadinGenc,2),0),IF($G780="Evet",ROUND($C780*tbo_isverenOran,2),0)))</f>
        <v/>
      </c>
      <c r="K780" s="31">
        <f>IF($A780="","",IF($H780="TBO-001",IF($D780="Evet",ROUND($C780*tbo_oranBesPuan,2),0),IF($H780="TBO-002",IF($E780="Evet",ROUND($C780*tbo_oranIlave,2),0),IF($H780="TBO-004",IF($F780="Evet",ROUND($C780*tbo_oranKadinGenc,2),0),IF($H780="TBO-ENG",IF($G780="Evet",ROUND($C780*tbo_isverenOran,2),0),0)))))</f>
        <v/>
      </c>
      <c r="L780" s="31">
        <f>IF($A780="","",MAX(0,$J780-$K780))</f>
        <v/>
      </c>
    </row>
    <row r="781">
      <c r="I781" s="31">
        <f>IF($A781="","",IF($J781=0,"YOK",IF(AND($E781="Evet",ROUND($C781*tbo_oranIlave,2)=$J781),"TBO-002",IF(AND($D781="Evet",ROUND($C781*tbo_oranBesPuan,2)=$J781),"TBO-001",IF(AND($F781="Evet",ROUND($C781*tbo_oranKadinGenc,2)=$J781),"TBO-004","TBO-ENG")))))</f>
        <v/>
      </c>
      <c r="J781" s="31">
        <f>IF($A781="","",MAX(IF($D781="Evet",ROUND($C781*tbo_oranBesPuan,2),0),IF($E781="Evet",ROUND($C781*tbo_oranIlave,2),0),IF($F781="Evet",ROUND($C781*tbo_oranKadinGenc,2),0),IF($G781="Evet",ROUND($C781*tbo_isverenOran,2),0)))</f>
        <v/>
      </c>
      <c r="K781" s="31">
        <f>IF($A781="","",IF($H781="TBO-001",IF($D781="Evet",ROUND($C781*tbo_oranBesPuan,2),0),IF($H781="TBO-002",IF($E781="Evet",ROUND($C781*tbo_oranIlave,2),0),IF($H781="TBO-004",IF($F781="Evet",ROUND($C781*tbo_oranKadinGenc,2),0),IF($H781="TBO-ENG",IF($G781="Evet",ROUND($C781*tbo_isverenOran,2),0),0)))))</f>
        <v/>
      </c>
      <c r="L781" s="31">
        <f>IF($A781="","",MAX(0,$J781-$K781))</f>
        <v/>
      </c>
    </row>
    <row r="782">
      <c r="I782" s="31">
        <f>IF($A782="","",IF($J782=0,"YOK",IF(AND($E782="Evet",ROUND($C782*tbo_oranIlave,2)=$J782),"TBO-002",IF(AND($D782="Evet",ROUND($C782*tbo_oranBesPuan,2)=$J782),"TBO-001",IF(AND($F782="Evet",ROUND($C782*tbo_oranKadinGenc,2)=$J782),"TBO-004","TBO-ENG")))))</f>
        <v/>
      </c>
      <c r="J782" s="31">
        <f>IF($A782="","",MAX(IF($D782="Evet",ROUND($C782*tbo_oranBesPuan,2),0),IF($E782="Evet",ROUND($C782*tbo_oranIlave,2),0),IF($F782="Evet",ROUND($C782*tbo_oranKadinGenc,2),0),IF($G782="Evet",ROUND($C782*tbo_isverenOran,2),0)))</f>
        <v/>
      </c>
      <c r="K782" s="31">
        <f>IF($A782="","",IF($H782="TBO-001",IF($D782="Evet",ROUND($C782*tbo_oranBesPuan,2),0),IF($H782="TBO-002",IF($E782="Evet",ROUND($C782*tbo_oranIlave,2),0),IF($H782="TBO-004",IF($F782="Evet",ROUND($C782*tbo_oranKadinGenc,2),0),IF($H782="TBO-ENG",IF($G782="Evet",ROUND($C782*tbo_isverenOran,2),0),0)))))</f>
        <v/>
      </c>
      <c r="L782" s="31">
        <f>IF($A782="","",MAX(0,$J782-$K782))</f>
        <v/>
      </c>
    </row>
    <row r="783">
      <c r="I783" s="31">
        <f>IF($A783="","",IF($J783=0,"YOK",IF(AND($E783="Evet",ROUND($C783*tbo_oranIlave,2)=$J783),"TBO-002",IF(AND($D783="Evet",ROUND($C783*tbo_oranBesPuan,2)=$J783),"TBO-001",IF(AND($F783="Evet",ROUND($C783*tbo_oranKadinGenc,2)=$J783),"TBO-004","TBO-ENG")))))</f>
        <v/>
      </c>
      <c r="J783" s="31">
        <f>IF($A783="","",MAX(IF($D783="Evet",ROUND($C783*tbo_oranBesPuan,2),0),IF($E783="Evet",ROUND($C783*tbo_oranIlave,2),0),IF($F783="Evet",ROUND($C783*tbo_oranKadinGenc,2),0),IF($G783="Evet",ROUND($C783*tbo_isverenOran,2),0)))</f>
        <v/>
      </c>
      <c r="K783" s="31">
        <f>IF($A783="","",IF($H783="TBO-001",IF($D783="Evet",ROUND($C783*tbo_oranBesPuan,2),0),IF($H783="TBO-002",IF($E783="Evet",ROUND($C783*tbo_oranIlave,2),0),IF($H783="TBO-004",IF($F783="Evet",ROUND($C783*tbo_oranKadinGenc,2),0),IF($H783="TBO-ENG",IF($G783="Evet",ROUND($C783*tbo_isverenOran,2),0),0)))))</f>
        <v/>
      </c>
      <c r="L783" s="31">
        <f>IF($A783="","",MAX(0,$J783-$K783))</f>
        <v/>
      </c>
    </row>
    <row r="784">
      <c r="I784" s="31">
        <f>IF($A784="","",IF($J784=0,"YOK",IF(AND($E784="Evet",ROUND($C784*tbo_oranIlave,2)=$J784),"TBO-002",IF(AND($D784="Evet",ROUND($C784*tbo_oranBesPuan,2)=$J784),"TBO-001",IF(AND($F784="Evet",ROUND($C784*tbo_oranKadinGenc,2)=$J784),"TBO-004","TBO-ENG")))))</f>
        <v/>
      </c>
      <c r="J784" s="31">
        <f>IF($A784="","",MAX(IF($D784="Evet",ROUND($C784*tbo_oranBesPuan,2),0),IF($E784="Evet",ROUND($C784*tbo_oranIlave,2),0),IF($F784="Evet",ROUND($C784*tbo_oranKadinGenc,2),0),IF($G784="Evet",ROUND($C784*tbo_isverenOran,2),0)))</f>
        <v/>
      </c>
      <c r="K784" s="31">
        <f>IF($A784="","",IF($H784="TBO-001",IF($D784="Evet",ROUND($C784*tbo_oranBesPuan,2),0),IF($H784="TBO-002",IF($E784="Evet",ROUND($C784*tbo_oranIlave,2),0),IF($H784="TBO-004",IF($F784="Evet",ROUND($C784*tbo_oranKadinGenc,2),0),IF($H784="TBO-ENG",IF($G784="Evet",ROUND($C784*tbo_isverenOran,2),0),0)))))</f>
        <v/>
      </c>
      <c r="L784" s="31">
        <f>IF($A784="","",MAX(0,$J784-$K784))</f>
        <v/>
      </c>
    </row>
    <row r="785">
      <c r="I785" s="31">
        <f>IF($A785="","",IF($J785=0,"YOK",IF(AND($E785="Evet",ROUND($C785*tbo_oranIlave,2)=$J785),"TBO-002",IF(AND($D785="Evet",ROUND($C785*tbo_oranBesPuan,2)=$J785),"TBO-001",IF(AND($F785="Evet",ROUND($C785*tbo_oranKadinGenc,2)=$J785),"TBO-004","TBO-ENG")))))</f>
        <v/>
      </c>
      <c r="J785" s="31">
        <f>IF($A785="","",MAX(IF($D785="Evet",ROUND($C785*tbo_oranBesPuan,2),0),IF($E785="Evet",ROUND($C785*tbo_oranIlave,2),0),IF($F785="Evet",ROUND($C785*tbo_oranKadinGenc,2),0),IF($G785="Evet",ROUND($C785*tbo_isverenOran,2),0)))</f>
        <v/>
      </c>
      <c r="K785" s="31">
        <f>IF($A785="","",IF($H785="TBO-001",IF($D785="Evet",ROUND($C785*tbo_oranBesPuan,2),0),IF($H785="TBO-002",IF($E785="Evet",ROUND($C785*tbo_oranIlave,2),0),IF($H785="TBO-004",IF($F785="Evet",ROUND($C785*tbo_oranKadinGenc,2),0),IF($H785="TBO-ENG",IF($G785="Evet",ROUND($C785*tbo_isverenOran,2),0),0)))))</f>
        <v/>
      </c>
      <c r="L785" s="31">
        <f>IF($A785="","",MAX(0,$J785-$K785))</f>
        <v/>
      </c>
    </row>
    <row r="786">
      <c r="I786" s="31">
        <f>IF($A786="","",IF($J786=0,"YOK",IF(AND($E786="Evet",ROUND($C786*tbo_oranIlave,2)=$J786),"TBO-002",IF(AND($D786="Evet",ROUND($C786*tbo_oranBesPuan,2)=$J786),"TBO-001",IF(AND($F786="Evet",ROUND($C786*tbo_oranKadinGenc,2)=$J786),"TBO-004","TBO-ENG")))))</f>
        <v/>
      </c>
      <c r="J786" s="31">
        <f>IF($A786="","",MAX(IF($D786="Evet",ROUND($C786*tbo_oranBesPuan,2),0),IF($E786="Evet",ROUND($C786*tbo_oranIlave,2),0),IF($F786="Evet",ROUND($C786*tbo_oranKadinGenc,2),0),IF($G786="Evet",ROUND($C786*tbo_isverenOran,2),0)))</f>
        <v/>
      </c>
      <c r="K786" s="31">
        <f>IF($A786="","",IF($H786="TBO-001",IF($D786="Evet",ROUND($C786*tbo_oranBesPuan,2),0),IF($H786="TBO-002",IF($E786="Evet",ROUND($C786*tbo_oranIlave,2),0),IF($H786="TBO-004",IF($F786="Evet",ROUND($C786*tbo_oranKadinGenc,2),0),IF($H786="TBO-ENG",IF($G786="Evet",ROUND($C786*tbo_isverenOran,2),0),0)))))</f>
        <v/>
      </c>
      <c r="L786" s="31">
        <f>IF($A786="","",MAX(0,$J786-$K786))</f>
        <v/>
      </c>
    </row>
    <row r="787">
      <c r="I787" s="31">
        <f>IF($A787="","",IF($J787=0,"YOK",IF(AND($E787="Evet",ROUND($C787*tbo_oranIlave,2)=$J787),"TBO-002",IF(AND($D787="Evet",ROUND($C787*tbo_oranBesPuan,2)=$J787),"TBO-001",IF(AND($F787="Evet",ROUND($C787*tbo_oranKadinGenc,2)=$J787),"TBO-004","TBO-ENG")))))</f>
        <v/>
      </c>
      <c r="J787" s="31">
        <f>IF($A787="","",MAX(IF($D787="Evet",ROUND($C787*tbo_oranBesPuan,2),0),IF($E787="Evet",ROUND($C787*tbo_oranIlave,2),0),IF($F787="Evet",ROUND($C787*tbo_oranKadinGenc,2),0),IF($G787="Evet",ROUND($C787*tbo_isverenOran,2),0)))</f>
        <v/>
      </c>
      <c r="K787" s="31">
        <f>IF($A787="","",IF($H787="TBO-001",IF($D787="Evet",ROUND($C787*tbo_oranBesPuan,2),0),IF($H787="TBO-002",IF($E787="Evet",ROUND($C787*tbo_oranIlave,2),0),IF($H787="TBO-004",IF($F787="Evet",ROUND($C787*tbo_oranKadinGenc,2),0),IF($H787="TBO-ENG",IF($G787="Evet",ROUND($C787*tbo_isverenOran,2),0),0)))))</f>
        <v/>
      </c>
      <c r="L787" s="31">
        <f>IF($A787="","",MAX(0,$J787-$K787))</f>
        <v/>
      </c>
    </row>
    <row r="788">
      <c r="I788" s="31">
        <f>IF($A788="","",IF($J788=0,"YOK",IF(AND($E788="Evet",ROUND($C788*tbo_oranIlave,2)=$J788),"TBO-002",IF(AND($D788="Evet",ROUND($C788*tbo_oranBesPuan,2)=$J788),"TBO-001",IF(AND($F788="Evet",ROUND($C788*tbo_oranKadinGenc,2)=$J788),"TBO-004","TBO-ENG")))))</f>
        <v/>
      </c>
      <c r="J788" s="31">
        <f>IF($A788="","",MAX(IF($D788="Evet",ROUND($C788*tbo_oranBesPuan,2),0),IF($E788="Evet",ROUND($C788*tbo_oranIlave,2),0),IF($F788="Evet",ROUND($C788*tbo_oranKadinGenc,2),0),IF($G788="Evet",ROUND($C788*tbo_isverenOran,2),0)))</f>
        <v/>
      </c>
      <c r="K788" s="31">
        <f>IF($A788="","",IF($H788="TBO-001",IF($D788="Evet",ROUND($C788*tbo_oranBesPuan,2),0),IF($H788="TBO-002",IF($E788="Evet",ROUND($C788*tbo_oranIlave,2),0),IF($H788="TBO-004",IF($F788="Evet",ROUND($C788*tbo_oranKadinGenc,2),0),IF($H788="TBO-ENG",IF($G788="Evet",ROUND($C788*tbo_isverenOran,2),0),0)))))</f>
        <v/>
      </c>
      <c r="L788" s="31">
        <f>IF($A788="","",MAX(0,$J788-$K788))</f>
        <v/>
      </c>
    </row>
    <row r="789">
      <c r="I789" s="31">
        <f>IF($A789="","",IF($J789=0,"YOK",IF(AND($E789="Evet",ROUND($C789*tbo_oranIlave,2)=$J789),"TBO-002",IF(AND($D789="Evet",ROUND($C789*tbo_oranBesPuan,2)=$J789),"TBO-001",IF(AND($F789="Evet",ROUND($C789*tbo_oranKadinGenc,2)=$J789),"TBO-004","TBO-ENG")))))</f>
        <v/>
      </c>
      <c r="J789" s="31">
        <f>IF($A789="","",MAX(IF($D789="Evet",ROUND($C789*tbo_oranBesPuan,2),0),IF($E789="Evet",ROUND($C789*tbo_oranIlave,2),0),IF($F789="Evet",ROUND($C789*tbo_oranKadinGenc,2),0),IF($G789="Evet",ROUND($C789*tbo_isverenOran,2),0)))</f>
        <v/>
      </c>
      <c r="K789" s="31">
        <f>IF($A789="","",IF($H789="TBO-001",IF($D789="Evet",ROUND($C789*tbo_oranBesPuan,2),0),IF($H789="TBO-002",IF($E789="Evet",ROUND($C789*tbo_oranIlave,2),0),IF($H789="TBO-004",IF($F789="Evet",ROUND($C789*tbo_oranKadinGenc,2),0),IF($H789="TBO-ENG",IF($G789="Evet",ROUND($C789*tbo_isverenOran,2),0),0)))))</f>
        <v/>
      </c>
      <c r="L789" s="31">
        <f>IF($A789="","",MAX(0,$J789-$K789))</f>
        <v/>
      </c>
    </row>
    <row r="790">
      <c r="I790" s="31">
        <f>IF($A790="","",IF($J790=0,"YOK",IF(AND($E790="Evet",ROUND($C790*tbo_oranIlave,2)=$J790),"TBO-002",IF(AND($D790="Evet",ROUND($C790*tbo_oranBesPuan,2)=$J790),"TBO-001",IF(AND($F790="Evet",ROUND($C790*tbo_oranKadinGenc,2)=$J790),"TBO-004","TBO-ENG")))))</f>
        <v/>
      </c>
      <c r="J790" s="31">
        <f>IF($A790="","",MAX(IF($D790="Evet",ROUND($C790*tbo_oranBesPuan,2),0),IF($E790="Evet",ROUND($C790*tbo_oranIlave,2),0),IF($F790="Evet",ROUND($C790*tbo_oranKadinGenc,2),0),IF($G790="Evet",ROUND($C790*tbo_isverenOran,2),0)))</f>
        <v/>
      </c>
      <c r="K790" s="31">
        <f>IF($A790="","",IF($H790="TBO-001",IF($D790="Evet",ROUND($C790*tbo_oranBesPuan,2),0),IF($H790="TBO-002",IF($E790="Evet",ROUND($C790*tbo_oranIlave,2),0),IF($H790="TBO-004",IF($F790="Evet",ROUND($C790*tbo_oranKadinGenc,2),0),IF($H790="TBO-ENG",IF($G790="Evet",ROUND($C790*tbo_isverenOran,2),0),0)))))</f>
        <v/>
      </c>
      <c r="L790" s="31">
        <f>IF($A790="","",MAX(0,$J790-$K790))</f>
        <v/>
      </c>
    </row>
    <row r="791">
      <c r="I791" s="31">
        <f>IF($A791="","",IF($J791=0,"YOK",IF(AND($E791="Evet",ROUND($C791*tbo_oranIlave,2)=$J791),"TBO-002",IF(AND($D791="Evet",ROUND($C791*tbo_oranBesPuan,2)=$J791),"TBO-001",IF(AND($F791="Evet",ROUND($C791*tbo_oranKadinGenc,2)=$J791),"TBO-004","TBO-ENG")))))</f>
        <v/>
      </c>
      <c r="J791" s="31">
        <f>IF($A791="","",MAX(IF($D791="Evet",ROUND($C791*tbo_oranBesPuan,2),0),IF($E791="Evet",ROUND($C791*tbo_oranIlave,2),0),IF($F791="Evet",ROUND($C791*tbo_oranKadinGenc,2),0),IF($G791="Evet",ROUND($C791*tbo_isverenOran,2),0)))</f>
        <v/>
      </c>
      <c r="K791" s="31">
        <f>IF($A791="","",IF($H791="TBO-001",IF($D791="Evet",ROUND($C791*tbo_oranBesPuan,2),0),IF($H791="TBO-002",IF($E791="Evet",ROUND($C791*tbo_oranIlave,2),0),IF($H791="TBO-004",IF($F791="Evet",ROUND($C791*tbo_oranKadinGenc,2),0),IF($H791="TBO-ENG",IF($G791="Evet",ROUND($C791*tbo_isverenOran,2),0),0)))))</f>
        <v/>
      </c>
      <c r="L791" s="31">
        <f>IF($A791="","",MAX(0,$J791-$K791))</f>
        <v/>
      </c>
    </row>
    <row r="792">
      <c r="I792" s="31">
        <f>IF($A792="","",IF($J792=0,"YOK",IF(AND($E792="Evet",ROUND($C792*tbo_oranIlave,2)=$J792),"TBO-002",IF(AND($D792="Evet",ROUND($C792*tbo_oranBesPuan,2)=$J792),"TBO-001",IF(AND($F792="Evet",ROUND($C792*tbo_oranKadinGenc,2)=$J792),"TBO-004","TBO-ENG")))))</f>
        <v/>
      </c>
      <c r="J792" s="31">
        <f>IF($A792="","",MAX(IF($D792="Evet",ROUND($C792*tbo_oranBesPuan,2),0),IF($E792="Evet",ROUND($C792*tbo_oranIlave,2),0),IF($F792="Evet",ROUND($C792*tbo_oranKadinGenc,2),0),IF($G792="Evet",ROUND($C792*tbo_isverenOran,2),0)))</f>
        <v/>
      </c>
      <c r="K792" s="31">
        <f>IF($A792="","",IF($H792="TBO-001",IF($D792="Evet",ROUND($C792*tbo_oranBesPuan,2),0),IF($H792="TBO-002",IF($E792="Evet",ROUND($C792*tbo_oranIlave,2),0),IF($H792="TBO-004",IF($F792="Evet",ROUND($C792*tbo_oranKadinGenc,2),0),IF($H792="TBO-ENG",IF($G792="Evet",ROUND($C792*tbo_isverenOran,2),0),0)))))</f>
        <v/>
      </c>
      <c r="L792" s="31">
        <f>IF($A792="","",MAX(0,$J792-$K792))</f>
        <v/>
      </c>
    </row>
    <row r="793">
      <c r="I793" s="31">
        <f>IF($A793="","",IF($J793=0,"YOK",IF(AND($E793="Evet",ROUND($C793*tbo_oranIlave,2)=$J793),"TBO-002",IF(AND($D793="Evet",ROUND($C793*tbo_oranBesPuan,2)=$J793),"TBO-001",IF(AND($F793="Evet",ROUND($C793*tbo_oranKadinGenc,2)=$J793),"TBO-004","TBO-ENG")))))</f>
        <v/>
      </c>
      <c r="J793" s="31">
        <f>IF($A793="","",MAX(IF($D793="Evet",ROUND($C793*tbo_oranBesPuan,2),0),IF($E793="Evet",ROUND($C793*tbo_oranIlave,2),0),IF($F793="Evet",ROUND($C793*tbo_oranKadinGenc,2),0),IF($G793="Evet",ROUND($C793*tbo_isverenOran,2),0)))</f>
        <v/>
      </c>
      <c r="K793" s="31">
        <f>IF($A793="","",IF($H793="TBO-001",IF($D793="Evet",ROUND($C793*tbo_oranBesPuan,2),0),IF($H793="TBO-002",IF($E793="Evet",ROUND($C793*tbo_oranIlave,2),0),IF($H793="TBO-004",IF($F793="Evet",ROUND($C793*tbo_oranKadinGenc,2),0),IF($H793="TBO-ENG",IF($G793="Evet",ROUND($C793*tbo_isverenOran,2),0),0)))))</f>
        <v/>
      </c>
      <c r="L793" s="31">
        <f>IF($A793="","",MAX(0,$J793-$K793))</f>
        <v/>
      </c>
    </row>
    <row r="794">
      <c r="I794" s="31">
        <f>IF($A794="","",IF($J794=0,"YOK",IF(AND($E794="Evet",ROUND($C794*tbo_oranIlave,2)=$J794),"TBO-002",IF(AND($D794="Evet",ROUND($C794*tbo_oranBesPuan,2)=$J794),"TBO-001",IF(AND($F794="Evet",ROUND($C794*tbo_oranKadinGenc,2)=$J794),"TBO-004","TBO-ENG")))))</f>
        <v/>
      </c>
      <c r="J794" s="31">
        <f>IF($A794="","",MAX(IF($D794="Evet",ROUND($C794*tbo_oranBesPuan,2),0),IF($E794="Evet",ROUND($C794*tbo_oranIlave,2),0),IF($F794="Evet",ROUND($C794*tbo_oranKadinGenc,2),0),IF($G794="Evet",ROUND($C794*tbo_isverenOran,2),0)))</f>
        <v/>
      </c>
      <c r="K794" s="31">
        <f>IF($A794="","",IF($H794="TBO-001",IF($D794="Evet",ROUND($C794*tbo_oranBesPuan,2),0),IF($H794="TBO-002",IF($E794="Evet",ROUND($C794*tbo_oranIlave,2),0),IF($H794="TBO-004",IF($F794="Evet",ROUND($C794*tbo_oranKadinGenc,2),0),IF($H794="TBO-ENG",IF($G794="Evet",ROUND($C794*tbo_isverenOran,2),0),0)))))</f>
        <v/>
      </c>
      <c r="L794" s="31">
        <f>IF($A794="","",MAX(0,$J794-$K794))</f>
        <v/>
      </c>
    </row>
    <row r="795">
      <c r="I795" s="31">
        <f>IF($A795="","",IF($J795=0,"YOK",IF(AND($E795="Evet",ROUND($C795*tbo_oranIlave,2)=$J795),"TBO-002",IF(AND($D795="Evet",ROUND($C795*tbo_oranBesPuan,2)=$J795),"TBO-001",IF(AND($F795="Evet",ROUND($C795*tbo_oranKadinGenc,2)=$J795),"TBO-004","TBO-ENG")))))</f>
        <v/>
      </c>
      <c r="J795" s="31">
        <f>IF($A795="","",MAX(IF($D795="Evet",ROUND($C795*tbo_oranBesPuan,2),0),IF($E795="Evet",ROUND($C795*tbo_oranIlave,2),0),IF($F795="Evet",ROUND($C795*tbo_oranKadinGenc,2),0),IF($G795="Evet",ROUND($C795*tbo_isverenOran,2),0)))</f>
        <v/>
      </c>
      <c r="K795" s="31">
        <f>IF($A795="","",IF($H795="TBO-001",IF($D795="Evet",ROUND($C795*tbo_oranBesPuan,2),0),IF($H795="TBO-002",IF($E795="Evet",ROUND($C795*tbo_oranIlave,2),0),IF($H795="TBO-004",IF($F795="Evet",ROUND($C795*tbo_oranKadinGenc,2),0),IF($H795="TBO-ENG",IF($G795="Evet",ROUND($C795*tbo_isverenOran,2),0),0)))))</f>
        <v/>
      </c>
      <c r="L795" s="31">
        <f>IF($A795="","",MAX(0,$J795-$K795))</f>
        <v/>
      </c>
    </row>
    <row r="796">
      <c r="I796" s="31">
        <f>IF($A796="","",IF($J796=0,"YOK",IF(AND($E796="Evet",ROUND($C796*tbo_oranIlave,2)=$J796),"TBO-002",IF(AND($D796="Evet",ROUND($C796*tbo_oranBesPuan,2)=$J796),"TBO-001",IF(AND($F796="Evet",ROUND($C796*tbo_oranKadinGenc,2)=$J796),"TBO-004","TBO-ENG")))))</f>
        <v/>
      </c>
      <c r="J796" s="31">
        <f>IF($A796="","",MAX(IF($D796="Evet",ROUND($C796*tbo_oranBesPuan,2),0),IF($E796="Evet",ROUND($C796*tbo_oranIlave,2),0),IF($F796="Evet",ROUND($C796*tbo_oranKadinGenc,2),0),IF($G796="Evet",ROUND($C796*tbo_isverenOran,2),0)))</f>
        <v/>
      </c>
      <c r="K796" s="31">
        <f>IF($A796="","",IF($H796="TBO-001",IF($D796="Evet",ROUND($C796*tbo_oranBesPuan,2),0),IF($H796="TBO-002",IF($E796="Evet",ROUND($C796*tbo_oranIlave,2),0),IF($H796="TBO-004",IF($F796="Evet",ROUND($C796*tbo_oranKadinGenc,2),0),IF($H796="TBO-ENG",IF($G796="Evet",ROUND($C796*tbo_isverenOran,2),0),0)))))</f>
        <v/>
      </c>
      <c r="L796" s="31">
        <f>IF($A796="","",MAX(0,$J796-$K796))</f>
        <v/>
      </c>
    </row>
    <row r="797">
      <c r="I797" s="31">
        <f>IF($A797="","",IF($J797=0,"YOK",IF(AND($E797="Evet",ROUND($C797*tbo_oranIlave,2)=$J797),"TBO-002",IF(AND($D797="Evet",ROUND($C797*tbo_oranBesPuan,2)=$J797),"TBO-001",IF(AND($F797="Evet",ROUND($C797*tbo_oranKadinGenc,2)=$J797),"TBO-004","TBO-ENG")))))</f>
        <v/>
      </c>
      <c r="J797" s="31">
        <f>IF($A797="","",MAX(IF($D797="Evet",ROUND($C797*tbo_oranBesPuan,2),0),IF($E797="Evet",ROUND($C797*tbo_oranIlave,2),0),IF($F797="Evet",ROUND($C797*tbo_oranKadinGenc,2),0),IF($G797="Evet",ROUND($C797*tbo_isverenOran,2),0)))</f>
        <v/>
      </c>
      <c r="K797" s="31">
        <f>IF($A797="","",IF($H797="TBO-001",IF($D797="Evet",ROUND($C797*tbo_oranBesPuan,2),0),IF($H797="TBO-002",IF($E797="Evet",ROUND($C797*tbo_oranIlave,2),0),IF($H797="TBO-004",IF($F797="Evet",ROUND($C797*tbo_oranKadinGenc,2),0),IF($H797="TBO-ENG",IF($G797="Evet",ROUND($C797*tbo_isverenOran,2),0),0)))))</f>
        <v/>
      </c>
      <c r="L797" s="31">
        <f>IF($A797="","",MAX(0,$J797-$K797))</f>
        <v/>
      </c>
    </row>
    <row r="798">
      <c r="I798" s="31">
        <f>IF($A798="","",IF($J798=0,"YOK",IF(AND($E798="Evet",ROUND($C798*tbo_oranIlave,2)=$J798),"TBO-002",IF(AND($D798="Evet",ROUND($C798*tbo_oranBesPuan,2)=$J798),"TBO-001",IF(AND($F798="Evet",ROUND($C798*tbo_oranKadinGenc,2)=$J798),"TBO-004","TBO-ENG")))))</f>
        <v/>
      </c>
      <c r="J798" s="31">
        <f>IF($A798="","",MAX(IF($D798="Evet",ROUND($C798*tbo_oranBesPuan,2),0),IF($E798="Evet",ROUND($C798*tbo_oranIlave,2),0),IF($F798="Evet",ROUND($C798*tbo_oranKadinGenc,2),0),IF($G798="Evet",ROUND($C798*tbo_isverenOran,2),0)))</f>
        <v/>
      </c>
      <c r="K798" s="31">
        <f>IF($A798="","",IF($H798="TBO-001",IF($D798="Evet",ROUND($C798*tbo_oranBesPuan,2),0),IF($H798="TBO-002",IF($E798="Evet",ROUND($C798*tbo_oranIlave,2),0),IF($H798="TBO-004",IF($F798="Evet",ROUND($C798*tbo_oranKadinGenc,2),0),IF($H798="TBO-ENG",IF($G798="Evet",ROUND($C798*tbo_isverenOran,2),0),0)))))</f>
        <v/>
      </c>
      <c r="L798" s="31">
        <f>IF($A798="","",MAX(0,$J798-$K798))</f>
        <v/>
      </c>
    </row>
    <row r="799">
      <c r="I799" s="31">
        <f>IF($A799="","",IF($J799=0,"YOK",IF(AND($E799="Evet",ROUND($C799*tbo_oranIlave,2)=$J799),"TBO-002",IF(AND($D799="Evet",ROUND($C799*tbo_oranBesPuan,2)=$J799),"TBO-001",IF(AND($F799="Evet",ROUND($C799*tbo_oranKadinGenc,2)=$J799),"TBO-004","TBO-ENG")))))</f>
        <v/>
      </c>
      <c r="J799" s="31">
        <f>IF($A799="","",MAX(IF($D799="Evet",ROUND($C799*tbo_oranBesPuan,2),0),IF($E799="Evet",ROUND($C799*tbo_oranIlave,2),0),IF($F799="Evet",ROUND($C799*tbo_oranKadinGenc,2),0),IF($G799="Evet",ROUND($C799*tbo_isverenOran,2),0)))</f>
        <v/>
      </c>
      <c r="K799" s="31">
        <f>IF($A799="","",IF($H799="TBO-001",IF($D799="Evet",ROUND($C799*tbo_oranBesPuan,2),0),IF($H799="TBO-002",IF($E799="Evet",ROUND($C799*tbo_oranIlave,2),0),IF($H799="TBO-004",IF($F799="Evet",ROUND($C799*tbo_oranKadinGenc,2),0),IF($H799="TBO-ENG",IF($G799="Evet",ROUND($C799*tbo_isverenOran,2),0),0)))))</f>
        <v/>
      </c>
      <c r="L799" s="31">
        <f>IF($A799="","",MAX(0,$J799-$K799))</f>
        <v/>
      </c>
    </row>
    <row r="800">
      <c r="I800" s="31">
        <f>IF($A800="","",IF($J800=0,"YOK",IF(AND($E800="Evet",ROUND($C800*tbo_oranIlave,2)=$J800),"TBO-002",IF(AND($D800="Evet",ROUND($C800*tbo_oranBesPuan,2)=$J800),"TBO-001",IF(AND($F800="Evet",ROUND($C800*tbo_oranKadinGenc,2)=$J800),"TBO-004","TBO-ENG")))))</f>
        <v/>
      </c>
      <c r="J800" s="31">
        <f>IF($A800="","",MAX(IF($D800="Evet",ROUND($C800*tbo_oranBesPuan,2),0),IF($E800="Evet",ROUND($C800*tbo_oranIlave,2),0),IF($F800="Evet",ROUND($C800*tbo_oranKadinGenc,2),0),IF($G800="Evet",ROUND($C800*tbo_isverenOran,2),0)))</f>
        <v/>
      </c>
      <c r="K800" s="31">
        <f>IF($A800="","",IF($H800="TBO-001",IF($D800="Evet",ROUND($C800*tbo_oranBesPuan,2),0),IF($H800="TBO-002",IF($E800="Evet",ROUND($C800*tbo_oranIlave,2),0),IF($H800="TBO-004",IF($F800="Evet",ROUND($C800*tbo_oranKadinGenc,2),0),IF($H800="TBO-ENG",IF($G800="Evet",ROUND($C800*tbo_isverenOran,2),0),0)))))</f>
        <v/>
      </c>
      <c r="L800" s="31">
        <f>IF($A800="","",MAX(0,$J800-$K800))</f>
        <v/>
      </c>
    </row>
    <row r="801">
      <c r="I801" s="31">
        <f>IF($A801="","",IF($J801=0,"YOK",IF(AND($E801="Evet",ROUND($C801*tbo_oranIlave,2)=$J801),"TBO-002",IF(AND($D801="Evet",ROUND($C801*tbo_oranBesPuan,2)=$J801),"TBO-001",IF(AND($F801="Evet",ROUND($C801*tbo_oranKadinGenc,2)=$J801),"TBO-004","TBO-ENG")))))</f>
        <v/>
      </c>
      <c r="J801" s="31">
        <f>IF($A801="","",MAX(IF($D801="Evet",ROUND($C801*tbo_oranBesPuan,2),0),IF($E801="Evet",ROUND($C801*tbo_oranIlave,2),0),IF($F801="Evet",ROUND($C801*tbo_oranKadinGenc,2),0),IF($G801="Evet",ROUND($C801*tbo_isverenOran,2),0)))</f>
        <v/>
      </c>
      <c r="K801" s="31">
        <f>IF($A801="","",IF($H801="TBO-001",IF($D801="Evet",ROUND($C801*tbo_oranBesPuan,2),0),IF($H801="TBO-002",IF($E801="Evet",ROUND($C801*tbo_oranIlave,2),0),IF($H801="TBO-004",IF($F801="Evet",ROUND($C801*tbo_oranKadinGenc,2),0),IF($H801="TBO-ENG",IF($G801="Evet",ROUND($C801*tbo_isverenOran,2),0),0)))))</f>
        <v/>
      </c>
      <c r="L801" s="31">
        <f>IF($A801="","",MAX(0,$J801-$K801))</f>
        <v/>
      </c>
    </row>
    <row r="802">
      <c r="I802" s="31">
        <f>IF($A802="","",IF($J802=0,"YOK",IF(AND($E802="Evet",ROUND($C802*tbo_oranIlave,2)=$J802),"TBO-002",IF(AND($D802="Evet",ROUND($C802*tbo_oranBesPuan,2)=$J802),"TBO-001",IF(AND($F802="Evet",ROUND($C802*tbo_oranKadinGenc,2)=$J802),"TBO-004","TBO-ENG")))))</f>
        <v/>
      </c>
      <c r="J802" s="31">
        <f>IF($A802="","",MAX(IF($D802="Evet",ROUND($C802*tbo_oranBesPuan,2),0),IF($E802="Evet",ROUND($C802*tbo_oranIlave,2),0),IF($F802="Evet",ROUND($C802*tbo_oranKadinGenc,2),0),IF($G802="Evet",ROUND($C802*tbo_isverenOran,2),0)))</f>
        <v/>
      </c>
      <c r="K802" s="31">
        <f>IF($A802="","",IF($H802="TBO-001",IF($D802="Evet",ROUND($C802*tbo_oranBesPuan,2),0),IF($H802="TBO-002",IF($E802="Evet",ROUND($C802*tbo_oranIlave,2),0),IF($H802="TBO-004",IF($F802="Evet",ROUND($C802*tbo_oranKadinGenc,2),0),IF($H802="TBO-ENG",IF($G802="Evet",ROUND($C802*tbo_isverenOran,2),0),0)))))</f>
        <v/>
      </c>
      <c r="L802" s="31">
        <f>IF($A802="","",MAX(0,$J802-$K802))</f>
        <v/>
      </c>
    </row>
    <row r="803">
      <c r="I803" s="31">
        <f>IF($A803="","",IF($J803=0,"YOK",IF(AND($E803="Evet",ROUND($C803*tbo_oranIlave,2)=$J803),"TBO-002",IF(AND($D803="Evet",ROUND($C803*tbo_oranBesPuan,2)=$J803),"TBO-001",IF(AND($F803="Evet",ROUND($C803*tbo_oranKadinGenc,2)=$J803),"TBO-004","TBO-ENG")))))</f>
        <v/>
      </c>
      <c r="J803" s="31">
        <f>IF($A803="","",MAX(IF($D803="Evet",ROUND($C803*tbo_oranBesPuan,2),0),IF($E803="Evet",ROUND($C803*tbo_oranIlave,2),0),IF($F803="Evet",ROUND($C803*tbo_oranKadinGenc,2),0),IF($G803="Evet",ROUND($C803*tbo_isverenOran,2),0)))</f>
        <v/>
      </c>
      <c r="K803" s="31">
        <f>IF($A803="","",IF($H803="TBO-001",IF($D803="Evet",ROUND($C803*tbo_oranBesPuan,2),0),IF($H803="TBO-002",IF($E803="Evet",ROUND($C803*tbo_oranIlave,2),0),IF($H803="TBO-004",IF($F803="Evet",ROUND($C803*tbo_oranKadinGenc,2),0),IF($H803="TBO-ENG",IF($G803="Evet",ROUND($C803*tbo_isverenOran,2),0),0)))))</f>
        <v/>
      </c>
      <c r="L803" s="31">
        <f>IF($A803="","",MAX(0,$J803-$K803))</f>
        <v/>
      </c>
    </row>
    <row r="804">
      <c r="I804" s="31">
        <f>IF($A804="","",IF($J804=0,"YOK",IF(AND($E804="Evet",ROUND($C804*tbo_oranIlave,2)=$J804),"TBO-002",IF(AND($D804="Evet",ROUND($C804*tbo_oranBesPuan,2)=$J804),"TBO-001",IF(AND($F804="Evet",ROUND($C804*tbo_oranKadinGenc,2)=$J804),"TBO-004","TBO-ENG")))))</f>
        <v/>
      </c>
      <c r="J804" s="31">
        <f>IF($A804="","",MAX(IF($D804="Evet",ROUND($C804*tbo_oranBesPuan,2),0),IF($E804="Evet",ROUND($C804*tbo_oranIlave,2),0),IF($F804="Evet",ROUND($C804*tbo_oranKadinGenc,2),0),IF($G804="Evet",ROUND($C804*tbo_isverenOran,2),0)))</f>
        <v/>
      </c>
      <c r="K804" s="31">
        <f>IF($A804="","",IF($H804="TBO-001",IF($D804="Evet",ROUND($C804*tbo_oranBesPuan,2),0),IF($H804="TBO-002",IF($E804="Evet",ROUND($C804*tbo_oranIlave,2),0),IF($H804="TBO-004",IF($F804="Evet",ROUND($C804*tbo_oranKadinGenc,2),0),IF($H804="TBO-ENG",IF($G804="Evet",ROUND($C804*tbo_isverenOran,2),0),0)))))</f>
        <v/>
      </c>
      <c r="L804" s="31">
        <f>IF($A804="","",MAX(0,$J804-$K804))</f>
        <v/>
      </c>
    </row>
    <row r="805">
      <c r="I805" s="31">
        <f>IF($A805="","",IF($J805=0,"YOK",IF(AND($E805="Evet",ROUND($C805*tbo_oranIlave,2)=$J805),"TBO-002",IF(AND($D805="Evet",ROUND($C805*tbo_oranBesPuan,2)=$J805),"TBO-001",IF(AND($F805="Evet",ROUND($C805*tbo_oranKadinGenc,2)=$J805),"TBO-004","TBO-ENG")))))</f>
        <v/>
      </c>
      <c r="J805" s="31">
        <f>IF($A805="","",MAX(IF($D805="Evet",ROUND($C805*tbo_oranBesPuan,2),0),IF($E805="Evet",ROUND($C805*tbo_oranIlave,2),0),IF($F805="Evet",ROUND($C805*tbo_oranKadinGenc,2),0),IF($G805="Evet",ROUND($C805*tbo_isverenOran,2),0)))</f>
        <v/>
      </c>
      <c r="K805" s="31">
        <f>IF($A805="","",IF($H805="TBO-001",IF($D805="Evet",ROUND($C805*tbo_oranBesPuan,2),0),IF($H805="TBO-002",IF($E805="Evet",ROUND($C805*tbo_oranIlave,2),0),IF($H805="TBO-004",IF($F805="Evet",ROUND($C805*tbo_oranKadinGenc,2),0),IF($H805="TBO-ENG",IF($G805="Evet",ROUND($C805*tbo_isverenOran,2),0),0)))))</f>
        <v/>
      </c>
      <c r="L805" s="31">
        <f>IF($A805="","",MAX(0,$J805-$K805))</f>
        <v/>
      </c>
    </row>
    <row r="806">
      <c r="I806" s="31">
        <f>IF($A806="","",IF($J806=0,"YOK",IF(AND($E806="Evet",ROUND($C806*tbo_oranIlave,2)=$J806),"TBO-002",IF(AND($D806="Evet",ROUND($C806*tbo_oranBesPuan,2)=$J806),"TBO-001",IF(AND($F806="Evet",ROUND($C806*tbo_oranKadinGenc,2)=$J806),"TBO-004","TBO-ENG")))))</f>
        <v/>
      </c>
      <c r="J806" s="31">
        <f>IF($A806="","",MAX(IF($D806="Evet",ROUND($C806*tbo_oranBesPuan,2),0),IF($E806="Evet",ROUND($C806*tbo_oranIlave,2),0),IF($F806="Evet",ROUND($C806*tbo_oranKadinGenc,2),0),IF($G806="Evet",ROUND($C806*tbo_isverenOran,2),0)))</f>
        <v/>
      </c>
      <c r="K806" s="31">
        <f>IF($A806="","",IF($H806="TBO-001",IF($D806="Evet",ROUND($C806*tbo_oranBesPuan,2),0),IF($H806="TBO-002",IF($E806="Evet",ROUND($C806*tbo_oranIlave,2),0),IF($H806="TBO-004",IF($F806="Evet",ROUND($C806*tbo_oranKadinGenc,2),0),IF($H806="TBO-ENG",IF($G806="Evet",ROUND($C806*tbo_isverenOran,2),0),0)))))</f>
        <v/>
      </c>
      <c r="L806" s="31">
        <f>IF($A806="","",MAX(0,$J806-$K806))</f>
        <v/>
      </c>
    </row>
    <row r="807">
      <c r="I807" s="31">
        <f>IF($A807="","",IF($J807=0,"YOK",IF(AND($E807="Evet",ROUND($C807*tbo_oranIlave,2)=$J807),"TBO-002",IF(AND($D807="Evet",ROUND($C807*tbo_oranBesPuan,2)=$J807),"TBO-001",IF(AND($F807="Evet",ROUND($C807*tbo_oranKadinGenc,2)=$J807),"TBO-004","TBO-ENG")))))</f>
        <v/>
      </c>
      <c r="J807" s="31">
        <f>IF($A807="","",MAX(IF($D807="Evet",ROUND($C807*tbo_oranBesPuan,2),0),IF($E807="Evet",ROUND($C807*tbo_oranIlave,2),0),IF($F807="Evet",ROUND($C807*tbo_oranKadinGenc,2),0),IF($G807="Evet",ROUND($C807*tbo_isverenOran,2),0)))</f>
        <v/>
      </c>
      <c r="K807" s="31">
        <f>IF($A807="","",IF($H807="TBO-001",IF($D807="Evet",ROUND($C807*tbo_oranBesPuan,2),0),IF($H807="TBO-002",IF($E807="Evet",ROUND($C807*tbo_oranIlave,2),0),IF($H807="TBO-004",IF($F807="Evet",ROUND($C807*tbo_oranKadinGenc,2),0),IF($H807="TBO-ENG",IF($G807="Evet",ROUND($C807*tbo_isverenOran,2),0),0)))))</f>
        <v/>
      </c>
      <c r="L807" s="31">
        <f>IF($A807="","",MAX(0,$J807-$K807))</f>
        <v/>
      </c>
    </row>
    <row r="808">
      <c r="I808" s="31">
        <f>IF($A808="","",IF($J808=0,"YOK",IF(AND($E808="Evet",ROUND($C808*tbo_oranIlave,2)=$J808),"TBO-002",IF(AND($D808="Evet",ROUND($C808*tbo_oranBesPuan,2)=$J808),"TBO-001",IF(AND($F808="Evet",ROUND($C808*tbo_oranKadinGenc,2)=$J808),"TBO-004","TBO-ENG")))))</f>
        <v/>
      </c>
      <c r="J808" s="31">
        <f>IF($A808="","",MAX(IF($D808="Evet",ROUND($C808*tbo_oranBesPuan,2),0),IF($E808="Evet",ROUND($C808*tbo_oranIlave,2),0),IF($F808="Evet",ROUND($C808*tbo_oranKadinGenc,2),0),IF($G808="Evet",ROUND($C808*tbo_isverenOran,2),0)))</f>
        <v/>
      </c>
      <c r="K808" s="31">
        <f>IF($A808="","",IF($H808="TBO-001",IF($D808="Evet",ROUND($C808*tbo_oranBesPuan,2),0),IF($H808="TBO-002",IF($E808="Evet",ROUND($C808*tbo_oranIlave,2),0),IF($H808="TBO-004",IF($F808="Evet",ROUND($C808*tbo_oranKadinGenc,2),0),IF($H808="TBO-ENG",IF($G808="Evet",ROUND($C808*tbo_isverenOran,2),0),0)))))</f>
        <v/>
      </c>
      <c r="L808" s="31">
        <f>IF($A808="","",MAX(0,$J808-$K808))</f>
        <v/>
      </c>
    </row>
    <row r="809">
      <c r="I809" s="31">
        <f>IF($A809="","",IF($J809=0,"YOK",IF(AND($E809="Evet",ROUND($C809*tbo_oranIlave,2)=$J809),"TBO-002",IF(AND($D809="Evet",ROUND($C809*tbo_oranBesPuan,2)=$J809),"TBO-001",IF(AND($F809="Evet",ROUND($C809*tbo_oranKadinGenc,2)=$J809),"TBO-004","TBO-ENG")))))</f>
        <v/>
      </c>
      <c r="J809" s="31">
        <f>IF($A809="","",MAX(IF($D809="Evet",ROUND($C809*tbo_oranBesPuan,2),0),IF($E809="Evet",ROUND($C809*tbo_oranIlave,2),0),IF($F809="Evet",ROUND($C809*tbo_oranKadinGenc,2),0),IF($G809="Evet",ROUND($C809*tbo_isverenOran,2),0)))</f>
        <v/>
      </c>
      <c r="K809" s="31">
        <f>IF($A809="","",IF($H809="TBO-001",IF($D809="Evet",ROUND($C809*tbo_oranBesPuan,2),0),IF($H809="TBO-002",IF($E809="Evet",ROUND($C809*tbo_oranIlave,2),0),IF($H809="TBO-004",IF($F809="Evet",ROUND($C809*tbo_oranKadinGenc,2),0),IF($H809="TBO-ENG",IF($G809="Evet",ROUND($C809*tbo_isverenOran,2),0),0)))))</f>
        <v/>
      </c>
      <c r="L809" s="31">
        <f>IF($A809="","",MAX(0,$J809-$K809))</f>
        <v/>
      </c>
    </row>
    <row r="810">
      <c r="I810" s="31">
        <f>IF($A810="","",IF($J810=0,"YOK",IF(AND($E810="Evet",ROUND($C810*tbo_oranIlave,2)=$J810),"TBO-002",IF(AND($D810="Evet",ROUND($C810*tbo_oranBesPuan,2)=$J810),"TBO-001",IF(AND($F810="Evet",ROUND($C810*tbo_oranKadinGenc,2)=$J810),"TBO-004","TBO-ENG")))))</f>
        <v/>
      </c>
      <c r="J810" s="31">
        <f>IF($A810="","",MAX(IF($D810="Evet",ROUND($C810*tbo_oranBesPuan,2),0),IF($E810="Evet",ROUND($C810*tbo_oranIlave,2),0),IF($F810="Evet",ROUND($C810*tbo_oranKadinGenc,2),0),IF($G810="Evet",ROUND($C810*tbo_isverenOran,2),0)))</f>
        <v/>
      </c>
      <c r="K810" s="31">
        <f>IF($A810="","",IF($H810="TBO-001",IF($D810="Evet",ROUND($C810*tbo_oranBesPuan,2),0),IF($H810="TBO-002",IF($E810="Evet",ROUND($C810*tbo_oranIlave,2),0),IF($H810="TBO-004",IF($F810="Evet",ROUND($C810*tbo_oranKadinGenc,2),0),IF($H810="TBO-ENG",IF($G810="Evet",ROUND($C810*tbo_isverenOran,2),0),0)))))</f>
        <v/>
      </c>
      <c r="L810" s="31">
        <f>IF($A810="","",MAX(0,$J810-$K810))</f>
        <v/>
      </c>
    </row>
    <row r="811">
      <c r="I811" s="31">
        <f>IF($A811="","",IF($J811=0,"YOK",IF(AND($E811="Evet",ROUND($C811*tbo_oranIlave,2)=$J811),"TBO-002",IF(AND($D811="Evet",ROUND($C811*tbo_oranBesPuan,2)=$J811),"TBO-001",IF(AND($F811="Evet",ROUND($C811*tbo_oranKadinGenc,2)=$J811),"TBO-004","TBO-ENG")))))</f>
        <v/>
      </c>
      <c r="J811" s="31">
        <f>IF($A811="","",MAX(IF($D811="Evet",ROUND($C811*tbo_oranBesPuan,2),0),IF($E811="Evet",ROUND($C811*tbo_oranIlave,2),0),IF($F811="Evet",ROUND($C811*tbo_oranKadinGenc,2),0),IF($G811="Evet",ROUND($C811*tbo_isverenOran,2),0)))</f>
        <v/>
      </c>
      <c r="K811" s="31">
        <f>IF($A811="","",IF($H811="TBO-001",IF($D811="Evet",ROUND($C811*tbo_oranBesPuan,2),0),IF($H811="TBO-002",IF($E811="Evet",ROUND($C811*tbo_oranIlave,2),0),IF($H811="TBO-004",IF($F811="Evet",ROUND($C811*tbo_oranKadinGenc,2),0),IF($H811="TBO-ENG",IF($G811="Evet",ROUND($C811*tbo_isverenOran,2),0),0)))))</f>
        <v/>
      </c>
      <c r="L811" s="31">
        <f>IF($A811="","",MAX(0,$J811-$K811))</f>
        <v/>
      </c>
    </row>
    <row r="812">
      <c r="I812" s="31">
        <f>IF($A812="","",IF($J812=0,"YOK",IF(AND($E812="Evet",ROUND($C812*tbo_oranIlave,2)=$J812),"TBO-002",IF(AND($D812="Evet",ROUND($C812*tbo_oranBesPuan,2)=$J812),"TBO-001",IF(AND($F812="Evet",ROUND($C812*tbo_oranKadinGenc,2)=$J812),"TBO-004","TBO-ENG")))))</f>
        <v/>
      </c>
      <c r="J812" s="31">
        <f>IF($A812="","",MAX(IF($D812="Evet",ROUND($C812*tbo_oranBesPuan,2),0),IF($E812="Evet",ROUND($C812*tbo_oranIlave,2),0),IF($F812="Evet",ROUND($C812*tbo_oranKadinGenc,2),0),IF($G812="Evet",ROUND($C812*tbo_isverenOran,2),0)))</f>
        <v/>
      </c>
      <c r="K812" s="31">
        <f>IF($A812="","",IF($H812="TBO-001",IF($D812="Evet",ROUND($C812*tbo_oranBesPuan,2),0),IF($H812="TBO-002",IF($E812="Evet",ROUND($C812*tbo_oranIlave,2),0),IF($H812="TBO-004",IF($F812="Evet",ROUND($C812*tbo_oranKadinGenc,2),0),IF($H812="TBO-ENG",IF($G812="Evet",ROUND($C812*tbo_isverenOran,2),0),0)))))</f>
        <v/>
      </c>
      <c r="L812" s="31">
        <f>IF($A812="","",MAX(0,$J812-$K812))</f>
        <v/>
      </c>
    </row>
    <row r="813">
      <c r="I813" s="31">
        <f>IF($A813="","",IF($J813=0,"YOK",IF(AND($E813="Evet",ROUND($C813*tbo_oranIlave,2)=$J813),"TBO-002",IF(AND($D813="Evet",ROUND($C813*tbo_oranBesPuan,2)=$J813),"TBO-001",IF(AND($F813="Evet",ROUND($C813*tbo_oranKadinGenc,2)=$J813),"TBO-004","TBO-ENG")))))</f>
        <v/>
      </c>
      <c r="J813" s="31">
        <f>IF($A813="","",MAX(IF($D813="Evet",ROUND($C813*tbo_oranBesPuan,2),0),IF($E813="Evet",ROUND($C813*tbo_oranIlave,2),0),IF($F813="Evet",ROUND($C813*tbo_oranKadinGenc,2),0),IF($G813="Evet",ROUND($C813*tbo_isverenOran,2),0)))</f>
        <v/>
      </c>
      <c r="K813" s="31">
        <f>IF($A813="","",IF($H813="TBO-001",IF($D813="Evet",ROUND($C813*tbo_oranBesPuan,2),0),IF($H813="TBO-002",IF($E813="Evet",ROUND($C813*tbo_oranIlave,2),0),IF($H813="TBO-004",IF($F813="Evet",ROUND($C813*tbo_oranKadinGenc,2),0),IF($H813="TBO-ENG",IF($G813="Evet",ROUND($C813*tbo_isverenOran,2),0),0)))))</f>
        <v/>
      </c>
      <c r="L813" s="31">
        <f>IF($A813="","",MAX(0,$J813-$K813))</f>
        <v/>
      </c>
    </row>
    <row r="814">
      <c r="I814" s="31">
        <f>IF($A814="","",IF($J814=0,"YOK",IF(AND($E814="Evet",ROUND($C814*tbo_oranIlave,2)=$J814),"TBO-002",IF(AND($D814="Evet",ROUND($C814*tbo_oranBesPuan,2)=$J814),"TBO-001",IF(AND($F814="Evet",ROUND($C814*tbo_oranKadinGenc,2)=$J814),"TBO-004","TBO-ENG")))))</f>
        <v/>
      </c>
      <c r="J814" s="31">
        <f>IF($A814="","",MAX(IF($D814="Evet",ROUND($C814*tbo_oranBesPuan,2),0),IF($E814="Evet",ROUND($C814*tbo_oranIlave,2),0),IF($F814="Evet",ROUND($C814*tbo_oranKadinGenc,2),0),IF($G814="Evet",ROUND($C814*tbo_isverenOran,2),0)))</f>
        <v/>
      </c>
      <c r="K814" s="31">
        <f>IF($A814="","",IF($H814="TBO-001",IF($D814="Evet",ROUND($C814*tbo_oranBesPuan,2),0),IF($H814="TBO-002",IF($E814="Evet",ROUND($C814*tbo_oranIlave,2),0),IF($H814="TBO-004",IF($F814="Evet",ROUND($C814*tbo_oranKadinGenc,2),0),IF($H814="TBO-ENG",IF($G814="Evet",ROUND($C814*tbo_isverenOran,2),0),0)))))</f>
        <v/>
      </c>
      <c r="L814" s="31">
        <f>IF($A814="","",MAX(0,$J814-$K814))</f>
        <v/>
      </c>
    </row>
    <row r="815">
      <c r="I815" s="31">
        <f>IF($A815="","",IF($J815=0,"YOK",IF(AND($E815="Evet",ROUND($C815*tbo_oranIlave,2)=$J815),"TBO-002",IF(AND($D815="Evet",ROUND($C815*tbo_oranBesPuan,2)=$J815),"TBO-001",IF(AND($F815="Evet",ROUND($C815*tbo_oranKadinGenc,2)=$J815),"TBO-004","TBO-ENG")))))</f>
        <v/>
      </c>
      <c r="J815" s="31">
        <f>IF($A815="","",MAX(IF($D815="Evet",ROUND($C815*tbo_oranBesPuan,2),0),IF($E815="Evet",ROUND($C815*tbo_oranIlave,2),0),IF($F815="Evet",ROUND($C815*tbo_oranKadinGenc,2),0),IF($G815="Evet",ROUND($C815*tbo_isverenOran,2),0)))</f>
        <v/>
      </c>
      <c r="K815" s="31">
        <f>IF($A815="","",IF($H815="TBO-001",IF($D815="Evet",ROUND($C815*tbo_oranBesPuan,2),0),IF($H815="TBO-002",IF($E815="Evet",ROUND($C815*tbo_oranIlave,2),0),IF($H815="TBO-004",IF($F815="Evet",ROUND($C815*tbo_oranKadinGenc,2),0),IF($H815="TBO-ENG",IF($G815="Evet",ROUND($C815*tbo_isverenOran,2),0),0)))))</f>
        <v/>
      </c>
      <c r="L815" s="31">
        <f>IF($A815="","",MAX(0,$J815-$K815))</f>
        <v/>
      </c>
    </row>
    <row r="816">
      <c r="I816" s="31">
        <f>IF($A816="","",IF($J816=0,"YOK",IF(AND($E816="Evet",ROUND($C816*tbo_oranIlave,2)=$J816),"TBO-002",IF(AND($D816="Evet",ROUND($C816*tbo_oranBesPuan,2)=$J816),"TBO-001",IF(AND($F816="Evet",ROUND($C816*tbo_oranKadinGenc,2)=$J816),"TBO-004","TBO-ENG")))))</f>
        <v/>
      </c>
      <c r="J816" s="31">
        <f>IF($A816="","",MAX(IF($D816="Evet",ROUND($C816*tbo_oranBesPuan,2),0),IF($E816="Evet",ROUND($C816*tbo_oranIlave,2),0),IF($F816="Evet",ROUND($C816*tbo_oranKadinGenc,2),0),IF($G816="Evet",ROUND($C816*tbo_isverenOran,2),0)))</f>
        <v/>
      </c>
      <c r="K816" s="31">
        <f>IF($A816="","",IF($H816="TBO-001",IF($D816="Evet",ROUND($C816*tbo_oranBesPuan,2),0),IF($H816="TBO-002",IF($E816="Evet",ROUND($C816*tbo_oranIlave,2),0),IF($H816="TBO-004",IF($F816="Evet",ROUND($C816*tbo_oranKadinGenc,2),0),IF($H816="TBO-ENG",IF($G816="Evet",ROUND($C816*tbo_isverenOran,2),0),0)))))</f>
        <v/>
      </c>
      <c r="L816" s="31">
        <f>IF($A816="","",MAX(0,$J816-$K816))</f>
        <v/>
      </c>
    </row>
    <row r="817">
      <c r="I817" s="31">
        <f>IF($A817="","",IF($J817=0,"YOK",IF(AND($E817="Evet",ROUND($C817*tbo_oranIlave,2)=$J817),"TBO-002",IF(AND($D817="Evet",ROUND($C817*tbo_oranBesPuan,2)=$J817),"TBO-001",IF(AND($F817="Evet",ROUND($C817*tbo_oranKadinGenc,2)=$J817),"TBO-004","TBO-ENG")))))</f>
        <v/>
      </c>
      <c r="J817" s="31">
        <f>IF($A817="","",MAX(IF($D817="Evet",ROUND($C817*tbo_oranBesPuan,2),0),IF($E817="Evet",ROUND($C817*tbo_oranIlave,2),0),IF($F817="Evet",ROUND($C817*tbo_oranKadinGenc,2),0),IF($G817="Evet",ROUND($C817*tbo_isverenOran,2),0)))</f>
        <v/>
      </c>
      <c r="K817" s="31">
        <f>IF($A817="","",IF($H817="TBO-001",IF($D817="Evet",ROUND($C817*tbo_oranBesPuan,2),0),IF($H817="TBO-002",IF($E817="Evet",ROUND($C817*tbo_oranIlave,2),0),IF($H817="TBO-004",IF($F817="Evet",ROUND($C817*tbo_oranKadinGenc,2),0),IF($H817="TBO-ENG",IF($G817="Evet",ROUND($C817*tbo_isverenOran,2),0),0)))))</f>
        <v/>
      </c>
      <c r="L817" s="31">
        <f>IF($A817="","",MAX(0,$J817-$K817))</f>
        <v/>
      </c>
    </row>
    <row r="818">
      <c r="I818" s="31">
        <f>IF($A818="","",IF($J818=0,"YOK",IF(AND($E818="Evet",ROUND($C818*tbo_oranIlave,2)=$J818),"TBO-002",IF(AND($D818="Evet",ROUND($C818*tbo_oranBesPuan,2)=$J818),"TBO-001",IF(AND($F818="Evet",ROUND($C818*tbo_oranKadinGenc,2)=$J818),"TBO-004","TBO-ENG")))))</f>
        <v/>
      </c>
      <c r="J818" s="31">
        <f>IF($A818="","",MAX(IF($D818="Evet",ROUND($C818*tbo_oranBesPuan,2),0),IF($E818="Evet",ROUND($C818*tbo_oranIlave,2),0),IF($F818="Evet",ROUND($C818*tbo_oranKadinGenc,2),0),IF($G818="Evet",ROUND($C818*tbo_isverenOran,2),0)))</f>
        <v/>
      </c>
      <c r="K818" s="31">
        <f>IF($A818="","",IF($H818="TBO-001",IF($D818="Evet",ROUND($C818*tbo_oranBesPuan,2),0),IF($H818="TBO-002",IF($E818="Evet",ROUND($C818*tbo_oranIlave,2),0),IF($H818="TBO-004",IF($F818="Evet",ROUND($C818*tbo_oranKadinGenc,2),0),IF($H818="TBO-ENG",IF($G818="Evet",ROUND($C818*tbo_isverenOran,2),0),0)))))</f>
        <v/>
      </c>
      <c r="L818" s="31">
        <f>IF($A818="","",MAX(0,$J818-$K818))</f>
        <v/>
      </c>
    </row>
    <row r="819">
      <c r="I819" s="31">
        <f>IF($A819="","",IF($J819=0,"YOK",IF(AND($E819="Evet",ROUND($C819*tbo_oranIlave,2)=$J819),"TBO-002",IF(AND($D819="Evet",ROUND($C819*tbo_oranBesPuan,2)=$J819),"TBO-001",IF(AND($F819="Evet",ROUND($C819*tbo_oranKadinGenc,2)=$J819),"TBO-004","TBO-ENG")))))</f>
        <v/>
      </c>
      <c r="J819" s="31">
        <f>IF($A819="","",MAX(IF($D819="Evet",ROUND($C819*tbo_oranBesPuan,2),0),IF($E819="Evet",ROUND($C819*tbo_oranIlave,2),0),IF($F819="Evet",ROUND($C819*tbo_oranKadinGenc,2),0),IF($G819="Evet",ROUND($C819*tbo_isverenOran,2),0)))</f>
        <v/>
      </c>
      <c r="K819" s="31">
        <f>IF($A819="","",IF($H819="TBO-001",IF($D819="Evet",ROUND($C819*tbo_oranBesPuan,2),0),IF($H819="TBO-002",IF($E819="Evet",ROUND($C819*tbo_oranIlave,2),0),IF($H819="TBO-004",IF($F819="Evet",ROUND($C819*tbo_oranKadinGenc,2),0),IF($H819="TBO-ENG",IF($G819="Evet",ROUND($C819*tbo_isverenOran,2),0),0)))))</f>
        <v/>
      </c>
      <c r="L819" s="31">
        <f>IF($A819="","",MAX(0,$J819-$K819))</f>
        <v/>
      </c>
    </row>
    <row r="820">
      <c r="I820" s="31">
        <f>IF($A820="","",IF($J820=0,"YOK",IF(AND($E820="Evet",ROUND($C820*tbo_oranIlave,2)=$J820),"TBO-002",IF(AND($D820="Evet",ROUND($C820*tbo_oranBesPuan,2)=$J820),"TBO-001",IF(AND($F820="Evet",ROUND($C820*tbo_oranKadinGenc,2)=$J820),"TBO-004","TBO-ENG")))))</f>
        <v/>
      </c>
      <c r="J820" s="31">
        <f>IF($A820="","",MAX(IF($D820="Evet",ROUND($C820*tbo_oranBesPuan,2),0),IF($E820="Evet",ROUND($C820*tbo_oranIlave,2),0),IF($F820="Evet",ROUND($C820*tbo_oranKadinGenc,2),0),IF($G820="Evet",ROUND($C820*tbo_isverenOran,2),0)))</f>
        <v/>
      </c>
      <c r="K820" s="31">
        <f>IF($A820="","",IF($H820="TBO-001",IF($D820="Evet",ROUND($C820*tbo_oranBesPuan,2),0),IF($H820="TBO-002",IF($E820="Evet",ROUND($C820*tbo_oranIlave,2),0),IF($H820="TBO-004",IF($F820="Evet",ROUND($C820*tbo_oranKadinGenc,2),0),IF($H820="TBO-ENG",IF($G820="Evet",ROUND($C820*tbo_isverenOran,2),0),0)))))</f>
        <v/>
      </c>
      <c r="L820" s="31">
        <f>IF($A820="","",MAX(0,$J820-$K820))</f>
        <v/>
      </c>
    </row>
    <row r="821">
      <c r="I821" s="31">
        <f>IF($A821="","",IF($J821=0,"YOK",IF(AND($E821="Evet",ROUND($C821*tbo_oranIlave,2)=$J821),"TBO-002",IF(AND($D821="Evet",ROUND($C821*tbo_oranBesPuan,2)=$J821),"TBO-001",IF(AND($F821="Evet",ROUND($C821*tbo_oranKadinGenc,2)=$J821),"TBO-004","TBO-ENG")))))</f>
        <v/>
      </c>
      <c r="J821" s="31">
        <f>IF($A821="","",MAX(IF($D821="Evet",ROUND($C821*tbo_oranBesPuan,2),0),IF($E821="Evet",ROUND($C821*tbo_oranIlave,2),0),IF($F821="Evet",ROUND($C821*tbo_oranKadinGenc,2),0),IF($G821="Evet",ROUND($C821*tbo_isverenOran,2),0)))</f>
        <v/>
      </c>
      <c r="K821" s="31">
        <f>IF($A821="","",IF($H821="TBO-001",IF($D821="Evet",ROUND($C821*tbo_oranBesPuan,2),0),IF($H821="TBO-002",IF($E821="Evet",ROUND($C821*tbo_oranIlave,2),0),IF($H821="TBO-004",IF($F821="Evet",ROUND($C821*tbo_oranKadinGenc,2),0),IF($H821="TBO-ENG",IF($G821="Evet",ROUND($C821*tbo_isverenOran,2),0),0)))))</f>
        <v/>
      </c>
      <c r="L821" s="31">
        <f>IF($A821="","",MAX(0,$J821-$K821))</f>
        <v/>
      </c>
    </row>
    <row r="822">
      <c r="I822" s="31">
        <f>IF($A822="","",IF($J822=0,"YOK",IF(AND($E822="Evet",ROUND($C822*tbo_oranIlave,2)=$J822),"TBO-002",IF(AND($D822="Evet",ROUND($C822*tbo_oranBesPuan,2)=$J822),"TBO-001",IF(AND($F822="Evet",ROUND($C822*tbo_oranKadinGenc,2)=$J822),"TBO-004","TBO-ENG")))))</f>
        <v/>
      </c>
      <c r="J822" s="31">
        <f>IF($A822="","",MAX(IF($D822="Evet",ROUND($C822*tbo_oranBesPuan,2),0),IF($E822="Evet",ROUND($C822*tbo_oranIlave,2),0),IF($F822="Evet",ROUND($C822*tbo_oranKadinGenc,2),0),IF($G822="Evet",ROUND($C822*tbo_isverenOran,2),0)))</f>
        <v/>
      </c>
      <c r="K822" s="31">
        <f>IF($A822="","",IF($H822="TBO-001",IF($D822="Evet",ROUND($C822*tbo_oranBesPuan,2),0),IF($H822="TBO-002",IF($E822="Evet",ROUND($C822*tbo_oranIlave,2),0),IF($H822="TBO-004",IF($F822="Evet",ROUND($C822*tbo_oranKadinGenc,2),0),IF($H822="TBO-ENG",IF($G822="Evet",ROUND($C822*tbo_isverenOran,2),0),0)))))</f>
        <v/>
      </c>
      <c r="L822" s="31">
        <f>IF($A822="","",MAX(0,$J822-$K822))</f>
        <v/>
      </c>
    </row>
    <row r="823">
      <c r="I823" s="31">
        <f>IF($A823="","",IF($J823=0,"YOK",IF(AND($E823="Evet",ROUND($C823*tbo_oranIlave,2)=$J823),"TBO-002",IF(AND($D823="Evet",ROUND($C823*tbo_oranBesPuan,2)=$J823),"TBO-001",IF(AND($F823="Evet",ROUND($C823*tbo_oranKadinGenc,2)=$J823),"TBO-004","TBO-ENG")))))</f>
        <v/>
      </c>
      <c r="J823" s="31">
        <f>IF($A823="","",MAX(IF($D823="Evet",ROUND($C823*tbo_oranBesPuan,2),0),IF($E823="Evet",ROUND($C823*tbo_oranIlave,2),0),IF($F823="Evet",ROUND($C823*tbo_oranKadinGenc,2),0),IF($G823="Evet",ROUND($C823*tbo_isverenOran,2),0)))</f>
        <v/>
      </c>
      <c r="K823" s="31">
        <f>IF($A823="","",IF($H823="TBO-001",IF($D823="Evet",ROUND($C823*tbo_oranBesPuan,2),0),IF($H823="TBO-002",IF($E823="Evet",ROUND($C823*tbo_oranIlave,2),0),IF($H823="TBO-004",IF($F823="Evet",ROUND($C823*tbo_oranKadinGenc,2),0),IF($H823="TBO-ENG",IF($G823="Evet",ROUND($C823*tbo_isverenOran,2),0),0)))))</f>
        <v/>
      </c>
      <c r="L823" s="31">
        <f>IF($A823="","",MAX(0,$J823-$K823))</f>
        <v/>
      </c>
    </row>
    <row r="824">
      <c r="I824" s="31">
        <f>IF($A824="","",IF($J824=0,"YOK",IF(AND($E824="Evet",ROUND($C824*tbo_oranIlave,2)=$J824),"TBO-002",IF(AND($D824="Evet",ROUND($C824*tbo_oranBesPuan,2)=$J824),"TBO-001",IF(AND($F824="Evet",ROUND($C824*tbo_oranKadinGenc,2)=$J824),"TBO-004","TBO-ENG")))))</f>
        <v/>
      </c>
      <c r="J824" s="31">
        <f>IF($A824="","",MAX(IF($D824="Evet",ROUND($C824*tbo_oranBesPuan,2),0),IF($E824="Evet",ROUND($C824*tbo_oranIlave,2),0),IF($F824="Evet",ROUND($C824*tbo_oranKadinGenc,2),0),IF($G824="Evet",ROUND($C824*tbo_isverenOran,2),0)))</f>
        <v/>
      </c>
      <c r="K824" s="31">
        <f>IF($A824="","",IF($H824="TBO-001",IF($D824="Evet",ROUND($C824*tbo_oranBesPuan,2),0),IF($H824="TBO-002",IF($E824="Evet",ROUND($C824*tbo_oranIlave,2),0),IF($H824="TBO-004",IF($F824="Evet",ROUND($C824*tbo_oranKadinGenc,2),0),IF($H824="TBO-ENG",IF($G824="Evet",ROUND($C824*tbo_isverenOran,2),0),0)))))</f>
        <v/>
      </c>
      <c r="L824" s="31">
        <f>IF($A824="","",MAX(0,$J824-$K824))</f>
        <v/>
      </c>
    </row>
    <row r="825">
      <c r="I825" s="31">
        <f>IF($A825="","",IF($J825=0,"YOK",IF(AND($E825="Evet",ROUND($C825*tbo_oranIlave,2)=$J825),"TBO-002",IF(AND($D825="Evet",ROUND($C825*tbo_oranBesPuan,2)=$J825),"TBO-001",IF(AND($F825="Evet",ROUND($C825*tbo_oranKadinGenc,2)=$J825),"TBO-004","TBO-ENG")))))</f>
        <v/>
      </c>
      <c r="J825" s="31">
        <f>IF($A825="","",MAX(IF($D825="Evet",ROUND($C825*tbo_oranBesPuan,2),0),IF($E825="Evet",ROUND($C825*tbo_oranIlave,2),0),IF($F825="Evet",ROUND($C825*tbo_oranKadinGenc,2),0),IF($G825="Evet",ROUND($C825*tbo_isverenOran,2),0)))</f>
        <v/>
      </c>
      <c r="K825" s="31">
        <f>IF($A825="","",IF($H825="TBO-001",IF($D825="Evet",ROUND($C825*tbo_oranBesPuan,2),0),IF($H825="TBO-002",IF($E825="Evet",ROUND($C825*tbo_oranIlave,2),0),IF($H825="TBO-004",IF($F825="Evet",ROUND($C825*tbo_oranKadinGenc,2),0),IF($H825="TBO-ENG",IF($G825="Evet",ROUND($C825*tbo_isverenOran,2),0),0)))))</f>
        <v/>
      </c>
      <c r="L825" s="31">
        <f>IF($A825="","",MAX(0,$J825-$K825))</f>
        <v/>
      </c>
    </row>
    <row r="826">
      <c r="I826" s="31">
        <f>IF($A826="","",IF($J826=0,"YOK",IF(AND($E826="Evet",ROUND($C826*tbo_oranIlave,2)=$J826),"TBO-002",IF(AND($D826="Evet",ROUND($C826*tbo_oranBesPuan,2)=$J826),"TBO-001",IF(AND($F826="Evet",ROUND($C826*tbo_oranKadinGenc,2)=$J826),"TBO-004","TBO-ENG")))))</f>
        <v/>
      </c>
      <c r="J826" s="31">
        <f>IF($A826="","",MAX(IF($D826="Evet",ROUND($C826*tbo_oranBesPuan,2),0),IF($E826="Evet",ROUND($C826*tbo_oranIlave,2),0),IF($F826="Evet",ROUND($C826*tbo_oranKadinGenc,2),0),IF($G826="Evet",ROUND($C826*tbo_isverenOran,2),0)))</f>
        <v/>
      </c>
      <c r="K826" s="31">
        <f>IF($A826="","",IF($H826="TBO-001",IF($D826="Evet",ROUND($C826*tbo_oranBesPuan,2),0),IF($H826="TBO-002",IF($E826="Evet",ROUND($C826*tbo_oranIlave,2),0),IF($H826="TBO-004",IF($F826="Evet",ROUND($C826*tbo_oranKadinGenc,2),0),IF($H826="TBO-ENG",IF($G826="Evet",ROUND($C826*tbo_isverenOran,2),0),0)))))</f>
        <v/>
      </c>
      <c r="L826" s="31">
        <f>IF($A826="","",MAX(0,$J826-$K826))</f>
        <v/>
      </c>
    </row>
    <row r="827">
      <c r="I827" s="31">
        <f>IF($A827="","",IF($J827=0,"YOK",IF(AND($E827="Evet",ROUND($C827*tbo_oranIlave,2)=$J827),"TBO-002",IF(AND($D827="Evet",ROUND($C827*tbo_oranBesPuan,2)=$J827),"TBO-001",IF(AND($F827="Evet",ROUND($C827*tbo_oranKadinGenc,2)=$J827),"TBO-004","TBO-ENG")))))</f>
        <v/>
      </c>
      <c r="J827" s="31">
        <f>IF($A827="","",MAX(IF($D827="Evet",ROUND($C827*tbo_oranBesPuan,2),0),IF($E827="Evet",ROUND($C827*tbo_oranIlave,2),0),IF($F827="Evet",ROUND($C827*tbo_oranKadinGenc,2),0),IF($G827="Evet",ROUND($C827*tbo_isverenOran,2),0)))</f>
        <v/>
      </c>
      <c r="K827" s="31">
        <f>IF($A827="","",IF($H827="TBO-001",IF($D827="Evet",ROUND($C827*tbo_oranBesPuan,2),0),IF($H827="TBO-002",IF($E827="Evet",ROUND($C827*tbo_oranIlave,2),0),IF($H827="TBO-004",IF($F827="Evet",ROUND($C827*tbo_oranKadinGenc,2),0),IF($H827="TBO-ENG",IF($G827="Evet",ROUND($C827*tbo_isverenOran,2),0),0)))))</f>
        <v/>
      </c>
      <c r="L827" s="31">
        <f>IF($A827="","",MAX(0,$J827-$K827))</f>
        <v/>
      </c>
    </row>
    <row r="828">
      <c r="I828" s="31">
        <f>IF($A828="","",IF($J828=0,"YOK",IF(AND($E828="Evet",ROUND($C828*tbo_oranIlave,2)=$J828),"TBO-002",IF(AND($D828="Evet",ROUND($C828*tbo_oranBesPuan,2)=$J828),"TBO-001",IF(AND($F828="Evet",ROUND($C828*tbo_oranKadinGenc,2)=$J828),"TBO-004","TBO-ENG")))))</f>
        <v/>
      </c>
      <c r="J828" s="31">
        <f>IF($A828="","",MAX(IF($D828="Evet",ROUND($C828*tbo_oranBesPuan,2),0),IF($E828="Evet",ROUND($C828*tbo_oranIlave,2),0),IF($F828="Evet",ROUND($C828*tbo_oranKadinGenc,2),0),IF($G828="Evet",ROUND($C828*tbo_isverenOran,2),0)))</f>
        <v/>
      </c>
      <c r="K828" s="31">
        <f>IF($A828="","",IF($H828="TBO-001",IF($D828="Evet",ROUND($C828*tbo_oranBesPuan,2),0),IF($H828="TBO-002",IF($E828="Evet",ROUND($C828*tbo_oranIlave,2),0),IF($H828="TBO-004",IF($F828="Evet",ROUND($C828*tbo_oranKadinGenc,2),0),IF($H828="TBO-ENG",IF($G828="Evet",ROUND($C828*tbo_isverenOran,2),0),0)))))</f>
        <v/>
      </c>
      <c r="L828" s="31">
        <f>IF($A828="","",MAX(0,$J828-$K828))</f>
        <v/>
      </c>
    </row>
    <row r="829">
      <c r="I829" s="31">
        <f>IF($A829="","",IF($J829=0,"YOK",IF(AND($E829="Evet",ROUND($C829*tbo_oranIlave,2)=$J829),"TBO-002",IF(AND($D829="Evet",ROUND($C829*tbo_oranBesPuan,2)=$J829),"TBO-001",IF(AND($F829="Evet",ROUND($C829*tbo_oranKadinGenc,2)=$J829),"TBO-004","TBO-ENG")))))</f>
        <v/>
      </c>
      <c r="J829" s="31">
        <f>IF($A829="","",MAX(IF($D829="Evet",ROUND($C829*tbo_oranBesPuan,2),0),IF($E829="Evet",ROUND($C829*tbo_oranIlave,2),0),IF($F829="Evet",ROUND($C829*tbo_oranKadinGenc,2),0),IF($G829="Evet",ROUND($C829*tbo_isverenOran,2),0)))</f>
        <v/>
      </c>
      <c r="K829" s="31">
        <f>IF($A829="","",IF($H829="TBO-001",IF($D829="Evet",ROUND($C829*tbo_oranBesPuan,2),0),IF($H829="TBO-002",IF($E829="Evet",ROUND($C829*tbo_oranIlave,2),0),IF($H829="TBO-004",IF($F829="Evet",ROUND($C829*tbo_oranKadinGenc,2),0),IF($H829="TBO-ENG",IF($G829="Evet",ROUND($C829*tbo_isverenOran,2),0),0)))))</f>
        <v/>
      </c>
      <c r="L829" s="31">
        <f>IF($A829="","",MAX(0,$J829-$K829))</f>
        <v/>
      </c>
    </row>
    <row r="830">
      <c r="I830" s="31">
        <f>IF($A830="","",IF($J830=0,"YOK",IF(AND($E830="Evet",ROUND($C830*tbo_oranIlave,2)=$J830),"TBO-002",IF(AND($D830="Evet",ROUND($C830*tbo_oranBesPuan,2)=$J830),"TBO-001",IF(AND($F830="Evet",ROUND($C830*tbo_oranKadinGenc,2)=$J830),"TBO-004","TBO-ENG")))))</f>
        <v/>
      </c>
      <c r="J830" s="31">
        <f>IF($A830="","",MAX(IF($D830="Evet",ROUND($C830*tbo_oranBesPuan,2),0),IF($E830="Evet",ROUND($C830*tbo_oranIlave,2),0),IF($F830="Evet",ROUND($C830*tbo_oranKadinGenc,2),0),IF($G830="Evet",ROUND($C830*tbo_isverenOran,2),0)))</f>
        <v/>
      </c>
      <c r="K830" s="31">
        <f>IF($A830="","",IF($H830="TBO-001",IF($D830="Evet",ROUND($C830*tbo_oranBesPuan,2),0),IF($H830="TBO-002",IF($E830="Evet",ROUND($C830*tbo_oranIlave,2),0),IF($H830="TBO-004",IF($F830="Evet",ROUND($C830*tbo_oranKadinGenc,2),0),IF($H830="TBO-ENG",IF($G830="Evet",ROUND($C830*tbo_isverenOran,2),0),0)))))</f>
        <v/>
      </c>
      <c r="L830" s="31">
        <f>IF($A830="","",MAX(0,$J830-$K830))</f>
        <v/>
      </c>
    </row>
    <row r="831">
      <c r="I831" s="31">
        <f>IF($A831="","",IF($J831=0,"YOK",IF(AND($E831="Evet",ROUND($C831*tbo_oranIlave,2)=$J831),"TBO-002",IF(AND($D831="Evet",ROUND($C831*tbo_oranBesPuan,2)=$J831),"TBO-001",IF(AND($F831="Evet",ROUND($C831*tbo_oranKadinGenc,2)=$J831),"TBO-004","TBO-ENG")))))</f>
        <v/>
      </c>
      <c r="J831" s="31">
        <f>IF($A831="","",MAX(IF($D831="Evet",ROUND($C831*tbo_oranBesPuan,2),0),IF($E831="Evet",ROUND($C831*tbo_oranIlave,2),0),IF($F831="Evet",ROUND($C831*tbo_oranKadinGenc,2),0),IF($G831="Evet",ROUND($C831*tbo_isverenOran,2),0)))</f>
        <v/>
      </c>
      <c r="K831" s="31">
        <f>IF($A831="","",IF($H831="TBO-001",IF($D831="Evet",ROUND($C831*tbo_oranBesPuan,2),0),IF($H831="TBO-002",IF($E831="Evet",ROUND($C831*tbo_oranIlave,2),0),IF($H831="TBO-004",IF($F831="Evet",ROUND($C831*tbo_oranKadinGenc,2),0),IF($H831="TBO-ENG",IF($G831="Evet",ROUND($C831*tbo_isverenOran,2),0),0)))))</f>
        <v/>
      </c>
      <c r="L831" s="31">
        <f>IF($A831="","",MAX(0,$J831-$K831))</f>
        <v/>
      </c>
    </row>
    <row r="832">
      <c r="I832" s="31">
        <f>IF($A832="","",IF($J832=0,"YOK",IF(AND($E832="Evet",ROUND($C832*tbo_oranIlave,2)=$J832),"TBO-002",IF(AND($D832="Evet",ROUND($C832*tbo_oranBesPuan,2)=$J832),"TBO-001",IF(AND($F832="Evet",ROUND($C832*tbo_oranKadinGenc,2)=$J832),"TBO-004","TBO-ENG")))))</f>
        <v/>
      </c>
      <c r="J832" s="31">
        <f>IF($A832="","",MAX(IF($D832="Evet",ROUND($C832*tbo_oranBesPuan,2),0),IF($E832="Evet",ROUND($C832*tbo_oranIlave,2),0),IF($F832="Evet",ROUND($C832*tbo_oranKadinGenc,2),0),IF($G832="Evet",ROUND($C832*tbo_isverenOran,2),0)))</f>
        <v/>
      </c>
      <c r="K832" s="31">
        <f>IF($A832="","",IF($H832="TBO-001",IF($D832="Evet",ROUND($C832*tbo_oranBesPuan,2),0),IF($H832="TBO-002",IF($E832="Evet",ROUND($C832*tbo_oranIlave,2),0),IF($H832="TBO-004",IF($F832="Evet",ROUND($C832*tbo_oranKadinGenc,2),0),IF($H832="TBO-ENG",IF($G832="Evet",ROUND($C832*tbo_isverenOran,2),0),0)))))</f>
        <v/>
      </c>
      <c r="L832" s="31">
        <f>IF($A832="","",MAX(0,$J832-$K832))</f>
        <v/>
      </c>
    </row>
    <row r="833">
      <c r="I833" s="31">
        <f>IF($A833="","",IF($J833=0,"YOK",IF(AND($E833="Evet",ROUND($C833*tbo_oranIlave,2)=$J833),"TBO-002",IF(AND($D833="Evet",ROUND($C833*tbo_oranBesPuan,2)=$J833),"TBO-001",IF(AND($F833="Evet",ROUND($C833*tbo_oranKadinGenc,2)=$J833),"TBO-004","TBO-ENG")))))</f>
        <v/>
      </c>
      <c r="J833" s="31">
        <f>IF($A833="","",MAX(IF($D833="Evet",ROUND($C833*tbo_oranBesPuan,2),0),IF($E833="Evet",ROUND($C833*tbo_oranIlave,2),0),IF($F833="Evet",ROUND($C833*tbo_oranKadinGenc,2),0),IF($G833="Evet",ROUND($C833*tbo_isverenOran,2),0)))</f>
        <v/>
      </c>
      <c r="K833" s="31">
        <f>IF($A833="","",IF($H833="TBO-001",IF($D833="Evet",ROUND($C833*tbo_oranBesPuan,2),0),IF($H833="TBO-002",IF($E833="Evet",ROUND($C833*tbo_oranIlave,2),0),IF($H833="TBO-004",IF($F833="Evet",ROUND($C833*tbo_oranKadinGenc,2),0),IF($H833="TBO-ENG",IF($G833="Evet",ROUND($C833*tbo_isverenOran,2),0),0)))))</f>
        <v/>
      </c>
      <c r="L833" s="31">
        <f>IF($A833="","",MAX(0,$J833-$K833))</f>
        <v/>
      </c>
    </row>
    <row r="834">
      <c r="I834" s="31">
        <f>IF($A834="","",IF($J834=0,"YOK",IF(AND($E834="Evet",ROUND($C834*tbo_oranIlave,2)=$J834),"TBO-002",IF(AND($D834="Evet",ROUND($C834*tbo_oranBesPuan,2)=$J834),"TBO-001",IF(AND($F834="Evet",ROUND($C834*tbo_oranKadinGenc,2)=$J834),"TBO-004","TBO-ENG")))))</f>
        <v/>
      </c>
      <c r="J834" s="31">
        <f>IF($A834="","",MAX(IF($D834="Evet",ROUND($C834*tbo_oranBesPuan,2),0),IF($E834="Evet",ROUND($C834*tbo_oranIlave,2),0),IF($F834="Evet",ROUND($C834*tbo_oranKadinGenc,2),0),IF($G834="Evet",ROUND($C834*tbo_isverenOran,2),0)))</f>
        <v/>
      </c>
      <c r="K834" s="31">
        <f>IF($A834="","",IF($H834="TBO-001",IF($D834="Evet",ROUND($C834*tbo_oranBesPuan,2),0),IF($H834="TBO-002",IF($E834="Evet",ROUND($C834*tbo_oranIlave,2),0),IF($H834="TBO-004",IF($F834="Evet",ROUND($C834*tbo_oranKadinGenc,2),0),IF($H834="TBO-ENG",IF($G834="Evet",ROUND($C834*tbo_isverenOran,2),0),0)))))</f>
        <v/>
      </c>
      <c r="L834" s="31">
        <f>IF($A834="","",MAX(0,$J834-$K834))</f>
        <v/>
      </c>
    </row>
    <row r="835">
      <c r="I835" s="31">
        <f>IF($A835="","",IF($J835=0,"YOK",IF(AND($E835="Evet",ROUND($C835*tbo_oranIlave,2)=$J835),"TBO-002",IF(AND($D835="Evet",ROUND($C835*tbo_oranBesPuan,2)=$J835),"TBO-001",IF(AND($F835="Evet",ROUND($C835*tbo_oranKadinGenc,2)=$J835),"TBO-004","TBO-ENG")))))</f>
        <v/>
      </c>
      <c r="J835" s="31">
        <f>IF($A835="","",MAX(IF($D835="Evet",ROUND($C835*tbo_oranBesPuan,2),0),IF($E835="Evet",ROUND($C835*tbo_oranIlave,2),0),IF($F835="Evet",ROUND($C835*tbo_oranKadinGenc,2),0),IF($G835="Evet",ROUND($C835*tbo_isverenOran,2),0)))</f>
        <v/>
      </c>
      <c r="K835" s="31">
        <f>IF($A835="","",IF($H835="TBO-001",IF($D835="Evet",ROUND($C835*tbo_oranBesPuan,2),0),IF($H835="TBO-002",IF($E835="Evet",ROUND($C835*tbo_oranIlave,2),0),IF($H835="TBO-004",IF($F835="Evet",ROUND($C835*tbo_oranKadinGenc,2),0),IF($H835="TBO-ENG",IF($G835="Evet",ROUND($C835*tbo_isverenOran,2),0),0)))))</f>
        <v/>
      </c>
      <c r="L835" s="31">
        <f>IF($A835="","",MAX(0,$J835-$K835))</f>
        <v/>
      </c>
    </row>
    <row r="836">
      <c r="I836" s="31">
        <f>IF($A836="","",IF($J836=0,"YOK",IF(AND($E836="Evet",ROUND($C836*tbo_oranIlave,2)=$J836),"TBO-002",IF(AND($D836="Evet",ROUND($C836*tbo_oranBesPuan,2)=$J836),"TBO-001",IF(AND($F836="Evet",ROUND($C836*tbo_oranKadinGenc,2)=$J836),"TBO-004","TBO-ENG")))))</f>
        <v/>
      </c>
      <c r="J836" s="31">
        <f>IF($A836="","",MAX(IF($D836="Evet",ROUND($C836*tbo_oranBesPuan,2),0),IF($E836="Evet",ROUND($C836*tbo_oranIlave,2),0),IF($F836="Evet",ROUND($C836*tbo_oranKadinGenc,2),0),IF($G836="Evet",ROUND($C836*tbo_isverenOran,2),0)))</f>
        <v/>
      </c>
      <c r="K836" s="31">
        <f>IF($A836="","",IF($H836="TBO-001",IF($D836="Evet",ROUND($C836*tbo_oranBesPuan,2),0),IF($H836="TBO-002",IF($E836="Evet",ROUND($C836*tbo_oranIlave,2),0),IF($H836="TBO-004",IF($F836="Evet",ROUND($C836*tbo_oranKadinGenc,2),0),IF($H836="TBO-ENG",IF($G836="Evet",ROUND($C836*tbo_isverenOran,2),0),0)))))</f>
        <v/>
      </c>
      <c r="L836" s="31">
        <f>IF($A836="","",MAX(0,$J836-$K836))</f>
        <v/>
      </c>
    </row>
    <row r="837">
      <c r="I837" s="31">
        <f>IF($A837="","",IF($J837=0,"YOK",IF(AND($E837="Evet",ROUND($C837*tbo_oranIlave,2)=$J837),"TBO-002",IF(AND($D837="Evet",ROUND($C837*tbo_oranBesPuan,2)=$J837),"TBO-001",IF(AND($F837="Evet",ROUND($C837*tbo_oranKadinGenc,2)=$J837),"TBO-004","TBO-ENG")))))</f>
        <v/>
      </c>
      <c r="J837" s="31">
        <f>IF($A837="","",MAX(IF($D837="Evet",ROUND($C837*tbo_oranBesPuan,2),0),IF($E837="Evet",ROUND($C837*tbo_oranIlave,2),0),IF($F837="Evet",ROUND($C837*tbo_oranKadinGenc,2),0),IF($G837="Evet",ROUND($C837*tbo_isverenOran,2),0)))</f>
        <v/>
      </c>
      <c r="K837" s="31">
        <f>IF($A837="","",IF($H837="TBO-001",IF($D837="Evet",ROUND($C837*tbo_oranBesPuan,2),0),IF($H837="TBO-002",IF($E837="Evet",ROUND($C837*tbo_oranIlave,2),0),IF($H837="TBO-004",IF($F837="Evet",ROUND($C837*tbo_oranKadinGenc,2),0),IF($H837="TBO-ENG",IF($G837="Evet",ROUND($C837*tbo_isverenOran,2),0),0)))))</f>
        <v/>
      </c>
      <c r="L837" s="31">
        <f>IF($A837="","",MAX(0,$J837-$K837))</f>
        <v/>
      </c>
    </row>
    <row r="838">
      <c r="I838" s="31">
        <f>IF($A838="","",IF($J838=0,"YOK",IF(AND($E838="Evet",ROUND($C838*tbo_oranIlave,2)=$J838),"TBO-002",IF(AND($D838="Evet",ROUND($C838*tbo_oranBesPuan,2)=$J838),"TBO-001",IF(AND($F838="Evet",ROUND($C838*tbo_oranKadinGenc,2)=$J838),"TBO-004","TBO-ENG")))))</f>
        <v/>
      </c>
      <c r="J838" s="31">
        <f>IF($A838="","",MAX(IF($D838="Evet",ROUND($C838*tbo_oranBesPuan,2),0),IF($E838="Evet",ROUND($C838*tbo_oranIlave,2),0),IF($F838="Evet",ROUND($C838*tbo_oranKadinGenc,2),0),IF($G838="Evet",ROUND($C838*tbo_isverenOran,2),0)))</f>
        <v/>
      </c>
      <c r="K838" s="31">
        <f>IF($A838="","",IF($H838="TBO-001",IF($D838="Evet",ROUND($C838*tbo_oranBesPuan,2),0),IF($H838="TBO-002",IF($E838="Evet",ROUND($C838*tbo_oranIlave,2),0),IF($H838="TBO-004",IF($F838="Evet",ROUND($C838*tbo_oranKadinGenc,2),0),IF($H838="TBO-ENG",IF($G838="Evet",ROUND($C838*tbo_isverenOran,2),0),0)))))</f>
        <v/>
      </c>
      <c r="L838" s="31">
        <f>IF($A838="","",MAX(0,$J838-$K838))</f>
        <v/>
      </c>
    </row>
    <row r="839">
      <c r="I839" s="31">
        <f>IF($A839="","",IF($J839=0,"YOK",IF(AND($E839="Evet",ROUND($C839*tbo_oranIlave,2)=$J839),"TBO-002",IF(AND($D839="Evet",ROUND($C839*tbo_oranBesPuan,2)=$J839),"TBO-001",IF(AND($F839="Evet",ROUND($C839*tbo_oranKadinGenc,2)=$J839),"TBO-004","TBO-ENG")))))</f>
        <v/>
      </c>
      <c r="J839" s="31">
        <f>IF($A839="","",MAX(IF($D839="Evet",ROUND($C839*tbo_oranBesPuan,2),0),IF($E839="Evet",ROUND($C839*tbo_oranIlave,2),0),IF($F839="Evet",ROUND($C839*tbo_oranKadinGenc,2),0),IF($G839="Evet",ROUND($C839*tbo_isverenOran,2),0)))</f>
        <v/>
      </c>
      <c r="K839" s="31">
        <f>IF($A839="","",IF($H839="TBO-001",IF($D839="Evet",ROUND($C839*tbo_oranBesPuan,2),0),IF($H839="TBO-002",IF($E839="Evet",ROUND($C839*tbo_oranIlave,2),0),IF($H839="TBO-004",IF($F839="Evet",ROUND($C839*tbo_oranKadinGenc,2),0),IF($H839="TBO-ENG",IF($G839="Evet",ROUND($C839*tbo_isverenOran,2),0),0)))))</f>
        <v/>
      </c>
      <c r="L839" s="31">
        <f>IF($A839="","",MAX(0,$J839-$K839))</f>
        <v/>
      </c>
    </row>
    <row r="840">
      <c r="I840" s="31">
        <f>IF($A840="","",IF($J840=0,"YOK",IF(AND($E840="Evet",ROUND($C840*tbo_oranIlave,2)=$J840),"TBO-002",IF(AND($D840="Evet",ROUND($C840*tbo_oranBesPuan,2)=$J840),"TBO-001",IF(AND($F840="Evet",ROUND($C840*tbo_oranKadinGenc,2)=$J840),"TBO-004","TBO-ENG")))))</f>
        <v/>
      </c>
      <c r="J840" s="31">
        <f>IF($A840="","",MAX(IF($D840="Evet",ROUND($C840*tbo_oranBesPuan,2),0),IF($E840="Evet",ROUND($C840*tbo_oranIlave,2),0),IF($F840="Evet",ROUND($C840*tbo_oranKadinGenc,2),0),IF($G840="Evet",ROUND($C840*tbo_isverenOran,2),0)))</f>
        <v/>
      </c>
      <c r="K840" s="31">
        <f>IF($A840="","",IF($H840="TBO-001",IF($D840="Evet",ROUND($C840*tbo_oranBesPuan,2),0),IF($H840="TBO-002",IF($E840="Evet",ROUND($C840*tbo_oranIlave,2),0),IF($H840="TBO-004",IF($F840="Evet",ROUND($C840*tbo_oranKadinGenc,2),0),IF($H840="TBO-ENG",IF($G840="Evet",ROUND($C840*tbo_isverenOran,2),0),0)))))</f>
        <v/>
      </c>
      <c r="L840" s="31">
        <f>IF($A840="","",MAX(0,$J840-$K840))</f>
        <v/>
      </c>
    </row>
    <row r="841">
      <c r="I841" s="31">
        <f>IF($A841="","",IF($J841=0,"YOK",IF(AND($E841="Evet",ROUND($C841*tbo_oranIlave,2)=$J841),"TBO-002",IF(AND($D841="Evet",ROUND($C841*tbo_oranBesPuan,2)=$J841),"TBO-001",IF(AND($F841="Evet",ROUND($C841*tbo_oranKadinGenc,2)=$J841),"TBO-004","TBO-ENG")))))</f>
        <v/>
      </c>
      <c r="J841" s="31">
        <f>IF($A841="","",MAX(IF($D841="Evet",ROUND($C841*tbo_oranBesPuan,2),0),IF($E841="Evet",ROUND($C841*tbo_oranIlave,2),0),IF($F841="Evet",ROUND($C841*tbo_oranKadinGenc,2),0),IF($G841="Evet",ROUND($C841*tbo_isverenOran,2),0)))</f>
        <v/>
      </c>
      <c r="K841" s="31">
        <f>IF($A841="","",IF($H841="TBO-001",IF($D841="Evet",ROUND($C841*tbo_oranBesPuan,2),0),IF($H841="TBO-002",IF($E841="Evet",ROUND($C841*tbo_oranIlave,2),0),IF($H841="TBO-004",IF($F841="Evet",ROUND($C841*tbo_oranKadinGenc,2),0),IF($H841="TBO-ENG",IF($G841="Evet",ROUND($C841*tbo_isverenOran,2),0),0)))))</f>
        <v/>
      </c>
      <c r="L841" s="31">
        <f>IF($A841="","",MAX(0,$J841-$K841))</f>
        <v/>
      </c>
    </row>
    <row r="842">
      <c r="I842" s="31">
        <f>IF($A842="","",IF($J842=0,"YOK",IF(AND($E842="Evet",ROUND($C842*tbo_oranIlave,2)=$J842),"TBO-002",IF(AND($D842="Evet",ROUND($C842*tbo_oranBesPuan,2)=$J842),"TBO-001",IF(AND($F842="Evet",ROUND($C842*tbo_oranKadinGenc,2)=$J842),"TBO-004","TBO-ENG")))))</f>
        <v/>
      </c>
      <c r="J842" s="31">
        <f>IF($A842="","",MAX(IF($D842="Evet",ROUND($C842*tbo_oranBesPuan,2),0),IF($E842="Evet",ROUND($C842*tbo_oranIlave,2),0),IF($F842="Evet",ROUND($C842*tbo_oranKadinGenc,2),0),IF($G842="Evet",ROUND($C842*tbo_isverenOran,2),0)))</f>
        <v/>
      </c>
      <c r="K842" s="31">
        <f>IF($A842="","",IF($H842="TBO-001",IF($D842="Evet",ROUND($C842*tbo_oranBesPuan,2),0),IF($H842="TBO-002",IF($E842="Evet",ROUND($C842*tbo_oranIlave,2),0),IF($H842="TBO-004",IF($F842="Evet",ROUND($C842*tbo_oranKadinGenc,2),0),IF($H842="TBO-ENG",IF($G842="Evet",ROUND($C842*tbo_isverenOran,2),0),0)))))</f>
        <v/>
      </c>
      <c r="L842" s="31">
        <f>IF($A842="","",MAX(0,$J842-$K842))</f>
        <v/>
      </c>
    </row>
    <row r="843">
      <c r="I843" s="31">
        <f>IF($A843="","",IF($J843=0,"YOK",IF(AND($E843="Evet",ROUND($C843*tbo_oranIlave,2)=$J843),"TBO-002",IF(AND($D843="Evet",ROUND($C843*tbo_oranBesPuan,2)=$J843),"TBO-001",IF(AND($F843="Evet",ROUND($C843*tbo_oranKadinGenc,2)=$J843),"TBO-004","TBO-ENG")))))</f>
        <v/>
      </c>
      <c r="J843" s="31">
        <f>IF($A843="","",MAX(IF($D843="Evet",ROUND($C843*tbo_oranBesPuan,2),0),IF($E843="Evet",ROUND($C843*tbo_oranIlave,2),0),IF($F843="Evet",ROUND($C843*tbo_oranKadinGenc,2),0),IF($G843="Evet",ROUND($C843*tbo_isverenOran,2),0)))</f>
        <v/>
      </c>
      <c r="K843" s="31">
        <f>IF($A843="","",IF($H843="TBO-001",IF($D843="Evet",ROUND($C843*tbo_oranBesPuan,2),0),IF($H843="TBO-002",IF($E843="Evet",ROUND($C843*tbo_oranIlave,2),0),IF($H843="TBO-004",IF($F843="Evet",ROUND($C843*tbo_oranKadinGenc,2),0),IF($H843="TBO-ENG",IF($G843="Evet",ROUND($C843*tbo_isverenOran,2),0),0)))))</f>
        <v/>
      </c>
      <c r="L843" s="31">
        <f>IF($A843="","",MAX(0,$J843-$K843))</f>
        <v/>
      </c>
    </row>
    <row r="844">
      <c r="I844" s="31">
        <f>IF($A844="","",IF($J844=0,"YOK",IF(AND($E844="Evet",ROUND($C844*tbo_oranIlave,2)=$J844),"TBO-002",IF(AND($D844="Evet",ROUND($C844*tbo_oranBesPuan,2)=$J844),"TBO-001",IF(AND($F844="Evet",ROUND($C844*tbo_oranKadinGenc,2)=$J844),"TBO-004","TBO-ENG")))))</f>
        <v/>
      </c>
      <c r="J844" s="31">
        <f>IF($A844="","",MAX(IF($D844="Evet",ROUND($C844*tbo_oranBesPuan,2),0),IF($E844="Evet",ROUND($C844*tbo_oranIlave,2),0),IF($F844="Evet",ROUND($C844*tbo_oranKadinGenc,2),0),IF($G844="Evet",ROUND($C844*tbo_isverenOran,2),0)))</f>
        <v/>
      </c>
      <c r="K844" s="31">
        <f>IF($A844="","",IF($H844="TBO-001",IF($D844="Evet",ROUND($C844*tbo_oranBesPuan,2),0),IF($H844="TBO-002",IF($E844="Evet",ROUND($C844*tbo_oranIlave,2),0),IF($H844="TBO-004",IF($F844="Evet",ROUND($C844*tbo_oranKadinGenc,2),0),IF($H844="TBO-ENG",IF($G844="Evet",ROUND($C844*tbo_isverenOran,2),0),0)))))</f>
        <v/>
      </c>
      <c r="L844" s="31">
        <f>IF($A844="","",MAX(0,$J844-$K844))</f>
        <v/>
      </c>
    </row>
    <row r="845">
      <c r="I845" s="31">
        <f>IF($A845="","",IF($J845=0,"YOK",IF(AND($E845="Evet",ROUND($C845*tbo_oranIlave,2)=$J845),"TBO-002",IF(AND($D845="Evet",ROUND($C845*tbo_oranBesPuan,2)=$J845),"TBO-001",IF(AND($F845="Evet",ROUND($C845*tbo_oranKadinGenc,2)=$J845),"TBO-004","TBO-ENG")))))</f>
        <v/>
      </c>
      <c r="J845" s="31">
        <f>IF($A845="","",MAX(IF($D845="Evet",ROUND($C845*tbo_oranBesPuan,2),0),IF($E845="Evet",ROUND($C845*tbo_oranIlave,2),0),IF($F845="Evet",ROUND($C845*tbo_oranKadinGenc,2),0),IF($G845="Evet",ROUND($C845*tbo_isverenOran,2),0)))</f>
        <v/>
      </c>
      <c r="K845" s="31">
        <f>IF($A845="","",IF($H845="TBO-001",IF($D845="Evet",ROUND($C845*tbo_oranBesPuan,2),0),IF($H845="TBO-002",IF($E845="Evet",ROUND($C845*tbo_oranIlave,2),0),IF($H845="TBO-004",IF($F845="Evet",ROUND($C845*tbo_oranKadinGenc,2),0),IF($H845="TBO-ENG",IF($G845="Evet",ROUND($C845*tbo_isverenOran,2),0),0)))))</f>
        <v/>
      </c>
      <c r="L845" s="31">
        <f>IF($A845="","",MAX(0,$J845-$K845))</f>
        <v/>
      </c>
    </row>
    <row r="846">
      <c r="I846" s="31">
        <f>IF($A846="","",IF($J846=0,"YOK",IF(AND($E846="Evet",ROUND($C846*tbo_oranIlave,2)=$J846),"TBO-002",IF(AND($D846="Evet",ROUND($C846*tbo_oranBesPuan,2)=$J846),"TBO-001",IF(AND($F846="Evet",ROUND($C846*tbo_oranKadinGenc,2)=$J846),"TBO-004","TBO-ENG")))))</f>
        <v/>
      </c>
      <c r="J846" s="31">
        <f>IF($A846="","",MAX(IF($D846="Evet",ROUND($C846*tbo_oranBesPuan,2),0),IF($E846="Evet",ROUND($C846*tbo_oranIlave,2),0),IF($F846="Evet",ROUND($C846*tbo_oranKadinGenc,2),0),IF($G846="Evet",ROUND($C846*tbo_isverenOran,2),0)))</f>
        <v/>
      </c>
      <c r="K846" s="31">
        <f>IF($A846="","",IF($H846="TBO-001",IF($D846="Evet",ROUND($C846*tbo_oranBesPuan,2),0),IF($H846="TBO-002",IF($E846="Evet",ROUND($C846*tbo_oranIlave,2),0),IF($H846="TBO-004",IF($F846="Evet",ROUND($C846*tbo_oranKadinGenc,2),0),IF($H846="TBO-ENG",IF($G846="Evet",ROUND($C846*tbo_isverenOran,2),0),0)))))</f>
        <v/>
      </c>
      <c r="L846" s="31">
        <f>IF($A846="","",MAX(0,$J846-$K846))</f>
        <v/>
      </c>
    </row>
    <row r="847">
      <c r="I847" s="31">
        <f>IF($A847="","",IF($J847=0,"YOK",IF(AND($E847="Evet",ROUND($C847*tbo_oranIlave,2)=$J847),"TBO-002",IF(AND($D847="Evet",ROUND($C847*tbo_oranBesPuan,2)=$J847),"TBO-001",IF(AND($F847="Evet",ROUND($C847*tbo_oranKadinGenc,2)=$J847),"TBO-004","TBO-ENG")))))</f>
        <v/>
      </c>
      <c r="J847" s="31">
        <f>IF($A847="","",MAX(IF($D847="Evet",ROUND($C847*tbo_oranBesPuan,2),0),IF($E847="Evet",ROUND($C847*tbo_oranIlave,2),0),IF($F847="Evet",ROUND($C847*tbo_oranKadinGenc,2),0),IF($G847="Evet",ROUND($C847*tbo_isverenOran,2),0)))</f>
        <v/>
      </c>
      <c r="K847" s="31">
        <f>IF($A847="","",IF($H847="TBO-001",IF($D847="Evet",ROUND($C847*tbo_oranBesPuan,2),0),IF($H847="TBO-002",IF($E847="Evet",ROUND($C847*tbo_oranIlave,2),0),IF($H847="TBO-004",IF($F847="Evet",ROUND($C847*tbo_oranKadinGenc,2),0),IF($H847="TBO-ENG",IF($G847="Evet",ROUND($C847*tbo_isverenOran,2),0),0)))))</f>
        <v/>
      </c>
      <c r="L847" s="31">
        <f>IF($A847="","",MAX(0,$J847-$K847))</f>
        <v/>
      </c>
    </row>
    <row r="848">
      <c r="I848" s="31">
        <f>IF($A848="","",IF($J848=0,"YOK",IF(AND($E848="Evet",ROUND($C848*tbo_oranIlave,2)=$J848),"TBO-002",IF(AND($D848="Evet",ROUND($C848*tbo_oranBesPuan,2)=$J848),"TBO-001",IF(AND($F848="Evet",ROUND($C848*tbo_oranKadinGenc,2)=$J848),"TBO-004","TBO-ENG")))))</f>
        <v/>
      </c>
      <c r="J848" s="31">
        <f>IF($A848="","",MAX(IF($D848="Evet",ROUND($C848*tbo_oranBesPuan,2),0),IF($E848="Evet",ROUND($C848*tbo_oranIlave,2),0),IF($F848="Evet",ROUND($C848*tbo_oranKadinGenc,2),0),IF($G848="Evet",ROUND($C848*tbo_isverenOran,2),0)))</f>
        <v/>
      </c>
      <c r="K848" s="31">
        <f>IF($A848="","",IF($H848="TBO-001",IF($D848="Evet",ROUND($C848*tbo_oranBesPuan,2),0),IF($H848="TBO-002",IF($E848="Evet",ROUND($C848*tbo_oranIlave,2),0),IF($H848="TBO-004",IF($F848="Evet",ROUND($C848*tbo_oranKadinGenc,2),0),IF($H848="TBO-ENG",IF($G848="Evet",ROUND($C848*tbo_isverenOran,2),0),0)))))</f>
        <v/>
      </c>
      <c r="L848" s="31">
        <f>IF($A848="","",MAX(0,$J848-$K848))</f>
        <v/>
      </c>
    </row>
    <row r="849">
      <c r="I849" s="31">
        <f>IF($A849="","",IF($J849=0,"YOK",IF(AND($E849="Evet",ROUND($C849*tbo_oranIlave,2)=$J849),"TBO-002",IF(AND($D849="Evet",ROUND($C849*tbo_oranBesPuan,2)=$J849),"TBO-001",IF(AND($F849="Evet",ROUND($C849*tbo_oranKadinGenc,2)=$J849),"TBO-004","TBO-ENG")))))</f>
        <v/>
      </c>
      <c r="J849" s="31">
        <f>IF($A849="","",MAX(IF($D849="Evet",ROUND($C849*tbo_oranBesPuan,2),0),IF($E849="Evet",ROUND($C849*tbo_oranIlave,2),0),IF($F849="Evet",ROUND($C849*tbo_oranKadinGenc,2),0),IF($G849="Evet",ROUND($C849*tbo_isverenOran,2),0)))</f>
        <v/>
      </c>
      <c r="K849" s="31">
        <f>IF($A849="","",IF($H849="TBO-001",IF($D849="Evet",ROUND($C849*tbo_oranBesPuan,2),0),IF($H849="TBO-002",IF($E849="Evet",ROUND($C849*tbo_oranIlave,2),0),IF($H849="TBO-004",IF($F849="Evet",ROUND($C849*tbo_oranKadinGenc,2),0),IF($H849="TBO-ENG",IF($G849="Evet",ROUND($C849*tbo_isverenOran,2),0),0)))))</f>
        <v/>
      </c>
      <c r="L849" s="31">
        <f>IF($A849="","",MAX(0,$J849-$K849))</f>
        <v/>
      </c>
    </row>
    <row r="850">
      <c r="I850" s="31">
        <f>IF($A850="","",IF($J850=0,"YOK",IF(AND($E850="Evet",ROUND($C850*tbo_oranIlave,2)=$J850),"TBO-002",IF(AND($D850="Evet",ROUND($C850*tbo_oranBesPuan,2)=$J850),"TBO-001",IF(AND($F850="Evet",ROUND($C850*tbo_oranKadinGenc,2)=$J850),"TBO-004","TBO-ENG")))))</f>
        <v/>
      </c>
      <c r="J850" s="31">
        <f>IF($A850="","",MAX(IF($D850="Evet",ROUND($C850*tbo_oranBesPuan,2),0),IF($E850="Evet",ROUND($C850*tbo_oranIlave,2),0),IF($F850="Evet",ROUND($C850*tbo_oranKadinGenc,2),0),IF($G850="Evet",ROUND($C850*tbo_isverenOran,2),0)))</f>
        <v/>
      </c>
      <c r="K850" s="31">
        <f>IF($A850="","",IF($H850="TBO-001",IF($D850="Evet",ROUND($C850*tbo_oranBesPuan,2),0),IF($H850="TBO-002",IF($E850="Evet",ROUND($C850*tbo_oranIlave,2),0),IF($H850="TBO-004",IF($F850="Evet",ROUND($C850*tbo_oranKadinGenc,2),0),IF($H850="TBO-ENG",IF($G850="Evet",ROUND($C850*tbo_isverenOran,2),0),0)))))</f>
        <v/>
      </c>
      <c r="L850" s="31">
        <f>IF($A850="","",MAX(0,$J850-$K850))</f>
        <v/>
      </c>
    </row>
    <row r="851">
      <c r="I851" s="31">
        <f>IF($A851="","",IF($J851=0,"YOK",IF(AND($E851="Evet",ROUND($C851*tbo_oranIlave,2)=$J851),"TBO-002",IF(AND($D851="Evet",ROUND($C851*tbo_oranBesPuan,2)=$J851),"TBO-001",IF(AND($F851="Evet",ROUND($C851*tbo_oranKadinGenc,2)=$J851),"TBO-004","TBO-ENG")))))</f>
        <v/>
      </c>
      <c r="J851" s="31">
        <f>IF($A851="","",MAX(IF($D851="Evet",ROUND($C851*tbo_oranBesPuan,2),0),IF($E851="Evet",ROUND($C851*tbo_oranIlave,2),0),IF($F851="Evet",ROUND($C851*tbo_oranKadinGenc,2),0),IF($G851="Evet",ROUND($C851*tbo_isverenOran,2),0)))</f>
        <v/>
      </c>
      <c r="K851" s="31">
        <f>IF($A851="","",IF($H851="TBO-001",IF($D851="Evet",ROUND($C851*tbo_oranBesPuan,2),0),IF($H851="TBO-002",IF($E851="Evet",ROUND($C851*tbo_oranIlave,2),0),IF($H851="TBO-004",IF($F851="Evet",ROUND($C851*tbo_oranKadinGenc,2),0),IF($H851="TBO-ENG",IF($G851="Evet",ROUND($C851*tbo_isverenOran,2),0),0)))))</f>
        <v/>
      </c>
      <c r="L851" s="31">
        <f>IF($A851="","",MAX(0,$J851-$K851))</f>
        <v/>
      </c>
    </row>
    <row r="852">
      <c r="I852" s="31">
        <f>IF($A852="","",IF($J852=0,"YOK",IF(AND($E852="Evet",ROUND($C852*tbo_oranIlave,2)=$J852),"TBO-002",IF(AND($D852="Evet",ROUND($C852*tbo_oranBesPuan,2)=$J852),"TBO-001",IF(AND($F852="Evet",ROUND($C852*tbo_oranKadinGenc,2)=$J852),"TBO-004","TBO-ENG")))))</f>
        <v/>
      </c>
      <c r="J852" s="31">
        <f>IF($A852="","",MAX(IF($D852="Evet",ROUND($C852*tbo_oranBesPuan,2),0),IF($E852="Evet",ROUND($C852*tbo_oranIlave,2),0),IF($F852="Evet",ROUND($C852*tbo_oranKadinGenc,2),0),IF($G852="Evet",ROUND($C852*tbo_isverenOran,2),0)))</f>
        <v/>
      </c>
      <c r="K852" s="31">
        <f>IF($A852="","",IF($H852="TBO-001",IF($D852="Evet",ROUND($C852*tbo_oranBesPuan,2),0),IF($H852="TBO-002",IF($E852="Evet",ROUND($C852*tbo_oranIlave,2),0),IF($H852="TBO-004",IF($F852="Evet",ROUND($C852*tbo_oranKadinGenc,2),0),IF($H852="TBO-ENG",IF($G852="Evet",ROUND($C852*tbo_isverenOran,2),0),0)))))</f>
        <v/>
      </c>
      <c r="L852" s="31">
        <f>IF($A852="","",MAX(0,$J852-$K852))</f>
        <v/>
      </c>
    </row>
    <row r="853">
      <c r="I853" s="31">
        <f>IF($A853="","",IF($J853=0,"YOK",IF(AND($E853="Evet",ROUND($C853*tbo_oranIlave,2)=$J853),"TBO-002",IF(AND($D853="Evet",ROUND($C853*tbo_oranBesPuan,2)=$J853),"TBO-001",IF(AND($F853="Evet",ROUND($C853*tbo_oranKadinGenc,2)=$J853),"TBO-004","TBO-ENG")))))</f>
        <v/>
      </c>
      <c r="J853" s="31">
        <f>IF($A853="","",MAX(IF($D853="Evet",ROUND($C853*tbo_oranBesPuan,2),0),IF($E853="Evet",ROUND($C853*tbo_oranIlave,2),0),IF($F853="Evet",ROUND($C853*tbo_oranKadinGenc,2),0),IF($G853="Evet",ROUND($C853*tbo_isverenOran,2),0)))</f>
        <v/>
      </c>
      <c r="K853" s="31">
        <f>IF($A853="","",IF($H853="TBO-001",IF($D853="Evet",ROUND($C853*tbo_oranBesPuan,2),0),IF($H853="TBO-002",IF($E853="Evet",ROUND($C853*tbo_oranIlave,2),0),IF($H853="TBO-004",IF($F853="Evet",ROUND($C853*tbo_oranKadinGenc,2),0),IF($H853="TBO-ENG",IF($G853="Evet",ROUND($C853*tbo_isverenOran,2),0),0)))))</f>
        <v/>
      </c>
      <c r="L853" s="31">
        <f>IF($A853="","",MAX(0,$J853-$K853))</f>
        <v/>
      </c>
    </row>
    <row r="854">
      <c r="I854" s="31">
        <f>IF($A854="","",IF($J854=0,"YOK",IF(AND($E854="Evet",ROUND($C854*tbo_oranIlave,2)=$J854),"TBO-002",IF(AND($D854="Evet",ROUND($C854*tbo_oranBesPuan,2)=$J854),"TBO-001",IF(AND($F854="Evet",ROUND($C854*tbo_oranKadinGenc,2)=$J854),"TBO-004","TBO-ENG")))))</f>
        <v/>
      </c>
      <c r="J854" s="31">
        <f>IF($A854="","",MAX(IF($D854="Evet",ROUND($C854*tbo_oranBesPuan,2),0),IF($E854="Evet",ROUND($C854*tbo_oranIlave,2),0),IF($F854="Evet",ROUND($C854*tbo_oranKadinGenc,2),0),IF($G854="Evet",ROUND($C854*tbo_isverenOran,2),0)))</f>
        <v/>
      </c>
      <c r="K854" s="31">
        <f>IF($A854="","",IF($H854="TBO-001",IF($D854="Evet",ROUND($C854*tbo_oranBesPuan,2),0),IF($H854="TBO-002",IF($E854="Evet",ROUND($C854*tbo_oranIlave,2),0),IF($H854="TBO-004",IF($F854="Evet",ROUND($C854*tbo_oranKadinGenc,2),0),IF($H854="TBO-ENG",IF($G854="Evet",ROUND($C854*tbo_isverenOran,2),0),0)))))</f>
        <v/>
      </c>
      <c r="L854" s="31">
        <f>IF($A854="","",MAX(0,$J854-$K854))</f>
        <v/>
      </c>
    </row>
    <row r="855">
      <c r="I855" s="31">
        <f>IF($A855="","",IF($J855=0,"YOK",IF(AND($E855="Evet",ROUND($C855*tbo_oranIlave,2)=$J855),"TBO-002",IF(AND($D855="Evet",ROUND($C855*tbo_oranBesPuan,2)=$J855),"TBO-001",IF(AND($F855="Evet",ROUND($C855*tbo_oranKadinGenc,2)=$J855),"TBO-004","TBO-ENG")))))</f>
        <v/>
      </c>
      <c r="J855" s="31">
        <f>IF($A855="","",MAX(IF($D855="Evet",ROUND($C855*tbo_oranBesPuan,2),0),IF($E855="Evet",ROUND($C855*tbo_oranIlave,2),0),IF($F855="Evet",ROUND($C855*tbo_oranKadinGenc,2),0),IF($G855="Evet",ROUND($C855*tbo_isverenOran,2),0)))</f>
        <v/>
      </c>
      <c r="K855" s="31">
        <f>IF($A855="","",IF($H855="TBO-001",IF($D855="Evet",ROUND($C855*tbo_oranBesPuan,2),0),IF($H855="TBO-002",IF($E855="Evet",ROUND($C855*tbo_oranIlave,2),0),IF($H855="TBO-004",IF($F855="Evet",ROUND($C855*tbo_oranKadinGenc,2),0),IF($H855="TBO-ENG",IF($G855="Evet",ROUND($C855*tbo_isverenOran,2),0),0)))))</f>
        <v/>
      </c>
      <c r="L855" s="31">
        <f>IF($A855="","",MAX(0,$J855-$K855))</f>
        <v/>
      </c>
    </row>
    <row r="856">
      <c r="I856" s="31">
        <f>IF($A856="","",IF($J856=0,"YOK",IF(AND($E856="Evet",ROUND($C856*tbo_oranIlave,2)=$J856),"TBO-002",IF(AND($D856="Evet",ROUND($C856*tbo_oranBesPuan,2)=$J856),"TBO-001",IF(AND($F856="Evet",ROUND($C856*tbo_oranKadinGenc,2)=$J856),"TBO-004","TBO-ENG")))))</f>
        <v/>
      </c>
      <c r="J856" s="31">
        <f>IF($A856="","",MAX(IF($D856="Evet",ROUND($C856*tbo_oranBesPuan,2),0),IF($E856="Evet",ROUND($C856*tbo_oranIlave,2),0),IF($F856="Evet",ROUND($C856*tbo_oranKadinGenc,2),0),IF($G856="Evet",ROUND($C856*tbo_isverenOran,2),0)))</f>
        <v/>
      </c>
      <c r="K856" s="31">
        <f>IF($A856="","",IF($H856="TBO-001",IF($D856="Evet",ROUND($C856*tbo_oranBesPuan,2),0),IF($H856="TBO-002",IF($E856="Evet",ROUND($C856*tbo_oranIlave,2),0),IF($H856="TBO-004",IF($F856="Evet",ROUND($C856*tbo_oranKadinGenc,2),0),IF($H856="TBO-ENG",IF($G856="Evet",ROUND($C856*tbo_isverenOran,2),0),0)))))</f>
        <v/>
      </c>
      <c r="L856" s="31">
        <f>IF($A856="","",MAX(0,$J856-$K856))</f>
        <v/>
      </c>
    </row>
    <row r="857">
      <c r="I857" s="31">
        <f>IF($A857="","",IF($J857=0,"YOK",IF(AND($E857="Evet",ROUND($C857*tbo_oranIlave,2)=$J857),"TBO-002",IF(AND($D857="Evet",ROUND($C857*tbo_oranBesPuan,2)=$J857),"TBO-001",IF(AND($F857="Evet",ROUND($C857*tbo_oranKadinGenc,2)=$J857),"TBO-004","TBO-ENG")))))</f>
        <v/>
      </c>
      <c r="J857" s="31">
        <f>IF($A857="","",MAX(IF($D857="Evet",ROUND($C857*tbo_oranBesPuan,2),0),IF($E857="Evet",ROUND($C857*tbo_oranIlave,2),0),IF($F857="Evet",ROUND($C857*tbo_oranKadinGenc,2),0),IF($G857="Evet",ROUND($C857*tbo_isverenOran,2),0)))</f>
        <v/>
      </c>
      <c r="K857" s="31">
        <f>IF($A857="","",IF($H857="TBO-001",IF($D857="Evet",ROUND($C857*tbo_oranBesPuan,2),0),IF($H857="TBO-002",IF($E857="Evet",ROUND($C857*tbo_oranIlave,2),0),IF($H857="TBO-004",IF($F857="Evet",ROUND($C857*tbo_oranKadinGenc,2),0),IF($H857="TBO-ENG",IF($G857="Evet",ROUND($C857*tbo_isverenOran,2),0),0)))))</f>
        <v/>
      </c>
      <c r="L857" s="31">
        <f>IF($A857="","",MAX(0,$J857-$K857))</f>
        <v/>
      </c>
    </row>
    <row r="858">
      <c r="I858" s="31">
        <f>IF($A858="","",IF($J858=0,"YOK",IF(AND($E858="Evet",ROUND($C858*tbo_oranIlave,2)=$J858),"TBO-002",IF(AND($D858="Evet",ROUND($C858*tbo_oranBesPuan,2)=$J858),"TBO-001",IF(AND($F858="Evet",ROUND($C858*tbo_oranKadinGenc,2)=$J858),"TBO-004","TBO-ENG")))))</f>
        <v/>
      </c>
      <c r="J858" s="31">
        <f>IF($A858="","",MAX(IF($D858="Evet",ROUND($C858*tbo_oranBesPuan,2),0),IF($E858="Evet",ROUND($C858*tbo_oranIlave,2),0),IF($F858="Evet",ROUND($C858*tbo_oranKadinGenc,2),0),IF($G858="Evet",ROUND($C858*tbo_isverenOran,2),0)))</f>
        <v/>
      </c>
      <c r="K858" s="31">
        <f>IF($A858="","",IF($H858="TBO-001",IF($D858="Evet",ROUND($C858*tbo_oranBesPuan,2),0),IF($H858="TBO-002",IF($E858="Evet",ROUND($C858*tbo_oranIlave,2),0),IF($H858="TBO-004",IF($F858="Evet",ROUND($C858*tbo_oranKadinGenc,2),0),IF($H858="TBO-ENG",IF($G858="Evet",ROUND($C858*tbo_isverenOran,2),0),0)))))</f>
        <v/>
      </c>
      <c r="L858" s="31">
        <f>IF($A858="","",MAX(0,$J858-$K858))</f>
        <v/>
      </c>
    </row>
    <row r="859">
      <c r="I859" s="31">
        <f>IF($A859="","",IF($J859=0,"YOK",IF(AND($E859="Evet",ROUND($C859*tbo_oranIlave,2)=$J859),"TBO-002",IF(AND($D859="Evet",ROUND($C859*tbo_oranBesPuan,2)=$J859),"TBO-001",IF(AND($F859="Evet",ROUND($C859*tbo_oranKadinGenc,2)=$J859),"TBO-004","TBO-ENG")))))</f>
        <v/>
      </c>
      <c r="J859" s="31">
        <f>IF($A859="","",MAX(IF($D859="Evet",ROUND($C859*tbo_oranBesPuan,2),0),IF($E859="Evet",ROUND($C859*tbo_oranIlave,2),0),IF($F859="Evet",ROUND($C859*tbo_oranKadinGenc,2),0),IF($G859="Evet",ROUND($C859*tbo_isverenOran,2),0)))</f>
        <v/>
      </c>
      <c r="K859" s="31">
        <f>IF($A859="","",IF($H859="TBO-001",IF($D859="Evet",ROUND($C859*tbo_oranBesPuan,2),0),IF($H859="TBO-002",IF($E859="Evet",ROUND($C859*tbo_oranIlave,2),0),IF($H859="TBO-004",IF($F859="Evet",ROUND($C859*tbo_oranKadinGenc,2),0),IF($H859="TBO-ENG",IF($G859="Evet",ROUND($C859*tbo_isverenOran,2),0),0)))))</f>
        <v/>
      </c>
      <c r="L859" s="31">
        <f>IF($A859="","",MAX(0,$J859-$K859))</f>
        <v/>
      </c>
    </row>
    <row r="860">
      <c r="I860" s="31">
        <f>IF($A860="","",IF($J860=0,"YOK",IF(AND($E860="Evet",ROUND($C860*tbo_oranIlave,2)=$J860),"TBO-002",IF(AND($D860="Evet",ROUND($C860*tbo_oranBesPuan,2)=$J860),"TBO-001",IF(AND($F860="Evet",ROUND($C860*tbo_oranKadinGenc,2)=$J860),"TBO-004","TBO-ENG")))))</f>
        <v/>
      </c>
      <c r="J860" s="31">
        <f>IF($A860="","",MAX(IF($D860="Evet",ROUND($C860*tbo_oranBesPuan,2),0),IF($E860="Evet",ROUND($C860*tbo_oranIlave,2),0),IF($F860="Evet",ROUND($C860*tbo_oranKadinGenc,2),0),IF($G860="Evet",ROUND($C860*tbo_isverenOran,2),0)))</f>
        <v/>
      </c>
      <c r="K860" s="31">
        <f>IF($A860="","",IF($H860="TBO-001",IF($D860="Evet",ROUND($C860*tbo_oranBesPuan,2),0),IF($H860="TBO-002",IF($E860="Evet",ROUND($C860*tbo_oranIlave,2),0),IF($H860="TBO-004",IF($F860="Evet",ROUND($C860*tbo_oranKadinGenc,2),0),IF($H860="TBO-ENG",IF($G860="Evet",ROUND($C860*tbo_isverenOran,2),0),0)))))</f>
        <v/>
      </c>
      <c r="L860" s="31">
        <f>IF($A860="","",MAX(0,$J860-$K860))</f>
        <v/>
      </c>
    </row>
    <row r="861">
      <c r="I861" s="31">
        <f>IF($A861="","",IF($J861=0,"YOK",IF(AND($E861="Evet",ROUND($C861*tbo_oranIlave,2)=$J861),"TBO-002",IF(AND($D861="Evet",ROUND($C861*tbo_oranBesPuan,2)=$J861),"TBO-001",IF(AND($F861="Evet",ROUND($C861*tbo_oranKadinGenc,2)=$J861),"TBO-004","TBO-ENG")))))</f>
        <v/>
      </c>
      <c r="J861" s="31">
        <f>IF($A861="","",MAX(IF($D861="Evet",ROUND($C861*tbo_oranBesPuan,2),0),IF($E861="Evet",ROUND($C861*tbo_oranIlave,2),0),IF($F861="Evet",ROUND($C861*tbo_oranKadinGenc,2),0),IF($G861="Evet",ROUND($C861*tbo_isverenOran,2),0)))</f>
        <v/>
      </c>
      <c r="K861" s="31">
        <f>IF($A861="","",IF($H861="TBO-001",IF($D861="Evet",ROUND($C861*tbo_oranBesPuan,2),0),IF($H861="TBO-002",IF($E861="Evet",ROUND($C861*tbo_oranIlave,2),0),IF($H861="TBO-004",IF($F861="Evet",ROUND($C861*tbo_oranKadinGenc,2),0),IF($H861="TBO-ENG",IF($G861="Evet",ROUND($C861*tbo_isverenOran,2),0),0)))))</f>
        <v/>
      </c>
      <c r="L861" s="31">
        <f>IF($A861="","",MAX(0,$J861-$K861))</f>
        <v/>
      </c>
    </row>
    <row r="862">
      <c r="I862" s="31">
        <f>IF($A862="","",IF($J862=0,"YOK",IF(AND($E862="Evet",ROUND($C862*tbo_oranIlave,2)=$J862),"TBO-002",IF(AND($D862="Evet",ROUND($C862*tbo_oranBesPuan,2)=$J862),"TBO-001",IF(AND($F862="Evet",ROUND($C862*tbo_oranKadinGenc,2)=$J862),"TBO-004","TBO-ENG")))))</f>
        <v/>
      </c>
      <c r="J862" s="31">
        <f>IF($A862="","",MAX(IF($D862="Evet",ROUND($C862*tbo_oranBesPuan,2),0),IF($E862="Evet",ROUND($C862*tbo_oranIlave,2),0),IF($F862="Evet",ROUND($C862*tbo_oranKadinGenc,2),0),IF($G862="Evet",ROUND($C862*tbo_isverenOran,2),0)))</f>
        <v/>
      </c>
      <c r="K862" s="31">
        <f>IF($A862="","",IF($H862="TBO-001",IF($D862="Evet",ROUND($C862*tbo_oranBesPuan,2),0),IF($H862="TBO-002",IF($E862="Evet",ROUND($C862*tbo_oranIlave,2),0),IF($H862="TBO-004",IF($F862="Evet",ROUND($C862*tbo_oranKadinGenc,2),0),IF($H862="TBO-ENG",IF($G862="Evet",ROUND($C862*tbo_isverenOran,2),0),0)))))</f>
        <v/>
      </c>
      <c r="L862" s="31">
        <f>IF($A862="","",MAX(0,$J862-$K862))</f>
        <v/>
      </c>
    </row>
    <row r="863">
      <c r="I863" s="31">
        <f>IF($A863="","",IF($J863=0,"YOK",IF(AND($E863="Evet",ROUND($C863*tbo_oranIlave,2)=$J863),"TBO-002",IF(AND($D863="Evet",ROUND($C863*tbo_oranBesPuan,2)=$J863),"TBO-001",IF(AND($F863="Evet",ROUND($C863*tbo_oranKadinGenc,2)=$J863),"TBO-004","TBO-ENG")))))</f>
        <v/>
      </c>
      <c r="J863" s="31">
        <f>IF($A863="","",MAX(IF($D863="Evet",ROUND($C863*tbo_oranBesPuan,2),0),IF($E863="Evet",ROUND($C863*tbo_oranIlave,2),0),IF($F863="Evet",ROUND($C863*tbo_oranKadinGenc,2),0),IF($G863="Evet",ROUND($C863*tbo_isverenOran,2),0)))</f>
        <v/>
      </c>
      <c r="K863" s="31">
        <f>IF($A863="","",IF($H863="TBO-001",IF($D863="Evet",ROUND($C863*tbo_oranBesPuan,2),0),IF($H863="TBO-002",IF($E863="Evet",ROUND($C863*tbo_oranIlave,2),0),IF($H863="TBO-004",IF($F863="Evet",ROUND($C863*tbo_oranKadinGenc,2),0),IF($H863="TBO-ENG",IF($G863="Evet",ROUND($C863*tbo_isverenOran,2),0),0)))))</f>
        <v/>
      </c>
      <c r="L863" s="31">
        <f>IF($A863="","",MAX(0,$J863-$K863))</f>
        <v/>
      </c>
    </row>
    <row r="864">
      <c r="I864" s="31">
        <f>IF($A864="","",IF($J864=0,"YOK",IF(AND($E864="Evet",ROUND($C864*tbo_oranIlave,2)=$J864),"TBO-002",IF(AND($D864="Evet",ROUND($C864*tbo_oranBesPuan,2)=$J864),"TBO-001",IF(AND($F864="Evet",ROUND($C864*tbo_oranKadinGenc,2)=$J864),"TBO-004","TBO-ENG")))))</f>
        <v/>
      </c>
      <c r="J864" s="31">
        <f>IF($A864="","",MAX(IF($D864="Evet",ROUND($C864*tbo_oranBesPuan,2),0),IF($E864="Evet",ROUND($C864*tbo_oranIlave,2),0),IF($F864="Evet",ROUND($C864*tbo_oranKadinGenc,2),0),IF($G864="Evet",ROUND($C864*tbo_isverenOran,2),0)))</f>
        <v/>
      </c>
      <c r="K864" s="31">
        <f>IF($A864="","",IF($H864="TBO-001",IF($D864="Evet",ROUND($C864*tbo_oranBesPuan,2),0),IF($H864="TBO-002",IF($E864="Evet",ROUND($C864*tbo_oranIlave,2),0),IF($H864="TBO-004",IF($F864="Evet",ROUND($C864*tbo_oranKadinGenc,2),0),IF($H864="TBO-ENG",IF($G864="Evet",ROUND($C864*tbo_isverenOran,2),0),0)))))</f>
        <v/>
      </c>
      <c r="L864" s="31">
        <f>IF($A864="","",MAX(0,$J864-$K864))</f>
        <v/>
      </c>
    </row>
    <row r="865">
      <c r="I865" s="31">
        <f>IF($A865="","",IF($J865=0,"YOK",IF(AND($E865="Evet",ROUND($C865*tbo_oranIlave,2)=$J865),"TBO-002",IF(AND($D865="Evet",ROUND($C865*tbo_oranBesPuan,2)=$J865),"TBO-001",IF(AND($F865="Evet",ROUND($C865*tbo_oranKadinGenc,2)=$J865),"TBO-004","TBO-ENG")))))</f>
        <v/>
      </c>
      <c r="J865" s="31">
        <f>IF($A865="","",MAX(IF($D865="Evet",ROUND($C865*tbo_oranBesPuan,2),0),IF($E865="Evet",ROUND($C865*tbo_oranIlave,2),0),IF($F865="Evet",ROUND($C865*tbo_oranKadinGenc,2),0),IF($G865="Evet",ROUND($C865*tbo_isverenOran,2),0)))</f>
        <v/>
      </c>
      <c r="K865" s="31">
        <f>IF($A865="","",IF($H865="TBO-001",IF($D865="Evet",ROUND($C865*tbo_oranBesPuan,2),0),IF($H865="TBO-002",IF($E865="Evet",ROUND($C865*tbo_oranIlave,2),0),IF($H865="TBO-004",IF($F865="Evet",ROUND($C865*tbo_oranKadinGenc,2),0),IF($H865="TBO-ENG",IF($G865="Evet",ROUND($C865*tbo_isverenOran,2),0),0)))))</f>
        <v/>
      </c>
      <c r="L865" s="31">
        <f>IF($A865="","",MAX(0,$J865-$K865))</f>
        <v/>
      </c>
    </row>
    <row r="866">
      <c r="I866" s="31">
        <f>IF($A866="","",IF($J866=0,"YOK",IF(AND($E866="Evet",ROUND($C866*tbo_oranIlave,2)=$J866),"TBO-002",IF(AND($D866="Evet",ROUND($C866*tbo_oranBesPuan,2)=$J866),"TBO-001",IF(AND($F866="Evet",ROUND($C866*tbo_oranKadinGenc,2)=$J866),"TBO-004","TBO-ENG")))))</f>
        <v/>
      </c>
      <c r="J866" s="31">
        <f>IF($A866="","",MAX(IF($D866="Evet",ROUND($C866*tbo_oranBesPuan,2),0),IF($E866="Evet",ROUND($C866*tbo_oranIlave,2),0),IF($F866="Evet",ROUND($C866*tbo_oranKadinGenc,2),0),IF($G866="Evet",ROUND($C866*tbo_isverenOran,2),0)))</f>
        <v/>
      </c>
      <c r="K866" s="31">
        <f>IF($A866="","",IF($H866="TBO-001",IF($D866="Evet",ROUND($C866*tbo_oranBesPuan,2),0),IF($H866="TBO-002",IF($E866="Evet",ROUND($C866*tbo_oranIlave,2),0),IF($H866="TBO-004",IF($F866="Evet",ROUND($C866*tbo_oranKadinGenc,2),0),IF($H866="TBO-ENG",IF($G866="Evet",ROUND($C866*tbo_isverenOran,2),0),0)))))</f>
        <v/>
      </c>
      <c r="L866" s="31">
        <f>IF($A866="","",MAX(0,$J866-$K866))</f>
        <v/>
      </c>
    </row>
    <row r="867">
      <c r="I867" s="31">
        <f>IF($A867="","",IF($J867=0,"YOK",IF(AND($E867="Evet",ROUND($C867*tbo_oranIlave,2)=$J867),"TBO-002",IF(AND($D867="Evet",ROUND($C867*tbo_oranBesPuan,2)=$J867),"TBO-001",IF(AND($F867="Evet",ROUND($C867*tbo_oranKadinGenc,2)=$J867),"TBO-004","TBO-ENG")))))</f>
        <v/>
      </c>
      <c r="J867" s="31">
        <f>IF($A867="","",MAX(IF($D867="Evet",ROUND($C867*tbo_oranBesPuan,2),0),IF($E867="Evet",ROUND($C867*tbo_oranIlave,2),0),IF($F867="Evet",ROUND($C867*tbo_oranKadinGenc,2),0),IF($G867="Evet",ROUND($C867*tbo_isverenOran,2),0)))</f>
        <v/>
      </c>
      <c r="K867" s="31">
        <f>IF($A867="","",IF($H867="TBO-001",IF($D867="Evet",ROUND($C867*tbo_oranBesPuan,2),0),IF($H867="TBO-002",IF($E867="Evet",ROUND($C867*tbo_oranIlave,2),0),IF($H867="TBO-004",IF($F867="Evet",ROUND($C867*tbo_oranKadinGenc,2),0),IF($H867="TBO-ENG",IF($G867="Evet",ROUND($C867*tbo_isverenOran,2),0),0)))))</f>
        <v/>
      </c>
      <c r="L867" s="31">
        <f>IF($A867="","",MAX(0,$J867-$K867))</f>
        <v/>
      </c>
    </row>
    <row r="868">
      <c r="I868" s="31">
        <f>IF($A868="","",IF($J868=0,"YOK",IF(AND($E868="Evet",ROUND($C868*tbo_oranIlave,2)=$J868),"TBO-002",IF(AND($D868="Evet",ROUND($C868*tbo_oranBesPuan,2)=$J868),"TBO-001",IF(AND($F868="Evet",ROUND($C868*tbo_oranKadinGenc,2)=$J868),"TBO-004","TBO-ENG")))))</f>
        <v/>
      </c>
      <c r="J868" s="31">
        <f>IF($A868="","",MAX(IF($D868="Evet",ROUND($C868*tbo_oranBesPuan,2),0),IF($E868="Evet",ROUND($C868*tbo_oranIlave,2),0),IF($F868="Evet",ROUND($C868*tbo_oranKadinGenc,2),0),IF($G868="Evet",ROUND($C868*tbo_isverenOran,2),0)))</f>
        <v/>
      </c>
      <c r="K868" s="31">
        <f>IF($A868="","",IF($H868="TBO-001",IF($D868="Evet",ROUND($C868*tbo_oranBesPuan,2),0),IF($H868="TBO-002",IF($E868="Evet",ROUND($C868*tbo_oranIlave,2),0),IF($H868="TBO-004",IF($F868="Evet",ROUND($C868*tbo_oranKadinGenc,2),0),IF($H868="TBO-ENG",IF($G868="Evet",ROUND($C868*tbo_isverenOran,2),0),0)))))</f>
        <v/>
      </c>
      <c r="L868" s="31">
        <f>IF($A868="","",MAX(0,$J868-$K868))</f>
        <v/>
      </c>
    </row>
    <row r="869">
      <c r="I869" s="31">
        <f>IF($A869="","",IF($J869=0,"YOK",IF(AND($E869="Evet",ROUND($C869*tbo_oranIlave,2)=$J869),"TBO-002",IF(AND($D869="Evet",ROUND($C869*tbo_oranBesPuan,2)=$J869),"TBO-001",IF(AND($F869="Evet",ROUND($C869*tbo_oranKadinGenc,2)=$J869),"TBO-004","TBO-ENG")))))</f>
        <v/>
      </c>
      <c r="J869" s="31">
        <f>IF($A869="","",MAX(IF($D869="Evet",ROUND($C869*tbo_oranBesPuan,2),0),IF($E869="Evet",ROUND($C869*tbo_oranIlave,2),0),IF($F869="Evet",ROUND($C869*tbo_oranKadinGenc,2),0),IF($G869="Evet",ROUND($C869*tbo_isverenOran,2),0)))</f>
        <v/>
      </c>
      <c r="K869" s="31">
        <f>IF($A869="","",IF($H869="TBO-001",IF($D869="Evet",ROUND($C869*tbo_oranBesPuan,2),0),IF($H869="TBO-002",IF($E869="Evet",ROUND($C869*tbo_oranIlave,2),0),IF($H869="TBO-004",IF($F869="Evet",ROUND($C869*tbo_oranKadinGenc,2),0),IF($H869="TBO-ENG",IF($G869="Evet",ROUND($C869*tbo_isverenOran,2),0),0)))))</f>
        <v/>
      </c>
      <c r="L869" s="31">
        <f>IF($A869="","",MAX(0,$J869-$K869))</f>
        <v/>
      </c>
    </row>
    <row r="870">
      <c r="I870" s="31">
        <f>IF($A870="","",IF($J870=0,"YOK",IF(AND($E870="Evet",ROUND($C870*tbo_oranIlave,2)=$J870),"TBO-002",IF(AND($D870="Evet",ROUND($C870*tbo_oranBesPuan,2)=$J870),"TBO-001",IF(AND($F870="Evet",ROUND($C870*tbo_oranKadinGenc,2)=$J870),"TBO-004","TBO-ENG")))))</f>
        <v/>
      </c>
      <c r="J870" s="31">
        <f>IF($A870="","",MAX(IF($D870="Evet",ROUND($C870*tbo_oranBesPuan,2),0),IF($E870="Evet",ROUND($C870*tbo_oranIlave,2),0),IF($F870="Evet",ROUND($C870*tbo_oranKadinGenc,2),0),IF($G870="Evet",ROUND($C870*tbo_isverenOran,2),0)))</f>
        <v/>
      </c>
      <c r="K870" s="31">
        <f>IF($A870="","",IF($H870="TBO-001",IF($D870="Evet",ROUND($C870*tbo_oranBesPuan,2),0),IF($H870="TBO-002",IF($E870="Evet",ROUND($C870*tbo_oranIlave,2),0),IF($H870="TBO-004",IF($F870="Evet",ROUND($C870*tbo_oranKadinGenc,2),0),IF($H870="TBO-ENG",IF($G870="Evet",ROUND($C870*tbo_isverenOran,2),0),0)))))</f>
        <v/>
      </c>
      <c r="L870" s="31">
        <f>IF($A870="","",MAX(0,$J870-$K870))</f>
        <v/>
      </c>
    </row>
    <row r="871">
      <c r="I871" s="31">
        <f>IF($A871="","",IF($J871=0,"YOK",IF(AND($E871="Evet",ROUND($C871*tbo_oranIlave,2)=$J871),"TBO-002",IF(AND($D871="Evet",ROUND($C871*tbo_oranBesPuan,2)=$J871),"TBO-001",IF(AND($F871="Evet",ROUND($C871*tbo_oranKadinGenc,2)=$J871),"TBO-004","TBO-ENG")))))</f>
        <v/>
      </c>
      <c r="J871" s="31">
        <f>IF($A871="","",MAX(IF($D871="Evet",ROUND($C871*tbo_oranBesPuan,2),0),IF($E871="Evet",ROUND($C871*tbo_oranIlave,2),0),IF($F871="Evet",ROUND($C871*tbo_oranKadinGenc,2),0),IF($G871="Evet",ROUND($C871*tbo_isverenOran,2),0)))</f>
        <v/>
      </c>
      <c r="K871" s="31">
        <f>IF($A871="","",IF($H871="TBO-001",IF($D871="Evet",ROUND($C871*tbo_oranBesPuan,2),0),IF($H871="TBO-002",IF($E871="Evet",ROUND($C871*tbo_oranIlave,2),0),IF($H871="TBO-004",IF($F871="Evet",ROUND($C871*tbo_oranKadinGenc,2),0),IF($H871="TBO-ENG",IF($G871="Evet",ROUND($C871*tbo_isverenOran,2),0),0)))))</f>
        <v/>
      </c>
      <c r="L871" s="31">
        <f>IF($A871="","",MAX(0,$J871-$K871))</f>
        <v/>
      </c>
    </row>
    <row r="872">
      <c r="I872" s="31">
        <f>IF($A872="","",IF($J872=0,"YOK",IF(AND($E872="Evet",ROUND($C872*tbo_oranIlave,2)=$J872),"TBO-002",IF(AND($D872="Evet",ROUND($C872*tbo_oranBesPuan,2)=$J872),"TBO-001",IF(AND($F872="Evet",ROUND($C872*tbo_oranKadinGenc,2)=$J872),"TBO-004","TBO-ENG")))))</f>
        <v/>
      </c>
      <c r="J872" s="31">
        <f>IF($A872="","",MAX(IF($D872="Evet",ROUND($C872*tbo_oranBesPuan,2),0),IF($E872="Evet",ROUND($C872*tbo_oranIlave,2),0),IF($F872="Evet",ROUND($C872*tbo_oranKadinGenc,2),0),IF($G872="Evet",ROUND($C872*tbo_isverenOran,2),0)))</f>
        <v/>
      </c>
      <c r="K872" s="31">
        <f>IF($A872="","",IF($H872="TBO-001",IF($D872="Evet",ROUND($C872*tbo_oranBesPuan,2),0),IF($H872="TBO-002",IF($E872="Evet",ROUND($C872*tbo_oranIlave,2),0),IF($H872="TBO-004",IF($F872="Evet",ROUND($C872*tbo_oranKadinGenc,2),0),IF($H872="TBO-ENG",IF($G872="Evet",ROUND($C872*tbo_isverenOran,2),0),0)))))</f>
        <v/>
      </c>
      <c r="L872" s="31">
        <f>IF($A872="","",MAX(0,$J872-$K872))</f>
        <v/>
      </c>
    </row>
    <row r="873">
      <c r="I873" s="31">
        <f>IF($A873="","",IF($J873=0,"YOK",IF(AND($E873="Evet",ROUND($C873*tbo_oranIlave,2)=$J873),"TBO-002",IF(AND($D873="Evet",ROUND($C873*tbo_oranBesPuan,2)=$J873),"TBO-001",IF(AND($F873="Evet",ROUND($C873*tbo_oranKadinGenc,2)=$J873),"TBO-004","TBO-ENG")))))</f>
        <v/>
      </c>
      <c r="J873" s="31">
        <f>IF($A873="","",MAX(IF($D873="Evet",ROUND($C873*tbo_oranBesPuan,2),0),IF($E873="Evet",ROUND($C873*tbo_oranIlave,2),0),IF($F873="Evet",ROUND($C873*tbo_oranKadinGenc,2),0),IF($G873="Evet",ROUND($C873*tbo_isverenOran,2),0)))</f>
        <v/>
      </c>
      <c r="K873" s="31">
        <f>IF($A873="","",IF($H873="TBO-001",IF($D873="Evet",ROUND($C873*tbo_oranBesPuan,2),0),IF($H873="TBO-002",IF($E873="Evet",ROUND($C873*tbo_oranIlave,2),0),IF($H873="TBO-004",IF($F873="Evet",ROUND($C873*tbo_oranKadinGenc,2),0),IF($H873="TBO-ENG",IF($G873="Evet",ROUND($C873*tbo_isverenOran,2),0),0)))))</f>
        <v/>
      </c>
      <c r="L873" s="31">
        <f>IF($A873="","",MAX(0,$J873-$K873))</f>
        <v/>
      </c>
    </row>
    <row r="874">
      <c r="I874" s="31">
        <f>IF($A874="","",IF($J874=0,"YOK",IF(AND($E874="Evet",ROUND($C874*tbo_oranIlave,2)=$J874),"TBO-002",IF(AND($D874="Evet",ROUND($C874*tbo_oranBesPuan,2)=$J874),"TBO-001",IF(AND($F874="Evet",ROUND($C874*tbo_oranKadinGenc,2)=$J874),"TBO-004","TBO-ENG")))))</f>
        <v/>
      </c>
      <c r="J874" s="31">
        <f>IF($A874="","",MAX(IF($D874="Evet",ROUND($C874*tbo_oranBesPuan,2),0),IF($E874="Evet",ROUND($C874*tbo_oranIlave,2),0),IF($F874="Evet",ROUND($C874*tbo_oranKadinGenc,2),0),IF($G874="Evet",ROUND($C874*tbo_isverenOran,2),0)))</f>
        <v/>
      </c>
      <c r="K874" s="31">
        <f>IF($A874="","",IF($H874="TBO-001",IF($D874="Evet",ROUND($C874*tbo_oranBesPuan,2),0),IF($H874="TBO-002",IF($E874="Evet",ROUND($C874*tbo_oranIlave,2),0),IF($H874="TBO-004",IF($F874="Evet",ROUND($C874*tbo_oranKadinGenc,2),0),IF($H874="TBO-ENG",IF($G874="Evet",ROUND($C874*tbo_isverenOran,2),0),0)))))</f>
        <v/>
      </c>
      <c r="L874" s="31">
        <f>IF($A874="","",MAX(0,$J874-$K874))</f>
        <v/>
      </c>
    </row>
    <row r="875">
      <c r="I875" s="31">
        <f>IF($A875="","",IF($J875=0,"YOK",IF(AND($E875="Evet",ROUND($C875*tbo_oranIlave,2)=$J875),"TBO-002",IF(AND($D875="Evet",ROUND($C875*tbo_oranBesPuan,2)=$J875),"TBO-001",IF(AND($F875="Evet",ROUND($C875*tbo_oranKadinGenc,2)=$J875),"TBO-004","TBO-ENG")))))</f>
        <v/>
      </c>
      <c r="J875" s="31">
        <f>IF($A875="","",MAX(IF($D875="Evet",ROUND($C875*tbo_oranBesPuan,2),0),IF($E875="Evet",ROUND($C875*tbo_oranIlave,2),0),IF($F875="Evet",ROUND($C875*tbo_oranKadinGenc,2),0),IF($G875="Evet",ROUND($C875*tbo_isverenOran,2),0)))</f>
        <v/>
      </c>
      <c r="K875" s="31">
        <f>IF($A875="","",IF($H875="TBO-001",IF($D875="Evet",ROUND($C875*tbo_oranBesPuan,2),0),IF($H875="TBO-002",IF($E875="Evet",ROUND($C875*tbo_oranIlave,2),0),IF($H875="TBO-004",IF($F875="Evet",ROUND($C875*tbo_oranKadinGenc,2),0),IF($H875="TBO-ENG",IF($G875="Evet",ROUND($C875*tbo_isverenOran,2),0),0)))))</f>
        <v/>
      </c>
      <c r="L875" s="31">
        <f>IF($A875="","",MAX(0,$J875-$K875))</f>
        <v/>
      </c>
    </row>
    <row r="876">
      <c r="I876" s="31">
        <f>IF($A876="","",IF($J876=0,"YOK",IF(AND($E876="Evet",ROUND($C876*tbo_oranIlave,2)=$J876),"TBO-002",IF(AND($D876="Evet",ROUND($C876*tbo_oranBesPuan,2)=$J876),"TBO-001",IF(AND($F876="Evet",ROUND($C876*tbo_oranKadinGenc,2)=$J876),"TBO-004","TBO-ENG")))))</f>
        <v/>
      </c>
      <c r="J876" s="31">
        <f>IF($A876="","",MAX(IF($D876="Evet",ROUND($C876*tbo_oranBesPuan,2),0),IF($E876="Evet",ROUND($C876*tbo_oranIlave,2),0),IF($F876="Evet",ROUND($C876*tbo_oranKadinGenc,2),0),IF($G876="Evet",ROUND($C876*tbo_isverenOran,2),0)))</f>
        <v/>
      </c>
      <c r="K876" s="31">
        <f>IF($A876="","",IF($H876="TBO-001",IF($D876="Evet",ROUND($C876*tbo_oranBesPuan,2),0),IF($H876="TBO-002",IF($E876="Evet",ROUND($C876*tbo_oranIlave,2),0),IF($H876="TBO-004",IF($F876="Evet",ROUND($C876*tbo_oranKadinGenc,2),0),IF($H876="TBO-ENG",IF($G876="Evet",ROUND($C876*tbo_isverenOran,2),0),0)))))</f>
        <v/>
      </c>
      <c r="L876" s="31">
        <f>IF($A876="","",MAX(0,$J876-$K876))</f>
        <v/>
      </c>
    </row>
    <row r="877">
      <c r="I877" s="31">
        <f>IF($A877="","",IF($J877=0,"YOK",IF(AND($E877="Evet",ROUND($C877*tbo_oranIlave,2)=$J877),"TBO-002",IF(AND($D877="Evet",ROUND($C877*tbo_oranBesPuan,2)=$J877),"TBO-001",IF(AND($F877="Evet",ROUND($C877*tbo_oranKadinGenc,2)=$J877),"TBO-004","TBO-ENG")))))</f>
        <v/>
      </c>
      <c r="J877" s="31">
        <f>IF($A877="","",MAX(IF($D877="Evet",ROUND($C877*tbo_oranBesPuan,2),0),IF($E877="Evet",ROUND($C877*tbo_oranIlave,2),0),IF($F877="Evet",ROUND($C877*tbo_oranKadinGenc,2),0),IF($G877="Evet",ROUND($C877*tbo_isverenOran,2),0)))</f>
        <v/>
      </c>
      <c r="K877" s="31">
        <f>IF($A877="","",IF($H877="TBO-001",IF($D877="Evet",ROUND($C877*tbo_oranBesPuan,2),0),IF($H877="TBO-002",IF($E877="Evet",ROUND($C877*tbo_oranIlave,2),0),IF($H877="TBO-004",IF($F877="Evet",ROUND($C877*tbo_oranKadinGenc,2),0),IF($H877="TBO-ENG",IF($G877="Evet",ROUND($C877*tbo_isverenOran,2),0),0)))))</f>
        <v/>
      </c>
      <c r="L877" s="31">
        <f>IF($A877="","",MAX(0,$J877-$K877))</f>
        <v/>
      </c>
    </row>
    <row r="878">
      <c r="I878" s="31">
        <f>IF($A878="","",IF($J878=0,"YOK",IF(AND($E878="Evet",ROUND($C878*tbo_oranIlave,2)=$J878),"TBO-002",IF(AND($D878="Evet",ROUND($C878*tbo_oranBesPuan,2)=$J878),"TBO-001",IF(AND($F878="Evet",ROUND($C878*tbo_oranKadinGenc,2)=$J878),"TBO-004","TBO-ENG")))))</f>
        <v/>
      </c>
      <c r="J878" s="31">
        <f>IF($A878="","",MAX(IF($D878="Evet",ROUND($C878*tbo_oranBesPuan,2),0),IF($E878="Evet",ROUND($C878*tbo_oranIlave,2),0),IF($F878="Evet",ROUND($C878*tbo_oranKadinGenc,2),0),IF($G878="Evet",ROUND($C878*tbo_isverenOran,2),0)))</f>
        <v/>
      </c>
      <c r="K878" s="31">
        <f>IF($A878="","",IF($H878="TBO-001",IF($D878="Evet",ROUND($C878*tbo_oranBesPuan,2),0),IF($H878="TBO-002",IF($E878="Evet",ROUND($C878*tbo_oranIlave,2),0),IF($H878="TBO-004",IF($F878="Evet",ROUND($C878*tbo_oranKadinGenc,2),0),IF($H878="TBO-ENG",IF($G878="Evet",ROUND($C878*tbo_isverenOran,2),0),0)))))</f>
        <v/>
      </c>
      <c r="L878" s="31">
        <f>IF($A878="","",MAX(0,$J878-$K878))</f>
        <v/>
      </c>
    </row>
    <row r="879">
      <c r="I879" s="31">
        <f>IF($A879="","",IF($J879=0,"YOK",IF(AND($E879="Evet",ROUND($C879*tbo_oranIlave,2)=$J879),"TBO-002",IF(AND($D879="Evet",ROUND($C879*tbo_oranBesPuan,2)=$J879),"TBO-001",IF(AND($F879="Evet",ROUND($C879*tbo_oranKadinGenc,2)=$J879),"TBO-004","TBO-ENG")))))</f>
        <v/>
      </c>
      <c r="J879" s="31">
        <f>IF($A879="","",MAX(IF($D879="Evet",ROUND($C879*tbo_oranBesPuan,2),0),IF($E879="Evet",ROUND($C879*tbo_oranIlave,2),0),IF($F879="Evet",ROUND($C879*tbo_oranKadinGenc,2),0),IF($G879="Evet",ROUND($C879*tbo_isverenOran,2),0)))</f>
        <v/>
      </c>
      <c r="K879" s="31">
        <f>IF($A879="","",IF($H879="TBO-001",IF($D879="Evet",ROUND($C879*tbo_oranBesPuan,2),0),IF($H879="TBO-002",IF($E879="Evet",ROUND($C879*tbo_oranIlave,2),0),IF($H879="TBO-004",IF($F879="Evet",ROUND($C879*tbo_oranKadinGenc,2),0),IF($H879="TBO-ENG",IF($G879="Evet",ROUND($C879*tbo_isverenOran,2),0),0)))))</f>
        <v/>
      </c>
      <c r="L879" s="31">
        <f>IF($A879="","",MAX(0,$J879-$K879))</f>
        <v/>
      </c>
    </row>
    <row r="880">
      <c r="I880" s="31">
        <f>IF($A880="","",IF($J880=0,"YOK",IF(AND($E880="Evet",ROUND($C880*tbo_oranIlave,2)=$J880),"TBO-002",IF(AND($D880="Evet",ROUND($C880*tbo_oranBesPuan,2)=$J880),"TBO-001",IF(AND($F880="Evet",ROUND($C880*tbo_oranKadinGenc,2)=$J880),"TBO-004","TBO-ENG")))))</f>
        <v/>
      </c>
      <c r="J880" s="31">
        <f>IF($A880="","",MAX(IF($D880="Evet",ROUND($C880*tbo_oranBesPuan,2),0),IF($E880="Evet",ROUND($C880*tbo_oranIlave,2),0),IF($F880="Evet",ROUND($C880*tbo_oranKadinGenc,2),0),IF($G880="Evet",ROUND($C880*tbo_isverenOran,2),0)))</f>
        <v/>
      </c>
      <c r="K880" s="31">
        <f>IF($A880="","",IF($H880="TBO-001",IF($D880="Evet",ROUND($C880*tbo_oranBesPuan,2),0),IF($H880="TBO-002",IF($E880="Evet",ROUND($C880*tbo_oranIlave,2),0),IF($H880="TBO-004",IF($F880="Evet",ROUND($C880*tbo_oranKadinGenc,2),0),IF($H880="TBO-ENG",IF($G880="Evet",ROUND($C880*tbo_isverenOran,2),0),0)))))</f>
        <v/>
      </c>
      <c r="L880" s="31">
        <f>IF($A880="","",MAX(0,$J880-$K880))</f>
        <v/>
      </c>
    </row>
    <row r="881">
      <c r="I881" s="31">
        <f>IF($A881="","",IF($J881=0,"YOK",IF(AND($E881="Evet",ROUND($C881*tbo_oranIlave,2)=$J881),"TBO-002",IF(AND($D881="Evet",ROUND($C881*tbo_oranBesPuan,2)=$J881),"TBO-001",IF(AND($F881="Evet",ROUND($C881*tbo_oranKadinGenc,2)=$J881),"TBO-004","TBO-ENG")))))</f>
        <v/>
      </c>
      <c r="J881" s="31">
        <f>IF($A881="","",MAX(IF($D881="Evet",ROUND($C881*tbo_oranBesPuan,2),0),IF($E881="Evet",ROUND($C881*tbo_oranIlave,2),0),IF($F881="Evet",ROUND($C881*tbo_oranKadinGenc,2),0),IF($G881="Evet",ROUND($C881*tbo_isverenOran,2),0)))</f>
        <v/>
      </c>
      <c r="K881" s="31">
        <f>IF($A881="","",IF($H881="TBO-001",IF($D881="Evet",ROUND($C881*tbo_oranBesPuan,2),0),IF($H881="TBO-002",IF($E881="Evet",ROUND($C881*tbo_oranIlave,2),0),IF($H881="TBO-004",IF($F881="Evet",ROUND($C881*tbo_oranKadinGenc,2),0),IF($H881="TBO-ENG",IF($G881="Evet",ROUND($C881*tbo_isverenOran,2),0),0)))))</f>
        <v/>
      </c>
      <c r="L881" s="31">
        <f>IF($A881="","",MAX(0,$J881-$K881))</f>
        <v/>
      </c>
    </row>
    <row r="882">
      <c r="I882" s="31">
        <f>IF($A882="","",IF($J882=0,"YOK",IF(AND($E882="Evet",ROUND($C882*tbo_oranIlave,2)=$J882),"TBO-002",IF(AND($D882="Evet",ROUND($C882*tbo_oranBesPuan,2)=$J882),"TBO-001",IF(AND($F882="Evet",ROUND($C882*tbo_oranKadinGenc,2)=$J882),"TBO-004","TBO-ENG")))))</f>
        <v/>
      </c>
      <c r="J882" s="31">
        <f>IF($A882="","",MAX(IF($D882="Evet",ROUND($C882*tbo_oranBesPuan,2),0),IF($E882="Evet",ROUND($C882*tbo_oranIlave,2),0),IF($F882="Evet",ROUND($C882*tbo_oranKadinGenc,2),0),IF($G882="Evet",ROUND($C882*tbo_isverenOran,2),0)))</f>
        <v/>
      </c>
      <c r="K882" s="31">
        <f>IF($A882="","",IF($H882="TBO-001",IF($D882="Evet",ROUND($C882*tbo_oranBesPuan,2),0),IF($H882="TBO-002",IF($E882="Evet",ROUND($C882*tbo_oranIlave,2),0),IF($H882="TBO-004",IF($F882="Evet",ROUND($C882*tbo_oranKadinGenc,2),0),IF($H882="TBO-ENG",IF($G882="Evet",ROUND($C882*tbo_isverenOran,2),0),0)))))</f>
        <v/>
      </c>
      <c r="L882" s="31">
        <f>IF($A882="","",MAX(0,$J882-$K882))</f>
        <v/>
      </c>
    </row>
    <row r="883">
      <c r="I883" s="31">
        <f>IF($A883="","",IF($J883=0,"YOK",IF(AND($E883="Evet",ROUND($C883*tbo_oranIlave,2)=$J883),"TBO-002",IF(AND($D883="Evet",ROUND($C883*tbo_oranBesPuan,2)=$J883),"TBO-001",IF(AND($F883="Evet",ROUND($C883*tbo_oranKadinGenc,2)=$J883),"TBO-004","TBO-ENG")))))</f>
        <v/>
      </c>
      <c r="J883" s="31">
        <f>IF($A883="","",MAX(IF($D883="Evet",ROUND($C883*tbo_oranBesPuan,2),0),IF($E883="Evet",ROUND($C883*tbo_oranIlave,2),0),IF($F883="Evet",ROUND($C883*tbo_oranKadinGenc,2),0),IF($G883="Evet",ROUND($C883*tbo_isverenOran,2),0)))</f>
        <v/>
      </c>
      <c r="K883" s="31">
        <f>IF($A883="","",IF($H883="TBO-001",IF($D883="Evet",ROUND($C883*tbo_oranBesPuan,2),0),IF($H883="TBO-002",IF($E883="Evet",ROUND($C883*tbo_oranIlave,2),0),IF($H883="TBO-004",IF($F883="Evet",ROUND($C883*tbo_oranKadinGenc,2),0),IF($H883="TBO-ENG",IF($G883="Evet",ROUND($C883*tbo_isverenOran,2),0),0)))))</f>
        <v/>
      </c>
      <c r="L883" s="31">
        <f>IF($A883="","",MAX(0,$J883-$K883))</f>
        <v/>
      </c>
    </row>
    <row r="884">
      <c r="I884" s="31">
        <f>IF($A884="","",IF($J884=0,"YOK",IF(AND($E884="Evet",ROUND($C884*tbo_oranIlave,2)=$J884),"TBO-002",IF(AND($D884="Evet",ROUND($C884*tbo_oranBesPuan,2)=$J884),"TBO-001",IF(AND($F884="Evet",ROUND($C884*tbo_oranKadinGenc,2)=$J884),"TBO-004","TBO-ENG")))))</f>
        <v/>
      </c>
      <c r="J884" s="31">
        <f>IF($A884="","",MAX(IF($D884="Evet",ROUND($C884*tbo_oranBesPuan,2),0),IF($E884="Evet",ROUND($C884*tbo_oranIlave,2),0),IF($F884="Evet",ROUND($C884*tbo_oranKadinGenc,2),0),IF($G884="Evet",ROUND($C884*tbo_isverenOran,2),0)))</f>
        <v/>
      </c>
      <c r="K884" s="31">
        <f>IF($A884="","",IF($H884="TBO-001",IF($D884="Evet",ROUND($C884*tbo_oranBesPuan,2),0),IF($H884="TBO-002",IF($E884="Evet",ROUND($C884*tbo_oranIlave,2),0),IF($H884="TBO-004",IF($F884="Evet",ROUND($C884*tbo_oranKadinGenc,2),0),IF($H884="TBO-ENG",IF($G884="Evet",ROUND($C884*tbo_isverenOran,2),0),0)))))</f>
        <v/>
      </c>
      <c r="L884" s="31">
        <f>IF($A884="","",MAX(0,$J884-$K884))</f>
        <v/>
      </c>
    </row>
    <row r="885">
      <c r="I885" s="31">
        <f>IF($A885="","",IF($J885=0,"YOK",IF(AND($E885="Evet",ROUND($C885*tbo_oranIlave,2)=$J885),"TBO-002",IF(AND($D885="Evet",ROUND($C885*tbo_oranBesPuan,2)=$J885),"TBO-001",IF(AND($F885="Evet",ROUND($C885*tbo_oranKadinGenc,2)=$J885),"TBO-004","TBO-ENG")))))</f>
        <v/>
      </c>
      <c r="J885" s="31">
        <f>IF($A885="","",MAX(IF($D885="Evet",ROUND($C885*tbo_oranBesPuan,2),0),IF($E885="Evet",ROUND($C885*tbo_oranIlave,2),0),IF($F885="Evet",ROUND($C885*tbo_oranKadinGenc,2),0),IF($G885="Evet",ROUND($C885*tbo_isverenOran,2),0)))</f>
        <v/>
      </c>
      <c r="K885" s="31">
        <f>IF($A885="","",IF($H885="TBO-001",IF($D885="Evet",ROUND($C885*tbo_oranBesPuan,2),0),IF($H885="TBO-002",IF($E885="Evet",ROUND($C885*tbo_oranIlave,2),0),IF($H885="TBO-004",IF($F885="Evet",ROUND($C885*tbo_oranKadinGenc,2),0),IF($H885="TBO-ENG",IF($G885="Evet",ROUND($C885*tbo_isverenOran,2),0),0)))))</f>
        <v/>
      </c>
      <c r="L885" s="31">
        <f>IF($A885="","",MAX(0,$J885-$K885))</f>
        <v/>
      </c>
    </row>
    <row r="886">
      <c r="I886" s="31">
        <f>IF($A886="","",IF($J886=0,"YOK",IF(AND($E886="Evet",ROUND($C886*tbo_oranIlave,2)=$J886),"TBO-002",IF(AND($D886="Evet",ROUND($C886*tbo_oranBesPuan,2)=$J886),"TBO-001",IF(AND($F886="Evet",ROUND($C886*tbo_oranKadinGenc,2)=$J886),"TBO-004","TBO-ENG")))))</f>
        <v/>
      </c>
      <c r="J886" s="31">
        <f>IF($A886="","",MAX(IF($D886="Evet",ROUND($C886*tbo_oranBesPuan,2),0),IF($E886="Evet",ROUND($C886*tbo_oranIlave,2),0),IF($F886="Evet",ROUND($C886*tbo_oranKadinGenc,2),0),IF($G886="Evet",ROUND($C886*tbo_isverenOran,2),0)))</f>
        <v/>
      </c>
      <c r="K886" s="31">
        <f>IF($A886="","",IF($H886="TBO-001",IF($D886="Evet",ROUND($C886*tbo_oranBesPuan,2),0),IF($H886="TBO-002",IF($E886="Evet",ROUND($C886*tbo_oranIlave,2),0),IF($H886="TBO-004",IF($F886="Evet",ROUND($C886*tbo_oranKadinGenc,2),0),IF($H886="TBO-ENG",IF($G886="Evet",ROUND($C886*tbo_isverenOran,2),0),0)))))</f>
        <v/>
      </c>
      <c r="L886" s="31">
        <f>IF($A886="","",MAX(0,$J886-$K886))</f>
        <v/>
      </c>
    </row>
    <row r="887">
      <c r="I887" s="31">
        <f>IF($A887="","",IF($J887=0,"YOK",IF(AND($E887="Evet",ROUND($C887*tbo_oranIlave,2)=$J887),"TBO-002",IF(AND($D887="Evet",ROUND($C887*tbo_oranBesPuan,2)=$J887),"TBO-001",IF(AND($F887="Evet",ROUND($C887*tbo_oranKadinGenc,2)=$J887),"TBO-004","TBO-ENG")))))</f>
        <v/>
      </c>
      <c r="J887" s="31">
        <f>IF($A887="","",MAX(IF($D887="Evet",ROUND($C887*tbo_oranBesPuan,2),0),IF($E887="Evet",ROUND($C887*tbo_oranIlave,2),0),IF($F887="Evet",ROUND($C887*tbo_oranKadinGenc,2),0),IF($G887="Evet",ROUND($C887*tbo_isverenOran,2),0)))</f>
        <v/>
      </c>
      <c r="K887" s="31">
        <f>IF($A887="","",IF($H887="TBO-001",IF($D887="Evet",ROUND($C887*tbo_oranBesPuan,2),0),IF($H887="TBO-002",IF($E887="Evet",ROUND($C887*tbo_oranIlave,2),0),IF($H887="TBO-004",IF($F887="Evet",ROUND($C887*tbo_oranKadinGenc,2),0),IF($H887="TBO-ENG",IF($G887="Evet",ROUND($C887*tbo_isverenOran,2),0),0)))))</f>
        <v/>
      </c>
      <c r="L887" s="31">
        <f>IF($A887="","",MAX(0,$J887-$K887))</f>
        <v/>
      </c>
    </row>
    <row r="888">
      <c r="I888" s="31">
        <f>IF($A888="","",IF($J888=0,"YOK",IF(AND($E888="Evet",ROUND($C888*tbo_oranIlave,2)=$J888),"TBO-002",IF(AND($D888="Evet",ROUND($C888*tbo_oranBesPuan,2)=$J888),"TBO-001",IF(AND($F888="Evet",ROUND($C888*tbo_oranKadinGenc,2)=$J888),"TBO-004","TBO-ENG")))))</f>
        <v/>
      </c>
      <c r="J888" s="31">
        <f>IF($A888="","",MAX(IF($D888="Evet",ROUND($C888*tbo_oranBesPuan,2),0),IF($E888="Evet",ROUND($C888*tbo_oranIlave,2),0),IF($F888="Evet",ROUND($C888*tbo_oranKadinGenc,2),0),IF($G888="Evet",ROUND($C888*tbo_isverenOran,2),0)))</f>
        <v/>
      </c>
      <c r="K888" s="31">
        <f>IF($A888="","",IF($H888="TBO-001",IF($D888="Evet",ROUND($C888*tbo_oranBesPuan,2),0),IF($H888="TBO-002",IF($E888="Evet",ROUND($C888*tbo_oranIlave,2),0),IF($H888="TBO-004",IF($F888="Evet",ROUND($C888*tbo_oranKadinGenc,2),0),IF($H888="TBO-ENG",IF($G888="Evet",ROUND($C888*tbo_isverenOran,2),0),0)))))</f>
        <v/>
      </c>
      <c r="L888" s="31">
        <f>IF($A888="","",MAX(0,$J888-$K888))</f>
        <v/>
      </c>
    </row>
    <row r="889">
      <c r="I889" s="31">
        <f>IF($A889="","",IF($J889=0,"YOK",IF(AND($E889="Evet",ROUND($C889*tbo_oranIlave,2)=$J889),"TBO-002",IF(AND($D889="Evet",ROUND($C889*tbo_oranBesPuan,2)=$J889),"TBO-001",IF(AND($F889="Evet",ROUND($C889*tbo_oranKadinGenc,2)=$J889),"TBO-004","TBO-ENG")))))</f>
        <v/>
      </c>
      <c r="J889" s="31">
        <f>IF($A889="","",MAX(IF($D889="Evet",ROUND($C889*tbo_oranBesPuan,2),0),IF($E889="Evet",ROUND($C889*tbo_oranIlave,2),0),IF($F889="Evet",ROUND($C889*tbo_oranKadinGenc,2),0),IF($G889="Evet",ROUND($C889*tbo_isverenOran,2),0)))</f>
        <v/>
      </c>
      <c r="K889" s="31">
        <f>IF($A889="","",IF($H889="TBO-001",IF($D889="Evet",ROUND($C889*tbo_oranBesPuan,2),0),IF($H889="TBO-002",IF($E889="Evet",ROUND($C889*tbo_oranIlave,2),0),IF($H889="TBO-004",IF($F889="Evet",ROUND($C889*tbo_oranKadinGenc,2),0),IF($H889="TBO-ENG",IF($G889="Evet",ROUND($C889*tbo_isverenOran,2),0),0)))))</f>
        <v/>
      </c>
      <c r="L889" s="31">
        <f>IF($A889="","",MAX(0,$J889-$K889))</f>
        <v/>
      </c>
    </row>
    <row r="890">
      <c r="I890" s="31">
        <f>IF($A890="","",IF($J890=0,"YOK",IF(AND($E890="Evet",ROUND($C890*tbo_oranIlave,2)=$J890),"TBO-002",IF(AND($D890="Evet",ROUND($C890*tbo_oranBesPuan,2)=$J890),"TBO-001",IF(AND($F890="Evet",ROUND($C890*tbo_oranKadinGenc,2)=$J890),"TBO-004","TBO-ENG")))))</f>
        <v/>
      </c>
      <c r="J890" s="31">
        <f>IF($A890="","",MAX(IF($D890="Evet",ROUND($C890*tbo_oranBesPuan,2),0),IF($E890="Evet",ROUND($C890*tbo_oranIlave,2),0),IF($F890="Evet",ROUND($C890*tbo_oranKadinGenc,2),0),IF($G890="Evet",ROUND($C890*tbo_isverenOran,2),0)))</f>
        <v/>
      </c>
      <c r="K890" s="31">
        <f>IF($A890="","",IF($H890="TBO-001",IF($D890="Evet",ROUND($C890*tbo_oranBesPuan,2),0),IF($H890="TBO-002",IF($E890="Evet",ROUND($C890*tbo_oranIlave,2),0),IF($H890="TBO-004",IF($F890="Evet",ROUND($C890*tbo_oranKadinGenc,2),0),IF($H890="TBO-ENG",IF($G890="Evet",ROUND($C890*tbo_isverenOran,2),0),0)))))</f>
        <v/>
      </c>
      <c r="L890" s="31">
        <f>IF($A890="","",MAX(0,$J890-$K890))</f>
        <v/>
      </c>
    </row>
    <row r="891">
      <c r="I891" s="31">
        <f>IF($A891="","",IF($J891=0,"YOK",IF(AND($E891="Evet",ROUND($C891*tbo_oranIlave,2)=$J891),"TBO-002",IF(AND($D891="Evet",ROUND($C891*tbo_oranBesPuan,2)=$J891),"TBO-001",IF(AND($F891="Evet",ROUND($C891*tbo_oranKadinGenc,2)=$J891),"TBO-004","TBO-ENG")))))</f>
        <v/>
      </c>
      <c r="J891" s="31">
        <f>IF($A891="","",MAX(IF($D891="Evet",ROUND($C891*tbo_oranBesPuan,2),0),IF($E891="Evet",ROUND($C891*tbo_oranIlave,2),0),IF($F891="Evet",ROUND($C891*tbo_oranKadinGenc,2),0),IF($G891="Evet",ROUND($C891*tbo_isverenOran,2),0)))</f>
        <v/>
      </c>
      <c r="K891" s="31">
        <f>IF($A891="","",IF($H891="TBO-001",IF($D891="Evet",ROUND($C891*tbo_oranBesPuan,2),0),IF($H891="TBO-002",IF($E891="Evet",ROUND($C891*tbo_oranIlave,2),0),IF($H891="TBO-004",IF($F891="Evet",ROUND($C891*tbo_oranKadinGenc,2),0),IF($H891="TBO-ENG",IF($G891="Evet",ROUND($C891*tbo_isverenOran,2),0),0)))))</f>
        <v/>
      </c>
      <c r="L891" s="31">
        <f>IF($A891="","",MAX(0,$J891-$K891))</f>
        <v/>
      </c>
    </row>
    <row r="892">
      <c r="I892" s="31">
        <f>IF($A892="","",IF($J892=0,"YOK",IF(AND($E892="Evet",ROUND($C892*tbo_oranIlave,2)=$J892),"TBO-002",IF(AND($D892="Evet",ROUND($C892*tbo_oranBesPuan,2)=$J892),"TBO-001",IF(AND($F892="Evet",ROUND($C892*tbo_oranKadinGenc,2)=$J892),"TBO-004","TBO-ENG")))))</f>
        <v/>
      </c>
      <c r="J892" s="31">
        <f>IF($A892="","",MAX(IF($D892="Evet",ROUND($C892*tbo_oranBesPuan,2),0),IF($E892="Evet",ROUND($C892*tbo_oranIlave,2),0),IF($F892="Evet",ROUND($C892*tbo_oranKadinGenc,2),0),IF($G892="Evet",ROUND($C892*tbo_isverenOran,2),0)))</f>
        <v/>
      </c>
      <c r="K892" s="31">
        <f>IF($A892="","",IF($H892="TBO-001",IF($D892="Evet",ROUND($C892*tbo_oranBesPuan,2),0),IF($H892="TBO-002",IF($E892="Evet",ROUND($C892*tbo_oranIlave,2),0),IF($H892="TBO-004",IF($F892="Evet",ROUND($C892*tbo_oranKadinGenc,2),0),IF($H892="TBO-ENG",IF($G892="Evet",ROUND($C892*tbo_isverenOran,2),0),0)))))</f>
        <v/>
      </c>
      <c r="L892" s="31">
        <f>IF($A892="","",MAX(0,$J892-$K892))</f>
        <v/>
      </c>
    </row>
    <row r="893">
      <c r="I893" s="31">
        <f>IF($A893="","",IF($J893=0,"YOK",IF(AND($E893="Evet",ROUND($C893*tbo_oranIlave,2)=$J893),"TBO-002",IF(AND($D893="Evet",ROUND($C893*tbo_oranBesPuan,2)=$J893),"TBO-001",IF(AND($F893="Evet",ROUND($C893*tbo_oranKadinGenc,2)=$J893),"TBO-004","TBO-ENG")))))</f>
        <v/>
      </c>
      <c r="J893" s="31">
        <f>IF($A893="","",MAX(IF($D893="Evet",ROUND($C893*tbo_oranBesPuan,2),0),IF($E893="Evet",ROUND($C893*tbo_oranIlave,2),0),IF($F893="Evet",ROUND($C893*tbo_oranKadinGenc,2),0),IF($G893="Evet",ROUND($C893*tbo_isverenOran,2),0)))</f>
        <v/>
      </c>
      <c r="K893" s="31">
        <f>IF($A893="","",IF($H893="TBO-001",IF($D893="Evet",ROUND($C893*tbo_oranBesPuan,2),0),IF($H893="TBO-002",IF($E893="Evet",ROUND($C893*tbo_oranIlave,2),0),IF($H893="TBO-004",IF($F893="Evet",ROUND($C893*tbo_oranKadinGenc,2),0),IF($H893="TBO-ENG",IF($G893="Evet",ROUND($C893*tbo_isverenOran,2),0),0)))))</f>
        <v/>
      </c>
      <c r="L893" s="31">
        <f>IF($A893="","",MAX(0,$J893-$K893))</f>
        <v/>
      </c>
    </row>
    <row r="894">
      <c r="I894" s="31">
        <f>IF($A894="","",IF($J894=0,"YOK",IF(AND($E894="Evet",ROUND($C894*tbo_oranIlave,2)=$J894),"TBO-002",IF(AND($D894="Evet",ROUND($C894*tbo_oranBesPuan,2)=$J894),"TBO-001",IF(AND($F894="Evet",ROUND($C894*tbo_oranKadinGenc,2)=$J894),"TBO-004","TBO-ENG")))))</f>
        <v/>
      </c>
      <c r="J894" s="31">
        <f>IF($A894="","",MAX(IF($D894="Evet",ROUND($C894*tbo_oranBesPuan,2),0),IF($E894="Evet",ROUND($C894*tbo_oranIlave,2),0),IF($F894="Evet",ROUND($C894*tbo_oranKadinGenc,2),0),IF($G894="Evet",ROUND($C894*tbo_isverenOran,2),0)))</f>
        <v/>
      </c>
      <c r="K894" s="31">
        <f>IF($A894="","",IF($H894="TBO-001",IF($D894="Evet",ROUND($C894*tbo_oranBesPuan,2),0),IF($H894="TBO-002",IF($E894="Evet",ROUND($C894*tbo_oranIlave,2),0),IF($H894="TBO-004",IF($F894="Evet",ROUND($C894*tbo_oranKadinGenc,2),0),IF($H894="TBO-ENG",IF($G894="Evet",ROUND($C894*tbo_isverenOran,2),0),0)))))</f>
        <v/>
      </c>
      <c r="L894" s="31">
        <f>IF($A894="","",MAX(0,$J894-$K894))</f>
        <v/>
      </c>
    </row>
    <row r="895">
      <c r="I895" s="31">
        <f>IF($A895="","",IF($J895=0,"YOK",IF(AND($E895="Evet",ROUND($C895*tbo_oranIlave,2)=$J895),"TBO-002",IF(AND($D895="Evet",ROUND($C895*tbo_oranBesPuan,2)=$J895),"TBO-001",IF(AND($F895="Evet",ROUND($C895*tbo_oranKadinGenc,2)=$J895),"TBO-004","TBO-ENG")))))</f>
        <v/>
      </c>
      <c r="J895" s="31">
        <f>IF($A895="","",MAX(IF($D895="Evet",ROUND($C895*tbo_oranBesPuan,2),0),IF($E895="Evet",ROUND($C895*tbo_oranIlave,2),0),IF($F895="Evet",ROUND($C895*tbo_oranKadinGenc,2),0),IF($G895="Evet",ROUND($C895*tbo_isverenOran,2),0)))</f>
        <v/>
      </c>
      <c r="K895" s="31">
        <f>IF($A895="","",IF($H895="TBO-001",IF($D895="Evet",ROUND($C895*tbo_oranBesPuan,2),0),IF($H895="TBO-002",IF($E895="Evet",ROUND($C895*tbo_oranIlave,2),0),IF($H895="TBO-004",IF($F895="Evet",ROUND($C895*tbo_oranKadinGenc,2),0),IF($H895="TBO-ENG",IF($G895="Evet",ROUND($C895*tbo_isverenOran,2),0),0)))))</f>
        <v/>
      </c>
      <c r="L895" s="31">
        <f>IF($A895="","",MAX(0,$J895-$K895))</f>
        <v/>
      </c>
    </row>
    <row r="896">
      <c r="I896" s="31">
        <f>IF($A896="","",IF($J896=0,"YOK",IF(AND($E896="Evet",ROUND($C896*tbo_oranIlave,2)=$J896),"TBO-002",IF(AND($D896="Evet",ROUND($C896*tbo_oranBesPuan,2)=$J896),"TBO-001",IF(AND($F896="Evet",ROUND($C896*tbo_oranKadinGenc,2)=$J896),"TBO-004","TBO-ENG")))))</f>
        <v/>
      </c>
      <c r="J896" s="31">
        <f>IF($A896="","",MAX(IF($D896="Evet",ROUND($C896*tbo_oranBesPuan,2),0),IF($E896="Evet",ROUND($C896*tbo_oranIlave,2),0),IF($F896="Evet",ROUND($C896*tbo_oranKadinGenc,2),0),IF($G896="Evet",ROUND($C896*tbo_isverenOran,2),0)))</f>
        <v/>
      </c>
      <c r="K896" s="31">
        <f>IF($A896="","",IF($H896="TBO-001",IF($D896="Evet",ROUND($C896*tbo_oranBesPuan,2),0),IF($H896="TBO-002",IF($E896="Evet",ROUND($C896*tbo_oranIlave,2),0),IF($H896="TBO-004",IF($F896="Evet",ROUND($C896*tbo_oranKadinGenc,2),0),IF($H896="TBO-ENG",IF($G896="Evet",ROUND($C896*tbo_isverenOran,2),0),0)))))</f>
        <v/>
      </c>
      <c r="L896" s="31">
        <f>IF($A896="","",MAX(0,$J896-$K896))</f>
        <v/>
      </c>
    </row>
    <row r="897">
      <c r="I897" s="31">
        <f>IF($A897="","",IF($J897=0,"YOK",IF(AND($E897="Evet",ROUND($C897*tbo_oranIlave,2)=$J897),"TBO-002",IF(AND($D897="Evet",ROUND($C897*tbo_oranBesPuan,2)=$J897),"TBO-001",IF(AND($F897="Evet",ROUND($C897*tbo_oranKadinGenc,2)=$J897),"TBO-004","TBO-ENG")))))</f>
        <v/>
      </c>
      <c r="J897" s="31">
        <f>IF($A897="","",MAX(IF($D897="Evet",ROUND($C897*tbo_oranBesPuan,2),0),IF($E897="Evet",ROUND($C897*tbo_oranIlave,2),0),IF($F897="Evet",ROUND($C897*tbo_oranKadinGenc,2),0),IF($G897="Evet",ROUND($C897*tbo_isverenOran,2),0)))</f>
        <v/>
      </c>
      <c r="K897" s="31">
        <f>IF($A897="","",IF($H897="TBO-001",IF($D897="Evet",ROUND($C897*tbo_oranBesPuan,2),0),IF($H897="TBO-002",IF($E897="Evet",ROUND($C897*tbo_oranIlave,2),0),IF($H897="TBO-004",IF($F897="Evet",ROUND($C897*tbo_oranKadinGenc,2),0),IF($H897="TBO-ENG",IF($G897="Evet",ROUND($C897*tbo_isverenOran,2),0),0)))))</f>
        <v/>
      </c>
      <c r="L897" s="31">
        <f>IF($A897="","",MAX(0,$J897-$K897))</f>
        <v/>
      </c>
    </row>
    <row r="898">
      <c r="I898" s="31">
        <f>IF($A898="","",IF($J898=0,"YOK",IF(AND($E898="Evet",ROUND($C898*tbo_oranIlave,2)=$J898),"TBO-002",IF(AND($D898="Evet",ROUND($C898*tbo_oranBesPuan,2)=$J898),"TBO-001",IF(AND($F898="Evet",ROUND($C898*tbo_oranKadinGenc,2)=$J898),"TBO-004","TBO-ENG")))))</f>
        <v/>
      </c>
      <c r="J898" s="31">
        <f>IF($A898="","",MAX(IF($D898="Evet",ROUND($C898*tbo_oranBesPuan,2),0),IF($E898="Evet",ROUND($C898*tbo_oranIlave,2),0),IF($F898="Evet",ROUND($C898*tbo_oranKadinGenc,2),0),IF($G898="Evet",ROUND($C898*tbo_isverenOran,2),0)))</f>
        <v/>
      </c>
      <c r="K898" s="31">
        <f>IF($A898="","",IF($H898="TBO-001",IF($D898="Evet",ROUND($C898*tbo_oranBesPuan,2),0),IF($H898="TBO-002",IF($E898="Evet",ROUND($C898*tbo_oranIlave,2),0),IF($H898="TBO-004",IF($F898="Evet",ROUND($C898*tbo_oranKadinGenc,2),0),IF($H898="TBO-ENG",IF($G898="Evet",ROUND($C898*tbo_isverenOran,2),0),0)))))</f>
        <v/>
      </c>
      <c r="L898" s="31">
        <f>IF($A898="","",MAX(0,$J898-$K898))</f>
        <v/>
      </c>
    </row>
    <row r="899">
      <c r="I899" s="31">
        <f>IF($A899="","",IF($J899=0,"YOK",IF(AND($E899="Evet",ROUND($C899*tbo_oranIlave,2)=$J899),"TBO-002",IF(AND($D899="Evet",ROUND($C899*tbo_oranBesPuan,2)=$J899),"TBO-001",IF(AND($F899="Evet",ROUND($C899*tbo_oranKadinGenc,2)=$J899),"TBO-004","TBO-ENG")))))</f>
        <v/>
      </c>
      <c r="J899" s="31">
        <f>IF($A899="","",MAX(IF($D899="Evet",ROUND($C899*tbo_oranBesPuan,2),0),IF($E899="Evet",ROUND($C899*tbo_oranIlave,2),0),IF($F899="Evet",ROUND($C899*tbo_oranKadinGenc,2),0),IF($G899="Evet",ROUND($C899*tbo_isverenOran,2),0)))</f>
        <v/>
      </c>
      <c r="K899" s="31">
        <f>IF($A899="","",IF($H899="TBO-001",IF($D899="Evet",ROUND($C899*tbo_oranBesPuan,2),0),IF($H899="TBO-002",IF($E899="Evet",ROUND($C899*tbo_oranIlave,2),0),IF($H899="TBO-004",IF($F899="Evet",ROUND($C899*tbo_oranKadinGenc,2),0),IF($H899="TBO-ENG",IF($G899="Evet",ROUND($C899*tbo_isverenOran,2),0),0)))))</f>
        <v/>
      </c>
      <c r="L899" s="31">
        <f>IF($A899="","",MAX(0,$J899-$K899))</f>
        <v/>
      </c>
    </row>
    <row r="900">
      <c r="I900" s="31">
        <f>IF($A900="","",IF($J900=0,"YOK",IF(AND($E900="Evet",ROUND($C900*tbo_oranIlave,2)=$J900),"TBO-002",IF(AND($D900="Evet",ROUND($C900*tbo_oranBesPuan,2)=$J900),"TBO-001",IF(AND($F900="Evet",ROUND($C900*tbo_oranKadinGenc,2)=$J900),"TBO-004","TBO-ENG")))))</f>
        <v/>
      </c>
      <c r="J900" s="31">
        <f>IF($A900="","",MAX(IF($D900="Evet",ROUND($C900*tbo_oranBesPuan,2),0),IF($E900="Evet",ROUND($C900*tbo_oranIlave,2),0),IF($F900="Evet",ROUND($C900*tbo_oranKadinGenc,2),0),IF($G900="Evet",ROUND($C900*tbo_isverenOran,2),0)))</f>
        <v/>
      </c>
      <c r="K900" s="31">
        <f>IF($A900="","",IF($H900="TBO-001",IF($D900="Evet",ROUND($C900*tbo_oranBesPuan,2),0),IF($H900="TBO-002",IF($E900="Evet",ROUND($C900*tbo_oranIlave,2),0),IF($H900="TBO-004",IF($F900="Evet",ROUND($C900*tbo_oranKadinGenc,2),0),IF($H900="TBO-ENG",IF($G900="Evet",ROUND($C900*tbo_isverenOran,2),0),0)))))</f>
        <v/>
      </c>
      <c r="L900" s="31">
        <f>IF($A900="","",MAX(0,$J900-$K900))</f>
        <v/>
      </c>
    </row>
    <row r="901">
      <c r="I901" s="31">
        <f>IF($A901="","",IF($J901=0,"YOK",IF(AND($E901="Evet",ROUND($C901*tbo_oranIlave,2)=$J901),"TBO-002",IF(AND($D901="Evet",ROUND($C901*tbo_oranBesPuan,2)=$J901),"TBO-001",IF(AND($F901="Evet",ROUND($C901*tbo_oranKadinGenc,2)=$J901),"TBO-004","TBO-ENG")))))</f>
        <v/>
      </c>
      <c r="J901" s="31">
        <f>IF($A901="","",MAX(IF($D901="Evet",ROUND($C901*tbo_oranBesPuan,2),0),IF($E901="Evet",ROUND($C901*tbo_oranIlave,2),0),IF($F901="Evet",ROUND($C901*tbo_oranKadinGenc,2),0),IF($G901="Evet",ROUND($C901*tbo_isverenOran,2),0)))</f>
        <v/>
      </c>
      <c r="K901" s="31">
        <f>IF($A901="","",IF($H901="TBO-001",IF($D901="Evet",ROUND($C901*tbo_oranBesPuan,2),0),IF($H901="TBO-002",IF($E901="Evet",ROUND($C901*tbo_oranIlave,2),0),IF($H901="TBO-004",IF($F901="Evet",ROUND($C901*tbo_oranKadinGenc,2),0),IF($H901="TBO-ENG",IF($G901="Evet",ROUND($C901*tbo_isverenOran,2),0),0)))))</f>
        <v/>
      </c>
      <c r="L901" s="31">
        <f>IF($A901="","",MAX(0,$J901-$K901))</f>
        <v/>
      </c>
    </row>
    <row r="902">
      <c r="I902" s="31">
        <f>IF($A902="","",IF($J902=0,"YOK",IF(AND($E902="Evet",ROUND($C902*tbo_oranIlave,2)=$J902),"TBO-002",IF(AND($D902="Evet",ROUND($C902*tbo_oranBesPuan,2)=$J902),"TBO-001",IF(AND($F902="Evet",ROUND($C902*tbo_oranKadinGenc,2)=$J902),"TBO-004","TBO-ENG")))))</f>
        <v/>
      </c>
      <c r="J902" s="31">
        <f>IF($A902="","",MAX(IF($D902="Evet",ROUND($C902*tbo_oranBesPuan,2),0),IF($E902="Evet",ROUND($C902*tbo_oranIlave,2),0),IF($F902="Evet",ROUND($C902*tbo_oranKadinGenc,2),0),IF($G902="Evet",ROUND($C902*tbo_isverenOran,2),0)))</f>
        <v/>
      </c>
      <c r="K902" s="31">
        <f>IF($A902="","",IF($H902="TBO-001",IF($D902="Evet",ROUND($C902*tbo_oranBesPuan,2),0),IF($H902="TBO-002",IF($E902="Evet",ROUND($C902*tbo_oranIlave,2),0),IF($H902="TBO-004",IF($F902="Evet",ROUND($C902*tbo_oranKadinGenc,2),0),IF($H902="TBO-ENG",IF($G902="Evet",ROUND($C902*tbo_isverenOran,2),0),0)))))</f>
        <v/>
      </c>
      <c r="L902" s="31">
        <f>IF($A902="","",MAX(0,$J902-$K902))</f>
        <v/>
      </c>
    </row>
    <row r="903">
      <c r="I903" s="31">
        <f>IF($A903="","",IF($J903=0,"YOK",IF(AND($E903="Evet",ROUND($C903*tbo_oranIlave,2)=$J903),"TBO-002",IF(AND($D903="Evet",ROUND($C903*tbo_oranBesPuan,2)=$J903),"TBO-001",IF(AND($F903="Evet",ROUND($C903*tbo_oranKadinGenc,2)=$J903),"TBO-004","TBO-ENG")))))</f>
        <v/>
      </c>
      <c r="J903" s="31">
        <f>IF($A903="","",MAX(IF($D903="Evet",ROUND($C903*tbo_oranBesPuan,2),0),IF($E903="Evet",ROUND($C903*tbo_oranIlave,2),0),IF($F903="Evet",ROUND($C903*tbo_oranKadinGenc,2),0),IF($G903="Evet",ROUND($C903*tbo_isverenOran,2),0)))</f>
        <v/>
      </c>
      <c r="K903" s="31">
        <f>IF($A903="","",IF($H903="TBO-001",IF($D903="Evet",ROUND($C903*tbo_oranBesPuan,2),0),IF($H903="TBO-002",IF($E903="Evet",ROUND($C903*tbo_oranIlave,2),0),IF($H903="TBO-004",IF($F903="Evet",ROUND($C903*tbo_oranKadinGenc,2),0),IF($H903="TBO-ENG",IF($G903="Evet",ROUND($C903*tbo_isverenOran,2),0),0)))))</f>
        <v/>
      </c>
      <c r="L903" s="31">
        <f>IF($A903="","",MAX(0,$J903-$K903))</f>
        <v/>
      </c>
    </row>
    <row r="904">
      <c r="I904" s="31">
        <f>IF($A904="","",IF($J904=0,"YOK",IF(AND($E904="Evet",ROUND($C904*tbo_oranIlave,2)=$J904),"TBO-002",IF(AND($D904="Evet",ROUND($C904*tbo_oranBesPuan,2)=$J904),"TBO-001",IF(AND($F904="Evet",ROUND($C904*tbo_oranKadinGenc,2)=$J904),"TBO-004","TBO-ENG")))))</f>
        <v/>
      </c>
      <c r="J904" s="31">
        <f>IF($A904="","",MAX(IF($D904="Evet",ROUND($C904*tbo_oranBesPuan,2),0),IF($E904="Evet",ROUND($C904*tbo_oranIlave,2),0),IF($F904="Evet",ROUND($C904*tbo_oranKadinGenc,2),0),IF($G904="Evet",ROUND($C904*tbo_isverenOran,2),0)))</f>
        <v/>
      </c>
      <c r="K904" s="31">
        <f>IF($A904="","",IF($H904="TBO-001",IF($D904="Evet",ROUND($C904*tbo_oranBesPuan,2),0),IF($H904="TBO-002",IF($E904="Evet",ROUND($C904*tbo_oranIlave,2),0),IF($H904="TBO-004",IF($F904="Evet",ROUND($C904*tbo_oranKadinGenc,2),0),IF($H904="TBO-ENG",IF($G904="Evet",ROUND($C904*tbo_isverenOran,2),0),0)))))</f>
        <v/>
      </c>
      <c r="L904" s="31">
        <f>IF($A904="","",MAX(0,$J904-$K904))</f>
        <v/>
      </c>
    </row>
    <row r="905">
      <c r="I905" s="31">
        <f>IF($A905="","",IF($J905=0,"YOK",IF(AND($E905="Evet",ROUND($C905*tbo_oranIlave,2)=$J905),"TBO-002",IF(AND($D905="Evet",ROUND($C905*tbo_oranBesPuan,2)=$J905),"TBO-001",IF(AND($F905="Evet",ROUND($C905*tbo_oranKadinGenc,2)=$J905),"TBO-004","TBO-ENG")))))</f>
        <v/>
      </c>
      <c r="J905" s="31">
        <f>IF($A905="","",MAX(IF($D905="Evet",ROUND($C905*tbo_oranBesPuan,2),0),IF($E905="Evet",ROUND($C905*tbo_oranIlave,2),0),IF($F905="Evet",ROUND($C905*tbo_oranKadinGenc,2),0),IF($G905="Evet",ROUND($C905*tbo_isverenOran,2),0)))</f>
        <v/>
      </c>
      <c r="K905" s="31">
        <f>IF($A905="","",IF($H905="TBO-001",IF($D905="Evet",ROUND($C905*tbo_oranBesPuan,2),0),IF($H905="TBO-002",IF($E905="Evet",ROUND($C905*tbo_oranIlave,2),0),IF($H905="TBO-004",IF($F905="Evet",ROUND($C905*tbo_oranKadinGenc,2),0),IF($H905="TBO-ENG",IF($G905="Evet",ROUND($C905*tbo_isverenOran,2),0),0)))))</f>
        <v/>
      </c>
      <c r="L905" s="31">
        <f>IF($A905="","",MAX(0,$J905-$K905))</f>
        <v/>
      </c>
    </row>
    <row r="906">
      <c r="I906" s="31">
        <f>IF($A906="","",IF($J906=0,"YOK",IF(AND($E906="Evet",ROUND($C906*tbo_oranIlave,2)=$J906),"TBO-002",IF(AND($D906="Evet",ROUND($C906*tbo_oranBesPuan,2)=$J906),"TBO-001",IF(AND($F906="Evet",ROUND($C906*tbo_oranKadinGenc,2)=$J906),"TBO-004","TBO-ENG")))))</f>
        <v/>
      </c>
      <c r="J906" s="31">
        <f>IF($A906="","",MAX(IF($D906="Evet",ROUND($C906*tbo_oranBesPuan,2),0),IF($E906="Evet",ROUND($C906*tbo_oranIlave,2),0),IF($F906="Evet",ROUND($C906*tbo_oranKadinGenc,2),0),IF($G906="Evet",ROUND($C906*tbo_isverenOran,2),0)))</f>
        <v/>
      </c>
      <c r="K906" s="31">
        <f>IF($A906="","",IF($H906="TBO-001",IF($D906="Evet",ROUND($C906*tbo_oranBesPuan,2),0),IF($H906="TBO-002",IF($E906="Evet",ROUND($C906*tbo_oranIlave,2),0),IF($H906="TBO-004",IF($F906="Evet",ROUND($C906*tbo_oranKadinGenc,2),0),IF($H906="TBO-ENG",IF($G906="Evet",ROUND($C906*tbo_isverenOran,2),0),0)))))</f>
        <v/>
      </c>
      <c r="L906" s="31">
        <f>IF($A906="","",MAX(0,$J906-$K906))</f>
        <v/>
      </c>
    </row>
    <row r="907">
      <c r="I907" s="31">
        <f>IF($A907="","",IF($J907=0,"YOK",IF(AND($E907="Evet",ROUND($C907*tbo_oranIlave,2)=$J907),"TBO-002",IF(AND($D907="Evet",ROUND($C907*tbo_oranBesPuan,2)=$J907),"TBO-001",IF(AND($F907="Evet",ROUND($C907*tbo_oranKadinGenc,2)=$J907),"TBO-004","TBO-ENG")))))</f>
        <v/>
      </c>
      <c r="J907" s="31">
        <f>IF($A907="","",MAX(IF($D907="Evet",ROUND($C907*tbo_oranBesPuan,2),0),IF($E907="Evet",ROUND($C907*tbo_oranIlave,2),0),IF($F907="Evet",ROUND($C907*tbo_oranKadinGenc,2),0),IF($G907="Evet",ROUND($C907*tbo_isverenOran,2),0)))</f>
        <v/>
      </c>
      <c r="K907" s="31">
        <f>IF($A907="","",IF($H907="TBO-001",IF($D907="Evet",ROUND($C907*tbo_oranBesPuan,2),0),IF($H907="TBO-002",IF($E907="Evet",ROUND($C907*tbo_oranIlave,2),0),IF($H907="TBO-004",IF($F907="Evet",ROUND($C907*tbo_oranKadinGenc,2),0),IF($H907="TBO-ENG",IF($G907="Evet",ROUND($C907*tbo_isverenOran,2),0),0)))))</f>
        <v/>
      </c>
      <c r="L907" s="31">
        <f>IF($A907="","",MAX(0,$J907-$K907))</f>
        <v/>
      </c>
    </row>
    <row r="908">
      <c r="I908" s="31">
        <f>IF($A908="","",IF($J908=0,"YOK",IF(AND($E908="Evet",ROUND($C908*tbo_oranIlave,2)=$J908),"TBO-002",IF(AND($D908="Evet",ROUND($C908*tbo_oranBesPuan,2)=$J908),"TBO-001",IF(AND($F908="Evet",ROUND($C908*tbo_oranKadinGenc,2)=$J908),"TBO-004","TBO-ENG")))))</f>
        <v/>
      </c>
      <c r="J908" s="31">
        <f>IF($A908="","",MAX(IF($D908="Evet",ROUND($C908*tbo_oranBesPuan,2),0),IF($E908="Evet",ROUND($C908*tbo_oranIlave,2),0),IF($F908="Evet",ROUND($C908*tbo_oranKadinGenc,2),0),IF($G908="Evet",ROUND($C908*tbo_isverenOran,2),0)))</f>
        <v/>
      </c>
      <c r="K908" s="31">
        <f>IF($A908="","",IF($H908="TBO-001",IF($D908="Evet",ROUND($C908*tbo_oranBesPuan,2),0),IF($H908="TBO-002",IF($E908="Evet",ROUND($C908*tbo_oranIlave,2),0),IF($H908="TBO-004",IF($F908="Evet",ROUND($C908*tbo_oranKadinGenc,2),0),IF($H908="TBO-ENG",IF($G908="Evet",ROUND($C908*tbo_isverenOran,2),0),0)))))</f>
        <v/>
      </c>
      <c r="L908" s="31">
        <f>IF($A908="","",MAX(0,$J908-$K908))</f>
        <v/>
      </c>
    </row>
    <row r="909">
      <c r="I909" s="31">
        <f>IF($A909="","",IF($J909=0,"YOK",IF(AND($E909="Evet",ROUND($C909*tbo_oranIlave,2)=$J909),"TBO-002",IF(AND($D909="Evet",ROUND($C909*tbo_oranBesPuan,2)=$J909),"TBO-001",IF(AND($F909="Evet",ROUND($C909*tbo_oranKadinGenc,2)=$J909),"TBO-004","TBO-ENG")))))</f>
        <v/>
      </c>
      <c r="J909" s="31">
        <f>IF($A909="","",MAX(IF($D909="Evet",ROUND($C909*tbo_oranBesPuan,2),0),IF($E909="Evet",ROUND($C909*tbo_oranIlave,2),0),IF($F909="Evet",ROUND($C909*tbo_oranKadinGenc,2),0),IF($G909="Evet",ROUND($C909*tbo_isverenOran,2),0)))</f>
        <v/>
      </c>
      <c r="K909" s="31">
        <f>IF($A909="","",IF($H909="TBO-001",IF($D909="Evet",ROUND($C909*tbo_oranBesPuan,2),0),IF($H909="TBO-002",IF($E909="Evet",ROUND($C909*tbo_oranIlave,2),0),IF($H909="TBO-004",IF($F909="Evet",ROUND($C909*tbo_oranKadinGenc,2),0),IF($H909="TBO-ENG",IF($G909="Evet",ROUND($C909*tbo_isverenOran,2),0),0)))))</f>
        <v/>
      </c>
      <c r="L909" s="31">
        <f>IF($A909="","",MAX(0,$J909-$K909))</f>
        <v/>
      </c>
    </row>
    <row r="910">
      <c r="I910" s="31">
        <f>IF($A910="","",IF($J910=0,"YOK",IF(AND($E910="Evet",ROUND($C910*tbo_oranIlave,2)=$J910),"TBO-002",IF(AND($D910="Evet",ROUND($C910*tbo_oranBesPuan,2)=$J910),"TBO-001",IF(AND($F910="Evet",ROUND($C910*tbo_oranKadinGenc,2)=$J910),"TBO-004","TBO-ENG")))))</f>
        <v/>
      </c>
      <c r="J910" s="31">
        <f>IF($A910="","",MAX(IF($D910="Evet",ROUND($C910*tbo_oranBesPuan,2),0),IF($E910="Evet",ROUND($C910*tbo_oranIlave,2),0),IF($F910="Evet",ROUND($C910*tbo_oranKadinGenc,2),0),IF($G910="Evet",ROUND($C910*tbo_isverenOran,2),0)))</f>
        <v/>
      </c>
      <c r="K910" s="31">
        <f>IF($A910="","",IF($H910="TBO-001",IF($D910="Evet",ROUND($C910*tbo_oranBesPuan,2),0),IF($H910="TBO-002",IF($E910="Evet",ROUND($C910*tbo_oranIlave,2),0),IF($H910="TBO-004",IF($F910="Evet",ROUND($C910*tbo_oranKadinGenc,2),0),IF($H910="TBO-ENG",IF($G910="Evet",ROUND($C910*tbo_isverenOran,2),0),0)))))</f>
        <v/>
      </c>
      <c r="L910" s="31">
        <f>IF($A910="","",MAX(0,$J910-$K910))</f>
        <v/>
      </c>
    </row>
    <row r="911">
      <c r="I911" s="31">
        <f>IF($A911="","",IF($J911=0,"YOK",IF(AND($E911="Evet",ROUND($C911*tbo_oranIlave,2)=$J911),"TBO-002",IF(AND($D911="Evet",ROUND($C911*tbo_oranBesPuan,2)=$J911),"TBO-001",IF(AND($F911="Evet",ROUND($C911*tbo_oranKadinGenc,2)=$J911),"TBO-004","TBO-ENG")))))</f>
        <v/>
      </c>
      <c r="J911" s="31">
        <f>IF($A911="","",MAX(IF($D911="Evet",ROUND($C911*tbo_oranBesPuan,2),0),IF($E911="Evet",ROUND($C911*tbo_oranIlave,2),0),IF($F911="Evet",ROUND($C911*tbo_oranKadinGenc,2),0),IF($G911="Evet",ROUND($C911*tbo_isverenOran,2),0)))</f>
        <v/>
      </c>
      <c r="K911" s="31">
        <f>IF($A911="","",IF($H911="TBO-001",IF($D911="Evet",ROUND($C911*tbo_oranBesPuan,2),0),IF($H911="TBO-002",IF($E911="Evet",ROUND($C911*tbo_oranIlave,2),0),IF($H911="TBO-004",IF($F911="Evet",ROUND($C911*tbo_oranKadinGenc,2),0),IF($H911="TBO-ENG",IF($G911="Evet",ROUND($C911*tbo_isverenOran,2),0),0)))))</f>
        <v/>
      </c>
      <c r="L911" s="31">
        <f>IF($A911="","",MAX(0,$J911-$K911))</f>
        <v/>
      </c>
    </row>
    <row r="912">
      <c r="I912" s="31">
        <f>IF($A912="","",IF($J912=0,"YOK",IF(AND($E912="Evet",ROUND($C912*tbo_oranIlave,2)=$J912),"TBO-002",IF(AND($D912="Evet",ROUND($C912*tbo_oranBesPuan,2)=$J912),"TBO-001",IF(AND($F912="Evet",ROUND($C912*tbo_oranKadinGenc,2)=$J912),"TBO-004","TBO-ENG")))))</f>
        <v/>
      </c>
      <c r="J912" s="31">
        <f>IF($A912="","",MAX(IF($D912="Evet",ROUND($C912*tbo_oranBesPuan,2),0),IF($E912="Evet",ROUND($C912*tbo_oranIlave,2),0),IF($F912="Evet",ROUND($C912*tbo_oranKadinGenc,2),0),IF($G912="Evet",ROUND($C912*tbo_isverenOran,2),0)))</f>
        <v/>
      </c>
      <c r="K912" s="31">
        <f>IF($A912="","",IF($H912="TBO-001",IF($D912="Evet",ROUND($C912*tbo_oranBesPuan,2),0),IF($H912="TBO-002",IF($E912="Evet",ROUND($C912*tbo_oranIlave,2),0),IF($H912="TBO-004",IF($F912="Evet",ROUND($C912*tbo_oranKadinGenc,2),0),IF($H912="TBO-ENG",IF($G912="Evet",ROUND($C912*tbo_isverenOran,2),0),0)))))</f>
        <v/>
      </c>
      <c r="L912" s="31">
        <f>IF($A912="","",MAX(0,$J912-$K912))</f>
        <v/>
      </c>
    </row>
    <row r="913">
      <c r="I913" s="31">
        <f>IF($A913="","",IF($J913=0,"YOK",IF(AND($E913="Evet",ROUND($C913*tbo_oranIlave,2)=$J913),"TBO-002",IF(AND($D913="Evet",ROUND($C913*tbo_oranBesPuan,2)=$J913),"TBO-001",IF(AND($F913="Evet",ROUND($C913*tbo_oranKadinGenc,2)=$J913),"TBO-004","TBO-ENG")))))</f>
        <v/>
      </c>
      <c r="J913" s="31">
        <f>IF($A913="","",MAX(IF($D913="Evet",ROUND($C913*tbo_oranBesPuan,2),0),IF($E913="Evet",ROUND($C913*tbo_oranIlave,2),0),IF($F913="Evet",ROUND($C913*tbo_oranKadinGenc,2),0),IF($G913="Evet",ROUND($C913*tbo_isverenOran,2),0)))</f>
        <v/>
      </c>
      <c r="K913" s="31">
        <f>IF($A913="","",IF($H913="TBO-001",IF($D913="Evet",ROUND($C913*tbo_oranBesPuan,2),0),IF($H913="TBO-002",IF($E913="Evet",ROUND($C913*tbo_oranIlave,2),0),IF($H913="TBO-004",IF($F913="Evet",ROUND($C913*tbo_oranKadinGenc,2),0),IF($H913="TBO-ENG",IF($G913="Evet",ROUND($C913*tbo_isverenOran,2),0),0)))))</f>
        <v/>
      </c>
      <c r="L913" s="31">
        <f>IF($A913="","",MAX(0,$J913-$K913))</f>
        <v/>
      </c>
    </row>
    <row r="914">
      <c r="I914" s="31">
        <f>IF($A914="","",IF($J914=0,"YOK",IF(AND($E914="Evet",ROUND($C914*tbo_oranIlave,2)=$J914),"TBO-002",IF(AND($D914="Evet",ROUND($C914*tbo_oranBesPuan,2)=$J914),"TBO-001",IF(AND($F914="Evet",ROUND($C914*tbo_oranKadinGenc,2)=$J914),"TBO-004","TBO-ENG")))))</f>
        <v/>
      </c>
      <c r="J914" s="31">
        <f>IF($A914="","",MAX(IF($D914="Evet",ROUND($C914*tbo_oranBesPuan,2),0),IF($E914="Evet",ROUND($C914*tbo_oranIlave,2),0),IF($F914="Evet",ROUND($C914*tbo_oranKadinGenc,2),0),IF($G914="Evet",ROUND($C914*tbo_isverenOran,2),0)))</f>
        <v/>
      </c>
      <c r="K914" s="31">
        <f>IF($A914="","",IF($H914="TBO-001",IF($D914="Evet",ROUND($C914*tbo_oranBesPuan,2),0),IF($H914="TBO-002",IF($E914="Evet",ROUND($C914*tbo_oranIlave,2),0),IF($H914="TBO-004",IF($F914="Evet",ROUND($C914*tbo_oranKadinGenc,2),0),IF($H914="TBO-ENG",IF($G914="Evet",ROUND($C914*tbo_isverenOran,2),0),0)))))</f>
        <v/>
      </c>
      <c r="L914" s="31">
        <f>IF($A914="","",MAX(0,$J914-$K914))</f>
        <v/>
      </c>
    </row>
    <row r="915">
      <c r="I915" s="31">
        <f>IF($A915="","",IF($J915=0,"YOK",IF(AND($E915="Evet",ROUND($C915*tbo_oranIlave,2)=$J915),"TBO-002",IF(AND($D915="Evet",ROUND($C915*tbo_oranBesPuan,2)=$J915),"TBO-001",IF(AND($F915="Evet",ROUND($C915*tbo_oranKadinGenc,2)=$J915),"TBO-004","TBO-ENG")))))</f>
        <v/>
      </c>
      <c r="J915" s="31">
        <f>IF($A915="","",MAX(IF($D915="Evet",ROUND($C915*tbo_oranBesPuan,2),0),IF($E915="Evet",ROUND($C915*tbo_oranIlave,2),0),IF($F915="Evet",ROUND($C915*tbo_oranKadinGenc,2),0),IF($G915="Evet",ROUND($C915*tbo_isverenOran,2),0)))</f>
        <v/>
      </c>
      <c r="K915" s="31">
        <f>IF($A915="","",IF($H915="TBO-001",IF($D915="Evet",ROUND($C915*tbo_oranBesPuan,2),0),IF($H915="TBO-002",IF($E915="Evet",ROUND($C915*tbo_oranIlave,2),0),IF($H915="TBO-004",IF($F915="Evet",ROUND($C915*tbo_oranKadinGenc,2),0),IF($H915="TBO-ENG",IF($G915="Evet",ROUND($C915*tbo_isverenOran,2),0),0)))))</f>
        <v/>
      </c>
      <c r="L915" s="31">
        <f>IF($A915="","",MAX(0,$J915-$K915))</f>
        <v/>
      </c>
    </row>
    <row r="916">
      <c r="I916" s="31">
        <f>IF($A916="","",IF($J916=0,"YOK",IF(AND($E916="Evet",ROUND($C916*tbo_oranIlave,2)=$J916),"TBO-002",IF(AND($D916="Evet",ROUND($C916*tbo_oranBesPuan,2)=$J916),"TBO-001",IF(AND($F916="Evet",ROUND($C916*tbo_oranKadinGenc,2)=$J916),"TBO-004","TBO-ENG")))))</f>
        <v/>
      </c>
      <c r="J916" s="31">
        <f>IF($A916="","",MAX(IF($D916="Evet",ROUND($C916*tbo_oranBesPuan,2),0),IF($E916="Evet",ROUND($C916*tbo_oranIlave,2),0),IF($F916="Evet",ROUND($C916*tbo_oranKadinGenc,2),0),IF($G916="Evet",ROUND($C916*tbo_isverenOran,2),0)))</f>
        <v/>
      </c>
      <c r="K916" s="31">
        <f>IF($A916="","",IF($H916="TBO-001",IF($D916="Evet",ROUND($C916*tbo_oranBesPuan,2),0),IF($H916="TBO-002",IF($E916="Evet",ROUND($C916*tbo_oranIlave,2),0),IF($H916="TBO-004",IF($F916="Evet",ROUND($C916*tbo_oranKadinGenc,2),0),IF($H916="TBO-ENG",IF($G916="Evet",ROUND($C916*tbo_isverenOran,2),0),0)))))</f>
        <v/>
      </c>
      <c r="L916" s="31">
        <f>IF($A916="","",MAX(0,$J916-$K916))</f>
        <v/>
      </c>
    </row>
    <row r="917">
      <c r="I917" s="31">
        <f>IF($A917="","",IF($J917=0,"YOK",IF(AND($E917="Evet",ROUND($C917*tbo_oranIlave,2)=$J917),"TBO-002",IF(AND($D917="Evet",ROUND($C917*tbo_oranBesPuan,2)=$J917),"TBO-001",IF(AND($F917="Evet",ROUND($C917*tbo_oranKadinGenc,2)=$J917),"TBO-004","TBO-ENG")))))</f>
        <v/>
      </c>
      <c r="J917" s="31">
        <f>IF($A917="","",MAX(IF($D917="Evet",ROUND($C917*tbo_oranBesPuan,2),0),IF($E917="Evet",ROUND($C917*tbo_oranIlave,2),0),IF($F917="Evet",ROUND($C917*tbo_oranKadinGenc,2),0),IF($G917="Evet",ROUND($C917*tbo_isverenOran,2),0)))</f>
        <v/>
      </c>
      <c r="K917" s="31">
        <f>IF($A917="","",IF($H917="TBO-001",IF($D917="Evet",ROUND($C917*tbo_oranBesPuan,2),0),IF($H917="TBO-002",IF($E917="Evet",ROUND($C917*tbo_oranIlave,2),0),IF($H917="TBO-004",IF($F917="Evet",ROUND($C917*tbo_oranKadinGenc,2),0),IF($H917="TBO-ENG",IF($G917="Evet",ROUND($C917*tbo_isverenOran,2),0),0)))))</f>
        <v/>
      </c>
      <c r="L917" s="31">
        <f>IF($A917="","",MAX(0,$J917-$K917))</f>
        <v/>
      </c>
    </row>
    <row r="918">
      <c r="I918" s="31">
        <f>IF($A918="","",IF($J918=0,"YOK",IF(AND($E918="Evet",ROUND($C918*tbo_oranIlave,2)=$J918),"TBO-002",IF(AND($D918="Evet",ROUND($C918*tbo_oranBesPuan,2)=$J918),"TBO-001",IF(AND($F918="Evet",ROUND($C918*tbo_oranKadinGenc,2)=$J918),"TBO-004","TBO-ENG")))))</f>
        <v/>
      </c>
      <c r="J918" s="31">
        <f>IF($A918="","",MAX(IF($D918="Evet",ROUND($C918*tbo_oranBesPuan,2),0),IF($E918="Evet",ROUND($C918*tbo_oranIlave,2),0),IF($F918="Evet",ROUND($C918*tbo_oranKadinGenc,2),0),IF($G918="Evet",ROUND($C918*tbo_isverenOran,2),0)))</f>
        <v/>
      </c>
      <c r="K918" s="31">
        <f>IF($A918="","",IF($H918="TBO-001",IF($D918="Evet",ROUND($C918*tbo_oranBesPuan,2),0),IF($H918="TBO-002",IF($E918="Evet",ROUND($C918*tbo_oranIlave,2),0),IF($H918="TBO-004",IF($F918="Evet",ROUND($C918*tbo_oranKadinGenc,2),0),IF($H918="TBO-ENG",IF($G918="Evet",ROUND($C918*tbo_isverenOran,2),0),0)))))</f>
        <v/>
      </c>
      <c r="L918" s="31">
        <f>IF($A918="","",MAX(0,$J918-$K918))</f>
        <v/>
      </c>
    </row>
    <row r="919">
      <c r="I919" s="31">
        <f>IF($A919="","",IF($J919=0,"YOK",IF(AND($E919="Evet",ROUND($C919*tbo_oranIlave,2)=$J919),"TBO-002",IF(AND($D919="Evet",ROUND($C919*tbo_oranBesPuan,2)=$J919),"TBO-001",IF(AND($F919="Evet",ROUND($C919*tbo_oranKadinGenc,2)=$J919),"TBO-004","TBO-ENG")))))</f>
        <v/>
      </c>
      <c r="J919" s="31">
        <f>IF($A919="","",MAX(IF($D919="Evet",ROUND($C919*tbo_oranBesPuan,2),0),IF($E919="Evet",ROUND($C919*tbo_oranIlave,2),0),IF($F919="Evet",ROUND($C919*tbo_oranKadinGenc,2),0),IF($G919="Evet",ROUND($C919*tbo_isverenOran,2),0)))</f>
        <v/>
      </c>
      <c r="K919" s="31">
        <f>IF($A919="","",IF($H919="TBO-001",IF($D919="Evet",ROUND($C919*tbo_oranBesPuan,2),0),IF($H919="TBO-002",IF($E919="Evet",ROUND($C919*tbo_oranIlave,2),0),IF($H919="TBO-004",IF($F919="Evet",ROUND($C919*tbo_oranKadinGenc,2),0),IF($H919="TBO-ENG",IF($G919="Evet",ROUND($C919*tbo_isverenOran,2),0),0)))))</f>
        <v/>
      </c>
      <c r="L919" s="31">
        <f>IF($A919="","",MAX(0,$J919-$K919))</f>
        <v/>
      </c>
    </row>
    <row r="920">
      <c r="I920" s="31">
        <f>IF($A920="","",IF($J920=0,"YOK",IF(AND($E920="Evet",ROUND($C920*tbo_oranIlave,2)=$J920),"TBO-002",IF(AND($D920="Evet",ROUND($C920*tbo_oranBesPuan,2)=$J920),"TBO-001",IF(AND($F920="Evet",ROUND($C920*tbo_oranKadinGenc,2)=$J920),"TBO-004","TBO-ENG")))))</f>
        <v/>
      </c>
      <c r="J920" s="31">
        <f>IF($A920="","",MAX(IF($D920="Evet",ROUND($C920*tbo_oranBesPuan,2),0),IF($E920="Evet",ROUND($C920*tbo_oranIlave,2),0),IF($F920="Evet",ROUND($C920*tbo_oranKadinGenc,2),0),IF($G920="Evet",ROUND($C920*tbo_isverenOran,2),0)))</f>
        <v/>
      </c>
      <c r="K920" s="31">
        <f>IF($A920="","",IF($H920="TBO-001",IF($D920="Evet",ROUND($C920*tbo_oranBesPuan,2),0),IF($H920="TBO-002",IF($E920="Evet",ROUND($C920*tbo_oranIlave,2),0),IF($H920="TBO-004",IF($F920="Evet",ROUND($C920*tbo_oranKadinGenc,2),0),IF($H920="TBO-ENG",IF($G920="Evet",ROUND($C920*tbo_isverenOran,2),0),0)))))</f>
        <v/>
      </c>
      <c r="L920" s="31">
        <f>IF($A920="","",MAX(0,$J920-$K920))</f>
        <v/>
      </c>
    </row>
    <row r="921">
      <c r="I921" s="31">
        <f>IF($A921="","",IF($J921=0,"YOK",IF(AND($E921="Evet",ROUND($C921*tbo_oranIlave,2)=$J921),"TBO-002",IF(AND($D921="Evet",ROUND($C921*tbo_oranBesPuan,2)=$J921),"TBO-001",IF(AND($F921="Evet",ROUND($C921*tbo_oranKadinGenc,2)=$J921),"TBO-004","TBO-ENG")))))</f>
        <v/>
      </c>
      <c r="J921" s="31">
        <f>IF($A921="","",MAX(IF($D921="Evet",ROUND($C921*tbo_oranBesPuan,2),0),IF($E921="Evet",ROUND($C921*tbo_oranIlave,2),0),IF($F921="Evet",ROUND($C921*tbo_oranKadinGenc,2),0),IF($G921="Evet",ROUND($C921*tbo_isverenOran,2),0)))</f>
        <v/>
      </c>
      <c r="K921" s="31">
        <f>IF($A921="","",IF($H921="TBO-001",IF($D921="Evet",ROUND($C921*tbo_oranBesPuan,2),0),IF($H921="TBO-002",IF($E921="Evet",ROUND($C921*tbo_oranIlave,2),0),IF($H921="TBO-004",IF($F921="Evet",ROUND($C921*tbo_oranKadinGenc,2),0),IF($H921="TBO-ENG",IF($G921="Evet",ROUND($C921*tbo_isverenOran,2),0),0)))))</f>
        <v/>
      </c>
      <c r="L921" s="31">
        <f>IF($A921="","",MAX(0,$J921-$K921))</f>
        <v/>
      </c>
    </row>
    <row r="922">
      <c r="I922" s="31">
        <f>IF($A922="","",IF($J922=0,"YOK",IF(AND($E922="Evet",ROUND($C922*tbo_oranIlave,2)=$J922),"TBO-002",IF(AND($D922="Evet",ROUND($C922*tbo_oranBesPuan,2)=$J922),"TBO-001",IF(AND($F922="Evet",ROUND($C922*tbo_oranKadinGenc,2)=$J922),"TBO-004","TBO-ENG")))))</f>
        <v/>
      </c>
      <c r="J922" s="31">
        <f>IF($A922="","",MAX(IF($D922="Evet",ROUND($C922*tbo_oranBesPuan,2),0),IF($E922="Evet",ROUND($C922*tbo_oranIlave,2),0),IF($F922="Evet",ROUND($C922*tbo_oranKadinGenc,2),0),IF($G922="Evet",ROUND($C922*tbo_isverenOran,2),0)))</f>
        <v/>
      </c>
      <c r="K922" s="31">
        <f>IF($A922="","",IF($H922="TBO-001",IF($D922="Evet",ROUND($C922*tbo_oranBesPuan,2),0),IF($H922="TBO-002",IF($E922="Evet",ROUND($C922*tbo_oranIlave,2),0),IF($H922="TBO-004",IF($F922="Evet",ROUND($C922*tbo_oranKadinGenc,2),0),IF($H922="TBO-ENG",IF($G922="Evet",ROUND($C922*tbo_isverenOran,2),0),0)))))</f>
        <v/>
      </c>
      <c r="L922" s="31">
        <f>IF($A922="","",MAX(0,$J922-$K922))</f>
        <v/>
      </c>
    </row>
    <row r="923">
      <c r="I923" s="31">
        <f>IF($A923="","",IF($J923=0,"YOK",IF(AND($E923="Evet",ROUND($C923*tbo_oranIlave,2)=$J923),"TBO-002",IF(AND($D923="Evet",ROUND($C923*tbo_oranBesPuan,2)=$J923),"TBO-001",IF(AND($F923="Evet",ROUND($C923*tbo_oranKadinGenc,2)=$J923),"TBO-004","TBO-ENG")))))</f>
        <v/>
      </c>
      <c r="J923" s="31">
        <f>IF($A923="","",MAX(IF($D923="Evet",ROUND($C923*tbo_oranBesPuan,2),0),IF($E923="Evet",ROUND($C923*tbo_oranIlave,2),0),IF($F923="Evet",ROUND($C923*tbo_oranKadinGenc,2),0),IF($G923="Evet",ROUND($C923*tbo_isverenOran,2),0)))</f>
        <v/>
      </c>
      <c r="K923" s="31">
        <f>IF($A923="","",IF($H923="TBO-001",IF($D923="Evet",ROUND($C923*tbo_oranBesPuan,2),0),IF($H923="TBO-002",IF($E923="Evet",ROUND($C923*tbo_oranIlave,2),0),IF($H923="TBO-004",IF($F923="Evet",ROUND($C923*tbo_oranKadinGenc,2),0),IF($H923="TBO-ENG",IF($G923="Evet",ROUND($C923*tbo_isverenOran,2),0),0)))))</f>
        <v/>
      </c>
      <c r="L923" s="31">
        <f>IF($A923="","",MAX(0,$J923-$K923))</f>
        <v/>
      </c>
    </row>
    <row r="924">
      <c r="I924" s="31">
        <f>IF($A924="","",IF($J924=0,"YOK",IF(AND($E924="Evet",ROUND($C924*tbo_oranIlave,2)=$J924),"TBO-002",IF(AND($D924="Evet",ROUND($C924*tbo_oranBesPuan,2)=$J924),"TBO-001",IF(AND($F924="Evet",ROUND($C924*tbo_oranKadinGenc,2)=$J924),"TBO-004","TBO-ENG")))))</f>
        <v/>
      </c>
      <c r="J924" s="31">
        <f>IF($A924="","",MAX(IF($D924="Evet",ROUND($C924*tbo_oranBesPuan,2),0),IF($E924="Evet",ROUND($C924*tbo_oranIlave,2),0),IF($F924="Evet",ROUND($C924*tbo_oranKadinGenc,2),0),IF($G924="Evet",ROUND($C924*tbo_isverenOran,2),0)))</f>
        <v/>
      </c>
      <c r="K924" s="31">
        <f>IF($A924="","",IF($H924="TBO-001",IF($D924="Evet",ROUND($C924*tbo_oranBesPuan,2),0),IF($H924="TBO-002",IF($E924="Evet",ROUND($C924*tbo_oranIlave,2),0),IF($H924="TBO-004",IF($F924="Evet",ROUND($C924*tbo_oranKadinGenc,2),0),IF($H924="TBO-ENG",IF($G924="Evet",ROUND($C924*tbo_isverenOran,2),0),0)))))</f>
        <v/>
      </c>
      <c r="L924" s="31">
        <f>IF($A924="","",MAX(0,$J924-$K924))</f>
        <v/>
      </c>
    </row>
    <row r="925">
      <c r="I925" s="31">
        <f>IF($A925="","",IF($J925=0,"YOK",IF(AND($E925="Evet",ROUND($C925*tbo_oranIlave,2)=$J925),"TBO-002",IF(AND($D925="Evet",ROUND($C925*tbo_oranBesPuan,2)=$J925),"TBO-001",IF(AND($F925="Evet",ROUND($C925*tbo_oranKadinGenc,2)=$J925),"TBO-004","TBO-ENG")))))</f>
        <v/>
      </c>
      <c r="J925" s="31">
        <f>IF($A925="","",MAX(IF($D925="Evet",ROUND($C925*tbo_oranBesPuan,2),0),IF($E925="Evet",ROUND($C925*tbo_oranIlave,2),0),IF($F925="Evet",ROUND($C925*tbo_oranKadinGenc,2),0),IF($G925="Evet",ROUND($C925*tbo_isverenOran,2),0)))</f>
        <v/>
      </c>
      <c r="K925" s="31">
        <f>IF($A925="","",IF($H925="TBO-001",IF($D925="Evet",ROUND($C925*tbo_oranBesPuan,2),0),IF($H925="TBO-002",IF($E925="Evet",ROUND($C925*tbo_oranIlave,2),0),IF($H925="TBO-004",IF($F925="Evet",ROUND($C925*tbo_oranKadinGenc,2),0),IF($H925="TBO-ENG",IF($G925="Evet",ROUND($C925*tbo_isverenOran,2),0),0)))))</f>
        <v/>
      </c>
      <c r="L925" s="31">
        <f>IF($A925="","",MAX(0,$J925-$K925))</f>
        <v/>
      </c>
    </row>
    <row r="926">
      <c r="I926" s="31">
        <f>IF($A926="","",IF($J926=0,"YOK",IF(AND($E926="Evet",ROUND($C926*tbo_oranIlave,2)=$J926),"TBO-002",IF(AND($D926="Evet",ROUND($C926*tbo_oranBesPuan,2)=$J926),"TBO-001",IF(AND($F926="Evet",ROUND($C926*tbo_oranKadinGenc,2)=$J926),"TBO-004","TBO-ENG")))))</f>
        <v/>
      </c>
      <c r="J926" s="31">
        <f>IF($A926="","",MAX(IF($D926="Evet",ROUND($C926*tbo_oranBesPuan,2),0),IF($E926="Evet",ROUND($C926*tbo_oranIlave,2),0),IF($F926="Evet",ROUND($C926*tbo_oranKadinGenc,2),0),IF($G926="Evet",ROUND($C926*tbo_isverenOran,2),0)))</f>
        <v/>
      </c>
      <c r="K926" s="31">
        <f>IF($A926="","",IF($H926="TBO-001",IF($D926="Evet",ROUND($C926*tbo_oranBesPuan,2),0),IF($H926="TBO-002",IF($E926="Evet",ROUND($C926*tbo_oranIlave,2),0),IF($H926="TBO-004",IF($F926="Evet",ROUND($C926*tbo_oranKadinGenc,2),0),IF($H926="TBO-ENG",IF($G926="Evet",ROUND($C926*tbo_isverenOran,2),0),0)))))</f>
        <v/>
      </c>
      <c r="L926" s="31">
        <f>IF($A926="","",MAX(0,$J926-$K926))</f>
        <v/>
      </c>
    </row>
    <row r="927">
      <c r="I927" s="31">
        <f>IF($A927="","",IF($J927=0,"YOK",IF(AND($E927="Evet",ROUND($C927*tbo_oranIlave,2)=$J927),"TBO-002",IF(AND($D927="Evet",ROUND($C927*tbo_oranBesPuan,2)=$J927),"TBO-001",IF(AND($F927="Evet",ROUND($C927*tbo_oranKadinGenc,2)=$J927),"TBO-004","TBO-ENG")))))</f>
        <v/>
      </c>
      <c r="J927" s="31">
        <f>IF($A927="","",MAX(IF($D927="Evet",ROUND($C927*tbo_oranBesPuan,2),0),IF($E927="Evet",ROUND($C927*tbo_oranIlave,2),0),IF($F927="Evet",ROUND($C927*tbo_oranKadinGenc,2),0),IF($G927="Evet",ROUND($C927*tbo_isverenOran,2),0)))</f>
        <v/>
      </c>
      <c r="K927" s="31">
        <f>IF($A927="","",IF($H927="TBO-001",IF($D927="Evet",ROUND($C927*tbo_oranBesPuan,2),0),IF($H927="TBO-002",IF($E927="Evet",ROUND($C927*tbo_oranIlave,2),0),IF($H927="TBO-004",IF($F927="Evet",ROUND($C927*tbo_oranKadinGenc,2),0),IF($H927="TBO-ENG",IF($G927="Evet",ROUND($C927*tbo_isverenOran,2),0),0)))))</f>
        <v/>
      </c>
      <c r="L927" s="31">
        <f>IF($A927="","",MAX(0,$J927-$K927))</f>
        <v/>
      </c>
    </row>
    <row r="928">
      <c r="I928" s="31">
        <f>IF($A928="","",IF($J928=0,"YOK",IF(AND($E928="Evet",ROUND($C928*tbo_oranIlave,2)=$J928),"TBO-002",IF(AND($D928="Evet",ROUND($C928*tbo_oranBesPuan,2)=$J928),"TBO-001",IF(AND($F928="Evet",ROUND($C928*tbo_oranKadinGenc,2)=$J928),"TBO-004","TBO-ENG")))))</f>
        <v/>
      </c>
      <c r="J928" s="31">
        <f>IF($A928="","",MAX(IF($D928="Evet",ROUND($C928*tbo_oranBesPuan,2),0),IF($E928="Evet",ROUND($C928*tbo_oranIlave,2),0),IF($F928="Evet",ROUND($C928*tbo_oranKadinGenc,2),0),IF($G928="Evet",ROUND($C928*tbo_isverenOran,2),0)))</f>
        <v/>
      </c>
      <c r="K928" s="31">
        <f>IF($A928="","",IF($H928="TBO-001",IF($D928="Evet",ROUND($C928*tbo_oranBesPuan,2),0),IF($H928="TBO-002",IF($E928="Evet",ROUND($C928*tbo_oranIlave,2),0),IF($H928="TBO-004",IF($F928="Evet",ROUND($C928*tbo_oranKadinGenc,2),0),IF($H928="TBO-ENG",IF($G928="Evet",ROUND($C928*tbo_isverenOran,2),0),0)))))</f>
        <v/>
      </c>
      <c r="L928" s="31">
        <f>IF($A928="","",MAX(0,$J928-$K928))</f>
        <v/>
      </c>
    </row>
    <row r="929">
      <c r="I929" s="31">
        <f>IF($A929="","",IF($J929=0,"YOK",IF(AND($E929="Evet",ROUND($C929*tbo_oranIlave,2)=$J929),"TBO-002",IF(AND($D929="Evet",ROUND($C929*tbo_oranBesPuan,2)=$J929),"TBO-001",IF(AND($F929="Evet",ROUND($C929*tbo_oranKadinGenc,2)=$J929),"TBO-004","TBO-ENG")))))</f>
        <v/>
      </c>
      <c r="J929" s="31">
        <f>IF($A929="","",MAX(IF($D929="Evet",ROUND($C929*tbo_oranBesPuan,2),0),IF($E929="Evet",ROUND($C929*tbo_oranIlave,2),0),IF($F929="Evet",ROUND($C929*tbo_oranKadinGenc,2),0),IF($G929="Evet",ROUND($C929*tbo_isverenOran,2),0)))</f>
        <v/>
      </c>
      <c r="K929" s="31">
        <f>IF($A929="","",IF($H929="TBO-001",IF($D929="Evet",ROUND($C929*tbo_oranBesPuan,2),0),IF($H929="TBO-002",IF($E929="Evet",ROUND($C929*tbo_oranIlave,2),0),IF($H929="TBO-004",IF($F929="Evet",ROUND($C929*tbo_oranKadinGenc,2),0),IF($H929="TBO-ENG",IF($G929="Evet",ROUND($C929*tbo_isverenOran,2),0),0)))))</f>
        <v/>
      </c>
      <c r="L929" s="31">
        <f>IF($A929="","",MAX(0,$J929-$K929))</f>
        <v/>
      </c>
    </row>
    <row r="930">
      <c r="I930" s="31">
        <f>IF($A930="","",IF($J930=0,"YOK",IF(AND($E930="Evet",ROUND($C930*tbo_oranIlave,2)=$J930),"TBO-002",IF(AND($D930="Evet",ROUND($C930*tbo_oranBesPuan,2)=$J930),"TBO-001",IF(AND($F930="Evet",ROUND($C930*tbo_oranKadinGenc,2)=$J930),"TBO-004","TBO-ENG")))))</f>
        <v/>
      </c>
      <c r="J930" s="31">
        <f>IF($A930="","",MAX(IF($D930="Evet",ROUND($C930*tbo_oranBesPuan,2),0),IF($E930="Evet",ROUND($C930*tbo_oranIlave,2),0),IF($F930="Evet",ROUND($C930*tbo_oranKadinGenc,2),0),IF($G930="Evet",ROUND($C930*tbo_isverenOran,2),0)))</f>
        <v/>
      </c>
      <c r="K930" s="31">
        <f>IF($A930="","",IF($H930="TBO-001",IF($D930="Evet",ROUND($C930*tbo_oranBesPuan,2),0),IF($H930="TBO-002",IF($E930="Evet",ROUND($C930*tbo_oranIlave,2),0),IF($H930="TBO-004",IF($F930="Evet",ROUND($C930*tbo_oranKadinGenc,2),0),IF($H930="TBO-ENG",IF($G930="Evet",ROUND($C930*tbo_isverenOran,2),0),0)))))</f>
        <v/>
      </c>
      <c r="L930" s="31">
        <f>IF($A930="","",MAX(0,$J930-$K930))</f>
        <v/>
      </c>
    </row>
    <row r="931">
      <c r="I931" s="31">
        <f>IF($A931="","",IF($J931=0,"YOK",IF(AND($E931="Evet",ROUND($C931*tbo_oranIlave,2)=$J931),"TBO-002",IF(AND($D931="Evet",ROUND($C931*tbo_oranBesPuan,2)=$J931),"TBO-001",IF(AND($F931="Evet",ROUND($C931*tbo_oranKadinGenc,2)=$J931),"TBO-004","TBO-ENG")))))</f>
        <v/>
      </c>
      <c r="J931" s="31">
        <f>IF($A931="","",MAX(IF($D931="Evet",ROUND($C931*tbo_oranBesPuan,2),0),IF($E931="Evet",ROUND($C931*tbo_oranIlave,2),0),IF($F931="Evet",ROUND($C931*tbo_oranKadinGenc,2),0),IF($G931="Evet",ROUND($C931*tbo_isverenOran,2),0)))</f>
        <v/>
      </c>
      <c r="K931" s="31">
        <f>IF($A931="","",IF($H931="TBO-001",IF($D931="Evet",ROUND($C931*tbo_oranBesPuan,2),0),IF($H931="TBO-002",IF($E931="Evet",ROUND($C931*tbo_oranIlave,2),0),IF($H931="TBO-004",IF($F931="Evet",ROUND($C931*tbo_oranKadinGenc,2),0),IF($H931="TBO-ENG",IF($G931="Evet",ROUND($C931*tbo_isverenOran,2),0),0)))))</f>
        <v/>
      </c>
      <c r="L931" s="31">
        <f>IF($A931="","",MAX(0,$J931-$K931))</f>
        <v/>
      </c>
    </row>
    <row r="932">
      <c r="I932" s="31">
        <f>IF($A932="","",IF($J932=0,"YOK",IF(AND($E932="Evet",ROUND($C932*tbo_oranIlave,2)=$J932),"TBO-002",IF(AND($D932="Evet",ROUND($C932*tbo_oranBesPuan,2)=$J932),"TBO-001",IF(AND($F932="Evet",ROUND($C932*tbo_oranKadinGenc,2)=$J932),"TBO-004","TBO-ENG")))))</f>
        <v/>
      </c>
      <c r="J932" s="31">
        <f>IF($A932="","",MAX(IF($D932="Evet",ROUND($C932*tbo_oranBesPuan,2),0),IF($E932="Evet",ROUND($C932*tbo_oranIlave,2),0),IF($F932="Evet",ROUND($C932*tbo_oranKadinGenc,2),0),IF($G932="Evet",ROUND($C932*tbo_isverenOran,2),0)))</f>
        <v/>
      </c>
      <c r="K932" s="31">
        <f>IF($A932="","",IF($H932="TBO-001",IF($D932="Evet",ROUND($C932*tbo_oranBesPuan,2),0),IF($H932="TBO-002",IF($E932="Evet",ROUND($C932*tbo_oranIlave,2),0),IF($H932="TBO-004",IF($F932="Evet",ROUND($C932*tbo_oranKadinGenc,2),0),IF($H932="TBO-ENG",IF($G932="Evet",ROUND($C932*tbo_isverenOran,2),0),0)))))</f>
        <v/>
      </c>
      <c r="L932" s="31">
        <f>IF($A932="","",MAX(0,$J932-$K932))</f>
        <v/>
      </c>
    </row>
    <row r="933">
      <c r="I933" s="31">
        <f>IF($A933="","",IF($J933=0,"YOK",IF(AND($E933="Evet",ROUND($C933*tbo_oranIlave,2)=$J933),"TBO-002",IF(AND($D933="Evet",ROUND($C933*tbo_oranBesPuan,2)=$J933),"TBO-001",IF(AND($F933="Evet",ROUND($C933*tbo_oranKadinGenc,2)=$J933),"TBO-004","TBO-ENG")))))</f>
        <v/>
      </c>
      <c r="J933" s="31">
        <f>IF($A933="","",MAX(IF($D933="Evet",ROUND($C933*tbo_oranBesPuan,2),0),IF($E933="Evet",ROUND($C933*tbo_oranIlave,2),0),IF($F933="Evet",ROUND($C933*tbo_oranKadinGenc,2),0),IF($G933="Evet",ROUND($C933*tbo_isverenOran,2),0)))</f>
        <v/>
      </c>
      <c r="K933" s="31">
        <f>IF($A933="","",IF($H933="TBO-001",IF($D933="Evet",ROUND($C933*tbo_oranBesPuan,2),0),IF($H933="TBO-002",IF($E933="Evet",ROUND($C933*tbo_oranIlave,2),0),IF($H933="TBO-004",IF($F933="Evet",ROUND($C933*tbo_oranKadinGenc,2),0),IF($H933="TBO-ENG",IF($G933="Evet",ROUND($C933*tbo_isverenOran,2),0),0)))))</f>
        <v/>
      </c>
      <c r="L933" s="31">
        <f>IF($A933="","",MAX(0,$J933-$K933))</f>
        <v/>
      </c>
    </row>
    <row r="934">
      <c r="I934" s="31">
        <f>IF($A934="","",IF($J934=0,"YOK",IF(AND($E934="Evet",ROUND($C934*tbo_oranIlave,2)=$J934),"TBO-002",IF(AND($D934="Evet",ROUND($C934*tbo_oranBesPuan,2)=$J934),"TBO-001",IF(AND($F934="Evet",ROUND($C934*tbo_oranKadinGenc,2)=$J934),"TBO-004","TBO-ENG")))))</f>
        <v/>
      </c>
      <c r="J934" s="31">
        <f>IF($A934="","",MAX(IF($D934="Evet",ROUND($C934*tbo_oranBesPuan,2),0),IF($E934="Evet",ROUND($C934*tbo_oranIlave,2),0),IF($F934="Evet",ROUND($C934*tbo_oranKadinGenc,2),0),IF($G934="Evet",ROUND($C934*tbo_isverenOran,2),0)))</f>
        <v/>
      </c>
      <c r="K934" s="31">
        <f>IF($A934="","",IF($H934="TBO-001",IF($D934="Evet",ROUND($C934*tbo_oranBesPuan,2),0),IF($H934="TBO-002",IF($E934="Evet",ROUND($C934*tbo_oranIlave,2),0),IF($H934="TBO-004",IF($F934="Evet",ROUND($C934*tbo_oranKadinGenc,2),0),IF($H934="TBO-ENG",IF($G934="Evet",ROUND($C934*tbo_isverenOran,2),0),0)))))</f>
        <v/>
      </c>
      <c r="L934" s="31">
        <f>IF($A934="","",MAX(0,$J934-$K934))</f>
        <v/>
      </c>
    </row>
    <row r="935">
      <c r="I935" s="31">
        <f>IF($A935="","",IF($J935=0,"YOK",IF(AND($E935="Evet",ROUND($C935*tbo_oranIlave,2)=$J935),"TBO-002",IF(AND($D935="Evet",ROUND($C935*tbo_oranBesPuan,2)=$J935),"TBO-001",IF(AND($F935="Evet",ROUND($C935*tbo_oranKadinGenc,2)=$J935),"TBO-004","TBO-ENG")))))</f>
        <v/>
      </c>
      <c r="J935" s="31">
        <f>IF($A935="","",MAX(IF($D935="Evet",ROUND($C935*tbo_oranBesPuan,2),0),IF($E935="Evet",ROUND($C935*tbo_oranIlave,2),0),IF($F935="Evet",ROUND($C935*tbo_oranKadinGenc,2),0),IF($G935="Evet",ROUND($C935*tbo_isverenOran,2),0)))</f>
        <v/>
      </c>
      <c r="K935" s="31">
        <f>IF($A935="","",IF($H935="TBO-001",IF($D935="Evet",ROUND($C935*tbo_oranBesPuan,2),0),IF($H935="TBO-002",IF($E935="Evet",ROUND($C935*tbo_oranIlave,2),0),IF($H935="TBO-004",IF($F935="Evet",ROUND($C935*tbo_oranKadinGenc,2),0),IF($H935="TBO-ENG",IF($G935="Evet",ROUND($C935*tbo_isverenOran,2),0),0)))))</f>
        <v/>
      </c>
      <c r="L935" s="31">
        <f>IF($A935="","",MAX(0,$J935-$K935))</f>
        <v/>
      </c>
    </row>
    <row r="936">
      <c r="I936" s="31">
        <f>IF($A936="","",IF($J936=0,"YOK",IF(AND($E936="Evet",ROUND($C936*tbo_oranIlave,2)=$J936),"TBO-002",IF(AND($D936="Evet",ROUND($C936*tbo_oranBesPuan,2)=$J936),"TBO-001",IF(AND($F936="Evet",ROUND($C936*tbo_oranKadinGenc,2)=$J936),"TBO-004","TBO-ENG")))))</f>
        <v/>
      </c>
      <c r="J936" s="31">
        <f>IF($A936="","",MAX(IF($D936="Evet",ROUND($C936*tbo_oranBesPuan,2),0),IF($E936="Evet",ROUND($C936*tbo_oranIlave,2),0),IF($F936="Evet",ROUND($C936*tbo_oranKadinGenc,2),0),IF($G936="Evet",ROUND($C936*tbo_isverenOran,2),0)))</f>
        <v/>
      </c>
      <c r="K936" s="31">
        <f>IF($A936="","",IF($H936="TBO-001",IF($D936="Evet",ROUND($C936*tbo_oranBesPuan,2),0),IF($H936="TBO-002",IF($E936="Evet",ROUND($C936*tbo_oranIlave,2),0),IF($H936="TBO-004",IF($F936="Evet",ROUND($C936*tbo_oranKadinGenc,2),0),IF($H936="TBO-ENG",IF($G936="Evet",ROUND($C936*tbo_isverenOran,2),0),0)))))</f>
        <v/>
      </c>
      <c r="L936" s="31">
        <f>IF($A936="","",MAX(0,$J936-$K936))</f>
        <v/>
      </c>
    </row>
    <row r="937">
      <c r="I937" s="31">
        <f>IF($A937="","",IF($J937=0,"YOK",IF(AND($E937="Evet",ROUND($C937*tbo_oranIlave,2)=$J937),"TBO-002",IF(AND($D937="Evet",ROUND($C937*tbo_oranBesPuan,2)=$J937),"TBO-001",IF(AND($F937="Evet",ROUND($C937*tbo_oranKadinGenc,2)=$J937),"TBO-004","TBO-ENG")))))</f>
        <v/>
      </c>
      <c r="J937" s="31">
        <f>IF($A937="","",MAX(IF($D937="Evet",ROUND($C937*tbo_oranBesPuan,2),0),IF($E937="Evet",ROUND($C937*tbo_oranIlave,2),0),IF($F937="Evet",ROUND($C937*tbo_oranKadinGenc,2),0),IF($G937="Evet",ROUND($C937*tbo_isverenOran,2),0)))</f>
        <v/>
      </c>
      <c r="K937" s="31">
        <f>IF($A937="","",IF($H937="TBO-001",IF($D937="Evet",ROUND($C937*tbo_oranBesPuan,2),0),IF($H937="TBO-002",IF($E937="Evet",ROUND($C937*tbo_oranIlave,2),0),IF($H937="TBO-004",IF($F937="Evet",ROUND($C937*tbo_oranKadinGenc,2),0),IF($H937="TBO-ENG",IF($G937="Evet",ROUND($C937*tbo_isverenOran,2),0),0)))))</f>
        <v/>
      </c>
      <c r="L937" s="31">
        <f>IF($A937="","",MAX(0,$J937-$K937))</f>
        <v/>
      </c>
    </row>
    <row r="938">
      <c r="I938" s="31">
        <f>IF($A938="","",IF($J938=0,"YOK",IF(AND($E938="Evet",ROUND($C938*tbo_oranIlave,2)=$J938),"TBO-002",IF(AND($D938="Evet",ROUND($C938*tbo_oranBesPuan,2)=$J938),"TBO-001",IF(AND($F938="Evet",ROUND($C938*tbo_oranKadinGenc,2)=$J938),"TBO-004","TBO-ENG")))))</f>
        <v/>
      </c>
      <c r="J938" s="31">
        <f>IF($A938="","",MAX(IF($D938="Evet",ROUND($C938*tbo_oranBesPuan,2),0),IF($E938="Evet",ROUND($C938*tbo_oranIlave,2),0),IF($F938="Evet",ROUND($C938*tbo_oranKadinGenc,2),0),IF($G938="Evet",ROUND($C938*tbo_isverenOran,2),0)))</f>
        <v/>
      </c>
      <c r="K938" s="31">
        <f>IF($A938="","",IF($H938="TBO-001",IF($D938="Evet",ROUND($C938*tbo_oranBesPuan,2),0),IF($H938="TBO-002",IF($E938="Evet",ROUND($C938*tbo_oranIlave,2),0),IF($H938="TBO-004",IF($F938="Evet",ROUND($C938*tbo_oranKadinGenc,2),0),IF($H938="TBO-ENG",IF($G938="Evet",ROUND($C938*tbo_isverenOran,2),0),0)))))</f>
        <v/>
      </c>
      <c r="L938" s="31">
        <f>IF($A938="","",MAX(0,$J938-$K938))</f>
        <v/>
      </c>
    </row>
    <row r="939">
      <c r="I939" s="31">
        <f>IF($A939="","",IF($J939=0,"YOK",IF(AND($E939="Evet",ROUND($C939*tbo_oranIlave,2)=$J939),"TBO-002",IF(AND($D939="Evet",ROUND($C939*tbo_oranBesPuan,2)=$J939),"TBO-001",IF(AND($F939="Evet",ROUND($C939*tbo_oranKadinGenc,2)=$J939),"TBO-004","TBO-ENG")))))</f>
        <v/>
      </c>
      <c r="J939" s="31">
        <f>IF($A939="","",MAX(IF($D939="Evet",ROUND($C939*tbo_oranBesPuan,2),0),IF($E939="Evet",ROUND($C939*tbo_oranIlave,2),0),IF($F939="Evet",ROUND($C939*tbo_oranKadinGenc,2),0),IF($G939="Evet",ROUND($C939*tbo_isverenOran,2),0)))</f>
        <v/>
      </c>
      <c r="K939" s="31">
        <f>IF($A939="","",IF($H939="TBO-001",IF($D939="Evet",ROUND($C939*tbo_oranBesPuan,2),0),IF($H939="TBO-002",IF($E939="Evet",ROUND($C939*tbo_oranIlave,2),0),IF($H939="TBO-004",IF($F939="Evet",ROUND($C939*tbo_oranKadinGenc,2),0),IF($H939="TBO-ENG",IF($G939="Evet",ROUND($C939*tbo_isverenOran,2),0),0)))))</f>
        <v/>
      </c>
      <c r="L939" s="31">
        <f>IF($A939="","",MAX(0,$J939-$K939))</f>
        <v/>
      </c>
    </row>
    <row r="940">
      <c r="I940" s="31">
        <f>IF($A940="","",IF($J940=0,"YOK",IF(AND($E940="Evet",ROUND($C940*tbo_oranIlave,2)=$J940),"TBO-002",IF(AND($D940="Evet",ROUND($C940*tbo_oranBesPuan,2)=$J940),"TBO-001",IF(AND($F940="Evet",ROUND($C940*tbo_oranKadinGenc,2)=$J940),"TBO-004","TBO-ENG")))))</f>
        <v/>
      </c>
      <c r="J940" s="31">
        <f>IF($A940="","",MAX(IF($D940="Evet",ROUND($C940*tbo_oranBesPuan,2),0),IF($E940="Evet",ROUND($C940*tbo_oranIlave,2),0),IF($F940="Evet",ROUND($C940*tbo_oranKadinGenc,2),0),IF($G940="Evet",ROUND($C940*tbo_isverenOran,2),0)))</f>
        <v/>
      </c>
      <c r="K940" s="31">
        <f>IF($A940="","",IF($H940="TBO-001",IF($D940="Evet",ROUND($C940*tbo_oranBesPuan,2),0),IF($H940="TBO-002",IF($E940="Evet",ROUND($C940*tbo_oranIlave,2),0),IF($H940="TBO-004",IF($F940="Evet",ROUND($C940*tbo_oranKadinGenc,2),0),IF($H940="TBO-ENG",IF($G940="Evet",ROUND($C940*tbo_isverenOran,2),0),0)))))</f>
        <v/>
      </c>
      <c r="L940" s="31">
        <f>IF($A940="","",MAX(0,$J940-$K940))</f>
        <v/>
      </c>
    </row>
    <row r="941">
      <c r="I941" s="31">
        <f>IF($A941="","",IF($J941=0,"YOK",IF(AND($E941="Evet",ROUND($C941*tbo_oranIlave,2)=$J941),"TBO-002",IF(AND($D941="Evet",ROUND($C941*tbo_oranBesPuan,2)=$J941),"TBO-001",IF(AND($F941="Evet",ROUND($C941*tbo_oranKadinGenc,2)=$J941),"TBO-004","TBO-ENG")))))</f>
        <v/>
      </c>
      <c r="J941" s="31">
        <f>IF($A941="","",MAX(IF($D941="Evet",ROUND($C941*tbo_oranBesPuan,2),0),IF($E941="Evet",ROUND($C941*tbo_oranIlave,2),0),IF($F941="Evet",ROUND($C941*tbo_oranKadinGenc,2),0),IF($G941="Evet",ROUND($C941*tbo_isverenOran,2),0)))</f>
        <v/>
      </c>
      <c r="K941" s="31">
        <f>IF($A941="","",IF($H941="TBO-001",IF($D941="Evet",ROUND($C941*tbo_oranBesPuan,2),0),IF($H941="TBO-002",IF($E941="Evet",ROUND($C941*tbo_oranIlave,2),0),IF($H941="TBO-004",IF($F941="Evet",ROUND($C941*tbo_oranKadinGenc,2),0),IF($H941="TBO-ENG",IF($G941="Evet",ROUND($C941*tbo_isverenOran,2),0),0)))))</f>
        <v/>
      </c>
      <c r="L941" s="31">
        <f>IF($A941="","",MAX(0,$J941-$K941))</f>
        <v/>
      </c>
    </row>
    <row r="942">
      <c r="I942" s="31">
        <f>IF($A942="","",IF($J942=0,"YOK",IF(AND($E942="Evet",ROUND($C942*tbo_oranIlave,2)=$J942),"TBO-002",IF(AND($D942="Evet",ROUND($C942*tbo_oranBesPuan,2)=$J942),"TBO-001",IF(AND($F942="Evet",ROUND($C942*tbo_oranKadinGenc,2)=$J942),"TBO-004","TBO-ENG")))))</f>
        <v/>
      </c>
      <c r="J942" s="31">
        <f>IF($A942="","",MAX(IF($D942="Evet",ROUND($C942*tbo_oranBesPuan,2),0),IF($E942="Evet",ROUND($C942*tbo_oranIlave,2),0),IF($F942="Evet",ROUND($C942*tbo_oranKadinGenc,2),0),IF($G942="Evet",ROUND($C942*tbo_isverenOran,2),0)))</f>
        <v/>
      </c>
      <c r="K942" s="31">
        <f>IF($A942="","",IF($H942="TBO-001",IF($D942="Evet",ROUND($C942*tbo_oranBesPuan,2),0),IF($H942="TBO-002",IF($E942="Evet",ROUND($C942*tbo_oranIlave,2),0),IF($H942="TBO-004",IF($F942="Evet",ROUND($C942*tbo_oranKadinGenc,2),0),IF($H942="TBO-ENG",IF($G942="Evet",ROUND($C942*tbo_isverenOran,2),0),0)))))</f>
        <v/>
      </c>
      <c r="L942" s="31">
        <f>IF($A942="","",MAX(0,$J942-$K942))</f>
        <v/>
      </c>
    </row>
    <row r="943">
      <c r="I943" s="31">
        <f>IF($A943="","",IF($J943=0,"YOK",IF(AND($E943="Evet",ROUND($C943*tbo_oranIlave,2)=$J943),"TBO-002",IF(AND($D943="Evet",ROUND($C943*tbo_oranBesPuan,2)=$J943),"TBO-001",IF(AND($F943="Evet",ROUND($C943*tbo_oranKadinGenc,2)=$J943),"TBO-004","TBO-ENG")))))</f>
        <v/>
      </c>
      <c r="J943" s="31">
        <f>IF($A943="","",MAX(IF($D943="Evet",ROUND($C943*tbo_oranBesPuan,2),0),IF($E943="Evet",ROUND($C943*tbo_oranIlave,2),0),IF($F943="Evet",ROUND($C943*tbo_oranKadinGenc,2),0),IF($G943="Evet",ROUND($C943*tbo_isverenOran,2),0)))</f>
        <v/>
      </c>
      <c r="K943" s="31">
        <f>IF($A943="","",IF($H943="TBO-001",IF($D943="Evet",ROUND($C943*tbo_oranBesPuan,2),0),IF($H943="TBO-002",IF($E943="Evet",ROUND($C943*tbo_oranIlave,2),0),IF($H943="TBO-004",IF($F943="Evet",ROUND($C943*tbo_oranKadinGenc,2),0),IF($H943="TBO-ENG",IF($G943="Evet",ROUND($C943*tbo_isverenOran,2),0),0)))))</f>
        <v/>
      </c>
      <c r="L943" s="31">
        <f>IF($A943="","",MAX(0,$J943-$K943))</f>
        <v/>
      </c>
    </row>
    <row r="944">
      <c r="I944" s="31">
        <f>IF($A944="","",IF($J944=0,"YOK",IF(AND($E944="Evet",ROUND($C944*tbo_oranIlave,2)=$J944),"TBO-002",IF(AND($D944="Evet",ROUND($C944*tbo_oranBesPuan,2)=$J944),"TBO-001",IF(AND($F944="Evet",ROUND($C944*tbo_oranKadinGenc,2)=$J944),"TBO-004","TBO-ENG")))))</f>
        <v/>
      </c>
      <c r="J944" s="31">
        <f>IF($A944="","",MAX(IF($D944="Evet",ROUND($C944*tbo_oranBesPuan,2),0),IF($E944="Evet",ROUND($C944*tbo_oranIlave,2),0),IF($F944="Evet",ROUND($C944*tbo_oranKadinGenc,2),0),IF($G944="Evet",ROUND($C944*tbo_isverenOran,2),0)))</f>
        <v/>
      </c>
      <c r="K944" s="31">
        <f>IF($A944="","",IF($H944="TBO-001",IF($D944="Evet",ROUND($C944*tbo_oranBesPuan,2),0),IF($H944="TBO-002",IF($E944="Evet",ROUND($C944*tbo_oranIlave,2),0),IF($H944="TBO-004",IF($F944="Evet",ROUND($C944*tbo_oranKadinGenc,2),0),IF($H944="TBO-ENG",IF($G944="Evet",ROUND($C944*tbo_isverenOran,2),0),0)))))</f>
        <v/>
      </c>
      <c r="L944" s="31">
        <f>IF($A944="","",MAX(0,$J944-$K944))</f>
        <v/>
      </c>
    </row>
    <row r="945">
      <c r="I945" s="31">
        <f>IF($A945="","",IF($J945=0,"YOK",IF(AND($E945="Evet",ROUND($C945*tbo_oranIlave,2)=$J945),"TBO-002",IF(AND($D945="Evet",ROUND($C945*tbo_oranBesPuan,2)=$J945),"TBO-001",IF(AND($F945="Evet",ROUND($C945*tbo_oranKadinGenc,2)=$J945),"TBO-004","TBO-ENG")))))</f>
        <v/>
      </c>
      <c r="J945" s="31">
        <f>IF($A945="","",MAX(IF($D945="Evet",ROUND($C945*tbo_oranBesPuan,2),0),IF($E945="Evet",ROUND($C945*tbo_oranIlave,2),0),IF($F945="Evet",ROUND($C945*tbo_oranKadinGenc,2),0),IF($G945="Evet",ROUND($C945*tbo_isverenOran,2),0)))</f>
        <v/>
      </c>
      <c r="K945" s="31">
        <f>IF($A945="","",IF($H945="TBO-001",IF($D945="Evet",ROUND($C945*tbo_oranBesPuan,2),0),IF($H945="TBO-002",IF($E945="Evet",ROUND($C945*tbo_oranIlave,2),0),IF($H945="TBO-004",IF($F945="Evet",ROUND($C945*tbo_oranKadinGenc,2),0),IF($H945="TBO-ENG",IF($G945="Evet",ROUND($C945*tbo_isverenOran,2),0),0)))))</f>
        <v/>
      </c>
      <c r="L945" s="31">
        <f>IF($A945="","",MAX(0,$J945-$K945))</f>
        <v/>
      </c>
    </row>
    <row r="946">
      <c r="I946" s="31">
        <f>IF($A946="","",IF($J946=0,"YOK",IF(AND($E946="Evet",ROUND($C946*tbo_oranIlave,2)=$J946),"TBO-002",IF(AND($D946="Evet",ROUND($C946*tbo_oranBesPuan,2)=$J946),"TBO-001",IF(AND($F946="Evet",ROUND($C946*tbo_oranKadinGenc,2)=$J946),"TBO-004","TBO-ENG")))))</f>
        <v/>
      </c>
      <c r="J946" s="31">
        <f>IF($A946="","",MAX(IF($D946="Evet",ROUND($C946*tbo_oranBesPuan,2),0),IF($E946="Evet",ROUND($C946*tbo_oranIlave,2),0),IF($F946="Evet",ROUND($C946*tbo_oranKadinGenc,2),0),IF($G946="Evet",ROUND($C946*tbo_isverenOran,2),0)))</f>
        <v/>
      </c>
      <c r="K946" s="31">
        <f>IF($A946="","",IF($H946="TBO-001",IF($D946="Evet",ROUND($C946*tbo_oranBesPuan,2),0),IF($H946="TBO-002",IF($E946="Evet",ROUND($C946*tbo_oranIlave,2),0),IF($H946="TBO-004",IF($F946="Evet",ROUND($C946*tbo_oranKadinGenc,2),0),IF($H946="TBO-ENG",IF($G946="Evet",ROUND($C946*tbo_isverenOran,2),0),0)))))</f>
        <v/>
      </c>
      <c r="L946" s="31">
        <f>IF($A946="","",MAX(0,$J946-$K946))</f>
        <v/>
      </c>
    </row>
    <row r="947">
      <c r="I947" s="31">
        <f>IF($A947="","",IF($J947=0,"YOK",IF(AND($E947="Evet",ROUND($C947*tbo_oranIlave,2)=$J947),"TBO-002",IF(AND($D947="Evet",ROUND($C947*tbo_oranBesPuan,2)=$J947),"TBO-001",IF(AND($F947="Evet",ROUND($C947*tbo_oranKadinGenc,2)=$J947),"TBO-004","TBO-ENG")))))</f>
        <v/>
      </c>
      <c r="J947" s="31">
        <f>IF($A947="","",MAX(IF($D947="Evet",ROUND($C947*tbo_oranBesPuan,2),0),IF($E947="Evet",ROUND($C947*tbo_oranIlave,2),0),IF($F947="Evet",ROUND($C947*tbo_oranKadinGenc,2),0),IF($G947="Evet",ROUND($C947*tbo_isverenOran,2),0)))</f>
        <v/>
      </c>
      <c r="K947" s="31">
        <f>IF($A947="","",IF($H947="TBO-001",IF($D947="Evet",ROUND($C947*tbo_oranBesPuan,2),0),IF($H947="TBO-002",IF($E947="Evet",ROUND($C947*tbo_oranIlave,2),0),IF($H947="TBO-004",IF($F947="Evet",ROUND($C947*tbo_oranKadinGenc,2),0),IF($H947="TBO-ENG",IF($G947="Evet",ROUND($C947*tbo_isverenOran,2),0),0)))))</f>
        <v/>
      </c>
      <c r="L947" s="31">
        <f>IF($A947="","",MAX(0,$J947-$K947))</f>
        <v/>
      </c>
    </row>
    <row r="948">
      <c r="I948" s="31">
        <f>IF($A948="","",IF($J948=0,"YOK",IF(AND($E948="Evet",ROUND($C948*tbo_oranIlave,2)=$J948),"TBO-002",IF(AND($D948="Evet",ROUND($C948*tbo_oranBesPuan,2)=$J948),"TBO-001",IF(AND($F948="Evet",ROUND($C948*tbo_oranKadinGenc,2)=$J948),"TBO-004","TBO-ENG")))))</f>
        <v/>
      </c>
      <c r="J948" s="31">
        <f>IF($A948="","",MAX(IF($D948="Evet",ROUND($C948*tbo_oranBesPuan,2),0),IF($E948="Evet",ROUND($C948*tbo_oranIlave,2),0),IF($F948="Evet",ROUND($C948*tbo_oranKadinGenc,2),0),IF($G948="Evet",ROUND($C948*tbo_isverenOran,2),0)))</f>
        <v/>
      </c>
      <c r="K948" s="31">
        <f>IF($A948="","",IF($H948="TBO-001",IF($D948="Evet",ROUND($C948*tbo_oranBesPuan,2),0),IF($H948="TBO-002",IF($E948="Evet",ROUND($C948*tbo_oranIlave,2),0),IF($H948="TBO-004",IF($F948="Evet",ROUND($C948*tbo_oranKadinGenc,2),0),IF($H948="TBO-ENG",IF($G948="Evet",ROUND($C948*tbo_isverenOran,2),0),0)))))</f>
        <v/>
      </c>
      <c r="L948" s="31">
        <f>IF($A948="","",MAX(0,$J948-$K948))</f>
        <v/>
      </c>
    </row>
    <row r="949">
      <c r="I949" s="31">
        <f>IF($A949="","",IF($J949=0,"YOK",IF(AND($E949="Evet",ROUND($C949*tbo_oranIlave,2)=$J949),"TBO-002",IF(AND($D949="Evet",ROUND($C949*tbo_oranBesPuan,2)=$J949),"TBO-001",IF(AND($F949="Evet",ROUND($C949*tbo_oranKadinGenc,2)=$J949),"TBO-004","TBO-ENG")))))</f>
        <v/>
      </c>
      <c r="J949" s="31">
        <f>IF($A949="","",MAX(IF($D949="Evet",ROUND($C949*tbo_oranBesPuan,2),0),IF($E949="Evet",ROUND($C949*tbo_oranIlave,2),0),IF($F949="Evet",ROUND($C949*tbo_oranKadinGenc,2),0),IF($G949="Evet",ROUND($C949*tbo_isverenOran,2),0)))</f>
        <v/>
      </c>
      <c r="K949" s="31">
        <f>IF($A949="","",IF($H949="TBO-001",IF($D949="Evet",ROUND($C949*tbo_oranBesPuan,2),0),IF($H949="TBO-002",IF($E949="Evet",ROUND($C949*tbo_oranIlave,2),0),IF($H949="TBO-004",IF($F949="Evet",ROUND($C949*tbo_oranKadinGenc,2),0),IF($H949="TBO-ENG",IF($G949="Evet",ROUND($C949*tbo_isverenOran,2),0),0)))))</f>
        <v/>
      </c>
      <c r="L949" s="31">
        <f>IF($A949="","",MAX(0,$J949-$K949))</f>
        <v/>
      </c>
    </row>
    <row r="950">
      <c r="I950" s="31">
        <f>IF($A950="","",IF($J950=0,"YOK",IF(AND($E950="Evet",ROUND($C950*tbo_oranIlave,2)=$J950),"TBO-002",IF(AND($D950="Evet",ROUND($C950*tbo_oranBesPuan,2)=$J950),"TBO-001",IF(AND($F950="Evet",ROUND($C950*tbo_oranKadinGenc,2)=$J950),"TBO-004","TBO-ENG")))))</f>
        <v/>
      </c>
      <c r="J950" s="31">
        <f>IF($A950="","",MAX(IF($D950="Evet",ROUND($C950*tbo_oranBesPuan,2),0),IF($E950="Evet",ROUND($C950*tbo_oranIlave,2),0),IF($F950="Evet",ROUND($C950*tbo_oranKadinGenc,2),0),IF($G950="Evet",ROUND($C950*tbo_isverenOran,2),0)))</f>
        <v/>
      </c>
      <c r="K950" s="31">
        <f>IF($A950="","",IF($H950="TBO-001",IF($D950="Evet",ROUND($C950*tbo_oranBesPuan,2),0),IF($H950="TBO-002",IF($E950="Evet",ROUND($C950*tbo_oranIlave,2),0),IF($H950="TBO-004",IF($F950="Evet",ROUND($C950*tbo_oranKadinGenc,2),0),IF($H950="TBO-ENG",IF($G950="Evet",ROUND($C950*tbo_isverenOran,2),0),0)))))</f>
        <v/>
      </c>
      <c r="L950" s="31">
        <f>IF($A950="","",MAX(0,$J950-$K950))</f>
        <v/>
      </c>
    </row>
    <row r="951">
      <c r="I951" s="31">
        <f>IF($A951="","",IF($J951=0,"YOK",IF(AND($E951="Evet",ROUND($C951*tbo_oranIlave,2)=$J951),"TBO-002",IF(AND($D951="Evet",ROUND($C951*tbo_oranBesPuan,2)=$J951),"TBO-001",IF(AND($F951="Evet",ROUND($C951*tbo_oranKadinGenc,2)=$J951),"TBO-004","TBO-ENG")))))</f>
        <v/>
      </c>
      <c r="J951" s="31">
        <f>IF($A951="","",MAX(IF($D951="Evet",ROUND($C951*tbo_oranBesPuan,2),0),IF($E951="Evet",ROUND($C951*tbo_oranIlave,2),0),IF($F951="Evet",ROUND($C951*tbo_oranKadinGenc,2),0),IF($G951="Evet",ROUND($C951*tbo_isverenOran,2),0)))</f>
        <v/>
      </c>
      <c r="K951" s="31">
        <f>IF($A951="","",IF($H951="TBO-001",IF($D951="Evet",ROUND($C951*tbo_oranBesPuan,2),0),IF($H951="TBO-002",IF($E951="Evet",ROUND($C951*tbo_oranIlave,2),0),IF($H951="TBO-004",IF($F951="Evet",ROUND($C951*tbo_oranKadinGenc,2),0),IF($H951="TBO-ENG",IF($G951="Evet",ROUND($C951*tbo_isverenOran,2),0),0)))))</f>
        <v/>
      </c>
      <c r="L951" s="31">
        <f>IF($A951="","",MAX(0,$J951-$K951))</f>
        <v/>
      </c>
    </row>
    <row r="952">
      <c r="I952" s="31">
        <f>IF($A952="","",IF($J952=0,"YOK",IF(AND($E952="Evet",ROUND($C952*tbo_oranIlave,2)=$J952),"TBO-002",IF(AND($D952="Evet",ROUND($C952*tbo_oranBesPuan,2)=$J952),"TBO-001",IF(AND($F952="Evet",ROUND($C952*tbo_oranKadinGenc,2)=$J952),"TBO-004","TBO-ENG")))))</f>
        <v/>
      </c>
      <c r="J952" s="31">
        <f>IF($A952="","",MAX(IF($D952="Evet",ROUND($C952*tbo_oranBesPuan,2),0),IF($E952="Evet",ROUND($C952*tbo_oranIlave,2),0),IF($F952="Evet",ROUND($C952*tbo_oranKadinGenc,2),0),IF($G952="Evet",ROUND($C952*tbo_isverenOran,2),0)))</f>
        <v/>
      </c>
      <c r="K952" s="31">
        <f>IF($A952="","",IF($H952="TBO-001",IF($D952="Evet",ROUND($C952*tbo_oranBesPuan,2),0),IF($H952="TBO-002",IF($E952="Evet",ROUND($C952*tbo_oranIlave,2),0),IF($H952="TBO-004",IF($F952="Evet",ROUND($C952*tbo_oranKadinGenc,2),0),IF($H952="TBO-ENG",IF($G952="Evet",ROUND($C952*tbo_isverenOran,2),0),0)))))</f>
        <v/>
      </c>
      <c r="L952" s="31">
        <f>IF($A952="","",MAX(0,$J952-$K952))</f>
        <v/>
      </c>
    </row>
    <row r="953">
      <c r="I953" s="31">
        <f>IF($A953="","",IF($J953=0,"YOK",IF(AND($E953="Evet",ROUND($C953*tbo_oranIlave,2)=$J953),"TBO-002",IF(AND($D953="Evet",ROUND($C953*tbo_oranBesPuan,2)=$J953),"TBO-001",IF(AND($F953="Evet",ROUND($C953*tbo_oranKadinGenc,2)=$J953),"TBO-004","TBO-ENG")))))</f>
        <v/>
      </c>
      <c r="J953" s="31">
        <f>IF($A953="","",MAX(IF($D953="Evet",ROUND($C953*tbo_oranBesPuan,2),0),IF($E953="Evet",ROUND($C953*tbo_oranIlave,2),0),IF($F953="Evet",ROUND($C953*tbo_oranKadinGenc,2),0),IF($G953="Evet",ROUND($C953*tbo_isverenOran,2),0)))</f>
        <v/>
      </c>
      <c r="K953" s="31">
        <f>IF($A953="","",IF($H953="TBO-001",IF($D953="Evet",ROUND($C953*tbo_oranBesPuan,2),0),IF($H953="TBO-002",IF($E953="Evet",ROUND($C953*tbo_oranIlave,2),0),IF($H953="TBO-004",IF($F953="Evet",ROUND($C953*tbo_oranKadinGenc,2),0),IF($H953="TBO-ENG",IF($G953="Evet",ROUND($C953*tbo_isverenOran,2),0),0)))))</f>
        <v/>
      </c>
      <c r="L953" s="31">
        <f>IF($A953="","",MAX(0,$J953-$K953))</f>
        <v/>
      </c>
    </row>
    <row r="954">
      <c r="I954" s="31">
        <f>IF($A954="","",IF($J954=0,"YOK",IF(AND($E954="Evet",ROUND($C954*tbo_oranIlave,2)=$J954),"TBO-002",IF(AND($D954="Evet",ROUND($C954*tbo_oranBesPuan,2)=$J954),"TBO-001",IF(AND($F954="Evet",ROUND($C954*tbo_oranKadinGenc,2)=$J954),"TBO-004","TBO-ENG")))))</f>
        <v/>
      </c>
      <c r="J954" s="31">
        <f>IF($A954="","",MAX(IF($D954="Evet",ROUND($C954*tbo_oranBesPuan,2),0),IF($E954="Evet",ROUND($C954*tbo_oranIlave,2),0),IF($F954="Evet",ROUND($C954*tbo_oranKadinGenc,2),0),IF($G954="Evet",ROUND($C954*tbo_isverenOran,2),0)))</f>
        <v/>
      </c>
      <c r="K954" s="31">
        <f>IF($A954="","",IF($H954="TBO-001",IF($D954="Evet",ROUND($C954*tbo_oranBesPuan,2),0),IF($H954="TBO-002",IF($E954="Evet",ROUND($C954*tbo_oranIlave,2),0),IF($H954="TBO-004",IF($F954="Evet",ROUND($C954*tbo_oranKadinGenc,2),0),IF($H954="TBO-ENG",IF($G954="Evet",ROUND($C954*tbo_isverenOran,2),0),0)))))</f>
        <v/>
      </c>
      <c r="L954" s="31">
        <f>IF($A954="","",MAX(0,$J954-$K954))</f>
        <v/>
      </c>
    </row>
    <row r="955">
      <c r="I955" s="31">
        <f>IF($A955="","",IF($J955=0,"YOK",IF(AND($E955="Evet",ROUND($C955*tbo_oranIlave,2)=$J955),"TBO-002",IF(AND($D955="Evet",ROUND($C955*tbo_oranBesPuan,2)=$J955),"TBO-001",IF(AND($F955="Evet",ROUND($C955*tbo_oranKadinGenc,2)=$J955),"TBO-004","TBO-ENG")))))</f>
        <v/>
      </c>
      <c r="J955" s="31">
        <f>IF($A955="","",MAX(IF($D955="Evet",ROUND($C955*tbo_oranBesPuan,2),0),IF($E955="Evet",ROUND($C955*tbo_oranIlave,2),0),IF($F955="Evet",ROUND($C955*tbo_oranKadinGenc,2),0),IF($G955="Evet",ROUND($C955*tbo_isverenOran,2),0)))</f>
        <v/>
      </c>
      <c r="K955" s="31">
        <f>IF($A955="","",IF($H955="TBO-001",IF($D955="Evet",ROUND($C955*tbo_oranBesPuan,2),0),IF($H955="TBO-002",IF($E955="Evet",ROUND($C955*tbo_oranIlave,2),0),IF($H955="TBO-004",IF($F955="Evet",ROUND($C955*tbo_oranKadinGenc,2),0),IF($H955="TBO-ENG",IF($G955="Evet",ROUND($C955*tbo_isverenOran,2),0),0)))))</f>
        <v/>
      </c>
      <c r="L955" s="31">
        <f>IF($A955="","",MAX(0,$J955-$K955))</f>
        <v/>
      </c>
    </row>
    <row r="956">
      <c r="I956" s="31">
        <f>IF($A956="","",IF($J956=0,"YOK",IF(AND($E956="Evet",ROUND($C956*tbo_oranIlave,2)=$J956),"TBO-002",IF(AND($D956="Evet",ROUND($C956*tbo_oranBesPuan,2)=$J956),"TBO-001",IF(AND($F956="Evet",ROUND($C956*tbo_oranKadinGenc,2)=$J956),"TBO-004","TBO-ENG")))))</f>
        <v/>
      </c>
      <c r="J956" s="31">
        <f>IF($A956="","",MAX(IF($D956="Evet",ROUND($C956*tbo_oranBesPuan,2),0),IF($E956="Evet",ROUND($C956*tbo_oranIlave,2),0),IF($F956="Evet",ROUND($C956*tbo_oranKadinGenc,2),0),IF($G956="Evet",ROUND($C956*tbo_isverenOran,2),0)))</f>
        <v/>
      </c>
      <c r="K956" s="31">
        <f>IF($A956="","",IF($H956="TBO-001",IF($D956="Evet",ROUND($C956*tbo_oranBesPuan,2),0),IF($H956="TBO-002",IF($E956="Evet",ROUND($C956*tbo_oranIlave,2),0),IF($H956="TBO-004",IF($F956="Evet",ROUND($C956*tbo_oranKadinGenc,2),0),IF($H956="TBO-ENG",IF($G956="Evet",ROUND($C956*tbo_isverenOran,2),0),0)))))</f>
        <v/>
      </c>
      <c r="L956" s="31">
        <f>IF($A956="","",MAX(0,$J956-$K956))</f>
        <v/>
      </c>
    </row>
    <row r="957">
      <c r="I957" s="31">
        <f>IF($A957="","",IF($J957=0,"YOK",IF(AND($E957="Evet",ROUND($C957*tbo_oranIlave,2)=$J957),"TBO-002",IF(AND($D957="Evet",ROUND($C957*tbo_oranBesPuan,2)=$J957),"TBO-001",IF(AND($F957="Evet",ROUND($C957*tbo_oranKadinGenc,2)=$J957),"TBO-004","TBO-ENG")))))</f>
        <v/>
      </c>
      <c r="J957" s="31">
        <f>IF($A957="","",MAX(IF($D957="Evet",ROUND($C957*tbo_oranBesPuan,2),0),IF($E957="Evet",ROUND($C957*tbo_oranIlave,2),0),IF($F957="Evet",ROUND($C957*tbo_oranKadinGenc,2),0),IF($G957="Evet",ROUND($C957*tbo_isverenOran,2),0)))</f>
        <v/>
      </c>
      <c r="K957" s="31">
        <f>IF($A957="","",IF($H957="TBO-001",IF($D957="Evet",ROUND($C957*tbo_oranBesPuan,2),0),IF($H957="TBO-002",IF($E957="Evet",ROUND($C957*tbo_oranIlave,2),0),IF($H957="TBO-004",IF($F957="Evet",ROUND($C957*tbo_oranKadinGenc,2),0),IF($H957="TBO-ENG",IF($G957="Evet",ROUND($C957*tbo_isverenOran,2),0),0)))))</f>
        <v/>
      </c>
      <c r="L957" s="31">
        <f>IF($A957="","",MAX(0,$J957-$K957))</f>
        <v/>
      </c>
    </row>
    <row r="958">
      <c r="I958" s="31">
        <f>IF($A958="","",IF($J958=0,"YOK",IF(AND($E958="Evet",ROUND($C958*tbo_oranIlave,2)=$J958),"TBO-002",IF(AND($D958="Evet",ROUND($C958*tbo_oranBesPuan,2)=$J958),"TBO-001",IF(AND($F958="Evet",ROUND($C958*tbo_oranKadinGenc,2)=$J958),"TBO-004","TBO-ENG")))))</f>
        <v/>
      </c>
      <c r="J958" s="31">
        <f>IF($A958="","",MAX(IF($D958="Evet",ROUND($C958*tbo_oranBesPuan,2),0),IF($E958="Evet",ROUND($C958*tbo_oranIlave,2),0),IF($F958="Evet",ROUND($C958*tbo_oranKadinGenc,2),0),IF($G958="Evet",ROUND($C958*tbo_isverenOran,2),0)))</f>
        <v/>
      </c>
      <c r="K958" s="31">
        <f>IF($A958="","",IF($H958="TBO-001",IF($D958="Evet",ROUND($C958*tbo_oranBesPuan,2),0),IF($H958="TBO-002",IF($E958="Evet",ROUND($C958*tbo_oranIlave,2),0),IF($H958="TBO-004",IF($F958="Evet",ROUND($C958*tbo_oranKadinGenc,2),0),IF($H958="TBO-ENG",IF($G958="Evet",ROUND($C958*tbo_isverenOran,2),0),0)))))</f>
        <v/>
      </c>
      <c r="L958" s="31">
        <f>IF($A958="","",MAX(0,$J958-$K958))</f>
        <v/>
      </c>
    </row>
    <row r="959">
      <c r="I959" s="31">
        <f>IF($A959="","",IF($J959=0,"YOK",IF(AND($E959="Evet",ROUND($C959*tbo_oranIlave,2)=$J959),"TBO-002",IF(AND($D959="Evet",ROUND($C959*tbo_oranBesPuan,2)=$J959),"TBO-001",IF(AND($F959="Evet",ROUND($C959*tbo_oranKadinGenc,2)=$J959),"TBO-004","TBO-ENG")))))</f>
        <v/>
      </c>
      <c r="J959" s="31">
        <f>IF($A959="","",MAX(IF($D959="Evet",ROUND($C959*tbo_oranBesPuan,2),0),IF($E959="Evet",ROUND($C959*tbo_oranIlave,2),0),IF($F959="Evet",ROUND($C959*tbo_oranKadinGenc,2),0),IF($G959="Evet",ROUND($C959*tbo_isverenOran,2),0)))</f>
        <v/>
      </c>
      <c r="K959" s="31">
        <f>IF($A959="","",IF($H959="TBO-001",IF($D959="Evet",ROUND($C959*tbo_oranBesPuan,2),0),IF($H959="TBO-002",IF($E959="Evet",ROUND($C959*tbo_oranIlave,2),0),IF($H959="TBO-004",IF($F959="Evet",ROUND($C959*tbo_oranKadinGenc,2),0),IF($H959="TBO-ENG",IF($G959="Evet",ROUND($C959*tbo_isverenOran,2),0),0)))))</f>
        <v/>
      </c>
      <c r="L959" s="31">
        <f>IF($A959="","",MAX(0,$J959-$K959))</f>
        <v/>
      </c>
    </row>
    <row r="960">
      <c r="I960" s="31">
        <f>IF($A960="","",IF($J960=0,"YOK",IF(AND($E960="Evet",ROUND($C960*tbo_oranIlave,2)=$J960),"TBO-002",IF(AND($D960="Evet",ROUND($C960*tbo_oranBesPuan,2)=$J960),"TBO-001",IF(AND($F960="Evet",ROUND($C960*tbo_oranKadinGenc,2)=$J960),"TBO-004","TBO-ENG")))))</f>
        <v/>
      </c>
      <c r="J960" s="31">
        <f>IF($A960="","",MAX(IF($D960="Evet",ROUND($C960*tbo_oranBesPuan,2),0),IF($E960="Evet",ROUND($C960*tbo_oranIlave,2),0),IF($F960="Evet",ROUND($C960*tbo_oranKadinGenc,2),0),IF($G960="Evet",ROUND($C960*tbo_isverenOran,2),0)))</f>
        <v/>
      </c>
      <c r="K960" s="31">
        <f>IF($A960="","",IF($H960="TBO-001",IF($D960="Evet",ROUND($C960*tbo_oranBesPuan,2),0),IF($H960="TBO-002",IF($E960="Evet",ROUND($C960*tbo_oranIlave,2),0),IF($H960="TBO-004",IF($F960="Evet",ROUND($C960*tbo_oranKadinGenc,2),0),IF($H960="TBO-ENG",IF($G960="Evet",ROUND($C960*tbo_isverenOran,2),0),0)))))</f>
        <v/>
      </c>
      <c r="L960" s="31">
        <f>IF($A960="","",MAX(0,$J960-$K960))</f>
        <v/>
      </c>
    </row>
    <row r="961">
      <c r="I961" s="31">
        <f>IF($A961="","",IF($J961=0,"YOK",IF(AND($E961="Evet",ROUND($C961*tbo_oranIlave,2)=$J961),"TBO-002",IF(AND($D961="Evet",ROUND($C961*tbo_oranBesPuan,2)=$J961),"TBO-001",IF(AND($F961="Evet",ROUND($C961*tbo_oranKadinGenc,2)=$J961),"TBO-004","TBO-ENG")))))</f>
        <v/>
      </c>
      <c r="J961" s="31">
        <f>IF($A961="","",MAX(IF($D961="Evet",ROUND($C961*tbo_oranBesPuan,2),0),IF($E961="Evet",ROUND($C961*tbo_oranIlave,2),0),IF($F961="Evet",ROUND($C961*tbo_oranKadinGenc,2),0),IF($G961="Evet",ROUND($C961*tbo_isverenOran,2),0)))</f>
        <v/>
      </c>
      <c r="K961" s="31">
        <f>IF($A961="","",IF($H961="TBO-001",IF($D961="Evet",ROUND($C961*tbo_oranBesPuan,2),0),IF($H961="TBO-002",IF($E961="Evet",ROUND($C961*tbo_oranIlave,2),0),IF($H961="TBO-004",IF($F961="Evet",ROUND($C961*tbo_oranKadinGenc,2),0),IF($H961="TBO-ENG",IF($G961="Evet",ROUND($C961*tbo_isverenOran,2),0),0)))))</f>
        <v/>
      </c>
      <c r="L961" s="31">
        <f>IF($A961="","",MAX(0,$J961-$K961))</f>
        <v/>
      </c>
    </row>
    <row r="962">
      <c r="I962" s="31">
        <f>IF($A962="","",IF($J962=0,"YOK",IF(AND($E962="Evet",ROUND($C962*tbo_oranIlave,2)=$J962),"TBO-002",IF(AND($D962="Evet",ROUND($C962*tbo_oranBesPuan,2)=$J962),"TBO-001",IF(AND($F962="Evet",ROUND($C962*tbo_oranKadinGenc,2)=$J962),"TBO-004","TBO-ENG")))))</f>
        <v/>
      </c>
      <c r="J962" s="31">
        <f>IF($A962="","",MAX(IF($D962="Evet",ROUND($C962*tbo_oranBesPuan,2),0),IF($E962="Evet",ROUND($C962*tbo_oranIlave,2),0),IF($F962="Evet",ROUND($C962*tbo_oranKadinGenc,2),0),IF($G962="Evet",ROUND($C962*tbo_isverenOran,2),0)))</f>
        <v/>
      </c>
      <c r="K962" s="31">
        <f>IF($A962="","",IF($H962="TBO-001",IF($D962="Evet",ROUND($C962*tbo_oranBesPuan,2),0),IF($H962="TBO-002",IF($E962="Evet",ROUND($C962*tbo_oranIlave,2),0),IF($H962="TBO-004",IF($F962="Evet",ROUND($C962*tbo_oranKadinGenc,2),0),IF($H962="TBO-ENG",IF($G962="Evet",ROUND($C962*tbo_isverenOran,2),0),0)))))</f>
        <v/>
      </c>
      <c r="L962" s="31">
        <f>IF($A962="","",MAX(0,$J962-$K962))</f>
        <v/>
      </c>
    </row>
    <row r="963">
      <c r="I963" s="31">
        <f>IF($A963="","",IF($J963=0,"YOK",IF(AND($E963="Evet",ROUND($C963*tbo_oranIlave,2)=$J963),"TBO-002",IF(AND($D963="Evet",ROUND($C963*tbo_oranBesPuan,2)=$J963),"TBO-001",IF(AND($F963="Evet",ROUND($C963*tbo_oranKadinGenc,2)=$J963),"TBO-004","TBO-ENG")))))</f>
        <v/>
      </c>
      <c r="J963" s="31">
        <f>IF($A963="","",MAX(IF($D963="Evet",ROUND($C963*tbo_oranBesPuan,2),0),IF($E963="Evet",ROUND($C963*tbo_oranIlave,2),0),IF($F963="Evet",ROUND($C963*tbo_oranKadinGenc,2),0),IF($G963="Evet",ROUND($C963*tbo_isverenOran,2),0)))</f>
        <v/>
      </c>
      <c r="K963" s="31">
        <f>IF($A963="","",IF($H963="TBO-001",IF($D963="Evet",ROUND($C963*tbo_oranBesPuan,2),0),IF($H963="TBO-002",IF($E963="Evet",ROUND($C963*tbo_oranIlave,2),0),IF($H963="TBO-004",IF($F963="Evet",ROUND($C963*tbo_oranKadinGenc,2),0),IF($H963="TBO-ENG",IF($G963="Evet",ROUND($C963*tbo_isverenOran,2),0),0)))))</f>
        <v/>
      </c>
      <c r="L963" s="31">
        <f>IF($A963="","",MAX(0,$J963-$K963))</f>
        <v/>
      </c>
    </row>
    <row r="964">
      <c r="I964" s="31">
        <f>IF($A964="","",IF($J964=0,"YOK",IF(AND($E964="Evet",ROUND($C964*tbo_oranIlave,2)=$J964),"TBO-002",IF(AND($D964="Evet",ROUND($C964*tbo_oranBesPuan,2)=$J964),"TBO-001",IF(AND($F964="Evet",ROUND($C964*tbo_oranKadinGenc,2)=$J964),"TBO-004","TBO-ENG")))))</f>
        <v/>
      </c>
      <c r="J964" s="31">
        <f>IF($A964="","",MAX(IF($D964="Evet",ROUND($C964*tbo_oranBesPuan,2),0),IF($E964="Evet",ROUND($C964*tbo_oranIlave,2),0),IF($F964="Evet",ROUND($C964*tbo_oranKadinGenc,2),0),IF($G964="Evet",ROUND($C964*tbo_isverenOran,2),0)))</f>
        <v/>
      </c>
      <c r="K964" s="31">
        <f>IF($A964="","",IF($H964="TBO-001",IF($D964="Evet",ROUND($C964*tbo_oranBesPuan,2),0),IF($H964="TBO-002",IF($E964="Evet",ROUND($C964*tbo_oranIlave,2),0),IF($H964="TBO-004",IF($F964="Evet",ROUND($C964*tbo_oranKadinGenc,2),0),IF($H964="TBO-ENG",IF($G964="Evet",ROUND($C964*tbo_isverenOran,2),0),0)))))</f>
        <v/>
      </c>
      <c r="L964" s="31">
        <f>IF($A964="","",MAX(0,$J964-$K964))</f>
        <v/>
      </c>
    </row>
    <row r="965">
      <c r="I965" s="31">
        <f>IF($A965="","",IF($J965=0,"YOK",IF(AND($E965="Evet",ROUND($C965*tbo_oranIlave,2)=$J965),"TBO-002",IF(AND($D965="Evet",ROUND($C965*tbo_oranBesPuan,2)=$J965),"TBO-001",IF(AND($F965="Evet",ROUND($C965*tbo_oranKadinGenc,2)=$J965),"TBO-004","TBO-ENG")))))</f>
        <v/>
      </c>
      <c r="J965" s="31">
        <f>IF($A965="","",MAX(IF($D965="Evet",ROUND($C965*tbo_oranBesPuan,2),0),IF($E965="Evet",ROUND($C965*tbo_oranIlave,2),0),IF($F965="Evet",ROUND($C965*tbo_oranKadinGenc,2),0),IF($G965="Evet",ROUND($C965*tbo_isverenOran,2),0)))</f>
        <v/>
      </c>
      <c r="K965" s="31">
        <f>IF($A965="","",IF($H965="TBO-001",IF($D965="Evet",ROUND($C965*tbo_oranBesPuan,2),0),IF($H965="TBO-002",IF($E965="Evet",ROUND($C965*tbo_oranIlave,2),0),IF($H965="TBO-004",IF($F965="Evet",ROUND($C965*tbo_oranKadinGenc,2),0),IF($H965="TBO-ENG",IF($G965="Evet",ROUND($C965*tbo_isverenOran,2),0),0)))))</f>
        <v/>
      </c>
      <c r="L965" s="31">
        <f>IF($A965="","",MAX(0,$J965-$K965))</f>
        <v/>
      </c>
    </row>
    <row r="966">
      <c r="I966" s="31">
        <f>IF($A966="","",IF($J966=0,"YOK",IF(AND($E966="Evet",ROUND($C966*tbo_oranIlave,2)=$J966),"TBO-002",IF(AND($D966="Evet",ROUND($C966*tbo_oranBesPuan,2)=$J966),"TBO-001",IF(AND($F966="Evet",ROUND($C966*tbo_oranKadinGenc,2)=$J966),"TBO-004","TBO-ENG")))))</f>
        <v/>
      </c>
      <c r="J966" s="31">
        <f>IF($A966="","",MAX(IF($D966="Evet",ROUND($C966*tbo_oranBesPuan,2),0),IF($E966="Evet",ROUND($C966*tbo_oranIlave,2),0),IF($F966="Evet",ROUND($C966*tbo_oranKadinGenc,2),0),IF($G966="Evet",ROUND($C966*tbo_isverenOran,2),0)))</f>
        <v/>
      </c>
      <c r="K966" s="31">
        <f>IF($A966="","",IF($H966="TBO-001",IF($D966="Evet",ROUND($C966*tbo_oranBesPuan,2),0),IF($H966="TBO-002",IF($E966="Evet",ROUND($C966*tbo_oranIlave,2),0),IF($H966="TBO-004",IF($F966="Evet",ROUND($C966*tbo_oranKadinGenc,2),0),IF($H966="TBO-ENG",IF($G966="Evet",ROUND($C966*tbo_isverenOran,2),0),0)))))</f>
        <v/>
      </c>
      <c r="L966" s="31">
        <f>IF($A966="","",MAX(0,$J966-$K966))</f>
        <v/>
      </c>
    </row>
    <row r="967">
      <c r="I967" s="31">
        <f>IF($A967="","",IF($J967=0,"YOK",IF(AND($E967="Evet",ROUND($C967*tbo_oranIlave,2)=$J967),"TBO-002",IF(AND($D967="Evet",ROUND($C967*tbo_oranBesPuan,2)=$J967),"TBO-001",IF(AND($F967="Evet",ROUND($C967*tbo_oranKadinGenc,2)=$J967),"TBO-004","TBO-ENG")))))</f>
        <v/>
      </c>
      <c r="J967" s="31">
        <f>IF($A967="","",MAX(IF($D967="Evet",ROUND($C967*tbo_oranBesPuan,2),0),IF($E967="Evet",ROUND($C967*tbo_oranIlave,2),0),IF($F967="Evet",ROUND($C967*tbo_oranKadinGenc,2),0),IF($G967="Evet",ROUND($C967*tbo_isverenOran,2),0)))</f>
        <v/>
      </c>
      <c r="K967" s="31">
        <f>IF($A967="","",IF($H967="TBO-001",IF($D967="Evet",ROUND($C967*tbo_oranBesPuan,2),0),IF($H967="TBO-002",IF($E967="Evet",ROUND($C967*tbo_oranIlave,2),0),IF($H967="TBO-004",IF($F967="Evet",ROUND($C967*tbo_oranKadinGenc,2),0),IF($H967="TBO-ENG",IF($G967="Evet",ROUND($C967*tbo_isverenOran,2),0),0)))))</f>
        <v/>
      </c>
      <c r="L967" s="31">
        <f>IF($A967="","",MAX(0,$J967-$K967))</f>
        <v/>
      </c>
    </row>
    <row r="968">
      <c r="I968" s="31">
        <f>IF($A968="","",IF($J968=0,"YOK",IF(AND($E968="Evet",ROUND($C968*tbo_oranIlave,2)=$J968),"TBO-002",IF(AND($D968="Evet",ROUND($C968*tbo_oranBesPuan,2)=$J968),"TBO-001",IF(AND($F968="Evet",ROUND($C968*tbo_oranKadinGenc,2)=$J968),"TBO-004","TBO-ENG")))))</f>
        <v/>
      </c>
      <c r="J968" s="31">
        <f>IF($A968="","",MAX(IF($D968="Evet",ROUND($C968*tbo_oranBesPuan,2),0),IF($E968="Evet",ROUND($C968*tbo_oranIlave,2),0),IF($F968="Evet",ROUND($C968*tbo_oranKadinGenc,2),0),IF($G968="Evet",ROUND($C968*tbo_isverenOran,2),0)))</f>
        <v/>
      </c>
      <c r="K968" s="31">
        <f>IF($A968="","",IF($H968="TBO-001",IF($D968="Evet",ROUND($C968*tbo_oranBesPuan,2),0),IF($H968="TBO-002",IF($E968="Evet",ROUND($C968*tbo_oranIlave,2),0),IF($H968="TBO-004",IF($F968="Evet",ROUND($C968*tbo_oranKadinGenc,2),0),IF($H968="TBO-ENG",IF($G968="Evet",ROUND($C968*tbo_isverenOran,2),0),0)))))</f>
        <v/>
      </c>
      <c r="L968" s="31">
        <f>IF($A968="","",MAX(0,$J968-$K968))</f>
        <v/>
      </c>
    </row>
    <row r="969">
      <c r="I969" s="31">
        <f>IF($A969="","",IF($J969=0,"YOK",IF(AND($E969="Evet",ROUND($C969*tbo_oranIlave,2)=$J969),"TBO-002",IF(AND($D969="Evet",ROUND($C969*tbo_oranBesPuan,2)=$J969),"TBO-001",IF(AND($F969="Evet",ROUND($C969*tbo_oranKadinGenc,2)=$J969),"TBO-004","TBO-ENG")))))</f>
        <v/>
      </c>
      <c r="J969" s="31">
        <f>IF($A969="","",MAX(IF($D969="Evet",ROUND($C969*tbo_oranBesPuan,2),0),IF($E969="Evet",ROUND($C969*tbo_oranIlave,2),0),IF($F969="Evet",ROUND($C969*tbo_oranKadinGenc,2),0),IF($G969="Evet",ROUND($C969*tbo_isverenOran,2),0)))</f>
        <v/>
      </c>
      <c r="K969" s="31">
        <f>IF($A969="","",IF($H969="TBO-001",IF($D969="Evet",ROUND($C969*tbo_oranBesPuan,2),0),IF($H969="TBO-002",IF($E969="Evet",ROUND($C969*tbo_oranIlave,2),0),IF($H969="TBO-004",IF($F969="Evet",ROUND($C969*tbo_oranKadinGenc,2),0),IF($H969="TBO-ENG",IF($G969="Evet",ROUND($C969*tbo_isverenOran,2),0),0)))))</f>
        <v/>
      </c>
      <c r="L969" s="31">
        <f>IF($A969="","",MAX(0,$J969-$K969))</f>
        <v/>
      </c>
    </row>
    <row r="970">
      <c r="I970" s="31">
        <f>IF($A970="","",IF($J970=0,"YOK",IF(AND($E970="Evet",ROUND($C970*tbo_oranIlave,2)=$J970),"TBO-002",IF(AND($D970="Evet",ROUND($C970*tbo_oranBesPuan,2)=$J970),"TBO-001",IF(AND($F970="Evet",ROUND($C970*tbo_oranKadinGenc,2)=$J970),"TBO-004","TBO-ENG")))))</f>
        <v/>
      </c>
      <c r="J970" s="31">
        <f>IF($A970="","",MAX(IF($D970="Evet",ROUND($C970*tbo_oranBesPuan,2),0),IF($E970="Evet",ROUND($C970*tbo_oranIlave,2),0),IF($F970="Evet",ROUND($C970*tbo_oranKadinGenc,2),0),IF($G970="Evet",ROUND($C970*tbo_isverenOran,2),0)))</f>
        <v/>
      </c>
      <c r="K970" s="31">
        <f>IF($A970="","",IF($H970="TBO-001",IF($D970="Evet",ROUND($C970*tbo_oranBesPuan,2),0),IF($H970="TBO-002",IF($E970="Evet",ROUND($C970*tbo_oranIlave,2),0),IF($H970="TBO-004",IF($F970="Evet",ROUND($C970*tbo_oranKadinGenc,2),0),IF($H970="TBO-ENG",IF($G970="Evet",ROUND($C970*tbo_isverenOran,2),0),0)))))</f>
        <v/>
      </c>
      <c r="L970" s="31">
        <f>IF($A970="","",MAX(0,$J970-$K970))</f>
        <v/>
      </c>
    </row>
    <row r="971">
      <c r="I971" s="31">
        <f>IF($A971="","",IF($J971=0,"YOK",IF(AND($E971="Evet",ROUND($C971*tbo_oranIlave,2)=$J971),"TBO-002",IF(AND($D971="Evet",ROUND($C971*tbo_oranBesPuan,2)=$J971),"TBO-001",IF(AND($F971="Evet",ROUND($C971*tbo_oranKadinGenc,2)=$J971),"TBO-004","TBO-ENG")))))</f>
        <v/>
      </c>
      <c r="J971" s="31">
        <f>IF($A971="","",MAX(IF($D971="Evet",ROUND($C971*tbo_oranBesPuan,2),0),IF($E971="Evet",ROUND($C971*tbo_oranIlave,2),0),IF($F971="Evet",ROUND($C971*tbo_oranKadinGenc,2),0),IF($G971="Evet",ROUND($C971*tbo_isverenOran,2),0)))</f>
        <v/>
      </c>
      <c r="K971" s="31">
        <f>IF($A971="","",IF($H971="TBO-001",IF($D971="Evet",ROUND($C971*tbo_oranBesPuan,2),0),IF($H971="TBO-002",IF($E971="Evet",ROUND($C971*tbo_oranIlave,2),0),IF($H971="TBO-004",IF($F971="Evet",ROUND($C971*tbo_oranKadinGenc,2),0),IF($H971="TBO-ENG",IF($G971="Evet",ROUND($C971*tbo_isverenOran,2),0),0)))))</f>
        <v/>
      </c>
      <c r="L971" s="31">
        <f>IF($A971="","",MAX(0,$J971-$K971))</f>
        <v/>
      </c>
    </row>
    <row r="972">
      <c r="I972" s="31">
        <f>IF($A972="","",IF($J972=0,"YOK",IF(AND($E972="Evet",ROUND($C972*tbo_oranIlave,2)=$J972),"TBO-002",IF(AND($D972="Evet",ROUND($C972*tbo_oranBesPuan,2)=$J972),"TBO-001",IF(AND($F972="Evet",ROUND($C972*tbo_oranKadinGenc,2)=$J972),"TBO-004","TBO-ENG")))))</f>
        <v/>
      </c>
      <c r="J972" s="31">
        <f>IF($A972="","",MAX(IF($D972="Evet",ROUND($C972*tbo_oranBesPuan,2),0),IF($E972="Evet",ROUND($C972*tbo_oranIlave,2),0),IF($F972="Evet",ROUND($C972*tbo_oranKadinGenc,2),0),IF($G972="Evet",ROUND($C972*tbo_isverenOran,2),0)))</f>
        <v/>
      </c>
      <c r="K972" s="31">
        <f>IF($A972="","",IF($H972="TBO-001",IF($D972="Evet",ROUND($C972*tbo_oranBesPuan,2),0),IF($H972="TBO-002",IF($E972="Evet",ROUND($C972*tbo_oranIlave,2),0),IF($H972="TBO-004",IF($F972="Evet",ROUND($C972*tbo_oranKadinGenc,2),0),IF($H972="TBO-ENG",IF($G972="Evet",ROUND($C972*tbo_isverenOran,2),0),0)))))</f>
        <v/>
      </c>
      <c r="L972" s="31">
        <f>IF($A972="","",MAX(0,$J972-$K972))</f>
        <v/>
      </c>
    </row>
    <row r="973">
      <c r="I973" s="31">
        <f>IF($A973="","",IF($J973=0,"YOK",IF(AND($E973="Evet",ROUND($C973*tbo_oranIlave,2)=$J973),"TBO-002",IF(AND($D973="Evet",ROUND($C973*tbo_oranBesPuan,2)=$J973),"TBO-001",IF(AND($F973="Evet",ROUND($C973*tbo_oranKadinGenc,2)=$J973),"TBO-004","TBO-ENG")))))</f>
        <v/>
      </c>
      <c r="J973" s="31">
        <f>IF($A973="","",MAX(IF($D973="Evet",ROUND($C973*tbo_oranBesPuan,2),0),IF($E973="Evet",ROUND($C973*tbo_oranIlave,2),0),IF($F973="Evet",ROUND($C973*tbo_oranKadinGenc,2),0),IF($G973="Evet",ROUND($C973*tbo_isverenOran,2),0)))</f>
        <v/>
      </c>
      <c r="K973" s="31">
        <f>IF($A973="","",IF($H973="TBO-001",IF($D973="Evet",ROUND($C973*tbo_oranBesPuan,2),0),IF($H973="TBO-002",IF($E973="Evet",ROUND($C973*tbo_oranIlave,2),0),IF($H973="TBO-004",IF($F973="Evet",ROUND($C973*tbo_oranKadinGenc,2),0),IF($H973="TBO-ENG",IF($G973="Evet",ROUND($C973*tbo_isverenOran,2),0),0)))))</f>
        <v/>
      </c>
      <c r="L973" s="31">
        <f>IF($A973="","",MAX(0,$J973-$K973))</f>
        <v/>
      </c>
    </row>
    <row r="974">
      <c r="I974" s="31">
        <f>IF($A974="","",IF($J974=0,"YOK",IF(AND($E974="Evet",ROUND($C974*tbo_oranIlave,2)=$J974),"TBO-002",IF(AND($D974="Evet",ROUND($C974*tbo_oranBesPuan,2)=$J974),"TBO-001",IF(AND($F974="Evet",ROUND($C974*tbo_oranKadinGenc,2)=$J974),"TBO-004","TBO-ENG")))))</f>
        <v/>
      </c>
      <c r="J974" s="31">
        <f>IF($A974="","",MAX(IF($D974="Evet",ROUND($C974*tbo_oranBesPuan,2),0),IF($E974="Evet",ROUND($C974*tbo_oranIlave,2),0),IF($F974="Evet",ROUND($C974*tbo_oranKadinGenc,2),0),IF($G974="Evet",ROUND($C974*tbo_isverenOran,2),0)))</f>
        <v/>
      </c>
      <c r="K974" s="31">
        <f>IF($A974="","",IF($H974="TBO-001",IF($D974="Evet",ROUND($C974*tbo_oranBesPuan,2),0),IF($H974="TBO-002",IF($E974="Evet",ROUND($C974*tbo_oranIlave,2),0),IF($H974="TBO-004",IF($F974="Evet",ROUND($C974*tbo_oranKadinGenc,2),0),IF($H974="TBO-ENG",IF($G974="Evet",ROUND($C974*tbo_isverenOran,2),0),0)))))</f>
        <v/>
      </c>
      <c r="L974" s="31">
        <f>IF($A974="","",MAX(0,$J974-$K974))</f>
        <v/>
      </c>
    </row>
    <row r="975">
      <c r="I975" s="31">
        <f>IF($A975="","",IF($J975=0,"YOK",IF(AND($E975="Evet",ROUND($C975*tbo_oranIlave,2)=$J975),"TBO-002",IF(AND($D975="Evet",ROUND($C975*tbo_oranBesPuan,2)=$J975),"TBO-001",IF(AND($F975="Evet",ROUND($C975*tbo_oranKadinGenc,2)=$J975),"TBO-004","TBO-ENG")))))</f>
        <v/>
      </c>
      <c r="J975" s="31">
        <f>IF($A975="","",MAX(IF($D975="Evet",ROUND($C975*tbo_oranBesPuan,2),0),IF($E975="Evet",ROUND($C975*tbo_oranIlave,2),0),IF($F975="Evet",ROUND($C975*tbo_oranKadinGenc,2),0),IF($G975="Evet",ROUND($C975*tbo_isverenOran,2),0)))</f>
        <v/>
      </c>
      <c r="K975" s="31">
        <f>IF($A975="","",IF($H975="TBO-001",IF($D975="Evet",ROUND($C975*tbo_oranBesPuan,2),0),IF($H975="TBO-002",IF($E975="Evet",ROUND($C975*tbo_oranIlave,2),0),IF($H975="TBO-004",IF($F975="Evet",ROUND($C975*tbo_oranKadinGenc,2),0),IF($H975="TBO-ENG",IF($G975="Evet",ROUND($C975*tbo_isverenOran,2),0),0)))))</f>
        <v/>
      </c>
      <c r="L975" s="31">
        <f>IF($A975="","",MAX(0,$J975-$K975))</f>
        <v/>
      </c>
    </row>
    <row r="976">
      <c r="I976" s="31">
        <f>IF($A976="","",IF($J976=0,"YOK",IF(AND($E976="Evet",ROUND($C976*tbo_oranIlave,2)=$J976),"TBO-002",IF(AND($D976="Evet",ROUND($C976*tbo_oranBesPuan,2)=$J976),"TBO-001",IF(AND($F976="Evet",ROUND($C976*tbo_oranKadinGenc,2)=$J976),"TBO-004","TBO-ENG")))))</f>
        <v/>
      </c>
      <c r="J976" s="31">
        <f>IF($A976="","",MAX(IF($D976="Evet",ROUND($C976*tbo_oranBesPuan,2),0),IF($E976="Evet",ROUND($C976*tbo_oranIlave,2),0),IF($F976="Evet",ROUND($C976*tbo_oranKadinGenc,2),0),IF($G976="Evet",ROUND($C976*tbo_isverenOran,2),0)))</f>
        <v/>
      </c>
      <c r="K976" s="31">
        <f>IF($A976="","",IF($H976="TBO-001",IF($D976="Evet",ROUND($C976*tbo_oranBesPuan,2),0),IF($H976="TBO-002",IF($E976="Evet",ROUND($C976*tbo_oranIlave,2),0),IF($H976="TBO-004",IF($F976="Evet",ROUND($C976*tbo_oranKadinGenc,2),0),IF($H976="TBO-ENG",IF($G976="Evet",ROUND($C976*tbo_isverenOran,2),0),0)))))</f>
        <v/>
      </c>
      <c r="L976" s="31">
        <f>IF($A976="","",MAX(0,$J976-$K976))</f>
        <v/>
      </c>
    </row>
    <row r="977">
      <c r="I977" s="31">
        <f>IF($A977="","",IF($J977=0,"YOK",IF(AND($E977="Evet",ROUND($C977*tbo_oranIlave,2)=$J977),"TBO-002",IF(AND($D977="Evet",ROUND($C977*tbo_oranBesPuan,2)=$J977),"TBO-001",IF(AND($F977="Evet",ROUND($C977*tbo_oranKadinGenc,2)=$J977),"TBO-004","TBO-ENG")))))</f>
        <v/>
      </c>
      <c r="J977" s="31">
        <f>IF($A977="","",MAX(IF($D977="Evet",ROUND($C977*tbo_oranBesPuan,2),0),IF($E977="Evet",ROUND($C977*tbo_oranIlave,2),0),IF($F977="Evet",ROUND($C977*tbo_oranKadinGenc,2),0),IF($G977="Evet",ROUND($C977*tbo_isverenOran,2),0)))</f>
        <v/>
      </c>
      <c r="K977" s="31">
        <f>IF($A977="","",IF($H977="TBO-001",IF($D977="Evet",ROUND($C977*tbo_oranBesPuan,2),0),IF($H977="TBO-002",IF($E977="Evet",ROUND($C977*tbo_oranIlave,2),0),IF($H977="TBO-004",IF($F977="Evet",ROUND($C977*tbo_oranKadinGenc,2),0),IF($H977="TBO-ENG",IF($G977="Evet",ROUND($C977*tbo_isverenOran,2),0),0)))))</f>
        <v/>
      </c>
      <c r="L977" s="31">
        <f>IF($A977="","",MAX(0,$J977-$K977))</f>
        <v/>
      </c>
    </row>
    <row r="978">
      <c r="I978" s="31">
        <f>IF($A978="","",IF($J978=0,"YOK",IF(AND($E978="Evet",ROUND($C978*tbo_oranIlave,2)=$J978),"TBO-002",IF(AND($D978="Evet",ROUND($C978*tbo_oranBesPuan,2)=$J978),"TBO-001",IF(AND($F978="Evet",ROUND($C978*tbo_oranKadinGenc,2)=$J978),"TBO-004","TBO-ENG")))))</f>
        <v/>
      </c>
      <c r="J978" s="31">
        <f>IF($A978="","",MAX(IF($D978="Evet",ROUND($C978*tbo_oranBesPuan,2),0),IF($E978="Evet",ROUND($C978*tbo_oranIlave,2),0),IF($F978="Evet",ROUND($C978*tbo_oranKadinGenc,2),0),IF($G978="Evet",ROUND($C978*tbo_isverenOran,2),0)))</f>
        <v/>
      </c>
      <c r="K978" s="31">
        <f>IF($A978="","",IF($H978="TBO-001",IF($D978="Evet",ROUND($C978*tbo_oranBesPuan,2),0),IF($H978="TBO-002",IF($E978="Evet",ROUND($C978*tbo_oranIlave,2),0),IF($H978="TBO-004",IF($F978="Evet",ROUND($C978*tbo_oranKadinGenc,2),0),IF($H978="TBO-ENG",IF($G978="Evet",ROUND($C978*tbo_isverenOran,2),0),0)))))</f>
        <v/>
      </c>
      <c r="L978" s="31">
        <f>IF($A978="","",MAX(0,$J978-$K978))</f>
        <v/>
      </c>
    </row>
    <row r="979">
      <c r="I979" s="31">
        <f>IF($A979="","",IF($J979=0,"YOK",IF(AND($E979="Evet",ROUND($C979*tbo_oranIlave,2)=$J979),"TBO-002",IF(AND($D979="Evet",ROUND($C979*tbo_oranBesPuan,2)=$J979),"TBO-001",IF(AND($F979="Evet",ROUND($C979*tbo_oranKadinGenc,2)=$J979),"TBO-004","TBO-ENG")))))</f>
        <v/>
      </c>
      <c r="J979" s="31">
        <f>IF($A979="","",MAX(IF($D979="Evet",ROUND($C979*tbo_oranBesPuan,2),0),IF($E979="Evet",ROUND($C979*tbo_oranIlave,2),0),IF($F979="Evet",ROUND($C979*tbo_oranKadinGenc,2),0),IF($G979="Evet",ROUND($C979*tbo_isverenOran,2),0)))</f>
        <v/>
      </c>
      <c r="K979" s="31">
        <f>IF($A979="","",IF($H979="TBO-001",IF($D979="Evet",ROUND($C979*tbo_oranBesPuan,2),0),IF($H979="TBO-002",IF($E979="Evet",ROUND($C979*tbo_oranIlave,2),0),IF($H979="TBO-004",IF($F979="Evet",ROUND($C979*tbo_oranKadinGenc,2),0),IF($H979="TBO-ENG",IF($G979="Evet",ROUND($C979*tbo_isverenOran,2),0),0)))))</f>
        <v/>
      </c>
      <c r="L979" s="31">
        <f>IF($A979="","",MAX(0,$J979-$K979))</f>
        <v/>
      </c>
    </row>
    <row r="980">
      <c r="I980" s="31">
        <f>IF($A980="","",IF($J980=0,"YOK",IF(AND($E980="Evet",ROUND($C980*tbo_oranIlave,2)=$J980),"TBO-002",IF(AND($D980="Evet",ROUND($C980*tbo_oranBesPuan,2)=$J980),"TBO-001",IF(AND($F980="Evet",ROUND($C980*tbo_oranKadinGenc,2)=$J980),"TBO-004","TBO-ENG")))))</f>
        <v/>
      </c>
      <c r="J980" s="31">
        <f>IF($A980="","",MAX(IF($D980="Evet",ROUND($C980*tbo_oranBesPuan,2),0),IF($E980="Evet",ROUND($C980*tbo_oranIlave,2),0),IF($F980="Evet",ROUND($C980*tbo_oranKadinGenc,2),0),IF($G980="Evet",ROUND($C980*tbo_isverenOran,2),0)))</f>
        <v/>
      </c>
      <c r="K980" s="31">
        <f>IF($A980="","",IF($H980="TBO-001",IF($D980="Evet",ROUND($C980*tbo_oranBesPuan,2),0),IF($H980="TBO-002",IF($E980="Evet",ROUND($C980*tbo_oranIlave,2),0),IF($H980="TBO-004",IF($F980="Evet",ROUND($C980*tbo_oranKadinGenc,2),0),IF($H980="TBO-ENG",IF($G980="Evet",ROUND($C980*tbo_isverenOran,2),0),0)))))</f>
        <v/>
      </c>
      <c r="L980" s="31">
        <f>IF($A980="","",MAX(0,$J980-$K980))</f>
        <v/>
      </c>
    </row>
    <row r="981">
      <c r="I981" s="31">
        <f>IF($A981="","",IF($J981=0,"YOK",IF(AND($E981="Evet",ROUND($C981*tbo_oranIlave,2)=$J981),"TBO-002",IF(AND($D981="Evet",ROUND($C981*tbo_oranBesPuan,2)=$J981),"TBO-001",IF(AND($F981="Evet",ROUND($C981*tbo_oranKadinGenc,2)=$J981),"TBO-004","TBO-ENG")))))</f>
        <v/>
      </c>
      <c r="J981" s="31">
        <f>IF($A981="","",MAX(IF($D981="Evet",ROUND($C981*tbo_oranBesPuan,2),0),IF($E981="Evet",ROUND($C981*tbo_oranIlave,2),0),IF($F981="Evet",ROUND($C981*tbo_oranKadinGenc,2),0),IF($G981="Evet",ROUND($C981*tbo_isverenOran,2),0)))</f>
        <v/>
      </c>
      <c r="K981" s="31">
        <f>IF($A981="","",IF($H981="TBO-001",IF($D981="Evet",ROUND($C981*tbo_oranBesPuan,2),0),IF($H981="TBO-002",IF($E981="Evet",ROUND($C981*tbo_oranIlave,2),0),IF($H981="TBO-004",IF($F981="Evet",ROUND($C981*tbo_oranKadinGenc,2),0),IF($H981="TBO-ENG",IF($G981="Evet",ROUND($C981*tbo_isverenOran,2),0),0)))))</f>
        <v/>
      </c>
      <c r="L981" s="31">
        <f>IF($A981="","",MAX(0,$J981-$K981))</f>
        <v/>
      </c>
    </row>
    <row r="982">
      <c r="I982" s="31">
        <f>IF($A982="","",IF($J982=0,"YOK",IF(AND($E982="Evet",ROUND($C982*tbo_oranIlave,2)=$J982),"TBO-002",IF(AND($D982="Evet",ROUND($C982*tbo_oranBesPuan,2)=$J982),"TBO-001",IF(AND($F982="Evet",ROUND($C982*tbo_oranKadinGenc,2)=$J982),"TBO-004","TBO-ENG")))))</f>
        <v/>
      </c>
      <c r="J982" s="31">
        <f>IF($A982="","",MAX(IF($D982="Evet",ROUND($C982*tbo_oranBesPuan,2),0),IF($E982="Evet",ROUND($C982*tbo_oranIlave,2),0),IF($F982="Evet",ROUND($C982*tbo_oranKadinGenc,2),0),IF($G982="Evet",ROUND($C982*tbo_isverenOran,2),0)))</f>
        <v/>
      </c>
      <c r="K982" s="31">
        <f>IF($A982="","",IF($H982="TBO-001",IF($D982="Evet",ROUND($C982*tbo_oranBesPuan,2),0),IF($H982="TBO-002",IF($E982="Evet",ROUND($C982*tbo_oranIlave,2),0),IF($H982="TBO-004",IF($F982="Evet",ROUND($C982*tbo_oranKadinGenc,2),0),IF($H982="TBO-ENG",IF($G982="Evet",ROUND($C982*tbo_isverenOran,2),0),0)))))</f>
        <v/>
      </c>
      <c r="L982" s="31">
        <f>IF($A982="","",MAX(0,$J982-$K982))</f>
        <v/>
      </c>
    </row>
    <row r="983">
      <c r="I983" s="31">
        <f>IF($A983="","",IF($J983=0,"YOK",IF(AND($E983="Evet",ROUND($C983*tbo_oranIlave,2)=$J983),"TBO-002",IF(AND($D983="Evet",ROUND($C983*tbo_oranBesPuan,2)=$J983),"TBO-001",IF(AND($F983="Evet",ROUND($C983*tbo_oranKadinGenc,2)=$J983),"TBO-004","TBO-ENG")))))</f>
        <v/>
      </c>
      <c r="J983" s="31">
        <f>IF($A983="","",MAX(IF($D983="Evet",ROUND($C983*tbo_oranBesPuan,2),0),IF($E983="Evet",ROUND($C983*tbo_oranIlave,2),0),IF($F983="Evet",ROUND($C983*tbo_oranKadinGenc,2),0),IF($G983="Evet",ROUND($C983*tbo_isverenOran,2),0)))</f>
        <v/>
      </c>
      <c r="K983" s="31">
        <f>IF($A983="","",IF($H983="TBO-001",IF($D983="Evet",ROUND($C983*tbo_oranBesPuan,2),0),IF($H983="TBO-002",IF($E983="Evet",ROUND($C983*tbo_oranIlave,2),0),IF($H983="TBO-004",IF($F983="Evet",ROUND($C983*tbo_oranKadinGenc,2),0),IF($H983="TBO-ENG",IF($G983="Evet",ROUND($C983*tbo_isverenOran,2),0),0)))))</f>
        <v/>
      </c>
      <c r="L983" s="31">
        <f>IF($A983="","",MAX(0,$J983-$K983))</f>
        <v/>
      </c>
    </row>
    <row r="984">
      <c r="I984" s="31">
        <f>IF($A984="","",IF($J984=0,"YOK",IF(AND($E984="Evet",ROUND($C984*tbo_oranIlave,2)=$J984),"TBO-002",IF(AND($D984="Evet",ROUND($C984*tbo_oranBesPuan,2)=$J984),"TBO-001",IF(AND($F984="Evet",ROUND($C984*tbo_oranKadinGenc,2)=$J984),"TBO-004","TBO-ENG")))))</f>
        <v/>
      </c>
      <c r="J984" s="31">
        <f>IF($A984="","",MAX(IF($D984="Evet",ROUND($C984*tbo_oranBesPuan,2),0),IF($E984="Evet",ROUND($C984*tbo_oranIlave,2),0),IF($F984="Evet",ROUND($C984*tbo_oranKadinGenc,2),0),IF($G984="Evet",ROUND($C984*tbo_isverenOran,2),0)))</f>
        <v/>
      </c>
      <c r="K984" s="31">
        <f>IF($A984="","",IF($H984="TBO-001",IF($D984="Evet",ROUND($C984*tbo_oranBesPuan,2),0),IF($H984="TBO-002",IF($E984="Evet",ROUND($C984*tbo_oranIlave,2),0),IF($H984="TBO-004",IF($F984="Evet",ROUND($C984*tbo_oranKadinGenc,2),0),IF($H984="TBO-ENG",IF($G984="Evet",ROUND($C984*tbo_isverenOran,2),0),0)))))</f>
        <v/>
      </c>
      <c r="L984" s="31">
        <f>IF($A984="","",MAX(0,$J984-$K984))</f>
        <v/>
      </c>
    </row>
    <row r="985">
      <c r="I985" s="31">
        <f>IF($A985="","",IF($J985=0,"YOK",IF(AND($E985="Evet",ROUND($C985*tbo_oranIlave,2)=$J985),"TBO-002",IF(AND($D985="Evet",ROUND($C985*tbo_oranBesPuan,2)=$J985),"TBO-001",IF(AND($F985="Evet",ROUND($C985*tbo_oranKadinGenc,2)=$J985),"TBO-004","TBO-ENG")))))</f>
        <v/>
      </c>
      <c r="J985" s="31">
        <f>IF($A985="","",MAX(IF($D985="Evet",ROUND($C985*tbo_oranBesPuan,2),0),IF($E985="Evet",ROUND($C985*tbo_oranIlave,2),0),IF($F985="Evet",ROUND($C985*tbo_oranKadinGenc,2),0),IF($G985="Evet",ROUND($C985*tbo_isverenOran,2),0)))</f>
        <v/>
      </c>
      <c r="K985" s="31">
        <f>IF($A985="","",IF($H985="TBO-001",IF($D985="Evet",ROUND($C985*tbo_oranBesPuan,2),0),IF($H985="TBO-002",IF($E985="Evet",ROUND($C985*tbo_oranIlave,2),0),IF($H985="TBO-004",IF($F985="Evet",ROUND($C985*tbo_oranKadinGenc,2),0),IF($H985="TBO-ENG",IF($G985="Evet",ROUND($C985*tbo_isverenOran,2),0),0)))))</f>
        <v/>
      </c>
      <c r="L985" s="31">
        <f>IF($A985="","",MAX(0,$J985-$K985))</f>
        <v/>
      </c>
    </row>
    <row r="986">
      <c r="I986" s="31">
        <f>IF($A986="","",IF($J986=0,"YOK",IF(AND($E986="Evet",ROUND($C986*tbo_oranIlave,2)=$J986),"TBO-002",IF(AND($D986="Evet",ROUND($C986*tbo_oranBesPuan,2)=$J986),"TBO-001",IF(AND($F986="Evet",ROUND($C986*tbo_oranKadinGenc,2)=$J986),"TBO-004","TBO-ENG")))))</f>
        <v/>
      </c>
      <c r="J986" s="31">
        <f>IF($A986="","",MAX(IF($D986="Evet",ROUND($C986*tbo_oranBesPuan,2),0),IF($E986="Evet",ROUND($C986*tbo_oranIlave,2),0),IF($F986="Evet",ROUND($C986*tbo_oranKadinGenc,2),0),IF($G986="Evet",ROUND($C986*tbo_isverenOran,2),0)))</f>
        <v/>
      </c>
      <c r="K986" s="31">
        <f>IF($A986="","",IF($H986="TBO-001",IF($D986="Evet",ROUND($C986*tbo_oranBesPuan,2),0),IF($H986="TBO-002",IF($E986="Evet",ROUND($C986*tbo_oranIlave,2),0),IF($H986="TBO-004",IF($F986="Evet",ROUND($C986*tbo_oranKadinGenc,2),0),IF($H986="TBO-ENG",IF($G986="Evet",ROUND($C986*tbo_isverenOran,2),0),0)))))</f>
        <v/>
      </c>
      <c r="L986" s="31">
        <f>IF($A986="","",MAX(0,$J986-$K986))</f>
        <v/>
      </c>
    </row>
    <row r="987">
      <c r="I987" s="31">
        <f>IF($A987="","",IF($J987=0,"YOK",IF(AND($E987="Evet",ROUND($C987*tbo_oranIlave,2)=$J987),"TBO-002",IF(AND($D987="Evet",ROUND($C987*tbo_oranBesPuan,2)=$J987),"TBO-001",IF(AND($F987="Evet",ROUND($C987*tbo_oranKadinGenc,2)=$J987),"TBO-004","TBO-ENG")))))</f>
        <v/>
      </c>
      <c r="J987" s="31">
        <f>IF($A987="","",MAX(IF($D987="Evet",ROUND($C987*tbo_oranBesPuan,2),0),IF($E987="Evet",ROUND($C987*tbo_oranIlave,2),0),IF($F987="Evet",ROUND($C987*tbo_oranKadinGenc,2),0),IF($G987="Evet",ROUND($C987*tbo_isverenOran,2),0)))</f>
        <v/>
      </c>
      <c r="K987" s="31">
        <f>IF($A987="","",IF($H987="TBO-001",IF($D987="Evet",ROUND($C987*tbo_oranBesPuan,2),0),IF($H987="TBO-002",IF($E987="Evet",ROUND($C987*tbo_oranIlave,2),0),IF($H987="TBO-004",IF($F987="Evet",ROUND($C987*tbo_oranKadinGenc,2),0),IF($H987="TBO-ENG",IF($G987="Evet",ROUND($C987*tbo_isverenOran,2),0),0)))))</f>
        <v/>
      </c>
      <c r="L987" s="31">
        <f>IF($A987="","",MAX(0,$J987-$K987))</f>
        <v/>
      </c>
    </row>
    <row r="988">
      <c r="I988" s="31">
        <f>IF($A988="","",IF($J988=0,"YOK",IF(AND($E988="Evet",ROUND($C988*tbo_oranIlave,2)=$J988),"TBO-002",IF(AND($D988="Evet",ROUND($C988*tbo_oranBesPuan,2)=$J988),"TBO-001",IF(AND($F988="Evet",ROUND($C988*tbo_oranKadinGenc,2)=$J988),"TBO-004","TBO-ENG")))))</f>
        <v/>
      </c>
      <c r="J988" s="31">
        <f>IF($A988="","",MAX(IF($D988="Evet",ROUND($C988*tbo_oranBesPuan,2),0),IF($E988="Evet",ROUND($C988*tbo_oranIlave,2),0),IF($F988="Evet",ROUND($C988*tbo_oranKadinGenc,2),0),IF($G988="Evet",ROUND($C988*tbo_isverenOran,2),0)))</f>
        <v/>
      </c>
      <c r="K988" s="31">
        <f>IF($A988="","",IF($H988="TBO-001",IF($D988="Evet",ROUND($C988*tbo_oranBesPuan,2),0),IF($H988="TBO-002",IF($E988="Evet",ROUND($C988*tbo_oranIlave,2),0),IF($H988="TBO-004",IF($F988="Evet",ROUND($C988*tbo_oranKadinGenc,2),0),IF($H988="TBO-ENG",IF($G988="Evet",ROUND($C988*tbo_isverenOran,2),0),0)))))</f>
        <v/>
      </c>
      <c r="L988" s="31">
        <f>IF($A988="","",MAX(0,$J988-$K988))</f>
        <v/>
      </c>
    </row>
    <row r="989">
      <c r="I989" s="31">
        <f>IF($A989="","",IF($J989=0,"YOK",IF(AND($E989="Evet",ROUND($C989*tbo_oranIlave,2)=$J989),"TBO-002",IF(AND($D989="Evet",ROUND($C989*tbo_oranBesPuan,2)=$J989),"TBO-001",IF(AND($F989="Evet",ROUND($C989*tbo_oranKadinGenc,2)=$J989),"TBO-004","TBO-ENG")))))</f>
        <v/>
      </c>
      <c r="J989" s="31">
        <f>IF($A989="","",MAX(IF($D989="Evet",ROUND($C989*tbo_oranBesPuan,2),0),IF($E989="Evet",ROUND($C989*tbo_oranIlave,2),0),IF($F989="Evet",ROUND($C989*tbo_oranKadinGenc,2),0),IF($G989="Evet",ROUND($C989*tbo_isverenOran,2),0)))</f>
        <v/>
      </c>
      <c r="K989" s="31">
        <f>IF($A989="","",IF($H989="TBO-001",IF($D989="Evet",ROUND($C989*tbo_oranBesPuan,2),0),IF($H989="TBO-002",IF($E989="Evet",ROUND($C989*tbo_oranIlave,2),0),IF($H989="TBO-004",IF($F989="Evet",ROUND($C989*tbo_oranKadinGenc,2),0),IF($H989="TBO-ENG",IF($G989="Evet",ROUND($C989*tbo_isverenOran,2),0),0)))))</f>
        <v/>
      </c>
      <c r="L989" s="31">
        <f>IF($A989="","",MAX(0,$J989-$K989))</f>
        <v/>
      </c>
    </row>
    <row r="990">
      <c r="I990" s="31">
        <f>IF($A990="","",IF($J990=0,"YOK",IF(AND($E990="Evet",ROUND($C990*tbo_oranIlave,2)=$J990),"TBO-002",IF(AND($D990="Evet",ROUND($C990*tbo_oranBesPuan,2)=$J990),"TBO-001",IF(AND($F990="Evet",ROUND($C990*tbo_oranKadinGenc,2)=$J990),"TBO-004","TBO-ENG")))))</f>
        <v/>
      </c>
      <c r="J990" s="31">
        <f>IF($A990="","",MAX(IF($D990="Evet",ROUND($C990*tbo_oranBesPuan,2),0),IF($E990="Evet",ROUND($C990*tbo_oranIlave,2),0),IF($F990="Evet",ROUND($C990*tbo_oranKadinGenc,2),0),IF($G990="Evet",ROUND($C990*tbo_isverenOran,2),0)))</f>
        <v/>
      </c>
      <c r="K990" s="31">
        <f>IF($A990="","",IF($H990="TBO-001",IF($D990="Evet",ROUND($C990*tbo_oranBesPuan,2),0),IF($H990="TBO-002",IF($E990="Evet",ROUND($C990*tbo_oranIlave,2),0),IF($H990="TBO-004",IF($F990="Evet",ROUND($C990*tbo_oranKadinGenc,2),0),IF($H990="TBO-ENG",IF($G990="Evet",ROUND($C990*tbo_isverenOran,2),0),0)))))</f>
        <v/>
      </c>
      <c r="L990" s="31">
        <f>IF($A990="","",MAX(0,$J990-$K990))</f>
        <v/>
      </c>
    </row>
    <row r="991">
      <c r="I991" s="31">
        <f>IF($A991="","",IF($J991=0,"YOK",IF(AND($E991="Evet",ROUND($C991*tbo_oranIlave,2)=$J991),"TBO-002",IF(AND($D991="Evet",ROUND($C991*tbo_oranBesPuan,2)=$J991),"TBO-001",IF(AND($F991="Evet",ROUND($C991*tbo_oranKadinGenc,2)=$J991),"TBO-004","TBO-ENG")))))</f>
        <v/>
      </c>
      <c r="J991" s="31">
        <f>IF($A991="","",MAX(IF($D991="Evet",ROUND($C991*tbo_oranBesPuan,2),0),IF($E991="Evet",ROUND($C991*tbo_oranIlave,2),0),IF($F991="Evet",ROUND($C991*tbo_oranKadinGenc,2),0),IF($G991="Evet",ROUND($C991*tbo_isverenOran,2),0)))</f>
        <v/>
      </c>
      <c r="K991" s="31">
        <f>IF($A991="","",IF($H991="TBO-001",IF($D991="Evet",ROUND($C991*tbo_oranBesPuan,2),0),IF($H991="TBO-002",IF($E991="Evet",ROUND($C991*tbo_oranIlave,2),0),IF($H991="TBO-004",IF($F991="Evet",ROUND($C991*tbo_oranKadinGenc,2),0),IF($H991="TBO-ENG",IF($G991="Evet",ROUND($C991*tbo_isverenOran,2),0),0)))))</f>
        <v/>
      </c>
      <c r="L991" s="31">
        <f>IF($A991="","",MAX(0,$J991-$K991))</f>
        <v/>
      </c>
    </row>
    <row r="992">
      <c r="I992" s="31">
        <f>IF($A992="","",IF($J992=0,"YOK",IF(AND($E992="Evet",ROUND($C992*tbo_oranIlave,2)=$J992),"TBO-002",IF(AND($D992="Evet",ROUND($C992*tbo_oranBesPuan,2)=$J992),"TBO-001",IF(AND($F992="Evet",ROUND($C992*tbo_oranKadinGenc,2)=$J992),"TBO-004","TBO-ENG")))))</f>
        <v/>
      </c>
      <c r="J992" s="31">
        <f>IF($A992="","",MAX(IF($D992="Evet",ROUND($C992*tbo_oranBesPuan,2),0),IF($E992="Evet",ROUND($C992*tbo_oranIlave,2),0),IF($F992="Evet",ROUND($C992*tbo_oranKadinGenc,2),0),IF($G992="Evet",ROUND($C992*tbo_isverenOran,2),0)))</f>
        <v/>
      </c>
      <c r="K992" s="31">
        <f>IF($A992="","",IF($H992="TBO-001",IF($D992="Evet",ROUND($C992*tbo_oranBesPuan,2),0),IF($H992="TBO-002",IF($E992="Evet",ROUND($C992*tbo_oranIlave,2),0),IF($H992="TBO-004",IF($F992="Evet",ROUND($C992*tbo_oranKadinGenc,2),0),IF($H992="TBO-ENG",IF($G992="Evet",ROUND($C992*tbo_isverenOran,2),0),0)))))</f>
        <v/>
      </c>
      <c r="L992" s="31">
        <f>IF($A992="","",MAX(0,$J992-$K992))</f>
        <v/>
      </c>
    </row>
    <row r="993">
      <c r="I993" s="31">
        <f>IF($A993="","",IF($J993=0,"YOK",IF(AND($E993="Evet",ROUND($C993*tbo_oranIlave,2)=$J993),"TBO-002",IF(AND($D993="Evet",ROUND($C993*tbo_oranBesPuan,2)=$J993),"TBO-001",IF(AND($F993="Evet",ROUND($C993*tbo_oranKadinGenc,2)=$J993),"TBO-004","TBO-ENG")))))</f>
        <v/>
      </c>
      <c r="J993" s="31">
        <f>IF($A993="","",MAX(IF($D993="Evet",ROUND($C993*tbo_oranBesPuan,2),0),IF($E993="Evet",ROUND($C993*tbo_oranIlave,2),0),IF($F993="Evet",ROUND($C993*tbo_oranKadinGenc,2),0),IF($G993="Evet",ROUND($C993*tbo_isverenOran,2),0)))</f>
        <v/>
      </c>
      <c r="K993" s="31">
        <f>IF($A993="","",IF($H993="TBO-001",IF($D993="Evet",ROUND($C993*tbo_oranBesPuan,2),0),IF($H993="TBO-002",IF($E993="Evet",ROUND($C993*tbo_oranIlave,2),0),IF($H993="TBO-004",IF($F993="Evet",ROUND($C993*tbo_oranKadinGenc,2),0),IF($H993="TBO-ENG",IF($G993="Evet",ROUND($C993*tbo_isverenOran,2),0),0)))))</f>
        <v/>
      </c>
      <c r="L993" s="31">
        <f>IF($A993="","",MAX(0,$J993-$K993))</f>
        <v/>
      </c>
    </row>
    <row r="994">
      <c r="I994" s="31">
        <f>IF($A994="","",IF($J994=0,"YOK",IF(AND($E994="Evet",ROUND($C994*tbo_oranIlave,2)=$J994),"TBO-002",IF(AND($D994="Evet",ROUND($C994*tbo_oranBesPuan,2)=$J994),"TBO-001",IF(AND($F994="Evet",ROUND($C994*tbo_oranKadinGenc,2)=$J994),"TBO-004","TBO-ENG")))))</f>
        <v/>
      </c>
      <c r="J994" s="31">
        <f>IF($A994="","",MAX(IF($D994="Evet",ROUND($C994*tbo_oranBesPuan,2),0),IF($E994="Evet",ROUND($C994*tbo_oranIlave,2),0),IF($F994="Evet",ROUND($C994*tbo_oranKadinGenc,2),0),IF($G994="Evet",ROUND($C994*tbo_isverenOran,2),0)))</f>
        <v/>
      </c>
      <c r="K994" s="31">
        <f>IF($A994="","",IF($H994="TBO-001",IF($D994="Evet",ROUND($C994*tbo_oranBesPuan,2),0),IF($H994="TBO-002",IF($E994="Evet",ROUND($C994*tbo_oranIlave,2),0),IF($H994="TBO-004",IF($F994="Evet",ROUND($C994*tbo_oranKadinGenc,2),0),IF($H994="TBO-ENG",IF($G994="Evet",ROUND($C994*tbo_isverenOran,2),0),0)))))</f>
        <v/>
      </c>
      <c r="L994" s="31">
        <f>IF($A994="","",MAX(0,$J994-$K994))</f>
        <v/>
      </c>
    </row>
    <row r="995">
      <c r="I995" s="31">
        <f>IF($A995="","",IF($J995=0,"YOK",IF(AND($E995="Evet",ROUND($C995*tbo_oranIlave,2)=$J995),"TBO-002",IF(AND($D995="Evet",ROUND($C995*tbo_oranBesPuan,2)=$J995),"TBO-001",IF(AND($F995="Evet",ROUND($C995*tbo_oranKadinGenc,2)=$J995),"TBO-004","TBO-ENG")))))</f>
        <v/>
      </c>
      <c r="J995" s="31">
        <f>IF($A995="","",MAX(IF($D995="Evet",ROUND($C995*tbo_oranBesPuan,2),0),IF($E995="Evet",ROUND($C995*tbo_oranIlave,2),0),IF($F995="Evet",ROUND($C995*tbo_oranKadinGenc,2),0),IF($G995="Evet",ROUND($C995*tbo_isverenOran,2),0)))</f>
        <v/>
      </c>
      <c r="K995" s="31">
        <f>IF($A995="","",IF($H995="TBO-001",IF($D995="Evet",ROUND($C995*tbo_oranBesPuan,2),0),IF($H995="TBO-002",IF($E995="Evet",ROUND($C995*tbo_oranIlave,2),0),IF($H995="TBO-004",IF($F995="Evet",ROUND($C995*tbo_oranKadinGenc,2),0),IF($H995="TBO-ENG",IF($G995="Evet",ROUND($C995*tbo_isverenOran,2),0),0)))))</f>
        <v/>
      </c>
      <c r="L995" s="31">
        <f>IF($A995="","",MAX(0,$J995-$K995))</f>
        <v/>
      </c>
    </row>
    <row r="996">
      <c r="I996" s="31">
        <f>IF($A996="","",IF($J996=0,"YOK",IF(AND($E996="Evet",ROUND($C996*tbo_oranIlave,2)=$J996),"TBO-002",IF(AND($D996="Evet",ROUND($C996*tbo_oranBesPuan,2)=$J996),"TBO-001",IF(AND($F996="Evet",ROUND($C996*tbo_oranKadinGenc,2)=$J996),"TBO-004","TBO-ENG")))))</f>
        <v/>
      </c>
      <c r="J996" s="31">
        <f>IF($A996="","",MAX(IF($D996="Evet",ROUND($C996*tbo_oranBesPuan,2),0),IF($E996="Evet",ROUND($C996*tbo_oranIlave,2),0),IF($F996="Evet",ROUND($C996*tbo_oranKadinGenc,2),0),IF($G996="Evet",ROUND($C996*tbo_isverenOran,2),0)))</f>
        <v/>
      </c>
      <c r="K996" s="31">
        <f>IF($A996="","",IF($H996="TBO-001",IF($D996="Evet",ROUND($C996*tbo_oranBesPuan,2),0),IF($H996="TBO-002",IF($E996="Evet",ROUND($C996*tbo_oranIlave,2),0),IF($H996="TBO-004",IF($F996="Evet",ROUND($C996*tbo_oranKadinGenc,2),0),IF($H996="TBO-ENG",IF($G996="Evet",ROUND($C996*tbo_isverenOran,2),0),0)))))</f>
        <v/>
      </c>
      <c r="L996" s="31">
        <f>IF($A996="","",MAX(0,$J996-$K996))</f>
        <v/>
      </c>
    </row>
    <row r="997">
      <c r="I997" s="31">
        <f>IF($A997="","",IF($J997=0,"YOK",IF(AND($E997="Evet",ROUND($C997*tbo_oranIlave,2)=$J997),"TBO-002",IF(AND($D997="Evet",ROUND($C997*tbo_oranBesPuan,2)=$J997),"TBO-001",IF(AND($F997="Evet",ROUND($C997*tbo_oranKadinGenc,2)=$J997),"TBO-004","TBO-ENG")))))</f>
        <v/>
      </c>
      <c r="J997" s="31">
        <f>IF($A997="","",MAX(IF($D997="Evet",ROUND($C997*tbo_oranBesPuan,2),0),IF($E997="Evet",ROUND($C997*tbo_oranIlave,2),0),IF($F997="Evet",ROUND($C997*tbo_oranKadinGenc,2),0),IF($G997="Evet",ROUND($C997*tbo_isverenOran,2),0)))</f>
        <v/>
      </c>
      <c r="K997" s="31">
        <f>IF($A997="","",IF($H997="TBO-001",IF($D997="Evet",ROUND($C997*tbo_oranBesPuan,2),0),IF($H997="TBO-002",IF($E997="Evet",ROUND($C997*tbo_oranIlave,2),0),IF($H997="TBO-004",IF($F997="Evet",ROUND($C997*tbo_oranKadinGenc,2),0),IF($H997="TBO-ENG",IF($G997="Evet",ROUND($C997*tbo_isverenOran,2),0),0)))))</f>
        <v/>
      </c>
      <c r="L997" s="31">
        <f>IF($A997="","",MAX(0,$J997-$K997))</f>
        <v/>
      </c>
    </row>
    <row r="998">
      <c r="I998" s="31">
        <f>IF($A998="","",IF($J998=0,"YOK",IF(AND($E998="Evet",ROUND($C998*tbo_oranIlave,2)=$J998),"TBO-002",IF(AND($D998="Evet",ROUND($C998*tbo_oranBesPuan,2)=$J998),"TBO-001",IF(AND($F998="Evet",ROUND($C998*tbo_oranKadinGenc,2)=$J998),"TBO-004","TBO-ENG")))))</f>
        <v/>
      </c>
      <c r="J998" s="31">
        <f>IF($A998="","",MAX(IF($D998="Evet",ROUND($C998*tbo_oranBesPuan,2),0),IF($E998="Evet",ROUND($C998*tbo_oranIlave,2),0),IF($F998="Evet",ROUND($C998*tbo_oranKadinGenc,2),0),IF($G998="Evet",ROUND($C998*tbo_isverenOran,2),0)))</f>
        <v/>
      </c>
      <c r="K998" s="31">
        <f>IF($A998="","",IF($H998="TBO-001",IF($D998="Evet",ROUND($C998*tbo_oranBesPuan,2),0),IF($H998="TBO-002",IF($E998="Evet",ROUND($C998*tbo_oranIlave,2),0),IF($H998="TBO-004",IF($F998="Evet",ROUND($C998*tbo_oranKadinGenc,2),0),IF($H998="TBO-ENG",IF($G998="Evet",ROUND($C998*tbo_isverenOran,2),0),0)))))</f>
        <v/>
      </c>
      <c r="L998" s="31">
        <f>IF($A998="","",MAX(0,$J998-$K998))</f>
        <v/>
      </c>
    </row>
    <row r="999">
      <c r="I999" s="31">
        <f>IF($A999="","",IF($J999=0,"YOK",IF(AND($E999="Evet",ROUND($C999*tbo_oranIlave,2)=$J999),"TBO-002",IF(AND($D999="Evet",ROUND($C999*tbo_oranBesPuan,2)=$J999),"TBO-001",IF(AND($F999="Evet",ROUND($C999*tbo_oranKadinGenc,2)=$J999),"TBO-004","TBO-ENG")))))</f>
        <v/>
      </c>
      <c r="J999" s="31">
        <f>IF($A999="","",MAX(IF($D999="Evet",ROUND($C999*tbo_oranBesPuan,2),0),IF($E999="Evet",ROUND($C999*tbo_oranIlave,2),0),IF($F999="Evet",ROUND($C999*tbo_oranKadinGenc,2),0),IF($G999="Evet",ROUND($C999*tbo_isverenOran,2),0)))</f>
        <v/>
      </c>
      <c r="K999" s="31">
        <f>IF($A999="","",IF($H999="TBO-001",IF($D999="Evet",ROUND($C999*tbo_oranBesPuan,2),0),IF($H999="TBO-002",IF($E999="Evet",ROUND($C999*tbo_oranIlave,2),0),IF($H999="TBO-004",IF($F999="Evet",ROUND($C999*tbo_oranKadinGenc,2),0),IF($H999="TBO-ENG",IF($G999="Evet",ROUND($C999*tbo_isverenOran,2),0),0)))))</f>
        <v/>
      </c>
      <c r="L999" s="31">
        <f>IF($A999="","",MAX(0,$J999-$K999))</f>
        <v/>
      </c>
    </row>
    <row r="1000">
      <c r="I1000" s="31">
        <f>IF($A1000="","",IF($J1000=0,"YOK",IF(AND($E1000="Evet",ROUND($C1000*tbo_oranIlave,2)=$J1000),"TBO-002",IF(AND($D1000="Evet",ROUND($C1000*tbo_oranBesPuan,2)=$J1000),"TBO-001",IF(AND($F1000="Evet",ROUND($C1000*tbo_oranKadinGenc,2)=$J1000),"TBO-004","TBO-ENG")))))</f>
        <v/>
      </c>
      <c r="J1000" s="31">
        <f>IF($A1000="","",MAX(IF($D1000="Evet",ROUND($C1000*tbo_oranBesPuan,2),0),IF($E1000="Evet",ROUND($C1000*tbo_oranIlave,2),0),IF($F1000="Evet",ROUND($C1000*tbo_oranKadinGenc,2),0),IF($G1000="Evet",ROUND($C1000*tbo_isverenOran,2),0)))</f>
        <v/>
      </c>
      <c r="K1000" s="31">
        <f>IF($A1000="","",IF($H1000="TBO-001",IF($D1000="Evet",ROUND($C1000*tbo_oranBesPuan,2),0),IF($H1000="TBO-002",IF($E1000="Evet",ROUND($C1000*tbo_oranIlave,2),0),IF($H1000="TBO-004",IF($F1000="Evet",ROUND($C1000*tbo_oranKadinGenc,2),0),IF($H1000="TBO-ENG",IF($G1000="Evet",ROUND($C1000*tbo_isverenOran,2),0),0)))))</f>
        <v/>
      </c>
      <c r="L1000" s="31">
        <f>IF($A1000="","",MAX(0,$J1000-$K1000))</f>
        <v/>
      </c>
    </row>
    <row r="1001">
      <c r="I1001" s="31">
        <f>IF($A1001="","",IF($J1001=0,"YOK",IF(AND($E1001="Evet",ROUND($C1001*tbo_oranIlave,2)=$J1001),"TBO-002",IF(AND($D1001="Evet",ROUND($C1001*tbo_oranBesPuan,2)=$J1001),"TBO-001",IF(AND($F1001="Evet",ROUND($C1001*tbo_oranKadinGenc,2)=$J1001),"TBO-004","TBO-ENG")))))</f>
        <v/>
      </c>
      <c r="J1001" s="31">
        <f>IF($A1001="","",MAX(IF($D1001="Evet",ROUND($C1001*tbo_oranBesPuan,2),0),IF($E1001="Evet",ROUND($C1001*tbo_oranIlave,2),0),IF($F1001="Evet",ROUND($C1001*tbo_oranKadinGenc,2),0),IF($G1001="Evet",ROUND($C1001*tbo_isverenOran,2),0)))</f>
        <v/>
      </c>
      <c r="K1001" s="31">
        <f>IF($A1001="","",IF($H1001="TBO-001",IF($D1001="Evet",ROUND($C1001*tbo_oranBesPuan,2),0),IF($H1001="TBO-002",IF($E1001="Evet",ROUND($C1001*tbo_oranIlave,2),0),IF($H1001="TBO-004",IF($F1001="Evet",ROUND($C1001*tbo_oranKadinGenc,2),0),IF($H1001="TBO-ENG",IF($G1001="Evet",ROUND($C1001*tbo_isverenOran,2),0),0)))))</f>
        <v/>
      </c>
      <c r="L1001" s="31">
        <f>IF($A1001="","",MAX(0,$J1001-$K1001))</f>
        <v/>
      </c>
    </row>
    <row r="1002">
      <c r="I1002" s="31">
        <f>IF($A1002="","",IF($J1002=0,"YOK",IF(AND($E1002="Evet",ROUND($C1002*tbo_oranIlave,2)=$J1002),"TBO-002",IF(AND($D1002="Evet",ROUND($C1002*tbo_oranBesPuan,2)=$J1002),"TBO-001",IF(AND($F1002="Evet",ROUND($C1002*tbo_oranKadinGenc,2)=$J1002),"TBO-004","TBO-ENG")))))</f>
        <v/>
      </c>
      <c r="J1002" s="31">
        <f>IF($A1002="","",MAX(IF($D1002="Evet",ROUND($C1002*tbo_oranBesPuan,2),0),IF($E1002="Evet",ROUND($C1002*tbo_oranIlave,2),0),IF($F1002="Evet",ROUND($C1002*tbo_oranKadinGenc,2),0),IF($G1002="Evet",ROUND($C1002*tbo_isverenOran,2),0)))</f>
        <v/>
      </c>
      <c r="K1002" s="31">
        <f>IF($A1002="","",IF($H1002="TBO-001",IF($D1002="Evet",ROUND($C1002*tbo_oranBesPuan,2),0),IF($H1002="TBO-002",IF($E1002="Evet",ROUND($C1002*tbo_oranIlave,2),0),IF($H1002="TBO-004",IF($F1002="Evet",ROUND($C1002*tbo_oranKadinGenc,2),0),IF($H1002="TBO-ENG",IF($G1002="Evet",ROUND($C1002*tbo_isverenOran,2),0),0)))))</f>
        <v/>
      </c>
      <c r="L1002" s="31">
        <f>IF($A1002="","",MAX(0,$J1002-$K1002))</f>
        <v/>
      </c>
    </row>
    <row r="1003">
      <c r="I1003" s="31">
        <f>IF($A1003="","",IF($J1003=0,"YOK",IF(AND($E1003="Evet",ROUND($C1003*tbo_oranIlave,2)=$J1003),"TBO-002",IF(AND($D1003="Evet",ROUND($C1003*tbo_oranBesPuan,2)=$J1003),"TBO-001",IF(AND($F1003="Evet",ROUND($C1003*tbo_oranKadinGenc,2)=$J1003),"TBO-004","TBO-ENG")))))</f>
        <v/>
      </c>
      <c r="J1003" s="31">
        <f>IF($A1003="","",MAX(IF($D1003="Evet",ROUND($C1003*tbo_oranBesPuan,2),0),IF($E1003="Evet",ROUND($C1003*tbo_oranIlave,2),0),IF($F1003="Evet",ROUND($C1003*tbo_oranKadinGenc,2),0),IF($G1003="Evet",ROUND($C1003*tbo_isverenOran,2),0)))</f>
        <v/>
      </c>
      <c r="K1003" s="31">
        <f>IF($A1003="","",IF($H1003="TBO-001",IF($D1003="Evet",ROUND($C1003*tbo_oranBesPuan,2),0),IF($H1003="TBO-002",IF($E1003="Evet",ROUND($C1003*tbo_oranIlave,2),0),IF($H1003="TBO-004",IF($F1003="Evet",ROUND($C1003*tbo_oranKadinGenc,2),0),IF($H1003="TBO-ENG",IF($G1003="Evet",ROUND($C1003*tbo_isverenOran,2),0),0)))))</f>
        <v/>
      </c>
      <c r="L1003" s="31">
        <f>IF($A1003="","",MAX(0,$J1003-$K1003))</f>
        <v/>
      </c>
    </row>
    <row r="1004">
      <c r="I1004" s="31">
        <f>IF($A1004="","",IF($J1004=0,"YOK",IF(AND($E1004="Evet",ROUND($C1004*tbo_oranIlave,2)=$J1004),"TBO-002",IF(AND($D1004="Evet",ROUND($C1004*tbo_oranBesPuan,2)=$J1004),"TBO-001",IF(AND($F1004="Evet",ROUND($C1004*tbo_oranKadinGenc,2)=$J1004),"TBO-004","TBO-ENG")))))</f>
        <v/>
      </c>
      <c r="J1004" s="31">
        <f>IF($A1004="","",MAX(IF($D1004="Evet",ROUND($C1004*tbo_oranBesPuan,2),0),IF($E1004="Evet",ROUND($C1004*tbo_oranIlave,2),0),IF($F1004="Evet",ROUND($C1004*tbo_oranKadinGenc,2),0),IF($G1004="Evet",ROUND($C1004*tbo_isverenOran,2),0)))</f>
        <v/>
      </c>
      <c r="K1004" s="31">
        <f>IF($A1004="","",IF($H1004="TBO-001",IF($D1004="Evet",ROUND($C1004*tbo_oranBesPuan,2),0),IF($H1004="TBO-002",IF($E1004="Evet",ROUND($C1004*tbo_oranIlave,2),0),IF($H1004="TBO-004",IF($F1004="Evet",ROUND($C1004*tbo_oranKadinGenc,2),0),IF($H1004="TBO-ENG",IF($G1004="Evet",ROUND($C1004*tbo_isverenOran,2),0),0)))))</f>
        <v/>
      </c>
      <c r="L1004" s="31">
        <f>IF($A1004="","",MAX(0,$J1004-$K1004))</f>
        <v/>
      </c>
    </row>
    <row r="1005">
      <c r="I1005" s="31">
        <f>IF($A1005="","",IF($J1005=0,"YOK",IF(AND($E1005="Evet",ROUND($C1005*tbo_oranIlave,2)=$J1005),"TBO-002",IF(AND($D1005="Evet",ROUND($C1005*tbo_oranBesPuan,2)=$J1005),"TBO-001",IF(AND($F1005="Evet",ROUND($C1005*tbo_oranKadinGenc,2)=$J1005),"TBO-004","TBO-ENG")))))</f>
        <v/>
      </c>
      <c r="J1005" s="31">
        <f>IF($A1005="","",MAX(IF($D1005="Evet",ROUND($C1005*tbo_oranBesPuan,2),0),IF($E1005="Evet",ROUND($C1005*tbo_oranIlave,2),0),IF($F1005="Evet",ROUND($C1005*tbo_oranKadinGenc,2),0),IF($G1005="Evet",ROUND($C1005*tbo_isverenOran,2),0)))</f>
        <v/>
      </c>
      <c r="K1005" s="31">
        <f>IF($A1005="","",IF($H1005="TBO-001",IF($D1005="Evet",ROUND($C1005*tbo_oranBesPuan,2),0),IF($H1005="TBO-002",IF($E1005="Evet",ROUND($C1005*tbo_oranIlave,2),0),IF($H1005="TBO-004",IF($F1005="Evet",ROUND($C1005*tbo_oranKadinGenc,2),0),IF($H1005="TBO-ENG",IF($G1005="Evet",ROUND($C1005*tbo_isverenOran,2),0),0)))))</f>
        <v/>
      </c>
      <c r="L1005" s="31">
        <f>IF($A1005="","",MAX(0,$J1005-$K1005))</f>
        <v/>
      </c>
    </row>
    <row r="1006">
      <c r="I1006" s="31">
        <f>IF($A1006="","",IF($J1006=0,"YOK",IF(AND($E1006="Evet",ROUND($C1006*tbo_oranIlave,2)=$J1006),"TBO-002",IF(AND($D1006="Evet",ROUND($C1006*tbo_oranBesPuan,2)=$J1006),"TBO-001",IF(AND($F1006="Evet",ROUND($C1006*tbo_oranKadinGenc,2)=$J1006),"TBO-004","TBO-ENG")))))</f>
        <v/>
      </c>
      <c r="J1006" s="31">
        <f>IF($A1006="","",MAX(IF($D1006="Evet",ROUND($C1006*tbo_oranBesPuan,2),0),IF($E1006="Evet",ROUND($C1006*tbo_oranIlave,2),0),IF($F1006="Evet",ROUND($C1006*tbo_oranKadinGenc,2),0),IF($G1006="Evet",ROUND($C1006*tbo_isverenOran,2),0)))</f>
        <v/>
      </c>
      <c r="K1006" s="31">
        <f>IF($A1006="","",IF($H1006="TBO-001",IF($D1006="Evet",ROUND($C1006*tbo_oranBesPuan,2),0),IF($H1006="TBO-002",IF($E1006="Evet",ROUND($C1006*tbo_oranIlave,2),0),IF($H1006="TBO-004",IF($F1006="Evet",ROUND($C1006*tbo_oranKadinGenc,2),0),IF($H1006="TBO-ENG",IF($G1006="Evet",ROUND($C1006*tbo_isverenOran,2),0),0)))))</f>
        <v/>
      </c>
      <c r="L1006" s="31">
        <f>IF($A1006="","",MAX(0,$J1006-$K1006))</f>
        <v/>
      </c>
    </row>
    <row r="1008" ht="20" customHeight="1">
      <c r="A1008" s="34" t="inlineStr">
        <is>
          <t>BORDRO: sarı = giriş; EnAvantajliKod formülle seçilir.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4:N4"/>
    <mergeCell ref="A3:S3"/>
    <mergeCell ref="A1:S1"/>
    <mergeCell ref="A1008:AN1008"/>
  </mergeCells>
  <conditionalFormatting sqref="L7:L56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I7:I56">
    <cfRule type="expression" priority="3" dxfId="5">
      <formula>I7="YOK"</formula>
    </cfRule>
    <cfRule type="expression" priority="4" dxfId="6">
      <formula>AND(I7&lt;&gt;"",I7&lt;&gt;"YOK",I7&lt;&gt;H7)</formula>
    </cfRule>
  </conditionalFormatting>
  <dataValidations count="4">
    <dataValidation sqref="D7:G1006" showDropDown="0" showInputMessage="1" showErrorMessage="1" allowBlank="1" errorTitle="Geçersiz" error="Listeden seçin." promptTitle="Uygunluk" prompt="Evet veya Hayır seçin." type="list" errorStyle="stop">
      <formula1>ListeEvetHayir</formula1>
    </dataValidation>
    <dataValidation sqref="H7:H1006" showDropDown="0" showInputMessage="1" showErrorMessage="1" allowBlank="1" errorTitle="Geçersiz" error="Listeden seçin." promptTitle="Mevcut kod" prompt="Uygulanan teşvik kodunu seçin." type="list" errorStyle="stop">
      <formula1>ListeTesvikKod</formula1>
    </dataValidation>
    <dataValidation sqref="C7:C1006" showDropDown="0" showInputMessage="1" showErrorMessage="1" allowBlank="1" errorTitle="Geçersiz" error="0 ile 1e12 arasında." promptTitle="Brüt matrah" prompt="Kişi brüt SGK matrahını TL girin." type="decimal" errorStyle="stop" operator="between">
      <formula1>0</formula1>
      <formula2>1000000000000</formula2>
    </dataValidation>
    <dataValidation sqref="A7:A1006" showDropDown="0" showInputMessage="1" showErrorMessage="1" allowBlank="1" errorTitle="Geçersiz" error="1 ve üzeri tam sayı." promptTitle="Çalışan no" prompt="Benzersiz çalışan numarası." type="whole" errorStyle="stop" operator="between">
      <formula1>1</formula1>
      <formula2>100000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8B5A2B"/>
    <outlinePr summaryBelow="1" summaryRight="1"/>
    <pageSetUpPr/>
  </sheetPr>
  <dimension ref="A1:AN100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23.5" customWidth="1" min="17" max="17"/>
    <col width="55" customWidth="1" min="18" max="18"/>
    <col width="13" customWidth="1" min="19" max="19"/>
  </cols>
  <sheetData>
    <row r="1" ht="32" customHeight="1">
      <c r="A1" s="204" t="inlineStr">
        <is>
          <t>MATRIS — Teşvikli Bordro Optimizasyon</t>
        </is>
      </c>
    </row>
    <row r="3" ht="22" customHeight="1">
      <c r="A3" s="223" t="inlineStr">
        <is>
          <t>Kişi × teşvik kodu optimizasyon matrisi</t>
        </is>
      </c>
    </row>
    <row r="4">
      <c r="A4" s="22" t="inlineStr">
        <is>
          <t>Sarı hücreler giriş. Her kod kolonu o kişi için o teşvikin tutarını üretir; EnIyiKod satır bazında MAX ile seçilir (INDEX/MATCH yok — ölçek dostu).</t>
        </is>
      </c>
      <c r="Q4" s="24" t="inlineStr">
        <is>
          <t>Kişi sayısı</t>
        </is>
      </c>
      <c r="R4" s="29">
        <f>IFERROR(COUNTA(tblMatris[CalisanNo]),0)</f>
        <v/>
      </c>
    </row>
    <row r="5">
      <c r="Q5" s="24" t="inlineStr">
        <is>
          <t>En iyi set toplamı</t>
        </is>
      </c>
      <c r="R5" s="28">
        <f>IFERROR(SUM(tblMatris[EnIyiTutar]),0)</f>
        <v/>
      </c>
    </row>
    <row r="6" ht="30" customHeight="1">
      <c r="A6" s="13" t="inlineStr">
        <is>
          <t>CalisanNo</t>
        </is>
      </c>
      <c r="B6" s="13" t="inlineStr">
        <is>
          <t>AdSoyad</t>
        </is>
      </c>
      <c r="C6" s="13" t="inlineStr">
        <is>
          <t>BrutMatrah</t>
        </is>
      </c>
      <c r="D6" s="13" t="inlineStr">
        <is>
          <t>BesPuanUygun</t>
        </is>
      </c>
      <c r="E6" s="13" t="inlineStr">
        <is>
          <t>IlaveUygun</t>
        </is>
      </c>
      <c r="F6" s="13" t="inlineStr">
        <is>
          <t>KadinGencUygun</t>
        </is>
      </c>
      <c r="G6" s="13" t="inlineStr">
        <is>
          <t>EngelliUygun</t>
        </is>
      </c>
      <c r="H6" s="13" t="inlineStr">
        <is>
          <t>TBO001</t>
        </is>
      </c>
      <c r="I6" s="13" t="inlineStr">
        <is>
          <t>TBO002</t>
        </is>
      </c>
      <c r="J6" s="13" t="inlineStr">
        <is>
          <t>TBO004</t>
        </is>
      </c>
      <c r="K6" s="13" t="inlineStr">
        <is>
          <t>TBOENG</t>
        </is>
      </c>
      <c r="L6" s="13" t="inlineStr">
        <is>
          <t>EnIyiKod</t>
        </is>
      </c>
      <c r="M6" s="13" t="inlineStr">
        <is>
          <t>EnIyiTutar</t>
        </is>
      </c>
      <c r="N6" s="13" t="inlineStr">
        <is>
          <t>MevcutKod</t>
        </is>
      </c>
      <c r="O6" s="13" t="inlineStr">
        <is>
          <t>Fark</t>
        </is>
      </c>
      <c r="Q6" s="24" t="inlineStr">
        <is>
          <t>Matris kaçırılan</t>
        </is>
      </c>
      <c r="R6" s="28">
        <f>IFERROR(SUM(tblMatris[Fark]),0)</f>
        <v/>
      </c>
    </row>
    <row r="7">
      <c r="A7" s="32" t="n">
        <v>1</v>
      </c>
      <c r="B7" s="30" t="inlineStr">
        <is>
          <t>Ali Yılmaz</t>
        </is>
      </c>
      <c r="C7" s="33" t="n">
        <v>25000</v>
      </c>
      <c r="D7" s="30" t="inlineStr">
        <is>
          <t>Evet</t>
        </is>
      </c>
      <c r="E7" s="30" t="inlineStr">
        <is>
          <t>Hayır</t>
        </is>
      </c>
      <c r="F7" s="30" t="inlineStr">
        <is>
          <t>Hayır</t>
        </is>
      </c>
      <c r="G7" s="30" t="inlineStr">
        <is>
          <t>Hayır</t>
        </is>
      </c>
      <c r="H7" s="31">
        <f>IF($A7="","",IF($D7="Evet",ROUND($C7*tbo_oranBesPuan,2),0))</f>
        <v/>
      </c>
      <c r="I7" s="31">
        <f>IF($A7="","",IF($E7="Evet",ROUND($C7*tbo_oranIlave,2),0))</f>
        <v/>
      </c>
      <c r="J7" s="31">
        <f>IF($A7="","",IF($F7="Evet",ROUND($C7*tbo_oranKadinGenc,2),0))</f>
        <v/>
      </c>
      <c r="K7" s="31">
        <f>IF($A7="","",IF($G7="Evet",ROUND($C7*tbo_isverenOran,2),0))</f>
        <v/>
      </c>
      <c r="L7" s="31">
        <f>IF($A7="","",IF($M7=0,"YOK",IF($I7=$M7,"TBO-002",IF($H7=$M7,"TBO-001",IF($J7=$M7,"TBO-004","TBO-ENG")))))</f>
        <v/>
      </c>
      <c r="M7" s="31">
        <f>IF($A7="","",MAX($H7,$I7,$J7,$K7))</f>
        <v/>
      </c>
      <c r="N7" s="30" t="inlineStr">
        <is>
          <t>TBO-001</t>
        </is>
      </c>
      <c r="O7" s="31">
        <f>IF($A7="","",MAX(0,$M7-IF($N7="TBO-001",$H7,IF($N7="TBO-002",$I7,IF($N7="TBO-004",$J7,IF($N7="TBO-ENG",$K7,0))))))</f>
        <v/>
      </c>
      <c r="Q7" s="24" t="inlineStr">
        <is>
          <t>Kod seti özeti</t>
        </is>
      </c>
      <c r="R7" s="11">
        <f>IFERROR(IF(COUNTA(tblMatris[CalisanNo])=0,"VERİ YOK",_xlfn.TEXTJOIN(" · ",TRUE,"TBO-001=",COUNTIF(tblMatris[EnIyiKod],"TBO-001"),"TBO-002=",COUNTIF(tblMatris[EnIyiKod],"TBO-002"),"TBO-004=",COUNTIF(tblMatris[EnIyiKod],"TBO-004"),"TBO-ENG=",COUNTIF(tblMatris[EnIyiKod],"TBO-ENG"),"YOK=",COUNTIF(tblMatris[EnIyiKod],"YOK"))),"-")</f>
        <v/>
      </c>
    </row>
    <row r="8">
      <c r="A8" s="32" t="n">
        <v>2</v>
      </c>
      <c r="B8" s="30" t="inlineStr">
        <is>
          <t>Ayşe Demir</t>
        </is>
      </c>
      <c r="C8" s="33" t="n">
        <v>22000</v>
      </c>
      <c r="D8" s="30" t="inlineStr">
        <is>
          <t>Evet</t>
        </is>
      </c>
      <c r="E8" s="30" t="inlineStr">
        <is>
          <t>Evet</t>
        </is>
      </c>
      <c r="F8" s="30" t="inlineStr">
        <is>
          <t>Hayır</t>
        </is>
      </c>
      <c r="G8" s="30" t="inlineStr">
        <is>
          <t>Hayır</t>
        </is>
      </c>
      <c r="H8" s="31">
        <f>IF($A8="","",IF($D8="Evet",ROUND($C8*tbo_oranBesPuan,2),0))</f>
        <v/>
      </c>
      <c r="I8" s="31">
        <f>IF($A8="","",IF($E8="Evet",ROUND($C8*tbo_oranIlave,2),0))</f>
        <v/>
      </c>
      <c r="J8" s="31">
        <f>IF($A8="","",IF($F8="Evet",ROUND($C8*tbo_oranKadinGenc,2),0))</f>
        <v/>
      </c>
      <c r="K8" s="31">
        <f>IF($A8="","",IF($G8="Evet",ROUND($C8*tbo_isverenOran,2),0))</f>
        <v/>
      </c>
      <c r="L8" s="31">
        <f>IF($A8="","",IF($M8=0,"YOK",IF($I8=$M8,"TBO-002",IF($H8=$M8,"TBO-001",IF($J8=$M8,"TBO-004","TBO-ENG")))))</f>
        <v/>
      </c>
      <c r="M8" s="31">
        <f>IF($A8="","",MAX($H8,$I8,$J8,$K8))</f>
        <v/>
      </c>
      <c r="N8" s="30" t="inlineStr">
        <is>
          <t>TBO-001</t>
        </is>
      </c>
      <c r="O8" s="31">
        <f>IF($A8="","",MAX(0,$M8-IF($N8="TBO-001",$H8,IF($N8="TBO-002",$I8,IF($N8="TBO-004",$J8,IF($N8="TBO-ENG",$K8,0))))))</f>
        <v/>
      </c>
      <c r="Q8" s="24" t="inlineStr">
        <is>
          <t>Optimizasyon kararı</t>
        </is>
      </c>
      <c r="R8" s="38">
        <f>IFERROR(IF(COUNTA(tblMatris[CalisanNo])=0,"VERİ YOK",IF(R6=0,"UYGUN",IF(R6&gt;=tbo_kacirilanEsik,"UYGULA","İNCELE"))),"-")</f>
        <v/>
      </c>
    </row>
    <row r="9">
      <c r="A9" s="32" t="n">
        <v>3</v>
      </c>
      <c r="B9" s="30" t="inlineStr">
        <is>
          <t>Mehmet Kaya</t>
        </is>
      </c>
      <c r="C9" s="33" t="n">
        <v>28000</v>
      </c>
      <c r="D9" s="30" t="inlineStr">
        <is>
          <t>Evet</t>
        </is>
      </c>
      <c r="E9" s="30" t="inlineStr">
        <is>
          <t>Hayır</t>
        </is>
      </c>
      <c r="F9" s="30" t="inlineStr">
        <is>
          <t>Evet</t>
        </is>
      </c>
      <c r="G9" s="30" t="inlineStr">
        <is>
          <t>Hayır</t>
        </is>
      </c>
      <c r="H9" s="31">
        <f>IF($A9="","",IF($D9="Evet",ROUND($C9*tbo_oranBesPuan,2),0))</f>
        <v/>
      </c>
      <c r="I9" s="31">
        <f>IF($A9="","",IF($E9="Evet",ROUND($C9*tbo_oranIlave,2),0))</f>
        <v/>
      </c>
      <c r="J9" s="31">
        <f>IF($A9="","",IF($F9="Evet",ROUND($C9*tbo_oranKadinGenc,2),0))</f>
        <v/>
      </c>
      <c r="K9" s="31">
        <f>IF($A9="","",IF($G9="Evet",ROUND($C9*tbo_isverenOran,2),0))</f>
        <v/>
      </c>
      <c r="L9" s="31">
        <f>IF($A9="","",IF($M9=0,"YOK",IF($I9=$M9,"TBO-002",IF($H9=$M9,"TBO-001",IF($J9=$M9,"TBO-004","TBO-ENG")))))</f>
        <v/>
      </c>
      <c r="M9" s="31">
        <f>IF($A9="","",MAX($H9,$I9,$J9,$K9))</f>
        <v/>
      </c>
      <c r="N9" s="30" t="inlineStr">
        <is>
          <t>TBO-004</t>
        </is>
      </c>
      <c r="O9" s="31">
        <f>IF($A9="","",MAX(0,$M9-IF($N9="TBO-001",$H9,IF($N9="TBO-002",$I9,IF($N9="TBO-004",$J9,IF($N9="TBO-ENG",$K9,0))))))</f>
        <v/>
      </c>
    </row>
    <row r="10">
      <c r="A10" s="32" t="n">
        <v>4</v>
      </c>
      <c r="B10" s="30" t="inlineStr">
        <is>
          <t>Zeynep Arslan</t>
        </is>
      </c>
      <c r="C10" s="33" t="n">
        <v>20000</v>
      </c>
      <c r="D10" s="30" t="inlineStr">
        <is>
          <t>Hayır</t>
        </is>
      </c>
      <c r="E10" s="30" t="inlineStr">
        <is>
          <t>Evet</t>
        </is>
      </c>
      <c r="F10" s="30" t="inlineStr">
        <is>
          <t>Hayır</t>
        </is>
      </c>
      <c r="G10" s="30" t="inlineStr">
        <is>
          <t>Hayır</t>
        </is>
      </c>
      <c r="H10" s="31">
        <f>IF($A10="","",IF($D10="Evet",ROUND($C10*tbo_oranBesPuan,2),0))</f>
        <v/>
      </c>
      <c r="I10" s="31">
        <f>IF($A10="","",IF($E10="Evet",ROUND($C10*tbo_oranIlave,2),0))</f>
        <v/>
      </c>
      <c r="J10" s="31">
        <f>IF($A10="","",IF($F10="Evet",ROUND($C10*tbo_oranKadinGenc,2),0))</f>
        <v/>
      </c>
      <c r="K10" s="31">
        <f>IF($A10="","",IF($G10="Evet",ROUND($C10*tbo_isverenOran,2),0))</f>
        <v/>
      </c>
      <c r="L10" s="31">
        <f>IF($A10="","",IF($M10=0,"YOK",IF($I10=$M10,"TBO-002",IF($H10=$M10,"TBO-001",IF($J10=$M10,"TBO-004","TBO-ENG")))))</f>
        <v/>
      </c>
      <c r="M10" s="31">
        <f>IF($A10="","",MAX($H10,$I10,$J10,$K10))</f>
        <v/>
      </c>
      <c r="N10" s="30" t="inlineStr">
        <is>
          <t>YOK</t>
        </is>
      </c>
      <c r="O10" s="31">
        <f>IF($A10="","",MAX(0,$M10-IF($N10="TBO-001",$H10,IF($N10="TBO-002",$I10,IF($N10="TBO-004",$J10,IF($N10="TBO-ENG",$K10,0))))))</f>
        <v/>
      </c>
      <c r="Q10" s="39" t="inlineStr">
        <is>
          <t>Kod</t>
        </is>
      </c>
      <c r="R10" s="39" t="inlineStr">
        <is>
          <t>SetAdetDemo</t>
        </is>
      </c>
    </row>
    <row r="11">
      <c r="A11" s="32" t="n">
        <v>5</v>
      </c>
      <c r="B11" s="30" t="inlineStr">
        <is>
          <t>Can Öztürk</t>
        </is>
      </c>
      <c r="C11" s="33" t="n">
        <v>30000</v>
      </c>
      <c r="D11" s="30" t="inlineStr">
        <is>
          <t>Evet</t>
        </is>
      </c>
      <c r="E11" s="30" t="inlineStr">
        <is>
          <t>Evet</t>
        </is>
      </c>
      <c r="F11" s="30" t="inlineStr">
        <is>
          <t>Hayır</t>
        </is>
      </c>
      <c r="G11" s="30" t="inlineStr">
        <is>
          <t>Evet</t>
        </is>
      </c>
      <c r="H11" s="31">
        <f>IF($A11="","",IF($D11="Evet",ROUND($C11*tbo_oranBesPuan,2),0))</f>
        <v/>
      </c>
      <c r="I11" s="31">
        <f>IF($A11="","",IF($E11="Evet",ROUND($C11*tbo_oranIlave,2),0))</f>
        <v/>
      </c>
      <c r="J11" s="31">
        <f>IF($A11="","",IF($F11="Evet",ROUND($C11*tbo_oranKadinGenc,2),0))</f>
        <v/>
      </c>
      <c r="K11" s="31">
        <f>IF($A11="","",IF($G11="Evet",ROUND($C11*tbo_isverenOran,2),0))</f>
        <v/>
      </c>
      <c r="L11" s="31">
        <f>IF($A11="","",IF($M11=0,"YOK",IF($I11=$M11,"TBO-002",IF($H11=$M11,"TBO-001",IF($J11=$M11,"TBO-004","TBO-ENG")))))</f>
        <v/>
      </c>
      <c r="M11" s="31">
        <f>IF($A11="","",MAX($H11,$I11,$J11,$K11))</f>
        <v/>
      </c>
      <c r="N11" s="30" t="inlineStr">
        <is>
          <t>TBO-001</t>
        </is>
      </c>
      <c r="O11" s="31">
        <f>IF($A11="","",MAX(0,$M11-IF($N11="TBO-001",$H11,IF($N11="TBO-002",$I11,IF($N11="TBO-004",$J11,IF($N11="TBO-ENG",$K11,0))))))</f>
        <v/>
      </c>
      <c r="Q11" s="19" t="inlineStr">
        <is>
          <t>TBO-001</t>
        </is>
      </c>
      <c r="R11" s="40" t="n">
        <v>4</v>
      </c>
    </row>
    <row r="12">
      <c r="A12" s="32" t="n">
        <v>6</v>
      </c>
      <c r="B12" s="30" t="inlineStr">
        <is>
          <t>Elif Şahin</t>
        </is>
      </c>
      <c r="C12" s="33" t="n">
        <v>18000</v>
      </c>
      <c r="D12" s="30" t="inlineStr">
        <is>
          <t>Evet</t>
        </is>
      </c>
      <c r="E12" s="30" t="inlineStr">
        <is>
          <t>Hayır</t>
        </is>
      </c>
      <c r="F12" s="30" t="inlineStr">
        <is>
          <t>Evet</t>
        </is>
      </c>
      <c r="G12" s="30" t="inlineStr">
        <is>
          <t>Hayır</t>
        </is>
      </c>
      <c r="H12" s="31">
        <f>IF($A12="","",IF($D12="Evet",ROUND($C12*tbo_oranBesPuan,2),0))</f>
        <v/>
      </c>
      <c r="I12" s="31">
        <f>IF($A12="","",IF($E12="Evet",ROUND($C12*tbo_oranIlave,2),0))</f>
        <v/>
      </c>
      <c r="J12" s="31">
        <f>IF($A12="","",IF($F12="Evet",ROUND($C12*tbo_oranKadinGenc,2),0))</f>
        <v/>
      </c>
      <c r="K12" s="31">
        <f>IF($A12="","",IF($G12="Evet",ROUND($C12*tbo_isverenOran,2),0))</f>
        <v/>
      </c>
      <c r="L12" s="31">
        <f>IF($A12="","",IF($M12=0,"YOK",IF($I12=$M12,"TBO-002",IF($H12=$M12,"TBO-001",IF($J12=$M12,"TBO-004","TBO-ENG")))))</f>
        <v/>
      </c>
      <c r="M12" s="31">
        <f>IF($A12="","",MAX($H12,$I12,$J12,$K12))</f>
        <v/>
      </c>
      <c r="N12" s="30" t="inlineStr">
        <is>
          <t>TBO-001</t>
        </is>
      </c>
      <c r="O12" s="31">
        <f>IF($A12="","",MAX(0,$M12-IF($N12="TBO-001",$H12,IF($N12="TBO-002",$I12,IF($N12="TBO-004",$J12,IF($N12="TBO-ENG",$K12,0))))))</f>
        <v/>
      </c>
      <c r="Q12" s="19" t="inlineStr">
        <is>
          <t>TBO-002</t>
        </is>
      </c>
      <c r="R12" s="40" t="n">
        <v>3</v>
      </c>
    </row>
    <row r="13">
      <c r="A13" s="32" t="n">
        <v>7</v>
      </c>
      <c r="B13" s="30" t="inlineStr">
        <is>
          <t>Burak Çelik</t>
        </is>
      </c>
      <c r="C13" s="33" t="n">
        <v>35000</v>
      </c>
      <c r="D13" s="30" t="inlineStr">
        <is>
          <t>Evet</t>
        </is>
      </c>
      <c r="E13" s="30" t="inlineStr">
        <is>
          <t>Evet</t>
        </is>
      </c>
      <c r="F13" s="30" t="inlineStr">
        <is>
          <t>Hayır</t>
        </is>
      </c>
      <c r="G13" s="30" t="inlineStr">
        <is>
          <t>Hayır</t>
        </is>
      </c>
      <c r="H13" s="31">
        <f>IF($A13="","",IF($D13="Evet",ROUND($C13*tbo_oranBesPuan,2),0))</f>
        <v/>
      </c>
      <c r="I13" s="31">
        <f>IF($A13="","",IF($E13="Evet",ROUND($C13*tbo_oranIlave,2),0))</f>
        <v/>
      </c>
      <c r="J13" s="31">
        <f>IF($A13="","",IF($F13="Evet",ROUND($C13*tbo_oranKadinGenc,2),0))</f>
        <v/>
      </c>
      <c r="K13" s="31">
        <f>IF($A13="","",IF($G13="Evet",ROUND($C13*tbo_isverenOran,2),0))</f>
        <v/>
      </c>
      <c r="L13" s="31">
        <f>IF($A13="","",IF($M13=0,"YOK",IF($I13=$M13,"TBO-002",IF($H13=$M13,"TBO-001",IF($J13=$M13,"TBO-004","TBO-ENG")))))</f>
        <v/>
      </c>
      <c r="M13" s="31">
        <f>IF($A13="","",MAX($H13,$I13,$J13,$K13))</f>
        <v/>
      </c>
      <c r="N13" s="30" t="inlineStr">
        <is>
          <t>TBO-002</t>
        </is>
      </c>
      <c r="O13" s="31">
        <f>IF($A13="","",MAX(0,$M13-IF($N13="TBO-001",$H13,IF($N13="TBO-002",$I13,IF($N13="TBO-004",$J13,IF($N13="TBO-ENG",$K13,0))))))</f>
        <v/>
      </c>
      <c r="Q13" s="19" t="inlineStr">
        <is>
          <t>TBO-004</t>
        </is>
      </c>
      <c r="R13" s="40" t="n">
        <v>2</v>
      </c>
    </row>
    <row r="14">
      <c r="A14" s="32" t="n">
        <v>8</v>
      </c>
      <c r="B14" s="30" t="inlineStr">
        <is>
          <t>Selin Aydın</t>
        </is>
      </c>
      <c r="C14" s="33" t="n">
        <v>24000</v>
      </c>
      <c r="D14" s="30" t="inlineStr">
        <is>
          <t>Hayır</t>
        </is>
      </c>
      <c r="E14" s="30" t="inlineStr">
        <is>
          <t>Hayır</t>
        </is>
      </c>
      <c r="F14" s="30" t="inlineStr">
        <is>
          <t>Evet</t>
        </is>
      </c>
      <c r="G14" s="30" t="inlineStr">
        <is>
          <t>Hayır</t>
        </is>
      </c>
      <c r="H14" s="31">
        <f>IF($A14="","",IF($D14="Evet",ROUND($C14*tbo_oranBesPuan,2),0))</f>
        <v/>
      </c>
      <c r="I14" s="31">
        <f>IF($A14="","",IF($E14="Evet",ROUND($C14*tbo_oranIlave,2),0))</f>
        <v/>
      </c>
      <c r="J14" s="31">
        <f>IF($A14="","",IF($F14="Evet",ROUND($C14*tbo_oranKadinGenc,2),0))</f>
        <v/>
      </c>
      <c r="K14" s="31">
        <f>IF($A14="","",IF($G14="Evet",ROUND($C14*tbo_isverenOran,2),0))</f>
        <v/>
      </c>
      <c r="L14" s="31">
        <f>IF($A14="","",IF($M14=0,"YOK",IF($I14=$M14,"TBO-002",IF($H14=$M14,"TBO-001",IF($J14=$M14,"TBO-004","TBO-ENG")))))</f>
        <v/>
      </c>
      <c r="M14" s="31">
        <f>IF($A14="","",MAX($H14,$I14,$J14,$K14))</f>
        <v/>
      </c>
      <c r="N14" s="30" t="inlineStr">
        <is>
          <t>YOK</t>
        </is>
      </c>
      <c r="O14" s="31">
        <f>IF($A14="","",MAX(0,$M14-IF($N14="TBO-001",$H14,IF($N14="TBO-002",$I14,IF($N14="TBO-004",$J14,IF($N14="TBO-ENG",$K14,0))))))</f>
        <v/>
      </c>
      <c r="Q14" s="19" t="inlineStr">
        <is>
          <t>TBO-ENG</t>
        </is>
      </c>
      <c r="R14" s="40" t="n">
        <v>1</v>
      </c>
    </row>
    <row r="15">
      <c r="A15" s="32" t="n">
        <v>9</v>
      </c>
      <c r="B15" s="30" t="inlineStr">
        <is>
          <t>Emre Koç</t>
        </is>
      </c>
      <c r="C15" s="33" t="n">
        <v>27000</v>
      </c>
      <c r="D15" s="30" t="inlineStr">
        <is>
          <t>Evet</t>
        </is>
      </c>
      <c r="E15" s="30" t="inlineStr">
        <is>
          <t>Hayır</t>
        </is>
      </c>
      <c r="F15" s="30" t="inlineStr">
        <is>
          <t>Hayır</t>
        </is>
      </c>
      <c r="G15" s="30" t="inlineStr">
        <is>
          <t>Evet</t>
        </is>
      </c>
      <c r="H15" s="31">
        <f>IF($A15="","",IF($D15="Evet",ROUND($C15*tbo_oranBesPuan,2),0))</f>
        <v/>
      </c>
      <c r="I15" s="31">
        <f>IF($A15="","",IF($E15="Evet",ROUND($C15*tbo_oranIlave,2),0))</f>
        <v/>
      </c>
      <c r="J15" s="31">
        <f>IF($A15="","",IF($F15="Evet",ROUND($C15*tbo_oranKadinGenc,2),0))</f>
        <v/>
      </c>
      <c r="K15" s="31">
        <f>IF($A15="","",IF($G15="Evet",ROUND($C15*tbo_isverenOran,2),0))</f>
        <v/>
      </c>
      <c r="L15" s="31">
        <f>IF($A15="","",IF($M15=0,"YOK",IF($I15=$M15,"TBO-002",IF($H15=$M15,"TBO-001",IF($J15=$M15,"TBO-004","TBO-ENG")))))</f>
        <v/>
      </c>
      <c r="M15" s="31">
        <f>IF($A15="","",MAX($H15,$I15,$J15,$K15))</f>
        <v/>
      </c>
      <c r="N15" s="30" t="inlineStr">
        <is>
          <t>TBO-001</t>
        </is>
      </c>
      <c r="O15" s="31">
        <f>IF($A15="","",MAX(0,$M15-IF($N15="TBO-001",$H15,IF($N15="TBO-002",$I15,IF($N15="TBO-004",$J15,IF($N15="TBO-ENG",$K15,0))))))</f>
        <v/>
      </c>
    </row>
    <row r="16">
      <c r="A16" s="32" t="n">
        <v>10</v>
      </c>
      <c r="B16" s="30" t="inlineStr">
        <is>
          <t>Deniz Yıldız</t>
        </is>
      </c>
      <c r="C16" s="33" t="n">
        <v>21000</v>
      </c>
      <c r="D16" s="30" t="inlineStr">
        <is>
          <t>Evet</t>
        </is>
      </c>
      <c r="E16" s="30" t="inlineStr">
        <is>
          <t>Evet</t>
        </is>
      </c>
      <c r="F16" s="30" t="inlineStr">
        <is>
          <t>Evet</t>
        </is>
      </c>
      <c r="G16" s="30" t="inlineStr">
        <is>
          <t>Hayır</t>
        </is>
      </c>
      <c r="H16" s="31">
        <f>IF($A16="","",IF($D16="Evet",ROUND($C16*tbo_oranBesPuan,2),0))</f>
        <v/>
      </c>
      <c r="I16" s="31">
        <f>IF($A16="","",IF($E16="Evet",ROUND($C16*tbo_oranIlave,2),0))</f>
        <v/>
      </c>
      <c r="J16" s="31">
        <f>IF($A16="","",IF($F16="Evet",ROUND($C16*tbo_oranKadinGenc,2),0))</f>
        <v/>
      </c>
      <c r="K16" s="31">
        <f>IF($A16="","",IF($G16="Evet",ROUND($C16*tbo_isverenOran,2),0))</f>
        <v/>
      </c>
      <c r="L16" s="31">
        <f>IF($A16="","",IF($M16=0,"YOK",IF($I16=$M16,"TBO-002",IF($H16=$M16,"TBO-001",IF($J16=$M16,"TBO-004","TBO-ENG")))))</f>
        <v/>
      </c>
      <c r="M16" s="31">
        <f>IF($A16="","",MAX($H16,$I16,$J16,$K16))</f>
        <v/>
      </c>
      <c r="N16" s="30" t="inlineStr">
        <is>
          <t>TBO-001</t>
        </is>
      </c>
      <c r="O16" s="31">
        <f>IF($A16="","",MAX(0,$M16-IF($N16="TBO-001",$H16,IF($N16="TBO-002",$I16,IF($N16="TBO-004",$J16,IF($N16="TBO-ENG",$K16,0))))))</f>
        <v/>
      </c>
    </row>
    <row r="17">
      <c r="A17" s="30" t="n"/>
      <c r="B17" s="30" t="n"/>
      <c r="C17" s="30" t="n"/>
      <c r="D17" s="30" t="n"/>
      <c r="E17" s="30" t="n"/>
      <c r="F17" s="30" t="n"/>
      <c r="G17" s="30" t="n"/>
      <c r="H17" s="31">
        <f>IF($A17="","",IF($D17="Evet",ROUND($C17*tbo_oranBesPuan,2),0))</f>
        <v/>
      </c>
      <c r="I17" s="31">
        <f>IF($A17="","",IF($E17="Evet",ROUND($C17*tbo_oranIlave,2),0))</f>
        <v/>
      </c>
      <c r="J17" s="31">
        <f>IF($A17="","",IF($F17="Evet",ROUND($C17*tbo_oranKadinGenc,2),0))</f>
        <v/>
      </c>
      <c r="K17" s="31">
        <f>IF($A17="","",IF($G17="Evet",ROUND($C17*tbo_isverenOran,2),0))</f>
        <v/>
      </c>
      <c r="L17" s="31">
        <f>IF($A17="","",IF($M17=0,"YOK",IF($I17=$M17,"TBO-002",IF($H17=$M17,"TBO-001",IF($J17=$M17,"TBO-004","TBO-ENG")))))</f>
        <v/>
      </c>
      <c r="M17" s="31">
        <f>IF($A17="","",MAX($H17,$I17,$J17,$K17))</f>
        <v/>
      </c>
      <c r="N17" s="30" t="n"/>
      <c r="O17" s="31">
        <f>IF($A17="","",MAX(0,$M17-IF($N17="TBO-001",$H17,IF($N17="TBO-002",$I17,IF($N17="TBO-004",$J17,IF($N17="TBO-ENG",$K17,0))))))</f>
        <v/>
      </c>
    </row>
    <row r="18">
      <c r="A18" s="30" t="n"/>
      <c r="B18" s="30" t="n"/>
      <c r="C18" s="30" t="n"/>
      <c r="D18" s="30" t="n"/>
      <c r="E18" s="30" t="n"/>
      <c r="F18" s="30" t="n"/>
      <c r="G18" s="30" t="n"/>
      <c r="H18" s="31">
        <f>IF($A18="","",IF($D18="Evet",ROUND($C18*tbo_oranBesPuan,2),0))</f>
        <v/>
      </c>
      <c r="I18" s="31">
        <f>IF($A18="","",IF($E18="Evet",ROUND($C18*tbo_oranIlave,2),0))</f>
        <v/>
      </c>
      <c r="J18" s="31">
        <f>IF($A18="","",IF($F18="Evet",ROUND($C18*tbo_oranKadinGenc,2),0))</f>
        <v/>
      </c>
      <c r="K18" s="31">
        <f>IF($A18="","",IF($G18="Evet",ROUND($C18*tbo_isverenOran,2),0))</f>
        <v/>
      </c>
      <c r="L18" s="31">
        <f>IF($A18="","",IF($M18=0,"YOK",IF($I18=$M18,"TBO-002",IF($H18=$M18,"TBO-001",IF($J18=$M18,"TBO-004","TBO-ENG")))))</f>
        <v/>
      </c>
      <c r="M18" s="31">
        <f>IF($A18="","",MAX($H18,$I18,$J18,$K18))</f>
        <v/>
      </c>
      <c r="N18" s="30" t="n"/>
      <c r="O18" s="31">
        <f>IF($A18="","",MAX(0,$M18-IF($N18="TBO-001",$H18,IF($N18="TBO-002",$I18,IF($N18="TBO-004",$J18,IF($N18="TBO-ENG",$K18,0))))))</f>
        <v/>
      </c>
    </row>
    <row r="19">
      <c r="A19" s="30" t="n"/>
      <c r="B19" s="30" t="n"/>
      <c r="C19" s="30" t="n"/>
      <c r="D19" s="30" t="n"/>
      <c r="E19" s="30" t="n"/>
      <c r="F19" s="30" t="n"/>
      <c r="G19" s="30" t="n"/>
      <c r="H19" s="31">
        <f>IF($A19="","",IF($D19="Evet",ROUND($C19*tbo_oranBesPuan,2),0))</f>
        <v/>
      </c>
      <c r="I19" s="31">
        <f>IF($A19="","",IF($E19="Evet",ROUND($C19*tbo_oranIlave,2),0))</f>
        <v/>
      </c>
      <c r="J19" s="31">
        <f>IF($A19="","",IF($F19="Evet",ROUND($C19*tbo_oranKadinGenc,2),0))</f>
        <v/>
      </c>
      <c r="K19" s="31">
        <f>IF($A19="","",IF($G19="Evet",ROUND($C19*tbo_isverenOran,2),0))</f>
        <v/>
      </c>
      <c r="L19" s="31">
        <f>IF($A19="","",IF($M19=0,"YOK",IF($I19=$M19,"TBO-002",IF($H19=$M19,"TBO-001",IF($J19=$M19,"TBO-004","TBO-ENG")))))</f>
        <v/>
      </c>
      <c r="M19" s="31">
        <f>IF($A19="","",MAX($H19,$I19,$J19,$K19))</f>
        <v/>
      </c>
      <c r="N19" s="30" t="n"/>
      <c r="O19" s="31">
        <f>IF($A19="","",MAX(0,$M19-IF($N19="TBO-001",$H19,IF($N19="TBO-002",$I19,IF($N19="TBO-004",$J19,IF($N19="TBO-ENG",$K19,0))))))</f>
        <v/>
      </c>
    </row>
    <row r="20">
      <c r="A20" s="30" t="n"/>
      <c r="B20" s="30" t="n"/>
      <c r="C20" s="30" t="n"/>
      <c r="D20" s="30" t="n"/>
      <c r="E20" s="30" t="n"/>
      <c r="F20" s="30" t="n"/>
      <c r="G20" s="30" t="n"/>
      <c r="H20" s="31">
        <f>IF($A20="","",IF($D20="Evet",ROUND($C20*tbo_oranBesPuan,2),0))</f>
        <v/>
      </c>
      <c r="I20" s="31">
        <f>IF($A20="","",IF($E20="Evet",ROUND($C20*tbo_oranIlave,2),0))</f>
        <v/>
      </c>
      <c r="J20" s="31">
        <f>IF($A20="","",IF($F20="Evet",ROUND($C20*tbo_oranKadinGenc,2),0))</f>
        <v/>
      </c>
      <c r="K20" s="31">
        <f>IF($A20="","",IF($G20="Evet",ROUND($C20*tbo_isverenOran,2),0))</f>
        <v/>
      </c>
      <c r="L20" s="31">
        <f>IF($A20="","",IF($M20=0,"YOK",IF($I20=$M20,"TBO-002",IF($H20=$M20,"TBO-001",IF($J20=$M20,"TBO-004","TBO-ENG")))))</f>
        <v/>
      </c>
      <c r="M20" s="31">
        <f>IF($A20="","",MAX($H20,$I20,$J20,$K20))</f>
        <v/>
      </c>
      <c r="N20" s="30" t="n"/>
      <c r="O20" s="31">
        <f>IF($A20="","",MAX(0,$M20-IF($N20="TBO-001",$H20,IF($N20="TBO-002",$I20,IF($N20="TBO-004",$J20,IF($N20="TBO-ENG",$K20,0))))))</f>
        <v/>
      </c>
    </row>
    <row r="21">
      <c r="A21" s="30" t="n"/>
      <c r="B21" s="30" t="n"/>
      <c r="C21" s="30" t="n"/>
      <c r="D21" s="30" t="n"/>
      <c r="E21" s="30" t="n"/>
      <c r="F21" s="30" t="n"/>
      <c r="G21" s="30" t="n"/>
      <c r="H21" s="31">
        <f>IF($A21="","",IF($D21="Evet",ROUND($C21*tbo_oranBesPuan,2),0))</f>
        <v/>
      </c>
      <c r="I21" s="31">
        <f>IF($A21="","",IF($E21="Evet",ROUND($C21*tbo_oranIlave,2),0))</f>
        <v/>
      </c>
      <c r="J21" s="31">
        <f>IF($A21="","",IF($F21="Evet",ROUND($C21*tbo_oranKadinGenc,2),0))</f>
        <v/>
      </c>
      <c r="K21" s="31">
        <f>IF($A21="","",IF($G21="Evet",ROUND($C21*tbo_isverenOran,2),0))</f>
        <v/>
      </c>
      <c r="L21" s="31">
        <f>IF($A21="","",IF($M21=0,"YOK",IF($I21=$M21,"TBO-002",IF($H21=$M21,"TBO-001",IF($J21=$M21,"TBO-004","TBO-ENG")))))</f>
        <v/>
      </c>
      <c r="M21" s="31">
        <f>IF($A21="","",MAX($H21,$I21,$J21,$K21))</f>
        <v/>
      </c>
      <c r="N21" s="30" t="n"/>
      <c r="O21" s="31">
        <f>IF($A21="","",MAX(0,$M21-IF($N21="TBO-001",$H21,IF($N21="TBO-002",$I21,IF($N21="TBO-004",$J21,IF($N21="TBO-ENG",$K21,0))))))</f>
        <v/>
      </c>
    </row>
    <row r="22">
      <c r="A22" s="30" t="n"/>
      <c r="B22" s="30" t="n"/>
      <c r="C22" s="30" t="n"/>
      <c r="D22" s="30" t="n"/>
      <c r="E22" s="30" t="n"/>
      <c r="F22" s="30" t="n"/>
      <c r="G22" s="30" t="n"/>
      <c r="H22" s="31">
        <f>IF($A22="","",IF($D22="Evet",ROUND($C22*tbo_oranBesPuan,2),0))</f>
        <v/>
      </c>
      <c r="I22" s="31">
        <f>IF($A22="","",IF($E22="Evet",ROUND($C22*tbo_oranIlave,2),0))</f>
        <v/>
      </c>
      <c r="J22" s="31">
        <f>IF($A22="","",IF($F22="Evet",ROUND($C22*tbo_oranKadinGenc,2),0))</f>
        <v/>
      </c>
      <c r="K22" s="31">
        <f>IF($A22="","",IF($G22="Evet",ROUND($C22*tbo_isverenOran,2),0))</f>
        <v/>
      </c>
      <c r="L22" s="31">
        <f>IF($A22="","",IF($M22=0,"YOK",IF($I22=$M22,"TBO-002",IF($H22=$M22,"TBO-001",IF($J22=$M22,"TBO-004","TBO-ENG")))))</f>
        <v/>
      </c>
      <c r="M22" s="31">
        <f>IF($A22="","",MAX($H22,$I22,$J22,$K22))</f>
        <v/>
      </c>
      <c r="N22" s="30" t="n"/>
      <c r="O22" s="31">
        <f>IF($A22="","",MAX(0,$M22-IF($N22="TBO-001",$H22,IF($N22="TBO-002",$I22,IF($N22="TBO-004",$J22,IF($N22="TBO-ENG",$K22,0))))))</f>
        <v/>
      </c>
    </row>
    <row r="23">
      <c r="A23" s="30" t="n"/>
      <c r="B23" s="30" t="n"/>
      <c r="C23" s="30" t="n"/>
      <c r="D23" s="30" t="n"/>
      <c r="E23" s="30" t="n"/>
      <c r="F23" s="30" t="n"/>
      <c r="G23" s="30" t="n"/>
      <c r="H23" s="31">
        <f>IF($A23="","",IF($D23="Evet",ROUND($C23*tbo_oranBesPuan,2),0))</f>
        <v/>
      </c>
      <c r="I23" s="31">
        <f>IF($A23="","",IF($E23="Evet",ROUND($C23*tbo_oranIlave,2),0))</f>
        <v/>
      </c>
      <c r="J23" s="31">
        <f>IF($A23="","",IF($F23="Evet",ROUND($C23*tbo_oranKadinGenc,2),0))</f>
        <v/>
      </c>
      <c r="K23" s="31">
        <f>IF($A23="","",IF($G23="Evet",ROUND($C23*tbo_isverenOran,2),0))</f>
        <v/>
      </c>
      <c r="L23" s="31">
        <f>IF($A23="","",IF($M23=0,"YOK",IF($I23=$M23,"TBO-002",IF($H23=$M23,"TBO-001",IF($J23=$M23,"TBO-004","TBO-ENG")))))</f>
        <v/>
      </c>
      <c r="M23" s="31">
        <f>IF($A23="","",MAX($H23,$I23,$J23,$K23))</f>
        <v/>
      </c>
      <c r="N23" s="30" t="n"/>
      <c r="O23" s="31">
        <f>IF($A23="","",MAX(0,$M23-IF($N23="TBO-001",$H23,IF($N23="TBO-002",$I23,IF($N23="TBO-004",$J23,IF($N23="TBO-ENG",$K23,0))))))</f>
        <v/>
      </c>
    </row>
    <row r="24">
      <c r="A24" s="30" t="n"/>
      <c r="B24" s="30" t="n"/>
      <c r="C24" s="30" t="n"/>
      <c r="D24" s="30" t="n"/>
      <c r="E24" s="30" t="n"/>
      <c r="F24" s="30" t="n"/>
      <c r="G24" s="30" t="n"/>
      <c r="H24" s="31">
        <f>IF($A24="","",IF($D24="Evet",ROUND($C24*tbo_oranBesPuan,2),0))</f>
        <v/>
      </c>
      <c r="I24" s="31">
        <f>IF($A24="","",IF($E24="Evet",ROUND($C24*tbo_oranIlave,2),0))</f>
        <v/>
      </c>
      <c r="J24" s="31">
        <f>IF($A24="","",IF($F24="Evet",ROUND($C24*tbo_oranKadinGenc,2),0))</f>
        <v/>
      </c>
      <c r="K24" s="31">
        <f>IF($A24="","",IF($G24="Evet",ROUND($C24*tbo_isverenOran,2),0))</f>
        <v/>
      </c>
      <c r="L24" s="31">
        <f>IF($A24="","",IF($M24=0,"YOK",IF($I24=$M24,"TBO-002",IF($H24=$M24,"TBO-001",IF($J24=$M24,"TBO-004","TBO-ENG")))))</f>
        <v/>
      </c>
      <c r="M24" s="31">
        <f>IF($A24="","",MAX($H24,$I24,$J24,$K24))</f>
        <v/>
      </c>
      <c r="N24" s="30" t="n"/>
      <c r="O24" s="31">
        <f>IF($A24="","",MAX(0,$M24-IF($N24="TBO-001",$H24,IF($N24="TBO-002",$I24,IF($N24="TBO-004",$J24,IF($N24="TBO-ENG",$K24,0))))))</f>
        <v/>
      </c>
    </row>
    <row r="25">
      <c r="A25" s="30" t="n"/>
      <c r="B25" s="30" t="n"/>
      <c r="C25" s="30" t="n"/>
      <c r="D25" s="30" t="n"/>
      <c r="E25" s="30" t="n"/>
      <c r="F25" s="30" t="n"/>
      <c r="G25" s="30" t="n"/>
      <c r="H25" s="31">
        <f>IF($A25="","",IF($D25="Evet",ROUND($C25*tbo_oranBesPuan,2),0))</f>
        <v/>
      </c>
      <c r="I25" s="31">
        <f>IF($A25="","",IF($E25="Evet",ROUND($C25*tbo_oranIlave,2),0))</f>
        <v/>
      </c>
      <c r="J25" s="31">
        <f>IF($A25="","",IF($F25="Evet",ROUND($C25*tbo_oranKadinGenc,2),0))</f>
        <v/>
      </c>
      <c r="K25" s="31">
        <f>IF($A25="","",IF($G25="Evet",ROUND($C25*tbo_isverenOran,2),0))</f>
        <v/>
      </c>
      <c r="L25" s="31">
        <f>IF($A25="","",IF($M25=0,"YOK",IF($I25=$M25,"TBO-002",IF($H25=$M25,"TBO-001",IF($J25=$M25,"TBO-004","TBO-ENG")))))</f>
        <v/>
      </c>
      <c r="M25" s="31">
        <f>IF($A25="","",MAX($H25,$I25,$J25,$K25))</f>
        <v/>
      </c>
      <c r="N25" s="30" t="n"/>
      <c r="O25" s="31">
        <f>IF($A25="","",MAX(0,$M25-IF($N25="TBO-001",$H25,IF($N25="TBO-002",$I25,IF($N25="TBO-004",$J25,IF($N25="TBO-ENG",$K25,0))))))</f>
        <v/>
      </c>
    </row>
    <row r="26">
      <c r="A26" s="30" t="n"/>
      <c r="B26" s="30" t="n"/>
      <c r="C26" s="30" t="n"/>
      <c r="D26" s="30" t="n"/>
      <c r="E26" s="30" t="n"/>
      <c r="F26" s="30" t="n"/>
      <c r="G26" s="30" t="n"/>
      <c r="H26" s="31">
        <f>IF($A26="","",IF($D26="Evet",ROUND($C26*tbo_oranBesPuan,2),0))</f>
        <v/>
      </c>
      <c r="I26" s="31">
        <f>IF($A26="","",IF($E26="Evet",ROUND($C26*tbo_oranIlave,2),0))</f>
        <v/>
      </c>
      <c r="J26" s="31">
        <f>IF($A26="","",IF($F26="Evet",ROUND($C26*tbo_oranKadinGenc,2),0))</f>
        <v/>
      </c>
      <c r="K26" s="31">
        <f>IF($A26="","",IF($G26="Evet",ROUND($C26*tbo_isverenOran,2),0))</f>
        <v/>
      </c>
      <c r="L26" s="31">
        <f>IF($A26="","",IF($M26=0,"YOK",IF($I26=$M26,"TBO-002",IF($H26=$M26,"TBO-001",IF($J26=$M26,"TBO-004","TBO-ENG")))))</f>
        <v/>
      </c>
      <c r="M26" s="31">
        <f>IF($A26="","",MAX($H26,$I26,$J26,$K26))</f>
        <v/>
      </c>
      <c r="N26" s="30" t="n"/>
      <c r="O26" s="31">
        <f>IF($A26="","",MAX(0,$M26-IF($N26="TBO-001",$H26,IF($N26="TBO-002",$I26,IF($N26="TBO-004",$J26,IF($N26="TBO-ENG",$K26,0))))))</f>
        <v/>
      </c>
    </row>
    <row r="27">
      <c r="A27" s="30" t="n"/>
      <c r="B27" s="30" t="n"/>
      <c r="C27" s="30" t="n"/>
      <c r="D27" s="30" t="n"/>
      <c r="E27" s="30" t="n"/>
      <c r="F27" s="30" t="n"/>
      <c r="G27" s="30" t="n"/>
      <c r="H27" s="31">
        <f>IF($A27="","",IF($D27="Evet",ROUND($C27*tbo_oranBesPuan,2),0))</f>
        <v/>
      </c>
      <c r="I27" s="31">
        <f>IF($A27="","",IF($E27="Evet",ROUND($C27*tbo_oranIlave,2),0))</f>
        <v/>
      </c>
      <c r="J27" s="31">
        <f>IF($A27="","",IF($F27="Evet",ROUND($C27*tbo_oranKadinGenc,2),0))</f>
        <v/>
      </c>
      <c r="K27" s="31">
        <f>IF($A27="","",IF($G27="Evet",ROUND($C27*tbo_isverenOran,2),0))</f>
        <v/>
      </c>
      <c r="L27" s="31">
        <f>IF($A27="","",IF($M27=0,"YOK",IF($I27=$M27,"TBO-002",IF($H27=$M27,"TBO-001",IF($J27=$M27,"TBO-004","TBO-ENG")))))</f>
        <v/>
      </c>
      <c r="M27" s="31">
        <f>IF($A27="","",MAX($H27,$I27,$J27,$K27))</f>
        <v/>
      </c>
      <c r="N27" s="30" t="n"/>
      <c r="O27" s="31">
        <f>IF($A27="","",MAX(0,$M27-IF($N27="TBO-001",$H27,IF($N27="TBO-002",$I27,IF($N27="TBO-004",$J27,IF($N27="TBO-ENG",$K27,0))))))</f>
        <v/>
      </c>
    </row>
    <row r="28">
      <c r="A28" s="30" t="n"/>
      <c r="B28" s="30" t="n"/>
      <c r="C28" s="30" t="n"/>
      <c r="D28" s="30" t="n"/>
      <c r="E28" s="30" t="n"/>
      <c r="F28" s="30" t="n"/>
      <c r="G28" s="30" t="n"/>
      <c r="H28" s="31">
        <f>IF($A28="","",IF($D28="Evet",ROUND($C28*tbo_oranBesPuan,2),0))</f>
        <v/>
      </c>
      <c r="I28" s="31">
        <f>IF($A28="","",IF($E28="Evet",ROUND($C28*tbo_oranIlave,2),0))</f>
        <v/>
      </c>
      <c r="J28" s="31">
        <f>IF($A28="","",IF($F28="Evet",ROUND($C28*tbo_oranKadinGenc,2),0))</f>
        <v/>
      </c>
      <c r="K28" s="31">
        <f>IF($A28="","",IF($G28="Evet",ROUND($C28*tbo_isverenOran,2),0))</f>
        <v/>
      </c>
      <c r="L28" s="31">
        <f>IF($A28="","",IF($M28=0,"YOK",IF($I28=$M28,"TBO-002",IF($H28=$M28,"TBO-001",IF($J28=$M28,"TBO-004","TBO-ENG")))))</f>
        <v/>
      </c>
      <c r="M28" s="31">
        <f>IF($A28="","",MAX($H28,$I28,$J28,$K28))</f>
        <v/>
      </c>
      <c r="N28" s="30" t="n"/>
      <c r="O28" s="31">
        <f>IF($A28="","",MAX(0,$M28-IF($N28="TBO-001",$H28,IF($N28="TBO-002",$I28,IF($N28="TBO-004",$J28,IF($N28="TBO-ENG",$K28,0))))))</f>
        <v/>
      </c>
    </row>
    <row r="29">
      <c r="A29" s="30" t="n"/>
      <c r="B29" s="30" t="n"/>
      <c r="C29" s="30" t="n"/>
      <c r="D29" s="30" t="n"/>
      <c r="E29" s="30" t="n"/>
      <c r="F29" s="30" t="n"/>
      <c r="G29" s="30" t="n"/>
      <c r="H29" s="31">
        <f>IF($A29="","",IF($D29="Evet",ROUND($C29*tbo_oranBesPuan,2),0))</f>
        <v/>
      </c>
      <c r="I29" s="31">
        <f>IF($A29="","",IF($E29="Evet",ROUND($C29*tbo_oranIlave,2),0))</f>
        <v/>
      </c>
      <c r="J29" s="31">
        <f>IF($A29="","",IF($F29="Evet",ROUND($C29*tbo_oranKadinGenc,2),0))</f>
        <v/>
      </c>
      <c r="K29" s="31">
        <f>IF($A29="","",IF($G29="Evet",ROUND($C29*tbo_isverenOran,2),0))</f>
        <v/>
      </c>
      <c r="L29" s="31">
        <f>IF($A29="","",IF($M29=0,"YOK",IF($I29=$M29,"TBO-002",IF($H29=$M29,"TBO-001",IF($J29=$M29,"TBO-004","TBO-ENG")))))</f>
        <v/>
      </c>
      <c r="M29" s="31">
        <f>IF($A29="","",MAX($H29,$I29,$J29,$K29))</f>
        <v/>
      </c>
      <c r="N29" s="30" t="n"/>
      <c r="O29" s="31">
        <f>IF($A29="","",MAX(0,$M29-IF($N29="TBO-001",$H29,IF($N29="TBO-002",$I29,IF($N29="TBO-004",$J29,IF($N29="TBO-ENG",$K29,0))))))</f>
        <v/>
      </c>
    </row>
    <row r="30">
      <c r="A30" s="30" t="n"/>
      <c r="B30" s="30" t="n"/>
      <c r="C30" s="30" t="n"/>
      <c r="D30" s="30" t="n"/>
      <c r="E30" s="30" t="n"/>
      <c r="F30" s="30" t="n"/>
      <c r="G30" s="30" t="n"/>
      <c r="H30" s="31">
        <f>IF($A30="","",IF($D30="Evet",ROUND($C30*tbo_oranBesPuan,2),0))</f>
        <v/>
      </c>
      <c r="I30" s="31">
        <f>IF($A30="","",IF($E30="Evet",ROUND($C30*tbo_oranIlave,2),0))</f>
        <v/>
      </c>
      <c r="J30" s="31">
        <f>IF($A30="","",IF($F30="Evet",ROUND($C30*tbo_oranKadinGenc,2),0))</f>
        <v/>
      </c>
      <c r="K30" s="31">
        <f>IF($A30="","",IF($G30="Evet",ROUND($C30*tbo_isverenOran,2),0))</f>
        <v/>
      </c>
      <c r="L30" s="31">
        <f>IF($A30="","",IF($M30=0,"YOK",IF($I30=$M30,"TBO-002",IF($H30=$M30,"TBO-001",IF($J30=$M30,"TBO-004","TBO-ENG")))))</f>
        <v/>
      </c>
      <c r="M30" s="31">
        <f>IF($A30="","",MAX($H30,$I30,$J30,$K30))</f>
        <v/>
      </c>
      <c r="N30" s="30" t="n"/>
      <c r="O30" s="31">
        <f>IF($A30="","",MAX(0,$M30-IF($N30="TBO-001",$H30,IF($N30="TBO-002",$I30,IF($N30="TBO-004",$J30,IF($N30="TBO-ENG",$K30,0))))))</f>
        <v/>
      </c>
    </row>
    <row r="31">
      <c r="A31" s="30" t="n"/>
      <c r="B31" s="30" t="n"/>
      <c r="C31" s="30" t="n"/>
      <c r="D31" s="30" t="n"/>
      <c r="E31" s="30" t="n"/>
      <c r="F31" s="30" t="n"/>
      <c r="G31" s="30" t="n"/>
      <c r="H31" s="31">
        <f>IF($A31="","",IF($D31="Evet",ROUND($C31*tbo_oranBesPuan,2),0))</f>
        <v/>
      </c>
      <c r="I31" s="31">
        <f>IF($A31="","",IF($E31="Evet",ROUND($C31*tbo_oranIlave,2),0))</f>
        <v/>
      </c>
      <c r="J31" s="31">
        <f>IF($A31="","",IF($F31="Evet",ROUND($C31*tbo_oranKadinGenc,2),0))</f>
        <v/>
      </c>
      <c r="K31" s="31">
        <f>IF($A31="","",IF($G31="Evet",ROUND($C31*tbo_isverenOran,2),0))</f>
        <v/>
      </c>
      <c r="L31" s="31">
        <f>IF($A31="","",IF($M31=0,"YOK",IF($I31=$M31,"TBO-002",IF($H31=$M31,"TBO-001",IF($J31=$M31,"TBO-004","TBO-ENG")))))</f>
        <v/>
      </c>
      <c r="M31" s="31">
        <f>IF($A31="","",MAX($H31,$I31,$J31,$K31))</f>
        <v/>
      </c>
      <c r="N31" s="30" t="n"/>
      <c r="O31" s="31">
        <f>IF($A31="","",MAX(0,$M31-IF($N31="TBO-001",$H31,IF($N31="TBO-002",$I31,IF($N31="TBO-004",$J31,IF($N31="TBO-ENG",$K31,0))))))</f>
        <v/>
      </c>
    </row>
    <row r="32">
      <c r="A32" s="30" t="n"/>
      <c r="B32" s="30" t="n"/>
      <c r="C32" s="30" t="n"/>
      <c r="D32" s="30" t="n"/>
      <c r="E32" s="30" t="n"/>
      <c r="F32" s="30" t="n"/>
      <c r="G32" s="30" t="n"/>
      <c r="H32" s="31">
        <f>IF($A32="","",IF($D32="Evet",ROUND($C32*tbo_oranBesPuan,2),0))</f>
        <v/>
      </c>
      <c r="I32" s="31">
        <f>IF($A32="","",IF($E32="Evet",ROUND($C32*tbo_oranIlave,2),0))</f>
        <v/>
      </c>
      <c r="J32" s="31">
        <f>IF($A32="","",IF($F32="Evet",ROUND($C32*tbo_oranKadinGenc,2),0))</f>
        <v/>
      </c>
      <c r="K32" s="31">
        <f>IF($A32="","",IF($G32="Evet",ROUND($C32*tbo_isverenOran,2),0))</f>
        <v/>
      </c>
      <c r="L32" s="31">
        <f>IF($A32="","",IF($M32=0,"YOK",IF($I32=$M32,"TBO-002",IF($H32=$M32,"TBO-001",IF($J32=$M32,"TBO-004","TBO-ENG")))))</f>
        <v/>
      </c>
      <c r="M32" s="31">
        <f>IF($A32="","",MAX($H32,$I32,$J32,$K32))</f>
        <v/>
      </c>
      <c r="N32" s="30" t="n"/>
      <c r="O32" s="31">
        <f>IF($A32="","",MAX(0,$M32-IF($N32="TBO-001",$H32,IF($N32="TBO-002",$I32,IF($N32="TBO-004",$J32,IF($N32="TBO-ENG",$K32,0))))))</f>
        <v/>
      </c>
    </row>
    <row r="33">
      <c r="A33" s="30" t="n"/>
      <c r="B33" s="30" t="n"/>
      <c r="C33" s="30" t="n"/>
      <c r="D33" s="30" t="n"/>
      <c r="E33" s="30" t="n"/>
      <c r="F33" s="30" t="n"/>
      <c r="G33" s="30" t="n"/>
      <c r="H33" s="31">
        <f>IF($A33="","",IF($D33="Evet",ROUND($C33*tbo_oranBesPuan,2),0))</f>
        <v/>
      </c>
      <c r="I33" s="31">
        <f>IF($A33="","",IF($E33="Evet",ROUND($C33*tbo_oranIlave,2),0))</f>
        <v/>
      </c>
      <c r="J33" s="31">
        <f>IF($A33="","",IF($F33="Evet",ROUND($C33*tbo_oranKadinGenc,2),0))</f>
        <v/>
      </c>
      <c r="K33" s="31">
        <f>IF($A33="","",IF($G33="Evet",ROUND($C33*tbo_isverenOran,2),0))</f>
        <v/>
      </c>
      <c r="L33" s="31">
        <f>IF($A33="","",IF($M33=0,"YOK",IF($I33=$M33,"TBO-002",IF($H33=$M33,"TBO-001",IF($J33=$M33,"TBO-004","TBO-ENG")))))</f>
        <v/>
      </c>
      <c r="M33" s="31">
        <f>IF($A33="","",MAX($H33,$I33,$J33,$K33))</f>
        <v/>
      </c>
      <c r="N33" s="30" t="n"/>
      <c r="O33" s="31">
        <f>IF($A33="","",MAX(0,$M33-IF($N33="TBO-001",$H33,IF($N33="TBO-002",$I33,IF($N33="TBO-004",$J33,IF($N33="TBO-ENG",$K33,0))))))</f>
        <v/>
      </c>
    </row>
    <row r="34">
      <c r="A34" s="30" t="n"/>
      <c r="B34" s="30" t="n"/>
      <c r="C34" s="30" t="n"/>
      <c r="D34" s="30" t="n"/>
      <c r="E34" s="30" t="n"/>
      <c r="F34" s="30" t="n"/>
      <c r="G34" s="30" t="n"/>
      <c r="H34" s="31">
        <f>IF($A34="","",IF($D34="Evet",ROUND($C34*tbo_oranBesPuan,2),0))</f>
        <v/>
      </c>
      <c r="I34" s="31">
        <f>IF($A34="","",IF($E34="Evet",ROUND($C34*tbo_oranIlave,2),0))</f>
        <v/>
      </c>
      <c r="J34" s="31">
        <f>IF($A34="","",IF($F34="Evet",ROUND($C34*tbo_oranKadinGenc,2),0))</f>
        <v/>
      </c>
      <c r="K34" s="31">
        <f>IF($A34="","",IF($G34="Evet",ROUND($C34*tbo_isverenOran,2),0))</f>
        <v/>
      </c>
      <c r="L34" s="31">
        <f>IF($A34="","",IF($M34=0,"YOK",IF($I34=$M34,"TBO-002",IF($H34=$M34,"TBO-001",IF($J34=$M34,"TBO-004","TBO-ENG")))))</f>
        <v/>
      </c>
      <c r="M34" s="31">
        <f>IF($A34="","",MAX($H34,$I34,$J34,$K34))</f>
        <v/>
      </c>
      <c r="N34" s="30" t="n"/>
      <c r="O34" s="31">
        <f>IF($A34="","",MAX(0,$M34-IF($N34="TBO-001",$H34,IF($N34="TBO-002",$I34,IF($N34="TBO-004",$J34,IF($N34="TBO-ENG",$K34,0))))))</f>
        <v/>
      </c>
    </row>
    <row r="35">
      <c r="A35" s="30" t="n"/>
      <c r="B35" s="30" t="n"/>
      <c r="C35" s="30" t="n"/>
      <c r="D35" s="30" t="n"/>
      <c r="E35" s="30" t="n"/>
      <c r="F35" s="30" t="n"/>
      <c r="G35" s="30" t="n"/>
      <c r="H35" s="31">
        <f>IF($A35="","",IF($D35="Evet",ROUND($C35*tbo_oranBesPuan,2),0))</f>
        <v/>
      </c>
      <c r="I35" s="31">
        <f>IF($A35="","",IF($E35="Evet",ROUND($C35*tbo_oranIlave,2),0))</f>
        <v/>
      </c>
      <c r="J35" s="31">
        <f>IF($A35="","",IF($F35="Evet",ROUND($C35*tbo_oranKadinGenc,2),0))</f>
        <v/>
      </c>
      <c r="K35" s="31">
        <f>IF($A35="","",IF($G35="Evet",ROUND($C35*tbo_isverenOran,2),0))</f>
        <v/>
      </c>
      <c r="L35" s="31">
        <f>IF($A35="","",IF($M35=0,"YOK",IF($I35=$M35,"TBO-002",IF($H35=$M35,"TBO-001",IF($J35=$M35,"TBO-004","TBO-ENG")))))</f>
        <v/>
      </c>
      <c r="M35" s="31">
        <f>IF($A35="","",MAX($H35,$I35,$J35,$K35))</f>
        <v/>
      </c>
      <c r="N35" s="30" t="n"/>
      <c r="O35" s="31">
        <f>IF($A35="","",MAX(0,$M35-IF($N35="TBO-001",$H35,IF($N35="TBO-002",$I35,IF($N35="TBO-004",$J35,IF($N35="TBO-ENG",$K35,0))))))</f>
        <v/>
      </c>
    </row>
    <row r="36">
      <c r="A36" s="30" t="n"/>
      <c r="B36" s="30" t="n"/>
      <c r="C36" s="30" t="n"/>
      <c r="D36" s="30" t="n"/>
      <c r="E36" s="30" t="n"/>
      <c r="F36" s="30" t="n"/>
      <c r="G36" s="30" t="n"/>
      <c r="H36" s="31">
        <f>IF($A36="","",IF($D36="Evet",ROUND($C36*tbo_oranBesPuan,2),0))</f>
        <v/>
      </c>
      <c r="I36" s="31">
        <f>IF($A36="","",IF($E36="Evet",ROUND($C36*tbo_oranIlave,2),0))</f>
        <v/>
      </c>
      <c r="J36" s="31">
        <f>IF($A36="","",IF($F36="Evet",ROUND($C36*tbo_oranKadinGenc,2),0))</f>
        <v/>
      </c>
      <c r="K36" s="31">
        <f>IF($A36="","",IF($G36="Evet",ROUND($C36*tbo_isverenOran,2),0))</f>
        <v/>
      </c>
      <c r="L36" s="31">
        <f>IF($A36="","",IF($M36=0,"YOK",IF($I36=$M36,"TBO-002",IF($H36=$M36,"TBO-001",IF($J36=$M36,"TBO-004","TBO-ENG")))))</f>
        <v/>
      </c>
      <c r="M36" s="31">
        <f>IF($A36="","",MAX($H36,$I36,$J36,$K36))</f>
        <v/>
      </c>
      <c r="N36" s="30" t="n"/>
      <c r="O36" s="31">
        <f>IF($A36="","",MAX(0,$M36-IF($N36="TBO-001",$H36,IF($N36="TBO-002",$I36,IF($N36="TBO-004",$J36,IF($N36="TBO-ENG",$K36,0))))))</f>
        <v/>
      </c>
    </row>
    <row r="37">
      <c r="A37" s="30" t="n"/>
      <c r="B37" s="30" t="n"/>
      <c r="C37" s="30" t="n"/>
      <c r="D37" s="30" t="n"/>
      <c r="E37" s="30" t="n"/>
      <c r="F37" s="30" t="n"/>
      <c r="G37" s="30" t="n"/>
      <c r="H37" s="31">
        <f>IF($A37="","",IF($D37="Evet",ROUND($C37*tbo_oranBesPuan,2),0))</f>
        <v/>
      </c>
      <c r="I37" s="31">
        <f>IF($A37="","",IF($E37="Evet",ROUND($C37*tbo_oranIlave,2),0))</f>
        <v/>
      </c>
      <c r="J37" s="31">
        <f>IF($A37="","",IF($F37="Evet",ROUND($C37*tbo_oranKadinGenc,2),0))</f>
        <v/>
      </c>
      <c r="K37" s="31">
        <f>IF($A37="","",IF($G37="Evet",ROUND($C37*tbo_isverenOran,2),0))</f>
        <v/>
      </c>
      <c r="L37" s="31">
        <f>IF($A37="","",IF($M37=0,"YOK",IF($I37=$M37,"TBO-002",IF($H37=$M37,"TBO-001",IF($J37=$M37,"TBO-004","TBO-ENG")))))</f>
        <v/>
      </c>
      <c r="M37" s="31">
        <f>IF($A37="","",MAX($H37,$I37,$J37,$K37))</f>
        <v/>
      </c>
      <c r="N37" s="30" t="n"/>
      <c r="O37" s="31">
        <f>IF($A37="","",MAX(0,$M37-IF($N37="TBO-001",$H37,IF($N37="TBO-002",$I37,IF($N37="TBO-004",$J37,IF($N37="TBO-ENG",$K37,0))))))</f>
        <v/>
      </c>
    </row>
    <row r="38">
      <c r="A38" s="30" t="n"/>
      <c r="B38" s="30" t="n"/>
      <c r="C38" s="30" t="n"/>
      <c r="D38" s="30" t="n"/>
      <c r="E38" s="30" t="n"/>
      <c r="F38" s="30" t="n"/>
      <c r="G38" s="30" t="n"/>
      <c r="H38" s="31">
        <f>IF($A38="","",IF($D38="Evet",ROUND($C38*tbo_oranBesPuan,2),0))</f>
        <v/>
      </c>
      <c r="I38" s="31">
        <f>IF($A38="","",IF($E38="Evet",ROUND($C38*tbo_oranIlave,2),0))</f>
        <v/>
      </c>
      <c r="J38" s="31">
        <f>IF($A38="","",IF($F38="Evet",ROUND($C38*tbo_oranKadinGenc,2),0))</f>
        <v/>
      </c>
      <c r="K38" s="31">
        <f>IF($A38="","",IF($G38="Evet",ROUND($C38*tbo_isverenOran,2),0))</f>
        <v/>
      </c>
      <c r="L38" s="31">
        <f>IF($A38="","",IF($M38=0,"YOK",IF($I38=$M38,"TBO-002",IF($H38=$M38,"TBO-001",IF($J38=$M38,"TBO-004","TBO-ENG")))))</f>
        <v/>
      </c>
      <c r="M38" s="31">
        <f>IF($A38="","",MAX($H38,$I38,$J38,$K38))</f>
        <v/>
      </c>
      <c r="N38" s="30" t="n"/>
      <c r="O38" s="31">
        <f>IF($A38="","",MAX(0,$M38-IF($N38="TBO-001",$H38,IF($N38="TBO-002",$I38,IF($N38="TBO-004",$J38,IF($N38="TBO-ENG",$K38,0))))))</f>
        <v/>
      </c>
    </row>
    <row r="39">
      <c r="A39" s="30" t="n"/>
      <c r="B39" s="30" t="n"/>
      <c r="C39" s="30" t="n"/>
      <c r="D39" s="30" t="n"/>
      <c r="E39" s="30" t="n"/>
      <c r="F39" s="30" t="n"/>
      <c r="G39" s="30" t="n"/>
      <c r="H39" s="31">
        <f>IF($A39="","",IF($D39="Evet",ROUND($C39*tbo_oranBesPuan,2),0))</f>
        <v/>
      </c>
      <c r="I39" s="31">
        <f>IF($A39="","",IF($E39="Evet",ROUND($C39*tbo_oranIlave,2),0))</f>
        <v/>
      </c>
      <c r="J39" s="31">
        <f>IF($A39="","",IF($F39="Evet",ROUND($C39*tbo_oranKadinGenc,2),0))</f>
        <v/>
      </c>
      <c r="K39" s="31">
        <f>IF($A39="","",IF($G39="Evet",ROUND($C39*tbo_isverenOran,2),0))</f>
        <v/>
      </c>
      <c r="L39" s="31">
        <f>IF($A39="","",IF($M39=0,"YOK",IF($I39=$M39,"TBO-002",IF($H39=$M39,"TBO-001",IF($J39=$M39,"TBO-004","TBO-ENG")))))</f>
        <v/>
      </c>
      <c r="M39" s="31">
        <f>IF($A39="","",MAX($H39,$I39,$J39,$K39))</f>
        <v/>
      </c>
      <c r="N39" s="30" t="n"/>
      <c r="O39" s="31">
        <f>IF($A39="","",MAX(0,$M39-IF($N39="TBO-001",$H39,IF($N39="TBO-002",$I39,IF($N39="TBO-004",$J39,IF($N39="TBO-ENG",$K39,0))))))</f>
        <v/>
      </c>
    </row>
    <row r="40">
      <c r="A40" s="30" t="n"/>
      <c r="B40" s="30" t="n"/>
      <c r="C40" s="30" t="n"/>
      <c r="D40" s="30" t="n"/>
      <c r="E40" s="30" t="n"/>
      <c r="F40" s="30" t="n"/>
      <c r="G40" s="30" t="n"/>
      <c r="H40" s="31">
        <f>IF($A40="","",IF($D40="Evet",ROUND($C40*tbo_oranBesPuan,2),0))</f>
        <v/>
      </c>
      <c r="I40" s="31">
        <f>IF($A40="","",IF($E40="Evet",ROUND($C40*tbo_oranIlave,2),0))</f>
        <v/>
      </c>
      <c r="J40" s="31">
        <f>IF($A40="","",IF($F40="Evet",ROUND($C40*tbo_oranKadinGenc,2),0))</f>
        <v/>
      </c>
      <c r="K40" s="31">
        <f>IF($A40="","",IF($G40="Evet",ROUND($C40*tbo_isverenOran,2),0))</f>
        <v/>
      </c>
      <c r="L40" s="31">
        <f>IF($A40="","",IF($M40=0,"YOK",IF($I40=$M40,"TBO-002",IF($H40=$M40,"TBO-001",IF($J40=$M40,"TBO-004","TBO-ENG")))))</f>
        <v/>
      </c>
      <c r="M40" s="31">
        <f>IF($A40="","",MAX($H40,$I40,$J40,$K40))</f>
        <v/>
      </c>
      <c r="N40" s="30" t="n"/>
      <c r="O40" s="31">
        <f>IF($A40="","",MAX(0,$M40-IF($N40="TBO-001",$H40,IF($N40="TBO-002",$I40,IF($N40="TBO-004",$J40,IF($N40="TBO-ENG",$K40,0))))))</f>
        <v/>
      </c>
    </row>
    <row r="41">
      <c r="A41" s="30" t="n"/>
      <c r="B41" s="30" t="n"/>
      <c r="C41" s="30" t="n"/>
      <c r="D41" s="30" t="n"/>
      <c r="E41" s="30" t="n"/>
      <c r="F41" s="30" t="n"/>
      <c r="G41" s="30" t="n"/>
      <c r="H41" s="31">
        <f>IF($A41="","",IF($D41="Evet",ROUND($C41*tbo_oranBesPuan,2),0))</f>
        <v/>
      </c>
      <c r="I41" s="31">
        <f>IF($A41="","",IF($E41="Evet",ROUND($C41*tbo_oranIlave,2),0))</f>
        <v/>
      </c>
      <c r="J41" s="31">
        <f>IF($A41="","",IF($F41="Evet",ROUND($C41*tbo_oranKadinGenc,2),0))</f>
        <v/>
      </c>
      <c r="K41" s="31">
        <f>IF($A41="","",IF($G41="Evet",ROUND($C41*tbo_isverenOran,2),0))</f>
        <v/>
      </c>
      <c r="L41" s="31">
        <f>IF($A41="","",IF($M41=0,"YOK",IF($I41=$M41,"TBO-002",IF($H41=$M41,"TBO-001",IF($J41=$M41,"TBO-004","TBO-ENG")))))</f>
        <v/>
      </c>
      <c r="M41" s="31">
        <f>IF($A41="","",MAX($H41,$I41,$J41,$K41))</f>
        <v/>
      </c>
      <c r="N41" s="30" t="n"/>
      <c r="O41" s="31">
        <f>IF($A41="","",MAX(0,$M41-IF($N41="TBO-001",$H41,IF($N41="TBO-002",$I41,IF($N41="TBO-004",$J41,IF($N41="TBO-ENG",$K41,0))))))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1">
        <f>IF($A42="","",IF($D42="Evet",ROUND($C42*tbo_oranBesPuan,2),0))</f>
        <v/>
      </c>
      <c r="I42" s="31">
        <f>IF($A42="","",IF($E42="Evet",ROUND($C42*tbo_oranIlave,2),0))</f>
        <v/>
      </c>
      <c r="J42" s="31">
        <f>IF($A42="","",IF($F42="Evet",ROUND($C42*tbo_oranKadinGenc,2),0))</f>
        <v/>
      </c>
      <c r="K42" s="31">
        <f>IF($A42="","",IF($G42="Evet",ROUND($C42*tbo_isverenOran,2),0))</f>
        <v/>
      </c>
      <c r="L42" s="31">
        <f>IF($A42="","",IF($M42=0,"YOK",IF($I42=$M42,"TBO-002",IF($H42=$M42,"TBO-001",IF($J42=$M42,"TBO-004","TBO-ENG")))))</f>
        <v/>
      </c>
      <c r="M42" s="31">
        <f>IF($A42="","",MAX($H42,$I42,$J42,$K42))</f>
        <v/>
      </c>
      <c r="N42" s="30" t="n"/>
      <c r="O42" s="31">
        <f>IF($A42="","",MAX(0,$M42-IF($N42="TBO-001",$H42,IF($N42="TBO-002",$I42,IF($N42="TBO-004",$J42,IF($N42="TBO-ENG",$K42,0))))))</f>
        <v/>
      </c>
    </row>
    <row r="43">
      <c r="A43" s="30" t="n"/>
      <c r="B43" s="30" t="n"/>
      <c r="C43" s="30" t="n"/>
      <c r="D43" s="30" t="n"/>
      <c r="E43" s="30" t="n"/>
      <c r="F43" s="30" t="n"/>
      <c r="G43" s="30" t="n"/>
      <c r="H43" s="31">
        <f>IF($A43="","",IF($D43="Evet",ROUND($C43*tbo_oranBesPuan,2),0))</f>
        <v/>
      </c>
      <c r="I43" s="31">
        <f>IF($A43="","",IF($E43="Evet",ROUND($C43*tbo_oranIlave,2),0))</f>
        <v/>
      </c>
      <c r="J43" s="31">
        <f>IF($A43="","",IF($F43="Evet",ROUND($C43*tbo_oranKadinGenc,2),0))</f>
        <v/>
      </c>
      <c r="K43" s="31">
        <f>IF($A43="","",IF($G43="Evet",ROUND($C43*tbo_isverenOran,2),0))</f>
        <v/>
      </c>
      <c r="L43" s="31">
        <f>IF($A43="","",IF($M43=0,"YOK",IF($I43=$M43,"TBO-002",IF($H43=$M43,"TBO-001",IF($J43=$M43,"TBO-004","TBO-ENG")))))</f>
        <v/>
      </c>
      <c r="M43" s="31">
        <f>IF($A43="","",MAX($H43,$I43,$J43,$K43))</f>
        <v/>
      </c>
      <c r="N43" s="30" t="n"/>
      <c r="O43" s="31">
        <f>IF($A43="","",MAX(0,$M43-IF($N43="TBO-001",$H43,IF($N43="TBO-002",$I43,IF($N43="TBO-004",$J43,IF($N43="TBO-ENG",$K43,0))))))</f>
        <v/>
      </c>
    </row>
    <row r="44">
      <c r="A44" s="30" t="n"/>
      <c r="B44" s="30" t="n"/>
      <c r="C44" s="30" t="n"/>
      <c r="D44" s="30" t="n"/>
      <c r="E44" s="30" t="n"/>
      <c r="F44" s="30" t="n"/>
      <c r="G44" s="30" t="n"/>
      <c r="H44" s="31">
        <f>IF($A44="","",IF($D44="Evet",ROUND($C44*tbo_oranBesPuan,2),0))</f>
        <v/>
      </c>
      <c r="I44" s="31">
        <f>IF($A44="","",IF($E44="Evet",ROUND($C44*tbo_oranIlave,2),0))</f>
        <v/>
      </c>
      <c r="J44" s="31">
        <f>IF($A44="","",IF($F44="Evet",ROUND($C44*tbo_oranKadinGenc,2),0))</f>
        <v/>
      </c>
      <c r="K44" s="31">
        <f>IF($A44="","",IF($G44="Evet",ROUND($C44*tbo_isverenOran,2),0))</f>
        <v/>
      </c>
      <c r="L44" s="31">
        <f>IF($A44="","",IF($M44=0,"YOK",IF($I44=$M44,"TBO-002",IF($H44=$M44,"TBO-001",IF($J44=$M44,"TBO-004","TBO-ENG")))))</f>
        <v/>
      </c>
      <c r="M44" s="31">
        <f>IF($A44="","",MAX($H44,$I44,$J44,$K44))</f>
        <v/>
      </c>
      <c r="N44" s="30" t="n"/>
      <c r="O44" s="31">
        <f>IF($A44="","",MAX(0,$M44-IF($N44="TBO-001",$H44,IF($N44="TBO-002",$I44,IF($N44="TBO-004",$J44,IF($N44="TBO-ENG",$K44,0))))))</f>
        <v/>
      </c>
    </row>
    <row r="45">
      <c r="A45" s="30" t="n"/>
      <c r="B45" s="30" t="n"/>
      <c r="C45" s="30" t="n"/>
      <c r="D45" s="30" t="n"/>
      <c r="E45" s="30" t="n"/>
      <c r="F45" s="30" t="n"/>
      <c r="G45" s="30" t="n"/>
      <c r="H45" s="31">
        <f>IF($A45="","",IF($D45="Evet",ROUND($C45*tbo_oranBesPuan,2),0))</f>
        <v/>
      </c>
      <c r="I45" s="31">
        <f>IF($A45="","",IF($E45="Evet",ROUND($C45*tbo_oranIlave,2),0))</f>
        <v/>
      </c>
      <c r="J45" s="31">
        <f>IF($A45="","",IF($F45="Evet",ROUND($C45*tbo_oranKadinGenc,2),0))</f>
        <v/>
      </c>
      <c r="K45" s="31">
        <f>IF($A45="","",IF($G45="Evet",ROUND($C45*tbo_isverenOran,2),0))</f>
        <v/>
      </c>
      <c r="L45" s="31">
        <f>IF($A45="","",IF($M45=0,"YOK",IF($I45=$M45,"TBO-002",IF($H45=$M45,"TBO-001",IF($J45=$M45,"TBO-004","TBO-ENG")))))</f>
        <v/>
      </c>
      <c r="M45" s="31">
        <f>IF($A45="","",MAX($H45,$I45,$J45,$K45))</f>
        <v/>
      </c>
      <c r="N45" s="30" t="n"/>
      <c r="O45" s="31">
        <f>IF($A45="","",MAX(0,$M45-IF($N45="TBO-001",$H45,IF($N45="TBO-002",$I45,IF($N45="TBO-004",$J45,IF($N45="TBO-ENG",$K45,0))))))</f>
        <v/>
      </c>
    </row>
    <row r="46">
      <c r="A46" s="30" t="n"/>
      <c r="B46" s="30" t="n"/>
      <c r="C46" s="30" t="n"/>
      <c r="D46" s="30" t="n"/>
      <c r="E46" s="30" t="n"/>
      <c r="F46" s="30" t="n"/>
      <c r="G46" s="30" t="n"/>
      <c r="H46" s="31">
        <f>IF($A46="","",IF($D46="Evet",ROUND($C46*tbo_oranBesPuan,2),0))</f>
        <v/>
      </c>
      <c r="I46" s="31">
        <f>IF($A46="","",IF($E46="Evet",ROUND($C46*tbo_oranIlave,2),0))</f>
        <v/>
      </c>
      <c r="J46" s="31">
        <f>IF($A46="","",IF($F46="Evet",ROUND($C46*tbo_oranKadinGenc,2),0))</f>
        <v/>
      </c>
      <c r="K46" s="31">
        <f>IF($A46="","",IF($G46="Evet",ROUND($C46*tbo_isverenOran,2),0))</f>
        <v/>
      </c>
      <c r="L46" s="31">
        <f>IF($A46="","",IF($M46=0,"YOK",IF($I46=$M46,"TBO-002",IF($H46=$M46,"TBO-001",IF($J46=$M46,"TBO-004","TBO-ENG")))))</f>
        <v/>
      </c>
      <c r="M46" s="31">
        <f>IF($A46="","",MAX($H46,$I46,$J46,$K46))</f>
        <v/>
      </c>
      <c r="N46" s="30" t="n"/>
      <c r="O46" s="31">
        <f>IF($A46="","",MAX(0,$M46-IF($N46="TBO-001",$H46,IF($N46="TBO-002",$I46,IF($N46="TBO-004",$J46,IF($N46="TBO-ENG",$K46,0))))))</f>
        <v/>
      </c>
    </row>
    <row r="47">
      <c r="A47" s="30" t="n"/>
      <c r="B47" s="30" t="n"/>
      <c r="C47" s="30" t="n"/>
      <c r="D47" s="30" t="n"/>
      <c r="E47" s="30" t="n"/>
      <c r="F47" s="30" t="n"/>
      <c r="G47" s="30" t="n"/>
      <c r="H47" s="31">
        <f>IF($A47="","",IF($D47="Evet",ROUND($C47*tbo_oranBesPuan,2),0))</f>
        <v/>
      </c>
      <c r="I47" s="31">
        <f>IF($A47="","",IF($E47="Evet",ROUND($C47*tbo_oranIlave,2),0))</f>
        <v/>
      </c>
      <c r="J47" s="31">
        <f>IF($A47="","",IF($F47="Evet",ROUND($C47*tbo_oranKadinGenc,2),0))</f>
        <v/>
      </c>
      <c r="K47" s="31">
        <f>IF($A47="","",IF($G47="Evet",ROUND($C47*tbo_isverenOran,2),0))</f>
        <v/>
      </c>
      <c r="L47" s="31">
        <f>IF($A47="","",IF($M47=0,"YOK",IF($I47=$M47,"TBO-002",IF($H47=$M47,"TBO-001",IF($J47=$M47,"TBO-004","TBO-ENG")))))</f>
        <v/>
      </c>
      <c r="M47" s="31">
        <f>IF($A47="","",MAX($H47,$I47,$J47,$K47))</f>
        <v/>
      </c>
      <c r="N47" s="30" t="n"/>
      <c r="O47" s="31">
        <f>IF($A47="","",MAX(0,$M47-IF($N47="TBO-001",$H47,IF($N47="TBO-002",$I47,IF($N47="TBO-004",$J47,IF($N47="TBO-ENG",$K47,0))))))</f>
        <v/>
      </c>
    </row>
    <row r="48">
      <c r="A48" s="30" t="n"/>
      <c r="B48" s="30" t="n"/>
      <c r="C48" s="30" t="n"/>
      <c r="D48" s="30" t="n"/>
      <c r="E48" s="30" t="n"/>
      <c r="F48" s="30" t="n"/>
      <c r="G48" s="30" t="n"/>
      <c r="H48" s="31">
        <f>IF($A48="","",IF($D48="Evet",ROUND($C48*tbo_oranBesPuan,2),0))</f>
        <v/>
      </c>
      <c r="I48" s="31">
        <f>IF($A48="","",IF($E48="Evet",ROUND($C48*tbo_oranIlave,2),0))</f>
        <v/>
      </c>
      <c r="J48" s="31">
        <f>IF($A48="","",IF($F48="Evet",ROUND($C48*tbo_oranKadinGenc,2),0))</f>
        <v/>
      </c>
      <c r="K48" s="31">
        <f>IF($A48="","",IF($G48="Evet",ROUND($C48*tbo_isverenOran,2),0))</f>
        <v/>
      </c>
      <c r="L48" s="31">
        <f>IF($A48="","",IF($M48=0,"YOK",IF($I48=$M48,"TBO-002",IF($H48=$M48,"TBO-001",IF($J48=$M48,"TBO-004","TBO-ENG")))))</f>
        <v/>
      </c>
      <c r="M48" s="31">
        <f>IF($A48="","",MAX($H48,$I48,$J48,$K48))</f>
        <v/>
      </c>
      <c r="N48" s="30" t="n"/>
      <c r="O48" s="31">
        <f>IF($A48="","",MAX(0,$M48-IF($N48="TBO-001",$H48,IF($N48="TBO-002",$I48,IF($N48="TBO-004",$J48,IF($N48="TBO-ENG",$K48,0))))))</f>
        <v/>
      </c>
    </row>
    <row r="49">
      <c r="A49" s="30" t="n"/>
      <c r="B49" s="30" t="n"/>
      <c r="C49" s="30" t="n"/>
      <c r="D49" s="30" t="n"/>
      <c r="E49" s="30" t="n"/>
      <c r="F49" s="30" t="n"/>
      <c r="G49" s="30" t="n"/>
      <c r="H49" s="31">
        <f>IF($A49="","",IF($D49="Evet",ROUND($C49*tbo_oranBesPuan,2),0))</f>
        <v/>
      </c>
      <c r="I49" s="31">
        <f>IF($A49="","",IF($E49="Evet",ROUND($C49*tbo_oranIlave,2),0))</f>
        <v/>
      </c>
      <c r="J49" s="31">
        <f>IF($A49="","",IF($F49="Evet",ROUND($C49*tbo_oranKadinGenc,2),0))</f>
        <v/>
      </c>
      <c r="K49" s="31">
        <f>IF($A49="","",IF($G49="Evet",ROUND($C49*tbo_isverenOran,2),0))</f>
        <v/>
      </c>
      <c r="L49" s="31">
        <f>IF($A49="","",IF($M49=0,"YOK",IF($I49=$M49,"TBO-002",IF($H49=$M49,"TBO-001",IF($J49=$M49,"TBO-004","TBO-ENG")))))</f>
        <v/>
      </c>
      <c r="M49" s="31">
        <f>IF($A49="","",MAX($H49,$I49,$J49,$K49))</f>
        <v/>
      </c>
      <c r="N49" s="30" t="n"/>
      <c r="O49" s="31">
        <f>IF($A49="","",MAX(0,$M49-IF($N49="TBO-001",$H49,IF($N49="TBO-002",$I49,IF($N49="TBO-004",$J49,IF($N49="TBO-ENG",$K49,0))))))</f>
        <v/>
      </c>
    </row>
    <row r="50">
      <c r="A50" s="30" t="n"/>
      <c r="B50" s="30" t="n"/>
      <c r="C50" s="30" t="n"/>
      <c r="D50" s="30" t="n"/>
      <c r="E50" s="30" t="n"/>
      <c r="F50" s="30" t="n"/>
      <c r="G50" s="30" t="n"/>
      <c r="H50" s="31">
        <f>IF($A50="","",IF($D50="Evet",ROUND($C50*tbo_oranBesPuan,2),0))</f>
        <v/>
      </c>
      <c r="I50" s="31">
        <f>IF($A50="","",IF($E50="Evet",ROUND($C50*tbo_oranIlave,2),0))</f>
        <v/>
      </c>
      <c r="J50" s="31">
        <f>IF($A50="","",IF($F50="Evet",ROUND($C50*tbo_oranKadinGenc,2),0))</f>
        <v/>
      </c>
      <c r="K50" s="31">
        <f>IF($A50="","",IF($G50="Evet",ROUND($C50*tbo_isverenOran,2),0))</f>
        <v/>
      </c>
      <c r="L50" s="31">
        <f>IF($A50="","",IF($M50=0,"YOK",IF($I50=$M50,"TBO-002",IF($H50=$M50,"TBO-001",IF($J50=$M50,"TBO-004","TBO-ENG")))))</f>
        <v/>
      </c>
      <c r="M50" s="31">
        <f>IF($A50="","",MAX($H50,$I50,$J50,$K50))</f>
        <v/>
      </c>
      <c r="N50" s="30" t="n"/>
      <c r="O50" s="31">
        <f>IF($A50="","",MAX(0,$M50-IF($N50="TBO-001",$H50,IF($N50="TBO-002",$I50,IF($N50="TBO-004",$J50,IF($N50="TBO-ENG",$K50,0))))))</f>
        <v/>
      </c>
    </row>
    <row r="51">
      <c r="A51" s="30" t="n"/>
      <c r="B51" s="30" t="n"/>
      <c r="C51" s="30" t="n"/>
      <c r="D51" s="30" t="n"/>
      <c r="E51" s="30" t="n"/>
      <c r="F51" s="30" t="n"/>
      <c r="G51" s="30" t="n"/>
      <c r="H51" s="31">
        <f>IF($A51="","",IF($D51="Evet",ROUND($C51*tbo_oranBesPuan,2),0))</f>
        <v/>
      </c>
      <c r="I51" s="31">
        <f>IF($A51="","",IF($E51="Evet",ROUND($C51*tbo_oranIlave,2),0))</f>
        <v/>
      </c>
      <c r="J51" s="31">
        <f>IF($A51="","",IF($F51="Evet",ROUND($C51*tbo_oranKadinGenc,2),0))</f>
        <v/>
      </c>
      <c r="K51" s="31">
        <f>IF($A51="","",IF($G51="Evet",ROUND($C51*tbo_isverenOran,2),0))</f>
        <v/>
      </c>
      <c r="L51" s="31">
        <f>IF($A51="","",IF($M51=0,"YOK",IF($I51=$M51,"TBO-002",IF($H51=$M51,"TBO-001",IF($J51=$M51,"TBO-004","TBO-ENG")))))</f>
        <v/>
      </c>
      <c r="M51" s="31">
        <f>IF($A51="","",MAX($H51,$I51,$J51,$K51))</f>
        <v/>
      </c>
      <c r="N51" s="30" t="n"/>
      <c r="O51" s="31">
        <f>IF($A51="","",MAX(0,$M51-IF($N51="TBO-001",$H51,IF($N51="TBO-002",$I51,IF($N51="TBO-004",$J51,IF($N51="TBO-ENG",$K51,0))))))</f>
        <v/>
      </c>
    </row>
    <row r="52">
      <c r="A52" s="30" t="n"/>
      <c r="B52" s="30" t="n"/>
      <c r="C52" s="30" t="n"/>
      <c r="D52" s="30" t="n"/>
      <c r="E52" s="30" t="n"/>
      <c r="F52" s="30" t="n"/>
      <c r="G52" s="30" t="n"/>
      <c r="H52" s="31">
        <f>IF($A52="","",IF($D52="Evet",ROUND($C52*tbo_oranBesPuan,2),0))</f>
        <v/>
      </c>
      <c r="I52" s="31">
        <f>IF($A52="","",IF($E52="Evet",ROUND($C52*tbo_oranIlave,2),0))</f>
        <v/>
      </c>
      <c r="J52" s="31">
        <f>IF($A52="","",IF($F52="Evet",ROUND($C52*tbo_oranKadinGenc,2),0))</f>
        <v/>
      </c>
      <c r="K52" s="31">
        <f>IF($A52="","",IF($G52="Evet",ROUND($C52*tbo_isverenOran,2),0))</f>
        <v/>
      </c>
      <c r="L52" s="31">
        <f>IF($A52="","",IF($M52=0,"YOK",IF($I52=$M52,"TBO-002",IF($H52=$M52,"TBO-001",IF($J52=$M52,"TBO-004","TBO-ENG")))))</f>
        <v/>
      </c>
      <c r="M52" s="31">
        <f>IF($A52="","",MAX($H52,$I52,$J52,$K52))</f>
        <v/>
      </c>
      <c r="N52" s="30" t="n"/>
      <c r="O52" s="31">
        <f>IF($A52="","",MAX(0,$M52-IF($N52="TBO-001",$H52,IF($N52="TBO-002",$I52,IF($N52="TBO-004",$J52,IF($N52="TBO-ENG",$K52,0))))))</f>
        <v/>
      </c>
    </row>
    <row r="53">
      <c r="A53" s="30" t="n"/>
      <c r="B53" s="30" t="n"/>
      <c r="C53" s="30" t="n"/>
      <c r="D53" s="30" t="n"/>
      <c r="E53" s="30" t="n"/>
      <c r="F53" s="30" t="n"/>
      <c r="G53" s="30" t="n"/>
      <c r="H53" s="31">
        <f>IF($A53="","",IF($D53="Evet",ROUND($C53*tbo_oranBesPuan,2),0))</f>
        <v/>
      </c>
      <c r="I53" s="31">
        <f>IF($A53="","",IF($E53="Evet",ROUND($C53*tbo_oranIlave,2),0))</f>
        <v/>
      </c>
      <c r="J53" s="31">
        <f>IF($A53="","",IF($F53="Evet",ROUND($C53*tbo_oranKadinGenc,2),0))</f>
        <v/>
      </c>
      <c r="K53" s="31">
        <f>IF($A53="","",IF($G53="Evet",ROUND($C53*tbo_isverenOran,2),0))</f>
        <v/>
      </c>
      <c r="L53" s="31">
        <f>IF($A53="","",IF($M53=0,"YOK",IF($I53=$M53,"TBO-002",IF($H53=$M53,"TBO-001",IF($J53=$M53,"TBO-004","TBO-ENG")))))</f>
        <v/>
      </c>
      <c r="M53" s="31">
        <f>IF($A53="","",MAX($H53,$I53,$J53,$K53))</f>
        <v/>
      </c>
      <c r="N53" s="30" t="n"/>
      <c r="O53" s="31">
        <f>IF($A53="","",MAX(0,$M53-IF($N53="TBO-001",$H53,IF($N53="TBO-002",$I53,IF($N53="TBO-004",$J53,IF($N53="TBO-ENG",$K53,0))))))</f>
        <v/>
      </c>
    </row>
    <row r="54">
      <c r="A54" s="30" t="n"/>
      <c r="B54" s="30" t="n"/>
      <c r="C54" s="30" t="n"/>
      <c r="D54" s="30" t="n"/>
      <c r="E54" s="30" t="n"/>
      <c r="F54" s="30" t="n"/>
      <c r="G54" s="30" t="n"/>
      <c r="H54" s="31">
        <f>IF($A54="","",IF($D54="Evet",ROUND($C54*tbo_oranBesPuan,2),0))</f>
        <v/>
      </c>
      <c r="I54" s="31">
        <f>IF($A54="","",IF($E54="Evet",ROUND($C54*tbo_oranIlave,2),0))</f>
        <v/>
      </c>
      <c r="J54" s="31">
        <f>IF($A54="","",IF($F54="Evet",ROUND($C54*tbo_oranKadinGenc,2),0))</f>
        <v/>
      </c>
      <c r="K54" s="31">
        <f>IF($A54="","",IF($G54="Evet",ROUND($C54*tbo_isverenOran,2),0))</f>
        <v/>
      </c>
      <c r="L54" s="31">
        <f>IF($A54="","",IF($M54=0,"YOK",IF($I54=$M54,"TBO-002",IF($H54=$M54,"TBO-001",IF($J54=$M54,"TBO-004","TBO-ENG")))))</f>
        <v/>
      </c>
      <c r="M54" s="31">
        <f>IF($A54="","",MAX($H54,$I54,$J54,$K54))</f>
        <v/>
      </c>
      <c r="N54" s="30" t="n"/>
      <c r="O54" s="31">
        <f>IF($A54="","",MAX(0,$M54-IF($N54="TBO-001",$H54,IF($N54="TBO-002",$I54,IF($N54="TBO-004",$J54,IF($N54="TBO-ENG",$K54,0))))))</f>
        <v/>
      </c>
    </row>
    <row r="55">
      <c r="A55" s="30" t="n"/>
      <c r="B55" s="30" t="n"/>
      <c r="C55" s="30" t="n"/>
      <c r="D55" s="30" t="n"/>
      <c r="E55" s="30" t="n"/>
      <c r="F55" s="30" t="n"/>
      <c r="G55" s="30" t="n"/>
      <c r="H55" s="31">
        <f>IF($A55="","",IF($D55="Evet",ROUND($C55*tbo_oranBesPuan,2),0))</f>
        <v/>
      </c>
      <c r="I55" s="31">
        <f>IF($A55="","",IF($E55="Evet",ROUND($C55*tbo_oranIlave,2),0))</f>
        <v/>
      </c>
      <c r="J55" s="31">
        <f>IF($A55="","",IF($F55="Evet",ROUND($C55*tbo_oranKadinGenc,2),0))</f>
        <v/>
      </c>
      <c r="K55" s="31">
        <f>IF($A55="","",IF($G55="Evet",ROUND($C55*tbo_isverenOran,2),0))</f>
        <v/>
      </c>
      <c r="L55" s="31">
        <f>IF($A55="","",IF($M55=0,"YOK",IF($I55=$M55,"TBO-002",IF($H55=$M55,"TBO-001",IF($J55=$M55,"TBO-004","TBO-ENG")))))</f>
        <v/>
      </c>
      <c r="M55" s="31">
        <f>IF($A55="","",MAX($H55,$I55,$J55,$K55))</f>
        <v/>
      </c>
      <c r="N55" s="30" t="n"/>
      <c r="O55" s="31">
        <f>IF($A55="","",MAX(0,$M55-IF($N55="TBO-001",$H55,IF($N55="TBO-002",$I55,IF($N55="TBO-004",$J55,IF($N55="TBO-ENG",$K55,0))))))</f>
        <v/>
      </c>
    </row>
    <row r="56">
      <c r="A56" s="30" t="n"/>
      <c r="B56" s="30" t="n"/>
      <c r="C56" s="30" t="n"/>
      <c r="D56" s="30" t="n"/>
      <c r="E56" s="30" t="n"/>
      <c r="F56" s="30" t="n"/>
      <c r="G56" s="30" t="n"/>
      <c r="H56" s="31">
        <f>IF($A56="","",IF($D56="Evet",ROUND($C56*tbo_oranBesPuan,2),0))</f>
        <v/>
      </c>
      <c r="I56" s="31">
        <f>IF($A56="","",IF($E56="Evet",ROUND($C56*tbo_oranIlave,2),0))</f>
        <v/>
      </c>
      <c r="J56" s="31">
        <f>IF($A56="","",IF($F56="Evet",ROUND($C56*tbo_oranKadinGenc,2),0))</f>
        <v/>
      </c>
      <c r="K56" s="31">
        <f>IF($A56="","",IF($G56="Evet",ROUND($C56*tbo_isverenOran,2),0))</f>
        <v/>
      </c>
      <c r="L56" s="31">
        <f>IF($A56="","",IF($M56=0,"YOK",IF($I56=$M56,"TBO-002",IF($H56=$M56,"TBO-001",IF($J56=$M56,"TBO-004","TBO-ENG")))))</f>
        <v/>
      </c>
      <c r="M56" s="31">
        <f>IF($A56="","",MAX($H56,$I56,$J56,$K56))</f>
        <v/>
      </c>
      <c r="N56" s="30" t="n"/>
      <c r="O56" s="31">
        <f>IF($A56="","",MAX(0,$M56-IF($N56="TBO-001",$H56,IF($N56="TBO-002",$I56,IF($N56="TBO-004",$J56,IF($N56="TBO-ENG",$K56,0))))))</f>
        <v/>
      </c>
    </row>
    <row r="57">
      <c r="H57" s="31">
        <f>IF($A57="","",IF($D57="Evet",ROUND($C57*tbo_oranBesPuan,2),0))</f>
        <v/>
      </c>
      <c r="I57" s="31">
        <f>IF($A57="","",IF($E57="Evet",ROUND($C57*tbo_oranIlave,2),0))</f>
        <v/>
      </c>
      <c r="J57" s="31">
        <f>IF($A57="","",IF($F57="Evet",ROUND($C57*tbo_oranKadinGenc,2),0))</f>
        <v/>
      </c>
      <c r="K57" s="31">
        <f>IF($A57="","",IF($G57="Evet",ROUND($C57*tbo_isverenOran,2),0))</f>
        <v/>
      </c>
      <c r="L57" s="31">
        <f>IF($A57="","",IF($M57=0,"YOK",IF($I57=$M57,"TBO-002",IF($H57=$M57,"TBO-001",IF($J57=$M57,"TBO-004","TBO-ENG")))))</f>
        <v/>
      </c>
      <c r="M57" s="31">
        <f>IF($A57="","",MAX($H57,$I57,$J57,$K57))</f>
        <v/>
      </c>
      <c r="O57" s="31">
        <f>IF($A57="","",MAX(0,$M57-IF($N57="TBO-001",$H57,IF($N57="TBO-002",$I57,IF($N57="TBO-004",$J57,IF($N57="TBO-ENG",$K57,0))))))</f>
        <v/>
      </c>
    </row>
    <row r="58">
      <c r="H58" s="31">
        <f>IF($A58="","",IF($D58="Evet",ROUND($C58*tbo_oranBesPuan,2),0))</f>
        <v/>
      </c>
      <c r="I58" s="31">
        <f>IF($A58="","",IF($E58="Evet",ROUND($C58*tbo_oranIlave,2),0))</f>
        <v/>
      </c>
      <c r="J58" s="31">
        <f>IF($A58="","",IF($F58="Evet",ROUND($C58*tbo_oranKadinGenc,2),0))</f>
        <v/>
      </c>
      <c r="K58" s="31">
        <f>IF($A58="","",IF($G58="Evet",ROUND($C58*tbo_isverenOran,2),0))</f>
        <v/>
      </c>
      <c r="L58" s="31">
        <f>IF($A58="","",IF($M58=0,"YOK",IF($I58=$M58,"TBO-002",IF($H58=$M58,"TBO-001",IF($J58=$M58,"TBO-004","TBO-ENG")))))</f>
        <v/>
      </c>
      <c r="M58" s="31">
        <f>IF($A58="","",MAX($H58,$I58,$J58,$K58))</f>
        <v/>
      </c>
      <c r="O58" s="31">
        <f>IF($A58="","",MAX(0,$M58-IF($N58="TBO-001",$H58,IF($N58="TBO-002",$I58,IF($N58="TBO-004",$J58,IF($N58="TBO-ENG",$K58,0))))))</f>
        <v/>
      </c>
    </row>
    <row r="59">
      <c r="H59" s="31">
        <f>IF($A59="","",IF($D59="Evet",ROUND($C59*tbo_oranBesPuan,2),0))</f>
        <v/>
      </c>
      <c r="I59" s="31">
        <f>IF($A59="","",IF($E59="Evet",ROUND($C59*tbo_oranIlave,2),0))</f>
        <v/>
      </c>
      <c r="J59" s="31">
        <f>IF($A59="","",IF($F59="Evet",ROUND($C59*tbo_oranKadinGenc,2),0))</f>
        <v/>
      </c>
      <c r="K59" s="31">
        <f>IF($A59="","",IF($G59="Evet",ROUND($C59*tbo_isverenOran,2),0))</f>
        <v/>
      </c>
      <c r="L59" s="31">
        <f>IF($A59="","",IF($M59=0,"YOK",IF($I59=$M59,"TBO-002",IF($H59=$M59,"TBO-001",IF($J59=$M59,"TBO-004","TBO-ENG")))))</f>
        <v/>
      </c>
      <c r="M59" s="31">
        <f>IF($A59="","",MAX($H59,$I59,$J59,$K59))</f>
        <v/>
      </c>
      <c r="O59" s="31">
        <f>IF($A59="","",MAX(0,$M59-IF($N59="TBO-001",$H59,IF($N59="TBO-002",$I59,IF($N59="TBO-004",$J59,IF($N59="TBO-ENG",$K59,0))))))</f>
        <v/>
      </c>
    </row>
    <row r="60">
      <c r="H60" s="31">
        <f>IF($A60="","",IF($D60="Evet",ROUND($C60*tbo_oranBesPuan,2),0))</f>
        <v/>
      </c>
      <c r="I60" s="31">
        <f>IF($A60="","",IF($E60="Evet",ROUND($C60*tbo_oranIlave,2),0))</f>
        <v/>
      </c>
      <c r="J60" s="31">
        <f>IF($A60="","",IF($F60="Evet",ROUND($C60*tbo_oranKadinGenc,2),0))</f>
        <v/>
      </c>
      <c r="K60" s="31">
        <f>IF($A60="","",IF($G60="Evet",ROUND($C60*tbo_isverenOran,2),0))</f>
        <v/>
      </c>
      <c r="L60" s="31">
        <f>IF($A60="","",IF($M60=0,"YOK",IF($I60=$M60,"TBO-002",IF($H60=$M60,"TBO-001",IF($J60=$M60,"TBO-004","TBO-ENG")))))</f>
        <v/>
      </c>
      <c r="M60" s="31">
        <f>IF($A60="","",MAX($H60,$I60,$J60,$K60))</f>
        <v/>
      </c>
      <c r="O60" s="31">
        <f>IF($A60="","",MAX(0,$M60-IF($N60="TBO-001",$H60,IF($N60="TBO-002",$I60,IF($N60="TBO-004",$J60,IF($N60="TBO-ENG",$K60,0))))))</f>
        <v/>
      </c>
    </row>
    <row r="61">
      <c r="H61" s="31">
        <f>IF($A61="","",IF($D61="Evet",ROUND($C61*tbo_oranBesPuan,2),0))</f>
        <v/>
      </c>
      <c r="I61" s="31">
        <f>IF($A61="","",IF($E61="Evet",ROUND($C61*tbo_oranIlave,2),0))</f>
        <v/>
      </c>
      <c r="J61" s="31">
        <f>IF($A61="","",IF($F61="Evet",ROUND($C61*tbo_oranKadinGenc,2),0))</f>
        <v/>
      </c>
      <c r="K61" s="31">
        <f>IF($A61="","",IF($G61="Evet",ROUND($C61*tbo_isverenOran,2),0))</f>
        <v/>
      </c>
      <c r="L61" s="31">
        <f>IF($A61="","",IF($M61=0,"YOK",IF($I61=$M61,"TBO-002",IF($H61=$M61,"TBO-001",IF($J61=$M61,"TBO-004","TBO-ENG")))))</f>
        <v/>
      </c>
      <c r="M61" s="31">
        <f>IF($A61="","",MAX($H61,$I61,$J61,$K61))</f>
        <v/>
      </c>
      <c r="O61" s="31">
        <f>IF($A61="","",MAX(0,$M61-IF($N61="TBO-001",$H61,IF($N61="TBO-002",$I61,IF($N61="TBO-004",$J61,IF($N61="TBO-ENG",$K61,0))))))</f>
        <v/>
      </c>
    </row>
    <row r="62">
      <c r="H62" s="31">
        <f>IF($A62="","",IF($D62="Evet",ROUND($C62*tbo_oranBesPuan,2),0))</f>
        <v/>
      </c>
      <c r="I62" s="31">
        <f>IF($A62="","",IF($E62="Evet",ROUND($C62*tbo_oranIlave,2),0))</f>
        <v/>
      </c>
      <c r="J62" s="31">
        <f>IF($A62="","",IF($F62="Evet",ROUND($C62*tbo_oranKadinGenc,2),0))</f>
        <v/>
      </c>
      <c r="K62" s="31">
        <f>IF($A62="","",IF($G62="Evet",ROUND($C62*tbo_isverenOran,2),0))</f>
        <v/>
      </c>
      <c r="L62" s="31">
        <f>IF($A62="","",IF($M62=0,"YOK",IF($I62=$M62,"TBO-002",IF($H62=$M62,"TBO-001",IF($J62=$M62,"TBO-004","TBO-ENG")))))</f>
        <v/>
      </c>
      <c r="M62" s="31">
        <f>IF($A62="","",MAX($H62,$I62,$J62,$K62))</f>
        <v/>
      </c>
      <c r="O62" s="31">
        <f>IF($A62="","",MAX(0,$M62-IF($N62="TBO-001",$H62,IF($N62="TBO-002",$I62,IF($N62="TBO-004",$J62,IF($N62="TBO-ENG",$K62,0))))))</f>
        <v/>
      </c>
    </row>
    <row r="63">
      <c r="H63" s="31">
        <f>IF($A63="","",IF($D63="Evet",ROUND($C63*tbo_oranBesPuan,2),0))</f>
        <v/>
      </c>
      <c r="I63" s="31">
        <f>IF($A63="","",IF($E63="Evet",ROUND($C63*tbo_oranIlave,2),0))</f>
        <v/>
      </c>
      <c r="J63" s="31">
        <f>IF($A63="","",IF($F63="Evet",ROUND($C63*tbo_oranKadinGenc,2),0))</f>
        <v/>
      </c>
      <c r="K63" s="31">
        <f>IF($A63="","",IF($G63="Evet",ROUND($C63*tbo_isverenOran,2),0))</f>
        <v/>
      </c>
      <c r="L63" s="31">
        <f>IF($A63="","",IF($M63=0,"YOK",IF($I63=$M63,"TBO-002",IF($H63=$M63,"TBO-001",IF($J63=$M63,"TBO-004","TBO-ENG")))))</f>
        <v/>
      </c>
      <c r="M63" s="31">
        <f>IF($A63="","",MAX($H63,$I63,$J63,$K63))</f>
        <v/>
      </c>
      <c r="O63" s="31">
        <f>IF($A63="","",MAX(0,$M63-IF($N63="TBO-001",$H63,IF($N63="TBO-002",$I63,IF($N63="TBO-004",$J63,IF($N63="TBO-ENG",$K63,0))))))</f>
        <v/>
      </c>
    </row>
    <row r="64">
      <c r="H64" s="31">
        <f>IF($A64="","",IF($D64="Evet",ROUND($C64*tbo_oranBesPuan,2),0))</f>
        <v/>
      </c>
      <c r="I64" s="31">
        <f>IF($A64="","",IF($E64="Evet",ROUND($C64*tbo_oranIlave,2),0))</f>
        <v/>
      </c>
      <c r="J64" s="31">
        <f>IF($A64="","",IF($F64="Evet",ROUND($C64*tbo_oranKadinGenc,2),0))</f>
        <v/>
      </c>
      <c r="K64" s="31">
        <f>IF($A64="","",IF($G64="Evet",ROUND($C64*tbo_isverenOran,2),0))</f>
        <v/>
      </c>
      <c r="L64" s="31">
        <f>IF($A64="","",IF($M64=0,"YOK",IF($I64=$M64,"TBO-002",IF($H64=$M64,"TBO-001",IF($J64=$M64,"TBO-004","TBO-ENG")))))</f>
        <v/>
      </c>
      <c r="M64" s="31">
        <f>IF($A64="","",MAX($H64,$I64,$J64,$K64))</f>
        <v/>
      </c>
      <c r="O64" s="31">
        <f>IF($A64="","",MAX(0,$M64-IF($N64="TBO-001",$H64,IF($N64="TBO-002",$I64,IF($N64="TBO-004",$J64,IF($N64="TBO-ENG",$K64,0))))))</f>
        <v/>
      </c>
    </row>
    <row r="65">
      <c r="H65" s="31">
        <f>IF($A65="","",IF($D65="Evet",ROUND($C65*tbo_oranBesPuan,2),0))</f>
        <v/>
      </c>
      <c r="I65" s="31">
        <f>IF($A65="","",IF($E65="Evet",ROUND($C65*tbo_oranIlave,2),0))</f>
        <v/>
      </c>
      <c r="J65" s="31">
        <f>IF($A65="","",IF($F65="Evet",ROUND($C65*tbo_oranKadinGenc,2),0))</f>
        <v/>
      </c>
      <c r="K65" s="31">
        <f>IF($A65="","",IF($G65="Evet",ROUND($C65*tbo_isverenOran,2),0))</f>
        <v/>
      </c>
      <c r="L65" s="31">
        <f>IF($A65="","",IF($M65=0,"YOK",IF($I65=$M65,"TBO-002",IF($H65=$M65,"TBO-001",IF($J65=$M65,"TBO-004","TBO-ENG")))))</f>
        <v/>
      </c>
      <c r="M65" s="31">
        <f>IF($A65="","",MAX($H65,$I65,$J65,$K65))</f>
        <v/>
      </c>
      <c r="O65" s="31">
        <f>IF($A65="","",MAX(0,$M65-IF($N65="TBO-001",$H65,IF($N65="TBO-002",$I65,IF($N65="TBO-004",$J65,IF($N65="TBO-ENG",$K65,0))))))</f>
        <v/>
      </c>
    </row>
    <row r="66">
      <c r="H66" s="31">
        <f>IF($A66="","",IF($D66="Evet",ROUND($C66*tbo_oranBesPuan,2),0))</f>
        <v/>
      </c>
      <c r="I66" s="31">
        <f>IF($A66="","",IF($E66="Evet",ROUND($C66*tbo_oranIlave,2),0))</f>
        <v/>
      </c>
      <c r="J66" s="31">
        <f>IF($A66="","",IF($F66="Evet",ROUND($C66*tbo_oranKadinGenc,2),0))</f>
        <v/>
      </c>
      <c r="K66" s="31">
        <f>IF($A66="","",IF($G66="Evet",ROUND($C66*tbo_isverenOran,2),0))</f>
        <v/>
      </c>
      <c r="L66" s="31">
        <f>IF($A66="","",IF($M66=0,"YOK",IF($I66=$M66,"TBO-002",IF($H66=$M66,"TBO-001",IF($J66=$M66,"TBO-004","TBO-ENG")))))</f>
        <v/>
      </c>
      <c r="M66" s="31">
        <f>IF($A66="","",MAX($H66,$I66,$J66,$K66))</f>
        <v/>
      </c>
      <c r="O66" s="31">
        <f>IF($A66="","",MAX(0,$M66-IF($N66="TBO-001",$H66,IF($N66="TBO-002",$I66,IF($N66="TBO-004",$J66,IF($N66="TBO-ENG",$K66,0))))))</f>
        <v/>
      </c>
    </row>
    <row r="67">
      <c r="H67" s="31">
        <f>IF($A67="","",IF($D67="Evet",ROUND($C67*tbo_oranBesPuan,2),0))</f>
        <v/>
      </c>
      <c r="I67" s="31">
        <f>IF($A67="","",IF($E67="Evet",ROUND($C67*tbo_oranIlave,2),0))</f>
        <v/>
      </c>
      <c r="J67" s="31">
        <f>IF($A67="","",IF($F67="Evet",ROUND($C67*tbo_oranKadinGenc,2),0))</f>
        <v/>
      </c>
      <c r="K67" s="31">
        <f>IF($A67="","",IF($G67="Evet",ROUND($C67*tbo_isverenOran,2),0))</f>
        <v/>
      </c>
      <c r="L67" s="31">
        <f>IF($A67="","",IF($M67=0,"YOK",IF($I67=$M67,"TBO-002",IF($H67=$M67,"TBO-001",IF($J67=$M67,"TBO-004","TBO-ENG")))))</f>
        <v/>
      </c>
      <c r="M67" s="31">
        <f>IF($A67="","",MAX($H67,$I67,$J67,$K67))</f>
        <v/>
      </c>
      <c r="O67" s="31">
        <f>IF($A67="","",MAX(0,$M67-IF($N67="TBO-001",$H67,IF($N67="TBO-002",$I67,IF($N67="TBO-004",$J67,IF($N67="TBO-ENG",$K67,0))))))</f>
        <v/>
      </c>
    </row>
    <row r="68">
      <c r="H68" s="31">
        <f>IF($A68="","",IF($D68="Evet",ROUND($C68*tbo_oranBesPuan,2),0))</f>
        <v/>
      </c>
      <c r="I68" s="31">
        <f>IF($A68="","",IF($E68="Evet",ROUND($C68*tbo_oranIlave,2),0))</f>
        <v/>
      </c>
      <c r="J68" s="31">
        <f>IF($A68="","",IF($F68="Evet",ROUND($C68*tbo_oranKadinGenc,2),0))</f>
        <v/>
      </c>
      <c r="K68" s="31">
        <f>IF($A68="","",IF($G68="Evet",ROUND($C68*tbo_isverenOran,2),0))</f>
        <v/>
      </c>
      <c r="L68" s="31">
        <f>IF($A68="","",IF($M68=0,"YOK",IF($I68=$M68,"TBO-002",IF($H68=$M68,"TBO-001",IF($J68=$M68,"TBO-004","TBO-ENG")))))</f>
        <v/>
      </c>
      <c r="M68" s="31">
        <f>IF($A68="","",MAX($H68,$I68,$J68,$K68))</f>
        <v/>
      </c>
      <c r="O68" s="31">
        <f>IF($A68="","",MAX(0,$M68-IF($N68="TBO-001",$H68,IF($N68="TBO-002",$I68,IF($N68="TBO-004",$J68,IF($N68="TBO-ENG",$K68,0))))))</f>
        <v/>
      </c>
    </row>
    <row r="69">
      <c r="H69" s="31">
        <f>IF($A69="","",IF($D69="Evet",ROUND($C69*tbo_oranBesPuan,2),0))</f>
        <v/>
      </c>
      <c r="I69" s="31">
        <f>IF($A69="","",IF($E69="Evet",ROUND($C69*tbo_oranIlave,2),0))</f>
        <v/>
      </c>
      <c r="J69" s="31">
        <f>IF($A69="","",IF($F69="Evet",ROUND($C69*tbo_oranKadinGenc,2),0))</f>
        <v/>
      </c>
      <c r="K69" s="31">
        <f>IF($A69="","",IF($G69="Evet",ROUND($C69*tbo_isverenOran,2),0))</f>
        <v/>
      </c>
      <c r="L69" s="31">
        <f>IF($A69="","",IF($M69=0,"YOK",IF($I69=$M69,"TBO-002",IF($H69=$M69,"TBO-001",IF($J69=$M69,"TBO-004","TBO-ENG")))))</f>
        <v/>
      </c>
      <c r="M69" s="31">
        <f>IF($A69="","",MAX($H69,$I69,$J69,$K69))</f>
        <v/>
      </c>
      <c r="O69" s="31">
        <f>IF($A69="","",MAX(0,$M69-IF($N69="TBO-001",$H69,IF($N69="TBO-002",$I69,IF($N69="TBO-004",$J69,IF($N69="TBO-ENG",$K69,0))))))</f>
        <v/>
      </c>
    </row>
    <row r="70">
      <c r="H70" s="31">
        <f>IF($A70="","",IF($D70="Evet",ROUND($C70*tbo_oranBesPuan,2),0))</f>
        <v/>
      </c>
      <c r="I70" s="31">
        <f>IF($A70="","",IF($E70="Evet",ROUND($C70*tbo_oranIlave,2),0))</f>
        <v/>
      </c>
      <c r="J70" s="31">
        <f>IF($A70="","",IF($F70="Evet",ROUND($C70*tbo_oranKadinGenc,2),0))</f>
        <v/>
      </c>
      <c r="K70" s="31">
        <f>IF($A70="","",IF($G70="Evet",ROUND($C70*tbo_isverenOran,2),0))</f>
        <v/>
      </c>
      <c r="L70" s="31">
        <f>IF($A70="","",IF($M70=0,"YOK",IF($I70=$M70,"TBO-002",IF($H70=$M70,"TBO-001",IF($J70=$M70,"TBO-004","TBO-ENG")))))</f>
        <v/>
      </c>
      <c r="M70" s="31">
        <f>IF($A70="","",MAX($H70,$I70,$J70,$K70))</f>
        <v/>
      </c>
      <c r="O70" s="31">
        <f>IF($A70="","",MAX(0,$M70-IF($N70="TBO-001",$H70,IF($N70="TBO-002",$I70,IF($N70="TBO-004",$J70,IF($N70="TBO-ENG",$K70,0))))))</f>
        <v/>
      </c>
    </row>
    <row r="71">
      <c r="H71" s="31">
        <f>IF($A71="","",IF($D71="Evet",ROUND($C71*tbo_oranBesPuan,2),0))</f>
        <v/>
      </c>
      <c r="I71" s="31">
        <f>IF($A71="","",IF($E71="Evet",ROUND($C71*tbo_oranIlave,2),0))</f>
        <v/>
      </c>
      <c r="J71" s="31">
        <f>IF($A71="","",IF($F71="Evet",ROUND($C71*tbo_oranKadinGenc,2),0))</f>
        <v/>
      </c>
      <c r="K71" s="31">
        <f>IF($A71="","",IF($G71="Evet",ROUND($C71*tbo_isverenOran,2),0))</f>
        <v/>
      </c>
      <c r="L71" s="31">
        <f>IF($A71="","",IF($M71=0,"YOK",IF($I71=$M71,"TBO-002",IF($H71=$M71,"TBO-001",IF($J71=$M71,"TBO-004","TBO-ENG")))))</f>
        <v/>
      </c>
      <c r="M71" s="31">
        <f>IF($A71="","",MAX($H71,$I71,$J71,$K71))</f>
        <v/>
      </c>
      <c r="O71" s="31">
        <f>IF($A71="","",MAX(0,$M71-IF($N71="TBO-001",$H71,IF($N71="TBO-002",$I71,IF($N71="TBO-004",$J71,IF($N71="TBO-ENG",$K71,0))))))</f>
        <v/>
      </c>
    </row>
    <row r="72">
      <c r="H72" s="31">
        <f>IF($A72="","",IF($D72="Evet",ROUND($C72*tbo_oranBesPuan,2),0))</f>
        <v/>
      </c>
      <c r="I72" s="31">
        <f>IF($A72="","",IF($E72="Evet",ROUND($C72*tbo_oranIlave,2),0))</f>
        <v/>
      </c>
      <c r="J72" s="31">
        <f>IF($A72="","",IF($F72="Evet",ROUND($C72*tbo_oranKadinGenc,2),0))</f>
        <v/>
      </c>
      <c r="K72" s="31">
        <f>IF($A72="","",IF($G72="Evet",ROUND($C72*tbo_isverenOran,2),0))</f>
        <v/>
      </c>
      <c r="L72" s="31">
        <f>IF($A72="","",IF($M72=0,"YOK",IF($I72=$M72,"TBO-002",IF($H72=$M72,"TBO-001",IF($J72=$M72,"TBO-004","TBO-ENG")))))</f>
        <v/>
      </c>
      <c r="M72" s="31">
        <f>IF($A72="","",MAX($H72,$I72,$J72,$K72))</f>
        <v/>
      </c>
      <c r="O72" s="31">
        <f>IF($A72="","",MAX(0,$M72-IF($N72="TBO-001",$H72,IF($N72="TBO-002",$I72,IF($N72="TBO-004",$J72,IF($N72="TBO-ENG",$K72,0))))))</f>
        <v/>
      </c>
    </row>
    <row r="73">
      <c r="H73" s="31">
        <f>IF($A73="","",IF($D73="Evet",ROUND($C73*tbo_oranBesPuan,2),0))</f>
        <v/>
      </c>
      <c r="I73" s="31">
        <f>IF($A73="","",IF($E73="Evet",ROUND($C73*tbo_oranIlave,2),0))</f>
        <v/>
      </c>
      <c r="J73" s="31">
        <f>IF($A73="","",IF($F73="Evet",ROUND($C73*tbo_oranKadinGenc,2),0))</f>
        <v/>
      </c>
      <c r="K73" s="31">
        <f>IF($A73="","",IF($G73="Evet",ROUND($C73*tbo_isverenOran,2),0))</f>
        <v/>
      </c>
      <c r="L73" s="31">
        <f>IF($A73="","",IF($M73=0,"YOK",IF($I73=$M73,"TBO-002",IF($H73=$M73,"TBO-001",IF($J73=$M73,"TBO-004","TBO-ENG")))))</f>
        <v/>
      </c>
      <c r="M73" s="31">
        <f>IF($A73="","",MAX($H73,$I73,$J73,$K73))</f>
        <v/>
      </c>
      <c r="O73" s="31">
        <f>IF($A73="","",MAX(0,$M73-IF($N73="TBO-001",$H73,IF($N73="TBO-002",$I73,IF($N73="TBO-004",$J73,IF($N73="TBO-ENG",$K73,0))))))</f>
        <v/>
      </c>
    </row>
    <row r="74">
      <c r="H74" s="31">
        <f>IF($A74="","",IF($D74="Evet",ROUND($C74*tbo_oranBesPuan,2),0))</f>
        <v/>
      </c>
      <c r="I74" s="31">
        <f>IF($A74="","",IF($E74="Evet",ROUND($C74*tbo_oranIlave,2),0))</f>
        <v/>
      </c>
      <c r="J74" s="31">
        <f>IF($A74="","",IF($F74="Evet",ROUND($C74*tbo_oranKadinGenc,2),0))</f>
        <v/>
      </c>
      <c r="K74" s="31">
        <f>IF($A74="","",IF($G74="Evet",ROUND($C74*tbo_isverenOran,2),0))</f>
        <v/>
      </c>
      <c r="L74" s="31">
        <f>IF($A74="","",IF($M74=0,"YOK",IF($I74=$M74,"TBO-002",IF($H74=$M74,"TBO-001",IF($J74=$M74,"TBO-004","TBO-ENG")))))</f>
        <v/>
      </c>
      <c r="M74" s="31">
        <f>IF($A74="","",MAX($H74,$I74,$J74,$K74))</f>
        <v/>
      </c>
      <c r="O74" s="31">
        <f>IF($A74="","",MAX(0,$M74-IF($N74="TBO-001",$H74,IF($N74="TBO-002",$I74,IF($N74="TBO-004",$J74,IF($N74="TBO-ENG",$K74,0))))))</f>
        <v/>
      </c>
    </row>
    <row r="75">
      <c r="H75" s="31">
        <f>IF($A75="","",IF($D75="Evet",ROUND($C75*tbo_oranBesPuan,2),0))</f>
        <v/>
      </c>
      <c r="I75" s="31">
        <f>IF($A75="","",IF($E75="Evet",ROUND($C75*tbo_oranIlave,2),0))</f>
        <v/>
      </c>
      <c r="J75" s="31">
        <f>IF($A75="","",IF($F75="Evet",ROUND($C75*tbo_oranKadinGenc,2),0))</f>
        <v/>
      </c>
      <c r="K75" s="31">
        <f>IF($A75="","",IF($G75="Evet",ROUND($C75*tbo_isverenOran,2),0))</f>
        <v/>
      </c>
      <c r="L75" s="31">
        <f>IF($A75="","",IF($M75=0,"YOK",IF($I75=$M75,"TBO-002",IF($H75=$M75,"TBO-001",IF($J75=$M75,"TBO-004","TBO-ENG")))))</f>
        <v/>
      </c>
      <c r="M75" s="31">
        <f>IF($A75="","",MAX($H75,$I75,$J75,$K75))</f>
        <v/>
      </c>
      <c r="O75" s="31">
        <f>IF($A75="","",MAX(0,$M75-IF($N75="TBO-001",$H75,IF($N75="TBO-002",$I75,IF($N75="TBO-004",$J75,IF($N75="TBO-ENG",$K75,0))))))</f>
        <v/>
      </c>
    </row>
    <row r="76">
      <c r="H76" s="31">
        <f>IF($A76="","",IF($D76="Evet",ROUND($C76*tbo_oranBesPuan,2),0))</f>
        <v/>
      </c>
      <c r="I76" s="31">
        <f>IF($A76="","",IF($E76="Evet",ROUND($C76*tbo_oranIlave,2),0))</f>
        <v/>
      </c>
      <c r="J76" s="31">
        <f>IF($A76="","",IF($F76="Evet",ROUND($C76*tbo_oranKadinGenc,2),0))</f>
        <v/>
      </c>
      <c r="K76" s="31">
        <f>IF($A76="","",IF($G76="Evet",ROUND($C76*tbo_isverenOran,2),0))</f>
        <v/>
      </c>
      <c r="L76" s="31">
        <f>IF($A76="","",IF($M76=0,"YOK",IF($I76=$M76,"TBO-002",IF($H76=$M76,"TBO-001",IF($J76=$M76,"TBO-004","TBO-ENG")))))</f>
        <v/>
      </c>
      <c r="M76" s="31">
        <f>IF($A76="","",MAX($H76,$I76,$J76,$K76))</f>
        <v/>
      </c>
      <c r="O76" s="31">
        <f>IF($A76="","",MAX(0,$M76-IF($N76="TBO-001",$H76,IF($N76="TBO-002",$I76,IF($N76="TBO-004",$J76,IF($N76="TBO-ENG",$K76,0))))))</f>
        <v/>
      </c>
    </row>
    <row r="77">
      <c r="H77" s="31">
        <f>IF($A77="","",IF($D77="Evet",ROUND($C77*tbo_oranBesPuan,2),0))</f>
        <v/>
      </c>
      <c r="I77" s="31">
        <f>IF($A77="","",IF($E77="Evet",ROUND($C77*tbo_oranIlave,2),0))</f>
        <v/>
      </c>
      <c r="J77" s="31">
        <f>IF($A77="","",IF($F77="Evet",ROUND($C77*tbo_oranKadinGenc,2),0))</f>
        <v/>
      </c>
      <c r="K77" s="31">
        <f>IF($A77="","",IF($G77="Evet",ROUND($C77*tbo_isverenOran,2),0))</f>
        <v/>
      </c>
      <c r="L77" s="31">
        <f>IF($A77="","",IF($M77=0,"YOK",IF($I77=$M77,"TBO-002",IF($H77=$M77,"TBO-001",IF($J77=$M77,"TBO-004","TBO-ENG")))))</f>
        <v/>
      </c>
      <c r="M77" s="31">
        <f>IF($A77="","",MAX($H77,$I77,$J77,$K77))</f>
        <v/>
      </c>
      <c r="O77" s="31">
        <f>IF($A77="","",MAX(0,$M77-IF($N77="TBO-001",$H77,IF($N77="TBO-002",$I77,IF($N77="TBO-004",$J77,IF($N77="TBO-ENG",$K77,0))))))</f>
        <v/>
      </c>
    </row>
    <row r="78">
      <c r="H78" s="31">
        <f>IF($A78="","",IF($D78="Evet",ROUND($C78*tbo_oranBesPuan,2),0))</f>
        <v/>
      </c>
      <c r="I78" s="31">
        <f>IF($A78="","",IF($E78="Evet",ROUND($C78*tbo_oranIlave,2),0))</f>
        <v/>
      </c>
      <c r="J78" s="31">
        <f>IF($A78="","",IF($F78="Evet",ROUND($C78*tbo_oranKadinGenc,2),0))</f>
        <v/>
      </c>
      <c r="K78" s="31">
        <f>IF($A78="","",IF($G78="Evet",ROUND($C78*tbo_isverenOran,2),0))</f>
        <v/>
      </c>
      <c r="L78" s="31">
        <f>IF($A78="","",IF($M78=0,"YOK",IF($I78=$M78,"TBO-002",IF($H78=$M78,"TBO-001",IF($J78=$M78,"TBO-004","TBO-ENG")))))</f>
        <v/>
      </c>
      <c r="M78" s="31">
        <f>IF($A78="","",MAX($H78,$I78,$J78,$K78))</f>
        <v/>
      </c>
      <c r="O78" s="31">
        <f>IF($A78="","",MAX(0,$M78-IF($N78="TBO-001",$H78,IF($N78="TBO-002",$I78,IF($N78="TBO-004",$J78,IF($N78="TBO-ENG",$K78,0))))))</f>
        <v/>
      </c>
    </row>
    <row r="79">
      <c r="H79" s="31">
        <f>IF($A79="","",IF($D79="Evet",ROUND($C79*tbo_oranBesPuan,2),0))</f>
        <v/>
      </c>
      <c r="I79" s="31">
        <f>IF($A79="","",IF($E79="Evet",ROUND($C79*tbo_oranIlave,2),0))</f>
        <v/>
      </c>
      <c r="J79" s="31">
        <f>IF($A79="","",IF($F79="Evet",ROUND($C79*tbo_oranKadinGenc,2),0))</f>
        <v/>
      </c>
      <c r="K79" s="31">
        <f>IF($A79="","",IF($G79="Evet",ROUND($C79*tbo_isverenOran,2),0))</f>
        <v/>
      </c>
      <c r="L79" s="31">
        <f>IF($A79="","",IF($M79=0,"YOK",IF($I79=$M79,"TBO-002",IF($H79=$M79,"TBO-001",IF($J79=$M79,"TBO-004","TBO-ENG")))))</f>
        <v/>
      </c>
      <c r="M79" s="31">
        <f>IF($A79="","",MAX($H79,$I79,$J79,$K79))</f>
        <v/>
      </c>
      <c r="O79" s="31">
        <f>IF($A79="","",MAX(0,$M79-IF($N79="TBO-001",$H79,IF($N79="TBO-002",$I79,IF($N79="TBO-004",$J79,IF($N79="TBO-ENG",$K79,0))))))</f>
        <v/>
      </c>
    </row>
    <row r="80">
      <c r="H80" s="31">
        <f>IF($A80="","",IF($D80="Evet",ROUND($C80*tbo_oranBesPuan,2),0))</f>
        <v/>
      </c>
      <c r="I80" s="31">
        <f>IF($A80="","",IF($E80="Evet",ROUND($C80*tbo_oranIlave,2),0))</f>
        <v/>
      </c>
      <c r="J80" s="31">
        <f>IF($A80="","",IF($F80="Evet",ROUND($C80*tbo_oranKadinGenc,2),0))</f>
        <v/>
      </c>
      <c r="K80" s="31">
        <f>IF($A80="","",IF($G80="Evet",ROUND($C80*tbo_isverenOran,2),0))</f>
        <v/>
      </c>
      <c r="L80" s="31">
        <f>IF($A80="","",IF($M80=0,"YOK",IF($I80=$M80,"TBO-002",IF($H80=$M80,"TBO-001",IF($J80=$M80,"TBO-004","TBO-ENG")))))</f>
        <v/>
      </c>
      <c r="M80" s="31">
        <f>IF($A80="","",MAX($H80,$I80,$J80,$K80))</f>
        <v/>
      </c>
      <c r="O80" s="31">
        <f>IF($A80="","",MAX(0,$M80-IF($N80="TBO-001",$H80,IF($N80="TBO-002",$I80,IF($N80="TBO-004",$J80,IF($N80="TBO-ENG",$K80,0))))))</f>
        <v/>
      </c>
    </row>
    <row r="81">
      <c r="H81" s="31">
        <f>IF($A81="","",IF($D81="Evet",ROUND($C81*tbo_oranBesPuan,2),0))</f>
        <v/>
      </c>
      <c r="I81" s="31">
        <f>IF($A81="","",IF($E81="Evet",ROUND($C81*tbo_oranIlave,2),0))</f>
        <v/>
      </c>
      <c r="J81" s="31">
        <f>IF($A81="","",IF($F81="Evet",ROUND($C81*tbo_oranKadinGenc,2),0))</f>
        <v/>
      </c>
      <c r="K81" s="31">
        <f>IF($A81="","",IF($G81="Evet",ROUND($C81*tbo_isverenOran,2),0))</f>
        <v/>
      </c>
      <c r="L81" s="31">
        <f>IF($A81="","",IF($M81=0,"YOK",IF($I81=$M81,"TBO-002",IF($H81=$M81,"TBO-001",IF($J81=$M81,"TBO-004","TBO-ENG")))))</f>
        <v/>
      </c>
      <c r="M81" s="31">
        <f>IF($A81="","",MAX($H81,$I81,$J81,$K81))</f>
        <v/>
      </c>
      <c r="O81" s="31">
        <f>IF($A81="","",MAX(0,$M81-IF($N81="TBO-001",$H81,IF($N81="TBO-002",$I81,IF($N81="TBO-004",$J81,IF($N81="TBO-ENG",$K81,0))))))</f>
        <v/>
      </c>
    </row>
    <row r="82">
      <c r="H82" s="31">
        <f>IF($A82="","",IF($D82="Evet",ROUND($C82*tbo_oranBesPuan,2),0))</f>
        <v/>
      </c>
      <c r="I82" s="31">
        <f>IF($A82="","",IF($E82="Evet",ROUND($C82*tbo_oranIlave,2),0))</f>
        <v/>
      </c>
      <c r="J82" s="31">
        <f>IF($A82="","",IF($F82="Evet",ROUND($C82*tbo_oranKadinGenc,2),0))</f>
        <v/>
      </c>
      <c r="K82" s="31">
        <f>IF($A82="","",IF($G82="Evet",ROUND($C82*tbo_isverenOran,2),0))</f>
        <v/>
      </c>
      <c r="L82" s="31">
        <f>IF($A82="","",IF($M82=0,"YOK",IF($I82=$M82,"TBO-002",IF($H82=$M82,"TBO-001",IF($J82=$M82,"TBO-004","TBO-ENG")))))</f>
        <v/>
      </c>
      <c r="M82" s="31">
        <f>IF($A82="","",MAX($H82,$I82,$J82,$K82))</f>
        <v/>
      </c>
      <c r="O82" s="31">
        <f>IF($A82="","",MAX(0,$M82-IF($N82="TBO-001",$H82,IF($N82="TBO-002",$I82,IF($N82="TBO-004",$J82,IF($N82="TBO-ENG",$K82,0))))))</f>
        <v/>
      </c>
    </row>
    <row r="83">
      <c r="H83" s="31">
        <f>IF($A83="","",IF($D83="Evet",ROUND($C83*tbo_oranBesPuan,2),0))</f>
        <v/>
      </c>
      <c r="I83" s="31">
        <f>IF($A83="","",IF($E83="Evet",ROUND($C83*tbo_oranIlave,2),0))</f>
        <v/>
      </c>
      <c r="J83" s="31">
        <f>IF($A83="","",IF($F83="Evet",ROUND($C83*tbo_oranKadinGenc,2),0))</f>
        <v/>
      </c>
      <c r="K83" s="31">
        <f>IF($A83="","",IF($G83="Evet",ROUND($C83*tbo_isverenOran,2),0))</f>
        <v/>
      </c>
      <c r="L83" s="31">
        <f>IF($A83="","",IF($M83=0,"YOK",IF($I83=$M83,"TBO-002",IF($H83=$M83,"TBO-001",IF($J83=$M83,"TBO-004","TBO-ENG")))))</f>
        <v/>
      </c>
      <c r="M83" s="31">
        <f>IF($A83="","",MAX($H83,$I83,$J83,$K83))</f>
        <v/>
      </c>
      <c r="O83" s="31">
        <f>IF($A83="","",MAX(0,$M83-IF($N83="TBO-001",$H83,IF($N83="TBO-002",$I83,IF($N83="TBO-004",$J83,IF($N83="TBO-ENG",$K83,0))))))</f>
        <v/>
      </c>
    </row>
    <row r="84">
      <c r="H84" s="31">
        <f>IF($A84="","",IF($D84="Evet",ROUND($C84*tbo_oranBesPuan,2),0))</f>
        <v/>
      </c>
      <c r="I84" s="31">
        <f>IF($A84="","",IF($E84="Evet",ROUND($C84*tbo_oranIlave,2),0))</f>
        <v/>
      </c>
      <c r="J84" s="31">
        <f>IF($A84="","",IF($F84="Evet",ROUND($C84*tbo_oranKadinGenc,2),0))</f>
        <v/>
      </c>
      <c r="K84" s="31">
        <f>IF($A84="","",IF($G84="Evet",ROUND($C84*tbo_isverenOran,2),0))</f>
        <v/>
      </c>
      <c r="L84" s="31">
        <f>IF($A84="","",IF($M84=0,"YOK",IF($I84=$M84,"TBO-002",IF($H84=$M84,"TBO-001",IF($J84=$M84,"TBO-004","TBO-ENG")))))</f>
        <v/>
      </c>
      <c r="M84" s="31">
        <f>IF($A84="","",MAX($H84,$I84,$J84,$K84))</f>
        <v/>
      </c>
      <c r="O84" s="31">
        <f>IF($A84="","",MAX(0,$M84-IF($N84="TBO-001",$H84,IF($N84="TBO-002",$I84,IF($N84="TBO-004",$J84,IF($N84="TBO-ENG",$K84,0))))))</f>
        <v/>
      </c>
    </row>
    <row r="85">
      <c r="H85" s="31">
        <f>IF($A85="","",IF($D85="Evet",ROUND($C85*tbo_oranBesPuan,2),0))</f>
        <v/>
      </c>
      <c r="I85" s="31">
        <f>IF($A85="","",IF($E85="Evet",ROUND($C85*tbo_oranIlave,2),0))</f>
        <v/>
      </c>
      <c r="J85" s="31">
        <f>IF($A85="","",IF($F85="Evet",ROUND($C85*tbo_oranKadinGenc,2),0))</f>
        <v/>
      </c>
      <c r="K85" s="31">
        <f>IF($A85="","",IF($G85="Evet",ROUND($C85*tbo_isverenOran,2),0))</f>
        <v/>
      </c>
      <c r="L85" s="31">
        <f>IF($A85="","",IF($M85=0,"YOK",IF($I85=$M85,"TBO-002",IF($H85=$M85,"TBO-001",IF($J85=$M85,"TBO-004","TBO-ENG")))))</f>
        <v/>
      </c>
      <c r="M85" s="31">
        <f>IF($A85="","",MAX($H85,$I85,$J85,$K85))</f>
        <v/>
      </c>
      <c r="O85" s="31">
        <f>IF($A85="","",MAX(0,$M85-IF($N85="TBO-001",$H85,IF($N85="TBO-002",$I85,IF($N85="TBO-004",$J85,IF($N85="TBO-ENG",$K85,0))))))</f>
        <v/>
      </c>
    </row>
    <row r="86">
      <c r="H86" s="31">
        <f>IF($A86="","",IF($D86="Evet",ROUND($C86*tbo_oranBesPuan,2),0))</f>
        <v/>
      </c>
      <c r="I86" s="31">
        <f>IF($A86="","",IF($E86="Evet",ROUND($C86*tbo_oranIlave,2),0))</f>
        <v/>
      </c>
      <c r="J86" s="31">
        <f>IF($A86="","",IF($F86="Evet",ROUND($C86*tbo_oranKadinGenc,2),0))</f>
        <v/>
      </c>
      <c r="K86" s="31">
        <f>IF($A86="","",IF($G86="Evet",ROUND($C86*tbo_isverenOran,2),0))</f>
        <v/>
      </c>
      <c r="L86" s="31">
        <f>IF($A86="","",IF($M86=0,"YOK",IF($I86=$M86,"TBO-002",IF($H86=$M86,"TBO-001",IF($J86=$M86,"TBO-004","TBO-ENG")))))</f>
        <v/>
      </c>
      <c r="M86" s="31">
        <f>IF($A86="","",MAX($H86,$I86,$J86,$K86))</f>
        <v/>
      </c>
      <c r="O86" s="31">
        <f>IF($A86="","",MAX(0,$M86-IF($N86="TBO-001",$H86,IF($N86="TBO-002",$I86,IF($N86="TBO-004",$J86,IF($N86="TBO-ENG",$K86,0))))))</f>
        <v/>
      </c>
    </row>
    <row r="87">
      <c r="H87" s="31">
        <f>IF($A87="","",IF($D87="Evet",ROUND($C87*tbo_oranBesPuan,2),0))</f>
        <v/>
      </c>
      <c r="I87" s="31">
        <f>IF($A87="","",IF($E87="Evet",ROUND($C87*tbo_oranIlave,2),0))</f>
        <v/>
      </c>
      <c r="J87" s="31">
        <f>IF($A87="","",IF($F87="Evet",ROUND($C87*tbo_oranKadinGenc,2),0))</f>
        <v/>
      </c>
      <c r="K87" s="31">
        <f>IF($A87="","",IF($G87="Evet",ROUND($C87*tbo_isverenOran,2),0))</f>
        <v/>
      </c>
      <c r="L87" s="31">
        <f>IF($A87="","",IF($M87=0,"YOK",IF($I87=$M87,"TBO-002",IF($H87=$M87,"TBO-001",IF($J87=$M87,"TBO-004","TBO-ENG")))))</f>
        <v/>
      </c>
      <c r="M87" s="31">
        <f>IF($A87="","",MAX($H87,$I87,$J87,$K87))</f>
        <v/>
      </c>
      <c r="O87" s="31">
        <f>IF($A87="","",MAX(0,$M87-IF($N87="TBO-001",$H87,IF($N87="TBO-002",$I87,IF($N87="TBO-004",$J87,IF($N87="TBO-ENG",$K87,0))))))</f>
        <v/>
      </c>
    </row>
    <row r="88">
      <c r="H88" s="31">
        <f>IF($A88="","",IF($D88="Evet",ROUND($C88*tbo_oranBesPuan,2),0))</f>
        <v/>
      </c>
      <c r="I88" s="31">
        <f>IF($A88="","",IF($E88="Evet",ROUND($C88*tbo_oranIlave,2),0))</f>
        <v/>
      </c>
      <c r="J88" s="31">
        <f>IF($A88="","",IF($F88="Evet",ROUND($C88*tbo_oranKadinGenc,2),0))</f>
        <v/>
      </c>
      <c r="K88" s="31">
        <f>IF($A88="","",IF($G88="Evet",ROUND($C88*tbo_isverenOran,2),0))</f>
        <v/>
      </c>
      <c r="L88" s="31">
        <f>IF($A88="","",IF($M88=0,"YOK",IF($I88=$M88,"TBO-002",IF($H88=$M88,"TBO-001",IF($J88=$M88,"TBO-004","TBO-ENG")))))</f>
        <v/>
      </c>
      <c r="M88" s="31">
        <f>IF($A88="","",MAX($H88,$I88,$J88,$K88))</f>
        <v/>
      </c>
      <c r="O88" s="31">
        <f>IF($A88="","",MAX(0,$M88-IF($N88="TBO-001",$H88,IF($N88="TBO-002",$I88,IF($N88="TBO-004",$J88,IF($N88="TBO-ENG",$K88,0))))))</f>
        <v/>
      </c>
    </row>
    <row r="89">
      <c r="H89" s="31">
        <f>IF($A89="","",IF($D89="Evet",ROUND($C89*tbo_oranBesPuan,2),0))</f>
        <v/>
      </c>
      <c r="I89" s="31">
        <f>IF($A89="","",IF($E89="Evet",ROUND($C89*tbo_oranIlave,2),0))</f>
        <v/>
      </c>
      <c r="J89" s="31">
        <f>IF($A89="","",IF($F89="Evet",ROUND($C89*tbo_oranKadinGenc,2),0))</f>
        <v/>
      </c>
      <c r="K89" s="31">
        <f>IF($A89="","",IF($G89="Evet",ROUND($C89*tbo_isverenOran,2),0))</f>
        <v/>
      </c>
      <c r="L89" s="31">
        <f>IF($A89="","",IF($M89=0,"YOK",IF($I89=$M89,"TBO-002",IF($H89=$M89,"TBO-001",IF($J89=$M89,"TBO-004","TBO-ENG")))))</f>
        <v/>
      </c>
      <c r="M89" s="31">
        <f>IF($A89="","",MAX($H89,$I89,$J89,$K89))</f>
        <v/>
      </c>
      <c r="O89" s="31">
        <f>IF($A89="","",MAX(0,$M89-IF($N89="TBO-001",$H89,IF($N89="TBO-002",$I89,IF($N89="TBO-004",$J89,IF($N89="TBO-ENG",$K89,0))))))</f>
        <v/>
      </c>
    </row>
    <row r="90">
      <c r="H90" s="31">
        <f>IF($A90="","",IF($D90="Evet",ROUND($C90*tbo_oranBesPuan,2),0))</f>
        <v/>
      </c>
      <c r="I90" s="31">
        <f>IF($A90="","",IF($E90="Evet",ROUND($C90*tbo_oranIlave,2),0))</f>
        <v/>
      </c>
      <c r="J90" s="31">
        <f>IF($A90="","",IF($F90="Evet",ROUND($C90*tbo_oranKadinGenc,2),0))</f>
        <v/>
      </c>
      <c r="K90" s="31">
        <f>IF($A90="","",IF($G90="Evet",ROUND($C90*tbo_isverenOran,2),0))</f>
        <v/>
      </c>
      <c r="L90" s="31">
        <f>IF($A90="","",IF($M90=0,"YOK",IF($I90=$M90,"TBO-002",IF($H90=$M90,"TBO-001",IF($J90=$M90,"TBO-004","TBO-ENG")))))</f>
        <v/>
      </c>
      <c r="M90" s="31">
        <f>IF($A90="","",MAX($H90,$I90,$J90,$K90))</f>
        <v/>
      </c>
      <c r="O90" s="31">
        <f>IF($A90="","",MAX(0,$M90-IF($N90="TBO-001",$H90,IF($N90="TBO-002",$I90,IF($N90="TBO-004",$J90,IF($N90="TBO-ENG",$K90,0))))))</f>
        <v/>
      </c>
    </row>
    <row r="91">
      <c r="H91" s="31">
        <f>IF($A91="","",IF($D91="Evet",ROUND($C91*tbo_oranBesPuan,2),0))</f>
        <v/>
      </c>
      <c r="I91" s="31">
        <f>IF($A91="","",IF($E91="Evet",ROUND($C91*tbo_oranIlave,2),0))</f>
        <v/>
      </c>
      <c r="J91" s="31">
        <f>IF($A91="","",IF($F91="Evet",ROUND($C91*tbo_oranKadinGenc,2),0))</f>
        <v/>
      </c>
      <c r="K91" s="31">
        <f>IF($A91="","",IF($G91="Evet",ROUND($C91*tbo_isverenOran,2),0))</f>
        <v/>
      </c>
      <c r="L91" s="31">
        <f>IF($A91="","",IF($M91=0,"YOK",IF($I91=$M91,"TBO-002",IF($H91=$M91,"TBO-001",IF($J91=$M91,"TBO-004","TBO-ENG")))))</f>
        <v/>
      </c>
      <c r="M91" s="31">
        <f>IF($A91="","",MAX($H91,$I91,$J91,$K91))</f>
        <v/>
      </c>
      <c r="O91" s="31">
        <f>IF($A91="","",MAX(0,$M91-IF($N91="TBO-001",$H91,IF($N91="TBO-002",$I91,IF($N91="TBO-004",$J91,IF($N91="TBO-ENG",$K91,0))))))</f>
        <v/>
      </c>
    </row>
    <row r="92">
      <c r="H92" s="31">
        <f>IF($A92="","",IF($D92="Evet",ROUND($C92*tbo_oranBesPuan,2),0))</f>
        <v/>
      </c>
      <c r="I92" s="31">
        <f>IF($A92="","",IF($E92="Evet",ROUND($C92*tbo_oranIlave,2),0))</f>
        <v/>
      </c>
      <c r="J92" s="31">
        <f>IF($A92="","",IF($F92="Evet",ROUND($C92*tbo_oranKadinGenc,2),0))</f>
        <v/>
      </c>
      <c r="K92" s="31">
        <f>IF($A92="","",IF($G92="Evet",ROUND($C92*tbo_isverenOran,2),0))</f>
        <v/>
      </c>
      <c r="L92" s="31">
        <f>IF($A92="","",IF($M92=0,"YOK",IF($I92=$M92,"TBO-002",IF($H92=$M92,"TBO-001",IF($J92=$M92,"TBO-004","TBO-ENG")))))</f>
        <v/>
      </c>
      <c r="M92" s="31">
        <f>IF($A92="","",MAX($H92,$I92,$J92,$K92))</f>
        <v/>
      </c>
      <c r="O92" s="31">
        <f>IF($A92="","",MAX(0,$M92-IF($N92="TBO-001",$H92,IF($N92="TBO-002",$I92,IF($N92="TBO-004",$J92,IF($N92="TBO-ENG",$K92,0))))))</f>
        <v/>
      </c>
    </row>
    <row r="93">
      <c r="H93" s="31">
        <f>IF($A93="","",IF($D93="Evet",ROUND($C93*tbo_oranBesPuan,2),0))</f>
        <v/>
      </c>
      <c r="I93" s="31">
        <f>IF($A93="","",IF($E93="Evet",ROUND($C93*tbo_oranIlave,2),0))</f>
        <v/>
      </c>
      <c r="J93" s="31">
        <f>IF($A93="","",IF($F93="Evet",ROUND($C93*tbo_oranKadinGenc,2),0))</f>
        <v/>
      </c>
      <c r="K93" s="31">
        <f>IF($A93="","",IF($G93="Evet",ROUND($C93*tbo_isverenOran,2),0))</f>
        <v/>
      </c>
      <c r="L93" s="31">
        <f>IF($A93="","",IF($M93=0,"YOK",IF($I93=$M93,"TBO-002",IF($H93=$M93,"TBO-001",IF($J93=$M93,"TBO-004","TBO-ENG")))))</f>
        <v/>
      </c>
      <c r="M93" s="31">
        <f>IF($A93="","",MAX($H93,$I93,$J93,$K93))</f>
        <v/>
      </c>
      <c r="O93" s="31">
        <f>IF($A93="","",MAX(0,$M93-IF($N93="TBO-001",$H93,IF($N93="TBO-002",$I93,IF($N93="TBO-004",$J93,IF($N93="TBO-ENG",$K93,0))))))</f>
        <v/>
      </c>
    </row>
    <row r="94">
      <c r="H94" s="31">
        <f>IF($A94="","",IF($D94="Evet",ROUND($C94*tbo_oranBesPuan,2),0))</f>
        <v/>
      </c>
      <c r="I94" s="31">
        <f>IF($A94="","",IF($E94="Evet",ROUND($C94*tbo_oranIlave,2),0))</f>
        <v/>
      </c>
      <c r="J94" s="31">
        <f>IF($A94="","",IF($F94="Evet",ROUND($C94*tbo_oranKadinGenc,2),0))</f>
        <v/>
      </c>
      <c r="K94" s="31">
        <f>IF($A94="","",IF($G94="Evet",ROUND($C94*tbo_isverenOran,2),0))</f>
        <v/>
      </c>
      <c r="L94" s="31">
        <f>IF($A94="","",IF($M94=0,"YOK",IF($I94=$M94,"TBO-002",IF($H94=$M94,"TBO-001",IF($J94=$M94,"TBO-004","TBO-ENG")))))</f>
        <v/>
      </c>
      <c r="M94" s="31">
        <f>IF($A94="","",MAX($H94,$I94,$J94,$K94))</f>
        <v/>
      </c>
      <c r="O94" s="31">
        <f>IF($A94="","",MAX(0,$M94-IF($N94="TBO-001",$H94,IF($N94="TBO-002",$I94,IF($N94="TBO-004",$J94,IF($N94="TBO-ENG",$K94,0))))))</f>
        <v/>
      </c>
    </row>
    <row r="95">
      <c r="H95" s="31">
        <f>IF($A95="","",IF($D95="Evet",ROUND($C95*tbo_oranBesPuan,2),0))</f>
        <v/>
      </c>
      <c r="I95" s="31">
        <f>IF($A95="","",IF($E95="Evet",ROUND($C95*tbo_oranIlave,2),0))</f>
        <v/>
      </c>
      <c r="J95" s="31">
        <f>IF($A95="","",IF($F95="Evet",ROUND($C95*tbo_oranKadinGenc,2),0))</f>
        <v/>
      </c>
      <c r="K95" s="31">
        <f>IF($A95="","",IF($G95="Evet",ROUND($C95*tbo_isverenOran,2),0))</f>
        <v/>
      </c>
      <c r="L95" s="31">
        <f>IF($A95="","",IF($M95=0,"YOK",IF($I95=$M95,"TBO-002",IF($H95=$M95,"TBO-001",IF($J95=$M95,"TBO-004","TBO-ENG")))))</f>
        <v/>
      </c>
      <c r="M95" s="31">
        <f>IF($A95="","",MAX($H95,$I95,$J95,$K95))</f>
        <v/>
      </c>
      <c r="O95" s="31">
        <f>IF($A95="","",MAX(0,$M95-IF($N95="TBO-001",$H95,IF($N95="TBO-002",$I95,IF($N95="TBO-004",$J95,IF($N95="TBO-ENG",$K95,0))))))</f>
        <v/>
      </c>
    </row>
    <row r="96">
      <c r="H96" s="31">
        <f>IF($A96="","",IF($D96="Evet",ROUND($C96*tbo_oranBesPuan,2),0))</f>
        <v/>
      </c>
      <c r="I96" s="31">
        <f>IF($A96="","",IF($E96="Evet",ROUND($C96*tbo_oranIlave,2),0))</f>
        <v/>
      </c>
      <c r="J96" s="31">
        <f>IF($A96="","",IF($F96="Evet",ROUND($C96*tbo_oranKadinGenc,2),0))</f>
        <v/>
      </c>
      <c r="K96" s="31">
        <f>IF($A96="","",IF($G96="Evet",ROUND($C96*tbo_isverenOran,2),0))</f>
        <v/>
      </c>
      <c r="L96" s="31">
        <f>IF($A96="","",IF($M96=0,"YOK",IF($I96=$M96,"TBO-002",IF($H96=$M96,"TBO-001",IF($J96=$M96,"TBO-004","TBO-ENG")))))</f>
        <v/>
      </c>
      <c r="M96" s="31">
        <f>IF($A96="","",MAX($H96,$I96,$J96,$K96))</f>
        <v/>
      </c>
      <c r="O96" s="31">
        <f>IF($A96="","",MAX(0,$M96-IF($N96="TBO-001",$H96,IF($N96="TBO-002",$I96,IF($N96="TBO-004",$J96,IF($N96="TBO-ENG",$K96,0))))))</f>
        <v/>
      </c>
    </row>
    <row r="97">
      <c r="H97" s="31">
        <f>IF($A97="","",IF($D97="Evet",ROUND($C97*tbo_oranBesPuan,2),0))</f>
        <v/>
      </c>
      <c r="I97" s="31">
        <f>IF($A97="","",IF($E97="Evet",ROUND($C97*tbo_oranIlave,2),0))</f>
        <v/>
      </c>
      <c r="J97" s="31">
        <f>IF($A97="","",IF($F97="Evet",ROUND($C97*tbo_oranKadinGenc,2),0))</f>
        <v/>
      </c>
      <c r="K97" s="31">
        <f>IF($A97="","",IF($G97="Evet",ROUND($C97*tbo_isverenOran,2),0))</f>
        <v/>
      </c>
      <c r="L97" s="31">
        <f>IF($A97="","",IF($M97=0,"YOK",IF($I97=$M97,"TBO-002",IF($H97=$M97,"TBO-001",IF($J97=$M97,"TBO-004","TBO-ENG")))))</f>
        <v/>
      </c>
      <c r="M97" s="31">
        <f>IF($A97="","",MAX($H97,$I97,$J97,$K97))</f>
        <v/>
      </c>
      <c r="O97" s="31">
        <f>IF($A97="","",MAX(0,$M97-IF($N97="TBO-001",$H97,IF($N97="TBO-002",$I97,IF($N97="TBO-004",$J97,IF($N97="TBO-ENG",$K97,0))))))</f>
        <v/>
      </c>
    </row>
    <row r="98">
      <c r="H98" s="31">
        <f>IF($A98="","",IF($D98="Evet",ROUND($C98*tbo_oranBesPuan,2),0))</f>
        <v/>
      </c>
      <c r="I98" s="31">
        <f>IF($A98="","",IF($E98="Evet",ROUND($C98*tbo_oranIlave,2),0))</f>
        <v/>
      </c>
      <c r="J98" s="31">
        <f>IF($A98="","",IF($F98="Evet",ROUND($C98*tbo_oranKadinGenc,2),0))</f>
        <v/>
      </c>
      <c r="K98" s="31">
        <f>IF($A98="","",IF($G98="Evet",ROUND($C98*tbo_isverenOran,2),0))</f>
        <v/>
      </c>
      <c r="L98" s="31">
        <f>IF($A98="","",IF($M98=0,"YOK",IF($I98=$M98,"TBO-002",IF($H98=$M98,"TBO-001",IF($J98=$M98,"TBO-004","TBO-ENG")))))</f>
        <v/>
      </c>
      <c r="M98" s="31">
        <f>IF($A98="","",MAX($H98,$I98,$J98,$K98))</f>
        <v/>
      </c>
      <c r="O98" s="31">
        <f>IF($A98="","",MAX(0,$M98-IF($N98="TBO-001",$H98,IF($N98="TBO-002",$I98,IF($N98="TBO-004",$J98,IF($N98="TBO-ENG",$K98,0))))))</f>
        <v/>
      </c>
    </row>
    <row r="99">
      <c r="H99" s="31">
        <f>IF($A99="","",IF($D99="Evet",ROUND($C99*tbo_oranBesPuan,2),0))</f>
        <v/>
      </c>
      <c r="I99" s="31">
        <f>IF($A99="","",IF($E99="Evet",ROUND($C99*tbo_oranIlave,2),0))</f>
        <v/>
      </c>
      <c r="J99" s="31">
        <f>IF($A99="","",IF($F99="Evet",ROUND($C99*tbo_oranKadinGenc,2),0))</f>
        <v/>
      </c>
      <c r="K99" s="31">
        <f>IF($A99="","",IF($G99="Evet",ROUND($C99*tbo_isverenOran,2),0))</f>
        <v/>
      </c>
      <c r="L99" s="31">
        <f>IF($A99="","",IF($M99=0,"YOK",IF($I99=$M99,"TBO-002",IF($H99=$M99,"TBO-001",IF($J99=$M99,"TBO-004","TBO-ENG")))))</f>
        <v/>
      </c>
      <c r="M99" s="31">
        <f>IF($A99="","",MAX($H99,$I99,$J99,$K99))</f>
        <v/>
      </c>
      <c r="O99" s="31">
        <f>IF($A99="","",MAX(0,$M99-IF($N99="TBO-001",$H99,IF($N99="TBO-002",$I99,IF($N99="TBO-004",$J99,IF($N99="TBO-ENG",$K99,0))))))</f>
        <v/>
      </c>
    </row>
    <row r="100">
      <c r="H100" s="31">
        <f>IF($A100="","",IF($D100="Evet",ROUND($C100*tbo_oranBesPuan,2),0))</f>
        <v/>
      </c>
      <c r="I100" s="31">
        <f>IF($A100="","",IF($E100="Evet",ROUND($C100*tbo_oranIlave,2),0))</f>
        <v/>
      </c>
      <c r="J100" s="31">
        <f>IF($A100="","",IF($F100="Evet",ROUND($C100*tbo_oranKadinGenc,2),0))</f>
        <v/>
      </c>
      <c r="K100" s="31">
        <f>IF($A100="","",IF($G100="Evet",ROUND($C100*tbo_isverenOran,2),0))</f>
        <v/>
      </c>
      <c r="L100" s="31">
        <f>IF($A100="","",IF($M100=0,"YOK",IF($I100=$M100,"TBO-002",IF($H100=$M100,"TBO-001",IF($J100=$M100,"TBO-004","TBO-ENG")))))</f>
        <v/>
      </c>
      <c r="M100" s="31">
        <f>IF($A100="","",MAX($H100,$I100,$J100,$K100))</f>
        <v/>
      </c>
      <c r="O100" s="31">
        <f>IF($A100="","",MAX(0,$M100-IF($N100="TBO-001",$H100,IF($N100="TBO-002",$I100,IF($N100="TBO-004",$J100,IF($N100="TBO-ENG",$K100,0))))))</f>
        <v/>
      </c>
    </row>
    <row r="101">
      <c r="H101" s="31">
        <f>IF($A101="","",IF($D101="Evet",ROUND($C101*tbo_oranBesPuan,2),0))</f>
        <v/>
      </c>
      <c r="I101" s="31">
        <f>IF($A101="","",IF($E101="Evet",ROUND($C101*tbo_oranIlave,2),0))</f>
        <v/>
      </c>
      <c r="J101" s="31">
        <f>IF($A101="","",IF($F101="Evet",ROUND($C101*tbo_oranKadinGenc,2),0))</f>
        <v/>
      </c>
      <c r="K101" s="31">
        <f>IF($A101="","",IF($G101="Evet",ROUND($C101*tbo_isverenOran,2),0))</f>
        <v/>
      </c>
      <c r="L101" s="31">
        <f>IF($A101="","",IF($M101=0,"YOK",IF($I101=$M101,"TBO-002",IF($H101=$M101,"TBO-001",IF($J101=$M101,"TBO-004","TBO-ENG")))))</f>
        <v/>
      </c>
      <c r="M101" s="31">
        <f>IF($A101="","",MAX($H101,$I101,$J101,$K101))</f>
        <v/>
      </c>
      <c r="O101" s="31">
        <f>IF($A101="","",MAX(0,$M101-IF($N101="TBO-001",$H101,IF($N101="TBO-002",$I101,IF($N101="TBO-004",$J101,IF($N101="TBO-ENG",$K101,0))))))</f>
        <v/>
      </c>
    </row>
    <row r="102">
      <c r="H102" s="31">
        <f>IF($A102="","",IF($D102="Evet",ROUND($C102*tbo_oranBesPuan,2),0))</f>
        <v/>
      </c>
      <c r="I102" s="31">
        <f>IF($A102="","",IF($E102="Evet",ROUND($C102*tbo_oranIlave,2),0))</f>
        <v/>
      </c>
      <c r="J102" s="31">
        <f>IF($A102="","",IF($F102="Evet",ROUND($C102*tbo_oranKadinGenc,2),0))</f>
        <v/>
      </c>
      <c r="K102" s="31">
        <f>IF($A102="","",IF($G102="Evet",ROUND($C102*tbo_isverenOran,2),0))</f>
        <v/>
      </c>
      <c r="L102" s="31">
        <f>IF($A102="","",IF($M102=0,"YOK",IF($I102=$M102,"TBO-002",IF($H102=$M102,"TBO-001",IF($J102=$M102,"TBO-004","TBO-ENG")))))</f>
        <v/>
      </c>
      <c r="M102" s="31">
        <f>IF($A102="","",MAX($H102,$I102,$J102,$K102))</f>
        <v/>
      </c>
      <c r="O102" s="31">
        <f>IF($A102="","",MAX(0,$M102-IF($N102="TBO-001",$H102,IF($N102="TBO-002",$I102,IF($N102="TBO-004",$J102,IF($N102="TBO-ENG",$K102,0))))))</f>
        <v/>
      </c>
    </row>
    <row r="103">
      <c r="H103" s="31">
        <f>IF($A103="","",IF($D103="Evet",ROUND($C103*tbo_oranBesPuan,2),0))</f>
        <v/>
      </c>
      <c r="I103" s="31">
        <f>IF($A103="","",IF($E103="Evet",ROUND($C103*tbo_oranIlave,2),0))</f>
        <v/>
      </c>
      <c r="J103" s="31">
        <f>IF($A103="","",IF($F103="Evet",ROUND($C103*tbo_oranKadinGenc,2),0))</f>
        <v/>
      </c>
      <c r="K103" s="31">
        <f>IF($A103="","",IF($G103="Evet",ROUND($C103*tbo_isverenOran,2),0))</f>
        <v/>
      </c>
      <c r="L103" s="31">
        <f>IF($A103="","",IF($M103=0,"YOK",IF($I103=$M103,"TBO-002",IF($H103=$M103,"TBO-001",IF($J103=$M103,"TBO-004","TBO-ENG")))))</f>
        <v/>
      </c>
      <c r="M103" s="31">
        <f>IF($A103="","",MAX($H103,$I103,$J103,$K103))</f>
        <v/>
      </c>
      <c r="O103" s="31">
        <f>IF($A103="","",MAX(0,$M103-IF($N103="TBO-001",$H103,IF($N103="TBO-002",$I103,IF($N103="TBO-004",$J103,IF($N103="TBO-ENG",$K103,0))))))</f>
        <v/>
      </c>
    </row>
    <row r="104">
      <c r="H104" s="31">
        <f>IF($A104="","",IF($D104="Evet",ROUND($C104*tbo_oranBesPuan,2),0))</f>
        <v/>
      </c>
      <c r="I104" s="31">
        <f>IF($A104="","",IF($E104="Evet",ROUND($C104*tbo_oranIlave,2),0))</f>
        <v/>
      </c>
      <c r="J104" s="31">
        <f>IF($A104="","",IF($F104="Evet",ROUND($C104*tbo_oranKadinGenc,2),0))</f>
        <v/>
      </c>
      <c r="K104" s="31">
        <f>IF($A104="","",IF($G104="Evet",ROUND($C104*tbo_isverenOran,2),0))</f>
        <v/>
      </c>
      <c r="L104" s="31">
        <f>IF($A104="","",IF($M104=0,"YOK",IF($I104=$M104,"TBO-002",IF($H104=$M104,"TBO-001",IF($J104=$M104,"TBO-004","TBO-ENG")))))</f>
        <v/>
      </c>
      <c r="M104" s="31">
        <f>IF($A104="","",MAX($H104,$I104,$J104,$K104))</f>
        <v/>
      </c>
      <c r="O104" s="31">
        <f>IF($A104="","",MAX(0,$M104-IF($N104="TBO-001",$H104,IF($N104="TBO-002",$I104,IF($N104="TBO-004",$J104,IF($N104="TBO-ENG",$K104,0))))))</f>
        <v/>
      </c>
    </row>
    <row r="105">
      <c r="H105" s="31">
        <f>IF($A105="","",IF($D105="Evet",ROUND($C105*tbo_oranBesPuan,2),0))</f>
        <v/>
      </c>
      <c r="I105" s="31">
        <f>IF($A105="","",IF($E105="Evet",ROUND($C105*tbo_oranIlave,2),0))</f>
        <v/>
      </c>
      <c r="J105" s="31">
        <f>IF($A105="","",IF($F105="Evet",ROUND($C105*tbo_oranKadinGenc,2),0))</f>
        <v/>
      </c>
      <c r="K105" s="31">
        <f>IF($A105="","",IF($G105="Evet",ROUND($C105*tbo_isverenOran,2),0))</f>
        <v/>
      </c>
      <c r="L105" s="31">
        <f>IF($A105="","",IF($M105=0,"YOK",IF($I105=$M105,"TBO-002",IF($H105=$M105,"TBO-001",IF($J105=$M105,"TBO-004","TBO-ENG")))))</f>
        <v/>
      </c>
      <c r="M105" s="31">
        <f>IF($A105="","",MAX($H105,$I105,$J105,$K105))</f>
        <v/>
      </c>
      <c r="O105" s="31">
        <f>IF($A105="","",MAX(0,$M105-IF($N105="TBO-001",$H105,IF($N105="TBO-002",$I105,IF($N105="TBO-004",$J105,IF($N105="TBO-ENG",$K105,0))))))</f>
        <v/>
      </c>
    </row>
    <row r="106">
      <c r="H106" s="31">
        <f>IF($A106="","",IF($D106="Evet",ROUND($C106*tbo_oranBesPuan,2),0))</f>
        <v/>
      </c>
      <c r="I106" s="31">
        <f>IF($A106="","",IF($E106="Evet",ROUND($C106*tbo_oranIlave,2),0))</f>
        <v/>
      </c>
      <c r="J106" s="31">
        <f>IF($A106="","",IF($F106="Evet",ROUND($C106*tbo_oranKadinGenc,2),0))</f>
        <v/>
      </c>
      <c r="K106" s="31">
        <f>IF($A106="","",IF($G106="Evet",ROUND($C106*tbo_isverenOran,2),0))</f>
        <v/>
      </c>
      <c r="L106" s="31">
        <f>IF($A106="","",IF($M106=0,"YOK",IF($I106=$M106,"TBO-002",IF($H106=$M106,"TBO-001",IF($J106=$M106,"TBO-004","TBO-ENG")))))</f>
        <v/>
      </c>
      <c r="M106" s="31">
        <f>IF($A106="","",MAX($H106,$I106,$J106,$K106))</f>
        <v/>
      </c>
      <c r="O106" s="31">
        <f>IF($A106="","",MAX(0,$M106-IF($N106="TBO-001",$H106,IF($N106="TBO-002",$I106,IF($N106="TBO-004",$J106,IF($N106="TBO-ENG",$K106,0))))))</f>
        <v/>
      </c>
    </row>
    <row r="107">
      <c r="H107" s="31">
        <f>IF($A107="","",IF($D107="Evet",ROUND($C107*tbo_oranBesPuan,2),0))</f>
        <v/>
      </c>
      <c r="I107" s="31">
        <f>IF($A107="","",IF($E107="Evet",ROUND($C107*tbo_oranIlave,2),0))</f>
        <v/>
      </c>
      <c r="J107" s="31">
        <f>IF($A107="","",IF($F107="Evet",ROUND($C107*tbo_oranKadinGenc,2),0))</f>
        <v/>
      </c>
      <c r="K107" s="31">
        <f>IF($A107="","",IF($G107="Evet",ROUND($C107*tbo_isverenOran,2),0))</f>
        <v/>
      </c>
      <c r="L107" s="31">
        <f>IF($A107="","",IF($M107=0,"YOK",IF($I107=$M107,"TBO-002",IF($H107=$M107,"TBO-001",IF($J107=$M107,"TBO-004","TBO-ENG")))))</f>
        <v/>
      </c>
      <c r="M107" s="31">
        <f>IF($A107="","",MAX($H107,$I107,$J107,$K107))</f>
        <v/>
      </c>
      <c r="O107" s="31">
        <f>IF($A107="","",MAX(0,$M107-IF($N107="TBO-001",$H107,IF($N107="TBO-002",$I107,IF($N107="TBO-004",$J107,IF($N107="TBO-ENG",$K107,0))))))</f>
        <v/>
      </c>
    </row>
    <row r="108">
      <c r="H108" s="31">
        <f>IF($A108="","",IF($D108="Evet",ROUND($C108*tbo_oranBesPuan,2),0))</f>
        <v/>
      </c>
      <c r="I108" s="31">
        <f>IF($A108="","",IF($E108="Evet",ROUND($C108*tbo_oranIlave,2),0))</f>
        <v/>
      </c>
      <c r="J108" s="31">
        <f>IF($A108="","",IF($F108="Evet",ROUND($C108*tbo_oranKadinGenc,2),0))</f>
        <v/>
      </c>
      <c r="K108" s="31">
        <f>IF($A108="","",IF($G108="Evet",ROUND($C108*tbo_isverenOran,2),0))</f>
        <v/>
      </c>
      <c r="L108" s="31">
        <f>IF($A108="","",IF($M108=0,"YOK",IF($I108=$M108,"TBO-002",IF($H108=$M108,"TBO-001",IF($J108=$M108,"TBO-004","TBO-ENG")))))</f>
        <v/>
      </c>
      <c r="M108" s="31">
        <f>IF($A108="","",MAX($H108,$I108,$J108,$K108))</f>
        <v/>
      </c>
      <c r="O108" s="31">
        <f>IF($A108="","",MAX(0,$M108-IF($N108="TBO-001",$H108,IF($N108="TBO-002",$I108,IF($N108="TBO-004",$J108,IF($N108="TBO-ENG",$K108,0))))))</f>
        <v/>
      </c>
    </row>
    <row r="109">
      <c r="H109" s="31">
        <f>IF($A109="","",IF($D109="Evet",ROUND($C109*tbo_oranBesPuan,2),0))</f>
        <v/>
      </c>
      <c r="I109" s="31">
        <f>IF($A109="","",IF($E109="Evet",ROUND($C109*tbo_oranIlave,2),0))</f>
        <v/>
      </c>
      <c r="J109" s="31">
        <f>IF($A109="","",IF($F109="Evet",ROUND($C109*tbo_oranKadinGenc,2),0))</f>
        <v/>
      </c>
      <c r="K109" s="31">
        <f>IF($A109="","",IF($G109="Evet",ROUND($C109*tbo_isverenOran,2),0))</f>
        <v/>
      </c>
      <c r="L109" s="31">
        <f>IF($A109="","",IF($M109=0,"YOK",IF($I109=$M109,"TBO-002",IF($H109=$M109,"TBO-001",IF($J109=$M109,"TBO-004","TBO-ENG")))))</f>
        <v/>
      </c>
      <c r="M109" s="31">
        <f>IF($A109="","",MAX($H109,$I109,$J109,$K109))</f>
        <v/>
      </c>
      <c r="O109" s="31">
        <f>IF($A109="","",MAX(0,$M109-IF($N109="TBO-001",$H109,IF($N109="TBO-002",$I109,IF($N109="TBO-004",$J109,IF($N109="TBO-ENG",$K109,0))))))</f>
        <v/>
      </c>
    </row>
    <row r="110">
      <c r="H110" s="31">
        <f>IF($A110="","",IF($D110="Evet",ROUND($C110*tbo_oranBesPuan,2),0))</f>
        <v/>
      </c>
      <c r="I110" s="31">
        <f>IF($A110="","",IF($E110="Evet",ROUND($C110*tbo_oranIlave,2),0))</f>
        <v/>
      </c>
      <c r="J110" s="31">
        <f>IF($A110="","",IF($F110="Evet",ROUND($C110*tbo_oranKadinGenc,2),0))</f>
        <v/>
      </c>
      <c r="K110" s="31">
        <f>IF($A110="","",IF($G110="Evet",ROUND($C110*tbo_isverenOran,2),0))</f>
        <v/>
      </c>
      <c r="L110" s="31">
        <f>IF($A110="","",IF($M110=0,"YOK",IF($I110=$M110,"TBO-002",IF($H110=$M110,"TBO-001",IF($J110=$M110,"TBO-004","TBO-ENG")))))</f>
        <v/>
      </c>
      <c r="M110" s="31">
        <f>IF($A110="","",MAX($H110,$I110,$J110,$K110))</f>
        <v/>
      </c>
      <c r="O110" s="31">
        <f>IF($A110="","",MAX(0,$M110-IF($N110="TBO-001",$H110,IF($N110="TBO-002",$I110,IF($N110="TBO-004",$J110,IF($N110="TBO-ENG",$K110,0))))))</f>
        <v/>
      </c>
    </row>
    <row r="111">
      <c r="H111" s="31">
        <f>IF($A111="","",IF($D111="Evet",ROUND($C111*tbo_oranBesPuan,2),0))</f>
        <v/>
      </c>
      <c r="I111" s="31">
        <f>IF($A111="","",IF($E111="Evet",ROUND($C111*tbo_oranIlave,2),0))</f>
        <v/>
      </c>
      <c r="J111" s="31">
        <f>IF($A111="","",IF($F111="Evet",ROUND($C111*tbo_oranKadinGenc,2),0))</f>
        <v/>
      </c>
      <c r="K111" s="31">
        <f>IF($A111="","",IF($G111="Evet",ROUND($C111*tbo_isverenOran,2),0))</f>
        <v/>
      </c>
      <c r="L111" s="31">
        <f>IF($A111="","",IF($M111=0,"YOK",IF($I111=$M111,"TBO-002",IF($H111=$M111,"TBO-001",IF($J111=$M111,"TBO-004","TBO-ENG")))))</f>
        <v/>
      </c>
      <c r="M111" s="31">
        <f>IF($A111="","",MAX($H111,$I111,$J111,$K111))</f>
        <v/>
      </c>
      <c r="O111" s="31">
        <f>IF($A111="","",MAX(0,$M111-IF($N111="TBO-001",$H111,IF($N111="TBO-002",$I111,IF($N111="TBO-004",$J111,IF($N111="TBO-ENG",$K111,0))))))</f>
        <v/>
      </c>
    </row>
    <row r="112">
      <c r="H112" s="31">
        <f>IF($A112="","",IF($D112="Evet",ROUND($C112*tbo_oranBesPuan,2),0))</f>
        <v/>
      </c>
      <c r="I112" s="31">
        <f>IF($A112="","",IF($E112="Evet",ROUND($C112*tbo_oranIlave,2),0))</f>
        <v/>
      </c>
      <c r="J112" s="31">
        <f>IF($A112="","",IF($F112="Evet",ROUND($C112*tbo_oranKadinGenc,2),0))</f>
        <v/>
      </c>
      <c r="K112" s="31">
        <f>IF($A112="","",IF($G112="Evet",ROUND($C112*tbo_isverenOran,2),0))</f>
        <v/>
      </c>
      <c r="L112" s="31">
        <f>IF($A112="","",IF($M112=0,"YOK",IF($I112=$M112,"TBO-002",IF($H112=$M112,"TBO-001",IF($J112=$M112,"TBO-004","TBO-ENG")))))</f>
        <v/>
      </c>
      <c r="M112" s="31">
        <f>IF($A112="","",MAX($H112,$I112,$J112,$K112))</f>
        <v/>
      </c>
      <c r="O112" s="31">
        <f>IF($A112="","",MAX(0,$M112-IF($N112="TBO-001",$H112,IF($N112="TBO-002",$I112,IF($N112="TBO-004",$J112,IF($N112="TBO-ENG",$K112,0))))))</f>
        <v/>
      </c>
    </row>
    <row r="113">
      <c r="H113" s="31">
        <f>IF($A113="","",IF($D113="Evet",ROUND($C113*tbo_oranBesPuan,2),0))</f>
        <v/>
      </c>
      <c r="I113" s="31">
        <f>IF($A113="","",IF($E113="Evet",ROUND($C113*tbo_oranIlave,2),0))</f>
        <v/>
      </c>
      <c r="J113" s="31">
        <f>IF($A113="","",IF($F113="Evet",ROUND($C113*tbo_oranKadinGenc,2),0))</f>
        <v/>
      </c>
      <c r="K113" s="31">
        <f>IF($A113="","",IF($G113="Evet",ROUND($C113*tbo_isverenOran,2),0))</f>
        <v/>
      </c>
      <c r="L113" s="31">
        <f>IF($A113="","",IF($M113=0,"YOK",IF($I113=$M113,"TBO-002",IF($H113=$M113,"TBO-001",IF($J113=$M113,"TBO-004","TBO-ENG")))))</f>
        <v/>
      </c>
      <c r="M113" s="31">
        <f>IF($A113="","",MAX($H113,$I113,$J113,$K113))</f>
        <v/>
      </c>
      <c r="O113" s="31">
        <f>IF($A113="","",MAX(0,$M113-IF($N113="TBO-001",$H113,IF($N113="TBO-002",$I113,IF($N113="TBO-004",$J113,IF($N113="TBO-ENG",$K113,0))))))</f>
        <v/>
      </c>
    </row>
    <row r="114">
      <c r="H114" s="31">
        <f>IF($A114="","",IF($D114="Evet",ROUND($C114*tbo_oranBesPuan,2),0))</f>
        <v/>
      </c>
      <c r="I114" s="31">
        <f>IF($A114="","",IF($E114="Evet",ROUND($C114*tbo_oranIlave,2),0))</f>
        <v/>
      </c>
      <c r="J114" s="31">
        <f>IF($A114="","",IF($F114="Evet",ROUND($C114*tbo_oranKadinGenc,2),0))</f>
        <v/>
      </c>
      <c r="K114" s="31">
        <f>IF($A114="","",IF($G114="Evet",ROUND($C114*tbo_isverenOran,2),0))</f>
        <v/>
      </c>
      <c r="L114" s="31">
        <f>IF($A114="","",IF($M114=0,"YOK",IF($I114=$M114,"TBO-002",IF($H114=$M114,"TBO-001",IF($J114=$M114,"TBO-004","TBO-ENG")))))</f>
        <v/>
      </c>
      <c r="M114" s="31">
        <f>IF($A114="","",MAX($H114,$I114,$J114,$K114))</f>
        <v/>
      </c>
      <c r="O114" s="31">
        <f>IF($A114="","",MAX(0,$M114-IF($N114="TBO-001",$H114,IF($N114="TBO-002",$I114,IF($N114="TBO-004",$J114,IF($N114="TBO-ENG",$K114,0))))))</f>
        <v/>
      </c>
    </row>
    <row r="115">
      <c r="H115" s="31">
        <f>IF($A115="","",IF($D115="Evet",ROUND($C115*tbo_oranBesPuan,2),0))</f>
        <v/>
      </c>
      <c r="I115" s="31">
        <f>IF($A115="","",IF($E115="Evet",ROUND($C115*tbo_oranIlave,2),0))</f>
        <v/>
      </c>
      <c r="J115" s="31">
        <f>IF($A115="","",IF($F115="Evet",ROUND($C115*tbo_oranKadinGenc,2),0))</f>
        <v/>
      </c>
      <c r="K115" s="31">
        <f>IF($A115="","",IF($G115="Evet",ROUND($C115*tbo_isverenOran,2),0))</f>
        <v/>
      </c>
      <c r="L115" s="31">
        <f>IF($A115="","",IF($M115=0,"YOK",IF($I115=$M115,"TBO-002",IF($H115=$M115,"TBO-001",IF($J115=$M115,"TBO-004","TBO-ENG")))))</f>
        <v/>
      </c>
      <c r="M115" s="31">
        <f>IF($A115="","",MAX($H115,$I115,$J115,$K115))</f>
        <v/>
      </c>
      <c r="O115" s="31">
        <f>IF($A115="","",MAX(0,$M115-IF($N115="TBO-001",$H115,IF($N115="TBO-002",$I115,IF($N115="TBO-004",$J115,IF($N115="TBO-ENG",$K115,0))))))</f>
        <v/>
      </c>
    </row>
    <row r="116">
      <c r="H116" s="31">
        <f>IF($A116="","",IF($D116="Evet",ROUND($C116*tbo_oranBesPuan,2),0))</f>
        <v/>
      </c>
      <c r="I116" s="31">
        <f>IF($A116="","",IF($E116="Evet",ROUND($C116*tbo_oranIlave,2),0))</f>
        <v/>
      </c>
      <c r="J116" s="31">
        <f>IF($A116="","",IF($F116="Evet",ROUND($C116*tbo_oranKadinGenc,2),0))</f>
        <v/>
      </c>
      <c r="K116" s="31">
        <f>IF($A116="","",IF($G116="Evet",ROUND($C116*tbo_isverenOran,2),0))</f>
        <v/>
      </c>
      <c r="L116" s="31">
        <f>IF($A116="","",IF($M116=0,"YOK",IF($I116=$M116,"TBO-002",IF($H116=$M116,"TBO-001",IF($J116=$M116,"TBO-004","TBO-ENG")))))</f>
        <v/>
      </c>
      <c r="M116" s="31">
        <f>IF($A116="","",MAX($H116,$I116,$J116,$K116))</f>
        <v/>
      </c>
      <c r="O116" s="31">
        <f>IF($A116="","",MAX(0,$M116-IF($N116="TBO-001",$H116,IF($N116="TBO-002",$I116,IF($N116="TBO-004",$J116,IF($N116="TBO-ENG",$K116,0))))))</f>
        <v/>
      </c>
    </row>
    <row r="117">
      <c r="H117" s="31">
        <f>IF($A117="","",IF($D117="Evet",ROUND($C117*tbo_oranBesPuan,2),0))</f>
        <v/>
      </c>
      <c r="I117" s="31">
        <f>IF($A117="","",IF($E117="Evet",ROUND($C117*tbo_oranIlave,2),0))</f>
        <v/>
      </c>
      <c r="J117" s="31">
        <f>IF($A117="","",IF($F117="Evet",ROUND($C117*tbo_oranKadinGenc,2),0))</f>
        <v/>
      </c>
      <c r="K117" s="31">
        <f>IF($A117="","",IF($G117="Evet",ROUND($C117*tbo_isverenOran,2),0))</f>
        <v/>
      </c>
      <c r="L117" s="31">
        <f>IF($A117="","",IF($M117=0,"YOK",IF($I117=$M117,"TBO-002",IF($H117=$M117,"TBO-001",IF($J117=$M117,"TBO-004","TBO-ENG")))))</f>
        <v/>
      </c>
      <c r="M117" s="31">
        <f>IF($A117="","",MAX($H117,$I117,$J117,$K117))</f>
        <v/>
      </c>
      <c r="O117" s="31">
        <f>IF($A117="","",MAX(0,$M117-IF($N117="TBO-001",$H117,IF($N117="TBO-002",$I117,IF($N117="TBO-004",$J117,IF($N117="TBO-ENG",$K117,0))))))</f>
        <v/>
      </c>
    </row>
    <row r="118">
      <c r="H118" s="31">
        <f>IF($A118="","",IF($D118="Evet",ROUND($C118*tbo_oranBesPuan,2),0))</f>
        <v/>
      </c>
      <c r="I118" s="31">
        <f>IF($A118="","",IF($E118="Evet",ROUND($C118*tbo_oranIlave,2),0))</f>
        <v/>
      </c>
      <c r="J118" s="31">
        <f>IF($A118="","",IF($F118="Evet",ROUND($C118*tbo_oranKadinGenc,2),0))</f>
        <v/>
      </c>
      <c r="K118" s="31">
        <f>IF($A118="","",IF($G118="Evet",ROUND($C118*tbo_isverenOran,2),0))</f>
        <v/>
      </c>
      <c r="L118" s="31">
        <f>IF($A118="","",IF($M118=0,"YOK",IF($I118=$M118,"TBO-002",IF($H118=$M118,"TBO-001",IF($J118=$M118,"TBO-004","TBO-ENG")))))</f>
        <v/>
      </c>
      <c r="M118" s="31">
        <f>IF($A118="","",MAX($H118,$I118,$J118,$K118))</f>
        <v/>
      </c>
      <c r="O118" s="31">
        <f>IF($A118="","",MAX(0,$M118-IF($N118="TBO-001",$H118,IF($N118="TBO-002",$I118,IF($N118="TBO-004",$J118,IF($N118="TBO-ENG",$K118,0))))))</f>
        <v/>
      </c>
    </row>
    <row r="119">
      <c r="H119" s="31">
        <f>IF($A119="","",IF($D119="Evet",ROUND($C119*tbo_oranBesPuan,2),0))</f>
        <v/>
      </c>
      <c r="I119" s="31">
        <f>IF($A119="","",IF($E119="Evet",ROUND($C119*tbo_oranIlave,2),0))</f>
        <v/>
      </c>
      <c r="J119" s="31">
        <f>IF($A119="","",IF($F119="Evet",ROUND($C119*tbo_oranKadinGenc,2),0))</f>
        <v/>
      </c>
      <c r="K119" s="31">
        <f>IF($A119="","",IF($G119="Evet",ROUND($C119*tbo_isverenOran,2),0))</f>
        <v/>
      </c>
      <c r="L119" s="31">
        <f>IF($A119="","",IF($M119=0,"YOK",IF($I119=$M119,"TBO-002",IF($H119=$M119,"TBO-001",IF($J119=$M119,"TBO-004","TBO-ENG")))))</f>
        <v/>
      </c>
      <c r="M119" s="31">
        <f>IF($A119="","",MAX($H119,$I119,$J119,$K119))</f>
        <v/>
      </c>
      <c r="O119" s="31">
        <f>IF($A119="","",MAX(0,$M119-IF($N119="TBO-001",$H119,IF($N119="TBO-002",$I119,IF($N119="TBO-004",$J119,IF($N119="TBO-ENG",$K119,0))))))</f>
        <v/>
      </c>
    </row>
    <row r="120">
      <c r="H120" s="31">
        <f>IF($A120="","",IF($D120="Evet",ROUND($C120*tbo_oranBesPuan,2),0))</f>
        <v/>
      </c>
      <c r="I120" s="31">
        <f>IF($A120="","",IF($E120="Evet",ROUND($C120*tbo_oranIlave,2),0))</f>
        <v/>
      </c>
      <c r="J120" s="31">
        <f>IF($A120="","",IF($F120="Evet",ROUND($C120*tbo_oranKadinGenc,2),0))</f>
        <v/>
      </c>
      <c r="K120" s="31">
        <f>IF($A120="","",IF($G120="Evet",ROUND($C120*tbo_isverenOran,2),0))</f>
        <v/>
      </c>
      <c r="L120" s="31">
        <f>IF($A120="","",IF($M120=0,"YOK",IF($I120=$M120,"TBO-002",IF($H120=$M120,"TBO-001",IF($J120=$M120,"TBO-004","TBO-ENG")))))</f>
        <v/>
      </c>
      <c r="M120" s="31">
        <f>IF($A120="","",MAX($H120,$I120,$J120,$K120))</f>
        <v/>
      </c>
      <c r="O120" s="31">
        <f>IF($A120="","",MAX(0,$M120-IF($N120="TBO-001",$H120,IF($N120="TBO-002",$I120,IF($N120="TBO-004",$J120,IF($N120="TBO-ENG",$K120,0))))))</f>
        <v/>
      </c>
    </row>
    <row r="121">
      <c r="H121" s="31">
        <f>IF($A121="","",IF($D121="Evet",ROUND($C121*tbo_oranBesPuan,2),0))</f>
        <v/>
      </c>
      <c r="I121" s="31">
        <f>IF($A121="","",IF($E121="Evet",ROUND($C121*tbo_oranIlave,2),0))</f>
        <v/>
      </c>
      <c r="J121" s="31">
        <f>IF($A121="","",IF($F121="Evet",ROUND($C121*tbo_oranKadinGenc,2),0))</f>
        <v/>
      </c>
      <c r="K121" s="31">
        <f>IF($A121="","",IF($G121="Evet",ROUND($C121*tbo_isverenOran,2),0))</f>
        <v/>
      </c>
      <c r="L121" s="31">
        <f>IF($A121="","",IF($M121=0,"YOK",IF($I121=$M121,"TBO-002",IF($H121=$M121,"TBO-001",IF($J121=$M121,"TBO-004","TBO-ENG")))))</f>
        <v/>
      </c>
      <c r="M121" s="31">
        <f>IF($A121="","",MAX($H121,$I121,$J121,$K121))</f>
        <v/>
      </c>
      <c r="O121" s="31">
        <f>IF($A121="","",MAX(0,$M121-IF($N121="TBO-001",$H121,IF($N121="TBO-002",$I121,IF($N121="TBO-004",$J121,IF($N121="TBO-ENG",$K121,0))))))</f>
        <v/>
      </c>
    </row>
    <row r="122">
      <c r="H122" s="31">
        <f>IF($A122="","",IF($D122="Evet",ROUND($C122*tbo_oranBesPuan,2),0))</f>
        <v/>
      </c>
      <c r="I122" s="31">
        <f>IF($A122="","",IF($E122="Evet",ROUND($C122*tbo_oranIlave,2),0))</f>
        <v/>
      </c>
      <c r="J122" s="31">
        <f>IF($A122="","",IF($F122="Evet",ROUND($C122*tbo_oranKadinGenc,2),0))</f>
        <v/>
      </c>
      <c r="K122" s="31">
        <f>IF($A122="","",IF($G122="Evet",ROUND($C122*tbo_isverenOran,2),0))</f>
        <v/>
      </c>
      <c r="L122" s="31">
        <f>IF($A122="","",IF($M122=0,"YOK",IF($I122=$M122,"TBO-002",IF($H122=$M122,"TBO-001",IF($J122=$M122,"TBO-004","TBO-ENG")))))</f>
        <v/>
      </c>
      <c r="M122" s="31">
        <f>IF($A122="","",MAX($H122,$I122,$J122,$K122))</f>
        <v/>
      </c>
      <c r="O122" s="31">
        <f>IF($A122="","",MAX(0,$M122-IF($N122="TBO-001",$H122,IF($N122="TBO-002",$I122,IF($N122="TBO-004",$J122,IF($N122="TBO-ENG",$K122,0))))))</f>
        <v/>
      </c>
    </row>
    <row r="123">
      <c r="H123" s="31">
        <f>IF($A123="","",IF($D123="Evet",ROUND($C123*tbo_oranBesPuan,2),0))</f>
        <v/>
      </c>
      <c r="I123" s="31">
        <f>IF($A123="","",IF($E123="Evet",ROUND($C123*tbo_oranIlave,2),0))</f>
        <v/>
      </c>
      <c r="J123" s="31">
        <f>IF($A123="","",IF($F123="Evet",ROUND($C123*tbo_oranKadinGenc,2),0))</f>
        <v/>
      </c>
      <c r="K123" s="31">
        <f>IF($A123="","",IF($G123="Evet",ROUND($C123*tbo_isverenOran,2),0))</f>
        <v/>
      </c>
      <c r="L123" s="31">
        <f>IF($A123="","",IF($M123=0,"YOK",IF($I123=$M123,"TBO-002",IF($H123=$M123,"TBO-001",IF($J123=$M123,"TBO-004","TBO-ENG")))))</f>
        <v/>
      </c>
      <c r="M123" s="31">
        <f>IF($A123="","",MAX($H123,$I123,$J123,$K123))</f>
        <v/>
      </c>
      <c r="O123" s="31">
        <f>IF($A123="","",MAX(0,$M123-IF($N123="TBO-001",$H123,IF($N123="TBO-002",$I123,IF($N123="TBO-004",$J123,IF($N123="TBO-ENG",$K123,0))))))</f>
        <v/>
      </c>
    </row>
    <row r="124">
      <c r="H124" s="31">
        <f>IF($A124="","",IF($D124="Evet",ROUND($C124*tbo_oranBesPuan,2),0))</f>
        <v/>
      </c>
      <c r="I124" s="31">
        <f>IF($A124="","",IF($E124="Evet",ROUND($C124*tbo_oranIlave,2),0))</f>
        <v/>
      </c>
      <c r="J124" s="31">
        <f>IF($A124="","",IF($F124="Evet",ROUND($C124*tbo_oranKadinGenc,2),0))</f>
        <v/>
      </c>
      <c r="K124" s="31">
        <f>IF($A124="","",IF($G124="Evet",ROUND($C124*tbo_isverenOran,2),0))</f>
        <v/>
      </c>
      <c r="L124" s="31">
        <f>IF($A124="","",IF($M124=0,"YOK",IF($I124=$M124,"TBO-002",IF($H124=$M124,"TBO-001",IF($J124=$M124,"TBO-004","TBO-ENG")))))</f>
        <v/>
      </c>
      <c r="M124" s="31">
        <f>IF($A124="","",MAX($H124,$I124,$J124,$K124))</f>
        <v/>
      </c>
      <c r="O124" s="31">
        <f>IF($A124="","",MAX(0,$M124-IF($N124="TBO-001",$H124,IF($N124="TBO-002",$I124,IF($N124="TBO-004",$J124,IF($N124="TBO-ENG",$K124,0))))))</f>
        <v/>
      </c>
    </row>
    <row r="125">
      <c r="H125" s="31">
        <f>IF($A125="","",IF($D125="Evet",ROUND($C125*tbo_oranBesPuan,2),0))</f>
        <v/>
      </c>
      <c r="I125" s="31">
        <f>IF($A125="","",IF($E125="Evet",ROUND($C125*tbo_oranIlave,2),0))</f>
        <v/>
      </c>
      <c r="J125" s="31">
        <f>IF($A125="","",IF($F125="Evet",ROUND($C125*tbo_oranKadinGenc,2),0))</f>
        <v/>
      </c>
      <c r="K125" s="31">
        <f>IF($A125="","",IF($G125="Evet",ROUND($C125*tbo_isverenOran,2),0))</f>
        <v/>
      </c>
      <c r="L125" s="31">
        <f>IF($A125="","",IF($M125=0,"YOK",IF($I125=$M125,"TBO-002",IF($H125=$M125,"TBO-001",IF($J125=$M125,"TBO-004","TBO-ENG")))))</f>
        <v/>
      </c>
      <c r="M125" s="31">
        <f>IF($A125="","",MAX($H125,$I125,$J125,$K125))</f>
        <v/>
      </c>
      <c r="O125" s="31">
        <f>IF($A125="","",MAX(0,$M125-IF($N125="TBO-001",$H125,IF($N125="TBO-002",$I125,IF($N125="TBO-004",$J125,IF($N125="TBO-ENG",$K125,0))))))</f>
        <v/>
      </c>
    </row>
    <row r="126">
      <c r="H126" s="31">
        <f>IF($A126="","",IF($D126="Evet",ROUND($C126*tbo_oranBesPuan,2),0))</f>
        <v/>
      </c>
      <c r="I126" s="31">
        <f>IF($A126="","",IF($E126="Evet",ROUND($C126*tbo_oranIlave,2),0))</f>
        <v/>
      </c>
      <c r="J126" s="31">
        <f>IF($A126="","",IF($F126="Evet",ROUND($C126*tbo_oranKadinGenc,2),0))</f>
        <v/>
      </c>
      <c r="K126" s="31">
        <f>IF($A126="","",IF($G126="Evet",ROUND($C126*tbo_isverenOran,2),0))</f>
        <v/>
      </c>
      <c r="L126" s="31">
        <f>IF($A126="","",IF($M126=0,"YOK",IF($I126=$M126,"TBO-002",IF($H126=$M126,"TBO-001",IF($J126=$M126,"TBO-004","TBO-ENG")))))</f>
        <v/>
      </c>
      <c r="M126" s="31">
        <f>IF($A126="","",MAX($H126,$I126,$J126,$K126))</f>
        <v/>
      </c>
      <c r="O126" s="31">
        <f>IF($A126="","",MAX(0,$M126-IF($N126="TBO-001",$H126,IF($N126="TBO-002",$I126,IF($N126="TBO-004",$J126,IF($N126="TBO-ENG",$K126,0))))))</f>
        <v/>
      </c>
    </row>
    <row r="127">
      <c r="H127" s="31">
        <f>IF($A127="","",IF($D127="Evet",ROUND($C127*tbo_oranBesPuan,2),0))</f>
        <v/>
      </c>
      <c r="I127" s="31">
        <f>IF($A127="","",IF($E127="Evet",ROUND($C127*tbo_oranIlave,2),0))</f>
        <v/>
      </c>
      <c r="J127" s="31">
        <f>IF($A127="","",IF($F127="Evet",ROUND($C127*tbo_oranKadinGenc,2),0))</f>
        <v/>
      </c>
      <c r="K127" s="31">
        <f>IF($A127="","",IF($G127="Evet",ROUND($C127*tbo_isverenOran,2),0))</f>
        <v/>
      </c>
      <c r="L127" s="31">
        <f>IF($A127="","",IF($M127=0,"YOK",IF($I127=$M127,"TBO-002",IF($H127=$M127,"TBO-001",IF($J127=$M127,"TBO-004","TBO-ENG")))))</f>
        <v/>
      </c>
      <c r="M127" s="31">
        <f>IF($A127="","",MAX($H127,$I127,$J127,$K127))</f>
        <v/>
      </c>
      <c r="O127" s="31">
        <f>IF($A127="","",MAX(0,$M127-IF($N127="TBO-001",$H127,IF($N127="TBO-002",$I127,IF($N127="TBO-004",$J127,IF($N127="TBO-ENG",$K127,0))))))</f>
        <v/>
      </c>
    </row>
    <row r="128">
      <c r="H128" s="31">
        <f>IF($A128="","",IF($D128="Evet",ROUND($C128*tbo_oranBesPuan,2),0))</f>
        <v/>
      </c>
      <c r="I128" s="31">
        <f>IF($A128="","",IF($E128="Evet",ROUND($C128*tbo_oranIlave,2),0))</f>
        <v/>
      </c>
      <c r="J128" s="31">
        <f>IF($A128="","",IF($F128="Evet",ROUND($C128*tbo_oranKadinGenc,2),0))</f>
        <v/>
      </c>
      <c r="K128" s="31">
        <f>IF($A128="","",IF($G128="Evet",ROUND($C128*tbo_isverenOran,2),0))</f>
        <v/>
      </c>
      <c r="L128" s="31">
        <f>IF($A128="","",IF($M128=0,"YOK",IF($I128=$M128,"TBO-002",IF($H128=$M128,"TBO-001",IF($J128=$M128,"TBO-004","TBO-ENG")))))</f>
        <v/>
      </c>
      <c r="M128" s="31">
        <f>IF($A128="","",MAX($H128,$I128,$J128,$K128))</f>
        <v/>
      </c>
      <c r="O128" s="31">
        <f>IF($A128="","",MAX(0,$M128-IF($N128="TBO-001",$H128,IF($N128="TBO-002",$I128,IF($N128="TBO-004",$J128,IF($N128="TBO-ENG",$K128,0))))))</f>
        <v/>
      </c>
    </row>
    <row r="129">
      <c r="H129" s="31">
        <f>IF($A129="","",IF($D129="Evet",ROUND($C129*tbo_oranBesPuan,2),0))</f>
        <v/>
      </c>
      <c r="I129" s="31">
        <f>IF($A129="","",IF($E129="Evet",ROUND($C129*tbo_oranIlave,2),0))</f>
        <v/>
      </c>
      <c r="J129" s="31">
        <f>IF($A129="","",IF($F129="Evet",ROUND($C129*tbo_oranKadinGenc,2),0))</f>
        <v/>
      </c>
      <c r="K129" s="31">
        <f>IF($A129="","",IF($G129="Evet",ROUND($C129*tbo_isverenOran,2),0))</f>
        <v/>
      </c>
      <c r="L129" s="31">
        <f>IF($A129="","",IF($M129=0,"YOK",IF($I129=$M129,"TBO-002",IF($H129=$M129,"TBO-001",IF($J129=$M129,"TBO-004","TBO-ENG")))))</f>
        <v/>
      </c>
      <c r="M129" s="31">
        <f>IF($A129="","",MAX($H129,$I129,$J129,$K129))</f>
        <v/>
      </c>
      <c r="O129" s="31">
        <f>IF($A129="","",MAX(0,$M129-IF($N129="TBO-001",$H129,IF($N129="TBO-002",$I129,IF($N129="TBO-004",$J129,IF($N129="TBO-ENG",$K129,0))))))</f>
        <v/>
      </c>
    </row>
    <row r="130">
      <c r="H130" s="31">
        <f>IF($A130="","",IF($D130="Evet",ROUND($C130*tbo_oranBesPuan,2),0))</f>
        <v/>
      </c>
      <c r="I130" s="31">
        <f>IF($A130="","",IF($E130="Evet",ROUND($C130*tbo_oranIlave,2),0))</f>
        <v/>
      </c>
      <c r="J130" s="31">
        <f>IF($A130="","",IF($F130="Evet",ROUND($C130*tbo_oranKadinGenc,2),0))</f>
        <v/>
      </c>
      <c r="K130" s="31">
        <f>IF($A130="","",IF($G130="Evet",ROUND($C130*tbo_isverenOran,2),0))</f>
        <v/>
      </c>
      <c r="L130" s="31">
        <f>IF($A130="","",IF($M130=0,"YOK",IF($I130=$M130,"TBO-002",IF($H130=$M130,"TBO-001",IF($J130=$M130,"TBO-004","TBO-ENG")))))</f>
        <v/>
      </c>
      <c r="M130" s="31">
        <f>IF($A130="","",MAX($H130,$I130,$J130,$K130))</f>
        <v/>
      </c>
      <c r="O130" s="31">
        <f>IF($A130="","",MAX(0,$M130-IF($N130="TBO-001",$H130,IF($N130="TBO-002",$I130,IF($N130="TBO-004",$J130,IF($N130="TBO-ENG",$K130,0))))))</f>
        <v/>
      </c>
    </row>
    <row r="131">
      <c r="H131" s="31">
        <f>IF($A131="","",IF($D131="Evet",ROUND($C131*tbo_oranBesPuan,2),0))</f>
        <v/>
      </c>
      <c r="I131" s="31">
        <f>IF($A131="","",IF($E131="Evet",ROUND($C131*tbo_oranIlave,2),0))</f>
        <v/>
      </c>
      <c r="J131" s="31">
        <f>IF($A131="","",IF($F131="Evet",ROUND($C131*tbo_oranKadinGenc,2),0))</f>
        <v/>
      </c>
      <c r="K131" s="31">
        <f>IF($A131="","",IF($G131="Evet",ROUND($C131*tbo_isverenOran,2),0))</f>
        <v/>
      </c>
      <c r="L131" s="31">
        <f>IF($A131="","",IF($M131=0,"YOK",IF($I131=$M131,"TBO-002",IF($H131=$M131,"TBO-001",IF($J131=$M131,"TBO-004","TBO-ENG")))))</f>
        <v/>
      </c>
      <c r="M131" s="31">
        <f>IF($A131="","",MAX($H131,$I131,$J131,$K131))</f>
        <v/>
      </c>
      <c r="O131" s="31">
        <f>IF($A131="","",MAX(0,$M131-IF($N131="TBO-001",$H131,IF($N131="TBO-002",$I131,IF($N131="TBO-004",$J131,IF($N131="TBO-ENG",$K131,0))))))</f>
        <v/>
      </c>
    </row>
    <row r="132">
      <c r="H132" s="31">
        <f>IF($A132="","",IF($D132="Evet",ROUND($C132*tbo_oranBesPuan,2),0))</f>
        <v/>
      </c>
      <c r="I132" s="31">
        <f>IF($A132="","",IF($E132="Evet",ROUND($C132*tbo_oranIlave,2),0))</f>
        <v/>
      </c>
      <c r="J132" s="31">
        <f>IF($A132="","",IF($F132="Evet",ROUND($C132*tbo_oranKadinGenc,2),0))</f>
        <v/>
      </c>
      <c r="K132" s="31">
        <f>IF($A132="","",IF($G132="Evet",ROUND($C132*tbo_isverenOran,2),0))</f>
        <v/>
      </c>
      <c r="L132" s="31">
        <f>IF($A132="","",IF($M132=0,"YOK",IF($I132=$M132,"TBO-002",IF($H132=$M132,"TBO-001",IF($J132=$M132,"TBO-004","TBO-ENG")))))</f>
        <v/>
      </c>
      <c r="M132" s="31">
        <f>IF($A132="","",MAX($H132,$I132,$J132,$K132))</f>
        <v/>
      </c>
      <c r="O132" s="31">
        <f>IF($A132="","",MAX(0,$M132-IF($N132="TBO-001",$H132,IF($N132="TBO-002",$I132,IF($N132="TBO-004",$J132,IF($N132="TBO-ENG",$K132,0))))))</f>
        <v/>
      </c>
    </row>
    <row r="133">
      <c r="H133" s="31">
        <f>IF($A133="","",IF($D133="Evet",ROUND($C133*tbo_oranBesPuan,2),0))</f>
        <v/>
      </c>
      <c r="I133" s="31">
        <f>IF($A133="","",IF($E133="Evet",ROUND($C133*tbo_oranIlave,2),0))</f>
        <v/>
      </c>
      <c r="J133" s="31">
        <f>IF($A133="","",IF($F133="Evet",ROUND($C133*tbo_oranKadinGenc,2),0))</f>
        <v/>
      </c>
      <c r="K133" s="31">
        <f>IF($A133="","",IF($G133="Evet",ROUND($C133*tbo_isverenOran,2),0))</f>
        <v/>
      </c>
      <c r="L133" s="31">
        <f>IF($A133="","",IF($M133=0,"YOK",IF($I133=$M133,"TBO-002",IF($H133=$M133,"TBO-001",IF($J133=$M133,"TBO-004","TBO-ENG")))))</f>
        <v/>
      </c>
      <c r="M133" s="31">
        <f>IF($A133="","",MAX($H133,$I133,$J133,$K133))</f>
        <v/>
      </c>
      <c r="O133" s="31">
        <f>IF($A133="","",MAX(0,$M133-IF($N133="TBO-001",$H133,IF($N133="TBO-002",$I133,IF($N133="TBO-004",$J133,IF($N133="TBO-ENG",$K133,0))))))</f>
        <v/>
      </c>
    </row>
    <row r="134">
      <c r="H134" s="31">
        <f>IF($A134="","",IF($D134="Evet",ROUND($C134*tbo_oranBesPuan,2),0))</f>
        <v/>
      </c>
      <c r="I134" s="31">
        <f>IF($A134="","",IF($E134="Evet",ROUND($C134*tbo_oranIlave,2),0))</f>
        <v/>
      </c>
      <c r="J134" s="31">
        <f>IF($A134="","",IF($F134="Evet",ROUND($C134*tbo_oranKadinGenc,2),0))</f>
        <v/>
      </c>
      <c r="K134" s="31">
        <f>IF($A134="","",IF($G134="Evet",ROUND($C134*tbo_isverenOran,2),0))</f>
        <v/>
      </c>
      <c r="L134" s="31">
        <f>IF($A134="","",IF($M134=0,"YOK",IF($I134=$M134,"TBO-002",IF($H134=$M134,"TBO-001",IF($J134=$M134,"TBO-004","TBO-ENG")))))</f>
        <v/>
      </c>
      <c r="M134" s="31">
        <f>IF($A134="","",MAX($H134,$I134,$J134,$K134))</f>
        <v/>
      </c>
      <c r="O134" s="31">
        <f>IF($A134="","",MAX(0,$M134-IF($N134="TBO-001",$H134,IF($N134="TBO-002",$I134,IF($N134="TBO-004",$J134,IF($N134="TBO-ENG",$K134,0))))))</f>
        <v/>
      </c>
    </row>
    <row r="135">
      <c r="H135" s="31">
        <f>IF($A135="","",IF($D135="Evet",ROUND($C135*tbo_oranBesPuan,2),0))</f>
        <v/>
      </c>
      <c r="I135" s="31">
        <f>IF($A135="","",IF($E135="Evet",ROUND($C135*tbo_oranIlave,2),0))</f>
        <v/>
      </c>
      <c r="J135" s="31">
        <f>IF($A135="","",IF($F135="Evet",ROUND($C135*tbo_oranKadinGenc,2),0))</f>
        <v/>
      </c>
      <c r="K135" s="31">
        <f>IF($A135="","",IF($G135="Evet",ROUND($C135*tbo_isverenOran,2),0))</f>
        <v/>
      </c>
      <c r="L135" s="31">
        <f>IF($A135="","",IF($M135=0,"YOK",IF($I135=$M135,"TBO-002",IF($H135=$M135,"TBO-001",IF($J135=$M135,"TBO-004","TBO-ENG")))))</f>
        <v/>
      </c>
      <c r="M135" s="31">
        <f>IF($A135="","",MAX($H135,$I135,$J135,$K135))</f>
        <v/>
      </c>
      <c r="O135" s="31">
        <f>IF($A135="","",MAX(0,$M135-IF($N135="TBO-001",$H135,IF($N135="TBO-002",$I135,IF($N135="TBO-004",$J135,IF($N135="TBO-ENG",$K135,0))))))</f>
        <v/>
      </c>
    </row>
    <row r="136">
      <c r="H136" s="31">
        <f>IF($A136="","",IF($D136="Evet",ROUND($C136*tbo_oranBesPuan,2),0))</f>
        <v/>
      </c>
      <c r="I136" s="31">
        <f>IF($A136="","",IF($E136="Evet",ROUND($C136*tbo_oranIlave,2),0))</f>
        <v/>
      </c>
      <c r="J136" s="31">
        <f>IF($A136="","",IF($F136="Evet",ROUND($C136*tbo_oranKadinGenc,2),0))</f>
        <v/>
      </c>
      <c r="K136" s="31">
        <f>IF($A136="","",IF($G136="Evet",ROUND($C136*tbo_isverenOran,2),0))</f>
        <v/>
      </c>
      <c r="L136" s="31">
        <f>IF($A136="","",IF($M136=0,"YOK",IF($I136=$M136,"TBO-002",IF($H136=$M136,"TBO-001",IF($J136=$M136,"TBO-004","TBO-ENG")))))</f>
        <v/>
      </c>
      <c r="M136" s="31">
        <f>IF($A136="","",MAX($H136,$I136,$J136,$K136))</f>
        <v/>
      </c>
      <c r="O136" s="31">
        <f>IF($A136="","",MAX(0,$M136-IF($N136="TBO-001",$H136,IF($N136="TBO-002",$I136,IF($N136="TBO-004",$J136,IF($N136="TBO-ENG",$K136,0))))))</f>
        <v/>
      </c>
    </row>
    <row r="137">
      <c r="H137" s="31">
        <f>IF($A137="","",IF($D137="Evet",ROUND($C137*tbo_oranBesPuan,2),0))</f>
        <v/>
      </c>
      <c r="I137" s="31">
        <f>IF($A137="","",IF($E137="Evet",ROUND($C137*tbo_oranIlave,2),0))</f>
        <v/>
      </c>
      <c r="J137" s="31">
        <f>IF($A137="","",IF($F137="Evet",ROUND($C137*tbo_oranKadinGenc,2),0))</f>
        <v/>
      </c>
      <c r="K137" s="31">
        <f>IF($A137="","",IF($G137="Evet",ROUND($C137*tbo_isverenOran,2),0))</f>
        <v/>
      </c>
      <c r="L137" s="31">
        <f>IF($A137="","",IF($M137=0,"YOK",IF($I137=$M137,"TBO-002",IF($H137=$M137,"TBO-001",IF($J137=$M137,"TBO-004","TBO-ENG")))))</f>
        <v/>
      </c>
      <c r="M137" s="31">
        <f>IF($A137="","",MAX($H137,$I137,$J137,$K137))</f>
        <v/>
      </c>
      <c r="O137" s="31">
        <f>IF($A137="","",MAX(0,$M137-IF($N137="TBO-001",$H137,IF($N137="TBO-002",$I137,IF($N137="TBO-004",$J137,IF($N137="TBO-ENG",$K137,0))))))</f>
        <v/>
      </c>
    </row>
    <row r="138">
      <c r="H138" s="31">
        <f>IF($A138="","",IF($D138="Evet",ROUND($C138*tbo_oranBesPuan,2),0))</f>
        <v/>
      </c>
      <c r="I138" s="31">
        <f>IF($A138="","",IF($E138="Evet",ROUND($C138*tbo_oranIlave,2),0))</f>
        <v/>
      </c>
      <c r="J138" s="31">
        <f>IF($A138="","",IF($F138="Evet",ROUND($C138*tbo_oranKadinGenc,2),0))</f>
        <v/>
      </c>
      <c r="K138" s="31">
        <f>IF($A138="","",IF($G138="Evet",ROUND($C138*tbo_isverenOran,2),0))</f>
        <v/>
      </c>
      <c r="L138" s="31">
        <f>IF($A138="","",IF($M138=0,"YOK",IF($I138=$M138,"TBO-002",IF($H138=$M138,"TBO-001",IF($J138=$M138,"TBO-004","TBO-ENG")))))</f>
        <v/>
      </c>
      <c r="M138" s="31">
        <f>IF($A138="","",MAX($H138,$I138,$J138,$K138))</f>
        <v/>
      </c>
      <c r="O138" s="31">
        <f>IF($A138="","",MAX(0,$M138-IF($N138="TBO-001",$H138,IF($N138="TBO-002",$I138,IF($N138="TBO-004",$J138,IF($N138="TBO-ENG",$K138,0))))))</f>
        <v/>
      </c>
    </row>
    <row r="139">
      <c r="H139" s="31">
        <f>IF($A139="","",IF($D139="Evet",ROUND($C139*tbo_oranBesPuan,2),0))</f>
        <v/>
      </c>
      <c r="I139" s="31">
        <f>IF($A139="","",IF($E139="Evet",ROUND($C139*tbo_oranIlave,2),0))</f>
        <v/>
      </c>
      <c r="J139" s="31">
        <f>IF($A139="","",IF($F139="Evet",ROUND($C139*tbo_oranKadinGenc,2),0))</f>
        <v/>
      </c>
      <c r="K139" s="31">
        <f>IF($A139="","",IF($G139="Evet",ROUND($C139*tbo_isverenOran,2),0))</f>
        <v/>
      </c>
      <c r="L139" s="31">
        <f>IF($A139="","",IF($M139=0,"YOK",IF($I139=$M139,"TBO-002",IF($H139=$M139,"TBO-001",IF($J139=$M139,"TBO-004","TBO-ENG")))))</f>
        <v/>
      </c>
      <c r="M139" s="31">
        <f>IF($A139="","",MAX($H139,$I139,$J139,$K139))</f>
        <v/>
      </c>
      <c r="O139" s="31">
        <f>IF($A139="","",MAX(0,$M139-IF($N139="TBO-001",$H139,IF($N139="TBO-002",$I139,IF($N139="TBO-004",$J139,IF($N139="TBO-ENG",$K139,0))))))</f>
        <v/>
      </c>
    </row>
    <row r="140">
      <c r="H140" s="31">
        <f>IF($A140="","",IF($D140="Evet",ROUND($C140*tbo_oranBesPuan,2),0))</f>
        <v/>
      </c>
      <c r="I140" s="31">
        <f>IF($A140="","",IF($E140="Evet",ROUND($C140*tbo_oranIlave,2),0))</f>
        <v/>
      </c>
      <c r="J140" s="31">
        <f>IF($A140="","",IF($F140="Evet",ROUND($C140*tbo_oranKadinGenc,2),0))</f>
        <v/>
      </c>
      <c r="K140" s="31">
        <f>IF($A140="","",IF($G140="Evet",ROUND($C140*tbo_isverenOran,2),0))</f>
        <v/>
      </c>
      <c r="L140" s="31">
        <f>IF($A140="","",IF($M140=0,"YOK",IF($I140=$M140,"TBO-002",IF($H140=$M140,"TBO-001",IF($J140=$M140,"TBO-004","TBO-ENG")))))</f>
        <v/>
      </c>
      <c r="M140" s="31">
        <f>IF($A140="","",MAX($H140,$I140,$J140,$K140))</f>
        <v/>
      </c>
      <c r="O140" s="31">
        <f>IF($A140="","",MAX(0,$M140-IF($N140="TBO-001",$H140,IF($N140="TBO-002",$I140,IF($N140="TBO-004",$J140,IF($N140="TBO-ENG",$K140,0))))))</f>
        <v/>
      </c>
    </row>
    <row r="141">
      <c r="H141" s="31">
        <f>IF($A141="","",IF($D141="Evet",ROUND($C141*tbo_oranBesPuan,2),0))</f>
        <v/>
      </c>
      <c r="I141" s="31">
        <f>IF($A141="","",IF($E141="Evet",ROUND($C141*tbo_oranIlave,2),0))</f>
        <v/>
      </c>
      <c r="J141" s="31">
        <f>IF($A141="","",IF($F141="Evet",ROUND($C141*tbo_oranKadinGenc,2),0))</f>
        <v/>
      </c>
      <c r="K141" s="31">
        <f>IF($A141="","",IF($G141="Evet",ROUND($C141*tbo_isverenOran,2),0))</f>
        <v/>
      </c>
      <c r="L141" s="31">
        <f>IF($A141="","",IF($M141=0,"YOK",IF($I141=$M141,"TBO-002",IF($H141=$M141,"TBO-001",IF($J141=$M141,"TBO-004","TBO-ENG")))))</f>
        <v/>
      </c>
      <c r="M141" s="31">
        <f>IF($A141="","",MAX($H141,$I141,$J141,$K141))</f>
        <v/>
      </c>
      <c r="O141" s="31">
        <f>IF($A141="","",MAX(0,$M141-IF($N141="TBO-001",$H141,IF($N141="TBO-002",$I141,IF($N141="TBO-004",$J141,IF($N141="TBO-ENG",$K141,0))))))</f>
        <v/>
      </c>
    </row>
    <row r="142">
      <c r="H142" s="31">
        <f>IF($A142="","",IF($D142="Evet",ROUND($C142*tbo_oranBesPuan,2),0))</f>
        <v/>
      </c>
      <c r="I142" s="31">
        <f>IF($A142="","",IF($E142="Evet",ROUND($C142*tbo_oranIlave,2),0))</f>
        <v/>
      </c>
      <c r="J142" s="31">
        <f>IF($A142="","",IF($F142="Evet",ROUND($C142*tbo_oranKadinGenc,2),0))</f>
        <v/>
      </c>
      <c r="K142" s="31">
        <f>IF($A142="","",IF($G142="Evet",ROUND($C142*tbo_isverenOran,2),0))</f>
        <v/>
      </c>
      <c r="L142" s="31">
        <f>IF($A142="","",IF($M142=0,"YOK",IF($I142=$M142,"TBO-002",IF($H142=$M142,"TBO-001",IF($J142=$M142,"TBO-004","TBO-ENG")))))</f>
        <v/>
      </c>
      <c r="M142" s="31">
        <f>IF($A142="","",MAX($H142,$I142,$J142,$K142))</f>
        <v/>
      </c>
      <c r="O142" s="31">
        <f>IF($A142="","",MAX(0,$M142-IF($N142="TBO-001",$H142,IF($N142="TBO-002",$I142,IF($N142="TBO-004",$J142,IF($N142="TBO-ENG",$K142,0))))))</f>
        <v/>
      </c>
    </row>
    <row r="143">
      <c r="H143" s="31">
        <f>IF($A143="","",IF($D143="Evet",ROUND($C143*tbo_oranBesPuan,2),0))</f>
        <v/>
      </c>
      <c r="I143" s="31">
        <f>IF($A143="","",IF($E143="Evet",ROUND($C143*tbo_oranIlave,2),0))</f>
        <v/>
      </c>
      <c r="J143" s="31">
        <f>IF($A143="","",IF($F143="Evet",ROUND($C143*tbo_oranKadinGenc,2),0))</f>
        <v/>
      </c>
      <c r="K143" s="31">
        <f>IF($A143="","",IF($G143="Evet",ROUND($C143*tbo_isverenOran,2),0))</f>
        <v/>
      </c>
      <c r="L143" s="31">
        <f>IF($A143="","",IF($M143=0,"YOK",IF($I143=$M143,"TBO-002",IF($H143=$M143,"TBO-001",IF($J143=$M143,"TBO-004","TBO-ENG")))))</f>
        <v/>
      </c>
      <c r="M143" s="31">
        <f>IF($A143="","",MAX($H143,$I143,$J143,$K143))</f>
        <v/>
      </c>
      <c r="O143" s="31">
        <f>IF($A143="","",MAX(0,$M143-IF($N143="TBO-001",$H143,IF($N143="TBO-002",$I143,IF($N143="TBO-004",$J143,IF($N143="TBO-ENG",$K143,0))))))</f>
        <v/>
      </c>
    </row>
    <row r="144">
      <c r="H144" s="31">
        <f>IF($A144="","",IF($D144="Evet",ROUND($C144*tbo_oranBesPuan,2),0))</f>
        <v/>
      </c>
      <c r="I144" s="31">
        <f>IF($A144="","",IF($E144="Evet",ROUND($C144*tbo_oranIlave,2),0))</f>
        <v/>
      </c>
      <c r="J144" s="31">
        <f>IF($A144="","",IF($F144="Evet",ROUND($C144*tbo_oranKadinGenc,2),0))</f>
        <v/>
      </c>
      <c r="K144" s="31">
        <f>IF($A144="","",IF($G144="Evet",ROUND($C144*tbo_isverenOran,2),0))</f>
        <v/>
      </c>
      <c r="L144" s="31">
        <f>IF($A144="","",IF($M144=0,"YOK",IF($I144=$M144,"TBO-002",IF($H144=$M144,"TBO-001",IF($J144=$M144,"TBO-004","TBO-ENG")))))</f>
        <v/>
      </c>
      <c r="M144" s="31">
        <f>IF($A144="","",MAX($H144,$I144,$J144,$K144))</f>
        <v/>
      </c>
      <c r="O144" s="31">
        <f>IF($A144="","",MAX(0,$M144-IF($N144="TBO-001",$H144,IF($N144="TBO-002",$I144,IF($N144="TBO-004",$J144,IF($N144="TBO-ENG",$K144,0))))))</f>
        <v/>
      </c>
    </row>
    <row r="145">
      <c r="H145" s="31">
        <f>IF($A145="","",IF($D145="Evet",ROUND($C145*tbo_oranBesPuan,2),0))</f>
        <v/>
      </c>
      <c r="I145" s="31">
        <f>IF($A145="","",IF($E145="Evet",ROUND($C145*tbo_oranIlave,2),0))</f>
        <v/>
      </c>
      <c r="J145" s="31">
        <f>IF($A145="","",IF($F145="Evet",ROUND($C145*tbo_oranKadinGenc,2),0))</f>
        <v/>
      </c>
      <c r="K145" s="31">
        <f>IF($A145="","",IF($G145="Evet",ROUND($C145*tbo_isverenOran,2),0))</f>
        <v/>
      </c>
      <c r="L145" s="31">
        <f>IF($A145="","",IF($M145=0,"YOK",IF($I145=$M145,"TBO-002",IF($H145=$M145,"TBO-001",IF($J145=$M145,"TBO-004","TBO-ENG")))))</f>
        <v/>
      </c>
      <c r="M145" s="31">
        <f>IF($A145="","",MAX($H145,$I145,$J145,$K145))</f>
        <v/>
      </c>
      <c r="O145" s="31">
        <f>IF($A145="","",MAX(0,$M145-IF($N145="TBO-001",$H145,IF($N145="TBO-002",$I145,IF($N145="TBO-004",$J145,IF($N145="TBO-ENG",$K145,0))))))</f>
        <v/>
      </c>
    </row>
    <row r="146">
      <c r="H146" s="31">
        <f>IF($A146="","",IF($D146="Evet",ROUND($C146*tbo_oranBesPuan,2),0))</f>
        <v/>
      </c>
      <c r="I146" s="31">
        <f>IF($A146="","",IF($E146="Evet",ROUND($C146*tbo_oranIlave,2),0))</f>
        <v/>
      </c>
      <c r="J146" s="31">
        <f>IF($A146="","",IF($F146="Evet",ROUND($C146*tbo_oranKadinGenc,2),0))</f>
        <v/>
      </c>
      <c r="K146" s="31">
        <f>IF($A146="","",IF($G146="Evet",ROUND($C146*tbo_isverenOran,2),0))</f>
        <v/>
      </c>
      <c r="L146" s="31">
        <f>IF($A146="","",IF($M146=0,"YOK",IF($I146=$M146,"TBO-002",IF($H146=$M146,"TBO-001",IF($J146=$M146,"TBO-004","TBO-ENG")))))</f>
        <v/>
      </c>
      <c r="M146" s="31">
        <f>IF($A146="","",MAX($H146,$I146,$J146,$K146))</f>
        <v/>
      </c>
      <c r="O146" s="31">
        <f>IF($A146="","",MAX(0,$M146-IF($N146="TBO-001",$H146,IF($N146="TBO-002",$I146,IF($N146="TBO-004",$J146,IF($N146="TBO-ENG",$K146,0))))))</f>
        <v/>
      </c>
    </row>
    <row r="147">
      <c r="H147" s="31">
        <f>IF($A147="","",IF($D147="Evet",ROUND($C147*tbo_oranBesPuan,2),0))</f>
        <v/>
      </c>
      <c r="I147" s="31">
        <f>IF($A147="","",IF($E147="Evet",ROUND($C147*tbo_oranIlave,2),0))</f>
        <v/>
      </c>
      <c r="J147" s="31">
        <f>IF($A147="","",IF($F147="Evet",ROUND($C147*tbo_oranKadinGenc,2),0))</f>
        <v/>
      </c>
      <c r="K147" s="31">
        <f>IF($A147="","",IF($G147="Evet",ROUND($C147*tbo_isverenOran,2),0))</f>
        <v/>
      </c>
      <c r="L147" s="31">
        <f>IF($A147="","",IF($M147=0,"YOK",IF($I147=$M147,"TBO-002",IF($H147=$M147,"TBO-001",IF($J147=$M147,"TBO-004","TBO-ENG")))))</f>
        <v/>
      </c>
      <c r="M147" s="31">
        <f>IF($A147="","",MAX($H147,$I147,$J147,$K147))</f>
        <v/>
      </c>
      <c r="O147" s="31">
        <f>IF($A147="","",MAX(0,$M147-IF($N147="TBO-001",$H147,IF($N147="TBO-002",$I147,IF($N147="TBO-004",$J147,IF($N147="TBO-ENG",$K147,0))))))</f>
        <v/>
      </c>
    </row>
    <row r="148">
      <c r="H148" s="31">
        <f>IF($A148="","",IF($D148="Evet",ROUND($C148*tbo_oranBesPuan,2),0))</f>
        <v/>
      </c>
      <c r="I148" s="31">
        <f>IF($A148="","",IF($E148="Evet",ROUND($C148*tbo_oranIlave,2),0))</f>
        <v/>
      </c>
      <c r="J148" s="31">
        <f>IF($A148="","",IF($F148="Evet",ROUND($C148*tbo_oranKadinGenc,2),0))</f>
        <v/>
      </c>
      <c r="K148" s="31">
        <f>IF($A148="","",IF($G148="Evet",ROUND($C148*tbo_isverenOran,2),0))</f>
        <v/>
      </c>
      <c r="L148" s="31">
        <f>IF($A148="","",IF($M148=0,"YOK",IF($I148=$M148,"TBO-002",IF($H148=$M148,"TBO-001",IF($J148=$M148,"TBO-004","TBO-ENG")))))</f>
        <v/>
      </c>
      <c r="M148" s="31">
        <f>IF($A148="","",MAX($H148,$I148,$J148,$K148))</f>
        <v/>
      </c>
      <c r="O148" s="31">
        <f>IF($A148="","",MAX(0,$M148-IF($N148="TBO-001",$H148,IF($N148="TBO-002",$I148,IF($N148="TBO-004",$J148,IF($N148="TBO-ENG",$K148,0))))))</f>
        <v/>
      </c>
    </row>
    <row r="149">
      <c r="H149" s="31">
        <f>IF($A149="","",IF($D149="Evet",ROUND($C149*tbo_oranBesPuan,2),0))</f>
        <v/>
      </c>
      <c r="I149" s="31">
        <f>IF($A149="","",IF($E149="Evet",ROUND($C149*tbo_oranIlave,2),0))</f>
        <v/>
      </c>
      <c r="J149" s="31">
        <f>IF($A149="","",IF($F149="Evet",ROUND($C149*tbo_oranKadinGenc,2),0))</f>
        <v/>
      </c>
      <c r="K149" s="31">
        <f>IF($A149="","",IF($G149="Evet",ROUND($C149*tbo_isverenOran,2),0))</f>
        <v/>
      </c>
      <c r="L149" s="31">
        <f>IF($A149="","",IF($M149=0,"YOK",IF($I149=$M149,"TBO-002",IF($H149=$M149,"TBO-001",IF($J149=$M149,"TBO-004","TBO-ENG")))))</f>
        <v/>
      </c>
      <c r="M149" s="31">
        <f>IF($A149="","",MAX($H149,$I149,$J149,$K149))</f>
        <v/>
      </c>
      <c r="O149" s="31">
        <f>IF($A149="","",MAX(0,$M149-IF($N149="TBO-001",$H149,IF($N149="TBO-002",$I149,IF($N149="TBO-004",$J149,IF($N149="TBO-ENG",$K149,0))))))</f>
        <v/>
      </c>
    </row>
    <row r="150">
      <c r="H150" s="31">
        <f>IF($A150="","",IF($D150="Evet",ROUND($C150*tbo_oranBesPuan,2),0))</f>
        <v/>
      </c>
      <c r="I150" s="31">
        <f>IF($A150="","",IF($E150="Evet",ROUND($C150*tbo_oranIlave,2),0))</f>
        <v/>
      </c>
      <c r="J150" s="31">
        <f>IF($A150="","",IF($F150="Evet",ROUND($C150*tbo_oranKadinGenc,2),0))</f>
        <v/>
      </c>
      <c r="K150" s="31">
        <f>IF($A150="","",IF($G150="Evet",ROUND($C150*tbo_isverenOran,2),0))</f>
        <v/>
      </c>
      <c r="L150" s="31">
        <f>IF($A150="","",IF($M150=0,"YOK",IF($I150=$M150,"TBO-002",IF($H150=$M150,"TBO-001",IF($J150=$M150,"TBO-004","TBO-ENG")))))</f>
        <v/>
      </c>
      <c r="M150" s="31">
        <f>IF($A150="","",MAX($H150,$I150,$J150,$K150))</f>
        <v/>
      </c>
      <c r="O150" s="31">
        <f>IF($A150="","",MAX(0,$M150-IF($N150="TBO-001",$H150,IF($N150="TBO-002",$I150,IF($N150="TBO-004",$J150,IF($N150="TBO-ENG",$K150,0))))))</f>
        <v/>
      </c>
    </row>
    <row r="151">
      <c r="H151" s="31">
        <f>IF($A151="","",IF($D151="Evet",ROUND($C151*tbo_oranBesPuan,2),0))</f>
        <v/>
      </c>
      <c r="I151" s="31">
        <f>IF($A151="","",IF($E151="Evet",ROUND($C151*tbo_oranIlave,2),0))</f>
        <v/>
      </c>
      <c r="J151" s="31">
        <f>IF($A151="","",IF($F151="Evet",ROUND($C151*tbo_oranKadinGenc,2),0))</f>
        <v/>
      </c>
      <c r="K151" s="31">
        <f>IF($A151="","",IF($G151="Evet",ROUND($C151*tbo_isverenOran,2),0))</f>
        <v/>
      </c>
      <c r="L151" s="31">
        <f>IF($A151="","",IF($M151=0,"YOK",IF($I151=$M151,"TBO-002",IF($H151=$M151,"TBO-001",IF($J151=$M151,"TBO-004","TBO-ENG")))))</f>
        <v/>
      </c>
      <c r="M151" s="31">
        <f>IF($A151="","",MAX($H151,$I151,$J151,$K151))</f>
        <v/>
      </c>
      <c r="O151" s="31">
        <f>IF($A151="","",MAX(0,$M151-IF($N151="TBO-001",$H151,IF($N151="TBO-002",$I151,IF($N151="TBO-004",$J151,IF($N151="TBO-ENG",$K151,0))))))</f>
        <v/>
      </c>
    </row>
    <row r="152">
      <c r="H152" s="31">
        <f>IF($A152="","",IF($D152="Evet",ROUND($C152*tbo_oranBesPuan,2),0))</f>
        <v/>
      </c>
      <c r="I152" s="31">
        <f>IF($A152="","",IF($E152="Evet",ROUND($C152*tbo_oranIlave,2),0))</f>
        <v/>
      </c>
      <c r="J152" s="31">
        <f>IF($A152="","",IF($F152="Evet",ROUND($C152*tbo_oranKadinGenc,2),0))</f>
        <v/>
      </c>
      <c r="K152" s="31">
        <f>IF($A152="","",IF($G152="Evet",ROUND($C152*tbo_isverenOran,2),0))</f>
        <v/>
      </c>
      <c r="L152" s="31">
        <f>IF($A152="","",IF($M152=0,"YOK",IF($I152=$M152,"TBO-002",IF($H152=$M152,"TBO-001",IF($J152=$M152,"TBO-004","TBO-ENG")))))</f>
        <v/>
      </c>
      <c r="M152" s="31">
        <f>IF($A152="","",MAX($H152,$I152,$J152,$K152))</f>
        <v/>
      </c>
      <c r="O152" s="31">
        <f>IF($A152="","",MAX(0,$M152-IF($N152="TBO-001",$H152,IF($N152="TBO-002",$I152,IF($N152="TBO-004",$J152,IF($N152="TBO-ENG",$K152,0))))))</f>
        <v/>
      </c>
    </row>
    <row r="153">
      <c r="H153" s="31">
        <f>IF($A153="","",IF($D153="Evet",ROUND($C153*tbo_oranBesPuan,2),0))</f>
        <v/>
      </c>
      <c r="I153" s="31">
        <f>IF($A153="","",IF($E153="Evet",ROUND($C153*tbo_oranIlave,2),0))</f>
        <v/>
      </c>
      <c r="J153" s="31">
        <f>IF($A153="","",IF($F153="Evet",ROUND($C153*tbo_oranKadinGenc,2),0))</f>
        <v/>
      </c>
      <c r="K153" s="31">
        <f>IF($A153="","",IF($G153="Evet",ROUND($C153*tbo_isverenOran,2),0))</f>
        <v/>
      </c>
      <c r="L153" s="31">
        <f>IF($A153="","",IF($M153=0,"YOK",IF($I153=$M153,"TBO-002",IF($H153=$M153,"TBO-001",IF($J153=$M153,"TBO-004","TBO-ENG")))))</f>
        <v/>
      </c>
      <c r="M153" s="31">
        <f>IF($A153="","",MAX($H153,$I153,$J153,$K153))</f>
        <v/>
      </c>
      <c r="O153" s="31">
        <f>IF($A153="","",MAX(0,$M153-IF($N153="TBO-001",$H153,IF($N153="TBO-002",$I153,IF($N153="TBO-004",$J153,IF($N153="TBO-ENG",$K153,0))))))</f>
        <v/>
      </c>
    </row>
    <row r="154">
      <c r="H154" s="31">
        <f>IF($A154="","",IF($D154="Evet",ROUND($C154*tbo_oranBesPuan,2),0))</f>
        <v/>
      </c>
      <c r="I154" s="31">
        <f>IF($A154="","",IF($E154="Evet",ROUND($C154*tbo_oranIlave,2),0))</f>
        <v/>
      </c>
      <c r="J154" s="31">
        <f>IF($A154="","",IF($F154="Evet",ROUND($C154*tbo_oranKadinGenc,2),0))</f>
        <v/>
      </c>
      <c r="K154" s="31">
        <f>IF($A154="","",IF($G154="Evet",ROUND($C154*tbo_isverenOran,2),0))</f>
        <v/>
      </c>
      <c r="L154" s="31">
        <f>IF($A154="","",IF($M154=0,"YOK",IF($I154=$M154,"TBO-002",IF($H154=$M154,"TBO-001",IF($J154=$M154,"TBO-004","TBO-ENG")))))</f>
        <v/>
      </c>
      <c r="M154" s="31">
        <f>IF($A154="","",MAX($H154,$I154,$J154,$K154))</f>
        <v/>
      </c>
      <c r="O154" s="31">
        <f>IF($A154="","",MAX(0,$M154-IF($N154="TBO-001",$H154,IF($N154="TBO-002",$I154,IF($N154="TBO-004",$J154,IF($N154="TBO-ENG",$K154,0))))))</f>
        <v/>
      </c>
    </row>
    <row r="155">
      <c r="H155" s="31">
        <f>IF($A155="","",IF($D155="Evet",ROUND($C155*tbo_oranBesPuan,2),0))</f>
        <v/>
      </c>
      <c r="I155" s="31">
        <f>IF($A155="","",IF($E155="Evet",ROUND($C155*tbo_oranIlave,2),0))</f>
        <v/>
      </c>
      <c r="J155" s="31">
        <f>IF($A155="","",IF($F155="Evet",ROUND($C155*tbo_oranKadinGenc,2),0))</f>
        <v/>
      </c>
      <c r="K155" s="31">
        <f>IF($A155="","",IF($G155="Evet",ROUND($C155*tbo_isverenOran,2),0))</f>
        <v/>
      </c>
      <c r="L155" s="31">
        <f>IF($A155="","",IF($M155=0,"YOK",IF($I155=$M155,"TBO-002",IF($H155=$M155,"TBO-001",IF($J155=$M155,"TBO-004","TBO-ENG")))))</f>
        <v/>
      </c>
      <c r="M155" s="31">
        <f>IF($A155="","",MAX($H155,$I155,$J155,$K155))</f>
        <v/>
      </c>
      <c r="O155" s="31">
        <f>IF($A155="","",MAX(0,$M155-IF($N155="TBO-001",$H155,IF($N155="TBO-002",$I155,IF($N155="TBO-004",$J155,IF($N155="TBO-ENG",$K155,0))))))</f>
        <v/>
      </c>
    </row>
    <row r="156">
      <c r="H156" s="31">
        <f>IF($A156="","",IF($D156="Evet",ROUND($C156*tbo_oranBesPuan,2),0))</f>
        <v/>
      </c>
      <c r="I156" s="31">
        <f>IF($A156="","",IF($E156="Evet",ROUND($C156*tbo_oranIlave,2),0))</f>
        <v/>
      </c>
      <c r="J156" s="31">
        <f>IF($A156="","",IF($F156="Evet",ROUND($C156*tbo_oranKadinGenc,2),0))</f>
        <v/>
      </c>
      <c r="K156" s="31">
        <f>IF($A156="","",IF($G156="Evet",ROUND($C156*tbo_isverenOran,2),0))</f>
        <v/>
      </c>
      <c r="L156" s="31">
        <f>IF($A156="","",IF($M156=0,"YOK",IF($I156=$M156,"TBO-002",IF($H156=$M156,"TBO-001",IF($J156=$M156,"TBO-004","TBO-ENG")))))</f>
        <v/>
      </c>
      <c r="M156" s="31">
        <f>IF($A156="","",MAX($H156,$I156,$J156,$K156))</f>
        <v/>
      </c>
      <c r="O156" s="31">
        <f>IF($A156="","",MAX(0,$M156-IF($N156="TBO-001",$H156,IF($N156="TBO-002",$I156,IF($N156="TBO-004",$J156,IF($N156="TBO-ENG",$K156,0))))))</f>
        <v/>
      </c>
    </row>
    <row r="157">
      <c r="H157" s="31">
        <f>IF($A157="","",IF($D157="Evet",ROUND($C157*tbo_oranBesPuan,2),0))</f>
        <v/>
      </c>
      <c r="I157" s="31">
        <f>IF($A157="","",IF($E157="Evet",ROUND($C157*tbo_oranIlave,2),0))</f>
        <v/>
      </c>
      <c r="J157" s="31">
        <f>IF($A157="","",IF($F157="Evet",ROUND($C157*tbo_oranKadinGenc,2),0))</f>
        <v/>
      </c>
      <c r="K157" s="31">
        <f>IF($A157="","",IF($G157="Evet",ROUND($C157*tbo_isverenOran,2),0))</f>
        <v/>
      </c>
      <c r="L157" s="31">
        <f>IF($A157="","",IF($M157=0,"YOK",IF($I157=$M157,"TBO-002",IF($H157=$M157,"TBO-001",IF($J157=$M157,"TBO-004","TBO-ENG")))))</f>
        <v/>
      </c>
      <c r="M157" s="31">
        <f>IF($A157="","",MAX($H157,$I157,$J157,$K157))</f>
        <v/>
      </c>
      <c r="O157" s="31">
        <f>IF($A157="","",MAX(0,$M157-IF($N157="TBO-001",$H157,IF($N157="TBO-002",$I157,IF($N157="TBO-004",$J157,IF($N157="TBO-ENG",$K157,0))))))</f>
        <v/>
      </c>
    </row>
    <row r="158">
      <c r="H158" s="31">
        <f>IF($A158="","",IF($D158="Evet",ROUND($C158*tbo_oranBesPuan,2),0))</f>
        <v/>
      </c>
      <c r="I158" s="31">
        <f>IF($A158="","",IF($E158="Evet",ROUND($C158*tbo_oranIlave,2),0))</f>
        <v/>
      </c>
      <c r="J158" s="31">
        <f>IF($A158="","",IF($F158="Evet",ROUND($C158*tbo_oranKadinGenc,2),0))</f>
        <v/>
      </c>
      <c r="K158" s="31">
        <f>IF($A158="","",IF($G158="Evet",ROUND($C158*tbo_isverenOran,2),0))</f>
        <v/>
      </c>
      <c r="L158" s="31">
        <f>IF($A158="","",IF($M158=0,"YOK",IF($I158=$M158,"TBO-002",IF($H158=$M158,"TBO-001",IF($J158=$M158,"TBO-004","TBO-ENG")))))</f>
        <v/>
      </c>
      <c r="M158" s="31">
        <f>IF($A158="","",MAX($H158,$I158,$J158,$K158))</f>
        <v/>
      </c>
      <c r="O158" s="31">
        <f>IF($A158="","",MAX(0,$M158-IF($N158="TBO-001",$H158,IF($N158="TBO-002",$I158,IF($N158="TBO-004",$J158,IF($N158="TBO-ENG",$K158,0))))))</f>
        <v/>
      </c>
    </row>
    <row r="159">
      <c r="H159" s="31">
        <f>IF($A159="","",IF($D159="Evet",ROUND($C159*tbo_oranBesPuan,2),0))</f>
        <v/>
      </c>
      <c r="I159" s="31">
        <f>IF($A159="","",IF($E159="Evet",ROUND($C159*tbo_oranIlave,2),0))</f>
        <v/>
      </c>
      <c r="J159" s="31">
        <f>IF($A159="","",IF($F159="Evet",ROUND($C159*tbo_oranKadinGenc,2),0))</f>
        <v/>
      </c>
      <c r="K159" s="31">
        <f>IF($A159="","",IF($G159="Evet",ROUND($C159*tbo_isverenOran,2),0))</f>
        <v/>
      </c>
      <c r="L159" s="31">
        <f>IF($A159="","",IF($M159=0,"YOK",IF($I159=$M159,"TBO-002",IF($H159=$M159,"TBO-001",IF($J159=$M159,"TBO-004","TBO-ENG")))))</f>
        <v/>
      </c>
      <c r="M159" s="31">
        <f>IF($A159="","",MAX($H159,$I159,$J159,$K159))</f>
        <v/>
      </c>
      <c r="O159" s="31">
        <f>IF($A159="","",MAX(0,$M159-IF($N159="TBO-001",$H159,IF($N159="TBO-002",$I159,IF($N159="TBO-004",$J159,IF($N159="TBO-ENG",$K159,0))))))</f>
        <v/>
      </c>
    </row>
    <row r="160">
      <c r="H160" s="31">
        <f>IF($A160="","",IF($D160="Evet",ROUND($C160*tbo_oranBesPuan,2),0))</f>
        <v/>
      </c>
      <c r="I160" s="31">
        <f>IF($A160="","",IF($E160="Evet",ROUND($C160*tbo_oranIlave,2),0))</f>
        <v/>
      </c>
      <c r="J160" s="31">
        <f>IF($A160="","",IF($F160="Evet",ROUND($C160*tbo_oranKadinGenc,2),0))</f>
        <v/>
      </c>
      <c r="K160" s="31">
        <f>IF($A160="","",IF($G160="Evet",ROUND($C160*tbo_isverenOran,2),0))</f>
        <v/>
      </c>
      <c r="L160" s="31">
        <f>IF($A160="","",IF($M160=0,"YOK",IF($I160=$M160,"TBO-002",IF($H160=$M160,"TBO-001",IF($J160=$M160,"TBO-004","TBO-ENG")))))</f>
        <v/>
      </c>
      <c r="M160" s="31">
        <f>IF($A160="","",MAX($H160,$I160,$J160,$K160))</f>
        <v/>
      </c>
      <c r="O160" s="31">
        <f>IF($A160="","",MAX(0,$M160-IF($N160="TBO-001",$H160,IF($N160="TBO-002",$I160,IF($N160="TBO-004",$J160,IF($N160="TBO-ENG",$K160,0))))))</f>
        <v/>
      </c>
    </row>
    <row r="161">
      <c r="H161" s="31">
        <f>IF($A161="","",IF($D161="Evet",ROUND($C161*tbo_oranBesPuan,2),0))</f>
        <v/>
      </c>
      <c r="I161" s="31">
        <f>IF($A161="","",IF($E161="Evet",ROUND($C161*tbo_oranIlave,2),0))</f>
        <v/>
      </c>
      <c r="J161" s="31">
        <f>IF($A161="","",IF($F161="Evet",ROUND($C161*tbo_oranKadinGenc,2),0))</f>
        <v/>
      </c>
      <c r="K161" s="31">
        <f>IF($A161="","",IF($G161="Evet",ROUND($C161*tbo_isverenOran,2),0))</f>
        <v/>
      </c>
      <c r="L161" s="31">
        <f>IF($A161="","",IF($M161=0,"YOK",IF($I161=$M161,"TBO-002",IF($H161=$M161,"TBO-001",IF($J161=$M161,"TBO-004","TBO-ENG")))))</f>
        <v/>
      </c>
      <c r="M161" s="31">
        <f>IF($A161="","",MAX($H161,$I161,$J161,$K161))</f>
        <v/>
      </c>
      <c r="O161" s="31">
        <f>IF($A161="","",MAX(0,$M161-IF($N161="TBO-001",$H161,IF($N161="TBO-002",$I161,IF($N161="TBO-004",$J161,IF($N161="TBO-ENG",$K161,0))))))</f>
        <v/>
      </c>
    </row>
    <row r="162">
      <c r="H162" s="31">
        <f>IF($A162="","",IF($D162="Evet",ROUND($C162*tbo_oranBesPuan,2),0))</f>
        <v/>
      </c>
      <c r="I162" s="31">
        <f>IF($A162="","",IF($E162="Evet",ROUND($C162*tbo_oranIlave,2),0))</f>
        <v/>
      </c>
      <c r="J162" s="31">
        <f>IF($A162="","",IF($F162="Evet",ROUND($C162*tbo_oranKadinGenc,2),0))</f>
        <v/>
      </c>
      <c r="K162" s="31">
        <f>IF($A162="","",IF($G162="Evet",ROUND($C162*tbo_isverenOran,2),0))</f>
        <v/>
      </c>
      <c r="L162" s="31">
        <f>IF($A162="","",IF($M162=0,"YOK",IF($I162=$M162,"TBO-002",IF($H162=$M162,"TBO-001",IF($J162=$M162,"TBO-004","TBO-ENG")))))</f>
        <v/>
      </c>
      <c r="M162" s="31">
        <f>IF($A162="","",MAX($H162,$I162,$J162,$K162))</f>
        <v/>
      </c>
      <c r="O162" s="31">
        <f>IF($A162="","",MAX(0,$M162-IF($N162="TBO-001",$H162,IF($N162="TBO-002",$I162,IF($N162="TBO-004",$J162,IF($N162="TBO-ENG",$K162,0))))))</f>
        <v/>
      </c>
    </row>
    <row r="163">
      <c r="H163" s="31">
        <f>IF($A163="","",IF($D163="Evet",ROUND($C163*tbo_oranBesPuan,2),0))</f>
        <v/>
      </c>
      <c r="I163" s="31">
        <f>IF($A163="","",IF($E163="Evet",ROUND($C163*tbo_oranIlave,2),0))</f>
        <v/>
      </c>
      <c r="J163" s="31">
        <f>IF($A163="","",IF($F163="Evet",ROUND($C163*tbo_oranKadinGenc,2),0))</f>
        <v/>
      </c>
      <c r="K163" s="31">
        <f>IF($A163="","",IF($G163="Evet",ROUND($C163*tbo_isverenOran,2),0))</f>
        <v/>
      </c>
      <c r="L163" s="31">
        <f>IF($A163="","",IF($M163=0,"YOK",IF($I163=$M163,"TBO-002",IF($H163=$M163,"TBO-001",IF($J163=$M163,"TBO-004","TBO-ENG")))))</f>
        <v/>
      </c>
      <c r="M163" s="31">
        <f>IF($A163="","",MAX($H163,$I163,$J163,$K163))</f>
        <v/>
      </c>
      <c r="O163" s="31">
        <f>IF($A163="","",MAX(0,$M163-IF($N163="TBO-001",$H163,IF($N163="TBO-002",$I163,IF($N163="TBO-004",$J163,IF($N163="TBO-ENG",$K163,0))))))</f>
        <v/>
      </c>
    </row>
    <row r="164">
      <c r="H164" s="31">
        <f>IF($A164="","",IF($D164="Evet",ROUND($C164*tbo_oranBesPuan,2),0))</f>
        <v/>
      </c>
      <c r="I164" s="31">
        <f>IF($A164="","",IF($E164="Evet",ROUND($C164*tbo_oranIlave,2),0))</f>
        <v/>
      </c>
      <c r="J164" s="31">
        <f>IF($A164="","",IF($F164="Evet",ROUND($C164*tbo_oranKadinGenc,2),0))</f>
        <v/>
      </c>
      <c r="K164" s="31">
        <f>IF($A164="","",IF($G164="Evet",ROUND($C164*tbo_isverenOran,2),0))</f>
        <v/>
      </c>
      <c r="L164" s="31">
        <f>IF($A164="","",IF($M164=0,"YOK",IF($I164=$M164,"TBO-002",IF($H164=$M164,"TBO-001",IF($J164=$M164,"TBO-004","TBO-ENG")))))</f>
        <v/>
      </c>
      <c r="M164" s="31">
        <f>IF($A164="","",MAX($H164,$I164,$J164,$K164))</f>
        <v/>
      </c>
      <c r="O164" s="31">
        <f>IF($A164="","",MAX(0,$M164-IF($N164="TBO-001",$H164,IF($N164="TBO-002",$I164,IF($N164="TBO-004",$J164,IF($N164="TBO-ENG",$K164,0))))))</f>
        <v/>
      </c>
    </row>
    <row r="165">
      <c r="H165" s="31">
        <f>IF($A165="","",IF($D165="Evet",ROUND($C165*tbo_oranBesPuan,2),0))</f>
        <v/>
      </c>
      <c r="I165" s="31">
        <f>IF($A165="","",IF($E165="Evet",ROUND($C165*tbo_oranIlave,2),0))</f>
        <v/>
      </c>
      <c r="J165" s="31">
        <f>IF($A165="","",IF($F165="Evet",ROUND($C165*tbo_oranKadinGenc,2),0))</f>
        <v/>
      </c>
      <c r="K165" s="31">
        <f>IF($A165="","",IF($G165="Evet",ROUND($C165*tbo_isverenOran,2),0))</f>
        <v/>
      </c>
      <c r="L165" s="31">
        <f>IF($A165="","",IF($M165=0,"YOK",IF($I165=$M165,"TBO-002",IF($H165=$M165,"TBO-001",IF($J165=$M165,"TBO-004","TBO-ENG")))))</f>
        <v/>
      </c>
      <c r="M165" s="31">
        <f>IF($A165="","",MAX($H165,$I165,$J165,$K165))</f>
        <v/>
      </c>
      <c r="O165" s="31">
        <f>IF($A165="","",MAX(0,$M165-IF($N165="TBO-001",$H165,IF($N165="TBO-002",$I165,IF($N165="TBO-004",$J165,IF($N165="TBO-ENG",$K165,0))))))</f>
        <v/>
      </c>
    </row>
    <row r="166">
      <c r="H166" s="31">
        <f>IF($A166="","",IF($D166="Evet",ROUND($C166*tbo_oranBesPuan,2),0))</f>
        <v/>
      </c>
      <c r="I166" s="31">
        <f>IF($A166="","",IF($E166="Evet",ROUND($C166*tbo_oranIlave,2),0))</f>
        <v/>
      </c>
      <c r="J166" s="31">
        <f>IF($A166="","",IF($F166="Evet",ROUND($C166*tbo_oranKadinGenc,2),0))</f>
        <v/>
      </c>
      <c r="K166" s="31">
        <f>IF($A166="","",IF($G166="Evet",ROUND($C166*tbo_isverenOran,2),0))</f>
        <v/>
      </c>
      <c r="L166" s="31">
        <f>IF($A166="","",IF($M166=0,"YOK",IF($I166=$M166,"TBO-002",IF($H166=$M166,"TBO-001",IF($J166=$M166,"TBO-004","TBO-ENG")))))</f>
        <v/>
      </c>
      <c r="M166" s="31">
        <f>IF($A166="","",MAX($H166,$I166,$J166,$K166))</f>
        <v/>
      </c>
      <c r="O166" s="31">
        <f>IF($A166="","",MAX(0,$M166-IF($N166="TBO-001",$H166,IF($N166="TBO-002",$I166,IF($N166="TBO-004",$J166,IF($N166="TBO-ENG",$K166,0))))))</f>
        <v/>
      </c>
    </row>
    <row r="167">
      <c r="H167" s="31">
        <f>IF($A167="","",IF($D167="Evet",ROUND($C167*tbo_oranBesPuan,2),0))</f>
        <v/>
      </c>
      <c r="I167" s="31">
        <f>IF($A167="","",IF($E167="Evet",ROUND($C167*tbo_oranIlave,2),0))</f>
        <v/>
      </c>
      <c r="J167" s="31">
        <f>IF($A167="","",IF($F167="Evet",ROUND($C167*tbo_oranKadinGenc,2),0))</f>
        <v/>
      </c>
      <c r="K167" s="31">
        <f>IF($A167="","",IF($G167="Evet",ROUND($C167*tbo_isverenOran,2),0))</f>
        <v/>
      </c>
      <c r="L167" s="31">
        <f>IF($A167="","",IF($M167=0,"YOK",IF($I167=$M167,"TBO-002",IF($H167=$M167,"TBO-001",IF($J167=$M167,"TBO-004","TBO-ENG")))))</f>
        <v/>
      </c>
      <c r="M167" s="31">
        <f>IF($A167="","",MAX($H167,$I167,$J167,$K167))</f>
        <v/>
      </c>
      <c r="O167" s="31">
        <f>IF($A167="","",MAX(0,$M167-IF($N167="TBO-001",$H167,IF($N167="TBO-002",$I167,IF($N167="TBO-004",$J167,IF($N167="TBO-ENG",$K167,0))))))</f>
        <v/>
      </c>
    </row>
    <row r="168">
      <c r="H168" s="31">
        <f>IF($A168="","",IF($D168="Evet",ROUND($C168*tbo_oranBesPuan,2),0))</f>
        <v/>
      </c>
      <c r="I168" s="31">
        <f>IF($A168="","",IF($E168="Evet",ROUND($C168*tbo_oranIlave,2),0))</f>
        <v/>
      </c>
      <c r="J168" s="31">
        <f>IF($A168="","",IF($F168="Evet",ROUND($C168*tbo_oranKadinGenc,2),0))</f>
        <v/>
      </c>
      <c r="K168" s="31">
        <f>IF($A168="","",IF($G168="Evet",ROUND($C168*tbo_isverenOran,2),0))</f>
        <v/>
      </c>
      <c r="L168" s="31">
        <f>IF($A168="","",IF($M168=0,"YOK",IF($I168=$M168,"TBO-002",IF($H168=$M168,"TBO-001",IF($J168=$M168,"TBO-004","TBO-ENG")))))</f>
        <v/>
      </c>
      <c r="M168" s="31">
        <f>IF($A168="","",MAX($H168,$I168,$J168,$K168))</f>
        <v/>
      </c>
      <c r="O168" s="31">
        <f>IF($A168="","",MAX(0,$M168-IF($N168="TBO-001",$H168,IF($N168="TBO-002",$I168,IF($N168="TBO-004",$J168,IF($N168="TBO-ENG",$K168,0))))))</f>
        <v/>
      </c>
    </row>
    <row r="169">
      <c r="H169" s="31">
        <f>IF($A169="","",IF($D169="Evet",ROUND($C169*tbo_oranBesPuan,2),0))</f>
        <v/>
      </c>
      <c r="I169" s="31">
        <f>IF($A169="","",IF($E169="Evet",ROUND($C169*tbo_oranIlave,2),0))</f>
        <v/>
      </c>
      <c r="J169" s="31">
        <f>IF($A169="","",IF($F169="Evet",ROUND($C169*tbo_oranKadinGenc,2),0))</f>
        <v/>
      </c>
      <c r="K169" s="31">
        <f>IF($A169="","",IF($G169="Evet",ROUND($C169*tbo_isverenOran,2),0))</f>
        <v/>
      </c>
      <c r="L169" s="31">
        <f>IF($A169="","",IF($M169=0,"YOK",IF($I169=$M169,"TBO-002",IF($H169=$M169,"TBO-001",IF($J169=$M169,"TBO-004","TBO-ENG")))))</f>
        <v/>
      </c>
      <c r="M169" s="31">
        <f>IF($A169="","",MAX($H169,$I169,$J169,$K169))</f>
        <v/>
      </c>
      <c r="O169" s="31">
        <f>IF($A169="","",MAX(0,$M169-IF($N169="TBO-001",$H169,IF($N169="TBO-002",$I169,IF($N169="TBO-004",$J169,IF($N169="TBO-ENG",$K169,0))))))</f>
        <v/>
      </c>
    </row>
    <row r="170">
      <c r="H170" s="31">
        <f>IF($A170="","",IF($D170="Evet",ROUND($C170*tbo_oranBesPuan,2),0))</f>
        <v/>
      </c>
      <c r="I170" s="31">
        <f>IF($A170="","",IF($E170="Evet",ROUND($C170*tbo_oranIlave,2),0))</f>
        <v/>
      </c>
      <c r="J170" s="31">
        <f>IF($A170="","",IF($F170="Evet",ROUND($C170*tbo_oranKadinGenc,2),0))</f>
        <v/>
      </c>
      <c r="K170" s="31">
        <f>IF($A170="","",IF($G170="Evet",ROUND($C170*tbo_isverenOran,2),0))</f>
        <v/>
      </c>
      <c r="L170" s="31">
        <f>IF($A170="","",IF($M170=0,"YOK",IF($I170=$M170,"TBO-002",IF($H170=$M170,"TBO-001",IF($J170=$M170,"TBO-004","TBO-ENG")))))</f>
        <v/>
      </c>
      <c r="M170" s="31">
        <f>IF($A170="","",MAX($H170,$I170,$J170,$K170))</f>
        <v/>
      </c>
      <c r="O170" s="31">
        <f>IF($A170="","",MAX(0,$M170-IF($N170="TBO-001",$H170,IF($N170="TBO-002",$I170,IF($N170="TBO-004",$J170,IF($N170="TBO-ENG",$K170,0))))))</f>
        <v/>
      </c>
    </row>
    <row r="171">
      <c r="H171" s="31">
        <f>IF($A171="","",IF($D171="Evet",ROUND($C171*tbo_oranBesPuan,2),0))</f>
        <v/>
      </c>
      <c r="I171" s="31">
        <f>IF($A171="","",IF($E171="Evet",ROUND($C171*tbo_oranIlave,2),0))</f>
        <v/>
      </c>
      <c r="J171" s="31">
        <f>IF($A171="","",IF($F171="Evet",ROUND($C171*tbo_oranKadinGenc,2),0))</f>
        <v/>
      </c>
      <c r="K171" s="31">
        <f>IF($A171="","",IF($G171="Evet",ROUND($C171*tbo_isverenOran,2),0))</f>
        <v/>
      </c>
      <c r="L171" s="31">
        <f>IF($A171="","",IF($M171=0,"YOK",IF($I171=$M171,"TBO-002",IF($H171=$M171,"TBO-001",IF($J171=$M171,"TBO-004","TBO-ENG")))))</f>
        <v/>
      </c>
      <c r="M171" s="31">
        <f>IF($A171="","",MAX($H171,$I171,$J171,$K171))</f>
        <v/>
      </c>
      <c r="O171" s="31">
        <f>IF($A171="","",MAX(0,$M171-IF($N171="TBO-001",$H171,IF($N171="TBO-002",$I171,IF($N171="TBO-004",$J171,IF($N171="TBO-ENG",$K171,0))))))</f>
        <v/>
      </c>
    </row>
    <row r="172">
      <c r="H172" s="31">
        <f>IF($A172="","",IF($D172="Evet",ROUND($C172*tbo_oranBesPuan,2),0))</f>
        <v/>
      </c>
      <c r="I172" s="31">
        <f>IF($A172="","",IF($E172="Evet",ROUND($C172*tbo_oranIlave,2),0))</f>
        <v/>
      </c>
      <c r="J172" s="31">
        <f>IF($A172="","",IF($F172="Evet",ROUND($C172*tbo_oranKadinGenc,2),0))</f>
        <v/>
      </c>
      <c r="K172" s="31">
        <f>IF($A172="","",IF($G172="Evet",ROUND($C172*tbo_isverenOran,2),0))</f>
        <v/>
      </c>
      <c r="L172" s="31">
        <f>IF($A172="","",IF($M172=0,"YOK",IF($I172=$M172,"TBO-002",IF($H172=$M172,"TBO-001",IF($J172=$M172,"TBO-004","TBO-ENG")))))</f>
        <v/>
      </c>
      <c r="M172" s="31">
        <f>IF($A172="","",MAX($H172,$I172,$J172,$K172))</f>
        <v/>
      </c>
      <c r="O172" s="31">
        <f>IF($A172="","",MAX(0,$M172-IF($N172="TBO-001",$H172,IF($N172="TBO-002",$I172,IF($N172="TBO-004",$J172,IF($N172="TBO-ENG",$K172,0))))))</f>
        <v/>
      </c>
    </row>
    <row r="173">
      <c r="H173" s="31">
        <f>IF($A173="","",IF($D173="Evet",ROUND($C173*tbo_oranBesPuan,2),0))</f>
        <v/>
      </c>
      <c r="I173" s="31">
        <f>IF($A173="","",IF($E173="Evet",ROUND($C173*tbo_oranIlave,2),0))</f>
        <v/>
      </c>
      <c r="J173" s="31">
        <f>IF($A173="","",IF($F173="Evet",ROUND($C173*tbo_oranKadinGenc,2),0))</f>
        <v/>
      </c>
      <c r="K173" s="31">
        <f>IF($A173="","",IF($G173="Evet",ROUND($C173*tbo_isverenOran,2),0))</f>
        <v/>
      </c>
      <c r="L173" s="31">
        <f>IF($A173="","",IF($M173=0,"YOK",IF($I173=$M173,"TBO-002",IF($H173=$M173,"TBO-001",IF($J173=$M173,"TBO-004","TBO-ENG")))))</f>
        <v/>
      </c>
      <c r="M173" s="31">
        <f>IF($A173="","",MAX($H173,$I173,$J173,$K173))</f>
        <v/>
      </c>
      <c r="O173" s="31">
        <f>IF($A173="","",MAX(0,$M173-IF($N173="TBO-001",$H173,IF($N173="TBO-002",$I173,IF($N173="TBO-004",$J173,IF($N173="TBO-ENG",$K173,0))))))</f>
        <v/>
      </c>
    </row>
    <row r="174">
      <c r="H174" s="31">
        <f>IF($A174="","",IF($D174="Evet",ROUND($C174*tbo_oranBesPuan,2),0))</f>
        <v/>
      </c>
      <c r="I174" s="31">
        <f>IF($A174="","",IF($E174="Evet",ROUND($C174*tbo_oranIlave,2),0))</f>
        <v/>
      </c>
      <c r="J174" s="31">
        <f>IF($A174="","",IF($F174="Evet",ROUND($C174*tbo_oranKadinGenc,2),0))</f>
        <v/>
      </c>
      <c r="K174" s="31">
        <f>IF($A174="","",IF($G174="Evet",ROUND($C174*tbo_isverenOran,2),0))</f>
        <v/>
      </c>
      <c r="L174" s="31">
        <f>IF($A174="","",IF($M174=0,"YOK",IF($I174=$M174,"TBO-002",IF($H174=$M174,"TBO-001",IF($J174=$M174,"TBO-004","TBO-ENG")))))</f>
        <v/>
      </c>
      <c r="M174" s="31">
        <f>IF($A174="","",MAX($H174,$I174,$J174,$K174))</f>
        <v/>
      </c>
      <c r="O174" s="31">
        <f>IF($A174="","",MAX(0,$M174-IF($N174="TBO-001",$H174,IF($N174="TBO-002",$I174,IF($N174="TBO-004",$J174,IF($N174="TBO-ENG",$K174,0))))))</f>
        <v/>
      </c>
    </row>
    <row r="175">
      <c r="H175" s="31">
        <f>IF($A175="","",IF($D175="Evet",ROUND($C175*tbo_oranBesPuan,2),0))</f>
        <v/>
      </c>
      <c r="I175" s="31">
        <f>IF($A175="","",IF($E175="Evet",ROUND($C175*tbo_oranIlave,2),0))</f>
        <v/>
      </c>
      <c r="J175" s="31">
        <f>IF($A175="","",IF($F175="Evet",ROUND($C175*tbo_oranKadinGenc,2),0))</f>
        <v/>
      </c>
      <c r="K175" s="31">
        <f>IF($A175="","",IF($G175="Evet",ROUND($C175*tbo_isverenOran,2),0))</f>
        <v/>
      </c>
      <c r="L175" s="31">
        <f>IF($A175="","",IF($M175=0,"YOK",IF($I175=$M175,"TBO-002",IF($H175=$M175,"TBO-001",IF($J175=$M175,"TBO-004","TBO-ENG")))))</f>
        <v/>
      </c>
      <c r="M175" s="31">
        <f>IF($A175="","",MAX($H175,$I175,$J175,$K175))</f>
        <v/>
      </c>
      <c r="O175" s="31">
        <f>IF($A175="","",MAX(0,$M175-IF($N175="TBO-001",$H175,IF($N175="TBO-002",$I175,IF($N175="TBO-004",$J175,IF($N175="TBO-ENG",$K175,0))))))</f>
        <v/>
      </c>
    </row>
    <row r="176">
      <c r="H176" s="31">
        <f>IF($A176="","",IF($D176="Evet",ROUND($C176*tbo_oranBesPuan,2),0))</f>
        <v/>
      </c>
      <c r="I176" s="31">
        <f>IF($A176="","",IF($E176="Evet",ROUND($C176*tbo_oranIlave,2),0))</f>
        <v/>
      </c>
      <c r="J176" s="31">
        <f>IF($A176="","",IF($F176="Evet",ROUND($C176*tbo_oranKadinGenc,2),0))</f>
        <v/>
      </c>
      <c r="K176" s="31">
        <f>IF($A176="","",IF($G176="Evet",ROUND($C176*tbo_isverenOran,2),0))</f>
        <v/>
      </c>
      <c r="L176" s="31">
        <f>IF($A176="","",IF($M176=0,"YOK",IF($I176=$M176,"TBO-002",IF($H176=$M176,"TBO-001",IF($J176=$M176,"TBO-004","TBO-ENG")))))</f>
        <v/>
      </c>
      <c r="M176" s="31">
        <f>IF($A176="","",MAX($H176,$I176,$J176,$K176))</f>
        <v/>
      </c>
      <c r="O176" s="31">
        <f>IF($A176="","",MAX(0,$M176-IF($N176="TBO-001",$H176,IF($N176="TBO-002",$I176,IF($N176="TBO-004",$J176,IF($N176="TBO-ENG",$K176,0))))))</f>
        <v/>
      </c>
    </row>
    <row r="177">
      <c r="H177" s="31">
        <f>IF($A177="","",IF($D177="Evet",ROUND($C177*tbo_oranBesPuan,2),0))</f>
        <v/>
      </c>
      <c r="I177" s="31">
        <f>IF($A177="","",IF($E177="Evet",ROUND($C177*tbo_oranIlave,2),0))</f>
        <v/>
      </c>
      <c r="J177" s="31">
        <f>IF($A177="","",IF($F177="Evet",ROUND($C177*tbo_oranKadinGenc,2),0))</f>
        <v/>
      </c>
      <c r="K177" s="31">
        <f>IF($A177="","",IF($G177="Evet",ROUND($C177*tbo_isverenOran,2),0))</f>
        <v/>
      </c>
      <c r="L177" s="31">
        <f>IF($A177="","",IF($M177=0,"YOK",IF($I177=$M177,"TBO-002",IF($H177=$M177,"TBO-001",IF($J177=$M177,"TBO-004","TBO-ENG")))))</f>
        <v/>
      </c>
      <c r="M177" s="31">
        <f>IF($A177="","",MAX($H177,$I177,$J177,$K177))</f>
        <v/>
      </c>
      <c r="O177" s="31">
        <f>IF($A177="","",MAX(0,$M177-IF($N177="TBO-001",$H177,IF($N177="TBO-002",$I177,IF($N177="TBO-004",$J177,IF($N177="TBO-ENG",$K177,0))))))</f>
        <v/>
      </c>
    </row>
    <row r="178">
      <c r="H178" s="31">
        <f>IF($A178="","",IF($D178="Evet",ROUND($C178*tbo_oranBesPuan,2),0))</f>
        <v/>
      </c>
      <c r="I178" s="31">
        <f>IF($A178="","",IF($E178="Evet",ROUND($C178*tbo_oranIlave,2),0))</f>
        <v/>
      </c>
      <c r="J178" s="31">
        <f>IF($A178="","",IF($F178="Evet",ROUND($C178*tbo_oranKadinGenc,2),0))</f>
        <v/>
      </c>
      <c r="K178" s="31">
        <f>IF($A178="","",IF($G178="Evet",ROUND($C178*tbo_isverenOran,2),0))</f>
        <v/>
      </c>
      <c r="L178" s="31">
        <f>IF($A178="","",IF($M178=0,"YOK",IF($I178=$M178,"TBO-002",IF($H178=$M178,"TBO-001",IF($J178=$M178,"TBO-004","TBO-ENG")))))</f>
        <v/>
      </c>
      <c r="M178" s="31">
        <f>IF($A178="","",MAX($H178,$I178,$J178,$K178))</f>
        <v/>
      </c>
      <c r="O178" s="31">
        <f>IF($A178="","",MAX(0,$M178-IF($N178="TBO-001",$H178,IF($N178="TBO-002",$I178,IF($N178="TBO-004",$J178,IF($N178="TBO-ENG",$K178,0))))))</f>
        <v/>
      </c>
    </row>
    <row r="179">
      <c r="H179" s="31">
        <f>IF($A179="","",IF($D179="Evet",ROUND($C179*tbo_oranBesPuan,2),0))</f>
        <v/>
      </c>
      <c r="I179" s="31">
        <f>IF($A179="","",IF($E179="Evet",ROUND($C179*tbo_oranIlave,2),0))</f>
        <v/>
      </c>
      <c r="J179" s="31">
        <f>IF($A179="","",IF($F179="Evet",ROUND($C179*tbo_oranKadinGenc,2),0))</f>
        <v/>
      </c>
      <c r="K179" s="31">
        <f>IF($A179="","",IF($G179="Evet",ROUND($C179*tbo_isverenOran,2),0))</f>
        <v/>
      </c>
      <c r="L179" s="31">
        <f>IF($A179="","",IF($M179=0,"YOK",IF($I179=$M179,"TBO-002",IF($H179=$M179,"TBO-001",IF($J179=$M179,"TBO-004","TBO-ENG")))))</f>
        <v/>
      </c>
      <c r="M179" s="31">
        <f>IF($A179="","",MAX($H179,$I179,$J179,$K179))</f>
        <v/>
      </c>
      <c r="O179" s="31">
        <f>IF($A179="","",MAX(0,$M179-IF($N179="TBO-001",$H179,IF($N179="TBO-002",$I179,IF($N179="TBO-004",$J179,IF($N179="TBO-ENG",$K179,0))))))</f>
        <v/>
      </c>
    </row>
    <row r="180">
      <c r="H180" s="31">
        <f>IF($A180="","",IF($D180="Evet",ROUND($C180*tbo_oranBesPuan,2),0))</f>
        <v/>
      </c>
      <c r="I180" s="31">
        <f>IF($A180="","",IF($E180="Evet",ROUND($C180*tbo_oranIlave,2),0))</f>
        <v/>
      </c>
      <c r="J180" s="31">
        <f>IF($A180="","",IF($F180="Evet",ROUND($C180*tbo_oranKadinGenc,2),0))</f>
        <v/>
      </c>
      <c r="K180" s="31">
        <f>IF($A180="","",IF($G180="Evet",ROUND($C180*tbo_isverenOran,2),0))</f>
        <v/>
      </c>
      <c r="L180" s="31">
        <f>IF($A180="","",IF($M180=0,"YOK",IF($I180=$M180,"TBO-002",IF($H180=$M180,"TBO-001",IF($J180=$M180,"TBO-004","TBO-ENG")))))</f>
        <v/>
      </c>
      <c r="M180" s="31">
        <f>IF($A180="","",MAX($H180,$I180,$J180,$K180))</f>
        <v/>
      </c>
      <c r="O180" s="31">
        <f>IF($A180="","",MAX(0,$M180-IF($N180="TBO-001",$H180,IF($N180="TBO-002",$I180,IF($N180="TBO-004",$J180,IF($N180="TBO-ENG",$K180,0))))))</f>
        <v/>
      </c>
    </row>
    <row r="181">
      <c r="H181" s="31">
        <f>IF($A181="","",IF($D181="Evet",ROUND($C181*tbo_oranBesPuan,2),0))</f>
        <v/>
      </c>
      <c r="I181" s="31">
        <f>IF($A181="","",IF($E181="Evet",ROUND($C181*tbo_oranIlave,2),0))</f>
        <v/>
      </c>
      <c r="J181" s="31">
        <f>IF($A181="","",IF($F181="Evet",ROUND($C181*tbo_oranKadinGenc,2),0))</f>
        <v/>
      </c>
      <c r="K181" s="31">
        <f>IF($A181="","",IF($G181="Evet",ROUND($C181*tbo_isverenOran,2),0))</f>
        <v/>
      </c>
      <c r="L181" s="31">
        <f>IF($A181="","",IF($M181=0,"YOK",IF($I181=$M181,"TBO-002",IF($H181=$M181,"TBO-001",IF($J181=$M181,"TBO-004","TBO-ENG")))))</f>
        <v/>
      </c>
      <c r="M181" s="31">
        <f>IF($A181="","",MAX($H181,$I181,$J181,$K181))</f>
        <v/>
      </c>
      <c r="O181" s="31">
        <f>IF($A181="","",MAX(0,$M181-IF($N181="TBO-001",$H181,IF($N181="TBO-002",$I181,IF($N181="TBO-004",$J181,IF($N181="TBO-ENG",$K181,0))))))</f>
        <v/>
      </c>
    </row>
    <row r="182">
      <c r="H182" s="31">
        <f>IF($A182="","",IF($D182="Evet",ROUND($C182*tbo_oranBesPuan,2),0))</f>
        <v/>
      </c>
      <c r="I182" s="31">
        <f>IF($A182="","",IF($E182="Evet",ROUND($C182*tbo_oranIlave,2),0))</f>
        <v/>
      </c>
      <c r="J182" s="31">
        <f>IF($A182="","",IF($F182="Evet",ROUND($C182*tbo_oranKadinGenc,2),0))</f>
        <v/>
      </c>
      <c r="K182" s="31">
        <f>IF($A182="","",IF($G182="Evet",ROUND($C182*tbo_isverenOran,2),0))</f>
        <v/>
      </c>
      <c r="L182" s="31">
        <f>IF($A182="","",IF($M182=0,"YOK",IF($I182=$M182,"TBO-002",IF($H182=$M182,"TBO-001",IF($J182=$M182,"TBO-004","TBO-ENG")))))</f>
        <v/>
      </c>
      <c r="M182" s="31">
        <f>IF($A182="","",MAX($H182,$I182,$J182,$K182))</f>
        <v/>
      </c>
      <c r="O182" s="31">
        <f>IF($A182="","",MAX(0,$M182-IF($N182="TBO-001",$H182,IF($N182="TBO-002",$I182,IF($N182="TBO-004",$J182,IF($N182="TBO-ENG",$K182,0))))))</f>
        <v/>
      </c>
    </row>
    <row r="183">
      <c r="H183" s="31">
        <f>IF($A183="","",IF($D183="Evet",ROUND($C183*tbo_oranBesPuan,2),0))</f>
        <v/>
      </c>
      <c r="I183" s="31">
        <f>IF($A183="","",IF($E183="Evet",ROUND($C183*tbo_oranIlave,2),0))</f>
        <v/>
      </c>
      <c r="J183" s="31">
        <f>IF($A183="","",IF($F183="Evet",ROUND($C183*tbo_oranKadinGenc,2),0))</f>
        <v/>
      </c>
      <c r="K183" s="31">
        <f>IF($A183="","",IF($G183="Evet",ROUND($C183*tbo_isverenOran,2),0))</f>
        <v/>
      </c>
      <c r="L183" s="31">
        <f>IF($A183="","",IF($M183=0,"YOK",IF($I183=$M183,"TBO-002",IF($H183=$M183,"TBO-001",IF($J183=$M183,"TBO-004","TBO-ENG")))))</f>
        <v/>
      </c>
      <c r="M183" s="31">
        <f>IF($A183="","",MAX($H183,$I183,$J183,$K183))</f>
        <v/>
      </c>
      <c r="O183" s="31">
        <f>IF($A183="","",MAX(0,$M183-IF($N183="TBO-001",$H183,IF($N183="TBO-002",$I183,IF($N183="TBO-004",$J183,IF($N183="TBO-ENG",$K183,0))))))</f>
        <v/>
      </c>
    </row>
    <row r="184">
      <c r="H184" s="31">
        <f>IF($A184="","",IF($D184="Evet",ROUND($C184*tbo_oranBesPuan,2),0))</f>
        <v/>
      </c>
      <c r="I184" s="31">
        <f>IF($A184="","",IF($E184="Evet",ROUND($C184*tbo_oranIlave,2),0))</f>
        <v/>
      </c>
      <c r="J184" s="31">
        <f>IF($A184="","",IF($F184="Evet",ROUND($C184*tbo_oranKadinGenc,2),0))</f>
        <v/>
      </c>
      <c r="K184" s="31">
        <f>IF($A184="","",IF($G184="Evet",ROUND($C184*tbo_isverenOran,2),0))</f>
        <v/>
      </c>
      <c r="L184" s="31">
        <f>IF($A184="","",IF($M184=0,"YOK",IF($I184=$M184,"TBO-002",IF($H184=$M184,"TBO-001",IF($J184=$M184,"TBO-004","TBO-ENG")))))</f>
        <v/>
      </c>
      <c r="M184" s="31">
        <f>IF($A184="","",MAX($H184,$I184,$J184,$K184))</f>
        <v/>
      </c>
      <c r="O184" s="31">
        <f>IF($A184="","",MAX(0,$M184-IF($N184="TBO-001",$H184,IF($N184="TBO-002",$I184,IF($N184="TBO-004",$J184,IF($N184="TBO-ENG",$K184,0))))))</f>
        <v/>
      </c>
    </row>
    <row r="185">
      <c r="H185" s="31">
        <f>IF($A185="","",IF($D185="Evet",ROUND($C185*tbo_oranBesPuan,2),0))</f>
        <v/>
      </c>
      <c r="I185" s="31">
        <f>IF($A185="","",IF($E185="Evet",ROUND($C185*tbo_oranIlave,2),0))</f>
        <v/>
      </c>
      <c r="J185" s="31">
        <f>IF($A185="","",IF($F185="Evet",ROUND($C185*tbo_oranKadinGenc,2),0))</f>
        <v/>
      </c>
      <c r="K185" s="31">
        <f>IF($A185="","",IF($G185="Evet",ROUND($C185*tbo_isverenOran,2),0))</f>
        <v/>
      </c>
      <c r="L185" s="31">
        <f>IF($A185="","",IF($M185=0,"YOK",IF($I185=$M185,"TBO-002",IF($H185=$M185,"TBO-001",IF($J185=$M185,"TBO-004","TBO-ENG")))))</f>
        <v/>
      </c>
      <c r="M185" s="31">
        <f>IF($A185="","",MAX($H185,$I185,$J185,$K185))</f>
        <v/>
      </c>
      <c r="O185" s="31">
        <f>IF($A185="","",MAX(0,$M185-IF($N185="TBO-001",$H185,IF($N185="TBO-002",$I185,IF($N185="TBO-004",$J185,IF($N185="TBO-ENG",$K185,0))))))</f>
        <v/>
      </c>
    </row>
    <row r="186">
      <c r="H186" s="31">
        <f>IF($A186="","",IF($D186="Evet",ROUND($C186*tbo_oranBesPuan,2),0))</f>
        <v/>
      </c>
      <c r="I186" s="31">
        <f>IF($A186="","",IF($E186="Evet",ROUND($C186*tbo_oranIlave,2),0))</f>
        <v/>
      </c>
      <c r="J186" s="31">
        <f>IF($A186="","",IF($F186="Evet",ROUND($C186*tbo_oranKadinGenc,2),0))</f>
        <v/>
      </c>
      <c r="K186" s="31">
        <f>IF($A186="","",IF($G186="Evet",ROUND($C186*tbo_isverenOran,2),0))</f>
        <v/>
      </c>
      <c r="L186" s="31">
        <f>IF($A186="","",IF($M186=0,"YOK",IF($I186=$M186,"TBO-002",IF($H186=$M186,"TBO-001",IF($J186=$M186,"TBO-004","TBO-ENG")))))</f>
        <v/>
      </c>
      <c r="M186" s="31">
        <f>IF($A186="","",MAX($H186,$I186,$J186,$K186))</f>
        <v/>
      </c>
      <c r="O186" s="31">
        <f>IF($A186="","",MAX(0,$M186-IF($N186="TBO-001",$H186,IF($N186="TBO-002",$I186,IF($N186="TBO-004",$J186,IF($N186="TBO-ENG",$K186,0))))))</f>
        <v/>
      </c>
    </row>
    <row r="187">
      <c r="H187" s="31">
        <f>IF($A187="","",IF($D187="Evet",ROUND($C187*tbo_oranBesPuan,2),0))</f>
        <v/>
      </c>
      <c r="I187" s="31">
        <f>IF($A187="","",IF($E187="Evet",ROUND($C187*tbo_oranIlave,2),0))</f>
        <v/>
      </c>
      <c r="J187" s="31">
        <f>IF($A187="","",IF($F187="Evet",ROUND($C187*tbo_oranKadinGenc,2),0))</f>
        <v/>
      </c>
      <c r="K187" s="31">
        <f>IF($A187="","",IF($G187="Evet",ROUND($C187*tbo_isverenOran,2),0))</f>
        <v/>
      </c>
      <c r="L187" s="31">
        <f>IF($A187="","",IF($M187=0,"YOK",IF($I187=$M187,"TBO-002",IF($H187=$M187,"TBO-001",IF($J187=$M187,"TBO-004","TBO-ENG")))))</f>
        <v/>
      </c>
      <c r="M187" s="31">
        <f>IF($A187="","",MAX($H187,$I187,$J187,$K187))</f>
        <v/>
      </c>
      <c r="O187" s="31">
        <f>IF($A187="","",MAX(0,$M187-IF($N187="TBO-001",$H187,IF($N187="TBO-002",$I187,IF($N187="TBO-004",$J187,IF($N187="TBO-ENG",$K187,0))))))</f>
        <v/>
      </c>
    </row>
    <row r="188">
      <c r="H188" s="31">
        <f>IF($A188="","",IF($D188="Evet",ROUND($C188*tbo_oranBesPuan,2),0))</f>
        <v/>
      </c>
      <c r="I188" s="31">
        <f>IF($A188="","",IF($E188="Evet",ROUND($C188*tbo_oranIlave,2),0))</f>
        <v/>
      </c>
      <c r="J188" s="31">
        <f>IF($A188="","",IF($F188="Evet",ROUND($C188*tbo_oranKadinGenc,2),0))</f>
        <v/>
      </c>
      <c r="K188" s="31">
        <f>IF($A188="","",IF($G188="Evet",ROUND($C188*tbo_isverenOran,2),0))</f>
        <v/>
      </c>
      <c r="L188" s="31">
        <f>IF($A188="","",IF($M188=0,"YOK",IF($I188=$M188,"TBO-002",IF($H188=$M188,"TBO-001",IF($J188=$M188,"TBO-004","TBO-ENG")))))</f>
        <v/>
      </c>
      <c r="M188" s="31">
        <f>IF($A188="","",MAX($H188,$I188,$J188,$K188))</f>
        <v/>
      </c>
      <c r="O188" s="31">
        <f>IF($A188="","",MAX(0,$M188-IF($N188="TBO-001",$H188,IF($N188="TBO-002",$I188,IF($N188="TBO-004",$J188,IF($N188="TBO-ENG",$K188,0))))))</f>
        <v/>
      </c>
    </row>
    <row r="189">
      <c r="H189" s="31">
        <f>IF($A189="","",IF($D189="Evet",ROUND($C189*tbo_oranBesPuan,2),0))</f>
        <v/>
      </c>
      <c r="I189" s="31">
        <f>IF($A189="","",IF($E189="Evet",ROUND($C189*tbo_oranIlave,2),0))</f>
        <v/>
      </c>
      <c r="J189" s="31">
        <f>IF($A189="","",IF($F189="Evet",ROUND($C189*tbo_oranKadinGenc,2),0))</f>
        <v/>
      </c>
      <c r="K189" s="31">
        <f>IF($A189="","",IF($G189="Evet",ROUND($C189*tbo_isverenOran,2),0))</f>
        <v/>
      </c>
      <c r="L189" s="31">
        <f>IF($A189="","",IF($M189=0,"YOK",IF($I189=$M189,"TBO-002",IF($H189=$M189,"TBO-001",IF($J189=$M189,"TBO-004","TBO-ENG")))))</f>
        <v/>
      </c>
      <c r="M189" s="31">
        <f>IF($A189="","",MAX($H189,$I189,$J189,$K189))</f>
        <v/>
      </c>
      <c r="O189" s="31">
        <f>IF($A189="","",MAX(0,$M189-IF($N189="TBO-001",$H189,IF($N189="TBO-002",$I189,IF($N189="TBO-004",$J189,IF($N189="TBO-ENG",$K189,0))))))</f>
        <v/>
      </c>
    </row>
    <row r="190">
      <c r="H190" s="31">
        <f>IF($A190="","",IF($D190="Evet",ROUND($C190*tbo_oranBesPuan,2),0))</f>
        <v/>
      </c>
      <c r="I190" s="31">
        <f>IF($A190="","",IF($E190="Evet",ROUND($C190*tbo_oranIlave,2),0))</f>
        <v/>
      </c>
      <c r="J190" s="31">
        <f>IF($A190="","",IF($F190="Evet",ROUND($C190*tbo_oranKadinGenc,2),0))</f>
        <v/>
      </c>
      <c r="K190" s="31">
        <f>IF($A190="","",IF($G190="Evet",ROUND($C190*tbo_isverenOran,2),0))</f>
        <v/>
      </c>
      <c r="L190" s="31">
        <f>IF($A190="","",IF($M190=0,"YOK",IF($I190=$M190,"TBO-002",IF($H190=$M190,"TBO-001",IF($J190=$M190,"TBO-004","TBO-ENG")))))</f>
        <v/>
      </c>
      <c r="M190" s="31">
        <f>IF($A190="","",MAX($H190,$I190,$J190,$K190))</f>
        <v/>
      </c>
      <c r="O190" s="31">
        <f>IF($A190="","",MAX(0,$M190-IF($N190="TBO-001",$H190,IF($N190="TBO-002",$I190,IF($N190="TBO-004",$J190,IF($N190="TBO-ENG",$K190,0))))))</f>
        <v/>
      </c>
    </row>
    <row r="191">
      <c r="H191" s="31">
        <f>IF($A191="","",IF($D191="Evet",ROUND($C191*tbo_oranBesPuan,2),0))</f>
        <v/>
      </c>
      <c r="I191" s="31">
        <f>IF($A191="","",IF($E191="Evet",ROUND($C191*tbo_oranIlave,2),0))</f>
        <v/>
      </c>
      <c r="J191" s="31">
        <f>IF($A191="","",IF($F191="Evet",ROUND($C191*tbo_oranKadinGenc,2),0))</f>
        <v/>
      </c>
      <c r="K191" s="31">
        <f>IF($A191="","",IF($G191="Evet",ROUND($C191*tbo_isverenOran,2),0))</f>
        <v/>
      </c>
      <c r="L191" s="31">
        <f>IF($A191="","",IF($M191=0,"YOK",IF($I191=$M191,"TBO-002",IF($H191=$M191,"TBO-001",IF($J191=$M191,"TBO-004","TBO-ENG")))))</f>
        <v/>
      </c>
      <c r="M191" s="31">
        <f>IF($A191="","",MAX($H191,$I191,$J191,$K191))</f>
        <v/>
      </c>
      <c r="O191" s="31">
        <f>IF($A191="","",MAX(0,$M191-IF($N191="TBO-001",$H191,IF($N191="TBO-002",$I191,IF($N191="TBO-004",$J191,IF($N191="TBO-ENG",$K191,0))))))</f>
        <v/>
      </c>
    </row>
    <row r="192">
      <c r="H192" s="31">
        <f>IF($A192="","",IF($D192="Evet",ROUND($C192*tbo_oranBesPuan,2),0))</f>
        <v/>
      </c>
      <c r="I192" s="31">
        <f>IF($A192="","",IF($E192="Evet",ROUND($C192*tbo_oranIlave,2),0))</f>
        <v/>
      </c>
      <c r="J192" s="31">
        <f>IF($A192="","",IF($F192="Evet",ROUND($C192*tbo_oranKadinGenc,2),0))</f>
        <v/>
      </c>
      <c r="K192" s="31">
        <f>IF($A192="","",IF($G192="Evet",ROUND($C192*tbo_isverenOran,2),0))</f>
        <v/>
      </c>
      <c r="L192" s="31">
        <f>IF($A192="","",IF($M192=0,"YOK",IF($I192=$M192,"TBO-002",IF($H192=$M192,"TBO-001",IF($J192=$M192,"TBO-004","TBO-ENG")))))</f>
        <v/>
      </c>
      <c r="M192" s="31">
        <f>IF($A192="","",MAX($H192,$I192,$J192,$K192))</f>
        <v/>
      </c>
      <c r="O192" s="31">
        <f>IF($A192="","",MAX(0,$M192-IF($N192="TBO-001",$H192,IF($N192="TBO-002",$I192,IF($N192="TBO-004",$J192,IF($N192="TBO-ENG",$K192,0))))))</f>
        <v/>
      </c>
    </row>
    <row r="193">
      <c r="H193" s="31">
        <f>IF($A193="","",IF($D193="Evet",ROUND($C193*tbo_oranBesPuan,2),0))</f>
        <v/>
      </c>
      <c r="I193" s="31">
        <f>IF($A193="","",IF($E193="Evet",ROUND($C193*tbo_oranIlave,2),0))</f>
        <v/>
      </c>
      <c r="J193" s="31">
        <f>IF($A193="","",IF($F193="Evet",ROUND($C193*tbo_oranKadinGenc,2),0))</f>
        <v/>
      </c>
      <c r="K193" s="31">
        <f>IF($A193="","",IF($G193="Evet",ROUND($C193*tbo_isverenOran,2),0))</f>
        <v/>
      </c>
      <c r="L193" s="31">
        <f>IF($A193="","",IF($M193=0,"YOK",IF($I193=$M193,"TBO-002",IF($H193=$M193,"TBO-001",IF($J193=$M193,"TBO-004","TBO-ENG")))))</f>
        <v/>
      </c>
      <c r="M193" s="31">
        <f>IF($A193="","",MAX($H193,$I193,$J193,$K193))</f>
        <v/>
      </c>
      <c r="O193" s="31">
        <f>IF($A193="","",MAX(0,$M193-IF($N193="TBO-001",$H193,IF($N193="TBO-002",$I193,IF($N193="TBO-004",$J193,IF($N193="TBO-ENG",$K193,0))))))</f>
        <v/>
      </c>
    </row>
    <row r="194">
      <c r="H194" s="31">
        <f>IF($A194="","",IF($D194="Evet",ROUND($C194*tbo_oranBesPuan,2),0))</f>
        <v/>
      </c>
      <c r="I194" s="31">
        <f>IF($A194="","",IF($E194="Evet",ROUND($C194*tbo_oranIlave,2),0))</f>
        <v/>
      </c>
      <c r="J194" s="31">
        <f>IF($A194="","",IF($F194="Evet",ROUND($C194*tbo_oranKadinGenc,2),0))</f>
        <v/>
      </c>
      <c r="K194" s="31">
        <f>IF($A194="","",IF($G194="Evet",ROUND($C194*tbo_isverenOran,2),0))</f>
        <v/>
      </c>
      <c r="L194" s="31">
        <f>IF($A194="","",IF($M194=0,"YOK",IF($I194=$M194,"TBO-002",IF($H194=$M194,"TBO-001",IF($J194=$M194,"TBO-004","TBO-ENG")))))</f>
        <v/>
      </c>
      <c r="M194" s="31">
        <f>IF($A194="","",MAX($H194,$I194,$J194,$K194))</f>
        <v/>
      </c>
      <c r="O194" s="31">
        <f>IF($A194="","",MAX(0,$M194-IF($N194="TBO-001",$H194,IF($N194="TBO-002",$I194,IF($N194="TBO-004",$J194,IF($N194="TBO-ENG",$K194,0))))))</f>
        <v/>
      </c>
    </row>
    <row r="195">
      <c r="H195" s="31">
        <f>IF($A195="","",IF($D195="Evet",ROUND($C195*tbo_oranBesPuan,2),0))</f>
        <v/>
      </c>
      <c r="I195" s="31">
        <f>IF($A195="","",IF($E195="Evet",ROUND($C195*tbo_oranIlave,2),0))</f>
        <v/>
      </c>
      <c r="J195" s="31">
        <f>IF($A195="","",IF($F195="Evet",ROUND($C195*tbo_oranKadinGenc,2),0))</f>
        <v/>
      </c>
      <c r="K195" s="31">
        <f>IF($A195="","",IF($G195="Evet",ROUND($C195*tbo_isverenOran,2),0))</f>
        <v/>
      </c>
      <c r="L195" s="31">
        <f>IF($A195="","",IF($M195=0,"YOK",IF($I195=$M195,"TBO-002",IF($H195=$M195,"TBO-001",IF($J195=$M195,"TBO-004","TBO-ENG")))))</f>
        <v/>
      </c>
      <c r="M195" s="31">
        <f>IF($A195="","",MAX($H195,$I195,$J195,$K195))</f>
        <v/>
      </c>
      <c r="O195" s="31">
        <f>IF($A195="","",MAX(0,$M195-IF($N195="TBO-001",$H195,IF($N195="TBO-002",$I195,IF($N195="TBO-004",$J195,IF($N195="TBO-ENG",$K195,0))))))</f>
        <v/>
      </c>
    </row>
    <row r="196">
      <c r="H196" s="31">
        <f>IF($A196="","",IF($D196="Evet",ROUND($C196*tbo_oranBesPuan,2),0))</f>
        <v/>
      </c>
      <c r="I196" s="31">
        <f>IF($A196="","",IF($E196="Evet",ROUND($C196*tbo_oranIlave,2),0))</f>
        <v/>
      </c>
      <c r="J196" s="31">
        <f>IF($A196="","",IF($F196="Evet",ROUND($C196*tbo_oranKadinGenc,2),0))</f>
        <v/>
      </c>
      <c r="K196" s="31">
        <f>IF($A196="","",IF($G196="Evet",ROUND($C196*tbo_isverenOran,2),0))</f>
        <v/>
      </c>
      <c r="L196" s="31">
        <f>IF($A196="","",IF($M196=0,"YOK",IF($I196=$M196,"TBO-002",IF($H196=$M196,"TBO-001",IF($J196=$M196,"TBO-004","TBO-ENG")))))</f>
        <v/>
      </c>
      <c r="M196" s="31">
        <f>IF($A196="","",MAX($H196,$I196,$J196,$K196))</f>
        <v/>
      </c>
      <c r="O196" s="31">
        <f>IF($A196="","",MAX(0,$M196-IF($N196="TBO-001",$H196,IF($N196="TBO-002",$I196,IF($N196="TBO-004",$J196,IF($N196="TBO-ENG",$K196,0))))))</f>
        <v/>
      </c>
    </row>
    <row r="197">
      <c r="H197" s="31">
        <f>IF($A197="","",IF($D197="Evet",ROUND($C197*tbo_oranBesPuan,2),0))</f>
        <v/>
      </c>
      <c r="I197" s="31">
        <f>IF($A197="","",IF($E197="Evet",ROUND($C197*tbo_oranIlave,2),0))</f>
        <v/>
      </c>
      <c r="J197" s="31">
        <f>IF($A197="","",IF($F197="Evet",ROUND($C197*tbo_oranKadinGenc,2),0))</f>
        <v/>
      </c>
      <c r="K197" s="31">
        <f>IF($A197="","",IF($G197="Evet",ROUND($C197*tbo_isverenOran,2),0))</f>
        <v/>
      </c>
      <c r="L197" s="31">
        <f>IF($A197="","",IF($M197=0,"YOK",IF($I197=$M197,"TBO-002",IF($H197=$M197,"TBO-001",IF($J197=$M197,"TBO-004","TBO-ENG")))))</f>
        <v/>
      </c>
      <c r="M197" s="31">
        <f>IF($A197="","",MAX($H197,$I197,$J197,$K197))</f>
        <v/>
      </c>
      <c r="O197" s="31">
        <f>IF($A197="","",MAX(0,$M197-IF($N197="TBO-001",$H197,IF($N197="TBO-002",$I197,IF($N197="TBO-004",$J197,IF($N197="TBO-ENG",$K197,0))))))</f>
        <v/>
      </c>
    </row>
    <row r="198">
      <c r="H198" s="31">
        <f>IF($A198="","",IF($D198="Evet",ROUND($C198*tbo_oranBesPuan,2),0))</f>
        <v/>
      </c>
      <c r="I198" s="31">
        <f>IF($A198="","",IF($E198="Evet",ROUND($C198*tbo_oranIlave,2),0))</f>
        <v/>
      </c>
      <c r="J198" s="31">
        <f>IF($A198="","",IF($F198="Evet",ROUND($C198*tbo_oranKadinGenc,2),0))</f>
        <v/>
      </c>
      <c r="K198" s="31">
        <f>IF($A198="","",IF($G198="Evet",ROUND($C198*tbo_isverenOran,2),0))</f>
        <v/>
      </c>
      <c r="L198" s="31">
        <f>IF($A198="","",IF($M198=0,"YOK",IF($I198=$M198,"TBO-002",IF($H198=$M198,"TBO-001",IF($J198=$M198,"TBO-004","TBO-ENG")))))</f>
        <v/>
      </c>
      <c r="M198" s="31">
        <f>IF($A198="","",MAX($H198,$I198,$J198,$K198))</f>
        <v/>
      </c>
      <c r="O198" s="31">
        <f>IF($A198="","",MAX(0,$M198-IF($N198="TBO-001",$H198,IF($N198="TBO-002",$I198,IF($N198="TBO-004",$J198,IF($N198="TBO-ENG",$K198,0))))))</f>
        <v/>
      </c>
    </row>
    <row r="199">
      <c r="H199" s="31">
        <f>IF($A199="","",IF($D199="Evet",ROUND($C199*tbo_oranBesPuan,2),0))</f>
        <v/>
      </c>
      <c r="I199" s="31">
        <f>IF($A199="","",IF($E199="Evet",ROUND($C199*tbo_oranIlave,2),0))</f>
        <v/>
      </c>
      <c r="J199" s="31">
        <f>IF($A199="","",IF($F199="Evet",ROUND($C199*tbo_oranKadinGenc,2),0))</f>
        <v/>
      </c>
      <c r="K199" s="31">
        <f>IF($A199="","",IF($G199="Evet",ROUND($C199*tbo_isverenOran,2),0))</f>
        <v/>
      </c>
      <c r="L199" s="31">
        <f>IF($A199="","",IF($M199=0,"YOK",IF($I199=$M199,"TBO-002",IF($H199=$M199,"TBO-001",IF($J199=$M199,"TBO-004","TBO-ENG")))))</f>
        <v/>
      </c>
      <c r="M199" s="31">
        <f>IF($A199="","",MAX($H199,$I199,$J199,$K199))</f>
        <v/>
      </c>
      <c r="O199" s="31">
        <f>IF($A199="","",MAX(0,$M199-IF($N199="TBO-001",$H199,IF($N199="TBO-002",$I199,IF($N199="TBO-004",$J199,IF($N199="TBO-ENG",$K199,0))))))</f>
        <v/>
      </c>
    </row>
    <row r="200">
      <c r="H200" s="31">
        <f>IF($A200="","",IF($D200="Evet",ROUND($C200*tbo_oranBesPuan,2),0))</f>
        <v/>
      </c>
      <c r="I200" s="31">
        <f>IF($A200="","",IF($E200="Evet",ROUND($C200*tbo_oranIlave,2),0))</f>
        <v/>
      </c>
      <c r="J200" s="31">
        <f>IF($A200="","",IF($F200="Evet",ROUND($C200*tbo_oranKadinGenc,2),0))</f>
        <v/>
      </c>
      <c r="K200" s="31">
        <f>IF($A200="","",IF($G200="Evet",ROUND($C200*tbo_isverenOran,2),0))</f>
        <v/>
      </c>
      <c r="L200" s="31">
        <f>IF($A200="","",IF($M200=0,"YOK",IF($I200=$M200,"TBO-002",IF($H200=$M200,"TBO-001",IF($J200=$M200,"TBO-004","TBO-ENG")))))</f>
        <v/>
      </c>
      <c r="M200" s="31">
        <f>IF($A200="","",MAX($H200,$I200,$J200,$K200))</f>
        <v/>
      </c>
      <c r="O200" s="31">
        <f>IF($A200="","",MAX(0,$M200-IF($N200="TBO-001",$H200,IF($N200="TBO-002",$I200,IF($N200="TBO-004",$J200,IF($N200="TBO-ENG",$K200,0))))))</f>
        <v/>
      </c>
    </row>
    <row r="201">
      <c r="H201" s="31">
        <f>IF($A201="","",IF($D201="Evet",ROUND($C201*tbo_oranBesPuan,2),0))</f>
        <v/>
      </c>
      <c r="I201" s="31">
        <f>IF($A201="","",IF($E201="Evet",ROUND($C201*tbo_oranIlave,2),0))</f>
        <v/>
      </c>
      <c r="J201" s="31">
        <f>IF($A201="","",IF($F201="Evet",ROUND($C201*tbo_oranKadinGenc,2),0))</f>
        <v/>
      </c>
      <c r="K201" s="31">
        <f>IF($A201="","",IF($G201="Evet",ROUND($C201*tbo_isverenOran,2),0))</f>
        <v/>
      </c>
      <c r="L201" s="31">
        <f>IF($A201="","",IF($M201=0,"YOK",IF($I201=$M201,"TBO-002",IF($H201=$M201,"TBO-001",IF($J201=$M201,"TBO-004","TBO-ENG")))))</f>
        <v/>
      </c>
      <c r="M201" s="31">
        <f>IF($A201="","",MAX($H201,$I201,$J201,$K201))</f>
        <v/>
      </c>
      <c r="O201" s="31">
        <f>IF($A201="","",MAX(0,$M201-IF($N201="TBO-001",$H201,IF($N201="TBO-002",$I201,IF($N201="TBO-004",$J201,IF($N201="TBO-ENG",$K201,0))))))</f>
        <v/>
      </c>
    </row>
    <row r="202">
      <c r="H202" s="31">
        <f>IF($A202="","",IF($D202="Evet",ROUND($C202*tbo_oranBesPuan,2),0))</f>
        <v/>
      </c>
      <c r="I202" s="31">
        <f>IF($A202="","",IF($E202="Evet",ROUND($C202*tbo_oranIlave,2),0))</f>
        <v/>
      </c>
      <c r="J202" s="31">
        <f>IF($A202="","",IF($F202="Evet",ROUND($C202*tbo_oranKadinGenc,2),0))</f>
        <v/>
      </c>
      <c r="K202" s="31">
        <f>IF($A202="","",IF($G202="Evet",ROUND($C202*tbo_isverenOran,2),0))</f>
        <v/>
      </c>
      <c r="L202" s="31">
        <f>IF($A202="","",IF($M202=0,"YOK",IF($I202=$M202,"TBO-002",IF($H202=$M202,"TBO-001",IF($J202=$M202,"TBO-004","TBO-ENG")))))</f>
        <v/>
      </c>
      <c r="M202" s="31">
        <f>IF($A202="","",MAX($H202,$I202,$J202,$K202))</f>
        <v/>
      </c>
      <c r="O202" s="31">
        <f>IF($A202="","",MAX(0,$M202-IF($N202="TBO-001",$H202,IF($N202="TBO-002",$I202,IF($N202="TBO-004",$J202,IF($N202="TBO-ENG",$K202,0))))))</f>
        <v/>
      </c>
    </row>
    <row r="203">
      <c r="H203" s="31">
        <f>IF($A203="","",IF($D203="Evet",ROUND($C203*tbo_oranBesPuan,2),0))</f>
        <v/>
      </c>
      <c r="I203" s="31">
        <f>IF($A203="","",IF($E203="Evet",ROUND($C203*tbo_oranIlave,2),0))</f>
        <v/>
      </c>
      <c r="J203" s="31">
        <f>IF($A203="","",IF($F203="Evet",ROUND($C203*tbo_oranKadinGenc,2),0))</f>
        <v/>
      </c>
      <c r="K203" s="31">
        <f>IF($A203="","",IF($G203="Evet",ROUND($C203*tbo_isverenOran,2),0))</f>
        <v/>
      </c>
      <c r="L203" s="31">
        <f>IF($A203="","",IF($M203=0,"YOK",IF($I203=$M203,"TBO-002",IF($H203=$M203,"TBO-001",IF($J203=$M203,"TBO-004","TBO-ENG")))))</f>
        <v/>
      </c>
      <c r="M203" s="31">
        <f>IF($A203="","",MAX($H203,$I203,$J203,$K203))</f>
        <v/>
      </c>
      <c r="O203" s="31">
        <f>IF($A203="","",MAX(0,$M203-IF($N203="TBO-001",$H203,IF($N203="TBO-002",$I203,IF($N203="TBO-004",$J203,IF($N203="TBO-ENG",$K203,0))))))</f>
        <v/>
      </c>
    </row>
    <row r="204">
      <c r="H204" s="31">
        <f>IF($A204="","",IF($D204="Evet",ROUND($C204*tbo_oranBesPuan,2),0))</f>
        <v/>
      </c>
      <c r="I204" s="31">
        <f>IF($A204="","",IF($E204="Evet",ROUND($C204*tbo_oranIlave,2),0))</f>
        <v/>
      </c>
      <c r="J204" s="31">
        <f>IF($A204="","",IF($F204="Evet",ROUND($C204*tbo_oranKadinGenc,2),0))</f>
        <v/>
      </c>
      <c r="K204" s="31">
        <f>IF($A204="","",IF($G204="Evet",ROUND($C204*tbo_isverenOran,2),0))</f>
        <v/>
      </c>
      <c r="L204" s="31">
        <f>IF($A204="","",IF($M204=0,"YOK",IF($I204=$M204,"TBO-002",IF($H204=$M204,"TBO-001",IF($J204=$M204,"TBO-004","TBO-ENG")))))</f>
        <v/>
      </c>
      <c r="M204" s="31">
        <f>IF($A204="","",MAX($H204,$I204,$J204,$K204))</f>
        <v/>
      </c>
      <c r="O204" s="31">
        <f>IF($A204="","",MAX(0,$M204-IF($N204="TBO-001",$H204,IF($N204="TBO-002",$I204,IF($N204="TBO-004",$J204,IF($N204="TBO-ENG",$K204,0))))))</f>
        <v/>
      </c>
    </row>
    <row r="205">
      <c r="H205" s="31">
        <f>IF($A205="","",IF($D205="Evet",ROUND($C205*tbo_oranBesPuan,2),0))</f>
        <v/>
      </c>
      <c r="I205" s="31">
        <f>IF($A205="","",IF($E205="Evet",ROUND($C205*tbo_oranIlave,2),0))</f>
        <v/>
      </c>
      <c r="J205" s="31">
        <f>IF($A205="","",IF($F205="Evet",ROUND($C205*tbo_oranKadinGenc,2),0))</f>
        <v/>
      </c>
      <c r="K205" s="31">
        <f>IF($A205="","",IF($G205="Evet",ROUND($C205*tbo_isverenOran,2),0))</f>
        <v/>
      </c>
      <c r="L205" s="31">
        <f>IF($A205="","",IF($M205=0,"YOK",IF($I205=$M205,"TBO-002",IF($H205=$M205,"TBO-001",IF($J205=$M205,"TBO-004","TBO-ENG")))))</f>
        <v/>
      </c>
      <c r="M205" s="31">
        <f>IF($A205="","",MAX($H205,$I205,$J205,$K205))</f>
        <v/>
      </c>
      <c r="O205" s="31">
        <f>IF($A205="","",MAX(0,$M205-IF($N205="TBO-001",$H205,IF($N205="TBO-002",$I205,IF($N205="TBO-004",$J205,IF($N205="TBO-ENG",$K205,0))))))</f>
        <v/>
      </c>
    </row>
    <row r="206">
      <c r="H206" s="31">
        <f>IF($A206="","",IF($D206="Evet",ROUND($C206*tbo_oranBesPuan,2),0))</f>
        <v/>
      </c>
      <c r="I206" s="31">
        <f>IF($A206="","",IF($E206="Evet",ROUND($C206*tbo_oranIlave,2),0))</f>
        <v/>
      </c>
      <c r="J206" s="31">
        <f>IF($A206="","",IF($F206="Evet",ROUND($C206*tbo_oranKadinGenc,2),0))</f>
        <v/>
      </c>
      <c r="K206" s="31">
        <f>IF($A206="","",IF($G206="Evet",ROUND($C206*tbo_isverenOran,2),0))</f>
        <v/>
      </c>
      <c r="L206" s="31">
        <f>IF($A206="","",IF($M206=0,"YOK",IF($I206=$M206,"TBO-002",IF($H206=$M206,"TBO-001",IF($J206=$M206,"TBO-004","TBO-ENG")))))</f>
        <v/>
      </c>
      <c r="M206" s="31">
        <f>IF($A206="","",MAX($H206,$I206,$J206,$K206))</f>
        <v/>
      </c>
      <c r="O206" s="31">
        <f>IF($A206="","",MAX(0,$M206-IF($N206="TBO-001",$H206,IF($N206="TBO-002",$I206,IF($N206="TBO-004",$J206,IF($N206="TBO-ENG",$K206,0))))))</f>
        <v/>
      </c>
    </row>
    <row r="207">
      <c r="H207" s="31">
        <f>IF($A207="","",IF($D207="Evet",ROUND($C207*tbo_oranBesPuan,2),0))</f>
        <v/>
      </c>
      <c r="I207" s="31">
        <f>IF($A207="","",IF($E207="Evet",ROUND($C207*tbo_oranIlave,2),0))</f>
        <v/>
      </c>
      <c r="J207" s="31">
        <f>IF($A207="","",IF($F207="Evet",ROUND($C207*tbo_oranKadinGenc,2),0))</f>
        <v/>
      </c>
      <c r="K207" s="31">
        <f>IF($A207="","",IF($G207="Evet",ROUND($C207*tbo_isverenOran,2),0))</f>
        <v/>
      </c>
      <c r="L207" s="31">
        <f>IF($A207="","",IF($M207=0,"YOK",IF($I207=$M207,"TBO-002",IF($H207=$M207,"TBO-001",IF($J207=$M207,"TBO-004","TBO-ENG")))))</f>
        <v/>
      </c>
      <c r="M207" s="31">
        <f>IF($A207="","",MAX($H207,$I207,$J207,$K207))</f>
        <v/>
      </c>
      <c r="O207" s="31">
        <f>IF($A207="","",MAX(0,$M207-IF($N207="TBO-001",$H207,IF($N207="TBO-002",$I207,IF($N207="TBO-004",$J207,IF($N207="TBO-ENG",$K207,0))))))</f>
        <v/>
      </c>
    </row>
    <row r="208">
      <c r="H208" s="31">
        <f>IF($A208="","",IF($D208="Evet",ROUND($C208*tbo_oranBesPuan,2),0))</f>
        <v/>
      </c>
      <c r="I208" s="31">
        <f>IF($A208="","",IF($E208="Evet",ROUND($C208*tbo_oranIlave,2),0))</f>
        <v/>
      </c>
      <c r="J208" s="31">
        <f>IF($A208="","",IF($F208="Evet",ROUND($C208*tbo_oranKadinGenc,2),0))</f>
        <v/>
      </c>
      <c r="K208" s="31">
        <f>IF($A208="","",IF($G208="Evet",ROUND($C208*tbo_isverenOran,2),0))</f>
        <v/>
      </c>
      <c r="L208" s="31">
        <f>IF($A208="","",IF($M208=0,"YOK",IF($I208=$M208,"TBO-002",IF($H208=$M208,"TBO-001",IF($J208=$M208,"TBO-004","TBO-ENG")))))</f>
        <v/>
      </c>
      <c r="M208" s="31">
        <f>IF($A208="","",MAX($H208,$I208,$J208,$K208))</f>
        <v/>
      </c>
      <c r="O208" s="31">
        <f>IF($A208="","",MAX(0,$M208-IF($N208="TBO-001",$H208,IF($N208="TBO-002",$I208,IF($N208="TBO-004",$J208,IF($N208="TBO-ENG",$K208,0))))))</f>
        <v/>
      </c>
    </row>
    <row r="209">
      <c r="H209" s="31">
        <f>IF($A209="","",IF($D209="Evet",ROUND($C209*tbo_oranBesPuan,2),0))</f>
        <v/>
      </c>
      <c r="I209" s="31">
        <f>IF($A209="","",IF($E209="Evet",ROUND($C209*tbo_oranIlave,2),0))</f>
        <v/>
      </c>
      <c r="J209" s="31">
        <f>IF($A209="","",IF($F209="Evet",ROUND($C209*tbo_oranKadinGenc,2),0))</f>
        <v/>
      </c>
      <c r="K209" s="31">
        <f>IF($A209="","",IF($G209="Evet",ROUND($C209*tbo_isverenOran,2),0))</f>
        <v/>
      </c>
      <c r="L209" s="31">
        <f>IF($A209="","",IF($M209=0,"YOK",IF($I209=$M209,"TBO-002",IF($H209=$M209,"TBO-001",IF($J209=$M209,"TBO-004","TBO-ENG")))))</f>
        <v/>
      </c>
      <c r="M209" s="31">
        <f>IF($A209="","",MAX($H209,$I209,$J209,$K209))</f>
        <v/>
      </c>
      <c r="O209" s="31">
        <f>IF($A209="","",MAX(0,$M209-IF($N209="TBO-001",$H209,IF($N209="TBO-002",$I209,IF($N209="TBO-004",$J209,IF($N209="TBO-ENG",$K209,0))))))</f>
        <v/>
      </c>
    </row>
    <row r="210">
      <c r="H210" s="31">
        <f>IF($A210="","",IF($D210="Evet",ROUND($C210*tbo_oranBesPuan,2),0))</f>
        <v/>
      </c>
      <c r="I210" s="31">
        <f>IF($A210="","",IF($E210="Evet",ROUND($C210*tbo_oranIlave,2),0))</f>
        <v/>
      </c>
      <c r="J210" s="31">
        <f>IF($A210="","",IF($F210="Evet",ROUND($C210*tbo_oranKadinGenc,2),0))</f>
        <v/>
      </c>
      <c r="K210" s="31">
        <f>IF($A210="","",IF($G210="Evet",ROUND($C210*tbo_isverenOran,2),0))</f>
        <v/>
      </c>
      <c r="L210" s="31">
        <f>IF($A210="","",IF($M210=0,"YOK",IF($I210=$M210,"TBO-002",IF($H210=$M210,"TBO-001",IF($J210=$M210,"TBO-004","TBO-ENG")))))</f>
        <v/>
      </c>
      <c r="M210" s="31">
        <f>IF($A210="","",MAX($H210,$I210,$J210,$K210))</f>
        <v/>
      </c>
      <c r="O210" s="31">
        <f>IF($A210="","",MAX(0,$M210-IF($N210="TBO-001",$H210,IF($N210="TBO-002",$I210,IF($N210="TBO-004",$J210,IF($N210="TBO-ENG",$K210,0))))))</f>
        <v/>
      </c>
    </row>
    <row r="211">
      <c r="H211" s="31">
        <f>IF($A211="","",IF($D211="Evet",ROUND($C211*tbo_oranBesPuan,2),0))</f>
        <v/>
      </c>
      <c r="I211" s="31">
        <f>IF($A211="","",IF($E211="Evet",ROUND($C211*tbo_oranIlave,2),0))</f>
        <v/>
      </c>
      <c r="J211" s="31">
        <f>IF($A211="","",IF($F211="Evet",ROUND($C211*tbo_oranKadinGenc,2),0))</f>
        <v/>
      </c>
      <c r="K211" s="31">
        <f>IF($A211="","",IF($G211="Evet",ROUND($C211*tbo_isverenOran,2),0))</f>
        <v/>
      </c>
      <c r="L211" s="31">
        <f>IF($A211="","",IF($M211=0,"YOK",IF($I211=$M211,"TBO-002",IF($H211=$M211,"TBO-001",IF($J211=$M211,"TBO-004","TBO-ENG")))))</f>
        <v/>
      </c>
      <c r="M211" s="31">
        <f>IF($A211="","",MAX($H211,$I211,$J211,$K211))</f>
        <v/>
      </c>
      <c r="O211" s="31">
        <f>IF($A211="","",MAX(0,$M211-IF($N211="TBO-001",$H211,IF($N211="TBO-002",$I211,IF($N211="TBO-004",$J211,IF($N211="TBO-ENG",$K211,0))))))</f>
        <v/>
      </c>
    </row>
    <row r="212">
      <c r="H212" s="31">
        <f>IF($A212="","",IF($D212="Evet",ROUND($C212*tbo_oranBesPuan,2),0))</f>
        <v/>
      </c>
      <c r="I212" s="31">
        <f>IF($A212="","",IF($E212="Evet",ROUND($C212*tbo_oranIlave,2),0))</f>
        <v/>
      </c>
      <c r="J212" s="31">
        <f>IF($A212="","",IF($F212="Evet",ROUND($C212*tbo_oranKadinGenc,2),0))</f>
        <v/>
      </c>
      <c r="K212" s="31">
        <f>IF($A212="","",IF($G212="Evet",ROUND($C212*tbo_isverenOran,2),0))</f>
        <v/>
      </c>
      <c r="L212" s="31">
        <f>IF($A212="","",IF($M212=0,"YOK",IF($I212=$M212,"TBO-002",IF($H212=$M212,"TBO-001",IF($J212=$M212,"TBO-004","TBO-ENG")))))</f>
        <v/>
      </c>
      <c r="M212" s="31">
        <f>IF($A212="","",MAX($H212,$I212,$J212,$K212))</f>
        <v/>
      </c>
      <c r="O212" s="31">
        <f>IF($A212="","",MAX(0,$M212-IF($N212="TBO-001",$H212,IF($N212="TBO-002",$I212,IF($N212="TBO-004",$J212,IF($N212="TBO-ENG",$K212,0))))))</f>
        <v/>
      </c>
    </row>
    <row r="213">
      <c r="H213" s="31">
        <f>IF($A213="","",IF($D213="Evet",ROUND($C213*tbo_oranBesPuan,2),0))</f>
        <v/>
      </c>
      <c r="I213" s="31">
        <f>IF($A213="","",IF($E213="Evet",ROUND($C213*tbo_oranIlave,2),0))</f>
        <v/>
      </c>
      <c r="J213" s="31">
        <f>IF($A213="","",IF($F213="Evet",ROUND($C213*tbo_oranKadinGenc,2),0))</f>
        <v/>
      </c>
      <c r="K213" s="31">
        <f>IF($A213="","",IF($G213="Evet",ROUND($C213*tbo_isverenOran,2),0))</f>
        <v/>
      </c>
      <c r="L213" s="31">
        <f>IF($A213="","",IF($M213=0,"YOK",IF($I213=$M213,"TBO-002",IF($H213=$M213,"TBO-001",IF($J213=$M213,"TBO-004","TBO-ENG")))))</f>
        <v/>
      </c>
      <c r="M213" s="31">
        <f>IF($A213="","",MAX($H213,$I213,$J213,$K213))</f>
        <v/>
      </c>
      <c r="O213" s="31">
        <f>IF($A213="","",MAX(0,$M213-IF($N213="TBO-001",$H213,IF($N213="TBO-002",$I213,IF($N213="TBO-004",$J213,IF($N213="TBO-ENG",$K213,0))))))</f>
        <v/>
      </c>
    </row>
    <row r="214">
      <c r="H214" s="31">
        <f>IF($A214="","",IF($D214="Evet",ROUND($C214*tbo_oranBesPuan,2),0))</f>
        <v/>
      </c>
      <c r="I214" s="31">
        <f>IF($A214="","",IF($E214="Evet",ROUND($C214*tbo_oranIlave,2),0))</f>
        <v/>
      </c>
      <c r="J214" s="31">
        <f>IF($A214="","",IF($F214="Evet",ROUND($C214*tbo_oranKadinGenc,2),0))</f>
        <v/>
      </c>
      <c r="K214" s="31">
        <f>IF($A214="","",IF($G214="Evet",ROUND($C214*tbo_isverenOran,2),0))</f>
        <v/>
      </c>
      <c r="L214" s="31">
        <f>IF($A214="","",IF($M214=0,"YOK",IF($I214=$M214,"TBO-002",IF($H214=$M214,"TBO-001",IF($J214=$M214,"TBO-004","TBO-ENG")))))</f>
        <v/>
      </c>
      <c r="M214" s="31">
        <f>IF($A214="","",MAX($H214,$I214,$J214,$K214))</f>
        <v/>
      </c>
      <c r="O214" s="31">
        <f>IF($A214="","",MAX(0,$M214-IF($N214="TBO-001",$H214,IF($N214="TBO-002",$I214,IF($N214="TBO-004",$J214,IF($N214="TBO-ENG",$K214,0))))))</f>
        <v/>
      </c>
    </row>
    <row r="215">
      <c r="H215" s="31">
        <f>IF($A215="","",IF($D215="Evet",ROUND($C215*tbo_oranBesPuan,2),0))</f>
        <v/>
      </c>
      <c r="I215" s="31">
        <f>IF($A215="","",IF($E215="Evet",ROUND($C215*tbo_oranIlave,2),0))</f>
        <v/>
      </c>
      <c r="J215" s="31">
        <f>IF($A215="","",IF($F215="Evet",ROUND($C215*tbo_oranKadinGenc,2),0))</f>
        <v/>
      </c>
      <c r="K215" s="31">
        <f>IF($A215="","",IF($G215="Evet",ROUND($C215*tbo_isverenOran,2),0))</f>
        <v/>
      </c>
      <c r="L215" s="31">
        <f>IF($A215="","",IF($M215=0,"YOK",IF($I215=$M215,"TBO-002",IF($H215=$M215,"TBO-001",IF($J215=$M215,"TBO-004","TBO-ENG")))))</f>
        <v/>
      </c>
      <c r="M215" s="31">
        <f>IF($A215="","",MAX($H215,$I215,$J215,$K215))</f>
        <v/>
      </c>
      <c r="O215" s="31">
        <f>IF($A215="","",MAX(0,$M215-IF($N215="TBO-001",$H215,IF($N215="TBO-002",$I215,IF($N215="TBO-004",$J215,IF($N215="TBO-ENG",$K215,0))))))</f>
        <v/>
      </c>
    </row>
    <row r="216">
      <c r="H216" s="31">
        <f>IF($A216="","",IF($D216="Evet",ROUND($C216*tbo_oranBesPuan,2),0))</f>
        <v/>
      </c>
      <c r="I216" s="31">
        <f>IF($A216="","",IF($E216="Evet",ROUND($C216*tbo_oranIlave,2),0))</f>
        <v/>
      </c>
      <c r="J216" s="31">
        <f>IF($A216="","",IF($F216="Evet",ROUND($C216*tbo_oranKadinGenc,2),0))</f>
        <v/>
      </c>
      <c r="K216" s="31">
        <f>IF($A216="","",IF($G216="Evet",ROUND($C216*tbo_isverenOran,2),0))</f>
        <v/>
      </c>
      <c r="L216" s="31">
        <f>IF($A216="","",IF($M216=0,"YOK",IF($I216=$M216,"TBO-002",IF($H216=$M216,"TBO-001",IF($J216=$M216,"TBO-004","TBO-ENG")))))</f>
        <v/>
      </c>
      <c r="M216" s="31">
        <f>IF($A216="","",MAX($H216,$I216,$J216,$K216))</f>
        <v/>
      </c>
      <c r="O216" s="31">
        <f>IF($A216="","",MAX(0,$M216-IF($N216="TBO-001",$H216,IF($N216="TBO-002",$I216,IF($N216="TBO-004",$J216,IF($N216="TBO-ENG",$K216,0))))))</f>
        <v/>
      </c>
    </row>
    <row r="217">
      <c r="H217" s="31">
        <f>IF($A217="","",IF($D217="Evet",ROUND($C217*tbo_oranBesPuan,2),0))</f>
        <v/>
      </c>
      <c r="I217" s="31">
        <f>IF($A217="","",IF($E217="Evet",ROUND($C217*tbo_oranIlave,2),0))</f>
        <v/>
      </c>
      <c r="J217" s="31">
        <f>IF($A217="","",IF($F217="Evet",ROUND($C217*tbo_oranKadinGenc,2),0))</f>
        <v/>
      </c>
      <c r="K217" s="31">
        <f>IF($A217="","",IF($G217="Evet",ROUND($C217*tbo_isverenOran,2),0))</f>
        <v/>
      </c>
      <c r="L217" s="31">
        <f>IF($A217="","",IF($M217=0,"YOK",IF($I217=$M217,"TBO-002",IF($H217=$M217,"TBO-001",IF($J217=$M217,"TBO-004","TBO-ENG")))))</f>
        <v/>
      </c>
      <c r="M217" s="31">
        <f>IF($A217="","",MAX($H217,$I217,$J217,$K217))</f>
        <v/>
      </c>
      <c r="O217" s="31">
        <f>IF($A217="","",MAX(0,$M217-IF($N217="TBO-001",$H217,IF($N217="TBO-002",$I217,IF($N217="TBO-004",$J217,IF($N217="TBO-ENG",$K217,0))))))</f>
        <v/>
      </c>
    </row>
    <row r="218">
      <c r="H218" s="31">
        <f>IF($A218="","",IF($D218="Evet",ROUND($C218*tbo_oranBesPuan,2),0))</f>
        <v/>
      </c>
      <c r="I218" s="31">
        <f>IF($A218="","",IF($E218="Evet",ROUND($C218*tbo_oranIlave,2),0))</f>
        <v/>
      </c>
      <c r="J218" s="31">
        <f>IF($A218="","",IF($F218="Evet",ROUND($C218*tbo_oranKadinGenc,2),0))</f>
        <v/>
      </c>
      <c r="K218" s="31">
        <f>IF($A218="","",IF($G218="Evet",ROUND($C218*tbo_isverenOran,2),0))</f>
        <v/>
      </c>
      <c r="L218" s="31">
        <f>IF($A218="","",IF($M218=0,"YOK",IF($I218=$M218,"TBO-002",IF($H218=$M218,"TBO-001",IF($J218=$M218,"TBO-004","TBO-ENG")))))</f>
        <v/>
      </c>
      <c r="M218" s="31">
        <f>IF($A218="","",MAX($H218,$I218,$J218,$K218))</f>
        <v/>
      </c>
      <c r="O218" s="31">
        <f>IF($A218="","",MAX(0,$M218-IF($N218="TBO-001",$H218,IF($N218="TBO-002",$I218,IF($N218="TBO-004",$J218,IF($N218="TBO-ENG",$K218,0))))))</f>
        <v/>
      </c>
    </row>
    <row r="219">
      <c r="H219" s="31">
        <f>IF($A219="","",IF($D219="Evet",ROUND($C219*tbo_oranBesPuan,2),0))</f>
        <v/>
      </c>
      <c r="I219" s="31">
        <f>IF($A219="","",IF($E219="Evet",ROUND($C219*tbo_oranIlave,2),0))</f>
        <v/>
      </c>
      <c r="J219" s="31">
        <f>IF($A219="","",IF($F219="Evet",ROUND($C219*tbo_oranKadinGenc,2),0))</f>
        <v/>
      </c>
      <c r="K219" s="31">
        <f>IF($A219="","",IF($G219="Evet",ROUND($C219*tbo_isverenOran,2),0))</f>
        <v/>
      </c>
      <c r="L219" s="31">
        <f>IF($A219="","",IF($M219=0,"YOK",IF($I219=$M219,"TBO-002",IF($H219=$M219,"TBO-001",IF($J219=$M219,"TBO-004","TBO-ENG")))))</f>
        <v/>
      </c>
      <c r="M219" s="31">
        <f>IF($A219="","",MAX($H219,$I219,$J219,$K219))</f>
        <v/>
      </c>
      <c r="O219" s="31">
        <f>IF($A219="","",MAX(0,$M219-IF($N219="TBO-001",$H219,IF($N219="TBO-002",$I219,IF($N219="TBO-004",$J219,IF($N219="TBO-ENG",$K219,0))))))</f>
        <v/>
      </c>
    </row>
    <row r="220">
      <c r="H220" s="31">
        <f>IF($A220="","",IF($D220="Evet",ROUND($C220*tbo_oranBesPuan,2),0))</f>
        <v/>
      </c>
      <c r="I220" s="31">
        <f>IF($A220="","",IF($E220="Evet",ROUND($C220*tbo_oranIlave,2),0))</f>
        <v/>
      </c>
      <c r="J220" s="31">
        <f>IF($A220="","",IF($F220="Evet",ROUND($C220*tbo_oranKadinGenc,2),0))</f>
        <v/>
      </c>
      <c r="K220" s="31">
        <f>IF($A220="","",IF($G220="Evet",ROUND($C220*tbo_isverenOran,2),0))</f>
        <v/>
      </c>
      <c r="L220" s="31">
        <f>IF($A220="","",IF($M220=0,"YOK",IF($I220=$M220,"TBO-002",IF($H220=$M220,"TBO-001",IF($J220=$M220,"TBO-004","TBO-ENG")))))</f>
        <v/>
      </c>
      <c r="M220" s="31">
        <f>IF($A220="","",MAX($H220,$I220,$J220,$K220))</f>
        <v/>
      </c>
      <c r="O220" s="31">
        <f>IF($A220="","",MAX(0,$M220-IF($N220="TBO-001",$H220,IF($N220="TBO-002",$I220,IF($N220="TBO-004",$J220,IF($N220="TBO-ENG",$K220,0))))))</f>
        <v/>
      </c>
    </row>
    <row r="221">
      <c r="H221" s="31">
        <f>IF($A221="","",IF($D221="Evet",ROUND($C221*tbo_oranBesPuan,2),0))</f>
        <v/>
      </c>
      <c r="I221" s="31">
        <f>IF($A221="","",IF($E221="Evet",ROUND($C221*tbo_oranIlave,2),0))</f>
        <v/>
      </c>
      <c r="J221" s="31">
        <f>IF($A221="","",IF($F221="Evet",ROUND($C221*tbo_oranKadinGenc,2),0))</f>
        <v/>
      </c>
      <c r="K221" s="31">
        <f>IF($A221="","",IF($G221="Evet",ROUND($C221*tbo_isverenOran,2),0))</f>
        <v/>
      </c>
      <c r="L221" s="31">
        <f>IF($A221="","",IF($M221=0,"YOK",IF($I221=$M221,"TBO-002",IF($H221=$M221,"TBO-001",IF($J221=$M221,"TBO-004","TBO-ENG")))))</f>
        <v/>
      </c>
      <c r="M221" s="31">
        <f>IF($A221="","",MAX($H221,$I221,$J221,$K221))</f>
        <v/>
      </c>
      <c r="O221" s="31">
        <f>IF($A221="","",MAX(0,$M221-IF($N221="TBO-001",$H221,IF($N221="TBO-002",$I221,IF($N221="TBO-004",$J221,IF($N221="TBO-ENG",$K221,0))))))</f>
        <v/>
      </c>
    </row>
    <row r="222">
      <c r="H222" s="31">
        <f>IF($A222="","",IF($D222="Evet",ROUND($C222*tbo_oranBesPuan,2),0))</f>
        <v/>
      </c>
      <c r="I222" s="31">
        <f>IF($A222="","",IF($E222="Evet",ROUND($C222*tbo_oranIlave,2),0))</f>
        <v/>
      </c>
      <c r="J222" s="31">
        <f>IF($A222="","",IF($F222="Evet",ROUND($C222*tbo_oranKadinGenc,2),0))</f>
        <v/>
      </c>
      <c r="K222" s="31">
        <f>IF($A222="","",IF($G222="Evet",ROUND($C222*tbo_isverenOran,2),0))</f>
        <v/>
      </c>
      <c r="L222" s="31">
        <f>IF($A222="","",IF($M222=0,"YOK",IF($I222=$M222,"TBO-002",IF($H222=$M222,"TBO-001",IF($J222=$M222,"TBO-004","TBO-ENG")))))</f>
        <v/>
      </c>
      <c r="M222" s="31">
        <f>IF($A222="","",MAX($H222,$I222,$J222,$K222))</f>
        <v/>
      </c>
      <c r="O222" s="31">
        <f>IF($A222="","",MAX(0,$M222-IF($N222="TBO-001",$H222,IF($N222="TBO-002",$I222,IF($N222="TBO-004",$J222,IF($N222="TBO-ENG",$K222,0))))))</f>
        <v/>
      </c>
    </row>
    <row r="223">
      <c r="H223" s="31">
        <f>IF($A223="","",IF($D223="Evet",ROUND($C223*tbo_oranBesPuan,2),0))</f>
        <v/>
      </c>
      <c r="I223" s="31">
        <f>IF($A223="","",IF($E223="Evet",ROUND($C223*tbo_oranIlave,2),0))</f>
        <v/>
      </c>
      <c r="J223" s="31">
        <f>IF($A223="","",IF($F223="Evet",ROUND($C223*tbo_oranKadinGenc,2),0))</f>
        <v/>
      </c>
      <c r="K223" s="31">
        <f>IF($A223="","",IF($G223="Evet",ROUND($C223*tbo_isverenOran,2),0))</f>
        <v/>
      </c>
      <c r="L223" s="31">
        <f>IF($A223="","",IF($M223=0,"YOK",IF($I223=$M223,"TBO-002",IF($H223=$M223,"TBO-001",IF($J223=$M223,"TBO-004","TBO-ENG")))))</f>
        <v/>
      </c>
      <c r="M223" s="31">
        <f>IF($A223="","",MAX($H223,$I223,$J223,$K223))</f>
        <v/>
      </c>
      <c r="O223" s="31">
        <f>IF($A223="","",MAX(0,$M223-IF($N223="TBO-001",$H223,IF($N223="TBO-002",$I223,IF($N223="TBO-004",$J223,IF($N223="TBO-ENG",$K223,0))))))</f>
        <v/>
      </c>
    </row>
    <row r="224">
      <c r="H224" s="31">
        <f>IF($A224="","",IF($D224="Evet",ROUND($C224*tbo_oranBesPuan,2),0))</f>
        <v/>
      </c>
      <c r="I224" s="31">
        <f>IF($A224="","",IF($E224="Evet",ROUND($C224*tbo_oranIlave,2),0))</f>
        <v/>
      </c>
      <c r="J224" s="31">
        <f>IF($A224="","",IF($F224="Evet",ROUND($C224*tbo_oranKadinGenc,2),0))</f>
        <v/>
      </c>
      <c r="K224" s="31">
        <f>IF($A224="","",IF($G224="Evet",ROUND($C224*tbo_isverenOran,2),0))</f>
        <v/>
      </c>
      <c r="L224" s="31">
        <f>IF($A224="","",IF($M224=0,"YOK",IF($I224=$M224,"TBO-002",IF($H224=$M224,"TBO-001",IF($J224=$M224,"TBO-004","TBO-ENG")))))</f>
        <v/>
      </c>
      <c r="M224" s="31">
        <f>IF($A224="","",MAX($H224,$I224,$J224,$K224))</f>
        <v/>
      </c>
      <c r="O224" s="31">
        <f>IF($A224="","",MAX(0,$M224-IF($N224="TBO-001",$H224,IF($N224="TBO-002",$I224,IF($N224="TBO-004",$J224,IF($N224="TBO-ENG",$K224,0))))))</f>
        <v/>
      </c>
    </row>
    <row r="225">
      <c r="H225" s="31">
        <f>IF($A225="","",IF($D225="Evet",ROUND($C225*tbo_oranBesPuan,2),0))</f>
        <v/>
      </c>
      <c r="I225" s="31">
        <f>IF($A225="","",IF($E225="Evet",ROUND($C225*tbo_oranIlave,2),0))</f>
        <v/>
      </c>
      <c r="J225" s="31">
        <f>IF($A225="","",IF($F225="Evet",ROUND($C225*tbo_oranKadinGenc,2),0))</f>
        <v/>
      </c>
      <c r="K225" s="31">
        <f>IF($A225="","",IF($G225="Evet",ROUND($C225*tbo_isverenOran,2),0))</f>
        <v/>
      </c>
      <c r="L225" s="31">
        <f>IF($A225="","",IF($M225=0,"YOK",IF($I225=$M225,"TBO-002",IF($H225=$M225,"TBO-001",IF($J225=$M225,"TBO-004","TBO-ENG")))))</f>
        <v/>
      </c>
      <c r="M225" s="31">
        <f>IF($A225="","",MAX($H225,$I225,$J225,$K225))</f>
        <v/>
      </c>
      <c r="O225" s="31">
        <f>IF($A225="","",MAX(0,$M225-IF($N225="TBO-001",$H225,IF($N225="TBO-002",$I225,IF($N225="TBO-004",$J225,IF($N225="TBO-ENG",$K225,0))))))</f>
        <v/>
      </c>
    </row>
    <row r="226">
      <c r="H226" s="31">
        <f>IF($A226="","",IF($D226="Evet",ROUND($C226*tbo_oranBesPuan,2),0))</f>
        <v/>
      </c>
      <c r="I226" s="31">
        <f>IF($A226="","",IF($E226="Evet",ROUND($C226*tbo_oranIlave,2),0))</f>
        <v/>
      </c>
      <c r="J226" s="31">
        <f>IF($A226="","",IF($F226="Evet",ROUND($C226*tbo_oranKadinGenc,2),0))</f>
        <v/>
      </c>
      <c r="K226" s="31">
        <f>IF($A226="","",IF($G226="Evet",ROUND($C226*tbo_isverenOran,2),0))</f>
        <v/>
      </c>
      <c r="L226" s="31">
        <f>IF($A226="","",IF($M226=0,"YOK",IF($I226=$M226,"TBO-002",IF($H226=$M226,"TBO-001",IF($J226=$M226,"TBO-004","TBO-ENG")))))</f>
        <v/>
      </c>
      <c r="M226" s="31">
        <f>IF($A226="","",MAX($H226,$I226,$J226,$K226))</f>
        <v/>
      </c>
      <c r="O226" s="31">
        <f>IF($A226="","",MAX(0,$M226-IF($N226="TBO-001",$H226,IF($N226="TBO-002",$I226,IF($N226="TBO-004",$J226,IF($N226="TBO-ENG",$K226,0))))))</f>
        <v/>
      </c>
    </row>
    <row r="227">
      <c r="H227" s="31">
        <f>IF($A227="","",IF($D227="Evet",ROUND($C227*tbo_oranBesPuan,2),0))</f>
        <v/>
      </c>
      <c r="I227" s="31">
        <f>IF($A227="","",IF($E227="Evet",ROUND($C227*tbo_oranIlave,2),0))</f>
        <v/>
      </c>
      <c r="J227" s="31">
        <f>IF($A227="","",IF($F227="Evet",ROUND($C227*tbo_oranKadinGenc,2),0))</f>
        <v/>
      </c>
      <c r="K227" s="31">
        <f>IF($A227="","",IF($G227="Evet",ROUND($C227*tbo_isverenOran,2),0))</f>
        <v/>
      </c>
      <c r="L227" s="31">
        <f>IF($A227="","",IF($M227=0,"YOK",IF($I227=$M227,"TBO-002",IF($H227=$M227,"TBO-001",IF($J227=$M227,"TBO-004","TBO-ENG")))))</f>
        <v/>
      </c>
      <c r="M227" s="31">
        <f>IF($A227="","",MAX($H227,$I227,$J227,$K227))</f>
        <v/>
      </c>
      <c r="O227" s="31">
        <f>IF($A227="","",MAX(0,$M227-IF($N227="TBO-001",$H227,IF($N227="TBO-002",$I227,IF($N227="TBO-004",$J227,IF($N227="TBO-ENG",$K227,0))))))</f>
        <v/>
      </c>
    </row>
    <row r="228">
      <c r="H228" s="31">
        <f>IF($A228="","",IF($D228="Evet",ROUND($C228*tbo_oranBesPuan,2),0))</f>
        <v/>
      </c>
      <c r="I228" s="31">
        <f>IF($A228="","",IF($E228="Evet",ROUND($C228*tbo_oranIlave,2),0))</f>
        <v/>
      </c>
      <c r="J228" s="31">
        <f>IF($A228="","",IF($F228="Evet",ROUND($C228*tbo_oranKadinGenc,2),0))</f>
        <v/>
      </c>
      <c r="K228" s="31">
        <f>IF($A228="","",IF($G228="Evet",ROUND($C228*tbo_isverenOran,2),0))</f>
        <v/>
      </c>
      <c r="L228" s="31">
        <f>IF($A228="","",IF($M228=0,"YOK",IF($I228=$M228,"TBO-002",IF($H228=$M228,"TBO-001",IF($J228=$M228,"TBO-004","TBO-ENG")))))</f>
        <v/>
      </c>
      <c r="M228" s="31">
        <f>IF($A228="","",MAX($H228,$I228,$J228,$K228))</f>
        <v/>
      </c>
      <c r="O228" s="31">
        <f>IF($A228="","",MAX(0,$M228-IF($N228="TBO-001",$H228,IF($N228="TBO-002",$I228,IF($N228="TBO-004",$J228,IF($N228="TBO-ENG",$K228,0))))))</f>
        <v/>
      </c>
    </row>
    <row r="229">
      <c r="H229" s="31">
        <f>IF($A229="","",IF($D229="Evet",ROUND($C229*tbo_oranBesPuan,2),0))</f>
        <v/>
      </c>
      <c r="I229" s="31">
        <f>IF($A229="","",IF($E229="Evet",ROUND($C229*tbo_oranIlave,2),0))</f>
        <v/>
      </c>
      <c r="J229" s="31">
        <f>IF($A229="","",IF($F229="Evet",ROUND($C229*tbo_oranKadinGenc,2),0))</f>
        <v/>
      </c>
      <c r="K229" s="31">
        <f>IF($A229="","",IF($G229="Evet",ROUND($C229*tbo_isverenOran,2),0))</f>
        <v/>
      </c>
      <c r="L229" s="31">
        <f>IF($A229="","",IF($M229=0,"YOK",IF($I229=$M229,"TBO-002",IF($H229=$M229,"TBO-001",IF($J229=$M229,"TBO-004","TBO-ENG")))))</f>
        <v/>
      </c>
      <c r="M229" s="31">
        <f>IF($A229="","",MAX($H229,$I229,$J229,$K229))</f>
        <v/>
      </c>
      <c r="O229" s="31">
        <f>IF($A229="","",MAX(0,$M229-IF($N229="TBO-001",$H229,IF($N229="TBO-002",$I229,IF($N229="TBO-004",$J229,IF($N229="TBO-ENG",$K229,0))))))</f>
        <v/>
      </c>
    </row>
    <row r="230">
      <c r="H230" s="31">
        <f>IF($A230="","",IF($D230="Evet",ROUND($C230*tbo_oranBesPuan,2),0))</f>
        <v/>
      </c>
      <c r="I230" s="31">
        <f>IF($A230="","",IF($E230="Evet",ROUND($C230*tbo_oranIlave,2),0))</f>
        <v/>
      </c>
      <c r="J230" s="31">
        <f>IF($A230="","",IF($F230="Evet",ROUND($C230*tbo_oranKadinGenc,2),0))</f>
        <v/>
      </c>
      <c r="K230" s="31">
        <f>IF($A230="","",IF($G230="Evet",ROUND($C230*tbo_isverenOran,2),0))</f>
        <v/>
      </c>
      <c r="L230" s="31">
        <f>IF($A230="","",IF($M230=0,"YOK",IF($I230=$M230,"TBO-002",IF($H230=$M230,"TBO-001",IF($J230=$M230,"TBO-004","TBO-ENG")))))</f>
        <v/>
      </c>
      <c r="M230" s="31">
        <f>IF($A230="","",MAX($H230,$I230,$J230,$K230))</f>
        <v/>
      </c>
      <c r="O230" s="31">
        <f>IF($A230="","",MAX(0,$M230-IF($N230="TBO-001",$H230,IF($N230="TBO-002",$I230,IF($N230="TBO-004",$J230,IF($N230="TBO-ENG",$K230,0))))))</f>
        <v/>
      </c>
    </row>
    <row r="231">
      <c r="H231" s="31">
        <f>IF($A231="","",IF($D231="Evet",ROUND($C231*tbo_oranBesPuan,2),0))</f>
        <v/>
      </c>
      <c r="I231" s="31">
        <f>IF($A231="","",IF($E231="Evet",ROUND($C231*tbo_oranIlave,2),0))</f>
        <v/>
      </c>
      <c r="J231" s="31">
        <f>IF($A231="","",IF($F231="Evet",ROUND($C231*tbo_oranKadinGenc,2),0))</f>
        <v/>
      </c>
      <c r="K231" s="31">
        <f>IF($A231="","",IF($G231="Evet",ROUND($C231*tbo_isverenOran,2),0))</f>
        <v/>
      </c>
      <c r="L231" s="31">
        <f>IF($A231="","",IF($M231=0,"YOK",IF($I231=$M231,"TBO-002",IF($H231=$M231,"TBO-001",IF($J231=$M231,"TBO-004","TBO-ENG")))))</f>
        <v/>
      </c>
      <c r="M231" s="31">
        <f>IF($A231="","",MAX($H231,$I231,$J231,$K231))</f>
        <v/>
      </c>
      <c r="O231" s="31">
        <f>IF($A231="","",MAX(0,$M231-IF($N231="TBO-001",$H231,IF($N231="TBO-002",$I231,IF($N231="TBO-004",$J231,IF($N231="TBO-ENG",$K231,0))))))</f>
        <v/>
      </c>
    </row>
    <row r="232">
      <c r="H232" s="31">
        <f>IF($A232="","",IF($D232="Evet",ROUND($C232*tbo_oranBesPuan,2),0))</f>
        <v/>
      </c>
      <c r="I232" s="31">
        <f>IF($A232="","",IF($E232="Evet",ROUND($C232*tbo_oranIlave,2),0))</f>
        <v/>
      </c>
      <c r="J232" s="31">
        <f>IF($A232="","",IF($F232="Evet",ROUND($C232*tbo_oranKadinGenc,2),0))</f>
        <v/>
      </c>
      <c r="K232" s="31">
        <f>IF($A232="","",IF($G232="Evet",ROUND($C232*tbo_isverenOran,2),0))</f>
        <v/>
      </c>
      <c r="L232" s="31">
        <f>IF($A232="","",IF($M232=0,"YOK",IF($I232=$M232,"TBO-002",IF($H232=$M232,"TBO-001",IF($J232=$M232,"TBO-004","TBO-ENG")))))</f>
        <v/>
      </c>
      <c r="M232" s="31">
        <f>IF($A232="","",MAX($H232,$I232,$J232,$K232))</f>
        <v/>
      </c>
      <c r="O232" s="31">
        <f>IF($A232="","",MAX(0,$M232-IF($N232="TBO-001",$H232,IF($N232="TBO-002",$I232,IF($N232="TBO-004",$J232,IF($N232="TBO-ENG",$K232,0))))))</f>
        <v/>
      </c>
    </row>
    <row r="233">
      <c r="H233" s="31">
        <f>IF($A233="","",IF($D233="Evet",ROUND($C233*tbo_oranBesPuan,2),0))</f>
        <v/>
      </c>
      <c r="I233" s="31">
        <f>IF($A233="","",IF($E233="Evet",ROUND($C233*tbo_oranIlave,2),0))</f>
        <v/>
      </c>
      <c r="J233" s="31">
        <f>IF($A233="","",IF($F233="Evet",ROUND($C233*tbo_oranKadinGenc,2),0))</f>
        <v/>
      </c>
      <c r="K233" s="31">
        <f>IF($A233="","",IF($G233="Evet",ROUND($C233*tbo_isverenOran,2),0))</f>
        <v/>
      </c>
      <c r="L233" s="31">
        <f>IF($A233="","",IF($M233=0,"YOK",IF($I233=$M233,"TBO-002",IF($H233=$M233,"TBO-001",IF($J233=$M233,"TBO-004","TBO-ENG")))))</f>
        <v/>
      </c>
      <c r="M233" s="31">
        <f>IF($A233="","",MAX($H233,$I233,$J233,$K233))</f>
        <v/>
      </c>
      <c r="O233" s="31">
        <f>IF($A233="","",MAX(0,$M233-IF($N233="TBO-001",$H233,IF($N233="TBO-002",$I233,IF($N233="TBO-004",$J233,IF($N233="TBO-ENG",$K233,0))))))</f>
        <v/>
      </c>
    </row>
    <row r="234">
      <c r="H234" s="31">
        <f>IF($A234="","",IF($D234="Evet",ROUND($C234*tbo_oranBesPuan,2),0))</f>
        <v/>
      </c>
      <c r="I234" s="31">
        <f>IF($A234="","",IF($E234="Evet",ROUND($C234*tbo_oranIlave,2),0))</f>
        <v/>
      </c>
      <c r="J234" s="31">
        <f>IF($A234="","",IF($F234="Evet",ROUND($C234*tbo_oranKadinGenc,2),0))</f>
        <v/>
      </c>
      <c r="K234" s="31">
        <f>IF($A234="","",IF($G234="Evet",ROUND($C234*tbo_isverenOran,2),0))</f>
        <v/>
      </c>
      <c r="L234" s="31">
        <f>IF($A234="","",IF($M234=0,"YOK",IF($I234=$M234,"TBO-002",IF($H234=$M234,"TBO-001",IF($J234=$M234,"TBO-004","TBO-ENG")))))</f>
        <v/>
      </c>
      <c r="M234" s="31">
        <f>IF($A234="","",MAX($H234,$I234,$J234,$K234))</f>
        <v/>
      </c>
      <c r="O234" s="31">
        <f>IF($A234="","",MAX(0,$M234-IF($N234="TBO-001",$H234,IF($N234="TBO-002",$I234,IF($N234="TBO-004",$J234,IF($N234="TBO-ENG",$K234,0))))))</f>
        <v/>
      </c>
    </row>
    <row r="235">
      <c r="H235" s="31">
        <f>IF($A235="","",IF($D235="Evet",ROUND($C235*tbo_oranBesPuan,2),0))</f>
        <v/>
      </c>
      <c r="I235" s="31">
        <f>IF($A235="","",IF($E235="Evet",ROUND($C235*tbo_oranIlave,2),0))</f>
        <v/>
      </c>
      <c r="J235" s="31">
        <f>IF($A235="","",IF($F235="Evet",ROUND($C235*tbo_oranKadinGenc,2),0))</f>
        <v/>
      </c>
      <c r="K235" s="31">
        <f>IF($A235="","",IF($G235="Evet",ROUND($C235*tbo_isverenOran,2),0))</f>
        <v/>
      </c>
      <c r="L235" s="31">
        <f>IF($A235="","",IF($M235=0,"YOK",IF($I235=$M235,"TBO-002",IF($H235=$M235,"TBO-001",IF($J235=$M235,"TBO-004","TBO-ENG")))))</f>
        <v/>
      </c>
      <c r="M235" s="31">
        <f>IF($A235="","",MAX($H235,$I235,$J235,$K235))</f>
        <v/>
      </c>
      <c r="O235" s="31">
        <f>IF($A235="","",MAX(0,$M235-IF($N235="TBO-001",$H235,IF($N235="TBO-002",$I235,IF($N235="TBO-004",$J235,IF($N235="TBO-ENG",$K235,0))))))</f>
        <v/>
      </c>
    </row>
    <row r="236">
      <c r="H236" s="31">
        <f>IF($A236="","",IF($D236="Evet",ROUND($C236*tbo_oranBesPuan,2),0))</f>
        <v/>
      </c>
      <c r="I236" s="31">
        <f>IF($A236="","",IF($E236="Evet",ROUND($C236*tbo_oranIlave,2),0))</f>
        <v/>
      </c>
      <c r="J236" s="31">
        <f>IF($A236="","",IF($F236="Evet",ROUND($C236*tbo_oranKadinGenc,2),0))</f>
        <v/>
      </c>
      <c r="K236" s="31">
        <f>IF($A236="","",IF($G236="Evet",ROUND($C236*tbo_isverenOran,2),0))</f>
        <v/>
      </c>
      <c r="L236" s="31">
        <f>IF($A236="","",IF($M236=0,"YOK",IF($I236=$M236,"TBO-002",IF($H236=$M236,"TBO-001",IF($J236=$M236,"TBO-004","TBO-ENG")))))</f>
        <v/>
      </c>
      <c r="M236" s="31">
        <f>IF($A236="","",MAX($H236,$I236,$J236,$K236))</f>
        <v/>
      </c>
      <c r="O236" s="31">
        <f>IF($A236="","",MAX(0,$M236-IF($N236="TBO-001",$H236,IF($N236="TBO-002",$I236,IF($N236="TBO-004",$J236,IF($N236="TBO-ENG",$K236,0))))))</f>
        <v/>
      </c>
    </row>
    <row r="237">
      <c r="H237" s="31">
        <f>IF($A237="","",IF($D237="Evet",ROUND($C237*tbo_oranBesPuan,2),0))</f>
        <v/>
      </c>
      <c r="I237" s="31">
        <f>IF($A237="","",IF($E237="Evet",ROUND($C237*tbo_oranIlave,2),0))</f>
        <v/>
      </c>
      <c r="J237" s="31">
        <f>IF($A237="","",IF($F237="Evet",ROUND($C237*tbo_oranKadinGenc,2),0))</f>
        <v/>
      </c>
      <c r="K237" s="31">
        <f>IF($A237="","",IF($G237="Evet",ROUND($C237*tbo_isverenOran,2),0))</f>
        <v/>
      </c>
      <c r="L237" s="31">
        <f>IF($A237="","",IF($M237=0,"YOK",IF($I237=$M237,"TBO-002",IF($H237=$M237,"TBO-001",IF($J237=$M237,"TBO-004","TBO-ENG")))))</f>
        <v/>
      </c>
      <c r="M237" s="31">
        <f>IF($A237="","",MAX($H237,$I237,$J237,$K237))</f>
        <v/>
      </c>
      <c r="O237" s="31">
        <f>IF($A237="","",MAX(0,$M237-IF($N237="TBO-001",$H237,IF($N237="TBO-002",$I237,IF($N237="TBO-004",$J237,IF($N237="TBO-ENG",$K237,0))))))</f>
        <v/>
      </c>
    </row>
    <row r="238">
      <c r="H238" s="31">
        <f>IF($A238="","",IF($D238="Evet",ROUND($C238*tbo_oranBesPuan,2),0))</f>
        <v/>
      </c>
      <c r="I238" s="31">
        <f>IF($A238="","",IF($E238="Evet",ROUND($C238*tbo_oranIlave,2),0))</f>
        <v/>
      </c>
      <c r="J238" s="31">
        <f>IF($A238="","",IF($F238="Evet",ROUND($C238*tbo_oranKadinGenc,2),0))</f>
        <v/>
      </c>
      <c r="K238" s="31">
        <f>IF($A238="","",IF($G238="Evet",ROUND($C238*tbo_isverenOran,2),0))</f>
        <v/>
      </c>
      <c r="L238" s="31">
        <f>IF($A238="","",IF($M238=0,"YOK",IF($I238=$M238,"TBO-002",IF($H238=$M238,"TBO-001",IF($J238=$M238,"TBO-004","TBO-ENG")))))</f>
        <v/>
      </c>
      <c r="M238" s="31">
        <f>IF($A238="","",MAX($H238,$I238,$J238,$K238))</f>
        <v/>
      </c>
      <c r="O238" s="31">
        <f>IF($A238="","",MAX(0,$M238-IF($N238="TBO-001",$H238,IF($N238="TBO-002",$I238,IF($N238="TBO-004",$J238,IF($N238="TBO-ENG",$K238,0))))))</f>
        <v/>
      </c>
    </row>
    <row r="239">
      <c r="H239" s="31">
        <f>IF($A239="","",IF($D239="Evet",ROUND($C239*tbo_oranBesPuan,2),0))</f>
        <v/>
      </c>
      <c r="I239" s="31">
        <f>IF($A239="","",IF($E239="Evet",ROUND($C239*tbo_oranIlave,2),0))</f>
        <v/>
      </c>
      <c r="J239" s="31">
        <f>IF($A239="","",IF($F239="Evet",ROUND($C239*tbo_oranKadinGenc,2),0))</f>
        <v/>
      </c>
      <c r="K239" s="31">
        <f>IF($A239="","",IF($G239="Evet",ROUND($C239*tbo_isverenOran,2),0))</f>
        <v/>
      </c>
      <c r="L239" s="31">
        <f>IF($A239="","",IF($M239=0,"YOK",IF($I239=$M239,"TBO-002",IF($H239=$M239,"TBO-001",IF($J239=$M239,"TBO-004","TBO-ENG")))))</f>
        <v/>
      </c>
      <c r="M239" s="31">
        <f>IF($A239="","",MAX($H239,$I239,$J239,$K239))</f>
        <v/>
      </c>
      <c r="O239" s="31">
        <f>IF($A239="","",MAX(0,$M239-IF($N239="TBO-001",$H239,IF($N239="TBO-002",$I239,IF($N239="TBO-004",$J239,IF($N239="TBO-ENG",$K239,0))))))</f>
        <v/>
      </c>
    </row>
    <row r="240">
      <c r="H240" s="31">
        <f>IF($A240="","",IF($D240="Evet",ROUND($C240*tbo_oranBesPuan,2),0))</f>
        <v/>
      </c>
      <c r="I240" s="31">
        <f>IF($A240="","",IF($E240="Evet",ROUND($C240*tbo_oranIlave,2),0))</f>
        <v/>
      </c>
      <c r="J240" s="31">
        <f>IF($A240="","",IF($F240="Evet",ROUND($C240*tbo_oranKadinGenc,2),0))</f>
        <v/>
      </c>
      <c r="K240" s="31">
        <f>IF($A240="","",IF($G240="Evet",ROUND($C240*tbo_isverenOran,2),0))</f>
        <v/>
      </c>
      <c r="L240" s="31">
        <f>IF($A240="","",IF($M240=0,"YOK",IF($I240=$M240,"TBO-002",IF($H240=$M240,"TBO-001",IF($J240=$M240,"TBO-004","TBO-ENG")))))</f>
        <v/>
      </c>
      <c r="M240" s="31">
        <f>IF($A240="","",MAX($H240,$I240,$J240,$K240))</f>
        <v/>
      </c>
      <c r="O240" s="31">
        <f>IF($A240="","",MAX(0,$M240-IF($N240="TBO-001",$H240,IF($N240="TBO-002",$I240,IF($N240="TBO-004",$J240,IF($N240="TBO-ENG",$K240,0))))))</f>
        <v/>
      </c>
    </row>
    <row r="241">
      <c r="H241" s="31">
        <f>IF($A241="","",IF($D241="Evet",ROUND($C241*tbo_oranBesPuan,2),0))</f>
        <v/>
      </c>
      <c r="I241" s="31">
        <f>IF($A241="","",IF($E241="Evet",ROUND($C241*tbo_oranIlave,2),0))</f>
        <v/>
      </c>
      <c r="J241" s="31">
        <f>IF($A241="","",IF($F241="Evet",ROUND($C241*tbo_oranKadinGenc,2),0))</f>
        <v/>
      </c>
      <c r="K241" s="31">
        <f>IF($A241="","",IF($G241="Evet",ROUND($C241*tbo_isverenOran,2),0))</f>
        <v/>
      </c>
      <c r="L241" s="31">
        <f>IF($A241="","",IF($M241=0,"YOK",IF($I241=$M241,"TBO-002",IF($H241=$M241,"TBO-001",IF($J241=$M241,"TBO-004","TBO-ENG")))))</f>
        <v/>
      </c>
      <c r="M241" s="31">
        <f>IF($A241="","",MAX($H241,$I241,$J241,$K241))</f>
        <v/>
      </c>
      <c r="O241" s="31">
        <f>IF($A241="","",MAX(0,$M241-IF($N241="TBO-001",$H241,IF($N241="TBO-002",$I241,IF($N241="TBO-004",$J241,IF($N241="TBO-ENG",$K241,0))))))</f>
        <v/>
      </c>
    </row>
    <row r="242">
      <c r="H242" s="31">
        <f>IF($A242="","",IF($D242="Evet",ROUND($C242*tbo_oranBesPuan,2),0))</f>
        <v/>
      </c>
      <c r="I242" s="31">
        <f>IF($A242="","",IF($E242="Evet",ROUND($C242*tbo_oranIlave,2),0))</f>
        <v/>
      </c>
      <c r="J242" s="31">
        <f>IF($A242="","",IF($F242="Evet",ROUND($C242*tbo_oranKadinGenc,2),0))</f>
        <v/>
      </c>
      <c r="K242" s="31">
        <f>IF($A242="","",IF($G242="Evet",ROUND($C242*tbo_isverenOran,2),0))</f>
        <v/>
      </c>
      <c r="L242" s="31">
        <f>IF($A242="","",IF($M242=0,"YOK",IF($I242=$M242,"TBO-002",IF($H242=$M242,"TBO-001",IF($J242=$M242,"TBO-004","TBO-ENG")))))</f>
        <v/>
      </c>
      <c r="M242" s="31">
        <f>IF($A242="","",MAX($H242,$I242,$J242,$K242))</f>
        <v/>
      </c>
      <c r="O242" s="31">
        <f>IF($A242="","",MAX(0,$M242-IF($N242="TBO-001",$H242,IF($N242="TBO-002",$I242,IF($N242="TBO-004",$J242,IF($N242="TBO-ENG",$K242,0))))))</f>
        <v/>
      </c>
    </row>
    <row r="243">
      <c r="H243" s="31">
        <f>IF($A243="","",IF($D243="Evet",ROUND($C243*tbo_oranBesPuan,2),0))</f>
        <v/>
      </c>
      <c r="I243" s="31">
        <f>IF($A243="","",IF($E243="Evet",ROUND($C243*tbo_oranIlave,2),0))</f>
        <v/>
      </c>
      <c r="J243" s="31">
        <f>IF($A243="","",IF($F243="Evet",ROUND($C243*tbo_oranKadinGenc,2),0))</f>
        <v/>
      </c>
      <c r="K243" s="31">
        <f>IF($A243="","",IF($G243="Evet",ROUND($C243*tbo_isverenOran,2),0))</f>
        <v/>
      </c>
      <c r="L243" s="31">
        <f>IF($A243="","",IF($M243=0,"YOK",IF($I243=$M243,"TBO-002",IF($H243=$M243,"TBO-001",IF($J243=$M243,"TBO-004","TBO-ENG")))))</f>
        <v/>
      </c>
      <c r="M243" s="31">
        <f>IF($A243="","",MAX($H243,$I243,$J243,$K243))</f>
        <v/>
      </c>
      <c r="O243" s="31">
        <f>IF($A243="","",MAX(0,$M243-IF($N243="TBO-001",$H243,IF($N243="TBO-002",$I243,IF($N243="TBO-004",$J243,IF($N243="TBO-ENG",$K243,0))))))</f>
        <v/>
      </c>
    </row>
    <row r="244">
      <c r="H244" s="31">
        <f>IF($A244="","",IF($D244="Evet",ROUND($C244*tbo_oranBesPuan,2),0))</f>
        <v/>
      </c>
      <c r="I244" s="31">
        <f>IF($A244="","",IF($E244="Evet",ROUND($C244*tbo_oranIlave,2),0))</f>
        <v/>
      </c>
      <c r="J244" s="31">
        <f>IF($A244="","",IF($F244="Evet",ROUND($C244*tbo_oranKadinGenc,2),0))</f>
        <v/>
      </c>
      <c r="K244" s="31">
        <f>IF($A244="","",IF($G244="Evet",ROUND($C244*tbo_isverenOran,2),0))</f>
        <v/>
      </c>
      <c r="L244" s="31">
        <f>IF($A244="","",IF($M244=0,"YOK",IF($I244=$M244,"TBO-002",IF($H244=$M244,"TBO-001",IF($J244=$M244,"TBO-004","TBO-ENG")))))</f>
        <v/>
      </c>
      <c r="M244" s="31">
        <f>IF($A244="","",MAX($H244,$I244,$J244,$K244))</f>
        <v/>
      </c>
      <c r="O244" s="31">
        <f>IF($A244="","",MAX(0,$M244-IF($N244="TBO-001",$H244,IF($N244="TBO-002",$I244,IF($N244="TBO-004",$J244,IF($N244="TBO-ENG",$K244,0))))))</f>
        <v/>
      </c>
    </row>
    <row r="245">
      <c r="H245" s="31">
        <f>IF($A245="","",IF($D245="Evet",ROUND($C245*tbo_oranBesPuan,2),0))</f>
        <v/>
      </c>
      <c r="I245" s="31">
        <f>IF($A245="","",IF($E245="Evet",ROUND($C245*tbo_oranIlave,2),0))</f>
        <v/>
      </c>
      <c r="J245" s="31">
        <f>IF($A245="","",IF($F245="Evet",ROUND($C245*tbo_oranKadinGenc,2),0))</f>
        <v/>
      </c>
      <c r="K245" s="31">
        <f>IF($A245="","",IF($G245="Evet",ROUND($C245*tbo_isverenOran,2),0))</f>
        <v/>
      </c>
      <c r="L245" s="31">
        <f>IF($A245="","",IF($M245=0,"YOK",IF($I245=$M245,"TBO-002",IF($H245=$M245,"TBO-001",IF($J245=$M245,"TBO-004","TBO-ENG")))))</f>
        <v/>
      </c>
      <c r="M245" s="31">
        <f>IF($A245="","",MAX($H245,$I245,$J245,$K245))</f>
        <v/>
      </c>
      <c r="O245" s="31">
        <f>IF($A245="","",MAX(0,$M245-IF($N245="TBO-001",$H245,IF($N245="TBO-002",$I245,IF($N245="TBO-004",$J245,IF($N245="TBO-ENG",$K245,0))))))</f>
        <v/>
      </c>
    </row>
    <row r="246">
      <c r="H246" s="31">
        <f>IF($A246="","",IF($D246="Evet",ROUND($C246*tbo_oranBesPuan,2),0))</f>
        <v/>
      </c>
      <c r="I246" s="31">
        <f>IF($A246="","",IF($E246="Evet",ROUND($C246*tbo_oranIlave,2),0))</f>
        <v/>
      </c>
      <c r="J246" s="31">
        <f>IF($A246="","",IF($F246="Evet",ROUND($C246*tbo_oranKadinGenc,2),0))</f>
        <v/>
      </c>
      <c r="K246" s="31">
        <f>IF($A246="","",IF($G246="Evet",ROUND($C246*tbo_isverenOran,2),0))</f>
        <v/>
      </c>
      <c r="L246" s="31">
        <f>IF($A246="","",IF($M246=0,"YOK",IF($I246=$M246,"TBO-002",IF($H246=$M246,"TBO-001",IF($J246=$M246,"TBO-004","TBO-ENG")))))</f>
        <v/>
      </c>
      <c r="M246" s="31">
        <f>IF($A246="","",MAX($H246,$I246,$J246,$K246))</f>
        <v/>
      </c>
      <c r="O246" s="31">
        <f>IF($A246="","",MAX(0,$M246-IF($N246="TBO-001",$H246,IF($N246="TBO-002",$I246,IF($N246="TBO-004",$J246,IF($N246="TBO-ENG",$K246,0))))))</f>
        <v/>
      </c>
    </row>
    <row r="247">
      <c r="H247" s="31">
        <f>IF($A247="","",IF($D247="Evet",ROUND($C247*tbo_oranBesPuan,2),0))</f>
        <v/>
      </c>
      <c r="I247" s="31">
        <f>IF($A247="","",IF($E247="Evet",ROUND($C247*tbo_oranIlave,2),0))</f>
        <v/>
      </c>
      <c r="J247" s="31">
        <f>IF($A247="","",IF($F247="Evet",ROUND($C247*tbo_oranKadinGenc,2),0))</f>
        <v/>
      </c>
      <c r="K247" s="31">
        <f>IF($A247="","",IF($G247="Evet",ROUND($C247*tbo_isverenOran,2),0))</f>
        <v/>
      </c>
      <c r="L247" s="31">
        <f>IF($A247="","",IF($M247=0,"YOK",IF($I247=$M247,"TBO-002",IF($H247=$M247,"TBO-001",IF($J247=$M247,"TBO-004","TBO-ENG")))))</f>
        <v/>
      </c>
      <c r="M247" s="31">
        <f>IF($A247="","",MAX($H247,$I247,$J247,$K247))</f>
        <v/>
      </c>
      <c r="O247" s="31">
        <f>IF($A247="","",MAX(0,$M247-IF($N247="TBO-001",$H247,IF($N247="TBO-002",$I247,IF($N247="TBO-004",$J247,IF($N247="TBO-ENG",$K247,0))))))</f>
        <v/>
      </c>
    </row>
    <row r="248">
      <c r="H248" s="31">
        <f>IF($A248="","",IF($D248="Evet",ROUND($C248*tbo_oranBesPuan,2),0))</f>
        <v/>
      </c>
      <c r="I248" s="31">
        <f>IF($A248="","",IF($E248="Evet",ROUND($C248*tbo_oranIlave,2),0))</f>
        <v/>
      </c>
      <c r="J248" s="31">
        <f>IF($A248="","",IF($F248="Evet",ROUND($C248*tbo_oranKadinGenc,2),0))</f>
        <v/>
      </c>
      <c r="K248" s="31">
        <f>IF($A248="","",IF($G248="Evet",ROUND($C248*tbo_isverenOran,2),0))</f>
        <v/>
      </c>
      <c r="L248" s="31">
        <f>IF($A248="","",IF($M248=0,"YOK",IF($I248=$M248,"TBO-002",IF($H248=$M248,"TBO-001",IF($J248=$M248,"TBO-004","TBO-ENG")))))</f>
        <v/>
      </c>
      <c r="M248" s="31">
        <f>IF($A248="","",MAX($H248,$I248,$J248,$K248))</f>
        <v/>
      </c>
      <c r="O248" s="31">
        <f>IF($A248="","",MAX(0,$M248-IF($N248="TBO-001",$H248,IF($N248="TBO-002",$I248,IF($N248="TBO-004",$J248,IF($N248="TBO-ENG",$K248,0))))))</f>
        <v/>
      </c>
    </row>
    <row r="249">
      <c r="H249" s="31">
        <f>IF($A249="","",IF($D249="Evet",ROUND($C249*tbo_oranBesPuan,2),0))</f>
        <v/>
      </c>
      <c r="I249" s="31">
        <f>IF($A249="","",IF($E249="Evet",ROUND($C249*tbo_oranIlave,2),0))</f>
        <v/>
      </c>
      <c r="J249" s="31">
        <f>IF($A249="","",IF($F249="Evet",ROUND($C249*tbo_oranKadinGenc,2),0))</f>
        <v/>
      </c>
      <c r="K249" s="31">
        <f>IF($A249="","",IF($G249="Evet",ROUND($C249*tbo_isverenOran,2),0))</f>
        <v/>
      </c>
      <c r="L249" s="31">
        <f>IF($A249="","",IF($M249=0,"YOK",IF($I249=$M249,"TBO-002",IF($H249=$M249,"TBO-001",IF($J249=$M249,"TBO-004","TBO-ENG")))))</f>
        <v/>
      </c>
      <c r="M249" s="31">
        <f>IF($A249="","",MAX($H249,$I249,$J249,$K249))</f>
        <v/>
      </c>
      <c r="O249" s="31">
        <f>IF($A249="","",MAX(0,$M249-IF($N249="TBO-001",$H249,IF($N249="TBO-002",$I249,IF($N249="TBO-004",$J249,IF($N249="TBO-ENG",$K249,0))))))</f>
        <v/>
      </c>
    </row>
    <row r="250">
      <c r="H250" s="31">
        <f>IF($A250="","",IF($D250="Evet",ROUND($C250*tbo_oranBesPuan,2),0))</f>
        <v/>
      </c>
      <c r="I250" s="31">
        <f>IF($A250="","",IF($E250="Evet",ROUND($C250*tbo_oranIlave,2),0))</f>
        <v/>
      </c>
      <c r="J250" s="31">
        <f>IF($A250="","",IF($F250="Evet",ROUND($C250*tbo_oranKadinGenc,2),0))</f>
        <v/>
      </c>
      <c r="K250" s="31">
        <f>IF($A250="","",IF($G250="Evet",ROUND($C250*tbo_isverenOran,2),0))</f>
        <v/>
      </c>
      <c r="L250" s="31">
        <f>IF($A250="","",IF($M250=0,"YOK",IF($I250=$M250,"TBO-002",IF($H250=$M250,"TBO-001",IF($J250=$M250,"TBO-004","TBO-ENG")))))</f>
        <v/>
      </c>
      <c r="M250" s="31">
        <f>IF($A250="","",MAX($H250,$I250,$J250,$K250))</f>
        <v/>
      </c>
      <c r="O250" s="31">
        <f>IF($A250="","",MAX(0,$M250-IF($N250="TBO-001",$H250,IF($N250="TBO-002",$I250,IF($N250="TBO-004",$J250,IF($N250="TBO-ENG",$K250,0))))))</f>
        <v/>
      </c>
    </row>
    <row r="251">
      <c r="H251" s="31">
        <f>IF($A251="","",IF($D251="Evet",ROUND($C251*tbo_oranBesPuan,2),0))</f>
        <v/>
      </c>
      <c r="I251" s="31">
        <f>IF($A251="","",IF($E251="Evet",ROUND($C251*tbo_oranIlave,2),0))</f>
        <v/>
      </c>
      <c r="J251" s="31">
        <f>IF($A251="","",IF($F251="Evet",ROUND($C251*tbo_oranKadinGenc,2),0))</f>
        <v/>
      </c>
      <c r="K251" s="31">
        <f>IF($A251="","",IF($G251="Evet",ROUND($C251*tbo_isverenOran,2),0))</f>
        <v/>
      </c>
      <c r="L251" s="31">
        <f>IF($A251="","",IF($M251=0,"YOK",IF($I251=$M251,"TBO-002",IF($H251=$M251,"TBO-001",IF($J251=$M251,"TBO-004","TBO-ENG")))))</f>
        <v/>
      </c>
      <c r="M251" s="31">
        <f>IF($A251="","",MAX($H251,$I251,$J251,$K251))</f>
        <v/>
      </c>
      <c r="O251" s="31">
        <f>IF($A251="","",MAX(0,$M251-IF($N251="TBO-001",$H251,IF($N251="TBO-002",$I251,IF($N251="TBO-004",$J251,IF($N251="TBO-ENG",$K251,0))))))</f>
        <v/>
      </c>
    </row>
    <row r="252">
      <c r="H252" s="31">
        <f>IF($A252="","",IF($D252="Evet",ROUND($C252*tbo_oranBesPuan,2),0))</f>
        <v/>
      </c>
      <c r="I252" s="31">
        <f>IF($A252="","",IF($E252="Evet",ROUND($C252*tbo_oranIlave,2),0))</f>
        <v/>
      </c>
      <c r="J252" s="31">
        <f>IF($A252="","",IF($F252="Evet",ROUND($C252*tbo_oranKadinGenc,2),0))</f>
        <v/>
      </c>
      <c r="K252" s="31">
        <f>IF($A252="","",IF($G252="Evet",ROUND($C252*tbo_isverenOran,2),0))</f>
        <v/>
      </c>
      <c r="L252" s="31">
        <f>IF($A252="","",IF($M252=0,"YOK",IF($I252=$M252,"TBO-002",IF($H252=$M252,"TBO-001",IF($J252=$M252,"TBO-004","TBO-ENG")))))</f>
        <v/>
      </c>
      <c r="M252" s="31">
        <f>IF($A252="","",MAX($H252,$I252,$J252,$K252))</f>
        <v/>
      </c>
      <c r="O252" s="31">
        <f>IF($A252="","",MAX(0,$M252-IF($N252="TBO-001",$H252,IF($N252="TBO-002",$I252,IF($N252="TBO-004",$J252,IF($N252="TBO-ENG",$K252,0))))))</f>
        <v/>
      </c>
    </row>
    <row r="253">
      <c r="H253" s="31">
        <f>IF($A253="","",IF($D253="Evet",ROUND($C253*tbo_oranBesPuan,2),0))</f>
        <v/>
      </c>
      <c r="I253" s="31">
        <f>IF($A253="","",IF($E253="Evet",ROUND($C253*tbo_oranIlave,2),0))</f>
        <v/>
      </c>
      <c r="J253" s="31">
        <f>IF($A253="","",IF($F253="Evet",ROUND($C253*tbo_oranKadinGenc,2),0))</f>
        <v/>
      </c>
      <c r="K253" s="31">
        <f>IF($A253="","",IF($G253="Evet",ROUND($C253*tbo_isverenOran,2),0))</f>
        <v/>
      </c>
      <c r="L253" s="31">
        <f>IF($A253="","",IF($M253=0,"YOK",IF($I253=$M253,"TBO-002",IF($H253=$M253,"TBO-001",IF($J253=$M253,"TBO-004","TBO-ENG")))))</f>
        <v/>
      </c>
      <c r="M253" s="31">
        <f>IF($A253="","",MAX($H253,$I253,$J253,$K253))</f>
        <v/>
      </c>
      <c r="O253" s="31">
        <f>IF($A253="","",MAX(0,$M253-IF($N253="TBO-001",$H253,IF($N253="TBO-002",$I253,IF($N253="TBO-004",$J253,IF($N253="TBO-ENG",$K253,0))))))</f>
        <v/>
      </c>
    </row>
    <row r="254">
      <c r="H254" s="31">
        <f>IF($A254="","",IF($D254="Evet",ROUND($C254*tbo_oranBesPuan,2),0))</f>
        <v/>
      </c>
      <c r="I254" s="31">
        <f>IF($A254="","",IF($E254="Evet",ROUND($C254*tbo_oranIlave,2),0))</f>
        <v/>
      </c>
      <c r="J254" s="31">
        <f>IF($A254="","",IF($F254="Evet",ROUND($C254*tbo_oranKadinGenc,2),0))</f>
        <v/>
      </c>
      <c r="K254" s="31">
        <f>IF($A254="","",IF($G254="Evet",ROUND($C254*tbo_isverenOran,2),0))</f>
        <v/>
      </c>
      <c r="L254" s="31">
        <f>IF($A254="","",IF($M254=0,"YOK",IF($I254=$M254,"TBO-002",IF($H254=$M254,"TBO-001",IF($J254=$M254,"TBO-004","TBO-ENG")))))</f>
        <v/>
      </c>
      <c r="M254" s="31">
        <f>IF($A254="","",MAX($H254,$I254,$J254,$K254))</f>
        <v/>
      </c>
      <c r="O254" s="31">
        <f>IF($A254="","",MAX(0,$M254-IF($N254="TBO-001",$H254,IF($N254="TBO-002",$I254,IF($N254="TBO-004",$J254,IF($N254="TBO-ENG",$K254,0))))))</f>
        <v/>
      </c>
    </row>
    <row r="255">
      <c r="H255" s="31">
        <f>IF($A255="","",IF($D255="Evet",ROUND($C255*tbo_oranBesPuan,2),0))</f>
        <v/>
      </c>
      <c r="I255" s="31">
        <f>IF($A255="","",IF($E255="Evet",ROUND($C255*tbo_oranIlave,2),0))</f>
        <v/>
      </c>
      <c r="J255" s="31">
        <f>IF($A255="","",IF($F255="Evet",ROUND($C255*tbo_oranKadinGenc,2),0))</f>
        <v/>
      </c>
      <c r="K255" s="31">
        <f>IF($A255="","",IF($G255="Evet",ROUND($C255*tbo_isverenOran,2),0))</f>
        <v/>
      </c>
      <c r="L255" s="31">
        <f>IF($A255="","",IF($M255=0,"YOK",IF($I255=$M255,"TBO-002",IF($H255=$M255,"TBO-001",IF($J255=$M255,"TBO-004","TBO-ENG")))))</f>
        <v/>
      </c>
      <c r="M255" s="31">
        <f>IF($A255="","",MAX($H255,$I255,$J255,$K255))</f>
        <v/>
      </c>
      <c r="O255" s="31">
        <f>IF($A255="","",MAX(0,$M255-IF($N255="TBO-001",$H255,IF($N255="TBO-002",$I255,IF($N255="TBO-004",$J255,IF($N255="TBO-ENG",$K255,0))))))</f>
        <v/>
      </c>
    </row>
    <row r="256">
      <c r="H256" s="31">
        <f>IF($A256="","",IF($D256="Evet",ROUND($C256*tbo_oranBesPuan,2),0))</f>
        <v/>
      </c>
      <c r="I256" s="31">
        <f>IF($A256="","",IF($E256="Evet",ROUND($C256*tbo_oranIlave,2),0))</f>
        <v/>
      </c>
      <c r="J256" s="31">
        <f>IF($A256="","",IF($F256="Evet",ROUND($C256*tbo_oranKadinGenc,2),0))</f>
        <v/>
      </c>
      <c r="K256" s="31">
        <f>IF($A256="","",IF($G256="Evet",ROUND($C256*tbo_isverenOran,2),0))</f>
        <v/>
      </c>
      <c r="L256" s="31">
        <f>IF($A256="","",IF($M256=0,"YOK",IF($I256=$M256,"TBO-002",IF($H256=$M256,"TBO-001",IF($J256=$M256,"TBO-004","TBO-ENG")))))</f>
        <v/>
      </c>
      <c r="M256" s="31">
        <f>IF($A256="","",MAX($H256,$I256,$J256,$K256))</f>
        <v/>
      </c>
      <c r="O256" s="31">
        <f>IF($A256="","",MAX(0,$M256-IF($N256="TBO-001",$H256,IF($N256="TBO-002",$I256,IF($N256="TBO-004",$J256,IF($N256="TBO-ENG",$K256,0))))))</f>
        <v/>
      </c>
    </row>
    <row r="257">
      <c r="H257" s="31">
        <f>IF($A257="","",IF($D257="Evet",ROUND($C257*tbo_oranBesPuan,2),0))</f>
        <v/>
      </c>
      <c r="I257" s="31">
        <f>IF($A257="","",IF($E257="Evet",ROUND($C257*tbo_oranIlave,2),0))</f>
        <v/>
      </c>
      <c r="J257" s="31">
        <f>IF($A257="","",IF($F257="Evet",ROUND($C257*tbo_oranKadinGenc,2),0))</f>
        <v/>
      </c>
      <c r="K257" s="31">
        <f>IF($A257="","",IF($G257="Evet",ROUND($C257*tbo_isverenOran,2),0))</f>
        <v/>
      </c>
      <c r="L257" s="31">
        <f>IF($A257="","",IF($M257=0,"YOK",IF($I257=$M257,"TBO-002",IF($H257=$M257,"TBO-001",IF($J257=$M257,"TBO-004","TBO-ENG")))))</f>
        <v/>
      </c>
      <c r="M257" s="31">
        <f>IF($A257="","",MAX($H257,$I257,$J257,$K257))</f>
        <v/>
      </c>
      <c r="O257" s="31">
        <f>IF($A257="","",MAX(0,$M257-IF($N257="TBO-001",$H257,IF($N257="TBO-002",$I257,IF($N257="TBO-004",$J257,IF($N257="TBO-ENG",$K257,0))))))</f>
        <v/>
      </c>
    </row>
    <row r="258">
      <c r="H258" s="31">
        <f>IF($A258="","",IF($D258="Evet",ROUND($C258*tbo_oranBesPuan,2),0))</f>
        <v/>
      </c>
      <c r="I258" s="31">
        <f>IF($A258="","",IF($E258="Evet",ROUND($C258*tbo_oranIlave,2),0))</f>
        <v/>
      </c>
      <c r="J258" s="31">
        <f>IF($A258="","",IF($F258="Evet",ROUND($C258*tbo_oranKadinGenc,2),0))</f>
        <v/>
      </c>
      <c r="K258" s="31">
        <f>IF($A258="","",IF($G258="Evet",ROUND($C258*tbo_isverenOran,2),0))</f>
        <v/>
      </c>
      <c r="L258" s="31">
        <f>IF($A258="","",IF($M258=0,"YOK",IF($I258=$M258,"TBO-002",IF($H258=$M258,"TBO-001",IF($J258=$M258,"TBO-004","TBO-ENG")))))</f>
        <v/>
      </c>
      <c r="M258" s="31">
        <f>IF($A258="","",MAX($H258,$I258,$J258,$K258))</f>
        <v/>
      </c>
      <c r="O258" s="31">
        <f>IF($A258="","",MAX(0,$M258-IF($N258="TBO-001",$H258,IF($N258="TBO-002",$I258,IF($N258="TBO-004",$J258,IF($N258="TBO-ENG",$K258,0))))))</f>
        <v/>
      </c>
    </row>
    <row r="259">
      <c r="H259" s="31">
        <f>IF($A259="","",IF($D259="Evet",ROUND($C259*tbo_oranBesPuan,2),0))</f>
        <v/>
      </c>
      <c r="I259" s="31">
        <f>IF($A259="","",IF($E259="Evet",ROUND($C259*tbo_oranIlave,2),0))</f>
        <v/>
      </c>
      <c r="J259" s="31">
        <f>IF($A259="","",IF($F259="Evet",ROUND($C259*tbo_oranKadinGenc,2),0))</f>
        <v/>
      </c>
      <c r="K259" s="31">
        <f>IF($A259="","",IF($G259="Evet",ROUND($C259*tbo_isverenOran,2),0))</f>
        <v/>
      </c>
      <c r="L259" s="31">
        <f>IF($A259="","",IF($M259=0,"YOK",IF($I259=$M259,"TBO-002",IF($H259=$M259,"TBO-001",IF($J259=$M259,"TBO-004","TBO-ENG")))))</f>
        <v/>
      </c>
      <c r="M259" s="31">
        <f>IF($A259="","",MAX($H259,$I259,$J259,$K259))</f>
        <v/>
      </c>
      <c r="O259" s="31">
        <f>IF($A259="","",MAX(0,$M259-IF($N259="TBO-001",$H259,IF($N259="TBO-002",$I259,IF($N259="TBO-004",$J259,IF($N259="TBO-ENG",$K259,0))))))</f>
        <v/>
      </c>
    </row>
    <row r="260">
      <c r="H260" s="31">
        <f>IF($A260="","",IF($D260="Evet",ROUND($C260*tbo_oranBesPuan,2),0))</f>
        <v/>
      </c>
      <c r="I260" s="31">
        <f>IF($A260="","",IF($E260="Evet",ROUND($C260*tbo_oranIlave,2),0))</f>
        <v/>
      </c>
      <c r="J260" s="31">
        <f>IF($A260="","",IF($F260="Evet",ROUND($C260*tbo_oranKadinGenc,2),0))</f>
        <v/>
      </c>
      <c r="K260" s="31">
        <f>IF($A260="","",IF($G260="Evet",ROUND($C260*tbo_isverenOran,2),0))</f>
        <v/>
      </c>
      <c r="L260" s="31">
        <f>IF($A260="","",IF($M260=0,"YOK",IF($I260=$M260,"TBO-002",IF($H260=$M260,"TBO-001",IF($J260=$M260,"TBO-004","TBO-ENG")))))</f>
        <v/>
      </c>
      <c r="M260" s="31">
        <f>IF($A260="","",MAX($H260,$I260,$J260,$K260))</f>
        <v/>
      </c>
      <c r="O260" s="31">
        <f>IF($A260="","",MAX(0,$M260-IF($N260="TBO-001",$H260,IF($N260="TBO-002",$I260,IF($N260="TBO-004",$J260,IF($N260="TBO-ENG",$K260,0))))))</f>
        <v/>
      </c>
    </row>
    <row r="261">
      <c r="H261" s="31">
        <f>IF($A261="","",IF($D261="Evet",ROUND($C261*tbo_oranBesPuan,2),0))</f>
        <v/>
      </c>
      <c r="I261" s="31">
        <f>IF($A261="","",IF($E261="Evet",ROUND($C261*tbo_oranIlave,2),0))</f>
        <v/>
      </c>
      <c r="J261" s="31">
        <f>IF($A261="","",IF($F261="Evet",ROUND($C261*tbo_oranKadinGenc,2),0))</f>
        <v/>
      </c>
      <c r="K261" s="31">
        <f>IF($A261="","",IF($G261="Evet",ROUND($C261*tbo_isverenOran,2),0))</f>
        <v/>
      </c>
      <c r="L261" s="31">
        <f>IF($A261="","",IF($M261=0,"YOK",IF($I261=$M261,"TBO-002",IF($H261=$M261,"TBO-001",IF($J261=$M261,"TBO-004","TBO-ENG")))))</f>
        <v/>
      </c>
      <c r="M261" s="31">
        <f>IF($A261="","",MAX($H261,$I261,$J261,$K261))</f>
        <v/>
      </c>
      <c r="O261" s="31">
        <f>IF($A261="","",MAX(0,$M261-IF($N261="TBO-001",$H261,IF($N261="TBO-002",$I261,IF($N261="TBO-004",$J261,IF($N261="TBO-ENG",$K261,0))))))</f>
        <v/>
      </c>
    </row>
    <row r="262">
      <c r="H262" s="31">
        <f>IF($A262="","",IF($D262="Evet",ROUND($C262*tbo_oranBesPuan,2),0))</f>
        <v/>
      </c>
      <c r="I262" s="31">
        <f>IF($A262="","",IF($E262="Evet",ROUND($C262*tbo_oranIlave,2),0))</f>
        <v/>
      </c>
      <c r="J262" s="31">
        <f>IF($A262="","",IF($F262="Evet",ROUND($C262*tbo_oranKadinGenc,2),0))</f>
        <v/>
      </c>
      <c r="K262" s="31">
        <f>IF($A262="","",IF($G262="Evet",ROUND($C262*tbo_isverenOran,2),0))</f>
        <v/>
      </c>
      <c r="L262" s="31">
        <f>IF($A262="","",IF($M262=0,"YOK",IF($I262=$M262,"TBO-002",IF($H262=$M262,"TBO-001",IF($J262=$M262,"TBO-004","TBO-ENG")))))</f>
        <v/>
      </c>
      <c r="M262" s="31">
        <f>IF($A262="","",MAX($H262,$I262,$J262,$K262))</f>
        <v/>
      </c>
      <c r="O262" s="31">
        <f>IF($A262="","",MAX(0,$M262-IF($N262="TBO-001",$H262,IF($N262="TBO-002",$I262,IF($N262="TBO-004",$J262,IF($N262="TBO-ENG",$K262,0))))))</f>
        <v/>
      </c>
    </row>
    <row r="263">
      <c r="H263" s="31">
        <f>IF($A263="","",IF($D263="Evet",ROUND($C263*tbo_oranBesPuan,2),0))</f>
        <v/>
      </c>
      <c r="I263" s="31">
        <f>IF($A263="","",IF($E263="Evet",ROUND($C263*tbo_oranIlave,2),0))</f>
        <v/>
      </c>
      <c r="J263" s="31">
        <f>IF($A263="","",IF($F263="Evet",ROUND($C263*tbo_oranKadinGenc,2),0))</f>
        <v/>
      </c>
      <c r="K263" s="31">
        <f>IF($A263="","",IF($G263="Evet",ROUND($C263*tbo_isverenOran,2),0))</f>
        <v/>
      </c>
      <c r="L263" s="31">
        <f>IF($A263="","",IF($M263=0,"YOK",IF($I263=$M263,"TBO-002",IF($H263=$M263,"TBO-001",IF($J263=$M263,"TBO-004","TBO-ENG")))))</f>
        <v/>
      </c>
      <c r="M263" s="31">
        <f>IF($A263="","",MAX($H263,$I263,$J263,$K263))</f>
        <v/>
      </c>
      <c r="O263" s="31">
        <f>IF($A263="","",MAX(0,$M263-IF($N263="TBO-001",$H263,IF($N263="TBO-002",$I263,IF($N263="TBO-004",$J263,IF($N263="TBO-ENG",$K263,0))))))</f>
        <v/>
      </c>
    </row>
    <row r="264">
      <c r="H264" s="31">
        <f>IF($A264="","",IF($D264="Evet",ROUND($C264*tbo_oranBesPuan,2),0))</f>
        <v/>
      </c>
      <c r="I264" s="31">
        <f>IF($A264="","",IF($E264="Evet",ROUND($C264*tbo_oranIlave,2),0))</f>
        <v/>
      </c>
      <c r="J264" s="31">
        <f>IF($A264="","",IF($F264="Evet",ROUND($C264*tbo_oranKadinGenc,2),0))</f>
        <v/>
      </c>
      <c r="K264" s="31">
        <f>IF($A264="","",IF($G264="Evet",ROUND($C264*tbo_isverenOran,2),0))</f>
        <v/>
      </c>
      <c r="L264" s="31">
        <f>IF($A264="","",IF($M264=0,"YOK",IF($I264=$M264,"TBO-002",IF($H264=$M264,"TBO-001",IF($J264=$M264,"TBO-004","TBO-ENG")))))</f>
        <v/>
      </c>
      <c r="M264" s="31">
        <f>IF($A264="","",MAX($H264,$I264,$J264,$K264))</f>
        <v/>
      </c>
      <c r="O264" s="31">
        <f>IF($A264="","",MAX(0,$M264-IF($N264="TBO-001",$H264,IF($N264="TBO-002",$I264,IF($N264="TBO-004",$J264,IF($N264="TBO-ENG",$K264,0))))))</f>
        <v/>
      </c>
    </row>
    <row r="265">
      <c r="H265" s="31">
        <f>IF($A265="","",IF($D265="Evet",ROUND($C265*tbo_oranBesPuan,2),0))</f>
        <v/>
      </c>
      <c r="I265" s="31">
        <f>IF($A265="","",IF($E265="Evet",ROUND($C265*tbo_oranIlave,2),0))</f>
        <v/>
      </c>
      <c r="J265" s="31">
        <f>IF($A265="","",IF($F265="Evet",ROUND($C265*tbo_oranKadinGenc,2),0))</f>
        <v/>
      </c>
      <c r="K265" s="31">
        <f>IF($A265="","",IF($G265="Evet",ROUND($C265*tbo_isverenOran,2),0))</f>
        <v/>
      </c>
      <c r="L265" s="31">
        <f>IF($A265="","",IF($M265=0,"YOK",IF($I265=$M265,"TBO-002",IF($H265=$M265,"TBO-001",IF($J265=$M265,"TBO-004","TBO-ENG")))))</f>
        <v/>
      </c>
      <c r="M265" s="31">
        <f>IF($A265="","",MAX($H265,$I265,$J265,$K265))</f>
        <v/>
      </c>
      <c r="O265" s="31">
        <f>IF($A265="","",MAX(0,$M265-IF($N265="TBO-001",$H265,IF($N265="TBO-002",$I265,IF($N265="TBO-004",$J265,IF($N265="TBO-ENG",$K265,0))))))</f>
        <v/>
      </c>
    </row>
    <row r="266">
      <c r="H266" s="31">
        <f>IF($A266="","",IF($D266="Evet",ROUND($C266*tbo_oranBesPuan,2),0))</f>
        <v/>
      </c>
      <c r="I266" s="31">
        <f>IF($A266="","",IF($E266="Evet",ROUND($C266*tbo_oranIlave,2),0))</f>
        <v/>
      </c>
      <c r="J266" s="31">
        <f>IF($A266="","",IF($F266="Evet",ROUND($C266*tbo_oranKadinGenc,2),0))</f>
        <v/>
      </c>
      <c r="K266" s="31">
        <f>IF($A266="","",IF($G266="Evet",ROUND($C266*tbo_isverenOran,2),0))</f>
        <v/>
      </c>
      <c r="L266" s="31">
        <f>IF($A266="","",IF($M266=0,"YOK",IF($I266=$M266,"TBO-002",IF($H266=$M266,"TBO-001",IF($J266=$M266,"TBO-004","TBO-ENG")))))</f>
        <v/>
      </c>
      <c r="M266" s="31">
        <f>IF($A266="","",MAX($H266,$I266,$J266,$K266))</f>
        <v/>
      </c>
      <c r="O266" s="31">
        <f>IF($A266="","",MAX(0,$M266-IF($N266="TBO-001",$H266,IF($N266="TBO-002",$I266,IF($N266="TBO-004",$J266,IF($N266="TBO-ENG",$K266,0))))))</f>
        <v/>
      </c>
    </row>
    <row r="267">
      <c r="H267" s="31">
        <f>IF($A267="","",IF($D267="Evet",ROUND($C267*tbo_oranBesPuan,2),0))</f>
        <v/>
      </c>
      <c r="I267" s="31">
        <f>IF($A267="","",IF($E267="Evet",ROUND($C267*tbo_oranIlave,2),0))</f>
        <v/>
      </c>
      <c r="J267" s="31">
        <f>IF($A267="","",IF($F267="Evet",ROUND($C267*tbo_oranKadinGenc,2),0))</f>
        <v/>
      </c>
      <c r="K267" s="31">
        <f>IF($A267="","",IF($G267="Evet",ROUND($C267*tbo_isverenOran,2),0))</f>
        <v/>
      </c>
      <c r="L267" s="31">
        <f>IF($A267="","",IF($M267=0,"YOK",IF($I267=$M267,"TBO-002",IF($H267=$M267,"TBO-001",IF($J267=$M267,"TBO-004","TBO-ENG")))))</f>
        <v/>
      </c>
      <c r="M267" s="31">
        <f>IF($A267="","",MAX($H267,$I267,$J267,$K267))</f>
        <v/>
      </c>
      <c r="O267" s="31">
        <f>IF($A267="","",MAX(0,$M267-IF($N267="TBO-001",$H267,IF($N267="TBO-002",$I267,IF($N267="TBO-004",$J267,IF($N267="TBO-ENG",$K267,0))))))</f>
        <v/>
      </c>
    </row>
    <row r="268">
      <c r="H268" s="31">
        <f>IF($A268="","",IF($D268="Evet",ROUND($C268*tbo_oranBesPuan,2),0))</f>
        <v/>
      </c>
      <c r="I268" s="31">
        <f>IF($A268="","",IF($E268="Evet",ROUND($C268*tbo_oranIlave,2),0))</f>
        <v/>
      </c>
      <c r="J268" s="31">
        <f>IF($A268="","",IF($F268="Evet",ROUND($C268*tbo_oranKadinGenc,2),0))</f>
        <v/>
      </c>
      <c r="K268" s="31">
        <f>IF($A268="","",IF($G268="Evet",ROUND($C268*tbo_isverenOran,2),0))</f>
        <v/>
      </c>
      <c r="L268" s="31">
        <f>IF($A268="","",IF($M268=0,"YOK",IF($I268=$M268,"TBO-002",IF($H268=$M268,"TBO-001",IF($J268=$M268,"TBO-004","TBO-ENG")))))</f>
        <v/>
      </c>
      <c r="M268" s="31">
        <f>IF($A268="","",MAX($H268,$I268,$J268,$K268))</f>
        <v/>
      </c>
      <c r="O268" s="31">
        <f>IF($A268="","",MAX(0,$M268-IF($N268="TBO-001",$H268,IF($N268="TBO-002",$I268,IF($N268="TBO-004",$J268,IF($N268="TBO-ENG",$K268,0))))))</f>
        <v/>
      </c>
    </row>
    <row r="269">
      <c r="H269" s="31">
        <f>IF($A269="","",IF($D269="Evet",ROUND($C269*tbo_oranBesPuan,2),0))</f>
        <v/>
      </c>
      <c r="I269" s="31">
        <f>IF($A269="","",IF($E269="Evet",ROUND($C269*tbo_oranIlave,2),0))</f>
        <v/>
      </c>
      <c r="J269" s="31">
        <f>IF($A269="","",IF($F269="Evet",ROUND($C269*tbo_oranKadinGenc,2),0))</f>
        <v/>
      </c>
      <c r="K269" s="31">
        <f>IF($A269="","",IF($G269="Evet",ROUND($C269*tbo_isverenOran,2),0))</f>
        <v/>
      </c>
      <c r="L269" s="31">
        <f>IF($A269="","",IF($M269=0,"YOK",IF($I269=$M269,"TBO-002",IF($H269=$M269,"TBO-001",IF($J269=$M269,"TBO-004","TBO-ENG")))))</f>
        <v/>
      </c>
      <c r="M269" s="31">
        <f>IF($A269="","",MAX($H269,$I269,$J269,$K269))</f>
        <v/>
      </c>
      <c r="O269" s="31">
        <f>IF($A269="","",MAX(0,$M269-IF($N269="TBO-001",$H269,IF($N269="TBO-002",$I269,IF($N269="TBO-004",$J269,IF($N269="TBO-ENG",$K269,0))))))</f>
        <v/>
      </c>
    </row>
    <row r="270">
      <c r="H270" s="31">
        <f>IF($A270="","",IF($D270="Evet",ROUND($C270*tbo_oranBesPuan,2),0))</f>
        <v/>
      </c>
      <c r="I270" s="31">
        <f>IF($A270="","",IF($E270="Evet",ROUND($C270*tbo_oranIlave,2),0))</f>
        <v/>
      </c>
      <c r="J270" s="31">
        <f>IF($A270="","",IF($F270="Evet",ROUND($C270*tbo_oranKadinGenc,2),0))</f>
        <v/>
      </c>
      <c r="K270" s="31">
        <f>IF($A270="","",IF($G270="Evet",ROUND($C270*tbo_isverenOran,2),0))</f>
        <v/>
      </c>
      <c r="L270" s="31">
        <f>IF($A270="","",IF($M270=0,"YOK",IF($I270=$M270,"TBO-002",IF($H270=$M270,"TBO-001",IF($J270=$M270,"TBO-004","TBO-ENG")))))</f>
        <v/>
      </c>
      <c r="M270" s="31">
        <f>IF($A270="","",MAX($H270,$I270,$J270,$K270))</f>
        <v/>
      </c>
      <c r="O270" s="31">
        <f>IF($A270="","",MAX(0,$M270-IF($N270="TBO-001",$H270,IF($N270="TBO-002",$I270,IF($N270="TBO-004",$J270,IF($N270="TBO-ENG",$K270,0))))))</f>
        <v/>
      </c>
    </row>
    <row r="271">
      <c r="H271" s="31">
        <f>IF($A271="","",IF($D271="Evet",ROUND($C271*tbo_oranBesPuan,2),0))</f>
        <v/>
      </c>
      <c r="I271" s="31">
        <f>IF($A271="","",IF($E271="Evet",ROUND($C271*tbo_oranIlave,2),0))</f>
        <v/>
      </c>
      <c r="J271" s="31">
        <f>IF($A271="","",IF($F271="Evet",ROUND($C271*tbo_oranKadinGenc,2),0))</f>
        <v/>
      </c>
      <c r="K271" s="31">
        <f>IF($A271="","",IF($G271="Evet",ROUND($C271*tbo_isverenOran,2),0))</f>
        <v/>
      </c>
      <c r="L271" s="31">
        <f>IF($A271="","",IF($M271=0,"YOK",IF($I271=$M271,"TBO-002",IF($H271=$M271,"TBO-001",IF($J271=$M271,"TBO-004","TBO-ENG")))))</f>
        <v/>
      </c>
      <c r="M271" s="31">
        <f>IF($A271="","",MAX($H271,$I271,$J271,$K271))</f>
        <v/>
      </c>
      <c r="O271" s="31">
        <f>IF($A271="","",MAX(0,$M271-IF($N271="TBO-001",$H271,IF($N271="TBO-002",$I271,IF($N271="TBO-004",$J271,IF($N271="TBO-ENG",$K271,0))))))</f>
        <v/>
      </c>
    </row>
    <row r="272">
      <c r="H272" s="31">
        <f>IF($A272="","",IF($D272="Evet",ROUND($C272*tbo_oranBesPuan,2),0))</f>
        <v/>
      </c>
      <c r="I272" s="31">
        <f>IF($A272="","",IF($E272="Evet",ROUND($C272*tbo_oranIlave,2),0))</f>
        <v/>
      </c>
      <c r="J272" s="31">
        <f>IF($A272="","",IF($F272="Evet",ROUND($C272*tbo_oranKadinGenc,2),0))</f>
        <v/>
      </c>
      <c r="K272" s="31">
        <f>IF($A272="","",IF($G272="Evet",ROUND($C272*tbo_isverenOran,2),0))</f>
        <v/>
      </c>
      <c r="L272" s="31">
        <f>IF($A272="","",IF($M272=0,"YOK",IF($I272=$M272,"TBO-002",IF($H272=$M272,"TBO-001",IF($J272=$M272,"TBO-004","TBO-ENG")))))</f>
        <v/>
      </c>
      <c r="M272" s="31">
        <f>IF($A272="","",MAX($H272,$I272,$J272,$K272))</f>
        <v/>
      </c>
      <c r="O272" s="31">
        <f>IF($A272="","",MAX(0,$M272-IF($N272="TBO-001",$H272,IF($N272="TBO-002",$I272,IF($N272="TBO-004",$J272,IF($N272="TBO-ENG",$K272,0))))))</f>
        <v/>
      </c>
    </row>
    <row r="273">
      <c r="H273" s="31">
        <f>IF($A273="","",IF($D273="Evet",ROUND($C273*tbo_oranBesPuan,2),0))</f>
        <v/>
      </c>
      <c r="I273" s="31">
        <f>IF($A273="","",IF($E273="Evet",ROUND($C273*tbo_oranIlave,2),0))</f>
        <v/>
      </c>
      <c r="J273" s="31">
        <f>IF($A273="","",IF($F273="Evet",ROUND($C273*tbo_oranKadinGenc,2),0))</f>
        <v/>
      </c>
      <c r="K273" s="31">
        <f>IF($A273="","",IF($G273="Evet",ROUND($C273*tbo_isverenOran,2),0))</f>
        <v/>
      </c>
      <c r="L273" s="31">
        <f>IF($A273="","",IF($M273=0,"YOK",IF($I273=$M273,"TBO-002",IF($H273=$M273,"TBO-001",IF($J273=$M273,"TBO-004","TBO-ENG")))))</f>
        <v/>
      </c>
      <c r="M273" s="31">
        <f>IF($A273="","",MAX($H273,$I273,$J273,$K273))</f>
        <v/>
      </c>
      <c r="O273" s="31">
        <f>IF($A273="","",MAX(0,$M273-IF($N273="TBO-001",$H273,IF($N273="TBO-002",$I273,IF($N273="TBO-004",$J273,IF($N273="TBO-ENG",$K273,0))))))</f>
        <v/>
      </c>
    </row>
    <row r="274">
      <c r="H274" s="31">
        <f>IF($A274="","",IF($D274="Evet",ROUND($C274*tbo_oranBesPuan,2),0))</f>
        <v/>
      </c>
      <c r="I274" s="31">
        <f>IF($A274="","",IF($E274="Evet",ROUND($C274*tbo_oranIlave,2),0))</f>
        <v/>
      </c>
      <c r="J274" s="31">
        <f>IF($A274="","",IF($F274="Evet",ROUND($C274*tbo_oranKadinGenc,2),0))</f>
        <v/>
      </c>
      <c r="K274" s="31">
        <f>IF($A274="","",IF($G274="Evet",ROUND($C274*tbo_isverenOran,2),0))</f>
        <v/>
      </c>
      <c r="L274" s="31">
        <f>IF($A274="","",IF($M274=0,"YOK",IF($I274=$M274,"TBO-002",IF($H274=$M274,"TBO-001",IF($J274=$M274,"TBO-004","TBO-ENG")))))</f>
        <v/>
      </c>
      <c r="M274" s="31">
        <f>IF($A274="","",MAX($H274,$I274,$J274,$K274))</f>
        <v/>
      </c>
      <c r="O274" s="31">
        <f>IF($A274="","",MAX(0,$M274-IF($N274="TBO-001",$H274,IF($N274="TBO-002",$I274,IF($N274="TBO-004",$J274,IF($N274="TBO-ENG",$K274,0))))))</f>
        <v/>
      </c>
    </row>
    <row r="275">
      <c r="H275" s="31">
        <f>IF($A275="","",IF($D275="Evet",ROUND($C275*tbo_oranBesPuan,2),0))</f>
        <v/>
      </c>
      <c r="I275" s="31">
        <f>IF($A275="","",IF($E275="Evet",ROUND($C275*tbo_oranIlave,2),0))</f>
        <v/>
      </c>
      <c r="J275" s="31">
        <f>IF($A275="","",IF($F275="Evet",ROUND($C275*tbo_oranKadinGenc,2),0))</f>
        <v/>
      </c>
      <c r="K275" s="31">
        <f>IF($A275="","",IF($G275="Evet",ROUND($C275*tbo_isverenOran,2),0))</f>
        <v/>
      </c>
      <c r="L275" s="31">
        <f>IF($A275="","",IF($M275=0,"YOK",IF($I275=$M275,"TBO-002",IF($H275=$M275,"TBO-001",IF($J275=$M275,"TBO-004","TBO-ENG")))))</f>
        <v/>
      </c>
      <c r="M275" s="31">
        <f>IF($A275="","",MAX($H275,$I275,$J275,$K275))</f>
        <v/>
      </c>
      <c r="O275" s="31">
        <f>IF($A275="","",MAX(0,$M275-IF($N275="TBO-001",$H275,IF($N275="TBO-002",$I275,IF($N275="TBO-004",$J275,IF($N275="TBO-ENG",$K275,0))))))</f>
        <v/>
      </c>
    </row>
    <row r="276">
      <c r="H276" s="31">
        <f>IF($A276="","",IF($D276="Evet",ROUND($C276*tbo_oranBesPuan,2),0))</f>
        <v/>
      </c>
      <c r="I276" s="31">
        <f>IF($A276="","",IF($E276="Evet",ROUND($C276*tbo_oranIlave,2),0))</f>
        <v/>
      </c>
      <c r="J276" s="31">
        <f>IF($A276="","",IF($F276="Evet",ROUND($C276*tbo_oranKadinGenc,2),0))</f>
        <v/>
      </c>
      <c r="K276" s="31">
        <f>IF($A276="","",IF($G276="Evet",ROUND($C276*tbo_isverenOran,2),0))</f>
        <v/>
      </c>
      <c r="L276" s="31">
        <f>IF($A276="","",IF($M276=0,"YOK",IF($I276=$M276,"TBO-002",IF($H276=$M276,"TBO-001",IF($J276=$M276,"TBO-004","TBO-ENG")))))</f>
        <v/>
      </c>
      <c r="M276" s="31">
        <f>IF($A276="","",MAX($H276,$I276,$J276,$K276))</f>
        <v/>
      </c>
      <c r="O276" s="31">
        <f>IF($A276="","",MAX(0,$M276-IF($N276="TBO-001",$H276,IF($N276="TBO-002",$I276,IF($N276="TBO-004",$J276,IF($N276="TBO-ENG",$K276,0))))))</f>
        <v/>
      </c>
    </row>
    <row r="277">
      <c r="H277" s="31">
        <f>IF($A277="","",IF($D277="Evet",ROUND($C277*tbo_oranBesPuan,2),0))</f>
        <v/>
      </c>
      <c r="I277" s="31">
        <f>IF($A277="","",IF($E277="Evet",ROUND($C277*tbo_oranIlave,2),0))</f>
        <v/>
      </c>
      <c r="J277" s="31">
        <f>IF($A277="","",IF($F277="Evet",ROUND($C277*tbo_oranKadinGenc,2),0))</f>
        <v/>
      </c>
      <c r="K277" s="31">
        <f>IF($A277="","",IF($G277="Evet",ROUND($C277*tbo_isverenOran,2),0))</f>
        <v/>
      </c>
      <c r="L277" s="31">
        <f>IF($A277="","",IF($M277=0,"YOK",IF($I277=$M277,"TBO-002",IF($H277=$M277,"TBO-001",IF($J277=$M277,"TBO-004","TBO-ENG")))))</f>
        <v/>
      </c>
      <c r="M277" s="31">
        <f>IF($A277="","",MAX($H277,$I277,$J277,$K277))</f>
        <v/>
      </c>
      <c r="O277" s="31">
        <f>IF($A277="","",MAX(0,$M277-IF($N277="TBO-001",$H277,IF($N277="TBO-002",$I277,IF($N277="TBO-004",$J277,IF($N277="TBO-ENG",$K277,0))))))</f>
        <v/>
      </c>
    </row>
    <row r="278">
      <c r="H278" s="31">
        <f>IF($A278="","",IF($D278="Evet",ROUND($C278*tbo_oranBesPuan,2),0))</f>
        <v/>
      </c>
      <c r="I278" s="31">
        <f>IF($A278="","",IF($E278="Evet",ROUND($C278*tbo_oranIlave,2),0))</f>
        <v/>
      </c>
      <c r="J278" s="31">
        <f>IF($A278="","",IF($F278="Evet",ROUND($C278*tbo_oranKadinGenc,2),0))</f>
        <v/>
      </c>
      <c r="K278" s="31">
        <f>IF($A278="","",IF($G278="Evet",ROUND($C278*tbo_isverenOran,2),0))</f>
        <v/>
      </c>
      <c r="L278" s="31">
        <f>IF($A278="","",IF($M278=0,"YOK",IF($I278=$M278,"TBO-002",IF($H278=$M278,"TBO-001",IF($J278=$M278,"TBO-004","TBO-ENG")))))</f>
        <v/>
      </c>
      <c r="M278" s="31">
        <f>IF($A278="","",MAX($H278,$I278,$J278,$K278))</f>
        <v/>
      </c>
      <c r="O278" s="31">
        <f>IF($A278="","",MAX(0,$M278-IF($N278="TBO-001",$H278,IF($N278="TBO-002",$I278,IF($N278="TBO-004",$J278,IF($N278="TBO-ENG",$K278,0))))))</f>
        <v/>
      </c>
    </row>
    <row r="279">
      <c r="H279" s="31">
        <f>IF($A279="","",IF($D279="Evet",ROUND($C279*tbo_oranBesPuan,2),0))</f>
        <v/>
      </c>
      <c r="I279" s="31">
        <f>IF($A279="","",IF($E279="Evet",ROUND($C279*tbo_oranIlave,2),0))</f>
        <v/>
      </c>
      <c r="J279" s="31">
        <f>IF($A279="","",IF($F279="Evet",ROUND($C279*tbo_oranKadinGenc,2),0))</f>
        <v/>
      </c>
      <c r="K279" s="31">
        <f>IF($A279="","",IF($G279="Evet",ROUND($C279*tbo_isverenOran,2),0))</f>
        <v/>
      </c>
      <c r="L279" s="31">
        <f>IF($A279="","",IF($M279=0,"YOK",IF($I279=$M279,"TBO-002",IF($H279=$M279,"TBO-001",IF($J279=$M279,"TBO-004","TBO-ENG")))))</f>
        <v/>
      </c>
      <c r="M279" s="31">
        <f>IF($A279="","",MAX($H279,$I279,$J279,$K279))</f>
        <v/>
      </c>
      <c r="O279" s="31">
        <f>IF($A279="","",MAX(0,$M279-IF($N279="TBO-001",$H279,IF($N279="TBO-002",$I279,IF($N279="TBO-004",$J279,IF($N279="TBO-ENG",$K279,0))))))</f>
        <v/>
      </c>
    </row>
    <row r="280">
      <c r="H280" s="31">
        <f>IF($A280="","",IF($D280="Evet",ROUND($C280*tbo_oranBesPuan,2),0))</f>
        <v/>
      </c>
      <c r="I280" s="31">
        <f>IF($A280="","",IF($E280="Evet",ROUND($C280*tbo_oranIlave,2),0))</f>
        <v/>
      </c>
      <c r="J280" s="31">
        <f>IF($A280="","",IF($F280="Evet",ROUND($C280*tbo_oranKadinGenc,2),0))</f>
        <v/>
      </c>
      <c r="K280" s="31">
        <f>IF($A280="","",IF($G280="Evet",ROUND($C280*tbo_isverenOran,2),0))</f>
        <v/>
      </c>
      <c r="L280" s="31">
        <f>IF($A280="","",IF($M280=0,"YOK",IF($I280=$M280,"TBO-002",IF($H280=$M280,"TBO-001",IF($J280=$M280,"TBO-004","TBO-ENG")))))</f>
        <v/>
      </c>
      <c r="M280" s="31">
        <f>IF($A280="","",MAX($H280,$I280,$J280,$K280))</f>
        <v/>
      </c>
      <c r="O280" s="31">
        <f>IF($A280="","",MAX(0,$M280-IF($N280="TBO-001",$H280,IF($N280="TBO-002",$I280,IF($N280="TBO-004",$J280,IF($N280="TBO-ENG",$K280,0))))))</f>
        <v/>
      </c>
    </row>
    <row r="281">
      <c r="H281" s="31">
        <f>IF($A281="","",IF($D281="Evet",ROUND($C281*tbo_oranBesPuan,2),0))</f>
        <v/>
      </c>
      <c r="I281" s="31">
        <f>IF($A281="","",IF($E281="Evet",ROUND($C281*tbo_oranIlave,2),0))</f>
        <v/>
      </c>
      <c r="J281" s="31">
        <f>IF($A281="","",IF($F281="Evet",ROUND($C281*tbo_oranKadinGenc,2),0))</f>
        <v/>
      </c>
      <c r="K281" s="31">
        <f>IF($A281="","",IF($G281="Evet",ROUND($C281*tbo_isverenOran,2),0))</f>
        <v/>
      </c>
      <c r="L281" s="31">
        <f>IF($A281="","",IF($M281=0,"YOK",IF($I281=$M281,"TBO-002",IF($H281=$M281,"TBO-001",IF($J281=$M281,"TBO-004","TBO-ENG")))))</f>
        <v/>
      </c>
      <c r="M281" s="31">
        <f>IF($A281="","",MAX($H281,$I281,$J281,$K281))</f>
        <v/>
      </c>
      <c r="O281" s="31">
        <f>IF($A281="","",MAX(0,$M281-IF($N281="TBO-001",$H281,IF($N281="TBO-002",$I281,IF($N281="TBO-004",$J281,IF($N281="TBO-ENG",$K281,0))))))</f>
        <v/>
      </c>
    </row>
    <row r="282">
      <c r="H282" s="31">
        <f>IF($A282="","",IF($D282="Evet",ROUND($C282*tbo_oranBesPuan,2),0))</f>
        <v/>
      </c>
      <c r="I282" s="31">
        <f>IF($A282="","",IF($E282="Evet",ROUND($C282*tbo_oranIlave,2),0))</f>
        <v/>
      </c>
      <c r="J282" s="31">
        <f>IF($A282="","",IF($F282="Evet",ROUND($C282*tbo_oranKadinGenc,2),0))</f>
        <v/>
      </c>
      <c r="K282" s="31">
        <f>IF($A282="","",IF($G282="Evet",ROUND($C282*tbo_isverenOran,2),0))</f>
        <v/>
      </c>
      <c r="L282" s="31">
        <f>IF($A282="","",IF($M282=0,"YOK",IF($I282=$M282,"TBO-002",IF($H282=$M282,"TBO-001",IF($J282=$M282,"TBO-004","TBO-ENG")))))</f>
        <v/>
      </c>
      <c r="M282" s="31">
        <f>IF($A282="","",MAX($H282,$I282,$J282,$K282))</f>
        <v/>
      </c>
      <c r="O282" s="31">
        <f>IF($A282="","",MAX(0,$M282-IF($N282="TBO-001",$H282,IF($N282="TBO-002",$I282,IF($N282="TBO-004",$J282,IF($N282="TBO-ENG",$K282,0))))))</f>
        <v/>
      </c>
    </row>
    <row r="283">
      <c r="H283" s="31">
        <f>IF($A283="","",IF($D283="Evet",ROUND($C283*tbo_oranBesPuan,2),0))</f>
        <v/>
      </c>
      <c r="I283" s="31">
        <f>IF($A283="","",IF($E283="Evet",ROUND($C283*tbo_oranIlave,2),0))</f>
        <v/>
      </c>
      <c r="J283" s="31">
        <f>IF($A283="","",IF($F283="Evet",ROUND($C283*tbo_oranKadinGenc,2),0))</f>
        <v/>
      </c>
      <c r="K283" s="31">
        <f>IF($A283="","",IF($G283="Evet",ROUND($C283*tbo_isverenOran,2),0))</f>
        <v/>
      </c>
      <c r="L283" s="31">
        <f>IF($A283="","",IF($M283=0,"YOK",IF($I283=$M283,"TBO-002",IF($H283=$M283,"TBO-001",IF($J283=$M283,"TBO-004","TBO-ENG")))))</f>
        <v/>
      </c>
      <c r="M283" s="31">
        <f>IF($A283="","",MAX($H283,$I283,$J283,$K283))</f>
        <v/>
      </c>
      <c r="O283" s="31">
        <f>IF($A283="","",MAX(0,$M283-IF($N283="TBO-001",$H283,IF($N283="TBO-002",$I283,IF($N283="TBO-004",$J283,IF($N283="TBO-ENG",$K283,0))))))</f>
        <v/>
      </c>
    </row>
    <row r="284">
      <c r="H284" s="31">
        <f>IF($A284="","",IF($D284="Evet",ROUND($C284*tbo_oranBesPuan,2),0))</f>
        <v/>
      </c>
      <c r="I284" s="31">
        <f>IF($A284="","",IF($E284="Evet",ROUND($C284*tbo_oranIlave,2),0))</f>
        <v/>
      </c>
      <c r="J284" s="31">
        <f>IF($A284="","",IF($F284="Evet",ROUND($C284*tbo_oranKadinGenc,2),0))</f>
        <v/>
      </c>
      <c r="K284" s="31">
        <f>IF($A284="","",IF($G284="Evet",ROUND($C284*tbo_isverenOran,2),0))</f>
        <v/>
      </c>
      <c r="L284" s="31">
        <f>IF($A284="","",IF($M284=0,"YOK",IF($I284=$M284,"TBO-002",IF($H284=$M284,"TBO-001",IF($J284=$M284,"TBO-004","TBO-ENG")))))</f>
        <v/>
      </c>
      <c r="M284" s="31">
        <f>IF($A284="","",MAX($H284,$I284,$J284,$K284))</f>
        <v/>
      </c>
      <c r="O284" s="31">
        <f>IF($A284="","",MAX(0,$M284-IF($N284="TBO-001",$H284,IF($N284="TBO-002",$I284,IF($N284="TBO-004",$J284,IF($N284="TBO-ENG",$K284,0))))))</f>
        <v/>
      </c>
    </row>
    <row r="285">
      <c r="H285" s="31">
        <f>IF($A285="","",IF($D285="Evet",ROUND($C285*tbo_oranBesPuan,2),0))</f>
        <v/>
      </c>
      <c r="I285" s="31">
        <f>IF($A285="","",IF($E285="Evet",ROUND($C285*tbo_oranIlave,2),0))</f>
        <v/>
      </c>
      <c r="J285" s="31">
        <f>IF($A285="","",IF($F285="Evet",ROUND($C285*tbo_oranKadinGenc,2),0))</f>
        <v/>
      </c>
      <c r="K285" s="31">
        <f>IF($A285="","",IF($G285="Evet",ROUND($C285*tbo_isverenOran,2),0))</f>
        <v/>
      </c>
      <c r="L285" s="31">
        <f>IF($A285="","",IF($M285=0,"YOK",IF($I285=$M285,"TBO-002",IF($H285=$M285,"TBO-001",IF($J285=$M285,"TBO-004","TBO-ENG")))))</f>
        <v/>
      </c>
      <c r="M285" s="31">
        <f>IF($A285="","",MAX($H285,$I285,$J285,$K285))</f>
        <v/>
      </c>
      <c r="O285" s="31">
        <f>IF($A285="","",MAX(0,$M285-IF($N285="TBO-001",$H285,IF($N285="TBO-002",$I285,IF($N285="TBO-004",$J285,IF($N285="TBO-ENG",$K285,0))))))</f>
        <v/>
      </c>
    </row>
    <row r="286">
      <c r="H286" s="31">
        <f>IF($A286="","",IF($D286="Evet",ROUND($C286*tbo_oranBesPuan,2),0))</f>
        <v/>
      </c>
      <c r="I286" s="31">
        <f>IF($A286="","",IF($E286="Evet",ROUND($C286*tbo_oranIlave,2),0))</f>
        <v/>
      </c>
      <c r="J286" s="31">
        <f>IF($A286="","",IF($F286="Evet",ROUND($C286*tbo_oranKadinGenc,2),0))</f>
        <v/>
      </c>
      <c r="K286" s="31">
        <f>IF($A286="","",IF($G286="Evet",ROUND($C286*tbo_isverenOran,2),0))</f>
        <v/>
      </c>
      <c r="L286" s="31">
        <f>IF($A286="","",IF($M286=0,"YOK",IF($I286=$M286,"TBO-002",IF($H286=$M286,"TBO-001",IF($J286=$M286,"TBO-004","TBO-ENG")))))</f>
        <v/>
      </c>
      <c r="M286" s="31">
        <f>IF($A286="","",MAX($H286,$I286,$J286,$K286))</f>
        <v/>
      </c>
      <c r="O286" s="31">
        <f>IF($A286="","",MAX(0,$M286-IF($N286="TBO-001",$H286,IF($N286="TBO-002",$I286,IF($N286="TBO-004",$J286,IF($N286="TBO-ENG",$K286,0))))))</f>
        <v/>
      </c>
    </row>
    <row r="287">
      <c r="H287" s="31">
        <f>IF($A287="","",IF($D287="Evet",ROUND($C287*tbo_oranBesPuan,2),0))</f>
        <v/>
      </c>
      <c r="I287" s="31">
        <f>IF($A287="","",IF($E287="Evet",ROUND($C287*tbo_oranIlave,2),0))</f>
        <v/>
      </c>
      <c r="J287" s="31">
        <f>IF($A287="","",IF($F287="Evet",ROUND($C287*tbo_oranKadinGenc,2),0))</f>
        <v/>
      </c>
      <c r="K287" s="31">
        <f>IF($A287="","",IF($G287="Evet",ROUND($C287*tbo_isverenOran,2),0))</f>
        <v/>
      </c>
      <c r="L287" s="31">
        <f>IF($A287="","",IF($M287=0,"YOK",IF($I287=$M287,"TBO-002",IF($H287=$M287,"TBO-001",IF($J287=$M287,"TBO-004","TBO-ENG")))))</f>
        <v/>
      </c>
      <c r="M287" s="31">
        <f>IF($A287="","",MAX($H287,$I287,$J287,$K287))</f>
        <v/>
      </c>
      <c r="O287" s="31">
        <f>IF($A287="","",MAX(0,$M287-IF($N287="TBO-001",$H287,IF($N287="TBO-002",$I287,IF($N287="TBO-004",$J287,IF($N287="TBO-ENG",$K287,0))))))</f>
        <v/>
      </c>
    </row>
    <row r="288">
      <c r="H288" s="31">
        <f>IF($A288="","",IF($D288="Evet",ROUND($C288*tbo_oranBesPuan,2),0))</f>
        <v/>
      </c>
      <c r="I288" s="31">
        <f>IF($A288="","",IF($E288="Evet",ROUND($C288*tbo_oranIlave,2),0))</f>
        <v/>
      </c>
      <c r="J288" s="31">
        <f>IF($A288="","",IF($F288="Evet",ROUND($C288*tbo_oranKadinGenc,2),0))</f>
        <v/>
      </c>
      <c r="K288" s="31">
        <f>IF($A288="","",IF($G288="Evet",ROUND($C288*tbo_isverenOran,2),0))</f>
        <v/>
      </c>
      <c r="L288" s="31">
        <f>IF($A288="","",IF($M288=0,"YOK",IF($I288=$M288,"TBO-002",IF($H288=$M288,"TBO-001",IF($J288=$M288,"TBO-004","TBO-ENG")))))</f>
        <v/>
      </c>
      <c r="M288" s="31">
        <f>IF($A288="","",MAX($H288,$I288,$J288,$K288))</f>
        <v/>
      </c>
      <c r="O288" s="31">
        <f>IF($A288="","",MAX(0,$M288-IF($N288="TBO-001",$H288,IF($N288="TBO-002",$I288,IF($N288="TBO-004",$J288,IF($N288="TBO-ENG",$K288,0))))))</f>
        <v/>
      </c>
    </row>
    <row r="289">
      <c r="H289" s="31">
        <f>IF($A289="","",IF($D289="Evet",ROUND($C289*tbo_oranBesPuan,2),0))</f>
        <v/>
      </c>
      <c r="I289" s="31">
        <f>IF($A289="","",IF($E289="Evet",ROUND($C289*tbo_oranIlave,2),0))</f>
        <v/>
      </c>
      <c r="J289" s="31">
        <f>IF($A289="","",IF($F289="Evet",ROUND($C289*tbo_oranKadinGenc,2),0))</f>
        <v/>
      </c>
      <c r="K289" s="31">
        <f>IF($A289="","",IF($G289="Evet",ROUND($C289*tbo_isverenOran,2),0))</f>
        <v/>
      </c>
      <c r="L289" s="31">
        <f>IF($A289="","",IF($M289=0,"YOK",IF($I289=$M289,"TBO-002",IF($H289=$M289,"TBO-001",IF($J289=$M289,"TBO-004","TBO-ENG")))))</f>
        <v/>
      </c>
      <c r="M289" s="31">
        <f>IF($A289="","",MAX($H289,$I289,$J289,$K289))</f>
        <v/>
      </c>
      <c r="O289" s="31">
        <f>IF($A289="","",MAX(0,$M289-IF($N289="TBO-001",$H289,IF($N289="TBO-002",$I289,IF($N289="TBO-004",$J289,IF($N289="TBO-ENG",$K289,0))))))</f>
        <v/>
      </c>
    </row>
    <row r="290">
      <c r="H290" s="31">
        <f>IF($A290="","",IF($D290="Evet",ROUND($C290*tbo_oranBesPuan,2),0))</f>
        <v/>
      </c>
      <c r="I290" s="31">
        <f>IF($A290="","",IF($E290="Evet",ROUND($C290*tbo_oranIlave,2),0))</f>
        <v/>
      </c>
      <c r="J290" s="31">
        <f>IF($A290="","",IF($F290="Evet",ROUND($C290*tbo_oranKadinGenc,2),0))</f>
        <v/>
      </c>
      <c r="K290" s="31">
        <f>IF($A290="","",IF($G290="Evet",ROUND($C290*tbo_isverenOran,2),0))</f>
        <v/>
      </c>
      <c r="L290" s="31">
        <f>IF($A290="","",IF($M290=0,"YOK",IF($I290=$M290,"TBO-002",IF($H290=$M290,"TBO-001",IF($J290=$M290,"TBO-004","TBO-ENG")))))</f>
        <v/>
      </c>
      <c r="M290" s="31">
        <f>IF($A290="","",MAX($H290,$I290,$J290,$K290))</f>
        <v/>
      </c>
      <c r="O290" s="31">
        <f>IF($A290="","",MAX(0,$M290-IF($N290="TBO-001",$H290,IF($N290="TBO-002",$I290,IF($N290="TBO-004",$J290,IF($N290="TBO-ENG",$K290,0))))))</f>
        <v/>
      </c>
    </row>
    <row r="291">
      <c r="H291" s="31">
        <f>IF($A291="","",IF($D291="Evet",ROUND($C291*tbo_oranBesPuan,2),0))</f>
        <v/>
      </c>
      <c r="I291" s="31">
        <f>IF($A291="","",IF($E291="Evet",ROUND($C291*tbo_oranIlave,2),0))</f>
        <v/>
      </c>
      <c r="J291" s="31">
        <f>IF($A291="","",IF($F291="Evet",ROUND($C291*tbo_oranKadinGenc,2),0))</f>
        <v/>
      </c>
      <c r="K291" s="31">
        <f>IF($A291="","",IF($G291="Evet",ROUND($C291*tbo_isverenOran,2),0))</f>
        <v/>
      </c>
      <c r="L291" s="31">
        <f>IF($A291="","",IF($M291=0,"YOK",IF($I291=$M291,"TBO-002",IF($H291=$M291,"TBO-001",IF($J291=$M291,"TBO-004","TBO-ENG")))))</f>
        <v/>
      </c>
      <c r="M291" s="31">
        <f>IF($A291="","",MAX($H291,$I291,$J291,$K291))</f>
        <v/>
      </c>
      <c r="O291" s="31">
        <f>IF($A291="","",MAX(0,$M291-IF($N291="TBO-001",$H291,IF($N291="TBO-002",$I291,IF($N291="TBO-004",$J291,IF($N291="TBO-ENG",$K291,0))))))</f>
        <v/>
      </c>
    </row>
    <row r="292">
      <c r="H292" s="31">
        <f>IF($A292="","",IF($D292="Evet",ROUND($C292*tbo_oranBesPuan,2),0))</f>
        <v/>
      </c>
      <c r="I292" s="31">
        <f>IF($A292="","",IF($E292="Evet",ROUND($C292*tbo_oranIlave,2),0))</f>
        <v/>
      </c>
      <c r="J292" s="31">
        <f>IF($A292="","",IF($F292="Evet",ROUND($C292*tbo_oranKadinGenc,2),0))</f>
        <v/>
      </c>
      <c r="K292" s="31">
        <f>IF($A292="","",IF($G292="Evet",ROUND($C292*tbo_isverenOran,2),0))</f>
        <v/>
      </c>
      <c r="L292" s="31">
        <f>IF($A292="","",IF($M292=0,"YOK",IF($I292=$M292,"TBO-002",IF($H292=$M292,"TBO-001",IF($J292=$M292,"TBO-004","TBO-ENG")))))</f>
        <v/>
      </c>
      <c r="M292" s="31">
        <f>IF($A292="","",MAX($H292,$I292,$J292,$K292))</f>
        <v/>
      </c>
      <c r="O292" s="31">
        <f>IF($A292="","",MAX(0,$M292-IF($N292="TBO-001",$H292,IF($N292="TBO-002",$I292,IF($N292="TBO-004",$J292,IF($N292="TBO-ENG",$K292,0))))))</f>
        <v/>
      </c>
    </row>
    <row r="293">
      <c r="H293" s="31">
        <f>IF($A293="","",IF($D293="Evet",ROUND($C293*tbo_oranBesPuan,2),0))</f>
        <v/>
      </c>
      <c r="I293" s="31">
        <f>IF($A293="","",IF($E293="Evet",ROUND($C293*tbo_oranIlave,2),0))</f>
        <v/>
      </c>
      <c r="J293" s="31">
        <f>IF($A293="","",IF($F293="Evet",ROUND($C293*tbo_oranKadinGenc,2),0))</f>
        <v/>
      </c>
      <c r="K293" s="31">
        <f>IF($A293="","",IF($G293="Evet",ROUND($C293*tbo_isverenOran,2),0))</f>
        <v/>
      </c>
      <c r="L293" s="31">
        <f>IF($A293="","",IF($M293=0,"YOK",IF($I293=$M293,"TBO-002",IF($H293=$M293,"TBO-001",IF($J293=$M293,"TBO-004","TBO-ENG")))))</f>
        <v/>
      </c>
      <c r="M293" s="31">
        <f>IF($A293="","",MAX($H293,$I293,$J293,$K293))</f>
        <v/>
      </c>
      <c r="O293" s="31">
        <f>IF($A293="","",MAX(0,$M293-IF($N293="TBO-001",$H293,IF($N293="TBO-002",$I293,IF($N293="TBO-004",$J293,IF($N293="TBO-ENG",$K293,0))))))</f>
        <v/>
      </c>
    </row>
    <row r="294">
      <c r="H294" s="31">
        <f>IF($A294="","",IF($D294="Evet",ROUND($C294*tbo_oranBesPuan,2),0))</f>
        <v/>
      </c>
      <c r="I294" s="31">
        <f>IF($A294="","",IF($E294="Evet",ROUND($C294*tbo_oranIlave,2),0))</f>
        <v/>
      </c>
      <c r="J294" s="31">
        <f>IF($A294="","",IF($F294="Evet",ROUND($C294*tbo_oranKadinGenc,2),0))</f>
        <v/>
      </c>
      <c r="K294" s="31">
        <f>IF($A294="","",IF($G294="Evet",ROUND($C294*tbo_isverenOran,2),0))</f>
        <v/>
      </c>
      <c r="L294" s="31">
        <f>IF($A294="","",IF($M294=0,"YOK",IF($I294=$M294,"TBO-002",IF($H294=$M294,"TBO-001",IF($J294=$M294,"TBO-004","TBO-ENG")))))</f>
        <v/>
      </c>
      <c r="M294" s="31">
        <f>IF($A294="","",MAX($H294,$I294,$J294,$K294))</f>
        <v/>
      </c>
      <c r="O294" s="31">
        <f>IF($A294="","",MAX(0,$M294-IF($N294="TBO-001",$H294,IF($N294="TBO-002",$I294,IF($N294="TBO-004",$J294,IF($N294="TBO-ENG",$K294,0))))))</f>
        <v/>
      </c>
    </row>
    <row r="295">
      <c r="H295" s="31">
        <f>IF($A295="","",IF($D295="Evet",ROUND($C295*tbo_oranBesPuan,2),0))</f>
        <v/>
      </c>
      <c r="I295" s="31">
        <f>IF($A295="","",IF($E295="Evet",ROUND($C295*tbo_oranIlave,2),0))</f>
        <v/>
      </c>
      <c r="J295" s="31">
        <f>IF($A295="","",IF($F295="Evet",ROUND($C295*tbo_oranKadinGenc,2),0))</f>
        <v/>
      </c>
      <c r="K295" s="31">
        <f>IF($A295="","",IF($G295="Evet",ROUND($C295*tbo_isverenOran,2),0))</f>
        <v/>
      </c>
      <c r="L295" s="31">
        <f>IF($A295="","",IF($M295=0,"YOK",IF($I295=$M295,"TBO-002",IF($H295=$M295,"TBO-001",IF($J295=$M295,"TBO-004","TBO-ENG")))))</f>
        <v/>
      </c>
      <c r="M295" s="31">
        <f>IF($A295="","",MAX($H295,$I295,$J295,$K295))</f>
        <v/>
      </c>
      <c r="O295" s="31">
        <f>IF($A295="","",MAX(0,$M295-IF($N295="TBO-001",$H295,IF($N295="TBO-002",$I295,IF($N295="TBO-004",$J295,IF($N295="TBO-ENG",$K295,0))))))</f>
        <v/>
      </c>
    </row>
    <row r="296">
      <c r="H296" s="31">
        <f>IF($A296="","",IF($D296="Evet",ROUND($C296*tbo_oranBesPuan,2),0))</f>
        <v/>
      </c>
      <c r="I296" s="31">
        <f>IF($A296="","",IF($E296="Evet",ROUND($C296*tbo_oranIlave,2),0))</f>
        <v/>
      </c>
      <c r="J296" s="31">
        <f>IF($A296="","",IF($F296="Evet",ROUND($C296*tbo_oranKadinGenc,2),0))</f>
        <v/>
      </c>
      <c r="K296" s="31">
        <f>IF($A296="","",IF($G296="Evet",ROUND($C296*tbo_isverenOran,2),0))</f>
        <v/>
      </c>
      <c r="L296" s="31">
        <f>IF($A296="","",IF($M296=0,"YOK",IF($I296=$M296,"TBO-002",IF($H296=$M296,"TBO-001",IF($J296=$M296,"TBO-004","TBO-ENG")))))</f>
        <v/>
      </c>
      <c r="M296" s="31">
        <f>IF($A296="","",MAX($H296,$I296,$J296,$K296))</f>
        <v/>
      </c>
      <c r="O296" s="31">
        <f>IF($A296="","",MAX(0,$M296-IF($N296="TBO-001",$H296,IF($N296="TBO-002",$I296,IF($N296="TBO-004",$J296,IF($N296="TBO-ENG",$K296,0))))))</f>
        <v/>
      </c>
    </row>
    <row r="297">
      <c r="H297" s="31">
        <f>IF($A297="","",IF($D297="Evet",ROUND($C297*tbo_oranBesPuan,2),0))</f>
        <v/>
      </c>
      <c r="I297" s="31">
        <f>IF($A297="","",IF($E297="Evet",ROUND($C297*tbo_oranIlave,2),0))</f>
        <v/>
      </c>
      <c r="J297" s="31">
        <f>IF($A297="","",IF($F297="Evet",ROUND($C297*tbo_oranKadinGenc,2),0))</f>
        <v/>
      </c>
      <c r="K297" s="31">
        <f>IF($A297="","",IF($G297="Evet",ROUND($C297*tbo_isverenOran,2),0))</f>
        <v/>
      </c>
      <c r="L297" s="31">
        <f>IF($A297="","",IF($M297=0,"YOK",IF($I297=$M297,"TBO-002",IF($H297=$M297,"TBO-001",IF($J297=$M297,"TBO-004","TBO-ENG")))))</f>
        <v/>
      </c>
      <c r="M297" s="31">
        <f>IF($A297="","",MAX($H297,$I297,$J297,$K297))</f>
        <v/>
      </c>
      <c r="O297" s="31">
        <f>IF($A297="","",MAX(0,$M297-IF($N297="TBO-001",$H297,IF($N297="TBO-002",$I297,IF($N297="TBO-004",$J297,IF($N297="TBO-ENG",$K297,0))))))</f>
        <v/>
      </c>
    </row>
    <row r="298">
      <c r="H298" s="31">
        <f>IF($A298="","",IF($D298="Evet",ROUND($C298*tbo_oranBesPuan,2),0))</f>
        <v/>
      </c>
      <c r="I298" s="31">
        <f>IF($A298="","",IF($E298="Evet",ROUND($C298*tbo_oranIlave,2),0))</f>
        <v/>
      </c>
      <c r="J298" s="31">
        <f>IF($A298="","",IF($F298="Evet",ROUND($C298*tbo_oranKadinGenc,2),0))</f>
        <v/>
      </c>
      <c r="K298" s="31">
        <f>IF($A298="","",IF($G298="Evet",ROUND($C298*tbo_isverenOran,2),0))</f>
        <v/>
      </c>
      <c r="L298" s="31">
        <f>IF($A298="","",IF($M298=0,"YOK",IF($I298=$M298,"TBO-002",IF($H298=$M298,"TBO-001",IF($J298=$M298,"TBO-004","TBO-ENG")))))</f>
        <v/>
      </c>
      <c r="M298" s="31">
        <f>IF($A298="","",MAX($H298,$I298,$J298,$K298))</f>
        <v/>
      </c>
      <c r="O298" s="31">
        <f>IF($A298="","",MAX(0,$M298-IF($N298="TBO-001",$H298,IF($N298="TBO-002",$I298,IF($N298="TBO-004",$J298,IF($N298="TBO-ENG",$K298,0))))))</f>
        <v/>
      </c>
    </row>
    <row r="299">
      <c r="H299" s="31">
        <f>IF($A299="","",IF($D299="Evet",ROUND($C299*tbo_oranBesPuan,2),0))</f>
        <v/>
      </c>
      <c r="I299" s="31">
        <f>IF($A299="","",IF($E299="Evet",ROUND($C299*tbo_oranIlave,2),0))</f>
        <v/>
      </c>
      <c r="J299" s="31">
        <f>IF($A299="","",IF($F299="Evet",ROUND($C299*tbo_oranKadinGenc,2),0))</f>
        <v/>
      </c>
      <c r="K299" s="31">
        <f>IF($A299="","",IF($G299="Evet",ROUND($C299*tbo_isverenOran,2),0))</f>
        <v/>
      </c>
      <c r="L299" s="31">
        <f>IF($A299="","",IF($M299=0,"YOK",IF($I299=$M299,"TBO-002",IF($H299=$M299,"TBO-001",IF($J299=$M299,"TBO-004","TBO-ENG")))))</f>
        <v/>
      </c>
      <c r="M299" s="31">
        <f>IF($A299="","",MAX($H299,$I299,$J299,$K299))</f>
        <v/>
      </c>
      <c r="O299" s="31">
        <f>IF($A299="","",MAX(0,$M299-IF($N299="TBO-001",$H299,IF($N299="TBO-002",$I299,IF($N299="TBO-004",$J299,IF($N299="TBO-ENG",$K299,0))))))</f>
        <v/>
      </c>
    </row>
    <row r="300">
      <c r="H300" s="31">
        <f>IF($A300="","",IF($D300="Evet",ROUND($C300*tbo_oranBesPuan,2),0))</f>
        <v/>
      </c>
      <c r="I300" s="31">
        <f>IF($A300="","",IF($E300="Evet",ROUND($C300*tbo_oranIlave,2),0))</f>
        <v/>
      </c>
      <c r="J300" s="31">
        <f>IF($A300="","",IF($F300="Evet",ROUND($C300*tbo_oranKadinGenc,2),0))</f>
        <v/>
      </c>
      <c r="K300" s="31">
        <f>IF($A300="","",IF($G300="Evet",ROUND($C300*tbo_isverenOran,2),0))</f>
        <v/>
      </c>
      <c r="L300" s="31">
        <f>IF($A300="","",IF($M300=0,"YOK",IF($I300=$M300,"TBO-002",IF($H300=$M300,"TBO-001",IF($J300=$M300,"TBO-004","TBO-ENG")))))</f>
        <v/>
      </c>
      <c r="M300" s="31">
        <f>IF($A300="","",MAX($H300,$I300,$J300,$K300))</f>
        <v/>
      </c>
      <c r="O300" s="31">
        <f>IF($A300="","",MAX(0,$M300-IF($N300="TBO-001",$H300,IF($N300="TBO-002",$I300,IF($N300="TBO-004",$J300,IF($N300="TBO-ENG",$K300,0))))))</f>
        <v/>
      </c>
    </row>
    <row r="301">
      <c r="H301" s="31">
        <f>IF($A301="","",IF($D301="Evet",ROUND($C301*tbo_oranBesPuan,2),0))</f>
        <v/>
      </c>
      <c r="I301" s="31">
        <f>IF($A301="","",IF($E301="Evet",ROUND($C301*tbo_oranIlave,2),0))</f>
        <v/>
      </c>
      <c r="J301" s="31">
        <f>IF($A301="","",IF($F301="Evet",ROUND($C301*tbo_oranKadinGenc,2),0))</f>
        <v/>
      </c>
      <c r="K301" s="31">
        <f>IF($A301="","",IF($G301="Evet",ROUND($C301*tbo_isverenOran,2),0))</f>
        <v/>
      </c>
      <c r="L301" s="31">
        <f>IF($A301="","",IF($M301=0,"YOK",IF($I301=$M301,"TBO-002",IF($H301=$M301,"TBO-001",IF($J301=$M301,"TBO-004","TBO-ENG")))))</f>
        <v/>
      </c>
      <c r="M301" s="31">
        <f>IF($A301="","",MAX($H301,$I301,$J301,$K301))</f>
        <v/>
      </c>
      <c r="O301" s="31">
        <f>IF($A301="","",MAX(0,$M301-IF($N301="TBO-001",$H301,IF($N301="TBO-002",$I301,IF($N301="TBO-004",$J301,IF($N301="TBO-ENG",$K301,0))))))</f>
        <v/>
      </c>
    </row>
    <row r="302">
      <c r="H302" s="31">
        <f>IF($A302="","",IF($D302="Evet",ROUND($C302*tbo_oranBesPuan,2),0))</f>
        <v/>
      </c>
      <c r="I302" s="31">
        <f>IF($A302="","",IF($E302="Evet",ROUND($C302*tbo_oranIlave,2),0))</f>
        <v/>
      </c>
      <c r="J302" s="31">
        <f>IF($A302="","",IF($F302="Evet",ROUND($C302*tbo_oranKadinGenc,2),0))</f>
        <v/>
      </c>
      <c r="K302" s="31">
        <f>IF($A302="","",IF($G302="Evet",ROUND($C302*tbo_isverenOran,2),0))</f>
        <v/>
      </c>
      <c r="L302" s="31">
        <f>IF($A302="","",IF($M302=0,"YOK",IF($I302=$M302,"TBO-002",IF($H302=$M302,"TBO-001",IF($J302=$M302,"TBO-004","TBO-ENG")))))</f>
        <v/>
      </c>
      <c r="M302" s="31">
        <f>IF($A302="","",MAX($H302,$I302,$J302,$K302))</f>
        <v/>
      </c>
      <c r="O302" s="31">
        <f>IF($A302="","",MAX(0,$M302-IF($N302="TBO-001",$H302,IF($N302="TBO-002",$I302,IF($N302="TBO-004",$J302,IF($N302="TBO-ENG",$K302,0))))))</f>
        <v/>
      </c>
    </row>
    <row r="303">
      <c r="H303" s="31">
        <f>IF($A303="","",IF($D303="Evet",ROUND($C303*tbo_oranBesPuan,2),0))</f>
        <v/>
      </c>
      <c r="I303" s="31">
        <f>IF($A303="","",IF($E303="Evet",ROUND($C303*tbo_oranIlave,2),0))</f>
        <v/>
      </c>
      <c r="J303" s="31">
        <f>IF($A303="","",IF($F303="Evet",ROUND($C303*tbo_oranKadinGenc,2),0))</f>
        <v/>
      </c>
      <c r="K303" s="31">
        <f>IF($A303="","",IF($G303="Evet",ROUND($C303*tbo_isverenOran,2),0))</f>
        <v/>
      </c>
      <c r="L303" s="31">
        <f>IF($A303="","",IF($M303=0,"YOK",IF($I303=$M303,"TBO-002",IF($H303=$M303,"TBO-001",IF($J303=$M303,"TBO-004","TBO-ENG")))))</f>
        <v/>
      </c>
      <c r="M303" s="31">
        <f>IF($A303="","",MAX($H303,$I303,$J303,$K303))</f>
        <v/>
      </c>
      <c r="O303" s="31">
        <f>IF($A303="","",MAX(0,$M303-IF($N303="TBO-001",$H303,IF($N303="TBO-002",$I303,IF($N303="TBO-004",$J303,IF($N303="TBO-ENG",$K303,0))))))</f>
        <v/>
      </c>
    </row>
    <row r="304">
      <c r="H304" s="31">
        <f>IF($A304="","",IF($D304="Evet",ROUND($C304*tbo_oranBesPuan,2),0))</f>
        <v/>
      </c>
      <c r="I304" s="31">
        <f>IF($A304="","",IF($E304="Evet",ROUND($C304*tbo_oranIlave,2),0))</f>
        <v/>
      </c>
      <c r="J304" s="31">
        <f>IF($A304="","",IF($F304="Evet",ROUND($C304*tbo_oranKadinGenc,2),0))</f>
        <v/>
      </c>
      <c r="K304" s="31">
        <f>IF($A304="","",IF($G304="Evet",ROUND($C304*tbo_isverenOran,2),0))</f>
        <v/>
      </c>
      <c r="L304" s="31">
        <f>IF($A304="","",IF($M304=0,"YOK",IF($I304=$M304,"TBO-002",IF($H304=$M304,"TBO-001",IF($J304=$M304,"TBO-004","TBO-ENG")))))</f>
        <v/>
      </c>
      <c r="M304" s="31">
        <f>IF($A304="","",MAX($H304,$I304,$J304,$K304))</f>
        <v/>
      </c>
      <c r="O304" s="31">
        <f>IF($A304="","",MAX(0,$M304-IF($N304="TBO-001",$H304,IF($N304="TBO-002",$I304,IF($N304="TBO-004",$J304,IF($N304="TBO-ENG",$K304,0))))))</f>
        <v/>
      </c>
    </row>
    <row r="305">
      <c r="H305" s="31">
        <f>IF($A305="","",IF($D305="Evet",ROUND($C305*tbo_oranBesPuan,2),0))</f>
        <v/>
      </c>
      <c r="I305" s="31">
        <f>IF($A305="","",IF($E305="Evet",ROUND($C305*tbo_oranIlave,2),0))</f>
        <v/>
      </c>
      <c r="J305" s="31">
        <f>IF($A305="","",IF($F305="Evet",ROUND($C305*tbo_oranKadinGenc,2),0))</f>
        <v/>
      </c>
      <c r="K305" s="31">
        <f>IF($A305="","",IF($G305="Evet",ROUND($C305*tbo_isverenOran,2),0))</f>
        <v/>
      </c>
      <c r="L305" s="31">
        <f>IF($A305="","",IF($M305=0,"YOK",IF($I305=$M305,"TBO-002",IF($H305=$M305,"TBO-001",IF($J305=$M305,"TBO-004","TBO-ENG")))))</f>
        <v/>
      </c>
      <c r="M305" s="31">
        <f>IF($A305="","",MAX($H305,$I305,$J305,$K305))</f>
        <v/>
      </c>
      <c r="O305" s="31">
        <f>IF($A305="","",MAX(0,$M305-IF($N305="TBO-001",$H305,IF($N305="TBO-002",$I305,IF($N305="TBO-004",$J305,IF($N305="TBO-ENG",$K305,0))))))</f>
        <v/>
      </c>
    </row>
    <row r="306">
      <c r="H306" s="31">
        <f>IF($A306="","",IF($D306="Evet",ROUND($C306*tbo_oranBesPuan,2),0))</f>
        <v/>
      </c>
      <c r="I306" s="31">
        <f>IF($A306="","",IF($E306="Evet",ROUND($C306*tbo_oranIlave,2),0))</f>
        <v/>
      </c>
      <c r="J306" s="31">
        <f>IF($A306="","",IF($F306="Evet",ROUND($C306*tbo_oranKadinGenc,2),0))</f>
        <v/>
      </c>
      <c r="K306" s="31">
        <f>IF($A306="","",IF($G306="Evet",ROUND($C306*tbo_isverenOran,2),0))</f>
        <v/>
      </c>
      <c r="L306" s="31">
        <f>IF($A306="","",IF($M306=0,"YOK",IF($I306=$M306,"TBO-002",IF($H306=$M306,"TBO-001",IF($J306=$M306,"TBO-004","TBO-ENG")))))</f>
        <v/>
      </c>
      <c r="M306" s="31">
        <f>IF($A306="","",MAX($H306,$I306,$J306,$K306))</f>
        <v/>
      </c>
      <c r="O306" s="31">
        <f>IF($A306="","",MAX(0,$M306-IF($N306="TBO-001",$H306,IF($N306="TBO-002",$I306,IF($N306="TBO-004",$J306,IF($N306="TBO-ENG",$K306,0))))))</f>
        <v/>
      </c>
    </row>
    <row r="307">
      <c r="H307" s="31">
        <f>IF($A307="","",IF($D307="Evet",ROUND($C307*tbo_oranBesPuan,2),0))</f>
        <v/>
      </c>
      <c r="I307" s="31">
        <f>IF($A307="","",IF($E307="Evet",ROUND($C307*tbo_oranIlave,2),0))</f>
        <v/>
      </c>
      <c r="J307" s="31">
        <f>IF($A307="","",IF($F307="Evet",ROUND($C307*tbo_oranKadinGenc,2),0))</f>
        <v/>
      </c>
      <c r="K307" s="31">
        <f>IF($A307="","",IF($G307="Evet",ROUND($C307*tbo_isverenOran,2),0))</f>
        <v/>
      </c>
      <c r="L307" s="31">
        <f>IF($A307="","",IF($M307=0,"YOK",IF($I307=$M307,"TBO-002",IF($H307=$M307,"TBO-001",IF($J307=$M307,"TBO-004","TBO-ENG")))))</f>
        <v/>
      </c>
      <c r="M307" s="31">
        <f>IF($A307="","",MAX($H307,$I307,$J307,$K307))</f>
        <v/>
      </c>
      <c r="O307" s="31">
        <f>IF($A307="","",MAX(0,$M307-IF($N307="TBO-001",$H307,IF($N307="TBO-002",$I307,IF($N307="TBO-004",$J307,IF($N307="TBO-ENG",$K307,0))))))</f>
        <v/>
      </c>
    </row>
    <row r="308">
      <c r="H308" s="31">
        <f>IF($A308="","",IF($D308="Evet",ROUND($C308*tbo_oranBesPuan,2),0))</f>
        <v/>
      </c>
      <c r="I308" s="31">
        <f>IF($A308="","",IF($E308="Evet",ROUND($C308*tbo_oranIlave,2),0))</f>
        <v/>
      </c>
      <c r="J308" s="31">
        <f>IF($A308="","",IF($F308="Evet",ROUND($C308*tbo_oranKadinGenc,2),0))</f>
        <v/>
      </c>
      <c r="K308" s="31">
        <f>IF($A308="","",IF($G308="Evet",ROUND($C308*tbo_isverenOran,2),0))</f>
        <v/>
      </c>
      <c r="L308" s="31">
        <f>IF($A308="","",IF($M308=0,"YOK",IF($I308=$M308,"TBO-002",IF($H308=$M308,"TBO-001",IF($J308=$M308,"TBO-004","TBO-ENG")))))</f>
        <v/>
      </c>
      <c r="M308" s="31">
        <f>IF($A308="","",MAX($H308,$I308,$J308,$K308))</f>
        <v/>
      </c>
      <c r="O308" s="31">
        <f>IF($A308="","",MAX(0,$M308-IF($N308="TBO-001",$H308,IF($N308="TBO-002",$I308,IF($N308="TBO-004",$J308,IF($N308="TBO-ENG",$K308,0))))))</f>
        <v/>
      </c>
    </row>
    <row r="309">
      <c r="H309" s="31">
        <f>IF($A309="","",IF($D309="Evet",ROUND($C309*tbo_oranBesPuan,2),0))</f>
        <v/>
      </c>
      <c r="I309" s="31">
        <f>IF($A309="","",IF($E309="Evet",ROUND($C309*tbo_oranIlave,2),0))</f>
        <v/>
      </c>
      <c r="J309" s="31">
        <f>IF($A309="","",IF($F309="Evet",ROUND($C309*tbo_oranKadinGenc,2),0))</f>
        <v/>
      </c>
      <c r="K309" s="31">
        <f>IF($A309="","",IF($G309="Evet",ROUND($C309*tbo_isverenOran,2),0))</f>
        <v/>
      </c>
      <c r="L309" s="31">
        <f>IF($A309="","",IF($M309=0,"YOK",IF($I309=$M309,"TBO-002",IF($H309=$M309,"TBO-001",IF($J309=$M309,"TBO-004","TBO-ENG")))))</f>
        <v/>
      </c>
      <c r="M309" s="31">
        <f>IF($A309="","",MAX($H309,$I309,$J309,$K309))</f>
        <v/>
      </c>
      <c r="O309" s="31">
        <f>IF($A309="","",MAX(0,$M309-IF($N309="TBO-001",$H309,IF($N309="TBO-002",$I309,IF($N309="TBO-004",$J309,IF($N309="TBO-ENG",$K309,0))))))</f>
        <v/>
      </c>
    </row>
    <row r="310">
      <c r="H310" s="31">
        <f>IF($A310="","",IF($D310="Evet",ROUND($C310*tbo_oranBesPuan,2),0))</f>
        <v/>
      </c>
      <c r="I310" s="31">
        <f>IF($A310="","",IF($E310="Evet",ROUND($C310*tbo_oranIlave,2),0))</f>
        <v/>
      </c>
      <c r="J310" s="31">
        <f>IF($A310="","",IF($F310="Evet",ROUND($C310*tbo_oranKadinGenc,2),0))</f>
        <v/>
      </c>
      <c r="K310" s="31">
        <f>IF($A310="","",IF($G310="Evet",ROUND($C310*tbo_isverenOran,2),0))</f>
        <v/>
      </c>
      <c r="L310" s="31">
        <f>IF($A310="","",IF($M310=0,"YOK",IF($I310=$M310,"TBO-002",IF($H310=$M310,"TBO-001",IF($J310=$M310,"TBO-004","TBO-ENG")))))</f>
        <v/>
      </c>
      <c r="M310" s="31">
        <f>IF($A310="","",MAX($H310,$I310,$J310,$K310))</f>
        <v/>
      </c>
      <c r="O310" s="31">
        <f>IF($A310="","",MAX(0,$M310-IF($N310="TBO-001",$H310,IF($N310="TBO-002",$I310,IF($N310="TBO-004",$J310,IF($N310="TBO-ENG",$K310,0))))))</f>
        <v/>
      </c>
    </row>
    <row r="311">
      <c r="H311" s="31">
        <f>IF($A311="","",IF($D311="Evet",ROUND($C311*tbo_oranBesPuan,2),0))</f>
        <v/>
      </c>
      <c r="I311" s="31">
        <f>IF($A311="","",IF($E311="Evet",ROUND($C311*tbo_oranIlave,2),0))</f>
        <v/>
      </c>
      <c r="J311" s="31">
        <f>IF($A311="","",IF($F311="Evet",ROUND($C311*tbo_oranKadinGenc,2),0))</f>
        <v/>
      </c>
      <c r="K311" s="31">
        <f>IF($A311="","",IF($G311="Evet",ROUND($C311*tbo_isverenOran,2),0))</f>
        <v/>
      </c>
      <c r="L311" s="31">
        <f>IF($A311="","",IF($M311=0,"YOK",IF($I311=$M311,"TBO-002",IF($H311=$M311,"TBO-001",IF($J311=$M311,"TBO-004","TBO-ENG")))))</f>
        <v/>
      </c>
      <c r="M311" s="31">
        <f>IF($A311="","",MAX($H311,$I311,$J311,$K311))</f>
        <v/>
      </c>
      <c r="O311" s="31">
        <f>IF($A311="","",MAX(0,$M311-IF($N311="TBO-001",$H311,IF($N311="TBO-002",$I311,IF($N311="TBO-004",$J311,IF($N311="TBO-ENG",$K311,0))))))</f>
        <v/>
      </c>
    </row>
    <row r="312">
      <c r="H312" s="31">
        <f>IF($A312="","",IF($D312="Evet",ROUND($C312*tbo_oranBesPuan,2),0))</f>
        <v/>
      </c>
      <c r="I312" s="31">
        <f>IF($A312="","",IF($E312="Evet",ROUND($C312*tbo_oranIlave,2),0))</f>
        <v/>
      </c>
      <c r="J312" s="31">
        <f>IF($A312="","",IF($F312="Evet",ROUND($C312*tbo_oranKadinGenc,2),0))</f>
        <v/>
      </c>
      <c r="K312" s="31">
        <f>IF($A312="","",IF($G312="Evet",ROUND($C312*tbo_isverenOran,2),0))</f>
        <v/>
      </c>
      <c r="L312" s="31">
        <f>IF($A312="","",IF($M312=0,"YOK",IF($I312=$M312,"TBO-002",IF($H312=$M312,"TBO-001",IF($J312=$M312,"TBO-004","TBO-ENG")))))</f>
        <v/>
      </c>
      <c r="M312" s="31">
        <f>IF($A312="","",MAX($H312,$I312,$J312,$K312))</f>
        <v/>
      </c>
      <c r="O312" s="31">
        <f>IF($A312="","",MAX(0,$M312-IF($N312="TBO-001",$H312,IF($N312="TBO-002",$I312,IF($N312="TBO-004",$J312,IF($N312="TBO-ENG",$K312,0))))))</f>
        <v/>
      </c>
    </row>
    <row r="313">
      <c r="H313" s="31">
        <f>IF($A313="","",IF($D313="Evet",ROUND($C313*tbo_oranBesPuan,2),0))</f>
        <v/>
      </c>
      <c r="I313" s="31">
        <f>IF($A313="","",IF($E313="Evet",ROUND($C313*tbo_oranIlave,2),0))</f>
        <v/>
      </c>
      <c r="J313" s="31">
        <f>IF($A313="","",IF($F313="Evet",ROUND($C313*tbo_oranKadinGenc,2),0))</f>
        <v/>
      </c>
      <c r="K313" s="31">
        <f>IF($A313="","",IF($G313="Evet",ROUND($C313*tbo_isverenOran,2),0))</f>
        <v/>
      </c>
      <c r="L313" s="31">
        <f>IF($A313="","",IF($M313=0,"YOK",IF($I313=$M313,"TBO-002",IF($H313=$M313,"TBO-001",IF($J313=$M313,"TBO-004","TBO-ENG")))))</f>
        <v/>
      </c>
      <c r="M313" s="31">
        <f>IF($A313="","",MAX($H313,$I313,$J313,$K313))</f>
        <v/>
      </c>
      <c r="O313" s="31">
        <f>IF($A313="","",MAX(0,$M313-IF($N313="TBO-001",$H313,IF($N313="TBO-002",$I313,IF($N313="TBO-004",$J313,IF($N313="TBO-ENG",$K313,0))))))</f>
        <v/>
      </c>
    </row>
    <row r="314">
      <c r="H314" s="31">
        <f>IF($A314="","",IF($D314="Evet",ROUND($C314*tbo_oranBesPuan,2),0))</f>
        <v/>
      </c>
      <c r="I314" s="31">
        <f>IF($A314="","",IF($E314="Evet",ROUND($C314*tbo_oranIlave,2),0))</f>
        <v/>
      </c>
      <c r="J314" s="31">
        <f>IF($A314="","",IF($F314="Evet",ROUND($C314*tbo_oranKadinGenc,2),0))</f>
        <v/>
      </c>
      <c r="K314" s="31">
        <f>IF($A314="","",IF($G314="Evet",ROUND($C314*tbo_isverenOran,2),0))</f>
        <v/>
      </c>
      <c r="L314" s="31">
        <f>IF($A314="","",IF($M314=0,"YOK",IF($I314=$M314,"TBO-002",IF($H314=$M314,"TBO-001",IF($J314=$M314,"TBO-004","TBO-ENG")))))</f>
        <v/>
      </c>
      <c r="M314" s="31">
        <f>IF($A314="","",MAX($H314,$I314,$J314,$K314))</f>
        <v/>
      </c>
      <c r="O314" s="31">
        <f>IF($A314="","",MAX(0,$M314-IF($N314="TBO-001",$H314,IF($N314="TBO-002",$I314,IF($N314="TBO-004",$J314,IF($N314="TBO-ENG",$K314,0))))))</f>
        <v/>
      </c>
    </row>
    <row r="315">
      <c r="H315" s="31">
        <f>IF($A315="","",IF($D315="Evet",ROUND($C315*tbo_oranBesPuan,2),0))</f>
        <v/>
      </c>
      <c r="I315" s="31">
        <f>IF($A315="","",IF($E315="Evet",ROUND($C315*tbo_oranIlave,2),0))</f>
        <v/>
      </c>
      <c r="J315" s="31">
        <f>IF($A315="","",IF($F315="Evet",ROUND($C315*tbo_oranKadinGenc,2),0))</f>
        <v/>
      </c>
      <c r="K315" s="31">
        <f>IF($A315="","",IF($G315="Evet",ROUND($C315*tbo_isverenOran,2),0))</f>
        <v/>
      </c>
      <c r="L315" s="31">
        <f>IF($A315="","",IF($M315=0,"YOK",IF($I315=$M315,"TBO-002",IF($H315=$M315,"TBO-001",IF($J315=$M315,"TBO-004","TBO-ENG")))))</f>
        <v/>
      </c>
      <c r="M315" s="31">
        <f>IF($A315="","",MAX($H315,$I315,$J315,$K315))</f>
        <v/>
      </c>
      <c r="O315" s="31">
        <f>IF($A315="","",MAX(0,$M315-IF($N315="TBO-001",$H315,IF($N315="TBO-002",$I315,IF($N315="TBO-004",$J315,IF($N315="TBO-ENG",$K315,0))))))</f>
        <v/>
      </c>
    </row>
    <row r="316">
      <c r="H316" s="31">
        <f>IF($A316="","",IF($D316="Evet",ROUND($C316*tbo_oranBesPuan,2),0))</f>
        <v/>
      </c>
      <c r="I316" s="31">
        <f>IF($A316="","",IF($E316="Evet",ROUND($C316*tbo_oranIlave,2),0))</f>
        <v/>
      </c>
      <c r="J316" s="31">
        <f>IF($A316="","",IF($F316="Evet",ROUND($C316*tbo_oranKadinGenc,2),0))</f>
        <v/>
      </c>
      <c r="K316" s="31">
        <f>IF($A316="","",IF($G316="Evet",ROUND($C316*tbo_isverenOran,2),0))</f>
        <v/>
      </c>
      <c r="L316" s="31">
        <f>IF($A316="","",IF($M316=0,"YOK",IF($I316=$M316,"TBO-002",IF($H316=$M316,"TBO-001",IF($J316=$M316,"TBO-004","TBO-ENG")))))</f>
        <v/>
      </c>
      <c r="M316" s="31">
        <f>IF($A316="","",MAX($H316,$I316,$J316,$K316))</f>
        <v/>
      </c>
      <c r="O316" s="31">
        <f>IF($A316="","",MAX(0,$M316-IF($N316="TBO-001",$H316,IF($N316="TBO-002",$I316,IF($N316="TBO-004",$J316,IF($N316="TBO-ENG",$K316,0))))))</f>
        <v/>
      </c>
    </row>
    <row r="317">
      <c r="H317" s="31">
        <f>IF($A317="","",IF($D317="Evet",ROUND($C317*tbo_oranBesPuan,2),0))</f>
        <v/>
      </c>
      <c r="I317" s="31">
        <f>IF($A317="","",IF($E317="Evet",ROUND($C317*tbo_oranIlave,2),0))</f>
        <v/>
      </c>
      <c r="J317" s="31">
        <f>IF($A317="","",IF($F317="Evet",ROUND($C317*tbo_oranKadinGenc,2),0))</f>
        <v/>
      </c>
      <c r="K317" s="31">
        <f>IF($A317="","",IF($G317="Evet",ROUND($C317*tbo_isverenOran,2),0))</f>
        <v/>
      </c>
      <c r="L317" s="31">
        <f>IF($A317="","",IF($M317=0,"YOK",IF($I317=$M317,"TBO-002",IF($H317=$M317,"TBO-001",IF($J317=$M317,"TBO-004","TBO-ENG")))))</f>
        <v/>
      </c>
      <c r="M317" s="31">
        <f>IF($A317="","",MAX($H317,$I317,$J317,$K317))</f>
        <v/>
      </c>
      <c r="O317" s="31">
        <f>IF($A317="","",MAX(0,$M317-IF($N317="TBO-001",$H317,IF($N317="TBO-002",$I317,IF($N317="TBO-004",$J317,IF($N317="TBO-ENG",$K317,0))))))</f>
        <v/>
      </c>
    </row>
    <row r="318">
      <c r="H318" s="31">
        <f>IF($A318="","",IF($D318="Evet",ROUND($C318*tbo_oranBesPuan,2),0))</f>
        <v/>
      </c>
      <c r="I318" s="31">
        <f>IF($A318="","",IF($E318="Evet",ROUND($C318*tbo_oranIlave,2),0))</f>
        <v/>
      </c>
      <c r="J318" s="31">
        <f>IF($A318="","",IF($F318="Evet",ROUND($C318*tbo_oranKadinGenc,2),0))</f>
        <v/>
      </c>
      <c r="K318" s="31">
        <f>IF($A318="","",IF($G318="Evet",ROUND($C318*tbo_isverenOran,2),0))</f>
        <v/>
      </c>
      <c r="L318" s="31">
        <f>IF($A318="","",IF($M318=0,"YOK",IF($I318=$M318,"TBO-002",IF($H318=$M318,"TBO-001",IF($J318=$M318,"TBO-004","TBO-ENG")))))</f>
        <v/>
      </c>
      <c r="M318" s="31">
        <f>IF($A318="","",MAX($H318,$I318,$J318,$K318))</f>
        <v/>
      </c>
      <c r="O318" s="31">
        <f>IF($A318="","",MAX(0,$M318-IF($N318="TBO-001",$H318,IF($N318="TBO-002",$I318,IF($N318="TBO-004",$J318,IF($N318="TBO-ENG",$K318,0))))))</f>
        <v/>
      </c>
    </row>
    <row r="319">
      <c r="H319" s="31">
        <f>IF($A319="","",IF($D319="Evet",ROUND($C319*tbo_oranBesPuan,2),0))</f>
        <v/>
      </c>
      <c r="I319" s="31">
        <f>IF($A319="","",IF($E319="Evet",ROUND($C319*tbo_oranIlave,2),0))</f>
        <v/>
      </c>
      <c r="J319" s="31">
        <f>IF($A319="","",IF($F319="Evet",ROUND($C319*tbo_oranKadinGenc,2),0))</f>
        <v/>
      </c>
      <c r="K319" s="31">
        <f>IF($A319="","",IF($G319="Evet",ROUND($C319*tbo_isverenOran,2),0))</f>
        <v/>
      </c>
      <c r="L319" s="31">
        <f>IF($A319="","",IF($M319=0,"YOK",IF($I319=$M319,"TBO-002",IF($H319=$M319,"TBO-001",IF($J319=$M319,"TBO-004","TBO-ENG")))))</f>
        <v/>
      </c>
      <c r="M319" s="31">
        <f>IF($A319="","",MAX($H319,$I319,$J319,$K319))</f>
        <v/>
      </c>
      <c r="O319" s="31">
        <f>IF($A319="","",MAX(0,$M319-IF($N319="TBO-001",$H319,IF($N319="TBO-002",$I319,IF($N319="TBO-004",$J319,IF($N319="TBO-ENG",$K319,0))))))</f>
        <v/>
      </c>
    </row>
    <row r="320">
      <c r="H320" s="31">
        <f>IF($A320="","",IF($D320="Evet",ROUND($C320*tbo_oranBesPuan,2),0))</f>
        <v/>
      </c>
      <c r="I320" s="31">
        <f>IF($A320="","",IF($E320="Evet",ROUND($C320*tbo_oranIlave,2),0))</f>
        <v/>
      </c>
      <c r="J320" s="31">
        <f>IF($A320="","",IF($F320="Evet",ROUND($C320*tbo_oranKadinGenc,2),0))</f>
        <v/>
      </c>
      <c r="K320" s="31">
        <f>IF($A320="","",IF($G320="Evet",ROUND($C320*tbo_isverenOran,2),0))</f>
        <v/>
      </c>
      <c r="L320" s="31">
        <f>IF($A320="","",IF($M320=0,"YOK",IF($I320=$M320,"TBO-002",IF($H320=$M320,"TBO-001",IF($J320=$M320,"TBO-004","TBO-ENG")))))</f>
        <v/>
      </c>
      <c r="M320" s="31">
        <f>IF($A320="","",MAX($H320,$I320,$J320,$K320))</f>
        <v/>
      </c>
      <c r="O320" s="31">
        <f>IF($A320="","",MAX(0,$M320-IF($N320="TBO-001",$H320,IF($N320="TBO-002",$I320,IF($N320="TBO-004",$J320,IF($N320="TBO-ENG",$K320,0))))))</f>
        <v/>
      </c>
    </row>
    <row r="321">
      <c r="H321" s="31">
        <f>IF($A321="","",IF($D321="Evet",ROUND($C321*tbo_oranBesPuan,2),0))</f>
        <v/>
      </c>
      <c r="I321" s="31">
        <f>IF($A321="","",IF($E321="Evet",ROUND($C321*tbo_oranIlave,2),0))</f>
        <v/>
      </c>
      <c r="J321" s="31">
        <f>IF($A321="","",IF($F321="Evet",ROUND($C321*tbo_oranKadinGenc,2),0))</f>
        <v/>
      </c>
      <c r="K321" s="31">
        <f>IF($A321="","",IF($G321="Evet",ROUND($C321*tbo_isverenOran,2),0))</f>
        <v/>
      </c>
      <c r="L321" s="31">
        <f>IF($A321="","",IF($M321=0,"YOK",IF($I321=$M321,"TBO-002",IF($H321=$M321,"TBO-001",IF($J321=$M321,"TBO-004","TBO-ENG")))))</f>
        <v/>
      </c>
      <c r="M321" s="31">
        <f>IF($A321="","",MAX($H321,$I321,$J321,$K321))</f>
        <v/>
      </c>
      <c r="O321" s="31">
        <f>IF($A321="","",MAX(0,$M321-IF($N321="TBO-001",$H321,IF($N321="TBO-002",$I321,IF($N321="TBO-004",$J321,IF($N321="TBO-ENG",$K321,0))))))</f>
        <v/>
      </c>
    </row>
    <row r="322">
      <c r="H322" s="31">
        <f>IF($A322="","",IF($D322="Evet",ROUND($C322*tbo_oranBesPuan,2),0))</f>
        <v/>
      </c>
      <c r="I322" s="31">
        <f>IF($A322="","",IF($E322="Evet",ROUND($C322*tbo_oranIlave,2),0))</f>
        <v/>
      </c>
      <c r="J322" s="31">
        <f>IF($A322="","",IF($F322="Evet",ROUND($C322*tbo_oranKadinGenc,2),0))</f>
        <v/>
      </c>
      <c r="K322" s="31">
        <f>IF($A322="","",IF($G322="Evet",ROUND($C322*tbo_isverenOran,2),0))</f>
        <v/>
      </c>
      <c r="L322" s="31">
        <f>IF($A322="","",IF($M322=0,"YOK",IF($I322=$M322,"TBO-002",IF($H322=$M322,"TBO-001",IF($J322=$M322,"TBO-004","TBO-ENG")))))</f>
        <v/>
      </c>
      <c r="M322" s="31">
        <f>IF($A322="","",MAX($H322,$I322,$J322,$K322))</f>
        <v/>
      </c>
      <c r="O322" s="31">
        <f>IF($A322="","",MAX(0,$M322-IF($N322="TBO-001",$H322,IF($N322="TBO-002",$I322,IF($N322="TBO-004",$J322,IF($N322="TBO-ENG",$K322,0))))))</f>
        <v/>
      </c>
    </row>
    <row r="323">
      <c r="H323" s="31">
        <f>IF($A323="","",IF($D323="Evet",ROUND($C323*tbo_oranBesPuan,2),0))</f>
        <v/>
      </c>
      <c r="I323" s="31">
        <f>IF($A323="","",IF($E323="Evet",ROUND($C323*tbo_oranIlave,2),0))</f>
        <v/>
      </c>
      <c r="J323" s="31">
        <f>IF($A323="","",IF($F323="Evet",ROUND($C323*tbo_oranKadinGenc,2),0))</f>
        <v/>
      </c>
      <c r="K323" s="31">
        <f>IF($A323="","",IF($G323="Evet",ROUND($C323*tbo_isverenOran,2),0))</f>
        <v/>
      </c>
      <c r="L323" s="31">
        <f>IF($A323="","",IF($M323=0,"YOK",IF($I323=$M323,"TBO-002",IF($H323=$M323,"TBO-001",IF($J323=$M323,"TBO-004","TBO-ENG")))))</f>
        <v/>
      </c>
      <c r="M323" s="31">
        <f>IF($A323="","",MAX($H323,$I323,$J323,$K323))</f>
        <v/>
      </c>
      <c r="O323" s="31">
        <f>IF($A323="","",MAX(0,$M323-IF($N323="TBO-001",$H323,IF($N323="TBO-002",$I323,IF($N323="TBO-004",$J323,IF($N323="TBO-ENG",$K323,0))))))</f>
        <v/>
      </c>
    </row>
    <row r="324">
      <c r="H324" s="31">
        <f>IF($A324="","",IF($D324="Evet",ROUND($C324*tbo_oranBesPuan,2),0))</f>
        <v/>
      </c>
      <c r="I324" s="31">
        <f>IF($A324="","",IF($E324="Evet",ROUND($C324*tbo_oranIlave,2),0))</f>
        <v/>
      </c>
      <c r="J324" s="31">
        <f>IF($A324="","",IF($F324="Evet",ROUND($C324*tbo_oranKadinGenc,2),0))</f>
        <v/>
      </c>
      <c r="K324" s="31">
        <f>IF($A324="","",IF($G324="Evet",ROUND($C324*tbo_isverenOran,2),0))</f>
        <v/>
      </c>
      <c r="L324" s="31">
        <f>IF($A324="","",IF($M324=0,"YOK",IF($I324=$M324,"TBO-002",IF($H324=$M324,"TBO-001",IF($J324=$M324,"TBO-004","TBO-ENG")))))</f>
        <v/>
      </c>
      <c r="M324" s="31">
        <f>IF($A324="","",MAX($H324,$I324,$J324,$K324))</f>
        <v/>
      </c>
      <c r="O324" s="31">
        <f>IF($A324="","",MAX(0,$M324-IF($N324="TBO-001",$H324,IF($N324="TBO-002",$I324,IF($N324="TBO-004",$J324,IF($N324="TBO-ENG",$K324,0))))))</f>
        <v/>
      </c>
    </row>
    <row r="325">
      <c r="H325" s="31">
        <f>IF($A325="","",IF($D325="Evet",ROUND($C325*tbo_oranBesPuan,2),0))</f>
        <v/>
      </c>
      <c r="I325" s="31">
        <f>IF($A325="","",IF($E325="Evet",ROUND($C325*tbo_oranIlave,2),0))</f>
        <v/>
      </c>
      <c r="J325" s="31">
        <f>IF($A325="","",IF($F325="Evet",ROUND($C325*tbo_oranKadinGenc,2),0))</f>
        <v/>
      </c>
      <c r="K325" s="31">
        <f>IF($A325="","",IF($G325="Evet",ROUND($C325*tbo_isverenOran,2),0))</f>
        <v/>
      </c>
      <c r="L325" s="31">
        <f>IF($A325="","",IF($M325=0,"YOK",IF($I325=$M325,"TBO-002",IF($H325=$M325,"TBO-001",IF($J325=$M325,"TBO-004","TBO-ENG")))))</f>
        <v/>
      </c>
      <c r="M325" s="31">
        <f>IF($A325="","",MAX($H325,$I325,$J325,$K325))</f>
        <v/>
      </c>
      <c r="O325" s="31">
        <f>IF($A325="","",MAX(0,$M325-IF($N325="TBO-001",$H325,IF($N325="TBO-002",$I325,IF($N325="TBO-004",$J325,IF($N325="TBO-ENG",$K325,0))))))</f>
        <v/>
      </c>
    </row>
    <row r="326">
      <c r="H326" s="31">
        <f>IF($A326="","",IF($D326="Evet",ROUND($C326*tbo_oranBesPuan,2),0))</f>
        <v/>
      </c>
      <c r="I326" s="31">
        <f>IF($A326="","",IF($E326="Evet",ROUND($C326*tbo_oranIlave,2),0))</f>
        <v/>
      </c>
      <c r="J326" s="31">
        <f>IF($A326="","",IF($F326="Evet",ROUND($C326*tbo_oranKadinGenc,2),0))</f>
        <v/>
      </c>
      <c r="K326" s="31">
        <f>IF($A326="","",IF($G326="Evet",ROUND($C326*tbo_isverenOran,2),0))</f>
        <v/>
      </c>
      <c r="L326" s="31">
        <f>IF($A326="","",IF($M326=0,"YOK",IF($I326=$M326,"TBO-002",IF($H326=$M326,"TBO-001",IF($J326=$M326,"TBO-004","TBO-ENG")))))</f>
        <v/>
      </c>
      <c r="M326" s="31">
        <f>IF($A326="","",MAX($H326,$I326,$J326,$K326))</f>
        <v/>
      </c>
      <c r="O326" s="31">
        <f>IF($A326="","",MAX(0,$M326-IF($N326="TBO-001",$H326,IF($N326="TBO-002",$I326,IF($N326="TBO-004",$J326,IF($N326="TBO-ENG",$K326,0))))))</f>
        <v/>
      </c>
    </row>
    <row r="327">
      <c r="H327" s="31">
        <f>IF($A327="","",IF($D327="Evet",ROUND($C327*tbo_oranBesPuan,2),0))</f>
        <v/>
      </c>
      <c r="I327" s="31">
        <f>IF($A327="","",IF($E327="Evet",ROUND($C327*tbo_oranIlave,2),0))</f>
        <v/>
      </c>
      <c r="J327" s="31">
        <f>IF($A327="","",IF($F327="Evet",ROUND($C327*tbo_oranKadinGenc,2),0))</f>
        <v/>
      </c>
      <c r="K327" s="31">
        <f>IF($A327="","",IF($G327="Evet",ROUND($C327*tbo_isverenOran,2),0))</f>
        <v/>
      </c>
      <c r="L327" s="31">
        <f>IF($A327="","",IF($M327=0,"YOK",IF($I327=$M327,"TBO-002",IF($H327=$M327,"TBO-001",IF($J327=$M327,"TBO-004","TBO-ENG")))))</f>
        <v/>
      </c>
      <c r="M327" s="31">
        <f>IF($A327="","",MAX($H327,$I327,$J327,$K327))</f>
        <v/>
      </c>
      <c r="O327" s="31">
        <f>IF($A327="","",MAX(0,$M327-IF($N327="TBO-001",$H327,IF($N327="TBO-002",$I327,IF($N327="TBO-004",$J327,IF($N327="TBO-ENG",$K327,0))))))</f>
        <v/>
      </c>
    </row>
    <row r="328">
      <c r="H328" s="31">
        <f>IF($A328="","",IF($D328="Evet",ROUND($C328*tbo_oranBesPuan,2),0))</f>
        <v/>
      </c>
      <c r="I328" s="31">
        <f>IF($A328="","",IF($E328="Evet",ROUND($C328*tbo_oranIlave,2),0))</f>
        <v/>
      </c>
      <c r="J328" s="31">
        <f>IF($A328="","",IF($F328="Evet",ROUND($C328*tbo_oranKadinGenc,2),0))</f>
        <v/>
      </c>
      <c r="K328" s="31">
        <f>IF($A328="","",IF($G328="Evet",ROUND($C328*tbo_isverenOran,2),0))</f>
        <v/>
      </c>
      <c r="L328" s="31">
        <f>IF($A328="","",IF($M328=0,"YOK",IF($I328=$M328,"TBO-002",IF($H328=$M328,"TBO-001",IF($J328=$M328,"TBO-004","TBO-ENG")))))</f>
        <v/>
      </c>
      <c r="M328" s="31">
        <f>IF($A328="","",MAX($H328,$I328,$J328,$K328))</f>
        <v/>
      </c>
      <c r="O328" s="31">
        <f>IF($A328="","",MAX(0,$M328-IF($N328="TBO-001",$H328,IF($N328="TBO-002",$I328,IF($N328="TBO-004",$J328,IF($N328="TBO-ENG",$K328,0))))))</f>
        <v/>
      </c>
    </row>
    <row r="329">
      <c r="H329" s="31">
        <f>IF($A329="","",IF($D329="Evet",ROUND($C329*tbo_oranBesPuan,2),0))</f>
        <v/>
      </c>
      <c r="I329" s="31">
        <f>IF($A329="","",IF($E329="Evet",ROUND($C329*tbo_oranIlave,2),0))</f>
        <v/>
      </c>
      <c r="J329" s="31">
        <f>IF($A329="","",IF($F329="Evet",ROUND($C329*tbo_oranKadinGenc,2),0))</f>
        <v/>
      </c>
      <c r="K329" s="31">
        <f>IF($A329="","",IF($G329="Evet",ROUND($C329*tbo_isverenOran,2),0))</f>
        <v/>
      </c>
      <c r="L329" s="31">
        <f>IF($A329="","",IF($M329=0,"YOK",IF($I329=$M329,"TBO-002",IF($H329=$M329,"TBO-001",IF($J329=$M329,"TBO-004","TBO-ENG")))))</f>
        <v/>
      </c>
      <c r="M329" s="31">
        <f>IF($A329="","",MAX($H329,$I329,$J329,$K329))</f>
        <v/>
      </c>
      <c r="O329" s="31">
        <f>IF($A329="","",MAX(0,$M329-IF($N329="TBO-001",$H329,IF($N329="TBO-002",$I329,IF($N329="TBO-004",$J329,IF($N329="TBO-ENG",$K329,0))))))</f>
        <v/>
      </c>
    </row>
    <row r="330">
      <c r="H330" s="31">
        <f>IF($A330="","",IF($D330="Evet",ROUND($C330*tbo_oranBesPuan,2),0))</f>
        <v/>
      </c>
      <c r="I330" s="31">
        <f>IF($A330="","",IF($E330="Evet",ROUND($C330*tbo_oranIlave,2),0))</f>
        <v/>
      </c>
      <c r="J330" s="31">
        <f>IF($A330="","",IF($F330="Evet",ROUND($C330*tbo_oranKadinGenc,2),0))</f>
        <v/>
      </c>
      <c r="K330" s="31">
        <f>IF($A330="","",IF($G330="Evet",ROUND($C330*tbo_isverenOran,2),0))</f>
        <v/>
      </c>
      <c r="L330" s="31">
        <f>IF($A330="","",IF($M330=0,"YOK",IF($I330=$M330,"TBO-002",IF($H330=$M330,"TBO-001",IF($J330=$M330,"TBO-004","TBO-ENG")))))</f>
        <v/>
      </c>
      <c r="M330" s="31">
        <f>IF($A330="","",MAX($H330,$I330,$J330,$K330))</f>
        <v/>
      </c>
      <c r="O330" s="31">
        <f>IF($A330="","",MAX(0,$M330-IF($N330="TBO-001",$H330,IF($N330="TBO-002",$I330,IF($N330="TBO-004",$J330,IF($N330="TBO-ENG",$K330,0))))))</f>
        <v/>
      </c>
    </row>
    <row r="331">
      <c r="H331" s="31">
        <f>IF($A331="","",IF($D331="Evet",ROUND($C331*tbo_oranBesPuan,2),0))</f>
        <v/>
      </c>
      <c r="I331" s="31">
        <f>IF($A331="","",IF($E331="Evet",ROUND($C331*tbo_oranIlave,2),0))</f>
        <v/>
      </c>
      <c r="J331" s="31">
        <f>IF($A331="","",IF($F331="Evet",ROUND($C331*tbo_oranKadinGenc,2),0))</f>
        <v/>
      </c>
      <c r="K331" s="31">
        <f>IF($A331="","",IF($G331="Evet",ROUND($C331*tbo_isverenOran,2),0))</f>
        <v/>
      </c>
      <c r="L331" s="31">
        <f>IF($A331="","",IF($M331=0,"YOK",IF($I331=$M331,"TBO-002",IF($H331=$M331,"TBO-001",IF($J331=$M331,"TBO-004","TBO-ENG")))))</f>
        <v/>
      </c>
      <c r="M331" s="31">
        <f>IF($A331="","",MAX($H331,$I331,$J331,$K331))</f>
        <v/>
      </c>
      <c r="O331" s="31">
        <f>IF($A331="","",MAX(0,$M331-IF($N331="TBO-001",$H331,IF($N331="TBO-002",$I331,IF($N331="TBO-004",$J331,IF($N331="TBO-ENG",$K331,0))))))</f>
        <v/>
      </c>
    </row>
    <row r="332">
      <c r="H332" s="31">
        <f>IF($A332="","",IF($D332="Evet",ROUND($C332*tbo_oranBesPuan,2),0))</f>
        <v/>
      </c>
      <c r="I332" s="31">
        <f>IF($A332="","",IF($E332="Evet",ROUND($C332*tbo_oranIlave,2),0))</f>
        <v/>
      </c>
      <c r="J332" s="31">
        <f>IF($A332="","",IF($F332="Evet",ROUND($C332*tbo_oranKadinGenc,2),0))</f>
        <v/>
      </c>
      <c r="K332" s="31">
        <f>IF($A332="","",IF($G332="Evet",ROUND($C332*tbo_isverenOran,2),0))</f>
        <v/>
      </c>
      <c r="L332" s="31">
        <f>IF($A332="","",IF($M332=0,"YOK",IF($I332=$M332,"TBO-002",IF($H332=$M332,"TBO-001",IF($J332=$M332,"TBO-004","TBO-ENG")))))</f>
        <v/>
      </c>
      <c r="M332" s="31">
        <f>IF($A332="","",MAX($H332,$I332,$J332,$K332))</f>
        <v/>
      </c>
      <c r="O332" s="31">
        <f>IF($A332="","",MAX(0,$M332-IF($N332="TBO-001",$H332,IF($N332="TBO-002",$I332,IF($N332="TBO-004",$J332,IF($N332="TBO-ENG",$K332,0))))))</f>
        <v/>
      </c>
    </row>
    <row r="333">
      <c r="H333" s="31">
        <f>IF($A333="","",IF($D333="Evet",ROUND($C333*tbo_oranBesPuan,2),0))</f>
        <v/>
      </c>
      <c r="I333" s="31">
        <f>IF($A333="","",IF($E333="Evet",ROUND($C333*tbo_oranIlave,2),0))</f>
        <v/>
      </c>
      <c r="J333" s="31">
        <f>IF($A333="","",IF($F333="Evet",ROUND($C333*tbo_oranKadinGenc,2),0))</f>
        <v/>
      </c>
      <c r="K333" s="31">
        <f>IF($A333="","",IF($G333="Evet",ROUND($C333*tbo_isverenOran,2),0))</f>
        <v/>
      </c>
      <c r="L333" s="31">
        <f>IF($A333="","",IF($M333=0,"YOK",IF($I333=$M333,"TBO-002",IF($H333=$M333,"TBO-001",IF($J333=$M333,"TBO-004","TBO-ENG")))))</f>
        <v/>
      </c>
      <c r="M333" s="31">
        <f>IF($A333="","",MAX($H333,$I333,$J333,$K333))</f>
        <v/>
      </c>
      <c r="O333" s="31">
        <f>IF($A333="","",MAX(0,$M333-IF($N333="TBO-001",$H333,IF($N333="TBO-002",$I333,IF($N333="TBO-004",$J333,IF($N333="TBO-ENG",$K333,0))))))</f>
        <v/>
      </c>
    </row>
    <row r="334">
      <c r="H334" s="31">
        <f>IF($A334="","",IF($D334="Evet",ROUND($C334*tbo_oranBesPuan,2),0))</f>
        <v/>
      </c>
      <c r="I334" s="31">
        <f>IF($A334="","",IF($E334="Evet",ROUND($C334*tbo_oranIlave,2),0))</f>
        <v/>
      </c>
      <c r="J334" s="31">
        <f>IF($A334="","",IF($F334="Evet",ROUND($C334*tbo_oranKadinGenc,2),0))</f>
        <v/>
      </c>
      <c r="K334" s="31">
        <f>IF($A334="","",IF($G334="Evet",ROUND($C334*tbo_isverenOran,2),0))</f>
        <v/>
      </c>
      <c r="L334" s="31">
        <f>IF($A334="","",IF($M334=0,"YOK",IF($I334=$M334,"TBO-002",IF($H334=$M334,"TBO-001",IF($J334=$M334,"TBO-004","TBO-ENG")))))</f>
        <v/>
      </c>
      <c r="M334" s="31">
        <f>IF($A334="","",MAX($H334,$I334,$J334,$K334))</f>
        <v/>
      </c>
      <c r="O334" s="31">
        <f>IF($A334="","",MAX(0,$M334-IF($N334="TBO-001",$H334,IF($N334="TBO-002",$I334,IF($N334="TBO-004",$J334,IF($N334="TBO-ENG",$K334,0))))))</f>
        <v/>
      </c>
    </row>
    <row r="335">
      <c r="H335" s="31">
        <f>IF($A335="","",IF($D335="Evet",ROUND($C335*tbo_oranBesPuan,2),0))</f>
        <v/>
      </c>
      <c r="I335" s="31">
        <f>IF($A335="","",IF($E335="Evet",ROUND($C335*tbo_oranIlave,2),0))</f>
        <v/>
      </c>
      <c r="J335" s="31">
        <f>IF($A335="","",IF($F335="Evet",ROUND($C335*tbo_oranKadinGenc,2),0))</f>
        <v/>
      </c>
      <c r="K335" s="31">
        <f>IF($A335="","",IF($G335="Evet",ROUND($C335*tbo_isverenOran,2),0))</f>
        <v/>
      </c>
      <c r="L335" s="31">
        <f>IF($A335="","",IF($M335=0,"YOK",IF($I335=$M335,"TBO-002",IF($H335=$M335,"TBO-001",IF($J335=$M335,"TBO-004","TBO-ENG")))))</f>
        <v/>
      </c>
      <c r="M335" s="31">
        <f>IF($A335="","",MAX($H335,$I335,$J335,$K335))</f>
        <v/>
      </c>
      <c r="O335" s="31">
        <f>IF($A335="","",MAX(0,$M335-IF($N335="TBO-001",$H335,IF($N335="TBO-002",$I335,IF($N335="TBO-004",$J335,IF($N335="TBO-ENG",$K335,0))))))</f>
        <v/>
      </c>
    </row>
    <row r="336">
      <c r="H336" s="31">
        <f>IF($A336="","",IF($D336="Evet",ROUND($C336*tbo_oranBesPuan,2),0))</f>
        <v/>
      </c>
      <c r="I336" s="31">
        <f>IF($A336="","",IF($E336="Evet",ROUND($C336*tbo_oranIlave,2),0))</f>
        <v/>
      </c>
      <c r="J336" s="31">
        <f>IF($A336="","",IF($F336="Evet",ROUND($C336*tbo_oranKadinGenc,2),0))</f>
        <v/>
      </c>
      <c r="K336" s="31">
        <f>IF($A336="","",IF($G336="Evet",ROUND($C336*tbo_isverenOran,2),0))</f>
        <v/>
      </c>
      <c r="L336" s="31">
        <f>IF($A336="","",IF($M336=0,"YOK",IF($I336=$M336,"TBO-002",IF($H336=$M336,"TBO-001",IF($J336=$M336,"TBO-004","TBO-ENG")))))</f>
        <v/>
      </c>
      <c r="M336" s="31">
        <f>IF($A336="","",MAX($H336,$I336,$J336,$K336))</f>
        <v/>
      </c>
      <c r="O336" s="31">
        <f>IF($A336="","",MAX(0,$M336-IF($N336="TBO-001",$H336,IF($N336="TBO-002",$I336,IF($N336="TBO-004",$J336,IF($N336="TBO-ENG",$K336,0))))))</f>
        <v/>
      </c>
    </row>
    <row r="337">
      <c r="H337" s="31">
        <f>IF($A337="","",IF($D337="Evet",ROUND($C337*tbo_oranBesPuan,2),0))</f>
        <v/>
      </c>
      <c r="I337" s="31">
        <f>IF($A337="","",IF($E337="Evet",ROUND($C337*tbo_oranIlave,2),0))</f>
        <v/>
      </c>
      <c r="J337" s="31">
        <f>IF($A337="","",IF($F337="Evet",ROUND($C337*tbo_oranKadinGenc,2),0))</f>
        <v/>
      </c>
      <c r="K337" s="31">
        <f>IF($A337="","",IF($G337="Evet",ROUND($C337*tbo_isverenOran,2),0))</f>
        <v/>
      </c>
      <c r="L337" s="31">
        <f>IF($A337="","",IF($M337=0,"YOK",IF($I337=$M337,"TBO-002",IF($H337=$M337,"TBO-001",IF($J337=$M337,"TBO-004","TBO-ENG")))))</f>
        <v/>
      </c>
      <c r="M337" s="31">
        <f>IF($A337="","",MAX($H337,$I337,$J337,$K337))</f>
        <v/>
      </c>
      <c r="O337" s="31">
        <f>IF($A337="","",MAX(0,$M337-IF($N337="TBO-001",$H337,IF($N337="TBO-002",$I337,IF($N337="TBO-004",$J337,IF($N337="TBO-ENG",$K337,0))))))</f>
        <v/>
      </c>
    </row>
    <row r="338">
      <c r="H338" s="31">
        <f>IF($A338="","",IF($D338="Evet",ROUND($C338*tbo_oranBesPuan,2),0))</f>
        <v/>
      </c>
      <c r="I338" s="31">
        <f>IF($A338="","",IF($E338="Evet",ROUND($C338*tbo_oranIlave,2),0))</f>
        <v/>
      </c>
      <c r="J338" s="31">
        <f>IF($A338="","",IF($F338="Evet",ROUND($C338*tbo_oranKadinGenc,2),0))</f>
        <v/>
      </c>
      <c r="K338" s="31">
        <f>IF($A338="","",IF($G338="Evet",ROUND($C338*tbo_isverenOran,2),0))</f>
        <v/>
      </c>
      <c r="L338" s="31">
        <f>IF($A338="","",IF($M338=0,"YOK",IF($I338=$M338,"TBO-002",IF($H338=$M338,"TBO-001",IF($J338=$M338,"TBO-004","TBO-ENG")))))</f>
        <v/>
      </c>
      <c r="M338" s="31">
        <f>IF($A338="","",MAX($H338,$I338,$J338,$K338))</f>
        <v/>
      </c>
      <c r="O338" s="31">
        <f>IF($A338="","",MAX(0,$M338-IF($N338="TBO-001",$H338,IF($N338="TBO-002",$I338,IF($N338="TBO-004",$J338,IF($N338="TBO-ENG",$K338,0))))))</f>
        <v/>
      </c>
    </row>
    <row r="339">
      <c r="H339" s="31">
        <f>IF($A339="","",IF($D339="Evet",ROUND($C339*tbo_oranBesPuan,2),0))</f>
        <v/>
      </c>
      <c r="I339" s="31">
        <f>IF($A339="","",IF($E339="Evet",ROUND($C339*tbo_oranIlave,2),0))</f>
        <v/>
      </c>
      <c r="J339" s="31">
        <f>IF($A339="","",IF($F339="Evet",ROUND($C339*tbo_oranKadinGenc,2),0))</f>
        <v/>
      </c>
      <c r="K339" s="31">
        <f>IF($A339="","",IF($G339="Evet",ROUND($C339*tbo_isverenOran,2),0))</f>
        <v/>
      </c>
      <c r="L339" s="31">
        <f>IF($A339="","",IF($M339=0,"YOK",IF($I339=$M339,"TBO-002",IF($H339=$M339,"TBO-001",IF($J339=$M339,"TBO-004","TBO-ENG")))))</f>
        <v/>
      </c>
      <c r="M339" s="31">
        <f>IF($A339="","",MAX($H339,$I339,$J339,$K339))</f>
        <v/>
      </c>
      <c r="O339" s="31">
        <f>IF($A339="","",MAX(0,$M339-IF($N339="TBO-001",$H339,IF($N339="TBO-002",$I339,IF($N339="TBO-004",$J339,IF($N339="TBO-ENG",$K339,0))))))</f>
        <v/>
      </c>
    </row>
    <row r="340">
      <c r="H340" s="31">
        <f>IF($A340="","",IF($D340="Evet",ROUND($C340*tbo_oranBesPuan,2),0))</f>
        <v/>
      </c>
      <c r="I340" s="31">
        <f>IF($A340="","",IF($E340="Evet",ROUND($C340*tbo_oranIlave,2),0))</f>
        <v/>
      </c>
      <c r="J340" s="31">
        <f>IF($A340="","",IF($F340="Evet",ROUND($C340*tbo_oranKadinGenc,2),0))</f>
        <v/>
      </c>
      <c r="K340" s="31">
        <f>IF($A340="","",IF($G340="Evet",ROUND($C340*tbo_isverenOran,2),0))</f>
        <v/>
      </c>
      <c r="L340" s="31">
        <f>IF($A340="","",IF($M340=0,"YOK",IF($I340=$M340,"TBO-002",IF($H340=$M340,"TBO-001",IF($J340=$M340,"TBO-004","TBO-ENG")))))</f>
        <v/>
      </c>
      <c r="M340" s="31">
        <f>IF($A340="","",MAX($H340,$I340,$J340,$K340))</f>
        <v/>
      </c>
      <c r="O340" s="31">
        <f>IF($A340="","",MAX(0,$M340-IF($N340="TBO-001",$H340,IF($N340="TBO-002",$I340,IF($N340="TBO-004",$J340,IF($N340="TBO-ENG",$K340,0))))))</f>
        <v/>
      </c>
    </row>
    <row r="341">
      <c r="H341" s="31">
        <f>IF($A341="","",IF($D341="Evet",ROUND($C341*tbo_oranBesPuan,2),0))</f>
        <v/>
      </c>
      <c r="I341" s="31">
        <f>IF($A341="","",IF($E341="Evet",ROUND($C341*tbo_oranIlave,2),0))</f>
        <v/>
      </c>
      <c r="J341" s="31">
        <f>IF($A341="","",IF($F341="Evet",ROUND($C341*tbo_oranKadinGenc,2),0))</f>
        <v/>
      </c>
      <c r="K341" s="31">
        <f>IF($A341="","",IF($G341="Evet",ROUND($C341*tbo_isverenOran,2),0))</f>
        <v/>
      </c>
      <c r="L341" s="31">
        <f>IF($A341="","",IF($M341=0,"YOK",IF($I341=$M341,"TBO-002",IF($H341=$M341,"TBO-001",IF($J341=$M341,"TBO-004","TBO-ENG")))))</f>
        <v/>
      </c>
      <c r="M341" s="31">
        <f>IF($A341="","",MAX($H341,$I341,$J341,$K341))</f>
        <v/>
      </c>
      <c r="O341" s="31">
        <f>IF($A341="","",MAX(0,$M341-IF($N341="TBO-001",$H341,IF($N341="TBO-002",$I341,IF($N341="TBO-004",$J341,IF($N341="TBO-ENG",$K341,0))))))</f>
        <v/>
      </c>
    </row>
    <row r="342">
      <c r="H342" s="31">
        <f>IF($A342="","",IF($D342="Evet",ROUND($C342*tbo_oranBesPuan,2),0))</f>
        <v/>
      </c>
      <c r="I342" s="31">
        <f>IF($A342="","",IF($E342="Evet",ROUND($C342*tbo_oranIlave,2),0))</f>
        <v/>
      </c>
      <c r="J342" s="31">
        <f>IF($A342="","",IF($F342="Evet",ROUND($C342*tbo_oranKadinGenc,2),0))</f>
        <v/>
      </c>
      <c r="K342" s="31">
        <f>IF($A342="","",IF($G342="Evet",ROUND($C342*tbo_isverenOran,2),0))</f>
        <v/>
      </c>
      <c r="L342" s="31">
        <f>IF($A342="","",IF($M342=0,"YOK",IF($I342=$M342,"TBO-002",IF($H342=$M342,"TBO-001",IF($J342=$M342,"TBO-004","TBO-ENG")))))</f>
        <v/>
      </c>
      <c r="M342" s="31">
        <f>IF($A342="","",MAX($H342,$I342,$J342,$K342))</f>
        <v/>
      </c>
      <c r="O342" s="31">
        <f>IF($A342="","",MAX(0,$M342-IF($N342="TBO-001",$H342,IF($N342="TBO-002",$I342,IF($N342="TBO-004",$J342,IF($N342="TBO-ENG",$K342,0))))))</f>
        <v/>
      </c>
    </row>
    <row r="343">
      <c r="H343" s="31">
        <f>IF($A343="","",IF($D343="Evet",ROUND($C343*tbo_oranBesPuan,2),0))</f>
        <v/>
      </c>
      <c r="I343" s="31">
        <f>IF($A343="","",IF($E343="Evet",ROUND($C343*tbo_oranIlave,2),0))</f>
        <v/>
      </c>
      <c r="J343" s="31">
        <f>IF($A343="","",IF($F343="Evet",ROUND($C343*tbo_oranKadinGenc,2),0))</f>
        <v/>
      </c>
      <c r="K343" s="31">
        <f>IF($A343="","",IF($G343="Evet",ROUND($C343*tbo_isverenOran,2),0))</f>
        <v/>
      </c>
      <c r="L343" s="31">
        <f>IF($A343="","",IF($M343=0,"YOK",IF($I343=$M343,"TBO-002",IF($H343=$M343,"TBO-001",IF($J343=$M343,"TBO-004","TBO-ENG")))))</f>
        <v/>
      </c>
      <c r="M343" s="31">
        <f>IF($A343="","",MAX($H343,$I343,$J343,$K343))</f>
        <v/>
      </c>
      <c r="O343" s="31">
        <f>IF($A343="","",MAX(0,$M343-IF($N343="TBO-001",$H343,IF($N343="TBO-002",$I343,IF($N343="TBO-004",$J343,IF($N343="TBO-ENG",$K343,0))))))</f>
        <v/>
      </c>
    </row>
    <row r="344">
      <c r="H344" s="31">
        <f>IF($A344="","",IF($D344="Evet",ROUND($C344*tbo_oranBesPuan,2),0))</f>
        <v/>
      </c>
      <c r="I344" s="31">
        <f>IF($A344="","",IF($E344="Evet",ROUND($C344*tbo_oranIlave,2),0))</f>
        <v/>
      </c>
      <c r="J344" s="31">
        <f>IF($A344="","",IF($F344="Evet",ROUND($C344*tbo_oranKadinGenc,2),0))</f>
        <v/>
      </c>
      <c r="K344" s="31">
        <f>IF($A344="","",IF($G344="Evet",ROUND($C344*tbo_isverenOran,2),0))</f>
        <v/>
      </c>
      <c r="L344" s="31">
        <f>IF($A344="","",IF($M344=0,"YOK",IF($I344=$M344,"TBO-002",IF($H344=$M344,"TBO-001",IF($J344=$M344,"TBO-004","TBO-ENG")))))</f>
        <v/>
      </c>
      <c r="M344" s="31">
        <f>IF($A344="","",MAX($H344,$I344,$J344,$K344))</f>
        <v/>
      </c>
      <c r="O344" s="31">
        <f>IF($A344="","",MAX(0,$M344-IF($N344="TBO-001",$H344,IF($N344="TBO-002",$I344,IF($N344="TBO-004",$J344,IF($N344="TBO-ENG",$K344,0))))))</f>
        <v/>
      </c>
    </row>
    <row r="345">
      <c r="H345" s="31">
        <f>IF($A345="","",IF($D345="Evet",ROUND($C345*tbo_oranBesPuan,2),0))</f>
        <v/>
      </c>
      <c r="I345" s="31">
        <f>IF($A345="","",IF($E345="Evet",ROUND($C345*tbo_oranIlave,2),0))</f>
        <v/>
      </c>
      <c r="J345" s="31">
        <f>IF($A345="","",IF($F345="Evet",ROUND($C345*tbo_oranKadinGenc,2),0))</f>
        <v/>
      </c>
      <c r="K345" s="31">
        <f>IF($A345="","",IF($G345="Evet",ROUND($C345*tbo_isverenOran,2),0))</f>
        <v/>
      </c>
      <c r="L345" s="31">
        <f>IF($A345="","",IF($M345=0,"YOK",IF($I345=$M345,"TBO-002",IF($H345=$M345,"TBO-001",IF($J345=$M345,"TBO-004","TBO-ENG")))))</f>
        <v/>
      </c>
      <c r="M345" s="31">
        <f>IF($A345="","",MAX($H345,$I345,$J345,$K345))</f>
        <v/>
      </c>
      <c r="O345" s="31">
        <f>IF($A345="","",MAX(0,$M345-IF($N345="TBO-001",$H345,IF($N345="TBO-002",$I345,IF($N345="TBO-004",$J345,IF($N345="TBO-ENG",$K345,0))))))</f>
        <v/>
      </c>
    </row>
    <row r="346">
      <c r="H346" s="31">
        <f>IF($A346="","",IF($D346="Evet",ROUND($C346*tbo_oranBesPuan,2),0))</f>
        <v/>
      </c>
      <c r="I346" s="31">
        <f>IF($A346="","",IF($E346="Evet",ROUND($C346*tbo_oranIlave,2),0))</f>
        <v/>
      </c>
      <c r="J346" s="31">
        <f>IF($A346="","",IF($F346="Evet",ROUND($C346*tbo_oranKadinGenc,2),0))</f>
        <v/>
      </c>
      <c r="K346" s="31">
        <f>IF($A346="","",IF($G346="Evet",ROUND($C346*tbo_isverenOran,2),0))</f>
        <v/>
      </c>
      <c r="L346" s="31">
        <f>IF($A346="","",IF($M346=0,"YOK",IF($I346=$M346,"TBO-002",IF($H346=$M346,"TBO-001",IF($J346=$M346,"TBO-004","TBO-ENG")))))</f>
        <v/>
      </c>
      <c r="M346" s="31">
        <f>IF($A346="","",MAX($H346,$I346,$J346,$K346))</f>
        <v/>
      </c>
      <c r="O346" s="31">
        <f>IF($A346="","",MAX(0,$M346-IF($N346="TBO-001",$H346,IF($N346="TBO-002",$I346,IF($N346="TBO-004",$J346,IF($N346="TBO-ENG",$K346,0))))))</f>
        <v/>
      </c>
    </row>
    <row r="347">
      <c r="H347" s="31">
        <f>IF($A347="","",IF($D347="Evet",ROUND($C347*tbo_oranBesPuan,2),0))</f>
        <v/>
      </c>
      <c r="I347" s="31">
        <f>IF($A347="","",IF($E347="Evet",ROUND($C347*tbo_oranIlave,2),0))</f>
        <v/>
      </c>
      <c r="J347" s="31">
        <f>IF($A347="","",IF($F347="Evet",ROUND($C347*tbo_oranKadinGenc,2),0))</f>
        <v/>
      </c>
      <c r="K347" s="31">
        <f>IF($A347="","",IF($G347="Evet",ROUND($C347*tbo_isverenOran,2),0))</f>
        <v/>
      </c>
      <c r="L347" s="31">
        <f>IF($A347="","",IF($M347=0,"YOK",IF($I347=$M347,"TBO-002",IF($H347=$M347,"TBO-001",IF($J347=$M347,"TBO-004","TBO-ENG")))))</f>
        <v/>
      </c>
      <c r="M347" s="31">
        <f>IF($A347="","",MAX($H347,$I347,$J347,$K347))</f>
        <v/>
      </c>
      <c r="O347" s="31">
        <f>IF($A347="","",MAX(0,$M347-IF($N347="TBO-001",$H347,IF($N347="TBO-002",$I347,IF($N347="TBO-004",$J347,IF($N347="TBO-ENG",$K347,0))))))</f>
        <v/>
      </c>
    </row>
    <row r="348">
      <c r="H348" s="31">
        <f>IF($A348="","",IF($D348="Evet",ROUND($C348*tbo_oranBesPuan,2),0))</f>
        <v/>
      </c>
      <c r="I348" s="31">
        <f>IF($A348="","",IF($E348="Evet",ROUND($C348*tbo_oranIlave,2),0))</f>
        <v/>
      </c>
      <c r="J348" s="31">
        <f>IF($A348="","",IF($F348="Evet",ROUND($C348*tbo_oranKadinGenc,2),0))</f>
        <v/>
      </c>
      <c r="K348" s="31">
        <f>IF($A348="","",IF($G348="Evet",ROUND($C348*tbo_isverenOran,2),0))</f>
        <v/>
      </c>
      <c r="L348" s="31">
        <f>IF($A348="","",IF($M348=0,"YOK",IF($I348=$M348,"TBO-002",IF($H348=$M348,"TBO-001",IF($J348=$M348,"TBO-004","TBO-ENG")))))</f>
        <v/>
      </c>
      <c r="M348" s="31">
        <f>IF($A348="","",MAX($H348,$I348,$J348,$K348))</f>
        <v/>
      </c>
      <c r="O348" s="31">
        <f>IF($A348="","",MAX(0,$M348-IF($N348="TBO-001",$H348,IF($N348="TBO-002",$I348,IF($N348="TBO-004",$J348,IF($N348="TBO-ENG",$K348,0))))))</f>
        <v/>
      </c>
    </row>
    <row r="349">
      <c r="H349" s="31">
        <f>IF($A349="","",IF($D349="Evet",ROUND($C349*tbo_oranBesPuan,2),0))</f>
        <v/>
      </c>
      <c r="I349" s="31">
        <f>IF($A349="","",IF($E349="Evet",ROUND($C349*tbo_oranIlave,2),0))</f>
        <v/>
      </c>
      <c r="J349" s="31">
        <f>IF($A349="","",IF($F349="Evet",ROUND($C349*tbo_oranKadinGenc,2),0))</f>
        <v/>
      </c>
      <c r="K349" s="31">
        <f>IF($A349="","",IF($G349="Evet",ROUND($C349*tbo_isverenOran,2),0))</f>
        <v/>
      </c>
      <c r="L349" s="31">
        <f>IF($A349="","",IF($M349=0,"YOK",IF($I349=$M349,"TBO-002",IF($H349=$M349,"TBO-001",IF($J349=$M349,"TBO-004","TBO-ENG")))))</f>
        <v/>
      </c>
      <c r="M349" s="31">
        <f>IF($A349="","",MAX($H349,$I349,$J349,$K349))</f>
        <v/>
      </c>
      <c r="O349" s="31">
        <f>IF($A349="","",MAX(0,$M349-IF($N349="TBO-001",$H349,IF($N349="TBO-002",$I349,IF($N349="TBO-004",$J349,IF($N349="TBO-ENG",$K349,0))))))</f>
        <v/>
      </c>
    </row>
    <row r="350">
      <c r="H350" s="31">
        <f>IF($A350="","",IF($D350="Evet",ROUND($C350*tbo_oranBesPuan,2),0))</f>
        <v/>
      </c>
      <c r="I350" s="31">
        <f>IF($A350="","",IF($E350="Evet",ROUND($C350*tbo_oranIlave,2),0))</f>
        <v/>
      </c>
      <c r="J350" s="31">
        <f>IF($A350="","",IF($F350="Evet",ROUND($C350*tbo_oranKadinGenc,2),0))</f>
        <v/>
      </c>
      <c r="K350" s="31">
        <f>IF($A350="","",IF($G350="Evet",ROUND($C350*tbo_isverenOran,2),0))</f>
        <v/>
      </c>
      <c r="L350" s="31">
        <f>IF($A350="","",IF($M350=0,"YOK",IF($I350=$M350,"TBO-002",IF($H350=$M350,"TBO-001",IF($J350=$M350,"TBO-004","TBO-ENG")))))</f>
        <v/>
      </c>
      <c r="M350" s="31">
        <f>IF($A350="","",MAX($H350,$I350,$J350,$K350))</f>
        <v/>
      </c>
      <c r="O350" s="31">
        <f>IF($A350="","",MAX(0,$M350-IF($N350="TBO-001",$H350,IF($N350="TBO-002",$I350,IF($N350="TBO-004",$J350,IF($N350="TBO-ENG",$K350,0))))))</f>
        <v/>
      </c>
    </row>
    <row r="351">
      <c r="H351" s="31">
        <f>IF($A351="","",IF($D351="Evet",ROUND($C351*tbo_oranBesPuan,2),0))</f>
        <v/>
      </c>
      <c r="I351" s="31">
        <f>IF($A351="","",IF($E351="Evet",ROUND($C351*tbo_oranIlave,2),0))</f>
        <v/>
      </c>
      <c r="J351" s="31">
        <f>IF($A351="","",IF($F351="Evet",ROUND($C351*tbo_oranKadinGenc,2),0))</f>
        <v/>
      </c>
      <c r="K351" s="31">
        <f>IF($A351="","",IF($G351="Evet",ROUND($C351*tbo_isverenOran,2),0))</f>
        <v/>
      </c>
      <c r="L351" s="31">
        <f>IF($A351="","",IF($M351=0,"YOK",IF($I351=$M351,"TBO-002",IF($H351=$M351,"TBO-001",IF($J351=$M351,"TBO-004","TBO-ENG")))))</f>
        <v/>
      </c>
      <c r="M351" s="31">
        <f>IF($A351="","",MAX($H351,$I351,$J351,$K351))</f>
        <v/>
      </c>
      <c r="O351" s="31">
        <f>IF($A351="","",MAX(0,$M351-IF($N351="TBO-001",$H351,IF($N351="TBO-002",$I351,IF($N351="TBO-004",$J351,IF($N351="TBO-ENG",$K351,0))))))</f>
        <v/>
      </c>
    </row>
    <row r="352">
      <c r="H352" s="31">
        <f>IF($A352="","",IF($D352="Evet",ROUND($C352*tbo_oranBesPuan,2),0))</f>
        <v/>
      </c>
      <c r="I352" s="31">
        <f>IF($A352="","",IF($E352="Evet",ROUND($C352*tbo_oranIlave,2),0))</f>
        <v/>
      </c>
      <c r="J352" s="31">
        <f>IF($A352="","",IF($F352="Evet",ROUND($C352*tbo_oranKadinGenc,2),0))</f>
        <v/>
      </c>
      <c r="K352" s="31">
        <f>IF($A352="","",IF($G352="Evet",ROUND($C352*tbo_isverenOran,2),0))</f>
        <v/>
      </c>
      <c r="L352" s="31">
        <f>IF($A352="","",IF($M352=0,"YOK",IF($I352=$M352,"TBO-002",IF($H352=$M352,"TBO-001",IF($J352=$M352,"TBO-004","TBO-ENG")))))</f>
        <v/>
      </c>
      <c r="M352" s="31">
        <f>IF($A352="","",MAX($H352,$I352,$J352,$K352))</f>
        <v/>
      </c>
      <c r="O352" s="31">
        <f>IF($A352="","",MAX(0,$M352-IF($N352="TBO-001",$H352,IF($N352="TBO-002",$I352,IF($N352="TBO-004",$J352,IF($N352="TBO-ENG",$K352,0))))))</f>
        <v/>
      </c>
    </row>
    <row r="353">
      <c r="H353" s="31">
        <f>IF($A353="","",IF($D353="Evet",ROUND($C353*tbo_oranBesPuan,2),0))</f>
        <v/>
      </c>
      <c r="I353" s="31">
        <f>IF($A353="","",IF($E353="Evet",ROUND($C353*tbo_oranIlave,2),0))</f>
        <v/>
      </c>
      <c r="J353" s="31">
        <f>IF($A353="","",IF($F353="Evet",ROUND($C353*tbo_oranKadinGenc,2),0))</f>
        <v/>
      </c>
      <c r="K353" s="31">
        <f>IF($A353="","",IF($G353="Evet",ROUND($C353*tbo_isverenOran,2),0))</f>
        <v/>
      </c>
      <c r="L353" s="31">
        <f>IF($A353="","",IF($M353=0,"YOK",IF($I353=$M353,"TBO-002",IF($H353=$M353,"TBO-001",IF($J353=$M353,"TBO-004","TBO-ENG")))))</f>
        <v/>
      </c>
      <c r="M353" s="31">
        <f>IF($A353="","",MAX($H353,$I353,$J353,$K353))</f>
        <v/>
      </c>
      <c r="O353" s="31">
        <f>IF($A353="","",MAX(0,$M353-IF($N353="TBO-001",$H353,IF($N353="TBO-002",$I353,IF($N353="TBO-004",$J353,IF($N353="TBO-ENG",$K353,0))))))</f>
        <v/>
      </c>
    </row>
    <row r="354">
      <c r="H354" s="31">
        <f>IF($A354="","",IF($D354="Evet",ROUND($C354*tbo_oranBesPuan,2),0))</f>
        <v/>
      </c>
      <c r="I354" s="31">
        <f>IF($A354="","",IF($E354="Evet",ROUND($C354*tbo_oranIlave,2),0))</f>
        <v/>
      </c>
      <c r="J354" s="31">
        <f>IF($A354="","",IF($F354="Evet",ROUND($C354*tbo_oranKadinGenc,2),0))</f>
        <v/>
      </c>
      <c r="K354" s="31">
        <f>IF($A354="","",IF($G354="Evet",ROUND($C354*tbo_isverenOran,2),0))</f>
        <v/>
      </c>
      <c r="L354" s="31">
        <f>IF($A354="","",IF($M354=0,"YOK",IF($I354=$M354,"TBO-002",IF($H354=$M354,"TBO-001",IF($J354=$M354,"TBO-004","TBO-ENG")))))</f>
        <v/>
      </c>
      <c r="M354" s="31">
        <f>IF($A354="","",MAX($H354,$I354,$J354,$K354))</f>
        <v/>
      </c>
      <c r="O354" s="31">
        <f>IF($A354="","",MAX(0,$M354-IF($N354="TBO-001",$H354,IF($N354="TBO-002",$I354,IF($N354="TBO-004",$J354,IF($N354="TBO-ENG",$K354,0))))))</f>
        <v/>
      </c>
    </row>
    <row r="355">
      <c r="H355" s="31">
        <f>IF($A355="","",IF($D355="Evet",ROUND($C355*tbo_oranBesPuan,2),0))</f>
        <v/>
      </c>
      <c r="I355" s="31">
        <f>IF($A355="","",IF($E355="Evet",ROUND($C355*tbo_oranIlave,2),0))</f>
        <v/>
      </c>
      <c r="J355" s="31">
        <f>IF($A355="","",IF($F355="Evet",ROUND($C355*tbo_oranKadinGenc,2),0))</f>
        <v/>
      </c>
      <c r="K355" s="31">
        <f>IF($A355="","",IF($G355="Evet",ROUND($C355*tbo_isverenOran,2),0))</f>
        <v/>
      </c>
      <c r="L355" s="31">
        <f>IF($A355="","",IF($M355=0,"YOK",IF($I355=$M355,"TBO-002",IF($H355=$M355,"TBO-001",IF($J355=$M355,"TBO-004","TBO-ENG")))))</f>
        <v/>
      </c>
      <c r="M355" s="31">
        <f>IF($A355="","",MAX($H355,$I355,$J355,$K355))</f>
        <v/>
      </c>
      <c r="O355" s="31">
        <f>IF($A355="","",MAX(0,$M355-IF($N355="TBO-001",$H355,IF($N355="TBO-002",$I355,IF($N355="TBO-004",$J355,IF($N355="TBO-ENG",$K355,0))))))</f>
        <v/>
      </c>
    </row>
    <row r="356">
      <c r="H356" s="31">
        <f>IF($A356="","",IF($D356="Evet",ROUND($C356*tbo_oranBesPuan,2),0))</f>
        <v/>
      </c>
      <c r="I356" s="31">
        <f>IF($A356="","",IF($E356="Evet",ROUND($C356*tbo_oranIlave,2),0))</f>
        <v/>
      </c>
      <c r="J356" s="31">
        <f>IF($A356="","",IF($F356="Evet",ROUND($C356*tbo_oranKadinGenc,2),0))</f>
        <v/>
      </c>
      <c r="K356" s="31">
        <f>IF($A356="","",IF($G356="Evet",ROUND($C356*tbo_isverenOran,2),0))</f>
        <v/>
      </c>
      <c r="L356" s="31">
        <f>IF($A356="","",IF($M356=0,"YOK",IF($I356=$M356,"TBO-002",IF($H356=$M356,"TBO-001",IF($J356=$M356,"TBO-004","TBO-ENG")))))</f>
        <v/>
      </c>
      <c r="M356" s="31">
        <f>IF($A356="","",MAX($H356,$I356,$J356,$K356))</f>
        <v/>
      </c>
      <c r="O356" s="31">
        <f>IF($A356="","",MAX(0,$M356-IF($N356="TBO-001",$H356,IF($N356="TBO-002",$I356,IF($N356="TBO-004",$J356,IF($N356="TBO-ENG",$K356,0))))))</f>
        <v/>
      </c>
    </row>
    <row r="357">
      <c r="H357" s="31">
        <f>IF($A357="","",IF($D357="Evet",ROUND($C357*tbo_oranBesPuan,2),0))</f>
        <v/>
      </c>
      <c r="I357" s="31">
        <f>IF($A357="","",IF($E357="Evet",ROUND($C357*tbo_oranIlave,2),0))</f>
        <v/>
      </c>
      <c r="J357" s="31">
        <f>IF($A357="","",IF($F357="Evet",ROUND($C357*tbo_oranKadinGenc,2),0))</f>
        <v/>
      </c>
      <c r="K357" s="31">
        <f>IF($A357="","",IF($G357="Evet",ROUND($C357*tbo_isverenOran,2),0))</f>
        <v/>
      </c>
      <c r="L357" s="31">
        <f>IF($A357="","",IF($M357=0,"YOK",IF($I357=$M357,"TBO-002",IF($H357=$M357,"TBO-001",IF($J357=$M357,"TBO-004","TBO-ENG")))))</f>
        <v/>
      </c>
      <c r="M357" s="31">
        <f>IF($A357="","",MAX($H357,$I357,$J357,$K357))</f>
        <v/>
      </c>
      <c r="O357" s="31">
        <f>IF($A357="","",MAX(0,$M357-IF($N357="TBO-001",$H357,IF($N357="TBO-002",$I357,IF($N357="TBO-004",$J357,IF($N357="TBO-ENG",$K357,0))))))</f>
        <v/>
      </c>
    </row>
    <row r="358">
      <c r="H358" s="31">
        <f>IF($A358="","",IF($D358="Evet",ROUND($C358*tbo_oranBesPuan,2),0))</f>
        <v/>
      </c>
      <c r="I358" s="31">
        <f>IF($A358="","",IF($E358="Evet",ROUND($C358*tbo_oranIlave,2),0))</f>
        <v/>
      </c>
      <c r="J358" s="31">
        <f>IF($A358="","",IF($F358="Evet",ROUND($C358*tbo_oranKadinGenc,2),0))</f>
        <v/>
      </c>
      <c r="K358" s="31">
        <f>IF($A358="","",IF($G358="Evet",ROUND($C358*tbo_isverenOran,2),0))</f>
        <v/>
      </c>
      <c r="L358" s="31">
        <f>IF($A358="","",IF($M358=0,"YOK",IF($I358=$M358,"TBO-002",IF($H358=$M358,"TBO-001",IF($J358=$M358,"TBO-004","TBO-ENG")))))</f>
        <v/>
      </c>
      <c r="M358" s="31">
        <f>IF($A358="","",MAX($H358,$I358,$J358,$K358))</f>
        <v/>
      </c>
      <c r="O358" s="31">
        <f>IF($A358="","",MAX(0,$M358-IF($N358="TBO-001",$H358,IF($N358="TBO-002",$I358,IF($N358="TBO-004",$J358,IF($N358="TBO-ENG",$K358,0))))))</f>
        <v/>
      </c>
    </row>
    <row r="359">
      <c r="H359" s="31">
        <f>IF($A359="","",IF($D359="Evet",ROUND($C359*tbo_oranBesPuan,2),0))</f>
        <v/>
      </c>
      <c r="I359" s="31">
        <f>IF($A359="","",IF($E359="Evet",ROUND($C359*tbo_oranIlave,2),0))</f>
        <v/>
      </c>
      <c r="J359" s="31">
        <f>IF($A359="","",IF($F359="Evet",ROUND($C359*tbo_oranKadinGenc,2),0))</f>
        <v/>
      </c>
      <c r="K359" s="31">
        <f>IF($A359="","",IF($G359="Evet",ROUND($C359*tbo_isverenOran,2),0))</f>
        <v/>
      </c>
      <c r="L359" s="31">
        <f>IF($A359="","",IF($M359=0,"YOK",IF($I359=$M359,"TBO-002",IF($H359=$M359,"TBO-001",IF($J359=$M359,"TBO-004","TBO-ENG")))))</f>
        <v/>
      </c>
      <c r="M359" s="31">
        <f>IF($A359="","",MAX($H359,$I359,$J359,$K359))</f>
        <v/>
      </c>
      <c r="O359" s="31">
        <f>IF($A359="","",MAX(0,$M359-IF($N359="TBO-001",$H359,IF($N359="TBO-002",$I359,IF($N359="TBO-004",$J359,IF($N359="TBO-ENG",$K359,0))))))</f>
        <v/>
      </c>
    </row>
    <row r="360">
      <c r="H360" s="31">
        <f>IF($A360="","",IF($D360="Evet",ROUND($C360*tbo_oranBesPuan,2),0))</f>
        <v/>
      </c>
      <c r="I360" s="31">
        <f>IF($A360="","",IF($E360="Evet",ROUND($C360*tbo_oranIlave,2),0))</f>
        <v/>
      </c>
      <c r="J360" s="31">
        <f>IF($A360="","",IF($F360="Evet",ROUND($C360*tbo_oranKadinGenc,2),0))</f>
        <v/>
      </c>
      <c r="K360" s="31">
        <f>IF($A360="","",IF($G360="Evet",ROUND($C360*tbo_isverenOran,2),0))</f>
        <v/>
      </c>
      <c r="L360" s="31">
        <f>IF($A360="","",IF($M360=0,"YOK",IF($I360=$M360,"TBO-002",IF($H360=$M360,"TBO-001",IF($J360=$M360,"TBO-004","TBO-ENG")))))</f>
        <v/>
      </c>
      <c r="M360" s="31">
        <f>IF($A360="","",MAX($H360,$I360,$J360,$K360))</f>
        <v/>
      </c>
      <c r="O360" s="31">
        <f>IF($A360="","",MAX(0,$M360-IF($N360="TBO-001",$H360,IF($N360="TBO-002",$I360,IF($N360="TBO-004",$J360,IF($N360="TBO-ENG",$K360,0))))))</f>
        <v/>
      </c>
    </row>
    <row r="361">
      <c r="H361" s="31">
        <f>IF($A361="","",IF($D361="Evet",ROUND($C361*tbo_oranBesPuan,2),0))</f>
        <v/>
      </c>
      <c r="I361" s="31">
        <f>IF($A361="","",IF($E361="Evet",ROUND($C361*tbo_oranIlave,2),0))</f>
        <v/>
      </c>
      <c r="J361" s="31">
        <f>IF($A361="","",IF($F361="Evet",ROUND($C361*tbo_oranKadinGenc,2),0))</f>
        <v/>
      </c>
      <c r="K361" s="31">
        <f>IF($A361="","",IF($G361="Evet",ROUND($C361*tbo_isverenOran,2),0))</f>
        <v/>
      </c>
      <c r="L361" s="31">
        <f>IF($A361="","",IF($M361=0,"YOK",IF($I361=$M361,"TBO-002",IF($H361=$M361,"TBO-001",IF($J361=$M361,"TBO-004","TBO-ENG")))))</f>
        <v/>
      </c>
      <c r="M361" s="31">
        <f>IF($A361="","",MAX($H361,$I361,$J361,$K361))</f>
        <v/>
      </c>
      <c r="O361" s="31">
        <f>IF($A361="","",MAX(0,$M361-IF($N361="TBO-001",$H361,IF($N361="TBO-002",$I361,IF($N361="TBO-004",$J361,IF($N361="TBO-ENG",$K361,0))))))</f>
        <v/>
      </c>
    </row>
    <row r="362">
      <c r="H362" s="31">
        <f>IF($A362="","",IF($D362="Evet",ROUND($C362*tbo_oranBesPuan,2),0))</f>
        <v/>
      </c>
      <c r="I362" s="31">
        <f>IF($A362="","",IF($E362="Evet",ROUND($C362*tbo_oranIlave,2),0))</f>
        <v/>
      </c>
      <c r="J362" s="31">
        <f>IF($A362="","",IF($F362="Evet",ROUND($C362*tbo_oranKadinGenc,2),0))</f>
        <v/>
      </c>
      <c r="K362" s="31">
        <f>IF($A362="","",IF($G362="Evet",ROUND($C362*tbo_isverenOran,2),0))</f>
        <v/>
      </c>
      <c r="L362" s="31">
        <f>IF($A362="","",IF($M362=0,"YOK",IF($I362=$M362,"TBO-002",IF($H362=$M362,"TBO-001",IF($J362=$M362,"TBO-004","TBO-ENG")))))</f>
        <v/>
      </c>
      <c r="M362" s="31">
        <f>IF($A362="","",MAX($H362,$I362,$J362,$K362))</f>
        <v/>
      </c>
      <c r="O362" s="31">
        <f>IF($A362="","",MAX(0,$M362-IF($N362="TBO-001",$H362,IF($N362="TBO-002",$I362,IF($N362="TBO-004",$J362,IF($N362="TBO-ENG",$K362,0))))))</f>
        <v/>
      </c>
    </row>
    <row r="363">
      <c r="H363" s="31">
        <f>IF($A363="","",IF($D363="Evet",ROUND($C363*tbo_oranBesPuan,2),0))</f>
        <v/>
      </c>
      <c r="I363" s="31">
        <f>IF($A363="","",IF($E363="Evet",ROUND($C363*tbo_oranIlave,2),0))</f>
        <v/>
      </c>
      <c r="J363" s="31">
        <f>IF($A363="","",IF($F363="Evet",ROUND($C363*tbo_oranKadinGenc,2),0))</f>
        <v/>
      </c>
      <c r="K363" s="31">
        <f>IF($A363="","",IF($G363="Evet",ROUND($C363*tbo_isverenOran,2),0))</f>
        <v/>
      </c>
      <c r="L363" s="31">
        <f>IF($A363="","",IF($M363=0,"YOK",IF($I363=$M363,"TBO-002",IF($H363=$M363,"TBO-001",IF($J363=$M363,"TBO-004","TBO-ENG")))))</f>
        <v/>
      </c>
      <c r="M363" s="31">
        <f>IF($A363="","",MAX($H363,$I363,$J363,$K363))</f>
        <v/>
      </c>
      <c r="O363" s="31">
        <f>IF($A363="","",MAX(0,$M363-IF($N363="TBO-001",$H363,IF($N363="TBO-002",$I363,IF($N363="TBO-004",$J363,IF($N363="TBO-ENG",$K363,0))))))</f>
        <v/>
      </c>
    </row>
    <row r="364">
      <c r="H364" s="31">
        <f>IF($A364="","",IF($D364="Evet",ROUND($C364*tbo_oranBesPuan,2),0))</f>
        <v/>
      </c>
      <c r="I364" s="31">
        <f>IF($A364="","",IF($E364="Evet",ROUND($C364*tbo_oranIlave,2),0))</f>
        <v/>
      </c>
      <c r="J364" s="31">
        <f>IF($A364="","",IF($F364="Evet",ROUND($C364*tbo_oranKadinGenc,2),0))</f>
        <v/>
      </c>
      <c r="K364" s="31">
        <f>IF($A364="","",IF($G364="Evet",ROUND($C364*tbo_isverenOran,2),0))</f>
        <v/>
      </c>
      <c r="L364" s="31">
        <f>IF($A364="","",IF($M364=0,"YOK",IF($I364=$M364,"TBO-002",IF($H364=$M364,"TBO-001",IF($J364=$M364,"TBO-004","TBO-ENG")))))</f>
        <v/>
      </c>
      <c r="M364" s="31">
        <f>IF($A364="","",MAX($H364,$I364,$J364,$K364))</f>
        <v/>
      </c>
      <c r="O364" s="31">
        <f>IF($A364="","",MAX(0,$M364-IF($N364="TBO-001",$H364,IF($N364="TBO-002",$I364,IF($N364="TBO-004",$J364,IF($N364="TBO-ENG",$K364,0))))))</f>
        <v/>
      </c>
    </row>
    <row r="365">
      <c r="H365" s="31">
        <f>IF($A365="","",IF($D365="Evet",ROUND($C365*tbo_oranBesPuan,2),0))</f>
        <v/>
      </c>
      <c r="I365" s="31">
        <f>IF($A365="","",IF($E365="Evet",ROUND($C365*tbo_oranIlave,2),0))</f>
        <v/>
      </c>
      <c r="J365" s="31">
        <f>IF($A365="","",IF($F365="Evet",ROUND($C365*tbo_oranKadinGenc,2),0))</f>
        <v/>
      </c>
      <c r="K365" s="31">
        <f>IF($A365="","",IF($G365="Evet",ROUND($C365*tbo_isverenOran,2),0))</f>
        <v/>
      </c>
      <c r="L365" s="31">
        <f>IF($A365="","",IF($M365=0,"YOK",IF($I365=$M365,"TBO-002",IF($H365=$M365,"TBO-001",IF($J365=$M365,"TBO-004","TBO-ENG")))))</f>
        <v/>
      </c>
      <c r="M365" s="31">
        <f>IF($A365="","",MAX($H365,$I365,$J365,$K365))</f>
        <v/>
      </c>
      <c r="O365" s="31">
        <f>IF($A365="","",MAX(0,$M365-IF($N365="TBO-001",$H365,IF($N365="TBO-002",$I365,IF($N365="TBO-004",$J365,IF($N365="TBO-ENG",$K365,0))))))</f>
        <v/>
      </c>
    </row>
    <row r="366">
      <c r="H366" s="31">
        <f>IF($A366="","",IF($D366="Evet",ROUND($C366*tbo_oranBesPuan,2),0))</f>
        <v/>
      </c>
      <c r="I366" s="31">
        <f>IF($A366="","",IF($E366="Evet",ROUND($C366*tbo_oranIlave,2),0))</f>
        <v/>
      </c>
      <c r="J366" s="31">
        <f>IF($A366="","",IF($F366="Evet",ROUND($C366*tbo_oranKadinGenc,2),0))</f>
        <v/>
      </c>
      <c r="K366" s="31">
        <f>IF($A366="","",IF($G366="Evet",ROUND($C366*tbo_isverenOran,2),0))</f>
        <v/>
      </c>
      <c r="L366" s="31">
        <f>IF($A366="","",IF($M366=0,"YOK",IF($I366=$M366,"TBO-002",IF($H366=$M366,"TBO-001",IF($J366=$M366,"TBO-004","TBO-ENG")))))</f>
        <v/>
      </c>
      <c r="M366" s="31">
        <f>IF($A366="","",MAX($H366,$I366,$J366,$K366))</f>
        <v/>
      </c>
      <c r="O366" s="31">
        <f>IF($A366="","",MAX(0,$M366-IF($N366="TBO-001",$H366,IF($N366="TBO-002",$I366,IF($N366="TBO-004",$J366,IF($N366="TBO-ENG",$K366,0))))))</f>
        <v/>
      </c>
    </row>
    <row r="367">
      <c r="H367" s="31">
        <f>IF($A367="","",IF($D367="Evet",ROUND($C367*tbo_oranBesPuan,2),0))</f>
        <v/>
      </c>
      <c r="I367" s="31">
        <f>IF($A367="","",IF($E367="Evet",ROUND($C367*tbo_oranIlave,2),0))</f>
        <v/>
      </c>
      <c r="J367" s="31">
        <f>IF($A367="","",IF($F367="Evet",ROUND($C367*tbo_oranKadinGenc,2),0))</f>
        <v/>
      </c>
      <c r="K367" s="31">
        <f>IF($A367="","",IF($G367="Evet",ROUND($C367*tbo_isverenOran,2),0))</f>
        <v/>
      </c>
      <c r="L367" s="31">
        <f>IF($A367="","",IF($M367=0,"YOK",IF($I367=$M367,"TBO-002",IF($H367=$M367,"TBO-001",IF($J367=$M367,"TBO-004","TBO-ENG")))))</f>
        <v/>
      </c>
      <c r="M367" s="31">
        <f>IF($A367="","",MAX($H367,$I367,$J367,$K367))</f>
        <v/>
      </c>
      <c r="O367" s="31">
        <f>IF($A367="","",MAX(0,$M367-IF($N367="TBO-001",$H367,IF($N367="TBO-002",$I367,IF($N367="TBO-004",$J367,IF($N367="TBO-ENG",$K367,0))))))</f>
        <v/>
      </c>
    </row>
    <row r="368">
      <c r="H368" s="31">
        <f>IF($A368="","",IF($D368="Evet",ROUND($C368*tbo_oranBesPuan,2),0))</f>
        <v/>
      </c>
      <c r="I368" s="31">
        <f>IF($A368="","",IF($E368="Evet",ROUND($C368*tbo_oranIlave,2),0))</f>
        <v/>
      </c>
      <c r="J368" s="31">
        <f>IF($A368="","",IF($F368="Evet",ROUND($C368*tbo_oranKadinGenc,2),0))</f>
        <v/>
      </c>
      <c r="K368" s="31">
        <f>IF($A368="","",IF($G368="Evet",ROUND($C368*tbo_isverenOran,2),0))</f>
        <v/>
      </c>
      <c r="L368" s="31">
        <f>IF($A368="","",IF($M368=0,"YOK",IF($I368=$M368,"TBO-002",IF($H368=$M368,"TBO-001",IF($J368=$M368,"TBO-004","TBO-ENG")))))</f>
        <v/>
      </c>
      <c r="M368" s="31">
        <f>IF($A368="","",MAX($H368,$I368,$J368,$K368))</f>
        <v/>
      </c>
      <c r="O368" s="31">
        <f>IF($A368="","",MAX(0,$M368-IF($N368="TBO-001",$H368,IF($N368="TBO-002",$I368,IF($N368="TBO-004",$J368,IF($N368="TBO-ENG",$K368,0))))))</f>
        <v/>
      </c>
    </row>
    <row r="369">
      <c r="H369" s="31">
        <f>IF($A369="","",IF($D369="Evet",ROUND($C369*tbo_oranBesPuan,2),0))</f>
        <v/>
      </c>
      <c r="I369" s="31">
        <f>IF($A369="","",IF($E369="Evet",ROUND($C369*tbo_oranIlave,2),0))</f>
        <v/>
      </c>
      <c r="J369" s="31">
        <f>IF($A369="","",IF($F369="Evet",ROUND($C369*tbo_oranKadinGenc,2),0))</f>
        <v/>
      </c>
      <c r="K369" s="31">
        <f>IF($A369="","",IF($G369="Evet",ROUND($C369*tbo_isverenOran,2),0))</f>
        <v/>
      </c>
      <c r="L369" s="31">
        <f>IF($A369="","",IF($M369=0,"YOK",IF($I369=$M369,"TBO-002",IF($H369=$M369,"TBO-001",IF($J369=$M369,"TBO-004","TBO-ENG")))))</f>
        <v/>
      </c>
      <c r="M369" s="31">
        <f>IF($A369="","",MAX($H369,$I369,$J369,$K369))</f>
        <v/>
      </c>
      <c r="O369" s="31">
        <f>IF($A369="","",MAX(0,$M369-IF($N369="TBO-001",$H369,IF($N369="TBO-002",$I369,IF($N369="TBO-004",$J369,IF($N369="TBO-ENG",$K369,0))))))</f>
        <v/>
      </c>
    </row>
    <row r="370">
      <c r="H370" s="31">
        <f>IF($A370="","",IF($D370="Evet",ROUND($C370*tbo_oranBesPuan,2),0))</f>
        <v/>
      </c>
      <c r="I370" s="31">
        <f>IF($A370="","",IF($E370="Evet",ROUND($C370*tbo_oranIlave,2),0))</f>
        <v/>
      </c>
      <c r="J370" s="31">
        <f>IF($A370="","",IF($F370="Evet",ROUND($C370*tbo_oranKadinGenc,2),0))</f>
        <v/>
      </c>
      <c r="K370" s="31">
        <f>IF($A370="","",IF($G370="Evet",ROUND($C370*tbo_isverenOran,2),0))</f>
        <v/>
      </c>
      <c r="L370" s="31">
        <f>IF($A370="","",IF($M370=0,"YOK",IF($I370=$M370,"TBO-002",IF($H370=$M370,"TBO-001",IF($J370=$M370,"TBO-004","TBO-ENG")))))</f>
        <v/>
      </c>
      <c r="M370" s="31">
        <f>IF($A370="","",MAX($H370,$I370,$J370,$K370))</f>
        <v/>
      </c>
      <c r="O370" s="31">
        <f>IF($A370="","",MAX(0,$M370-IF($N370="TBO-001",$H370,IF($N370="TBO-002",$I370,IF($N370="TBO-004",$J370,IF($N370="TBO-ENG",$K370,0))))))</f>
        <v/>
      </c>
    </row>
    <row r="371">
      <c r="H371" s="31">
        <f>IF($A371="","",IF($D371="Evet",ROUND($C371*tbo_oranBesPuan,2),0))</f>
        <v/>
      </c>
      <c r="I371" s="31">
        <f>IF($A371="","",IF($E371="Evet",ROUND($C371*tbo_oranIlave,2),0))</f>
        <v/>
      </c>
      <c r="J371" s="31">
        <f>IF($A371="","",IF($F371="Evet",ROUND($C371*tbo_oranKadinGenc,2),0))</f>
        <v/>
      </c>
      <c r="K371" s="31">
        <f>IF($A371="","",IF($G371="Evet",ROUND($C371*tbo_isverenOran,2),0))</f>
        <v/>
      </c>
      <c r="L371" s="31">
        <f>IF($A371="","",IF($M371=0,"YOK",IF($I371=$M371,"TBO-002",IF($H371=$M371,"TBO-001",IF($J371=$M371,"TBO-004","TBO-ENG")))))</f>
        <v/>
      </c>
      <c r="M371" s="31">
        <f>IF($A371="","",MAX($H371,$I371,$J371,$K371))</f>
        <v/>
      </c>
      <c r="O371" s="31">
        <f>IF($A371="","",MAX(0,$M371-IF($N371="TBO-001",$H371,IF($N371="TBO-002",$I371,IF($N371="TBO-004",$J371,IF($N371="TBO-ENG",$K371,0))))))</f>
        <v/>
      </c>
    </row>
    <row r="372">
      <c r="H372" s="31">
        <f>IF($A372="","",IF($D372="Evet",ROUND($C372*tbo_oranBesPuan,2),0))</f>
        <v/>
      </c>
      <c r="I372" s="31">
        <f>IF($A372="","",IF($E372="Evet",ROUND($C372*tbo_oranIlave,2),0))</f>
        <v/>
      </c>
      <c r="J372" s="31">
        <f>IF($A372="","",IF($F372="Evet",ROUND($C372*tbo_oranKadinGenc,2),0))</f>
        <v/>
      </c>
      <c r="K372" s="31">
        <f>IF($A372="","",IF($G372="Evet",ROUND($C372*tbo_isverenOran,2),0))</f>
        <v/>
      </c>
      <c r="L372" s="31">
        <f>IF($A372="","",IF($M372=0,"YOK",IF($I372=$M372,"TBO-002",IF($H372=$M372,"TBO-001",IF($J372=$M372,"TBO-004","TBO-ENG")))))</f>
        <v/>
      </c>
      <c r="M372" s="31">
        <f>IF($A372="","",MAX($H372,$I372,$J372,$K372))</f>
        <v/>
      </c>
      <c r="O372" s="31">
        <f>IF($A372="","",MAX(0,$M372-IF($N372="TBO-001",$H372,IF($N372="TBO-002",$I372,IF($N372="TBO-004",$J372,IF($N372="TBO-ENG",$K372,0))))))</f>
        <v/>
      </c>
    </row>
    <row r="373">
      <c r="H373" s="31">
        <f>IF($A373="","",IF($D373="Evet",ROUND($C373*tbo_oranBesPuan,2),0))</f>
        <v/>
      </c>
      <c r="I373" s="31">
        <f>IF($A373="","",IF($E373="Evet",ROUND($C373*tbo_oranIlave,2),0))</f>
        <v/>
      </c>
      <c r="J373" s="31">
        <f>IF($A373="","",IF($F373="Evet",ROUND($C373*tbo_oranKadinGenc,2),0))</f>
        <v/>
      </c>
      <c r="K373" s="31">
        <f>IF($A373="","",IF($G373="Evet",ROUND($C373*tbo_isverenOran,2),0))</f>
        <v/>
      </c>
      <c r="L373" s="31">
        <f>IF($A373="","",IF($M373=0,"YOK",IF($I373=$M373,"TBO-002",IF($H373=$M373,"TBO-001",IF($J373=$M373,"TBO-004","TBO-ENG")))))</f>
        <v/>
      </c>
      <c r="M373" s="31">
        <f>IF($A373="","",MAX($H373,$I373,$J373,$K373))</f>
        <v/>
      </c>
      <c r="O373" s="31">
        <f>IF($A373="","",MAX(0,$M373-IF($N373="TBO-001",$H373,IF($N373="TBO-002",$I373,IF($N373="TBO-004",$J373,IF($N373="TBO-ENG",$K373,0))))))</f>
        <v/>
      </c>
    </row>
    <row r="374">
      <c r="H374" s="31">
        <f>IF($A374="","",IF($D374="Evet",ROUND($C374*tbo_oranBesPuan,2),0))</f>
        <v/>
      </c>
      <c r="I374" s="31">
        <f>IF($A374="","",IF($E374="Evet",ROUND($C374*tbo_oranIlave,2),0))</f>
        <v/>
      </c>
      <c r="J374" s="31">
        <f>IF($A374="","",IF($F374="Evet",ROUND($C374*tbo_oranKadinGenc,2),0))</f>
        <v/>
      </c>
      <c r="K374" s="31">
        <f>IF($A374="","",IF($G374="Evet",ROUND($C374*tbo_isverenOran,2),0))</f>
        <v/>
      </c>
      <c r="L374" s="31">
        <f>IF($A374="","",IF($M374=0,"YOK",IF($I374=$M374,"TBO-002",IF($H374=$M374,"TBO-001",IF($J374=$M374,"TBO-004","TBO-ENG")))))</f>
        <v/>
      </c>
      <c r="M374" s="31">
        <f>IF($A374="","",MAX($H374,$I374,$J374,$K374))</f>
        <v/>
      </c>
      <c r="O374" s="31">
        <f>IF($A374="","",MAX(0,$M374-IF($N374="TBO-001",$H374,IF($N374="TBO-002",$I374,IF($N374="TBO-004",$J374,IF($N374="TBO-ENG",$K374,0))))))</f>
        <v/>
      </c>
    </row>
    <row r="375">
      <c r="H375" s="31">
        <f>IF($A375="","",IF($D375="Evet",ROUND($C375*tbo_oranBesPuan,2),0))</f>
        <v/>
      </c>
      <c r="I375" s="31">
        <f>IF($A375="","",IF($E375="Evet",ROUND($C375*tbo_oranIlave,2),0))</f>
        <v/>
      </c>
      <c r="J375" s="31">
        <f>IF($A375="","",IF($F375="Evet",ROUND($C375*tbo_oranKadinGenc,2),0))</f>
        <v/>
      </c>
      <c r="K375" s="31">
        <f>IF($A375="","",IF($G375="Evet",ROUND($C375*tbo_isverenOran,2),0))</f>
        <v/>
      </c>
      <c r="L375" s="31">
        <f>IF($A375="","",IF($M375=0,"YOK",IF($I375=$M375,"TBO-002",IF($H375=$M375,"TBO-001",IF($J375=$M375,"TBO-004","TBO-ENG")))))</f>
        <v/>
      </c>
      <c r="M375" s="31">
        <f>IF($A375="","",MAX($H375,$I375,$J375,$K375))</f>
        <v/>
      </c>
      <c r="O375" s="31">
        <f>IF($A375="","",MAX(0,$M375-IF($N375="TBO-001",$H375,IF($N375="TBO-002",$I375,IF($N375="TBO-004",$J375,IF($N375="TBO-ENG",$K375,0))))))</f>
        <v/>
      </c>
    </row>
    <row r="376">
      <c r="H376" s="31">
        <f>IF($A376="","",IF($D376="Evet",ROUND($C376*tbo_oranBesPuan,2),0))</f>
        <v/>
      </c>
      <c r="I376" s="31">
        <f>IF($A376="","",IF($E376="Evet",ROUND($C376*tbo_oranIlave,2),0))</f>
        <v/>
      </c>
      <c r="J376" s="31">
        <f>IF($A376="","",IF($F376="Evet",ROUND($C376*tbo_oranKadinGenc,2),0))</f>
        <v/>
      </c>
      <c r="K376" s="31">
        <f>IF($A376="","",IF($G376="Evet",ROUND($C376*tbo_isverenOran,2),0))</f>
        <v/>
      </c>
      <c r="L376" s="31">
        <f>IF($A376="","",IF($M376=0,"YOK",IF($I376=$M376,"TBO-002",IF($H376=$M376,"TBO-001",IF($J376=$M376,"TBO-004","TBO-ENG")))))</f>
        <v/>
      </c>
      <c r="M376" s="31">
        <f>IF($A376="","",MAX($H376,$I376,$J376,$K376))</f>
        <v/>
      </c>
      <c r="O376" s="31">
        <f>IF($A376="","",MAX(0,$M376-IF($N376="TBO-001",$H376,IF($N376="TBO-002",$I376,IF($N376="TBO-004",$J376,IF($N376="TBO-ENG",$K376,0))))))</f>
        <v/>
      </c>
    </row>
    <row r="377">
      <c r="H377" s="31">
        <f>IF($A377="","",IF($D377="Evet",ROUND($C377*tbo_oranBesPuan,2),0))</f>
        <v/>
      </c>
      <c r="I377" s="31">
        <f>IF($A377="","",IF($E377="Evet",ROUND($C377*tbo_oranIlave,2),0))</f>
        <v/>
      </c>
      <c r="J377" s="31">
        <f>IF($A377="","",IF($F377="Evet",ROUND($C377*tbo_oranKadinGenc,2),0))</f>
        <v/>
      </c>
      <c r="K377" s="31">
        <f>IF($A377="","",IF($G377="Evet",ROUND($C377*tbo_isverenOran,2),0))</f>
        <v/>
      </c>
      <c r="L377" s="31">
        <f>IF($A377="","",IF($M377=0,"YOK",IF($I377=$M377,"TBO-002",IF($H377=$M377,"TBO-001",IF($J377=$M377,"TBO-004","TBO-ENG")))))</f>
        <v/>
      </c>
      <c r="M377" s="31">
        <f>IF($A377="","",MAX($H377,$I377,$J377,$K377))</f>
        <v/>
      </c>
      <c r="O377" s="31">
        <f>IF($A377="","",MAX(0,$M377-IF($N377="TBO-001",$H377,IF($N377="TBO-002",$I377,IF($N377="TBO-004",$J377,IF($N377="TBO-ENG",$K377,0))))))</f>
        <v/>
      </c>
    </row>
    <row r="378">
      <c r="H378" s="31">
        <f>IF($A378="","",IF($D378="Evet",ROUND($C378*tbo_oranBesPuan,2),0))</f>
        <v/>
      </c>
      <c r="I378" s="31">
        <f>IF($A378="","",IF($E378="Evet",ROUND($C378*tbo_oranIlave,2),0))</f>
        <v/>
      </c>
      <c r="J378" s="31">
        <f>IF($A378="","",IF($F378="Evet",ROUND($C378*tbo_oranKadinGenc,2),0))</f>
        <v/>
      </c>
      <c r="K378" s="31">
        <f>IF($A378="","",IF($G378="Evet",ROUND($C378*tbo_isverenOran,2),0))</f>
        <v/>
      </c>
      <c r="L378" s="31">
        <f>IF($A378="","",IF($M378=0,"YOK",IF($I378=$M378,"TBO-002",IF($H378=$M378,"TBO-001",IF($J378=$M378,"TBO-004","TBO-ENG")))))</f>
        <v/>
      </c>
      <c r="M378" s="31">
        <f>IF($A378="","",MAX($H378,$I378,$J378,$K378))</f>
        <v/>
      </c>
      <c r="O378" s="31">
        <f>IF($A378="","",MAX(0,$M378-IF($N378="TBO-001",$H378,IF($N378="TBO-002",$I378,IF($N378="TBO-004",$J378,IF($N378="TBO-ENG",$K378,0))))))</f>
        <v/>
      </c>
    </row>
    <row r="379">
      <c r="H379" s="31">
        <f>IF($A379="","",IF($D379="Evet",ROUND($C379*tbo_oranBesPuan,2),0))</f>
        <v/>
      </c>
      <c r="I379" s="31">
        <f>IF($A379="","",IF($E379="Evet",ROUND($C379*tbo_oranIlave,2),0))</f>
        <v/>
      </c>
      <c r="J379" s="31">
        <f>IF($A379="","",IF($F379="Evet",ROUND($C379*tbo_oranKadinGenc,2),0))</f>
        <v/>
      </c>
      <c r="K379" s="31">
        <f>IF($A379="","",IF($G379="Evet",ROUND($C379*tbo_isverenOran,2),0))</f>
        <v/>
      </c>
      <c r="L379" s="31">
        <f>IF($A379="","",IF($M379=0,"YOK",IF($I379=$M379,"TBO-002",IF($H379=$M379,"TBO-001",IF($J379=$M379,"TBO-004","TBO-ENG")))))</f>
        <v/>
      </c>
      <c r="M379" s="31">
        <f>IF($A379="","",MAX($H379,$I379,$J379,$K379))</f>
        <v/>
      </c>
      <c r="O379" s="31">
        <f>IF($A379="","",MAX(0,$M379-IF($N379="TBO-001",$H379,IF($N379="TBO-002",$I379,IF($N379="TBO-004",$J379,IF($N379="TBO-ENG",$K379,0))))))</f>
        <v/>
      </c>
    </row>
    <row r="380">
      <c r="H380" s="31">
        <f>IF($A380="","",IF($D380="Evet",ROUND($C380*tbo_oranBesPuan,2),0))</f>
        <v/>
      </c>
      <c r="I380" s="31">
        <f>IF($A380="","",IF($E380="Evet",ROUND($C380*tbo_oranIlave,2),0))</f>
        <v/>
      </c>
      <c r="J380" s="31">
        <f>IF($A380="","",IF($F380="Evet",ROUND($C380*tbo_oranKadinGenc,2),0))</f>
        <v/>
      </c>
      <c r="K380" s="31">
        <f>IF($A380="","",IF($G380="Evet",ROUND($C380*tbo_isverenOran,2),0))</f>
        <v/>
      </c>
      <c r="L380" s="31">
        <f>IF($A380="","",IF($M380=0,"YOK",IF($I380=$M380,"TBO-002",IF($H380=$M380,"TBO-001",IF($J380=$M380,"TBO-004","TBO-ENG")))))</f>
        <v/>
      </c>
      <c r="M380" s="31">
        <f>IF($A380="","",MAX($H380,$I380,$J380,$K380))</f>
        <v/>
      </c>
      <c r="O380" s="31">
        <f>IF($A380="","",MAX(0,$M380-IF($N380="TBO-001",$H380,IF($N380="TBO-002",$I380,IF($N380="TBO-004",$J380,IF($N380="TBO-ENG",$K380,0))))))</f>
        <v/>
      </c>
    </row>
    <row r="381">
      <c r="H381" s="31">
        <f>IF($A381="","",IF($D381="Evet",ROUND($C381*tbo_oranBesPuan,2),0))</f>
        <v/>
      </c>
      <c r="I381" s="31">
        <f>IF($A381="","",IF($E381="Evet",ROUND($C381*tbo_oranIlave,2),0))</f>
        <v/>
      </c>
      <c r="J381" s="31">
        <f>IF($A381="","",IF($F381="Evet",ROUND($C381*tbo_oranKadinGenc,2),0))</f>
        <v/>
      </c>
      <c r="K381" s="31">
        <f>IF($A381="","",IF($G381="Evet",ROUND($C381*tbo_isverenOran,2),0))</f>
        <v/>
      </c>
      <c r="L381" s="31">
        <f>IF($A381="","",IF($M381=0,"YOK",IF($I381=$M381,"TBO-002",IF($H381=$M381,"TBO-001",IF($J381=$M381,"TBO-004","TBO-ENG")))))</f>
        <v/>
      </c>
      <c r="M381" s="31">
        <f>IF($A381="","",MAX($H381,$I381,$J381,$K381))</f>
        <v/>
      </c>
      <c r="O381" s="31">
        <f>IF($A381="","",MAX(0,$M381-IF($N381="TBO-001",$H381,IF($N381="TBO-002",$I381,IF($N381="TBO-004",$J381,IF($N381="TBO-ENG",$K381,0))))))</f>
        <v/>
      </c>
    </row>
    <row r="382">
      <c r="H382" s="31">
        <f>IF($A382="","",IF($D382="Evet",ROUND($C382*tbo_oranBesPuan,2),0))</f>
        <v/>
      </c>
      <c r="I382" s="31">
        <f>IF($A382="","",IF($E382="Evet",ROUND($C382*tbo_oranIlave,2),0))</f>
        <v/>
      </c>
      <c r="J382" s="31">
        <f>IF($A382="","",IF($F382="Evet",ROUND($C382*tbo_oranKadinGenc,2),0))</f>
        <v/>
      </c>
      <c r="K382" s="31">
        <f>IF($A382="","",IF($G382="Evet",ROUND($C382*tbo_isverenOran,2),0))</f>
        <v/>
      </c>
      <c r="L382" s="31">
        <f>IF($A382="","",IF($M382=0,"YOK",IF($I382=$M382,"TBO-002",IF($H382=$M382,"TBO-001",IF($J382=$M382,"TBO-004","TBO-ENG")))))</f>
        <v/>
      </c>
      <c r="M382" s="31">
        <f>IF($A382="","",MAX($H382,$I382,$J382,$K382))</f>
        <v/>
      </c>
      <c r="O382" s="31">
        <f>IF($A382="","",MAX(0,$M382-IF($N382="TBO-001",$H382,IF($N382="TBO-002",$I382,IF($N382="TBO-004",$J382,IF($N382="TBO-ENG",$K382,0))))))</f>
        <v/>
      </c>
    </row>
    <row r="383">
      <c r="H383" s="31">
        <f>IF($A383="","",IF($D383="Evet",ROUND($C383*tbo_oranBesPuan,2),0))</f>
        <v/>
      </c>
      <c r="I383" s="31">
        <f>IF($A383="","",IF($E383="Evet",ROUND($C383*tbo_oranIlave,2),0))</f>
        <v/>
      </c>
      <c r="J383" s="31">
        <f>IF($A383="","",IF($F383="Evet",ROUND($C383*tbo_oranKadinGenc,2),0))</f>
        <v/>
      </c>
      <c r="K383" s="31">
        <f>IF($A383="","",IF($G383="Evet",ROUND($C383*tbo_isverenOran,2),0))</f>
        <v/>
      </c>
      <c r="L383" s="31">
        <f>IF($A383="","",IF($M383=0,"YOK",IF($I383=$M383,"TBO-002",IF($H383=$M383,"TBO-001",IF($J383=$M383,"TBO-004","TBO-ENG")))))</f>
        <v/>
      </c>
      <c r="M383" s="31">
        <f>IF($A383="","",MAX($H383,$I383,$J383,$K383))</f>
        <v/>
      </c>
      <c r="O383" s="31">
        <f>IF($A383="","",MAX(0,$M383-IF($N383="TBO-001",$H383,IF($N383="TBO-002",$I383,IF($N383="TBO-004",$J383,IF($N383="TBO-ENG",$K383,0))))))</f>
        <v/>
      </c>
    </row>
    <row r="384">
      <c r="H384" s="31">
        <f>IF($A384="","",IF($D384="Evet",ROUND($C384*tbo_oranBesPuan,2),0))</f>
        <v/>
      </c>
      <c r="I384" s="31">
        <f>IF($A384="","",IF($E384="Evet",ROUND($C384*tbo_oranIlave,2),0))</f>
        <v/>
      </c>
      <c r="J384" s="31">
        <f>IF($A384="","",IF($F384="Evet",ROUND($C384*tbo_oranKadinGenc,2),0))</f>
        <v/>
      </c>
      <c r="K384" s="31">
        <f>IF($A384="","",IF($G384="Evet",ROUND($C384*tbo_isverenOran,2),0))</f>
        <v/>
      </c>
      <c r="L384" s="31">
        <f>IF($A384="","",IF($M384=0,"YOK",IF($I384=$M384,"TBO-002",IF($H384=$M384,"TBO-001",IF($J384=$M384,"TBO-004","TBO-ENG")))))</f>
        <v/>
      </c>
      <c r="M384" s="31">
        <f>IF($A384="","",MAX($H384,$I384,$J384,$K384))</f>
        <v/>
      </c>
      <c r="O384" s="31">
        <f>IF($A384="","",MAX(0,$M384-IF($N384="TBO-001",$H384,IF($N384="TBO-002",$I384,IF($N384="TBO-004",$J384,IF($N384="TBO-ENG",$K384,0))))))</f>
        <v/>
      </c>
    </row>
    <row r="385">
      <c r="H385" s="31">
        <f>IF($A385="","",IF($D385="Evet",ROUND($C385*tbo_oranBesPuan,2),0))</f>
        <v/>
      </c>
      <c r="I385" s="31">
        <f>IF($A385="","",IF($E385="Evet",ROUND($C385*tbo_oranIlave,2),0))</f>
        <v/>
      </c>
      <c r="J385" s="31">
        <f>IF($A385="","",IF($F385="Evet",ROUND($C385*tbo_oranKadinGenc,2),0))</f>
        <v/>
      </c>
      <c r="K385" s="31">
        <f>IF($A385="","",IF($G385="Evet",ROUND($C385*tbo_isverenOran,2),0))</f>
        <v/>
      </c>
      <c r="L385" s="31">
        <f>IF($A385="","",IF($M385=0,"YOK",IF($I385=$M385,"TBO-002",IF($H385=$M385,"TBO-001",IF($J385=$M385,"TBO-004","TBO-ENG")))))</f>
        <v/>
      </c>
      <c r="M385" s="31">
        <f>IF($A385="","",MAX($H385,$I385,$J385,$K385))</f>
        <v/>
      </c>
      <c r="O385" s="31">
        <f>IF($A385="","",MAX(0,$M385-IF($N385="TBO-001",$H385,IF($N385="TBO-002",$I385,IF($N385="TBO-004",$J385,IF($N385="TBO-ENG",$K385,0))))))</f>
        <v/>
      </c>
    </row>
    <row r="386">
      <c r="H386" s="31">
        <f>IF($A386="","",IF($D386="Evet",ROUND($C386*tbo_oranBesPuan,2),0))</f>
        <v/>
      </c>
      <c r="I386" s="31">
        <f>IF($A386="","",IF($E386="Evet",ROUND($C386*tbo_oranIlave,2),0))</f>
        <v/>
      </c>
      <c r="J386" s="31">
        <f>IF($A386="","",IF($F386="Evet",ROUND($C386*tbo_oranKadinGenc,2),0))</f>
        <v/>
      </c>
      <c r="K386" s="31">
        <f>IF($A386="","",IF($G386="Evet",ROUND($C386*tbo_isverenOran,2),0))</f>
        <v/>
      </c>
      <c r="L386" s="31">
        <f>IF($A386="","",IF($M386=0,"YOK",IF($I386=$M386,"TBO-002",IF($H386=$M386,"TBO-001",IF($J386=$M386,"TBO-004","TBO-ENG")))))</f>
        <v/>
      </c>
      <c r="M386" s="31">
        <f>IF($A386="","",MAX($H386,$I386,$J386,$K386))</f>
        <v/>
      </c>
      <c r="O386" s="31">
        <f>IF($A386="","",MAX(0,$M386-IF($N386="TBO-001",$H386,IF($N386="TBO-002",$I386,IF($N386="TBO-004",$J386,IF($N386="TBO-ENG",$K386,0))))))</f>
        <v/>
      </c>
    </row>
    <row r="387">
      <c r="H387" s="31">
        <f>IF($A387="","",IF($D387="Evet",ROUND($C387*tbo_oranBesPuan,2),0))</f>
        <v/>
      </c>
      <c r="I387" s="31">
        <f>IF($A387="","",IF($E387="Evet",ROUND($C387*tbo_oranIlave,2),0))</f>
        <v/>
      </c>
      <c r="J387" s="31">
        <f>IF($A387="","",IF($F387="Evet",ROUND($C387*tbo_oranKadinGenc,2),0))</f>
        <v/>
      </c>
      <c r="K387" s="31">
        <f>IF($A387="","",IF($G387="Evet",ROUND($C387*tbo_isverenOran,2),0))</f>
        <v/>
      </c>
      <c r="L387" s="31">
        <f>IF($A387="","",IF($M387=0,"YOK",IF($I387=$M387,"TBO-002",IF($H387=$M387,"TBO-001",IF($J387=$M387,"TBO-004","TBO-ENG")))))</f>
        <v/>
      </c>
      <c r="M387" s="31">
        <f>IF($A387="","",MAX($H387,$I387,$J387,$K387))</f>
        <v/>
      </c>
      <c r="O387" s="31">
        <f>IF($A387="","",MAX(0,$M387-IF($N387="TBO-001",$H387,IF($N387="TBO-002",$I387,IF($N387="TBO-004",$J387,IF($N387="TBO-ENG",$K387,0))))))</f>
        <v/>
      </c>
    </row>
    <row r="388">
      <c r="H388" s="31">
        <f>IF($A388="","",IF($D388="Evet",ROUND($C388*tbo_oranBesPuan,2),0))</f>
        <v/>
      </c>
      <c r="I388" s="31">
        <f>IF($A388="","",IF($E388="Evet",ROUND($C388*tbo_oranIlave,2),0))</f>
        <v/>
      </c>
      <c r="J388" s="31">
        <f>IF($A388="","",IF($F388="Evet",ROUND($C388*tbo_oranKadinGenc,2),0))</f>
        <v/>
      </c>
      <c r="K388" s="31">
        <f>IF($A388="","",IF($G388="Evet",ROUND($C388*tbo_isverenOran,2),0))</f>
        <v/>
      </c>
      <c r="L388" s="31">
        <f>IF($A388="","",IF($M388=0,"YOK",IF($I388=$M388,"TBO-002",IF($H388=$M388,"TBO-001",IF($J388=$M388,"TBO-004","TBO-ENG")))))</f>
        <v/>
      </c>
      <c r="M388" s="31">
        <f>IF($A388="","",MAX($H388,$I388,$J388,$K388))</f>
        <v/>
      </c>
      <c r="O388" s="31">
        <f>IF($A388="","",MAX(0,$M388-IF($N388="TBO-001",$H388,IF($N388="TBO-002",$I388,IF($N388="TBO-004",$J388,IF($N388="TBO-ENG",$K388,0))))))</f>
        <v/>
      </c>
    </row>
    <row r="389">
      <c r="H389" s="31">
        <f>IF($A389="","",IF($D389="Evet",ROUND($C389*tbo_oranBesPuan,2),0))</f>
        <v/>
      </c>
      <c r="I389" s="31">
        <f>IF($A389="","",IF($E389="Evet",ROUND($C389*tbo_oranIlave,2),0))</f>
        <v/>
      </c>
      <c r="J389" s="31">
        <f>IF($A389="","",IF($F389="Evet",ROUND($C389*tbo_oranKadinGenc,2),0))</f>
        <v/>
      </c>
      <c r="K389" s="31">
        <f>IF($A389="","",IF($G389="Evet",ROUND($C389*tbo_isverenOran,2),0))</f>
        <v/>
      </c>
      <c r="L389" s="31">
        <f>IF($A389="","",IF($M389=0,"YOK",IF($I389=$M389,"TBO-002",IF($H389=$M389,"TBO-001",IF($J389=$M389,"TBO-004","TBO-ENG")))))</f>
        <v/>
      </c>
      <c r="M389" s="31">
        <f>IF($A389="","",MAX($H389,$I389,$J389,$K389))</f>
        <v/>
      </c>
      <c r="O389" s="31">
        <f>IF($A389="","",MAX(0,$M389-IF($N389="TBO-001",$H389,IF($N389="TBO-002",$I389,IF($N389="TBO-004",$J389,IF($N389="TBO-ENG",$K389,0))))))</f>
        <v/>
      </c>
    </row>
    <row r="390">
      <c r="H390" s="31">
        <f>IF($A390="","",IF($D390="Evet",ROUND($C390*tbo_oranBesPuan,2),0))</f>
        <v/>
      </c>
      <c r="I390" s="31">
        <f>IF($A390="","",IF($E390="Evet",ROUND($C390*tbo_oranIlave,2),0))</f>
        <v/>
      </c>
      <c r="J390" s="31">
        <f>IF($A390="","",IF($F390="Evet",ROUND($C390*tbo_oranKadinGenc,2),0))</f>
        <v/>
      </c>
      <c r="K390" s="31">
        <f>IF($A390="","",IF($G390="Evet",ROUND($C390*tbo_isverenOran,2),0))</f>
        <v/>
      </c>
      <c r="L390" s="31">
        <f>IF($A390="","",IF($M390=0,"YOK",IF($I390=$M390,"TBO-002",IF($H390=$M390,"TBO-001",IF($J390=$M390,"TBO-004","TBO-ENG")))))</f>
        <v/>
      </c>
      <c r="M390" s="31">
        <f>IF($A390="","",MAX($H390,$I390,$J390,$K390))</f>
        <v/>
      </c>
      <c r="O390" s="31">
        <f>IF($A390="","",MAX(0,$M390-IF($N390="TBO-001",$H390,IF($N390="TBO-002",$I390,IF($N390="TBO-004",$J390,IF($N390="TBO-ENG",$K390,0))))))</f>
        <v/>
      </c>
    </row>
    <row r="391">
      <c r="H391" s="31">
        <f>IF($A391="","",IF($D391="Evet",ROUND($C391*tbo_oranBesPuan,2),0))</f>
        <v/>
      </c>
      <c r="I391" s="31">
        <f>IF($A391="","",IF($E391="Evet",ROUND($C391*tbo_oranIlave,2),0))</f>
        <v/>
      </c>
      <c r="J391" s="31">
        <f>IF($A391="","",IF($F391="Evet",ROUND($C391*tbo_oranKadinGenc,2),0))</f>
        <v/>
      </c>
      <c r="K391" s="31">
        <f>IF($A391="","",IF($G391="Evet",ROUND($C391*tbo_isverenOran,2),0))</f>
        <v/>
      </c>
      <c r="L391" s="31">
        <f>IF($A391="","",IF($M391=0,"YOK",IF($I391=$M391,"TBO-002",IF($H391=$M391,"TBO-001",IF($J391=$M391,"TBO-004","TBO-ENG")))))</f>
        <v/>
      </c>
      <c r="M391" s="31">
        <f>IF($A391="","",MAX($H391,$I391,$J391,$K391))</f>
        <v/>
      </c>
      <c r="O391" s="31">
        <f>IF($A391="","",MAX(0,$M391-IF($N391="TBO-001",$H391,IF($N391="TBO-002",$I391,IF($N391="TBO-004",$J391,IF($N391="TBO-ENG",$K391,0))))))</f>
        <v/>
      </c>
    </row>
    <row r="392">
      <c r="H392" s="31">
        <f>IF($A392="","",IF($D392="Evet",ROUND($C392*tbo_oranBesPuan,2),0))</f>
        <v/>
      </c>
      <c r="I392" s="31">
        <f>IF($A392="","",IF($E392="Evet",ROUND($C392*tbo_oranIlave,2),0))</f>
        <v/>
      </c>
      <c r="J392" s="31">
        <f>IF($A392="","",IF($F392="Evet",ROUND($C392*tbo_oranKadinGenc,2),0))</f>
        <v/>
      </c>
      <c r="K392" s="31">
        <f>IF($A392="","",IF($G392="Evet",ROUND($C392*tbo_isverenOran,2),0))</f>
        <v/>
      </c>
      <c r="L392" s="31">
        <f>IF($A392="","",IF($M392=0,"YOK",IF($I392=$M392,"TBO-002",IF($H392=$M392,"TBO-001",IF($J392=$M392,"TBO-004","TBO-ENG")))))</f>
        <v/>
      </c>
      <c r="M392" s="31">
        <f>IF($A392="","",MAX($H392,$I392,$J392,$K392))</f>
        <v/>
      </c>
      <c r="O392" s="31">
        <f>IF($A392="","",MAX(0,$M392-IF($N392="TBO-001",$H392,IF($N392="TBO-002",$I392,IF($N392="TBO-004",$J392,IF($N392="TBO-ENG",$K392,0))))))</f>
        <v/>
      </c>
    </row>
    <row r="393">
      <c r="H393" s="31">
        <f>IF($A393="","",IF($D393="Evet",ROUND($C393*tbo_oranBesPuan,2),0))</f>
        <v/>
      </c>
      <c r="I393" s="31">
        <f>IF($A393="","",IF($E393="Evet",ROUND($C393*tbo_oranIlave,2),0))</f>
        <v/>
      </c>
      <c r="J393" s="31">
        <f>IF($A393="","",IF($F393="Evet",ROUND($C393*tbo_oranKadinGenc,2),0))</f>
        <v/>
      </c>
      <c r="K393" s="31">
        <f>IF($A393="","",IF($G393="Evet",ROUND($C393*tbo_isverenOran,2),0))</f>
        <v/>
      </c>
      <c r="L393" s="31">
        <f>IF($A393="","",IF($M393=0,"YOK",IF($I393=$M393,"TBO-002",IF($H393=$M393,"TBO-001",IF($J393=$M393,"TBO-004","TBO-ENG")))))</f>
        <v/>
      </c>
      <c r="M393" s="31">
        <f>IF($A393="","",MAX($H393,$I393,$J393,$K393))</f>
        <v/>
      </c>
      <c r="O393" s="31">
        <f>IF($A393="","",MAX(0,$M393-IF($N393="TBO-001",$H393,IF($N393="TBO-002",$I393,IF($N393="TBO-004",$J393,IF($N393="TBO-ENG",$K393,0))))))</f>
        <v/>
      </c>
    </row>
    <row r="394">
      <c r="H394" s="31">
        <f>IF($A394="","",IF($D394="Evet",ROUND($C394*tbo_oranBesPuan,2),0))</f>
        <v/>
      </c>
      <c r="I394" s="31">
        <f>IF($A394="","",IF($E394="Evet",ROUND($C394*tbo_oranIlave,2),0))</f>
        <v/>
      </c>
      <c r="J394" s="31">
        <f>IF($A394="","",IF($F394="Evet",ROUND($C394*tbo_oranKadinGenc,2),0))</f>
        <v/>
      </c>
      <c r="K394" s="31">
        <f>IF($A394="","",IF($G394="Evet",ROUND($C394*tbo_isverenOran,2),0))</f>
        <v/>
      </c>
      <c r="L394" s="31">
        <f>IF($A394="","",IF($M394=0,"YOK",IF($I394=$M394,"TBO-002",IF($H394=$M394,"TBO-001",IF($J394=$M394,"TBO-004","TBO-ENG")))))</f>
        <v/>
      </c>
      <c r="M394" s="31">
        <f>IF($A394="","",MAX($H394,$I394,$J394,$K394))</f>
        <v/>
      </c>
      <c r="O394" s="31">
        <f>IF($A394="","",MAX(0,$M394-IF($N394="TBO-001",$H394,IF($N394="TBO-002",$I394,IF($N394="TBO-004",$J394,IF($N394="TBO-ENG",$K394,0))))))</f>
        <v/>
      </c>
    </row>
    <row r="395">
      <c r="H395" s="31">
        <f>IF($A395="","",IF($D395="Evet",ROUND($C395*tbo_oranBesPuan,2),0))</f>
        <v/>
      </c>
      <c r="I395" s="31">
        <f>IF($A395="","",IF($E395="Evet",ROUND($C395*tbo_oranIlave,2),0))</f>
        <v/>
      </c>
      <c r="J395" s="31">
        <f>IF($A395="","",IF($F395="Evet",ROUND($C395*tbo_oranKadinGenc,2),0))</f>
        <v/>
      </c>
      <c r="K395" s="31">
        <f>IF($A395="","",IF($G395="Evet",ROUND($C395*tbo_isverenOran,2),0))</f>
        <v/>
      </c>
      <c r="L395" s="31">
        <f>IF($A395="","",IF($M395=0,"YOK",IF($I395=$M395,"TBO-002",IF($H395=$M395,"TBO-001",IF($J395=$M395,"TBO-004","TBO-ENG")))))</f>
        <v/>
      </c>
      <c r="M395" s="31">
        <f>IF($A395="","",MAX($H395,$I395,$J395,$K395))</f>
        <v/>
      </c>
      <c r="O395" s="31">
        <f>IF($A395="","",MAX(0,$M395-IF($N395="TBO-001",$H395,IF($N395="TBO-002",$I395,IF($N395="TBO-004",$J395,IF($N395="TBO-ENG",$K395,0))))))</f>
        <v/>
      </c>
    </row>
    <row r="396">
      <c r="H396" s="31">
        <f>IF($A396="","",IF($D396="Evet",ROUND($C396*tbo_oranBesPuan,2),0))</f>
        <v/>
      </c>
      <c r="I396" s="31">
        <f>IF($A396="","",IF($E396="Evet",ROUND($C396*tbo_oranIlave,2),0))</f>
        <v/>
      </c>
      <c r="J396" s="31">
        <f>IF($A396="","",IF($F396="Evet",ROUND($C396*tbo_oranKadinGenc,2),0))</f>
        <v/>
      </c>
      <c r="K396" s="31">
        <f>IF($A396="","",IF($G396="Evet",ROUND($C396*tbo_isverenOran,2),0))</f>
        <v/>
      </c>
      <c r="L396" s="31">
        <f>IF($A396="","",IF($M396=0,"YOK",IF($I396=$M396,"TBO-002",IF($H396=$M396,"TBO-001",IF($J396=$M396,"TBO-004","TBO-ENG")))))</f>
        <v/>
      </c>
      <c r="M396" s="31">
        <f>IF($A396="","",MAX($H396,$I396,$J396,$K396))</f>
        <v/>
      </c>
      <c r="O396" s="31">
        <f>IF($A396="","",MAX(0,$M396-IF($N396="TBO-001",$H396,IF($N396="TBO-002",$I396,IF($N396="TBO-004",$J396,IF($N396="TBO-ENG",$K396,0))))))</f>
        <v/>
      </c>
    </row>
    <row r="397">
      <c r="H397" s="31">
        <f>IF($A397="","",IF($D397="Evet",ROUND($C397*tbo_oranBesPuan,2),0))</f>
        <v/>
      </c>
      <c r="I397" s="31">
        <f>IF($A397="","",IF($E397="Evet",ROUND($C397*tbo_oranIlave,2),0))</f>
        <v/>
      </c>
      <c r="J397" s="31">
        <f>IF($A397="","",IF($F397="Evet",ROUND($C397*tbo_oranKadinGenc,2),0))</f>
        <v/>
      </c>
      <c r="K397" s="31">
        <f>IF($A397="","",IF($G397="Evet",ROUND($C397*tbo_isverenOran,2),0))</f>
        <v/>
      </c>
      <c r="L397" s="31">
        <f>IF($A397="","",IF($M397=0,"YOK",IF($I397=$M397,"TBO-002",IF($H397=$M397,"TBO-001",IF($J397=$M397,"TBO-004","TBO-ENG")))))</f>
        <v/>
      </c>
      <c r="M397" s="31">
        <f>IF($A397="","",MAX($H397,$I397,$J397,$K397))</f>
        <v/>
      </c>
      <c r="O397" s="31">
        <f>IF($A397="","",MAX(0,$M397-IF($N397="TBO-001",$H397,IF($N397="TBO-002",$I397,IF($N397="TBO-004",$J397,IF($N397="TBO-ENG",$K397,0))))))</f>
        <v/>
      </c>
    </row>
    <row r="398">
      <c r="H398" s="31">
        <f>IF($A398="","",IF($D398="Evet",ROUND($C398*tbo_oranBesPuan,2),0))</f>
        <v/>
      </c>
      <c r="I398" s="31">
        <f>IF($A398="","",IF($E398="Evet",ROUND($C398*tbo_oranIlave,2),0))</f>
        <v/>
      </c>
      <c r="J398" s="31">
        <f>IF($A398="","",IF($F398="Evet",ROUND($C398*tbo_oranKadinGenc,2),0))</f>
        <v/>
      </c>
      <c r="K398" s="31">
        <f>IF($A398="","",IF($G398="Evet",ROUND($C398*tbo_isverenOran,2),0))</f>
        <v/>
      </c>
      <c r="L398" s="31">
        <f>IF($A398="","",IF($M398=0,"YOK",IF($I398=$M398,"TBO-002",IF($H398=$M398,"TBO-001",IF($J398=$M398,"TBO-004","TBO-ENG")))))</f>
        <v/>
      </c>
      <c r="M398" s="31">
        <f>IF($A398="","",MAX($H398,$I398,$J398,$K398))</f>
        <v/>
      </c>
      <c r="O398" s="31">
        <f>IF($A398="","",MAX(0,$M398-IF($N398="TBO-001",$H398,IF($N398="TBO-002",$I398,IF($N398="TBO-004",$J398,IF($N398="TBO-ENG",$K398,0))))))</f>
        <v/>
      </c>
    </row>
    <row r="399">
      <c r="H399" s="31">
        <f>IF($A399="","",IF($D399="Evet",ROUND($C399*tbo_oranBesPuan,2),0))</f>
        <v/>
      </c>
      <c r="I399" s="31">
        <f>IF($A399="","",IF($E399="Evet",ROUND($C399*tbo_oranIlave,2),0))</f>
        <v/>
      </c>
      <c r="J399" s="31">
        <f>IF($A399="","",IF($F399="Evet",ROUND($C399*tbo_oranKadinGenc,2),0))</f>
        <v/>
      </c>
      <c r="K399" s="31">
        <f>IF($A399="","",IF($G399="Evet",ROUND($C399*tbo_isverenOran,2),0))</f>
        <v/>
      </c>
      <c r="L399" s="31">
        <f>IF($A399="","",IF($M399=0,"YOK",IF($I399=$M399,"TBO-002",IF($H399=$M399,"TBO-001",IF($J399=$M399,"TBO-004","TBO-ENG")))))</f>
        <v/>
      </c>
      <c r="M399" s="31">
        <f>IF($A399="","",MAX($H399,$I399,$J399,$K399))</f>
        <v/>
      </c>
      <c r="O399" s="31">
        <f>IF($A399="","",MAX(0,$M399-IF($N399="TBO-001",$H399,IF($N399="TBO-002",$I399,IF($N399="TBO-004",$J399,IF($N399="TBO-ENG",$K399,0))))))</f>
        <v/>
      </c>
    </row>
    <row r="400">
      <c r="H400" s="31">
        <f>IF($A400="","",IF($D400="Evet",ROUND($C400*tbo_oranBesPuan,2),0))</f>
        <v/>
      </c>
      <c r="I400" s="31">
        <f>IF($A400="","",IF($E400="Evet",ROUND($C400*tbo_oranIlave,2),0))</f>
        <v/>
      </c>
      <c r="J400" s="31">
        <f>IF($A400="","",IF($F400="Evet",ROUND($C400*tbo_oranKadinGenc,2),0))</f>
        <v/>
      </c>
      <c r="K400" s="31">
        <f>IF($A400="","",IF($G400="Evet",ROUND($C400*tbo_isverenOran,2),0))</f>
        <v/>
      </c>
      <c r="L400" s="31">
        <f>IF($A400="","",IF($M400=0,"YOK",IF($I400=$M400,"TBO-002",IF($H400=$M400,"TBO-001",IF($J400=$M400,"TBO-004","TBO-ENG")))))</f>
        <v/>
      </c>
      <c r="M400" s="31">
        <f>IF($A400="","",MAX($H400,$I400,$J400,$K400))</f>
        <v/>
      </c>
      <c r="O400" s="31">
        <f>IF($A400="","",MAX(0,$M400-IF($N400="TBO-001",$H400,IF($N400="TBO-002",$I400,IF($N400="TBO-004",$J400,IF($N400="TBO-ENG",$K400,0))))))</f>
        <v/>
      </c>
    </row>
    <row r="401">
      <c r="H401" s="31">
        <f>IF($A401="","",IF($D401="Evet",ROUND($C401*tbo_oranBesPuan,2),0))</f>
        <v/>
      </c>
      <c r="I401" s="31">
        <f>IF($A401="","",IF($E401="Evet",ROUND($C401*tbo_oranIlave,2),0))</f>
        <v/>
      </c>
      <c r="J401" s="31">
        <f>IF($A401="","",IF($F401="Evet",ROUND($C401*tbo_oranKadinGenc,2),0))</f>
        <v/>
      </c>
      <c r="K401" s="31">
        <f>IF($A401="","",IF($G401="Evet",ROUND($C401*tbo_isverenOran,2),0))</f>
        <v/>
      </c>
      <c r="L401" s="31">
        <f>IF($A401="","",IF($M401=0,"YOK",IF($I401=$M401,"TBO-002",IF($H401=$M401,"TBO-001",IF($J401=$M401,"TBO-004","TBO-ENG")))))</f>
        <v/>
      </c>
      <c r="M401" s="31">
        <f>IF($A401="","",MAX($H401,$I401,$J401,$K401))</f>
        <v/>
      </c>
      <c r="O401" s="31">
        <f>IF($A401="","",MAX(0,$M401-IF($N401="TBO-001",$H401,IF($N401="TBO-002",$I401,IF($N401="TBO-004",$J401,IF($N401="TBO-ENG",$K401,0))))))</f>
        <v/>
      </c>
    </row>
    <row r="402">
      <c r="H402" s="31">
        <f>IF($A402="","",IF($D402="Evet",ROUND($C402*tbo_oranBesPuan,2),0))</f>
        <v/>
      </c>
      <c r="I402" s="31">
        <f>IF($A402="","",IF($E402="Evet",ROUND($C402*tbo_oranIlave,2),0))</f>
        <v/>
      </c>
      <c r="J402" s="31">
        <f>IF($A402="","",IF($F402="Evet",ROUND($C402*tbo_oranKadinGenc,2),0))</f>
        <v/>
      </c>
      <c r="K402" s="31">
        <f>IF($A402="","",IF($G402="Evet",ROUND($C402*tbo_isverenOran,2),0))</f>
        <v/>
      </c>
      <c r="L402" s="31">
        <f>IF($A402="","",IF($M402=0,"YOK",IF($I402=$M402,"TBO-002",IF($H402=$M402,"TBO-001",IF($J402=$M402,"TBO-004","TBO-ENG")))))</f>
        <v/>
      </c>
      <c r="M402" s="31">
        <f>IF($A402="","",MAX($H402,$I402,$J402,$K402))</f>
        <v/>
      </c>
      <c r="O402" s="31">
        <f>IF($A402="","",MAX(0,$M402-IF($N402="TBO-001",$H402,IF($N402="TBO-002",$I402,IF($N402="TBO-004",$J402,IF($N402="TBO-ENG",$K402,0))))))</f>
        <v/>
      </c>
    </row>
    <row r="403">
      <c r="H403" s="31">
        <f>IF($A403="","",IF($D403="Evet",ROUND($C403*tbo_oranBesPuan,2),0))</f>
        <v/>
      </c>
      <c r="I403" s="31">
        <f>IF($A403="","",IF($E403="Evet",ROUND($C403*tbo_oranIlave,2),0))</f>
        <v/>
      </c>
      <c r="J403" s="31">
        <f>IF($A403="","",IF($F403="Evet",ROUND($C403*tbo_oranKadinGenc,2),0))</f>
        <v/>
      </c>
      <c r="K403" s="31">
        <f>IF($A403="","",IF($G403="Evet",ROUND($C403*tbo_isverenOran,2),0))</f>
        <v/>
      </c>
      <c r="L403" s="31">
        <f>IF($A403="","",IF($M403=0,"YOK",IF($I403=$M403,"TBO-002",IF($H403=$M403,"TBO-001",IF($J403=$M403,"TBO-004","TBO-ENG")))))</f>
        <v/>
      </c>
      <c r="M403" s="31">
        <f>IF($A403="","",MAX($H403,$I403,$J403,$K403))</f>
        <v/>
      </c>
      <c r="O403" s="31">
        <f>IF($A403="","",MAX(0,$M403-IF($N403="TBO-001",$H403,IF($N403="TBO-002",$I403,IF($N403="TBO-004",$J403,IF($N403="TBO-ENG",$K403,0))))))</f>
        <v/>
      </c>
    </row>
    <row r="404">
      <c r="H404" s="31">
        <f>IF($A404="","",IF($D404="Evet",ROUND($C404*tbo_oranBesPuan,2),0))</f>
        <v/>
      </c>
      <c r="I404" s="31">
        <f>IF($A404="","",IF($E404="Evet",ROUND($C404*tbo_oranIlave,2),0))</f>
        <v/>
      </c>
      <c r="J404" s="31">
        <f>IF($A404="","",IF($F404="Evet",ROUND($C404*tbo_oranKadinGenc,2),0))</f>
        <v/>
      </c>
      <c r="K404" s="31">
        <f>IF($A404="","",IF($G404="Evet",ROUND($C404*tbo_isverenOran,2),0))</f>
        <v/>
      </c>
      <c r="L404" s="31">
        <f>IF($A404="","",IF($M404=0,"YOK",IF($I404=$M404,"TBO-002",IF($H404=$M404,"TBO-001",IF($J404=$M404,"TBO-004","TBO-ENG")))))</f>
        <v/>
      </c>
      <c r="M404" s="31">
        <f>IF($A404="","",MAX($H404,$I404,$J404,$K404))</f>
        <v/>
      </c>
      <c r="O404" s="31">
        <f>IF($A404="","",MAX(0,$M404-IF($N404="TBO-001",$H404,IF($N404="TBO-002",$I404,IF($N404="TBO-004",$J404,IF($N404="TBO-ENG",$K404,0))))))</f>
        <v/>
      </c>
    </row>
    <row r="405">
      <c r="H405" s="31">
        <f>IF($A405="","",IF($D405="Evet",ROUND($C405*tbo_oranBesPuan,2),0))</f>
        <v/>
      </c>
      <c r="I405" s="31">
        <f>IF($A405="","",IF($E405="Evet",ROUND($C405*tbo_oranIlave,2),0))</f>
        <v/>
      </c>
      <c r="J405" s="31">
        <f>IF($A405="","",IF($F405="Evet",ROUND($C405*tbo_oranKadinGenc,2),0))</f>
        <v/>
      </c>
      <c r="K405" s="31">
        <f>IF($A405="","",IF($G405="Evet",ROUND($C405*tbo_isverenOran,2),0))</f>
        <v/>
      </c>
      <c r="L405" s="31">
        <f>IF($A405="","",IF($M405=0,"YOK",IF($I405=$M405,"TBO-002",IF($H405=$M405,"TBO-001",IF($J405=$M405,"TBO-004","TBO-ENG")))))</f>
        <v/>
      </c>
      <c r="M405" s="31">
        <f>IF($A405="","",MAX($H405,$I405,$J405,$K405))</f>
        <v/>
      </c>
      <c r="O405" s="31">
        <f>IF($A405="","",MAX(0,$M405-IF($N405="TBO-001",$H405,IF($N405="TBO-002",$I405,IF($N405="TBO-004",$J405,IF($N405="TBO-ENG",$K405,0))))))</f>
        <v/>
      </c>
    </row>
    <row r="406">
      <c r="H406" s="31">
        <f>IF($A406="","",IF($D406="Evet",ROUND($C406*tbo_oranBesPuan,2),0))</f>
        <v/>
      </c>
      <c r="I406" s="31">
        <f>IF($A406="","",IF($E406="Evet",ROUND($C406*tbo_oranIlave,2),0))</f>
        <v/>
      </c>
      <c r="J406" s="31">
        <f>IF($A406="","",IF($F406="Evet",ROUND($C406*tbo_oranKadinGenc,2),0))</f>
        <v/>
      </c>
      <c r="K406" s="31">
        <f>IF($A406="","",IF($G406="Evet",ROUND($C406*tbo_isverenOran,2),0))</f>
        <v/>
      </c>
      <c r="L406" s="31">
        <f>IF($A406="","",IF($M406=0,"YOK",IF($I406=$M406,"TBO-002",IF($H406=$M406,"TBO-001",IF($J406=$M406,"TBO-004","TBO-ENG")))))</f>
        <v/>
      </c>
      <c r="M406" s="31">
        <f>IF($A406="","",MAX($H406,$I406,$J406,$K406))</f>
        <v/>
      </c>
      <c r="O406" s="31">
        <f>IF($A406="","",MAX(0,$M406-IF($N406="TBO-001",$H406,IF($N406="TBO-002",$I406,IF($N406="TBO-004",$J406,IF($N406="TBO-ENG",$K406,0))))))</f>
        <v/>
      </c>
    </row>
    <row r="407">
      <c r="H407" s="31">
        <f>IF($A407="","",IF($D407="Evet",ROUND($C407*tbo_oranBesPuan,2),0))</f>
        <v/>
      </c>
      <c r="I407" s="31">
        <f>IF($A407="","",IF($E407="Evet",ROUND($C407*tbo_oranIlave,2),0))</f>
        <v/>
      </c>
      <c r="J407" s="31">
        <f>IF($A407="","",IF($F407="Evet",ROUND($C407*tbo_oranKadinGenc,2),0))</f>
        <v/>
      </c>
      <c r="K407" s="31">
        <f>IF($A407="","",IF($G407="Evet",ROUND($C407*tbo_isverenOran,2),0))</f>
        <v/>
      </c>
      <c r="L407" s="31">
        <f>IF($A407="","",IF($M407=0,"YOK",IF($I407=$M407,"TBO-002",IF($H407=$M407,"TBO-001",IF($J407=$M407,"TBO-004","TBO-ENG")))))</f>
        <v/>
      </c>
      <c r="M407" s="31">
        <f>IF($A407="","",MAX($H407,$I407,$J407,$K407))</f>
        <v/>
      </c>
      <c r="O407" s="31">
        <f>IF($A407="","",MAX(0,$M407-IF($N407="TBO-001",$H407,IF($N407="TBO-002",$I407,IF($N407="TBO-004",$J407,IF($N407="TBO-ENG",$K407,0))))))</f>
        <v/>
      </c>
    </row>
    <row r="408">
      <c r="H408" s="31">
        <f>IF($A408="","",IF($D408="Evet",ROUND($C408*tbo_oranBesPuan,2),0))</f>
        <v/>
      </c>
      <c r="I408" s="31">
        <f>IF($A408="","",IF($E408="Evet",ROUND($C408*tbo_oranIlave,2),0))</f>
        <v/>
      </c>
      <c r="J408" s="31">
        <f>IF($A408="","",IF($F408="Evet",ROUND($C408*tbo_oranKadinGenc,2),0))</f>
        <v/>
      </c>
      <c r="K408" s="31">
        <f>IF($A408="","",IF($G408="Evet",ROUND($C408*tbo_isverenOran,2),0))</f>
        <v/>
      </c>
      <c r="L408" s="31">
        <f>IF($A408="","",IF($M408=0,"YOK",IF($I408=$M408,"TBO-002",IF($H408=$M408,"TBO-001",IF($J408=$M408,"TBO-004","TBO-ENG")))))</f>
        <v/>
      </c>
      <c r="M408" s="31">
        <f>IF($A408="","",MAX($H408,$I408,$J408,$K408))</f>
        <v/>
      </c>
      <c r="O408" s="31">
        <f>IF($A408="","",MAX(0,$M408-IF($N408="TBO-001",$H408,IF($N408="TBO-002",$I408,IF($N408="TBO-004",$J408,IF($N408="TBO-ENG",$K408,0))))))</f>
        <v/>
      </c>
    </row>
    <row r="409">
      <c r="H409" s="31">
        <f>IF($A409="","",IF($D409="Evet",ROUND($C409*tbo_oranBesPuan,2),0))</f>
        <v/>
      </c>
      <c r="I409" s="31">
        <f>IF($A409="","",IF($E409="Evet",ROUND($C409*tbo_oranIlave,2),0))</f>
        <v/>
      </c>
      <c r="J409" s="31">
        <f>IF($A409="","",IF($F409="Evet",ROUND($C409*tbo_oranKadinGenc,2),0))</f>
        <v/>
      </c>
      <c r="K409" s="31">
        <f>IF($A409="","",IF($G409="Evet",ROUND($C409*tbo_isverenOran,2),0))</f>
        <v/>
      </c>
      <c r="L409" s="31">
        <f>IF($A409="","",IF($M409=0,"YOK",IF($I409=$M409,"TBO-002",IF($H409=$M409,"TBO-001",IF($J409=$M409,"TBO-004","TBO-ENG")))))</f>
        <v/>
      </c>
      <c r="M409" s="31">
        <f>IF($A409="","",MAX($H409,$I409,$J409,$K409))</f>
        <v/>
      </c>
      <c r="O409" s="31">
        <f>IF($A409="","",MAX(0,$M409-IF($N409="TBO-001",$H409,IF($N409="TBO-002",$I409,IF($N409="TBO-004",$J409,IF($N409="TBO-ENG",$K409,0))))))</f>
        <v/>
      </c>
    </row>
    <row r="410">
      <c r="H410" s="31">
        <f>IF($A410="","",IF($D410="Evet",ROUND($C410*tbo_oranBesPuan,2),0))</f>
        <v/>
      </c>
      <c r="I410" s="31">
        <f>IF($A410="","",IF($E410="Evet",ROUND($C410*tbo_oranIlave,2),0))</f>
        <v/>
      </c>
      <c r="J410" s="31">
        <f>IF($A410="","",IF($F410="Evet",ROUND($C410*tbo_oranKadinGenc,2),0))</f>
        <v/>
      </c>
      <c r="K410" s="31">
        <f>IF($A410="","",IF($G410="Evet",ROUND($C410*tbo_isverenOran,2),0))</f>
        <v/>
      </c>
      <c r="L410" s="31">
        <f>IF($A410="","",IF($M410=0,"YOK",IF($I410=$M410,"TBO-002",IF($H410=$M410,"TBO-001",IF($J410=$M410,"TBO-004","TBO-ENG")))))</f>
        <v/>
      </c>
      <c r="M410" s="31">
        <f>IF($A410="","",MAX($H410,$I410,$J410,$K410))</f>
        <v/>
      </c>
      <c r="O410" s="31">
        <f>IF($A410="","",MAX(0,$M410-IF($N410="TBO-001",$H410,IF($N410="TBO-002",$I410,IF($N410="TBO-004",$J410,IF($N410="TBO-ENG",$K410,0))))))</f>
        <v/>
      </c>
    </row>
    <row r="411">
      <c r="H411" s="31">
        <f>IF($A411="","",IF($D411="Evet",ROUND($C411*tbo_oranBesPuan,2),0))</f>
        <v/>
      </c>
      <c r="I411" s="31">
        <f>IF($A411="","",IF($E411="Evet",ROUND($C411*tbo_oranIlave,2),0))</f>
        <v/>
      </c>
      <c r="J411" s="31">
        <f>IF($A411="","",IF($F411="Evet",ROUND($C411*tbo_oranKadinGenc,2),0))</f>
        <v/>
      </c>
      <c r="K411" s="31">
        <f>IF($A411="","",IF($G411="Evet",ROUND($C411*tbo_isverenOran,2),0))</f>
        <v/>
      </c>
      <c r="L411" s="31">
        <f>IF($A411="","",IF($M411=0,"YOK",IF($I411=$M411,"TBO-002",IF($H411=$M411,"TBO-001",IF($J411=$M411,"TBO-004","TBO-ENG")))))</f>
        <v/>
      </c>
      <c r="M411" s="31">
        <f>IF($A411="","",MAX($H411,$I411,$J411,$K411))</f>
        <v/>
      </c>
      <c r="O411" s="31">
        <f>IF($A411="","",MAX(0,$M411-IF($N411="TBO-001",$H411,IF($N411="TBO-002",$I411,IF($N411="TBO-004",$J411,IF($N411="TBO-ENG",$K411,0))))))</f>
        <v/>
      </c>
    </row>
    <row r="412">
      <c r="H412" s="31">
        <f>IF($A412="","",IF($D412="Evet",ROUND($C412*tbo_oranBesPuan,2),0))</f>
        <v/>
      </c>
      <c r="I412" s="31">
        <f>IF($A412="","",IF($E412="Evet",ROUND($C412*tbo_oranIlave,2),0))</f>
        <v/>
      </c>
      <c r="J412" s="31">
        <f>IF($A412="","",IF($F412="Evet",ROUND($C412*tbo_oranKadinGenc,2),0))</f>
        <v/>
      </c>
      <c r="K412" s="31">
        <f>IF($A412="","",IF($G412="Evet",ROUND($C412*tbo_isverenOran,2),0))</f>
        <v/>
      </c>
      <c r="L412" s="31">
        <f>IF($A412="","",IF($M412=0,"YOK",IF($I412=$M412,"TBO-002",IF($H412=$M412,"TBO-001",IF($J412=$M412,"TBO-004","TBO-ENG")))))</f>
        <v/>
      </c>
      <c r="M412" s="31">
        <f>IF($A412="","",MAX($H412,$I412,$J412,$K412))</f>
        <v/>
      </c>
      <c r="O412" s="31">
        <f>IF($A412="","",MAX(0,$M412-IF($N412="TBO-001",$H412,IF($N412="TBO-002",$I412,IF($N412="TBO-004",$J412,IF($N412="TBO-ENG",$K412,0))))))</f>
        <v/>
      </c>
    </row>
    <row r="413">
      <c r="H413" s="31">
        <f>IF($A413="","",IF($D413="Evet",ROUND($C413*tbo_oranBesPuan,2),0))</f>
        <v/>
      </c>
      <c r="I413" s="31">
        <f>IF($A413="","",IF($E413="Evet",ROUND($C413*tbo_oranIlave,2),0))</f>
        <v/>
      </c>
      <c r="J413" s="31">
        <f>IF($A413="","",IF($F413="Evet",ROUND($C413*tbo_oranKadinGenc,2),0))</f>
        <v/>
      </c>
      <c r="K413" s="31">
        <f>IF($A413="","",IF($G413="Evet",ROUND($C413*tbo_isverenOran,2),0))</f>
        <v/>
      </c>
      <c r="L413" s="31">
        <f>IF($A413="","",IF($M413=0,"YOK",IF($I413=$M413,"TBO-002",IF($H413=$M413,"TBO-001",IF($J413=$M413,"TBO-004","TBO-ENG")))))</f>
        <v/>
      </c>
      <c r="M413" s="31">
        <f>IF($A413="","",MAX($H413,$I413,$J413,$K413))</f>
        <v/>
      </c>
      <c r="O413" s="31">
        <f>IF($A413="","",MAX(0,$M413-IF($N413="TBO-001",$H413,IF($N413="TBO-002",$I413,IF($N413="TBO-004",$J413,IF($N413="TBO-ENG",$K413,0))))))</f>
        <v/>
      </c>
    </row>
    <row r="414">
      <c r="H414" s="31">
        <f>IF($A414="","",IF($D414="Evet",ROUND($C414*tbo_oranBesPuan,2),0))</f>
        <v/>
      </c>
      <c r="I414" s="31">
        <f>IF($A414="","",IF($E414="Evet",ROUND($C414*tbo_oranIlave,2),0))</f>
        <v/>
      </c>
      <c r="J414" s="31">
        <f>IF($A414="","",IF($F414="Evet",ROUND($C414*tbo_oranKadinGenc,2),0))</f>
        <v/>
      </c>
      <c r="K414" s="31">
        <f>IF($A414="","",IF($G414="Evet",ROUND($C414*tbo_isverenOran,2),0))</f>
        <v/>
      </c>
      <c r="L414" s="31">
        <f>IF($A414="","",IF($M414=0,"YOK",IF($I414=$M414,"TBO-002",IF($H414=$M414,"TBO-001",IF($J414=$M414,"TBO-004","TBO-ENG")))))</f>
        <v/>
      </c>
      <c r="M414" s="31">
        <f>IF($A414="","",MAX($H414,$I414,$J414,$K414))</f>
        <v/>
      </c>
      <c r="O414" s="31">
        <f>IF($A414="","",MAX(0,$M414-IF($N414="TBO-001",$H414,IF($N414="TBO-002",$I414,IF($N414="TBO-004",$J414,IF($N414="TBO-ENG",$K414,0))))))</f>
        <v/>
      </c>
    </row>
    <row r="415">
      <c r="H415" s="31">
        <f>IF($A415="","",IF($D415="Evet",ROUND($C415*tbo_oranBesPuan,2),0))</f>
        <v/>
      </c>
      <c r="I415" s="31">
        <f>IF($A415="","",IF($E415="Evet",ROUND($C415*tbo_oranIlave,2),0))</f>
        <v/>
      </c>
      <c r="J415" s="31">
        <f>IF($A415="","",IF($F415="Evet",ROUND($C415*tbo_oranKadinGenc,2),0))</f>
        <v/>
      </c>
      <c r="K415" s="31">
        <f>IF($A415="","",IF($G415="Evet",ROUND($C415*tbo_isverenOran,2),0))</f>
        <v/>
      </c>
      <c r="L415" s="31">
        <f>IF($A415="","",IF($M415=0,"YOK",IF($I415=$M415,"TBO-002",IF($H415=$M415,"TBO-001",IF($J415=$M415,"TBO-004","TBO-ENG")))))</f>
        <v/>
      </c>
      <c r="M415" s="31">
        <f>IF($A415="","",MAX($H415,$I415,$J415,$K415))</f>
        <v/>
      </c>
      <c r="O415" s="31">
        <f>IF($A415="","",MAX(0,$M415-IF($N415="TBO-001",$H415,IF($N415="TBO-002",$I415,IF($N415="TBO-004",$J415,IF($N415="TBO-ENG",$K415,0))))))</f>
        <v/>
      </c>
    </row>
    <row r="416">
      <c r="H416" s="31">
        <f>IF($A416="","",IF($D416="Evet",ROUND($C416*tbo_oranBesPuan,2),0))</f>
        <v/>
      </c>
      <c r="I416" s="31">
        <f>IF($A416="","",IF($E416="Evet",ROUND($C416*tbo_oranIlave,2),0))</f>
        <v/>
      </c>
      <c r="J416" s="31">
        <f>IF($A416="","",IF($F416="Evet",ROUND($C416*tbo_oranKadinGenc,2),0))</f>
        <v/>
      </c>
      <c r="K416" s="31">
        <f>IF($A416="","",IF($G416="Evet",ROUND($C416*tbo_isverenOran,2),0))</f>
        <v/>
      </c>
      <c r="L416" s="31">
        <f>IF($A416="","",IF($M416=0,"YOK",IF($I416=$M416,"TBO-002",IF($H416=$M416,"TBO-001",IF($J416=$M416,"TBO-004","TBO-ENG")))))</f>
        <v/>
      </c>
      <c r="M416" s="31">
        <f>IF($A416="","",MAX($H416,$I416,$J416,$K416))</f>
        <v/>
      </c>
      <c r="O416" s="31">
        <f>IF($A416="","",MAX(0,$M416-IF($N416="TBO-001",$H416,IF($N416="TBO-002",$I416,IF($N416="TBO-004",$J416,IF($N416="TBO-ENG",$K416,0))))))</f>
        <v/>
      </c>
    </row>
    <row r="417">
      <c r="H417" s="31">
        <f>IF($A417="","",IF($D417="Evet",ROUND($C417*tbo_oranBesPuan,2),0))</f>
        <v/>
      </c>
      <c r="I417" s="31">
        <f>IF($A417="","",IF($E417="Evet",ROUND($C417*tbo_oranIlave,2),0))</f>
        <v/>
      </c>
      <c r="J417" s="31">
        <f>IF($A417="","",IF($F417="Evet",ROUND($C417*tbo_oranKadinGenc,2),0))</f>
        <v/>
      </c>
      <c r="K417" s="31">
        <f>IF($A417="","",IF($G417="Evet",ROUND($C417*tbo_isverenOran,2),0))</f>
        <v/>
      </c>
      <c r="L417" s="31">
        <f>IF($A417="","",IF($M417=0,"YOK",IF($I417=$M417,"TBO-002",IF($H417=$M417,"TBO-001",IF($J417=$M417,"TBO-004","TBO-ENG")))))</f>
        <v/>
      </c>
      <c r="M417" s="31">
        <f>IF($A417="","",MAX($H417,$I417,$J417,$K417))</f>
        <v/>
      </c>
      <c r="O417" s="31">
        <f>IF($A417="","",MAX(0,$M417-IF($N417="TBO-001",$H417,IF($N417="TBO-002",$I417,IF($N417="TBO-004",$J417,IF($N417="TBO-ENG",$K417,0))))))</f>
        <v/>
      </c>
    </row>
    <row r="418">
      <c r="H418" s="31">
        <f>IF($A418="","",IF($D418="Evet",ROUND($C418*tbo_oranBesPuan,2),0))</f>
        <v/>
      </c>
      <c r="I418" s="31">
        <f>IF($A418="","",IF($E418="Evet",ROUND($C418*tbo_oranIlave,2),0))</f>
        <v/>
      </c>
      <c r="J418" s="31">
        <f>IF($A418="","",IF($F418="Evet",ROUND($C418*tbo_oranKadinGenc,2),0))</f>
        <v/>
      </c>
      <c r="K418" s="31">
        <f>IF($A418="","",IF($G418="Evet",ROUND($C418*tbo_isverenOran,2),0))</f>
        <v/>
      </c>
      <c r="L418" s="31">
        <f>IF($A418="","",IF($M418=0,"YOK",IF($I418=$M418,"TBO-002",IF($H418=$M418,"TBO-001",IF($J418=$M418,"TBO-004","TBO-ENG")))))</f>
        <v/>
      </c>
      <c r="M418" s="31">
        <f>IF($A418="","",MAX($H418,$I418,$J418,$K418))</f>
        <v/>
      </c>
      <c r="O418" s="31">
        <f>IF($A418="","",MAX(0,$M418-IF($N418="TBO-001",$H418,IF($N418="TBO-002",$I418,IF($N418="TBO-004",$J418,IF($N418="TBO-ENG",$K418,0))))))</f>
        <v/>
      </c>
    </row>
    <row r="419">
      <c r="H419" s="31">
        <f>IF($A419="","",IF($D419="Evet",ROUND($C419*tbo_oranBesPuan,2),0))</f>
        <v/>
      </c>
      <c r="I419" s="31">
        <f>IF($A419="","",IF($E419="Evet",ROUND($C419*tbo_oranIlave,2),0))</f>
        <v/>
      </c>
      <c r="J419" s="31">
        <f>IF($A419="","",IF($F419="Evet",ROUND($C419*tbo_oranKadinGenc,2),0))</f>
        <v/>
      </c>
      <c r="K419" s="31">
        <f>IF($A419="","",IF($G419="Evet",ROUND($C419*tbo_isverenOran,2),0))</f>
        <v/>
      </c>
      <c r="L419" s="31">
        <f>IF($A419="","",IF($M419=0,"YOK",IF($I419=$M419,"TBO-002",IF($H419=$M419,"TBO-001",IF($J419=$M419,"TBO-004","TBO-ENG")))))</f>
        <v/>
      </c>
      <c r="M419" s="31">
        <f>IF($A419="","",MAX($H419,$I419,$J419,$K419))</f>
        <v/>
      </c>
      <c r="O419" s="31">
        <f>IF($A419="","",MAX(0,$M419-IF($N419="TBO-001",$H419,IF($N419="TBO-002",$I419,IF($N419="TBO-004",$J419,IF($N419="TBO-ENG",$K419,0))))))</f>
        <v/>
      </c>
    </row>
    <row r="420">
      <c r="H420" s="31">
        <f>IF($A420="","",IF($D420="Evet",ROUND($C420*tbo_oranBesPuan,2),0))</f>
        <v/>
      </c>
      <c r="I420" s="31">
        <f>IF($A420="","",IF($E420="Evet",ROUND($C420*tbo_oranIlave,2),0))</f>
        <v/>
      </c>
      <c r="J420" s="31">
        <f>IF($A420="","",IF($F420="Evet",ROUND($C420*tbo_oranKadinGenc,2),0))</f>
        <v/>
      </c>
      <c r="K420" s="31">
        <f>IF($A420="","",IF($G420="Evet",ROUND($C420*tbo_isverenOran,2),0))</f>
        <v/>
      </c>
      <c r="L420" s="31">
        <f>IF($A420="","",IF($M420=0,"YOK",IF($I420=$M420,"TBO-002",IF($H420=$M420,"TBO-001",IF($J420=$M420,"TBO-004","TBO-ENG")))))</f>
        <v/>
      </c>
      <c r="M420" s="31">
        <f>IF($A420="","",MAX($H420,$I420,$J420,$K420))</f>
        <v/>
      </c>
      <c r="O420" s="31">
        <f>IF($A420="","",MAX(0,$M420-IF($N420="TBO-001",$H420,IF($N420="TBO-002",$I420,IF($N420="TBO-004",$J420,IF($N420="TBO-ENG",$K420,0))))))</f>
        <v/>
      </c>
    </row>
    <row r="421">
      <c r="H421" s="31">
        <f>IF($A421="","",IF($D421="Evet",ROUND($C421*tbo_oranBesPuan,2),0))</f>
        <v/>
      </c>
      <c r="I421" s="31">
        <f>IF($A421="","",IF($E421="Evet",ROUND($C421*tbo_oranIlave,2),0))</f>
        <v/>
      </c>
      <c r="J421" s="31">
        <f>IF($A421="","",IF($F421="Evet",ROUND($C421*tbo_oranKadinGenc,2),0))</f>
        <v/>
      </c>
      <c r="K421" s="31">
        <f>IF($A421="","",IF($G421="Evet",ROUND($C421*tbo_isverenOran,2),0))</f>
        <v/>
      </c>
      <c r="L421" s="31">
        <f>IF($A421="","",IF($M421=0,"YOK",IF($I421=$M421,"TBO-002",IF($H421=$M421,"TBO-001",IF($J421=$M421,"TBO-004","TBO-ENG")))))</f>
        <v/>
      </c>
      <c r="M421" s="31">
        <f>IF($A421="","",MAX($H421,$I421,$J421,$K421))</f>
        <v/>
      </c>
      <c r="O421" s="31">
        <f>IF($A421="","",MAX(0,$M421-IF($N421="TBO-001",$H421,IF($N421="TBO-002",$I421,IF($N421="TBO-004",$J421,IF($N421="TBO-ENG",$K421,0))))))</f>
        <v/>
      </c>
    </row>
    <row r="422">
      <c r="H422" s="31">
        <f>IF($A422="","",IF($D422="Evet",ROUND($C422*tbo_oranBesPuan,2),0))</f>
        <v/>
      </c>
      <c r="I422" s="31">
        <f>IF($A422="","",IF($E422="Evet",ROUND($C422*tbo_oranIlave,2),0))</f>
        <v/>
      </c>
      <c r="J422" s="31">
        <f>IF($A422="","",IF($F422="Evet",ROUND($C422*tbo_oranKadinGenc,2),0))</f>
        <v/>
      </c>
      <c r="K422" s="31">
        <f>IF($A422="","",IF($G422="Evet",ROUND($C422*tbo_isverenOran,2),0))</f>
        <v/>
      </c>
      <c r="L422" s="31">
        <f>IF($A422="","",IF($M422=0,"YOK",IF($I422=$M422,"TBO-002",IF($H422=$M422,"TBO-001",IF($J422=$M422,"TBO-004","TBO-ENG")))))</f>
        <v/>
      </c>
      <c r="M422" s="31">
        <f>IF($A422="","",MAX($H422,$I422,$J422,$K422))</f>
        <v/>
      </c>
      <c r="O422" s="31">
        <f>IF($A422="","",MAX(0,$M422-IF($N422="TBO-001",$H422,IF($N422="TBO-002",$I422,IF($N422="TBO-004",$J422,IF($N422="TBO-ENG",$K422,0))))))</f>
        <v/>
      </c>
    </row>
    <row r="423">
      <c r="H423" s="31">
        <f>IF($A423="","",IF($D423="Evet",ROUND($C423*tbo_oranBesPuan,2),0))</f>
        <v/>
      </c>
      <c r="I423" s="31">
        <f>IF($A423="","",IF($E423="Evet",ROUND($C423*tbo_oranIlave,2),0))</f>
        <v/>
      </c>
      <c r="J423" s="31">
        <f>IF($A423="","",IF($F423="Evet",ROUND($C423*tbo_oranKadinGenc,2),0))</f>
        <v/>
      </c>
      <c r="K423" s="31">
        <f>IF($A423="","",IF($G423="Evet",ROUND($C423*tbo_isverenOran,2),0))</f>
        <v/>
      </c>
      <c r="L423" s="31">
        <f>IF($A423="","",IF($M423=0,"YOK",IF($I423=$M423,"TBO-002",IF($H423=$M423,"TBO-001",IF($J423=$M423,"TBO-004","TBO-ENG")))))</f>
        <v/>
      </c>
      <c r="M423" s="31">
        <f>IF($A423="","",MAX($H423,$I423,$J423,$K423))</f>
        <v/>
      </c>
      <c r="O423" s="31">
        <f>IF($A423="","",MAX(0,$M423-IF($N423="TBO-001",$H423,IF($N423="TBO-002",$I423,IF($N423="TBO-004",$J423,IF($N423="TBO-ENG",$K423,0))))))</f>
        <v/>
      </c>
    </row>
    <row r="424">
      <c r="H424" s="31">
        <f>IF($A424="","",IF($D424="Evet",ROUND($C424*tbo_oranBesPuan,2),0))</f>
        <v/>
      </c>
      <c r="I424" s="31">
        <f>IF($A424="","",IF($E424="Evet",ROUND($C424*tbo_oranIlave,2),0))</f>
        <v/>
      </c>
      <c r="J424" s="31">
        <f>IF($A424="","",IF($F424="Evet",ROUND($C424*tbo_oranKadinGenc,2),0))</f>
        <v/>
      </c>
      <c r="K424" s="31">
        <f>IF($A424="","",IF($G424="Evet",ROUND($C424*tbo_isverenOran,2),0))</f>
        <v/>
      </c>
      <c r="L424" s="31">
        <f>IF($A424="","",IF($M424=0,"YOK",IF($I424=$M424,"TBO-002",IF($H424=$M424,"TBO-001",IF($J424=$M424,"TBO-004","TBO-ENG")))))</f>
        <v/>
      </c>
      <c r="M424" s="31">
        <f>IF($A424="","",MAX($H424,$I424,$J424,$K424))</f>
        <v/>
      </c>
      <c r="O424" s="31">
        <f>IF($A424="","",MAX(0,$M424-IF($N424="TBO-001",$H424,IF($N424="TBO-002",$I424,IF($N424="TBO-004",$J424,IF($N424="TBO-ENG",$K424,0))))))</f>
        <v/>
      </c>
    </row>
    <row r="425">
      <c r="H425" s="31">
        <f>IF($A425="","",IF($D425="Evet",ROUND($C425*tbo_oranBesPuan,2),0))</f>
        <v/>
      </c>
      <c r="I425" s="31">
        <f>IF($A425="","",IF($E425="Evet",ROUND($C425*tbo_oranIlave,2),0))</f>
        <v/>
      </c>
      <c r="J425" s="31">
        <f>IF($A425="","",IF($F425="Evet",ROUND($C425*tbo_oranKadinGenc,2),0))</f>
        <v/>
      </c>
      <c r="K425" s="31">
        <f>IF($A425="","",IF($G425="Evet",ROUND($C425*tbo_isverenOran,2),0))</f>
        <v/>
      </c>
      <c r="L425" s="31">
        <f>IF($A425="","",IF($M425=0,"YOK",IF($I425=$M425,"TBO-002",IF($H425=$M425,"TBO-001",IF($J425=$M425,"TBO-004","TBO-ENG")))))</f>
        <v/>
      </c>
      <c r="M425" s="31">
        <f>IF($A425="","",MAX($H425,$I425,$J425,$K425))</f>
        <v/>
      </c>
      <c r="O425" s="31">
        <f>IF($A425="","",MAX(0,$M425-IF($N425="TBO-001",$H425,IF($N425="TBO-002",$I425,IF($N425="TBO-004",$J425,IF($N425="TBO-ENG",$K425,0))))))</f>
        <v/>
      </c>
    </row>
    <row r="426">
      <c r="H426" s="31">
        <f>IF($A426="","",IF($D426="Evet",ROUND($C426*tbo_oranBesPuan,2),0))</f>
        <v/>
      </c>
      <c r="I426" s="31">
        <f>IF($A426="","",IF($E426="Evet",ROUND($C426*tbo_oranIlave,2),0))</f>
        <v/>
      </c>
      <c r="J426" s="31">
        <f>IF($A426="","",IF($F426="Evet",ROUND($C426*tbo_oranKadinGenc,2),0))</f>
        <v/>
      </c>
      <c r="K426" s="31">
        <f>IF($A426="","",IF($G426="Evet",ROUND($C426*tbo_isverenOran,2),0))</f>
        <v/>
      </c>
      <c r="L426" s="31">
        <f>IF($A426="","",IF($M426=0,"YOK",IF($I426=$M426,"TBO-002",IF($H426=$M426,"TBO-001",IF($J426=$M426,"TBO-004","TBO-ENG")))))</f>
        <v/>
      </c>
      <c r="M426" s="31">
        <f>IF($A426="","",MAX($H426,$I426,$J426,$K426))</f>
        <v/>
      </c>
      <c r="O426" s="31">
        <f>IF($A426="","",MAX(0,$M426-IF($N426="TBO-001",$H426,IF($N426="TBO-002",$I426,IF($N426="TBO-004",$J426,IF($N426="TBO-ENG",$K426,0))))))</f>
        <v/>
      </c>
    </row>
    <row r="427">
      <c r="H427" s="31">
        <f>IF($A427="","",IF($D427="Evet",ROUND($C427*tbo_oranBesPuan,2),0))</f>
        <v/>
      </c>
      <c r="I427" s="31">
        <f>IF($A427="","",IF($E427="Evet",ROUND($C427*tbo_oranIlave,2),0))</f>
        <v/>
      </c>
      <c r="J427" s="31">
        <f>IF($A427="","",IF($F427="Evet",ROUND($C427*tbo_oranKadinGenc,2),0))</f>
        <v/>
      </c>
      <c r="K427" s="31">
        <f>IF($A427="","",IF($G427="Evet",ROUND($C427*tbo_isverenOran,2),0))</f>
        <v/>
      </c>
      <c r="L427" s="31">
        <f>IF($A427="","",IF($M427=0,"YOK",IF($I427=$M427,"TBO-002",IF($H427=$M427,"TBO-001",IF($J427=$M427,"TBO-004","TBO-ENG")))))</f>
        <v/>
      </c>
      <c r="M427" s="31">
        <f>IF($A427="","",MAX($H427,$I427,$J427,$K427))</f>
        <v/>
      </c>
      <c r="O427" s="31">
        <f>IF($A427="","",MAX(0,$M427-IF($N427="TBO-001",$H427,IF($N427="TBO-002",$I427,IF($N427="TBO-004",$J427,IF($N427="TBO-ENG",$K427,0))))))</f>
        <v/>
      </c>
    </row>
    <row r="428">
      <c r="H428" s="31">
        <f>IF($A428="","",IF($D428="Evet",ROUND($C428*tbo_oranBesPuan,2),0))</f>
        <v/>
      </c>
      <c r="I428" s="31">
        <f>IF($A428="","",IF($E428="Evet",ROUND($C428*tbo_oranIlave,2),0))</f>
        <v/>
      </c>
      <c r="J428" s="31">
        <f>IF($A428="","",IF($F428="Evet",ROUND($C428*tbo_oranKadinGenc,2),0))</f>
        <v/>
      </c>
      <c r="K428" s="31">
        <f>IF($A428="","",IF($G428="Evet",ROUND($C428*tbo_isverenOran,2),0))</f>
        <v/>
      </c>
      <c r="L428" s="31">
        <f>IF($A428="","",IF($M428=0,"YOK",IF($I428=$M428,"TBO-002",IF($H428=$M428,"TBO-001",IF($J428=$M428,"TBO-004","TBO-ENG")))))</f>
        <v/>
      </c>
      <c r="M428" s="31">
        <f>IF($A428="","",MAX($H428,$I428,$J428,$K428))</f>
        <v/>
      </c>
      <c r="O428" s="31">
        <f>IF($A428="","",MAX(0,$M428-IF($N428="TBO-001",$H428,IF($N428="TBO-002",$I428,IF($N428="TBO-004",$J428,IF($N428="TBO-ENG",$K428,0))))))</f>
        <v/>
      </c>
    </row>
    <row r="429">
      <c r="H429" s="31">
        <f>IF($A429="","",IF($D429="Evet",ROUND($C429*tbo_oranBesPuan,2),0))</f>
        <v/>
      </c>
      <c r="I429" s="31">
        <f>IF($A429="","",IF($E429="Evet",ROUND($C429*tbo_oranIlave,2),0))</f>
        <v/>
      </c>
      <c r="J429" s="31">
        <f>IF($A429="","",IF($F429="Evet",ROUND($C429*tbo_oranKadinGenc,2),0))</f>
        <v/>
      </c>
      <c r="K429" s="31">
        <f>IF($A429="","",IF($G429="Evet",ROUND($C429*tbo_isverenOran,2),0))</f>
        <v/>
      </c>
      <c r="L429" s="31">
        <f>IF($A429="","",IF($M429=0,"YOK",IF($I429=$M429,"TBO-002",IF($H429=$M429,"TBO-001",IF($J429=$M429,"TBO-004","TBO-ENG")))))</f>
        <v/>
      </c>
      <c r="M429" s="31">
        <f>IF($A429="","",MAX($H429,$I429,$J429,$K429))</f>
        <v/>
      </c>
      <c r="O429" s="31">
        <f>IF($A429="","",MAX(0,$M429-IF($N429="TBO-001",$H429,IF($N429="TBO-002",$I429,IF($N429="TBO-004",$J429,IF($N429="TBO-ENG",$K429,0))))))</f>
        <v/>
      </c>
    </row>
    <row r="430">
      <c r="H430" s="31">
        <f>IF($A430="","",IF($D430="Evet",ROUND($C430*tbo_oranBesPuan,2),0))</f>
        <v/>
      </c>
      <c r="I430" s="31">
        <f>IF($A430="","",IF($E430="Evet",ROUND($C430*tbo_oranIlave,2),0))</f>
        <v/>
      </c>
      <c r="J430" s="31">
        <f>IF($A430="","",IF($F430="Evet",ROUND($C430*tbo_oranKadinGenc,2),0))</f>
        <v/>
      </c>
      <c r="K430" s="31">
        <f>IF($A430="","",IF($G430="Evet",ROUND($C430*tbo_isverenOran,2),0))</f>
        <v/>
      </c>
      <c r="L430" s="31">
        <f>IF($A430="","",IF($M430=0,"YOK",IF($I430=$M430,"TBO-002",IF($H430=$M430,"TBO-001",IF($J430=$M430,"TBO-004","TBO-ENG")))))</f>
        <v/>
      </c>
      <c r="M430" s="31">
        <f>IF($A430="","",MAX($H430,$I430,$J430,$K430))</f>
        <v/>
      </c>
      <c r="O430" s="31">
        <f>IF($A430="","",MAX(0,$M430-IF($N430="TBO-001",$H430,IF($N430="TBO-002",$I430,IF($N430="TBO-004",$J430,IF($N430="TBO-ENG",$K430,0))))))</f>
        <v/>
      </c>
    </row>
    <row r="431">
      <c r="H431" s="31">
        <f>IF($A431="","",IF($D431="Evet",ROUND($C431*tbo_oranBesPuan,2),0))</f>
        <v/>
      </c>
      <c r="I431" s="31">
        <f>IF($A431="","",IF($E431="Evet",ROUND($C431*tbo_oranIlave,2),0))</f>
        <v/>
      </c>
      <c r="J431" s="31">
        <f>IF($A431="","",IF($F431="Evet",ROUND($C431*tbo_oranKadinGenc,2),0))</f>
        <v/>
      </c>
      <c r="K431" s="31">
        <f>IF($A431="","",IF($G431="Evet",ROUND($C431*tbo_isverenOran,2),0))</f>
        <v/>
      </c>
      <c r="L431" s="31">
        <f>IF($A431="","",IF($M431=0,"YOK",IF($I431=$M431,"TBO-002",IF($H431=$M431,"TBO-001",IF($J431=$M431,"TBO-004","TBO-ENG")))))</f>
        <v/>
      </c>
      <c r="M431" s="31">
        <f>IF($A431="","",MAX($H431,$I431,$J431,$K431))</f>
        <v/>
      </c>
      <c r="O431" s="31">
        <f>IF($A431="","",MAX(0,$M431-IF($N431="TBO-001",$H431,IF($N431="TBO-002",$I431,IF($N431="TBO-004",$J431,IF($N431="TBO-ENG",$K431,0))))))</f>
        <v/>
      </c>
    </row>
    <row r="432">
      <c r="H432" s="31">
        <f>IF($A432="","",IF($D432="Evet",ROUND($C432*tbo_oranBesPuan,2),0))</f>
        <v/>
      </c>
      <c r="I432" s="31">
        <f>IF($A432="","",IF($E432="Evet",ROUND($C432*tbo_oranIlave,2),0))</f>
        <v/>
      </c>
      <c r="J432" s="31">
        <f>IF($A432="","",IF($F432="Evet",ROUND($C432*tbo_oranKadinGenc,2),0))</f>
        <v/>
      </c>
      <c r="K432" s="31">
        <f>IF($A432="","",IF($G432="Evet",ROUND($C432*tbo_isverenOran,2),0))</f>
        <v/>
      </c>
      <c r="L432" s="31">
        <f>IF($A432="","",IF($M432=0,"YOK",IF($I432=$M432,"TBO-002",IF($H432=$M432,"TBO-001",IF($J432=$M432,"TBO-004","TBO-ENG")))))</f>
        <v/>
      </c>
      <c r="M432" s="31">
        <f>IF($A432="","",MAX($H432,$I432,$J432,$K432))</f>
        <v/>
      </c>
      <c r="O432" s="31">
        <f>IF($A432="","",MAX(0,$M432-IF($N432="TBO-001",$H432,IF($N432="TBO-002",$I432,IF($N432="TBO-004",$J432,IF($N432="TBO-ENG",$K432,0))))))</f>
        <v/>
      </c>
    </row>
    <row r="433">
      <c r="H433" s="31">
        <f>IF($A433="","",IF($D433="Evet",ROUND($C433*tbo_oranBesPuan,2),0))</f>
        <v/>
      </c>
      <c r="I433" s="31">
        <f>IF($A433="","",IF($E433="Evet",ROUND($C433*tbo_oranIlave,2),0))</f>
        <v/>
      </c>
      <c r="J433" s="31">
        <f>IF($A433="","",IF($F433="Evet",ROUND($C433*tbo_oranKadinGenc,2),0))</f>
        <v/>
      </c>
      <c r="K433" s="31">
        <f>IF($A433="","",IF($G433="Evet",ROUND($C433*tbo_isverenOran,2),0))</f>
        <v/>
      </c>
      <c r="L433" s="31">
        <f>IF($A433="","",IF($M433=0,"YOK",IF($I433=$M433,"TBO-002",IF($H433=$M433,"TBO-001",IF($J433=$M433,"TBO-004","TBO-ENG")))))</f>
        <v/>
      </c>
      <c r="M433" s="31">
        <f>IF($A433="","",MAX($H433,$I433,$J433,$K433))</f>
        <v/>
      </c>
      <c r="O433" s="31">
        <f>IF($A433="","",MAX(0,$M433-IF($N433="TBO-001",$H433,IF($N433="TBO-002",$I433,IF($N433="TBO-004",$J433,IF($N433="TBO-ENG",$K433,0))))))</f>
        <v/>
      </c>
    </row>
    <row r="434">
      <c r="H434" s="31">
        <f>IF($A434="","",IF($D434="Evet",ROUND($C434*tbo_oranBesPuan,2),0))</f>
        <v/>
      </c>
      <c r="I434" s="31">
        <f>IF($A434="","",IF($E434="Evet",ROUND($C434*tbo_oranIlave,2),0))</f>
        <v/>
      </c>
      <c r="J434" s="31">
        <f>IF($A434="","",IF($F434="Evet",ROUND($C434*tbo_oranKadinGenc,2),0))</f>
        <v/>
      </c>
      <c r="K434" s="31">
        <f>IF($A434="","",IF($G434="Evet",ROUND($C434*tbo_isverenOran,2),0))</f>
        <v/>
      </c>
      <c r="L434" s="31">
        <f>IF($A434="","",IF($M434=0,"YOK",IF($I434=$M434,"TBO-002",IF($H434=$M434,"TBO-001",IF($J434=$M434,"TBO-004","TBO-ENG")))))</f>
        <v/>
      </c>
      <c r="M434" s="31">
        <f>IF($A434="","",MAX($H434,$I434,$J434,$K434))</f>
        <v/>
      </c>
      <c r="O434" s="31">
        <f>IF($A434="","",MAX(0,$M434-IF($N434="TBO-001",$H434,IF($N434="TBO-002",$I434,IF($N434="TBO-004",$J434,IF($N434="TBO-ENG",$K434,0))))))</f>
        <v/>
      </c>
    </row>
    <row r="435">
      <c r="H435" s="31">
        <f>IF($A435="","",IF($D435="Evet",ROUND($C435*tbo_oranBesPuan,2),0))</f>
        <v/>
      </c>
      <c r="I435" s="31">
        <f>IF($A435="","",IF($E435="Evet",ROUND($C435*tbo_oranIlave,2),0))</f>
        <v/>
      </c>
      <c r="J435" s="31">
        <f>IF($A435="","",IF($F435="Evet",ROUND($C435*tbo_oranKadinGenc,2),0))</f>
        <v/>
      </c>
      <c r="K435" s="31">
        <f>IF($A435="","",IF($G435="Evet",ROUND($C435*tbo_isverenOran,2),0))</f>
        <v/>
      </c>
      <c r="L435" s="31">
        <f>IF($A435="","",IF($M435=0,"YOK",IF($I435=$M435,"TBO-002",IF($H435=$M435,"TBO-001",IF($J435=$M435,"TBO-004","TBO-ENG")))))</f>
        <v/>
      </c>
      <c r="M435" s="31">
        <f>IF($A435="","",MAX($H435,$I435,$J435,$K435))</f>
        <v/>
      </c>
      <c r="O435" s="31">
        <f>IF($A435="","",MAX(0,$M435-IF($N435="TBO-001",$H435,IF($N435="TBO-002",$I435,IF($N435="TBO-004",$J435,IF($N435="TBO-ENG",$K435,0))))))</f>
        <v/>
      </c>
    </row>
    <row r="436">
      <c r="H436" s="31">
        <f>IF($A436="","",IF($D436="Evet",ROUND($C436*tbo_oranBesPuan,2),0))</f>
        <v/>
      </c>
      <c r="I436" s="31">
        <f>IF($A436="","",IF($E436="Evet",ROUND($C436*tbo_oranIlave,2),0))</f>
        <v/>
      </c>
      <c r="J436" s="31">
        <f>IF($A436="","",IF($F436="Evet",ROUND($C436*tbo_oranKadinGenc,2),0))</f>
        <v/>
      </c>
      <c r="K436" s="31">
        <f>IF($A436="","",IF($G436="Evet",ROUND($C436*tbo_isverenOran,2),0))</f>
        <v/>
      </c>
      <c r="L436" s="31">
        <f>IF($A436="","",IF($M436=0,"YOK",IF($I436=$M436,"TBO-002",IF($H436=$M436,"TBO-001",IF($J436=$M436,"TBO-004","TBO-ENG")))))</f>
        <v/>
      </c>
      <c r="M436" s="31">
        <f>IF($A436="","",MAX($H436,$I436,$J436,$K436))</f>
        <v/>
      </c>
      <c r="O436" s="31">
        <f>IF($A436="","",MAX(0,$M436-IF($N436="TBO-001",$H436,IF($N436="TBO-002",$I436,IF($N436="TBO-004",$J436,IF($N436="TBO-ENG",$K436,0))))))</f>
        <v/>
      </c>
    </row>
    <row r="437">
      <c r="H437" s="31">
        <f>IF($A437="","",IF($D437="Evet",ROUND($C437*tbo_oranBesPuan,2),0))</f>
        <v/>
      </c>
      <c r="I437" s="31">
        <f>IF($A437="","",IF($E437="Evet",ROUND($C437*tbo_oranIlave,2),0))</f>
        <v/>
      </c>
      <c r="J437" s="31">
        <f>IF($A437="","",IF($F437="Evet",ROUND($C437*tbo_oranKadinGenc,2),0))</f>
        <v/>
      </c>
      <c r="K437" s="31">
        <f>IF($A437="","",IF($G437="Evet",ROUND($C437*tbo_isverenOran,2),0))</f>
        <v/>
      </c>
      <c r="L437" s="31">
        <f>IF($A437="","",IF($M437=0,"YOK",IF($I437=$M437,"TBO-002",IF($H437=$M437,"TBO-001",IF($J437=$M437,"TBO-004","TBO-ENG")))))</f>
        <v/>
      </c>
      <c r="M437" s="31">
        <f>IF($A437="","",MAX($H437,$I437,$J437,$K437))</f>
        <v/>
      </c>
      <c r="O437" s="31">
        <f>IF($A437="","",MAX(0,$M437-IF($N437="TBO-001",$H437,IF($N437="TBO-002",$I437,IF($N437="TBO-004",$J437,IF($N437="TBO-ENG",$K437,0))))))</f>
        <v/>
      </c>
    </row>
    <row r="438">
      <c r="H438" s="31">
        <f>IF($A438="","",IF($D438="Evet",ROUND($C438*tbo_oranBesPuan,2),0))</f>
        <v/>
      </c>
      <c r="I438" s="31">
        <f>IF($A438="","",IF($E438="Evet",ROUND($C438*tbo_oranIlave,2),0))</f>
        <v/>
      </c>
      <c r="J438" s="31">
        <f>IF($A438="","",IF($F438="Evet",ROUND($C438*tbo_oranKadinGenc,2),0))</f>
        <v/>
      </c>
      <c r="K438" s="31">
        <f>IF($A438="","",IF($G438="Evet",ROUND($C438*tbo_isverenOran,2),0))</f>
        <v/>
      </c>
      <c r="L438" s="31">
        <f>IF($A438="","",IF($M438=0,"YOK",IF($I438=$M438,"TBO-002",IF($H438=$M438,"TBO-001",IF($J438=$M438,"TBO-004","TBO-ENG")))))</f>
        <v/>
      </c>
      <c r="M438" s="31">
        <f>IF($A438="","",MAX($H438,$I438,$J438,$K438))</f>
        <v/>
      </c>
      <c r="O438" s="31">
        <f>IF($A438="","",MAX(0,$M438-IF($N438="TBO-001",$H438,IF($N438="TBO-002",$I438,IF($N438="TBO-004",$J438,IF($N438="TBO-ENG",$K438,0))))))</f>
        <v/>
      </c>
    </row>
    <row r="439">
      <c r="H439" s="31">
        <f>IF($A439="","",IF($D439="Evet",ROUND($C439*tbo_oranBesPuan,2),0))</f>
        <v/>
      </c>
      <c r="I439" s="31">
        <f>IF($A439="","",IF($E439="Evet",ROUND($C439*tbo_oranIlave,2),0))</f>
        <v/>
      </c>
      <c r="J439" s="31">
        <f>IF($A439="","",IF($F439="Evet",ROUND($C439*tbo_oranKadinGenc,2),0))</f>
        <v/>
      </c>
      <c r="K439" s="31">
        <f>IF($A439="","",IF($G439="Evet",ROUND($C439*tbo_isverenOran,2),0))</f>
        <v/>
      </c>
      <c r="L439" s="31">
        <f>IF($A439="","",IF($M439=0,"YOK",IF($I439=$M439,"TBO-002",IF($H439=$M439,"TBO-001",IF($J439=$M439,"TBO-004","TBO-ENG")))))</f>
        <v/>
      </c>
      <c r="M439" s="31">
        <f>IF($A439="","",MAX($H439,$I439,$J439,$K439))</f>
        <v/>
      </c>
      <c r="O439" s="31">
        <f>IF($A439="","",MAX(0,$M439-IF($N439="TBO-001",$H439,IF($N439="TBO-002",$I439,IF($N439="TBO-004",$J439,IF($N439="TBO-ENG",$K439,0))))))</f>
        <v/>
      </c>
    </row>
    <row r="440">
      <c r="H440" s="31">
        <f>IF($A440="","",IF($D440="Evet",ROUND($C440*tbo_oranBesPuan,2),0))</f>
        <v/>
      </c>
      <c r="I440" s="31">
        <f>IF($A440="","",IF($E440="Evet",ROUND($C440*tbo_oranIlave,2),0))</f>
        <v/>
      </c>
      <c r="J440" s="31">
        <f>IF($A440="","",IF($F440="Evet",ROUND($C440*tbo_oranKadinGenc,2),0))</f>
        <v/>
      </c>
      <c r="K440" s="31">
        <f>IF($A440="","",IF($G440="Evet",ROUND($C440*tbo_isverenOran,2),0))</f>
        <v/>
      </c>
      <c r="L440" s="31">
        <f>IF($A440="","",IF($M440=0,"YOK",IF($I440=$M440,"TBO-002",IF($H440=$M440,"TBO-001",IF($J440=$M440,"TBO-004","TBO-ENG")))))</f>
        <v/>
      </c>
      <c r="M440" s="31">
        <f>IF($A440="","",MAX($H440,$I440,$J440,$K440))</f>
        <v/>
      </c>
      <c r="O440" s="31">
        <f>IF($A440="","",MAX(0,$M440-IF($N440="TBO-001",$H440,IF($N440="TBO-002",$I440,IF($N440="TBO-004",$J440,IF($N440="TBO-ENG",$K440,0))))))</f>
        <v/>
      </c>
    </row>
    <row r="441">
      <c r="H441" s="31">
        <f>IF($A441="","",IF($D441="Evet",ROUND($C441*tbo_oranBesPuan,2),0))</f>
        <v/>
      </c>
      <c r="I441" s="31">
        <f>IF($A441="","",IF($E441="Evet",ROUND($C441*tbo_oranIlave,2),0))</f>
        <v/>
      </c>
      <c r="J441" s="31">
        <f>IF($A441="","",IF($F441="Evet",ROUND($C441*tbo_oranKadinGenc,2),0))</f>
        <v/>
      </c>
      <c r="K441" s="31">
        <f>IF($A441="","",IF($G441="Evet",ROUND($C441*tbo_isverenOran,2),0))</f>
        <v/>
      </c>
      <c r="L441" s="31">
        <f>IF($A441="","",IF($M441=0,"YOK",IF($I441=$M441,"TBO-002",IF($H441=$M441,"TBO-001",IF($J441=$M441,"TBO-004","TBO-ENG")))))</f>
        <v/>
      </c>
      <c r="M441" s="31">
        <f>IF($A441="","",MAX($H441,$I441,$J441,$K441))</f>
        <v/>
      </c>
      <c r="O441" s="31">
        <f>IF($A441="","",MAX(0,$M441-IF($N441="TBO-001",$H441,IF($N441="TBO-002",$I441,IF($N441="TBO-004",$J441,IF($N441="TBO-ENG",$K441,0))))))</f>
        <v/>
      </c>
    </row>
    <row r="442">
      <c r="H442" s="31">
        <f>IF($A442="","",IF($D442="Evet",ROUND($C442*tbo_oranBesPuan,2),0))</f>
        <v/>
      </c>
      <c r="I442" s="31">
        <f>IF($A442="","",IF($E442="Evet",ROUND($C442*tbo_oranIlave,2),0))</f>
        <v/>
      </c>
      <c r="J442" s="31">
        <f>IF($A442="","",IF($F442="Evet",ROUND($C442*tbo_oranKadinGenc,2),0))</f>
        <v/>
      </c>
      <c r="K442" s="31">
        <f>IF($A442="","",IF($G442="Evet",ROUND($C442*tbo_isverenOran,2),0))</f>
        <v/>
      </c>
      <c r="L442" s="31">
        <f>IF($A442="","",IF($M442=0,"YOK",IF($I442=$M442,"TBO-002",IF($H442=$M442,"TBO-001",IF($J442=$M442,"TBO-004","TBO-ENG")))))</f>
        <v/>
      </c>
      <c r="M442" s="31">
        <f>IF($A442="","",MAX($H442,$I442,$J442,$K442))</f>
        <v/>
      </c>
      <c r="O442" s="31">
        <f>IF($A442="","",MAX(0,$M442-IF($N442="TBO-001",$H442,IF($N442="TBO-002",$I442,IF($N442="TBO-004",$J442,IF($N442="TBO-ENG",$K442,0))))))</f>
        <v/>
      </c>
    </row>
    <row r="443">
      <c r="H443" s="31">
        <f>IF($A443="","",IF($D443="Evet",ROUND($C443*tbo_oranBesPuan,2),0))</f>
        <v/>
      </c>
      <c r="I443" s="31">
        <f>IF($A443="","",IF($E443="Evet",ROUND($C443*tbo_oranIlave,2),0))</f>
        <v/>
      </c>
      <c r="J443" s="31">
        <f>IF($A443="","",IF($F443="Evet",ROUND($C443*tbo_oranKadinGenc,2),0))</f>
        <v/>
      </c>
      <c r="K443" s="31">
        <f>IF($A443="","",IF($G443="Evet",ROUND($C443*tbo_isverenOran,2),0))</f>
        <v/>
      </c>
      <c r="L443" s="31">
        <f>IF($A443="","",IF($M443=0,"YOK",IF($I443=$M443,"TBO-002",IF($H443=$M443,"TBO-001",IF($J443=$M443,"TBO-004","TBO-ENG")))))</f>
        <v/>
      </c>
      <c r="M443" s="31">
        <f>IF($A443="","",MAX($H443,$I443,$J443,$K443))</f>
        <v/>
      </c>
      <c r="O443" s="31">
        <f>IF($A443="","",MAX(0,$M443-IF($N443="TBO-001",$H443,IF($N443="TBO-002",$I443,IF($N443="TBO-004",$J443,IF($N443="TBO-ENG",$K443,0))))))</f>
        <v/>
      </c>
    </row>
    <row r="444">
      <c r="H444" s="31">
        <f>IF($A444="","",IF($D444="Evet",ROUND($C444*tbo_oranBesPuan,2),0))</f>
        <v/>
      </c>
      <c r="I444" s="31">
        <f>IF($A444="","",IF($E444="Evet",ROUND($C444*tbo_oranIlave,2),0))</f>
        <v/>
      </c>
      <c r="J444" s="31">
        <f>IF($A444="","",IF($F444="Evet",ROUND($C444*tbo_oranKadinGenc,2),0))</f>
        <v/>
      </c>
      <c r="K444" s="31">
        <f>IF($A444="","",IF($G444="Evet",ROUND($C444*tbo_isverenOran,2),0))</f>
        <v/>
      </c>
      <c r="L444" s="31">
        <f>IF($A444="","",IF($M444=0,"YOK",IF($I444=$M444,"TBO-002",IF($H444=$M444,"TBO-001",IF($J444=$M444,"TBO-004","TBO-ENG")))))</f>
        <v/>
      </c>
      <c r="M444" s="31">
        <f>IF($A444="","",MAX($H444,$I444,$J444,$K444))</f>
        <v/>
      </c>
      <c r="O444" s="31">
        <f>IF($A444="","",MAX(0,$M444-IF($N444="TBO-001",$H444,IF($N444="TBO-002",$I444,IF($N444="TBO-004",$J444,IF($N444="TBO-ENG",$K444,0))))))</f>
        <v/>
      </c>
    </row>
    <row r="445">
      <c r="H445" s="31">
        <f>IF($A445="","",IF($D445="Evet",ROUND($C445*tbo_oranBesPuan,2),0))</f>
        <v/>
      </c>
      <c r="I445" s="31">
        <f>IF($A445="","",IF($E445="Evet",ROUND($C445*tbo_oranIlave,2),0))</f>
        <v/>
      </c>
      <c r="J445" s="31">
        <f>IF($A445="","",IF($F445="Evet",ROUND($C445*tbo_oranKadinGenc,2),0))</f>
        <v/>
      </c>
      <c r="K445" s="31">
        <f>IF($A445="","",IF($G445="Evet",ROUND($C445*tbo_isverenOran,2),0))</f>
        <v/>
      </c>
      <c r="L445" s="31">
        <f>IF($A445="","",IF($M445=0,"YOK",IF($I445=$M445,"TBO-002",IF($H445=$M445,"TBO-001",IF($J445=$M445,"TBO-004","TBO-ENG")))))</f>
        <v/>
      </c>
      <c r="M445" s="31">
        <f>IF($A445="","",MAX($H445,$I445,$J445,$K445))</f>
        <v/>
      </c>
      <c r="O445" s="31">
        <f>IF($A445="","",MAX(0,$M445-IF($N445="TBO-001",$H445,IF($N445="TBO-002",$I445,IF($N445="TBO-004",$J445,IF($N445="TBO-ENG",$K445,0))))))</f>
        <v/>
      </c>
    </row>
    <row r="446">
      <c r="H446" s="31">
        <f>IF($A446="","",IF($D446="Evet",ROUND($C446*tbo_oranBesPuan,2),0))</f>
        <v/>
      </c>
      <c r="I446" s="31">
        <f>IF($A446="","",IF($E446="Evet",ROUND($C446*tbo_oranIlave,2),0))</f>
        <v/>
      </c>
      <c r="J446" s="31">
        <f>IF($A446="","",IF($F446="Evet",ROUND($C446*tbo_oranKadinGenc,2),0))</f>
        <v/>
      </c>
      <c r="K446" s="31">
        <f>IF($A446="","",IF($G446="Evet",ROUND($C446*tbo_isverenOran,2),0))</f>
        <v/>
      </c>
      <c r="L446" s="31">
        <f>IF($A446="","",IF($M446=0,"YOK",IF($I446=$M446,"TBO-002",IF($H446=$M446,"TBO-001",IF($J446=$M446,"TBO-004","TBO-ENG")))))</f>
        <v/>
      </c>
      <c r="M446" s="31">
        <f>IF($A446="","",MAX($H446,$I446,$J446,$K446))</f>
        <v/>
      </c>
      <c r="O446" s="31">
        <f>IF($A446="","",MAX(0,$M446-IF($N446="TBO-001",$H446,IF($N446="TBO-002",$I446,IF($N446="TBO-004",$J446,IF($N446="TBO-ENG",$K446,0))))))</f>
        <v/>
      </c>
    </row>
    <row r="447">
      <c r="H447" s="31">
        <f>IF($A447="","",IF($D447="Evet",ROUND($C447*tbo_oranBesPuan,2),0))</f>
        <v/>
      </c>
      <c r="I447" s="31">
        <f>IF($A447="","",IF($E447="Evet",ROUND($C447*tbo_oranIlave,2),0))</f>
        <v/>
      </c>
      <c r="J447" s="31">
        <f>IF($A447="","",IF($F447="Evet",ROUND($C447*tbo_oranKadinGenc,2),0))</f>
        <v/>
      </c>
      <c r="K447" s="31">
        <f>IF($A447="","",IF($G447="Evet",ROUND($C447*tbo_isverenOran,2),0))</f>
        <v/>
      </c>
      <c r="L447" s="31">
        <f>IF($A447="","",IF($M447=0,"YOK",IF($I447=$M447,"TBO-002",IF($H447=$M447,"TBO-001",IF($J447=$M447,"TBO-004","TBO-ENG")))))</f>
        <v/>
      </c>
      <c r="M447" s="31">
        <f>IF($A447="","",MAX($H447,$I447,$J447,$K447))</f>
        <v/>
      </c>
      <c r="O447" s="31">
        <f>IF($A447="","",MAX(0,$M447-IF($N447="TBO-001",$H447,IF($N447="TBO-002",$I447,IF($N447="TBO-004",$J447,IF($N447="TBO-ENG",$K447,0))))))</f>
        <v/>
      </c>
    </row>
    <row r="448">
      <c r="H448" s="31">
        <f>IF($A448="","",IF($D448="Evet",ROUND($C448*tbo_oranBesPuan,2),0))</f>
        <v/>
      </c>
      <c r="I448" s="31">
        <f>IF($A448="","",IF($E448="Evet",ROUND($C448*tbo_oranIlave,2),0))</f>
        <v/>
      </c>
      <c r="J448" s="31">
        <f>IF($A448="","",IF($F448="Evet",ROUND($C448*tbo_oranKadinGenc,2),0))</f>
        <v/>
      </c>
      <c r="K448" s="31">
        <f>IF($A448="","",IF($G448="Evet",ROUND($C448*tbo_isverenOran,2),0))</f>
        <v/>
      </c>
      <c r="L448" s="31">
        <f>IF($A448="","",IF($M448=0,"YOK",IF($I448=$M448,"TBO-002",IF($H448=$M448,"TBO-001",IF($J448=$M448,"TBO-004","TBO-ENG")))))</f>
        <v/>
      </c>
      <c r="M448" s="31">
        <f>IF($A448="","",MAX($H448,$I448,$J448,$K448))</f>
        <v/>
      </c>
      <c r="O448" s="31">
        <f>IF($A448="","",MAX(0,$M448-IF($N448="TBO-001",$H448,IF($N448="TBO-002",$I448,IF($N448="TBO-004",$J448,IF($N448="TBO-ENG",$K448,0))))))</f>
        <v/>
      </c>
    </row>
    <row r="449">
      <c r="H449" s="31">
        <f>IF($A449="","",IF($D449="Evet",ROUND($C449*tbo_oranBesPuan,2),0))</f>
        <v/>
      </c>
      <c r="I449" s="31">
        <f>IF($A449="","",IF($E449="Evet",ROUND($C449*tbo_oranIlave,2),0))</f>
        <v/>
      </c>
      <c r="J449" s="31">
        <f>IF($A449="","",IF($F449="Evet",ROUND($C449*tbo_oranKadinGenc,2),0))</f>
        <v/>
      </c>
      <c r="K449" s="31">
        <f>IF($A449="","",IF($G449="Evet",ROUND($C449*tbo_isverenOran,2),0))</f>
        <v/>
      </c>
      <c r="L449" s="31">
        <f>IF($A449="","",IF($M449=0,"YOK",IF($I449=$M449,"TBO-002",IF($H449=$M449,"TBO-001",IF($J449=$M449,"TBO-004","TBO-ENG")))))</f>
        <v/>
      </c>
      <c r="M449" s="31">
        <f>IF($A449="","",MAX($H449,$I449,$J449,$K449))</f>
        <v/>
      </c>
      <c r="O449" s="31">
        <f>IF($A449="","",MAX(0,$M449-IF($N449="TBO-001",$H449,IF($N449="TBO-002",$I449,IF($N449="TBO-004",$J449,IF($N449="TBO-ENG",$K449,0))))))</f>
        <v/>
      </c>
    </row>
    <row r="450">
      <c r="H450" s="31">
        <f>IF($A450="","",IF($D450="Evet",ROUND($C450*tbo_oranBesPuan,2),0))</f>
        <v/>
      </c>
      <c r="I450" s="31">
        <f>IF($A450="","",IF($E450="Evet",ROUND($C450*tbo_oranIlave,2),0))</f>
        <v/>
      </c>
      <c r="J450" s="31">
        <f>IF($A450="","",IF($F450="Evet",ROUND($C450*tbo_oranKadinGenc,2),0))</f>
        <v/>
      </c>
      <c r="K450" s="31">
        <f>IF($A450="","",IF($G450="Evet",ROUND($C450*tbo_isverenOran,2),0))</f>
        <v/>
      </c>
      <c r="L450" s="31">
        <f>IF($A450="","",IF($M450=0,"YOK",IF($I450=$M450,"TBO-002",IF($H450=$M450,"TBO-001",IF($J450=$M450,"TBO-004","TBO-ENG")))))</f>
        <v/>
      </c>
      <c r="M450" s="31">
        <f>IF($A450="","",MAX($H450,$I450,$J450,$K450))</f>
        <v/>
      </c>
      <c r="O450" s="31">
        <f>IF($A450="","",MAX(0,$M450-IF($N450="TBO-001",$H450,IF($N450="TBO-002",$I450,IF($N450="TBO-004",$J450,IF($N450="TBO-ENG",$K450,0))))))</f>
        <v/>
      </c>
    </row>
    <row r="451">
      <c r="H451" s="31">
        <f>IF($A451="","",IF($D451="Evet",ROUND($C451*tbo_oranBesPuan,2),0))</f>
        <v/>
      </c>
      <c r="I451" s="31">
        <f>IF($A451="","",IF($E451="Evet",ROUND($C451*tbo_oranIlave,2),0))</f>
        <v/>
      </c>
      <c r="J451" s="31">
        <f>IF($A451="","",IF($F451="Evet",ROUND($C451*tbo_oranKadinGenc,2),0))</f>
        <v/>
      </c>
      <c r="K451" s="31">
        <f>IF($A451="","",IF($G451="Evet",ROUND($C451*tbo_isverenOran,2),0))</f>
        <v/>
      </c>
      <c r="L451" s="31">
        <f>IF($A451="","",IF($M451=0,"YOK",IF($I451=$M451,"TBO-002",IF($H451=$M451,"TBO-001",IF($J451=$M451,"TBO-004","TBO-ENG")))))</f>
        <v/>
      </c>
      <c r="M451" s="31">
        <f>IF($A451="","",MAX($H451,$I451,$J451,$K451))</f>
        <v/>
      </c>
      <c r="O451" s="31">
        <f>IF($A451="","",MAX(0,$M451-IF($N451="TBO-001",$H451,IF($N451="TBO-002",$I451,IF($N451="TBO-004",$J451,IF($N451="TBO-ENG",$K451,0))))))</f>
        <v/>
      </c>
    </row>
    <row r="452">
      <c r="H452" s="31">
        <f>IF($A452="","",IF($D452="Evet",ROUND($C452*tbo_oranBesPuan,2),0))</f>
        <v/>
      </c>
      <c r="I452" s="31">
        <f>IF($A452="","",IF($E452="Evet",ROUND($C452*tbo_oranIlave,2),0))</f>
        <v/>
      </c>
      <c r="J452" s="31">
        <f>IF($A452="","",IF($F452="Evet",ROUND($C452*tbo_oranKadinGenc,2),0))</f>
        <v/>
      </c>
      <c r="K452" s="31">
        <f>IF($A452="","",IF($G452="Evet",ROUND($C452*tbo_isverenOran,2),0))</f>
        <v/>
      </c>
      <c r="L452" s="31">
        <f>IF($A452="","",IF($M452=0,"YOK",IF($I452=$M452,"TBO-002",IF($H452=$M452,"TBO-001",IF($J452=$M452,"TBO-004","TBO-ENG")))))</f>
        <v/>
      </c>
      <c r="M452" s="31">
        <f>IF($A452="","",MAX($H452,$I452,$J452,$K452))</f>
        <v/>
      </c>
      <c r="O452" s="31">
        <f>IF($A452="","",MAX(0,$M452-IF($N452="TBO-001",$H452,IF($N452="TBO-002",$I452,IF($N452="TBO-004",$J452,IF($N452="TBO-ENG",$K452,0))))))</f>
        <v/>
      </c>
    </row>
    <row r="453">
      <c r="H453" s="31">
        <f>IF($A453="","",IF($D453="Evet",ROUND($C453*tbo_oranBesPuan,2),0))</f>
        <v/>
      </c>
      <c r="I453" s="31">
        <f>IF($A453="","",IF($E453="Evet",ROUND($C453*tbo_oranIlave,2),0))</f>
        <v/>
      </c>
      <c r="J453" s="31">
        <f>IF($A453="","",IF($F453="Evet",ROUND($C453*tbo_oranKadinGenc,2),0))</f>
        <v/>
      </c>
      <c r="K453" s="31">
        <f>IF($A453="","",IF($G453="Evet",ROUND($C453*tbo_isverenOran,2),0))</f>
        <v/>
      </c>
      <c r="L453" s="31">
        <f>IF($A453="","",IF($M453=0,"YOK",IF($I453=$M453,"TBO-002",IF($H453=$M453,"TBO-001",IF($J453=$M453,"TBO-004","TBO-ENG")))))</f>
        <v/>
      </c>
      <c r="M453" s="31">
        <f>IF($A453="","",MAX($H453,$I453,$J453,$K453))</f>
        <v/>
      </c>
      <c r="O453" s="31">
        <f>IF($A453="","",MAX(0,$M453-IF($N453="TBO-001",$H453,IF($N453="TBO-002",$I453,IF($N453="TBO-004",$J453,IF($N453="TBO-ENG",$K453,0))))))</f>
        <v/>
      </c>
    </row>
    <row r="454">
      <c r="H454" s="31">
        <f>IF($A454="","",IF($D454="Evet",ROUND($C454*tbo_oranBesPuan,2),0))</f>
        <v/>
      </c>
      <c r="I454" s="31">
        <f>IF($A454="","",IF($E454="Evet",ROUND($C454*tbo_oranIlave,2),0))</f>
        <v/>
      </c>
      <c r="J454" s="31">
        <f>IF($A454="","",IF($F454="Evet",ROUND($C454*tbo_oranKadinGenc,2),0))</f>
        <v/>
      </c>
      <c r="K454" s="31">
        <f>IF($A454="","",IF($G454="Evet",ROUND($C454*tbo_isverenOran,2),0))</f>
        <v/>
      </c>
      <c r="L454" s="31">
        <f>IF($A454="","",IF($M454=0,"YOK",IF($I454=$M454,"TBO-002",IF($H454=$M454,"TBO-001",IF($J454=$M454,"TBO-004","TBO-ENG")))))</f>
        <v/>
      </c>
      <c r="M454" s="31">
        <f>IF($A454="","",MAX($H454,$I454,$J454,$K454))</f>
        <v/>
      </c>
      <c r="O454" s="31">
        <f>IF($A454="","",MAX(0,$M454-IF($N454="TBO-001",$H454,IF($N454="TBO-002",$I454,IF($N454="TBO-004",$J454,IF($N454="TBO-ENG",$K454,0))))))</f>
        <v/>
      </c>
    </row>
    <row r="455">
      <c r="H455" s="31">
        <f>IF($A455="","",IF($D455="Evet",ROUND($C455*tbo_oranBesPuan,2),0))</f>
        <v/>
      </c>
      <c r="I455" s="31">
        <f>IF($A455="","",IF($E455="Evet",ROUND($C455*tbo_oranIlave,2),0))</f>
        <v/>
      </c>
      <c r="J455" s="31">
        <f>IF($A455="","",IF($F455="Evet",ROUND($C455*tbo_oranKadinGenc,2),0))</f>
        <v/>
      </c>
      <c r="K455" s="31">
        <f>IF($A455="","",IF($G455="Evet",ROUND($C455*tbo_isverenOran,2),0))</f>
        <v/>
      </c>
      <c r="L455" s="31">
        <f>IF($A455="","",IF($M455=0,"YOK",IF($I455=$M455,"TBO-002",IF($H455=$M455,"TBO-001",IF($J455=$M455,"TBO-004","TBO-ENG")))))</f>
        <v/>
      </c>
      <c r="M455" s="31">
        <f>IF($A455="","",MAX($H455,$I455,$J455,$K455))</f>
        <v/>
      </c>
      <c r="O455" s="31">
        <f>IF($A455="","",MAX(0,$M455-IF($N455="TBO-001",$H455,IF($N455="TBO-002",$I455,IF($N455="TBO-004",$J455,IF($N455="TBO-ENG",$K455,0))))))</f>
        <v/>
      </c>
    </row>
    <row r="456">
      <c r="H456" s="31">
        <f>IF($A456="","",IF($D456="Evet",ROUND($C456*tbo_oranBesPuan,2),0))</f>
        <v/>
      </c>
      <c r="I456" s="31">
        <f>IF($A456="","",IF($E456="Evet",ROUND($C456*tbo_oranIlave,2),0))</f>
        <v/>
      </c>
      <c r="J456" s="31">
        <f>IF($A456="","",IF($F456="Evet",ROUND($C456*tbo_oranKadinGenc,2),0))</f>
        <v/>
      </c>
      <c r="K456" s="31">
        <f>IF($A456="","",IF($G456="Evet",ROUND($C456*tbo_isverenOran,2),0))</f>
        <v/>
      </c>
      <c r="L456" s="31">
        <f>IF($A456="","",IF($M456=0,"YOK",IF($I456=$M456,"TBO-002",IF($H456=$M456,"TBO-001",IF($J456=$M456,"TBO-004","TBO-ENG")))))</f>
        <v/>
      </c>
      <c r="M456" s="31">
        <f>IF($A456="","",MAX($H456,$I456,$J456,$K456))</f>
        <v/>
      </c>
      <c r="O456" s="31">
        <f>IF($A456="","",MAX(0,$M456-IF($N456="TBO-001",$H456,IF($N456="TBO-002",$I456,IF($N456="TBO-004",$J456,IF($N456="TBO-ENG",$K456,0))))))</f>
        <v/>
      </c>
    </row>
    <row r="457">
      <c r="H457" s="31">
        <f>IF($A457="","",IF($D457="Evet",ROUND($C457*tbo_oranBesPuan,2),0))</f>
        <v/>
      </c>
      <c r="I457" s="31">
        <f>IF($A457="","",IF($E457="Evet",ROUND($C457*tbo_oranIlave,2),0))</f>
        <v/>
      </c>
      <c r="J457" s="31">
        <f>IF($A457="","",IF($F457="Evet",ROUND($C457*tbo_oranKadinGenc,2),0))</f>
        <v/>
      </c>
      <c r="K457" s="31">
        <f>IF($A457="","",IF($G457="Evet",ROUND($C457*tbo_isverenOran,2),0))</f>
        <v/>
      </c>
      <c r="L457" s="31">
        <f>IF($A457="","",IF($M457=0,"YOK",IF($I457=$M457,"TBO-002",IF($H457=$M457,"TBO-001",IF($J457=$M457,"TBO-004","TBO-ENG")))))</f>
        <v/>
      </c>
      <c r="M457" s="31">
        <f>IF($A457="","",MAX($H457,$I457,$J457,$K457))</f>
        <v/>
      </c>
      <c r="O457" s="31">
        <f>IF($A457="","",MAX(0,$M457-IF($N457="TBO-001",$H457,IF($N457="TBO-002",$I457,IF($N457="TBO-004",$J457,IF($N457="TBO-ENG",$K457,0))))))</f>
        <v/>
      </c>
    </row>
    <row r="458">
      <c r="H458" s="31">
        <f>IF($A458="","",IF($D458="Evet",ROUND($C458*tbo_oranBesPuan,2),0))</f>
        <v/>
      </c>
      <c r="I458" s="31">
        <f>IF($A458="","",IF($E458="Evet",ROUND($C458*tbo_oranIlave,2),0))</f>
        <v/>
      </c>
      <c r="J458" s="31">
        <f>IF($A458="","",IF($F458="Evet",ROUND($C458*tbo_oranKadinGenc,2),0))</f>
        <v/>
      </c>
      <c r="K458" s="31">
        <f>IF($A458="","",IF($G458="Evet",ROUND($C458*tbo_isverenOran,2),0))</f>
        <v/>
      </c>
      <c r="L458" s="31">
        <f>IF($A458="","",IF($M458=0,"YOK",IF($I458=$M458,"TBO-002",IF($H458=$M458,"TBO-001",IF($J458=$M458,"TBO-004","TBO-ENG")))))</f>
        <v/>
      </c>
      <c r="M458" s="31">
        <f>IF($A458="","",MAX($H458,$I458,$J458,$K458))</f>
        <v/>
      </c>
      <c r="O458" s="31">
        <f>IF($A458="","",MAX(0,$M458-IF($N458="TBO-001",$H458,IF($N458="TBO-002",$I458,IF($N458="TBO-004",$J458,IF($N458="TBO-ENG",$K458,0))))))</f>
        <v/>
      </c>
    </row>
    <row r="459">
      <c r="H459" s="31">
        <f>IF($A459="","",IF($D459="Evet",ROUND($C459*tbo_oranBesPuan,2),0))</f>
        <v/>
      </c>
      <c r="I459" s="31">
        <f>IF($A459="","",IF($E459="Evet",ROUND($C459*tbo_oranIlave,2),0))</f>
        <v/>
      </c>
      <c r="J459" s="31">
        <f>IF($A459="","",IF($F459="Evet",ROUND($C459*tbo_oranKadinGenc,2),0))</f>
        <v/>
      </c>
      <c r="K459" s="31">
        <f>IF($A459="","",IF($G459="Evet",ROUND($C459*tbo_isverenOran,2),0))</f>
        <v/>
      </c>
      <c r="L459" s="31">
        <f>IF($A459="","",IF($M459=0,"YOK",IF($I459=$M459,"TBO-002",IF($H459=$M459,"TBO-001",IF($J459=$M459,"TBO-004","TBO-ENG")))))</f>
        <v/>
      </c>
      <c r="M459" s="31">
        <f>IF($A459="","",MAX($H459,$I459,$J459,$K459))</f>
        <v/>
      </c>
      <c r="O459" s="31">
        <f>IF($A459="","",MAX(0,$M459-IF($N459="TBO-001",$H459,IF($N459="TBO-002",$I459,IF($N459="TBO-004",$J459,IF($N459="TBO-ENG",$K459,0))))))</f>
        <v/>
      </c>
    </row>
    <row r="460">
      <c r="H460" s="31">
        <f>IF($A460="","",IF($D460="Evet",ROUND($C460*tbo_oranBesPuan,2),0))</f>
        <v/>
      </c>
      <c r="I460" s="31">
        <f>IF($A460="","",IF($E460="Evet",ROUND($C460*tbo_oranIlave,2),0))</f>
        <v/>
      </c>
      <c r="J460" s="31">
        <f>IF($A460="","",IF($F460="Evet",ROUND($C460*tbo_oranKadinGenc,2),0))</f>
        <v/>
      </c>
      <c r="K460" s="31">
        <f>IF($A460="","",IF($G460="Evet",ROUND($C460*tbo_isverenOran,2),0))</f>
        <v/>
      </c>
      <c r="L460" s="31">
        <f>IF($A460="","",IF($M460=0,"YOK",IF($I460=$M460,"TBO-002",IF($H460=$M460,"TBO-001",IF($J460=$M460,"TBO-004","TBO-ENG")))))</f>
        <v/>
      </c>
      <c r="M460" s="31">
        <f>IF($A460="","",MAX($H460,$I460,$J460,$K460))</f>
        <v/>
      </c>
      <c r="O460" s="31">
        <f>IF($A460="","",MAX(0,$M460-IF($N460="TBO-001",$H460,IF($N460="TBO-002",$I460,IF($N460="TBO-004",$J460,IF($N460="TBO-ENG",$K460,0))))))</f>
        <v/>
      </c>
    </row>
    <row r="461">
      <c r="H461" s="31">
        <f>IF($A461="","",IF($D461="Evet",ROUND($C461*tbo_oranBesPuan,2),0))</f>
        <v/>
      </c>
      <c r="I461" s="31">
        <f>IF($A461="","",IF($E461="Evet",ROUND($C461*tbo_oranIlave,2),0))</f>
        <v/>
      </c>
      <c r="J461" s="31">
        <f>IF($A461="","",IF($F461="Evet",ROUND($C461*tbo_oranKadinGenc,2),0))</f>
        <v/>
      </c>
      <c r="K461" s="31">
        <f>IF($A461="","",IF($G461="Evet",ROUND($C461*tbo_isverenOran,2),0))</f>
        <v/>
      </c>
      <c r="L461" s="31">
        <f>IF($A461="","",IF($M461=0,"YOK",IF($I461=$M461,"TBO-002",IF($H461=$M461,"TBO-001",IF($J461=$M461,"TBO-004","TBO-ENG")))))</f>
        <v/>
      </c>
      <c r="M461" s="31">
        <f>IF($A461="","",MAX($H461,$I461,$J461,$K461))</f>
        <v/>
      </c>
      <c r="O461" s="31">
        <f>IF($A461="","",MAX(0,$M461-IF($N461="TBO-001",$H461,IF($N461="TBO-002",$I461,IF($N461="TBO-004",$J461,IF($N461="TBO-ENG",$K461,0))))))</f>
        <v/>
      </c>
    </row>
    <row r="462">
      <c r="H462" s="31">
        <f>IF($A462="","",IF($D462="Evet",ROUND($C462*tbo_oranBesPuan,2),0))</f>
        <v/>
      </c>
      <c r="I462" s="31">
        <f>IF($A462="","",IF($E462="Evet",ROUND($C462*tbo_oranIlave,2),0))</f>
        <v/>
      </c>
      <c r="J462" s="31">
        <f>IF($A462="","",IF($F462="Evet",ROUND($C462*tbo_oranKadinGenc,2),0))</f>
        <v/>
      </c>
      <c r="K462" s="31">
        <f>IF($A462="","",IF($G462="Evet",ROUND($C462*tbo_isverenOran,2),0))</f>
        <v/>
      </c>
      <c r="L462" s="31">
        <f>IF($A462="","",IF($M462=0,"YOK",IF($I462=$M462,"TBO-002",IF($H462=$M462,"TBO-001",IF($J462=$M462,"TBO-004","TBO-ENG")))))</f>
        <v/>
      </c>
      <c r="M462" s="31">
        <f>IF($A462="","",MAX($H462,$I462,$J462,$K462))</f>
        <v/>
      </c>
      <c r="O462" s="31">
        <f>IF($A462="","",MAX(0,$M462-IF($N462="TBO-001",$H462,IF($N462="TBO-002",$I462,IF($N462="TBO-004",$J462,IF($N462="TBO-ENG",$K462,0))))))</f>
        <v/>
      </c>
    </row>
    <row r="463">
      <c r="H463" s="31">
        <f>IF($A463="","",IF($D463="Evet",ROUND($C463*tbo_oranBesPuan,2),0))</f>
        <v/>
      </c>
      <c r="I463" s="31">
        <f>IF($A463="","",IF($E463="Evet",ROUND($C463*tbo_oranIlave,2),0))</f>
        <v/>
      </c>
      <c r="J463" s="31">
        <f>IF($A463="","",IF($F463="Evet",ROUND($C463*tbo_oranKadinGenc,2),0))</f>
        <v/>
      </c>
      <c r="K463" s="31">
        <f>IF($A463="","",IF($G463="Evet",ROUND($C463*tbo_isverenOran,2),0))</f>
        <v/>
      </c>
      <c r="L463" s="31">
        <f>IF($A463="","",IF($M463=0,"YOK",IF($I463=$M463,"TBO-002",IF($H463=$M463,"TBO-001",IF($J463=$M463,"TBO-004","TBO-ENG")))))</f>
        <v/>
      </c>
      <c r="M463" s="31">
        <f>IF($A463="","",MAX($H463,$I463,$J463,$K463))</f>
        <v/>
      </c>
      <c r="O463" s="31">
        <f>IF($A463="","",MAX(0,$M463-IF($N463="TBO-001",$H463,IF($N463="TBO-002",$I463,IF($N463="TBO-004",$J463,IF($N463="TBO-ENG",$K463,0))))))</f>
        <v/>
      </c>
    </row>
    <row r="464">
      <c r="H464" s="31">
        <f>IF($A464="","",IF($D464="Evet",ROUND($C464*tbo_oranBesPuan,2),0))</f>
        <v/>
      </c>
      <c r="I464" s="31">
        <f>IF($A464="","",IF($E464="Evet",ROUND($C464*tbo_oranIlave,2),0))</f>
        <v/>
      </c>
      <c r="J464" s="31">
        <f>IF($A464="","",IF($F464="Evet",ROUND($C464*tbo_oranKadinGenc,2),0))</f>
        <v/>
      </c>
      <c r="K464" s="31">
        <f>IF($A464="","",IF($G464="Evet",ROUND($C464*tbo_isverenOran,2),0))</f>
        <v/>
      </c>
      <c r="L464" s="31">
        <f>IF($A464="","",IF($M464=0,"YOK",IF($I464=$M464,"TBO-002",IF($H464=$M464,"TBO-001",IF($J464=$M464,"TBO-004","TBO-ENG")))))</f>
        <v/>
      </c>
      <c r="M464" s="31">
        <f>IF($A464="","",MAX($H464,$I464,$J464,$K464))</f>
        <v/>
      </c>
      <c r="O464" s="31">
        <f>IF($A464="","",MAX(0,$M464-IF($N464="TBO-001",$H464,IF($N464="TBO-002",$I464,IF($N464="TBO-004",$J464,IF($N464="TBO-ENG",$K464,0))))))</f>
        <v/>
      </c>
    </row>
    <row r="465">
      <c r="H465" s="31">
        <f>IF($A465="","",IF($D465="Evet",ROUND($C465*tbo_oranBesPuan,2),0))</f>
        <v/>
      </c>
      <c r="I465" s="31">
        <f>IF($A465="","",IF($E465="Evet",ROUND($C465*tbo_oranIlave,2),0))</f>
        <v/>
      </c>
      <c r="J465" s="31">
        <f>IF($A465="","",IF($F465="Evet",ROUND($C465*tbo_oranKadinGenc,2),0))</f>
        <v/>
      </c>
      <c r="K465" s="31">
        <f>IF($A465="","",IF($G465="Evet",ROUND($C465*tbo_isverenOran,2),0))</f>
        <v/>
      </c>
      <c r="L465" s="31">
        <f>IF($A465="","",IF($M465=0,"YOK",IF($I465=$M465,"TBO-002",IF($H465=$M465,"TBO-001",IF($J465=$M465,"TBO-004","TBO-ENG")))))</f>
        <v/>
      </c>
      <c r="M465" s="31">
        <f>IF($A465="","",MAX($H465,$I465,$J465,$K465))</f>
        <v/>
      </c>
      <c r="O465" s="31">
        <f>IF($A465="","",MAX(0,$M465-IF($N465="TBO-001",$H465,IF($N465="TBO-002",$I465,IF($N465="TBO-004",$J465,IF($N465="TBO-ENG",$K465,0))))))</f>
        <v/>
      </c>
    </row>
    <row r="466">
      <c r="H466" s="31">
        <f>IF($A466="","",IF($D466="Evet",ROUND($C466*tbo_oranBesPuan,2),0))</f>
        <v/>
      </c>
      <c r="I466" s="31">
        <f>IF($A466="","",IF($E466="Evet",ROUND($C466*tbo_oranIlave,2),0))</f>
        <v/>
      </c>
      <c r="J466" s="31">
        <f>IF($A466="","",IF($F466="Evet",ROUND($C466*tbo_oranKadinGenc,2),0))</f>
        <v/>
      </c>
      <c r="K466" s="31">
        <f>IF($A466="","",IF($G466="Evet",ROUND($C466*tbo_isverenOran,2),0))</f>
        <v/>
      </c>
      <c r="L466" s="31">
        <f>IF($A466="","",IF($M466=0,"YOK",IF($I466=$M466,"TBO-002",IF($H466=$M466,"TBO-001",IF($J466=$M466,"TBO-004","TBO-ENG")))))</f>
        <v/>
      </c>
      <c r="M466" s="31">
        <f>IF($A466="","",MAX($H466,$I466,$J466,$K466))</f>
        <v/>
      </c>
      <c r="O466" s="31">
        <f>IF($A466="","",MAX(0,$M466-IF($N466="TBO-001",$H466,IF($N466="TBO-002",$I466,IF($N466="TBO-004",$J466,IF($N466="TBO-ENG",$K466,0))))))</f>
        <v/>
      </c>
    </row>
    <row r="467">
      <c r="H467" s="31">
        <f>IF($A467="","",IF($D467="Evet",ROUND($C467*tbo_oranBesPuan,2),0))</f>
        <v/>
      </c>
      <c r="I467" s="31">
        <f>IF($A467="","",IF($E467="Evet",ROUND($C467*tbo_oranIlave,2),0))</f>
        <v/>
      </c>
      <c r="J467" s="31">
        <f>IF($A467="","",IF($F467="Evet",ROUND($C467*tbo_oranKadinGenc,2),0))</f>
        <v/>
      </c>
      <c r="K467" s="31">
        <f>IF($A467="","",IF($G467="Evet",ROUND($C467*tbo_isverenOran,2),0))</f>
        <v/>
      </c>
      <c r="L467" s="31">
        <f>IF($A467="","",IF($M467=0,"YOK",IF($I467=$M467,"TBO-002",IF($H467=$M467,"TBO-001",IF($J467=$M467,"TBO-004","TBO-ENG")))))</f>
        <v/>
      </c>
      <c r="M467" s="31">
        <f>IF($A467="","",MAX($H467,$I467,$J467,$K467))</f>
        <v/>
      </c>
      <c r="O467" s="31">
        <f>IF($A467="","",MAX(0,$M467-IF($N467="TBO-001",$H467,IF($N467="TBO-002",$I467,IF($N467="TBO-004",$J467,IF($N467="TBO-ENG",$K467,0))))))</f>
        <v/>
      </c>
    </row>
    <row r="468">
      <c r="H468" s="31">
        <f>IF($A468="","",IF($D468="Evet",ROUND($C468*tbo_oranBesPuan,2),0))</f>
        <v/>
      </c>
      <c r="I468" s="31">
        <f>IF($A468="","",IF($E468="Evet",ROUND($C468*tbo_oranIlave,2),0))</f>
        <v/>
      </c>
      <c r="J468" s="31">
        <f>IF($A468="","",IF($F468="Evet",ROUND($C468*tbo_oranKadinGenc,2),0))</f>
        <v/>
      </c>
      <c r="K468" s="31">
        <f>IF($A468="","",IF($G468="Evet",ROUND($C468*tbo_isverenOran,2),0))</f>
        <v/>
      </c>
      <c r="L468" s="31">
        <f>IF($A468="","",IF($M468=0,"YOK",IF($I468=$M468,"TBO-002",IF($H468=$M468,"TBO-001",IF($J468=$M468,"TBO-004","TBO-ENG")))))</f>
        <v/>
      </c>
      <c r="M468" s="31">
        <f>IF($A468="","",MAX($H468,$I468,$J468,$K468))</f>
        <v/>
      </c>
      <c r="O468" s="31">
        <f>IF($A468="","",MAX(0,$M468-IF($N468="TBO-001",$H468,IF($N468="TBO-002",$I468,IF($N468="TBO-004",$J468,IF($N468="TBO-ENG",$K468,0))))))</f>
        <v/>
      </c>
    </row>
    <row r="469">
      <c r="H469" s="31">
        <f>IF($A469="","",IF($D469="Evet",ROUND($C469*tbo_oranBesPuan,2),0))</f>
        <v/>
      </c>
      <c r="I469" s="31">
        <f>IF($A469="","",IF($E469="Evet",ROUND($C469*tbo_oranIlave,2),0))</f>
        <v/>
      </c>
      <c r="J469" s="31">
        <f>IF($A469="","",IF($F469="Evet",ROUND($C469*tbo_oranKadinGenc,2),0))</f>
        <v/>
      </c>
      <c r="K469" s="31">
        <f>IF($A469="","",IF($G469="Evet",ROUND($C469*tbo_isverenOran,2),0))</f>
        <v/>
      </c>
      <c r="L469" s="31">
        <f>IF($A469="","",IF($M469=0,"YOK",IF($I469=$M469,"TBO-002",IF($H469=$M469,"TBO-001",IF($J469=$M469,"TBO-004","TBO-ENG")))))</f>
        <v/>
      </c>
      <c r="M469" s="31">
        <f>IF($A469="","",MAX($H469,$I469,$J469,$K469))</f>
        <v/>
      </c>
      <c r="O469" s="31">
        <f>IF($A469="","",MAX(0,$M469-IF($N469="TBO-001",$H469,IF($N469="TBO-002",$I469,IF($N469="TBO-004",$J469,IF($N469="TBO-ENG",$K469,0))))))</f>
        <v/>
      </c>
    </row>
    <row r="470">
      <c r="H470" s="31">
        <f>IF($A470="","",IF($D470="Evet",ROUND($C470*tbo_oranBesPuan,2),0))</f>
        <v/>
      </c>
      <c r="I470" s="31">
        <f>IF($A470="","",IF($E470="Evet",ROUND($C470*tbo_oranIlave,2),0))</f>
        <v/>
      </c>
      <c r="J470" s="31">
        <f>IF($A470="","",IF($F470="Evet",ROUND($C470*tbo_oranKadinGenc,2),0))</f>
        <v/>
      </c>
      <c r="K470" s="31">
        <f>IF($A470="","",IF($G470="Evet",ROUND($C470*tbo_isverenOran,2),0))</f>
        <v/>
      </c>
      <c r="L470" s="31">
        <f>IF($A470="","",IF($M470=0,"YOK",IF($I470=$M470,"TBO-002",IF($H470=$M470,"TBO-001",IF($J470=$M470,"TBO-004","TBO-ENG")))))</f>
        <v/>
      </c>
      <c r="M470" s="31">
        <f>IF($A470="","",MAX($H470,$I470,$J470,$K470))</f>
        <v/>
      </c>
      <c r="O470" s="31">
        <f>IF($A470="","",MAX(0,$M470-IF($N470="TBO-001",$H470,IF($N470="TBO-002",$I470,IF($N470="TBO-004",$J470,IF($N470="TBO-ENG",$K470,0))))))</f>
        <v/>
      </c>
    </row>
    <row r="471">
      <c r="H471" s="31">
        <f>IF($A471="","",IF($D471="Evet",ROUND($C471*tbo_oranBesPuan,2),0))</f>
        <v/>
      </c>
      <c r="I471" s="31">
        <f>IF($A471="","",IF($E471="Evet",ROUND($C471*tbo_oranIlave,2),0))</f>
        <v/>
      </c>
      <c r="J471" s="31">
        <f>IF($A471="","",IF($F471="Evet",ROUND($C471*tbo_oranKadinGenc,2),0))</f>
        <v/>
      </c>
      <c r="K471" s="31">
        <f>IF($A471="","",IF($G471="Evet",ROUND($C471*tbo_isverenOran,2),0))</f>
        <v/>
      </c>
      <c r="L471" s="31">
        <f>IF($A471="","",IF($M471=0,"YOK",IF($I471=$M471,"TBO-002",IF($H471=$M471,"TBO-001",IF($J471=$M471,"TBO-004","TBO-ENG")))))</f>
        <v/>
      </c>
      <c r="M471" s="31">
        <f>IF($A471="","",MAX($H471,$I471,$J471,$K471))</f>
        <v/>
      </c>
      <c r="O471" s="31">
        <f>IF($A471="","",MAX(0,$M471-IF($N471="TBO-001",$H471,IF($N471="TBO-002",$I471,IF($N471="TBO-004",$J471,IF($N471="TBO-ENG",$K471,0))))))</f>
        <v/>
      </c>
    </row>
    <row r="472">
      <c r="H472" s="31">
        <f>IF($A472="","",IF($D472="Evet",ROUND($C472*tbo_oranBesPuan,2),0))</f>
        <v/>
      </c>
      <c r="I472" s="31">
        <f>IF($A472="","",IF($E472="Evet",ROUND($C472*tbo_oranIlave,2),0))</f>
        <v/>
      </c>
      <c r="J472" s="31">
        <f>IF($A472="","",IF($F472="Evet",ROUND($C472*tbo_oranKadinGenc,2),0))</f>
        <v/>
      </c>
      <c r="K472" s="31">
        <f>IF($A472="","",IF($G472="Evet",ROUND($C472*tbo_isverenOran,2),0))</f>
        <v/>
      </c>
      <c r="L472" s="31">
        <f>IF($A472="","",IF($M472=0,"YOK",IF($I472=$M472,"TBO-002",IF($H472=$M472,"TBO-001",IF($J472=$M472,"TBO-004","TBO-ENG")))))</f>
        <v/>
      </c>
      <c r="M472" s="31">
        <f>IF($A472="","",MAX($H472,$I472,$J472,$K472))</f>
        <v/>
      </c>
      <c r="O472" s="31">
        <f>IF($A472="","",MAX(0,$M472-IF($N472="TBO-001",$H472,IF($N472="TBO-002",$I472,IF($N472="TBO-004",$J472,IF($N472="TBO-ENG",$K472,0))))))</f>
        <v/>
      </c>
    </row>
    <row r="473">
      <c r="H473" s="31">
        <f>IF($A473="","",IF($D473="Evet",ROUND($C473*tbo_oranBesPuan,2),0))</f>
        <v/>
      </c>
      <c r="I473" s="31">
        <f>IF($A473="","",IF($E473="Evet",ROUND($C473*tbo_oranIlave,2),0))</f>
        <v/>
      </c>
      <c r="J473" s="31">
        <f>IF($A473="","",IF($F473="Evet",ROUND($C473*tbo_oranKadinGenc,2),0))</f>
        <v/>
      </c>
      <c r="K473" s="31">
        <f>IF($A473="","",IF($G473="Evet",ROUND($C473*tbo_isverenOran,2),0))</f>
        <v/>
      </c>
      <c r="L473" s="31">
        <f>IF($A473="","",IF($M473=0,"YOK",IF($I473=$M473,"TBO-002",IF($H473=$M473,"TBO-001",IF($J473=$M473,"TBO-004","TBO-ENG")))))</f>
        <v/>
      </c>
      <c r="M473" s="31">
        <f>IF($A473="","",MAX($H473,$I473,$J473,$K473))</f>
        <v/>
      </c>
      <c r="O473" s="31">
        <f>IF($A473="","",MAX(0,$M473-IF($N473="TBO-001",$H473,IF($N473="TBO-002",$I473,IF($N473="TBO-004",$J473,IF($N473="TBO-ENG",$K473,0))))))</f>
        <v/>
      </c>
    </row>
    <row r="474">
      <c r="H474" s="31">
        <f>IF($A474="","",IF($D474="Evet",ROUND($C474*tbo_oranBesPuan,2),0))</f>
        <v/>
      </c>
      <c r="I474" s="31">
        <f>IF($A474="","",IF($E474="Evet",ROUND($C474*tbo_oranIlave,2),0))</f>
        <v/>
      </c>
      <c r="J474" s="31">
        <f>IF($A474="","",IF($F474="Evet",ROUND($C474*tbo_oranKadinGenc,2),0))</f>
        <v/>
      </c>
      <c r="K474" s="31">
        <f>IF($A474="","",IF($G474="Evet",ROUND($C474*tbo_isverenOran,2),0))</f>
        <v/>
      </c>
      <c r="L474" s="31">
        <f>IF($A474="","",IF($M474=0,"YOK",IF($I474=$M474,"TBO-002",IF($H474=$M474,"TBO-001",IF($J474=$M474,"TBO-004","TBO-ENG")))))</f>
        <v/>
      </c>
      <c r="M474" s="31">
        <f>IF($A474="","",MAX($H474,$I474,$J474,$K474))</f>
        <v/>
      </c>
      <c r="O474" s="31">
        <f>IF($A474="","",MAX(0,$M474-IF($N474="TBO-001",$H474,IF($N474="TBO-002",$I474,IF($N474="TBO-004",$J474,IF($N474="TBO-ENG",$K474,0))))))</f>
        <v/>
      </c>
    </row>
    <row r="475">
      <c r="H475" s="31">
        <f>IF($A475="","",IF($D475="Evet",ROUND($C475*tbo_oranBesPuan,2),0))</f>
        <v/>
      </c>
      <c r="I475" s="31">
        <f>IF($A475="","",IF($E475="Evet",ROUND($C475*tbo_oranIlave,2),0))</f>
        <v/>
      </c>
      <c r="J475" s="31">
        <f>IF($A475="","",IF($F475="Evet",ROUND($C475*tbo_oranKadinGenc,2),0))</f>
        <v/>
      </c>
      <c r="K475" s="31">
        <f>IF($A475="","",IF($G475="Evet",ROUND($C475*tbo_isverenOran,2),0))</f>
        <v/>
      </c>
      <c r="L475" s="31">
        <f>IF($A475="","",IF($M475=0,"YOK",IF($I475=$M475,"TBO-002",IF($H475=$M475,"TBO-001",IF($J475=$M475,"TBO-004","TBO-ENG")))))</f>
        <v/>
      </c>
      <c r="M475" s="31">
        <f>IF($A475="","",MAX($H475,$I475,$J475,$K475))</f>
        <v/>
      </c>
      <c r="O475" s="31">
        <f>IF($A475="","",MAX(0,$M475-IF($N475="TBO-001",$H475,IF($N475="TBO-002",$I475,IF($N475="TBO-004",$J475,IF($N475="TBO-ENG",$K475,0))))))</f>
        <v/>
      </c>
    </row>
    <row r="476">
      <c r="H476" s="31">
        <f>IF($A476="","",IF($D476="Evet",ROUND($C476*tbo_oranBesPuan,2),0))</f>
        <v/>
      </c>
      <c r="I476" s="31">
        <f>IF($A476="","",IF($E476="Evet",ROUND($C476*tbo_oranIlave,2),0))</f>
        <v/>
      </c>
      <c r="J476" s="31">
        <f>IF($A476="","",IF($F476="Evet",ROUND($C476*tbo_oranKadinGenc,2),0))</f>
        <v/>
      </c>
      <c r="K476" s="31">
        <f>IF($A476="","",IF($G476="Evet",ROUND($C476*tbo_isverenOran,2),0))</f>
        <v/>
      </c>
      <c r="L476" s="31">
        <f>IF($A476="","",IF($M476=0,"YOK",IF($I476=$M476,"TBO-002",IF($H476=$M476,"TBO-001",IF($J476=$M476,"TBO-004","TBO-ENG")))))</f>
        <v/>
      </c>
      <c r="M476" s="31">
        <f>IF($A476="","",MAX($H476,$I476,$J476,$K476))</f>
        <v/>
      </c>
      <c r="O476" s="31">
        <f>IF($A476="","",MAX(0,$M476-IF($N476="TBO-001",$H476,IF($N476="TBO-002",$I476,IF($N476="TBO-004",$J476,IF($N476="TBO-ENG",$K476,0))))))</f>
        <v/>
      </c>
    </row>
    <row r="477">
      <c r="H477" s="31">
        <f>IF($A477="","",IF($D477="Evet",ROUND($C477*tbo_oranBesPuan,2),0))</f>
        <v/>
      </c>
      <c r="I477" s="31">
        <f>IF($A477="","",IF($E477="Evet",ROUND($C477*tbo_oranIlave,2),0))</f>
        <v/>
      </c>
      <c r="J477" s="31">
        <f>IF($A477="","",IF($F477="Evet",ROUND($C477*tbo_oranKadinGenc,2),0))</f>
        <v/>
      </c>
      <c r="K477" s="31">
        <f>IF($A477="","",IF($G477="Evet",ROUND($C477*tbo_isverenOran,2),0))</f>
        <v/>
      </c>
      <c r="L477" s="31">
        <f>IF($A477="","",IF($M477=0,"YOK",IF($I477=$M477,"TBO-002",IF($H477=$M477,"TBO-001",IF($J477=$M477,"TBO-004","TBO-ENG")))))</f>
        <v/>
      </c>
      <c r="M477" s="31">
        <f>IF($A477="","",MAX($H477,$I477,$J477,$K477))</f>
        <v/>
      </c>
      <c r="O477" s="31">
        <f>IF($A477="","",MAX(0,$M477-IF($N477="TBO-001",$H477,IF($N477="TBO-002",$I477,IF($N477="TBO-004",$J477,IF($N477="TBO-ENG",$K477,0))))))</f>
        <v/>
      </c>
    </row>
    <row r="478">
      <c r="H478" s="31">
        <f>IF($A478="","",IF($D478="Evet",ROUND($C478*tbo_oranBesPuan,2),0))</f>
        <v/>
      </c>
      <c r="I478" s="31">
        <f>IF($A478="","",IF($E478="Evet",ROUND($C478*tbo_oranIlave,2),0))</f>
        <v/>
      </c>
      <c r="J478" s="31">
        <f>IF($A478="","",IF($F478="Evet",ROUND($C478*tbo_oranKadinGenc,2),0))</f>
        <v/>
      </c>
      <c r="K478" s="31">
        <f>IF($A478="","",IF($G478="Evet",ROUND($C478*tbo_isverenOran,2),0))</f>
        <v/>
      </c>
      <c r="L478" s="31">
        <f>IF($A478="","",IF($M478=0,"YOK",IF($I478=$M478,"TBO-002",IF($H478=$M478,"TBO-001",IF($J478=$M478,"TBO-004","TBO-ENG")))))</f>
        <v/>
      </c>
      <c r="M478" s="31">
        <f>IF($A478="","",MAX($H478,$I478,$J478,$K478))</f>
        <v/>
      </c>
      <c r="O478" s="31">
        <f>IF($A478="","",MAX(0,$M478-IF($N478="TBO-001",$H478,IF($N478="TBO-002",$I478,IF($N478="TBO-004",$J478,IF($N478="TBO-ENG",$K478,0))))))</f>
        <v/>
      </c>
    </row>
    <row r="479">
      <c r="H479" s="31">
        <f>IF($A479="","",IF($D479="Evet",ROUND($C479*tbo_oranBesPuan,2),0))</f>
        <v/>
      </c>
      <c r="I479" s="31">
        <f>IF($A479="","",IF($E479="Evet",ROUND($C479*tbo_oranIlave,2),0))</f>
        <v/>
      </c>
      <c r="J479" s="31">
        <f>IF($A479="","",IF($F479="Evet",ROUND($C479*tbo_oranKadinGenc,2),0))</f>
        <v/>
      </c>
      <c r="K479" s="31">
        <f>IF($A479="","",IF($G479="Evet",ROUND($C479*tbo_isverenOran,2),0))</f>
        <v/>
      </c>
      <c r="L479" s="31">
        <f>IF($A479="","",IF($M479=0,"YOK",IF($I479=$M479,"TBO-002",IF($H479=$M479,"TBO-001",IF($J479=$M479,"TBO-004","TBO-ENG")))))</f>
        <v/>
      </c>
      <c r="M479" s="31">
        <f>IF($A479="","",MAX($H479,$I479,$J479,$K479))</f>
        <v/>
      </c>
      <c r="O479" s="31">
        <f>IF($A479="","",MAX(0,$M479-IF($N479="TBO-001",$H479,IF($N479="TBO-002",$I479,IF($N479="TBO-004",$J479,IF($N479="TBO-ENG",$K479,0))))))</f>
        <v/>
      </c>
    </row>
    <row r="480">
      <c r="H480" s="31">
        <f>IF($A480="","",IF($D480="Evet",ROUND($C480*tbo_oranBesPuan,2),0))</f>
        <v/>
      </c>
      <c r="I480" s="31">
        <f>IF($A480="","",IF($E480="Evet",ROUND($C480*tbo_oranIlave,2),0))</f>
        <v/>
      </c>
      <c r="J480" s="31">
        <f>IF($A480="","",IF($F480="Evet",ROUND($C480*tbo_oranKadinGenc,2),0))</f>
        <v/>
      </c>
      <c r="K480" s="31">
        <f>IF($A480="","",IF($G480="Evet",ROUND($C480*tbo_isverenOran,2),0))</f>
        <v/>
      </c>
      <c r="L480" s="31">
        <f>IF($A480="","",IF($M480=0,"YOK",IF($I480=$M480,"TBO-002",IF($H480=$M480,"TBO-001",IF($J480=$M480,"TBO-004","TBO-ENG")))))</f>
        <v/>
      </c>
      <c r="M480" s="31">
        <f>IF($A480="","",MAX($H480,$I480,$J480,$K480))</f>
        <v/>
      </c>
      <c r="O480" s="31">
        <f>IF($A480="","",MAX(0,$M480-IF($N480="TBO-001",$H480,IF($N480="TBO-002",$I480,IF($N480="TBO-004",$J480,IF($N480="TBO-ENG",$K480,0))))))</f>
        <v/>
      </c>
    </row>
    <row r="481">
      <c r="H481" s="31">
        <f>IF($A481="","",IF($D481="Evet",ROUND($C481*tbo_oranBesPuan,2),0))</f>
        <v/>
      </c>
      <c r="I481" s="31">
        <f>IF($A481="","",IF($E481="Evet",ROUND($C481*tbo_oranIlave,2),0))</f>
        <v/>
      </c>
      <c r="J481" s="31">
        <f>IF($A481="","",IF($F481="Evet",ROUND($C481*tbo_oranKadinGenc,2),0))</f>
        <v/>
      </c>
      <c r="K481" s="31">
        <f>IF($A481="","",IF($G481="Evet",ROUND($C481*tbo_isverenOran,2),0))</f>
        <v/>
      </c>
      <c r="L481" s="31">
        <f>IF($A481="","",IF($M481=0,"YOK",IF($I481=$M481,"TBO-002",IF($H481=$M481,"TBO-001",IF($J481=$M481,"TBO-004","TBO-ENG")))))</f>
        <v/>
      </c>
      <c r="M481" s="31">
        <f>IF($A481="","",MAX($H481,$I481,$J481,$K481))</f>
        <v/>
      </c>
      <c r="O481" s="31">
        <f>IF($A481="","",MAX(0,$M481-IF($N481="TBO-001",$H481,IF($N481="TBO-002",$I481,IF($N481="TBO-004",$J481,IF($N481="TBO-ENG",$K481,0))))))</f>
        <v/>
      </c>
    </row>
    <row r="482">
      <c r="H482" s="31">
        <f>IF($A482="","",IF($D482="Evet",ROUND($C482*tbo_oranBesPuan,2),0))</f>
        <v/>
      </c>
      <c r="I482" s="31">
        <f>IF($A482="","",IF($E482="Evet",ROUND($C482*tbo_oranIlave,2),0))</f>
        <v/>
      </c>
      <c r="J482" s="31">
        <f>IF($A482="","",IF($F482="Evet",ROUND($C482*tbo_oranKadinGenc,2),0))</f>
        <v/>
      </c>
      <c r="K482" s="31">
        <f>IF($A482="","",IF($G482="Evet",ROUND($C482*tbo_isverenOran,2),0))</f>
        <v/>
      </c>
      <c r="L482" s="31">
        <f>IF($A482="","",IF($M482=0,"YOK",IF($I482=$M482,"TBO-002",IF($H482=$M482,"TBO-001",IF($J482=$M482,"TBO-004","TBO-ENG")))))</f>
        <v/>
      </c>
      <c r="M482" s="31">
        <f>IF($A482="","",MAX($H482,$I482,$J482,$K482))</f>
        <v/>
      </c>
      <c r="O482" s="31">
        <f>IF($A482="","",MAX(0,$M482-IF($N482="TBO-001",$H482,IF($N482="TBO-002",$I482,IF($N482="TBO-004",$J482,IF($N482="TBO-ENG",$K482,0))))))</f>
        <v/>
      </c>
    </row>
    <row r="483">
      <c r="H483" s="31">
        <f>IF($A483="","",IF($D483="Evet",ROUND($C483*tbo_oranBesPuan,2),0))</f>
        <v/>
      </c>
      <c r="I483" s="31">
        <f>IF($A483="","",IF($E483="Evet",ROUND($C483*tbo_oranIlave,2),0))</f>
        <v/>
      </c>
      <c r="J483" s="31">
        <f>IF($A483="","",IF($F483="Evet",ROUND($C483*tbo_oranKadinGenc,2),0))</f>
        <v/>
      </c>
      <c r="K483" s="31">
        <f>IF($A483="","",IF($G483="Evet",ROUND($C483*tbo_isverenOran,2),0))</f>
        <v/>
      </c>
      <c r="L483" s="31">
        <f>IF($A483="","",IF($M483=0,"YOK",IF($I483=$M483,"TBO-002",IF($H483=$M483,"TBO-001",IF($J483=$M483,"TBO-004","TBO-ENG")))))</f>
        <v/>
      </c>
      <c r="M483" s="31">
        <f>IF($A483="","",MAX($H483,$I483,$J483,$K483))</f>
        <v/>
      </c>
      <c r="O483" s="31">
        <f>IF($A483="","",MAX(0,$M483-IF($N483="TBO-001",$H483,IF($N483="TBO-002",$I483,IF($N483="TBO-004",$J483,IF($N483="TBO-ENG",$K483,0))))))</f>
        <v/>
      </c>
    </row>
    <row r="484">
      <c r="H484" s="31">
        <f>IF($A484="","",IF($D484="Evet",ROUND($C484*tbo_oranBesPuan,2),0))</f>
        <v/>
      </c>
      <c r="I484" s="31">
        <f>IF($A484="","",IF($E484="Evet",ROUND($C484*tbo_oranIlave,2),0))</f>
        <v/>
      </c>
      <c r="J484" s="31">
        <f>IF($A484="","",IF($F484="Evet",ROUND($C484*tbo_oranKadinGenc,2),0))</f>
        <v/>
      </c>
      <c r="K484" s="31">
        <f>IF($A484="","",IF($G484="Evet",ROUND($C484*tbo_isverenOran,2),0))</f>
        <v/>
      </c>
      <c r="L484" s="31">
        <f>IF($A484="","",IF($M484=0,"YOK",IF($I484=$M484,"TBO-002",IF($H484=$M484,"TBO-001",IF($J484=$M484,"TBO-004","TBO-ENG")))))</f>
        <v/>
      </c>
      <c r="M484" s="31">
        <f>IF($A484="","",MAX($H484,$I484,$J484,$K484))</f>
        <v/>
      </c>
      <c r="O484" s="31">
        <f>IF($A484="","",MAX(0,$M484-IF($N484="TBO-001",$H484,IF($N484="TBO-002",$I484,IF($N484="TBO-004",$J484,IF($N484="TBO-ENG",$K484,0))))))</f>
        <v/>
      </c>
    </row>
    <row r="485">
      <c r="H485" s="31">
        <f>IF($A485="","",IF($D485="Evet",ROUND($C485*tbo_oranBesPuan,2),0))</f>
        <v/>
      </c>
      <c r="I485" s="31">
        <f>IF($A485="","",IF($E485="Evet",ROUND($C485*tbo_oranIlave,2),0))</f>
        <v/>
      </c>
      <c r="J485" s="31">
        <f>IF($A485="","",IF($F485="Evet",ROUND($C485*tbo_oranKadinGenc,2),0))</f>
        <v/>
      </c>
      <c r="K485" s="31">
        <f>IF($A485="","",IF($G485="Evet",ROUND($C485*tbo_isverenOran,2),0))</f>
        <v/>
      </c>
      <c r="L485" s="31">
        <f>IF($A485="","",IF($M485=0,"YOK",IF($I485=$M485,"TBO-002",IF($H485=$M485,"TBO-001",IF($J485=$M485,"TBO-004","TBO-ENG")))))</f>
        <v/>
      </c>
      <c r="M485" s="31">
        <f>IF($A485="","",MAX($H485,$I485,$J485,$K485))</f>
        <v/>
      </c>
      <c r="O485" s="31">
        <f>IF($A485="","",MAX(0,$M485-IF($N485="TBO-001",$H485,IF($N485="TBO-002",$I485,IF($N485="TBO-004",$J485,IF($N485="TBO-ENG",$K485,0))))))</f>
        <v/>
      </c>
    </row>
    <row r="486">
      <c r="H486" s="31">
        <f>IF($A486="","",IF($D486="Evet",ROUND($C486*tbo_oranBesPuan,2),0))</f>
        <v/>
      </c>
      <c r="I486" s="31">
        <f>IF($A486="","",IF($E486="Evet",ROUND($C486*tbo_oranIlave,2),0))</f>
        <v/>
      </c>
      <c r="J486" s="31">
        <f>IF($A486="","",IF($F486="Evet",ROUND($C486*tbo_oranKadinGenc,2),0))</f>
        <v/>
      </c>
      <c r="K486" s="31">
        <f>IF($A486="","",IF($G486="Evet",ROUND($C486*tbo_isverenOran,2),0))</f>
        <v/>
      </c>
      <c r="L486" s="31">
        <f>IF($A486="","",IF($M486=0,"YOK",IF($I486=$M486,"TBO-002",IF($H486=$M486,"TBO-001",IF($J486=$M486,"TBO-004","TBO-ENG")))))</f>
        <v/>
      </c>
      <c r="M486" s="31">
        <f>IF($A486="","",MAX($H486,$I486,$J486,$K486))</f>
        <v/>
      </c>
      <c r="O486" s="31">
        <f>IF($A486="","",MAX(0,$M486-IF($N486="TBO-001",$H486,IF($N486="TBO-002",$I486,IF($N486="TBO-004",$J486,IF($N486="TBO-ENG",$K486,0))))))</f>
        <v/>
      </c>
    </row>
    <row r="487">
      <c r="H487" s="31">
        <f>IF($A487="","",IF($D487="Evet",ROUND($C487*tbo_oranBesPuan,2),0))</f>
        <v/>
      </c>
      <c r="I487" s="31">
        <f>IF($A487="","",IF($E487="Evet",ROUND($C487*tbo_oranIlave,2),0))</f>
        <v/>
      </c>
      <c r="J487" s="31">
        <f>IF($A487="","",IF($F487="Evet",ROUND($C487*tbo_oranKadinGenc,2),0))</f>
        <v/>
      </c>
      <c r="K487" s="31">
        <f>IF($A487="","",IF($G487="Evet",ROUND($C487*tbo_isverenOran,2),0))</f>
        <v/>
      </c>
      <c r="L487" s="31">
        <f>IF($A487="","",IF($M487=0,"YOK",IF($I487=$M487,"TBO-002",IF($H487=$M487,"TBO-001",IF($J487=$M487,"TBO-004","TBO-ENG")))))</f>
        <v/>
      </c>
      <c r="M487" s="31">
        <f>IF($A487="","",MAX($H487,$I487,$J487,$K487))</f>
        <v/>
      </c>
      <c r="O487" s="31">
        <f>IF($A487="","",MAX(0,$M487-IF($N487="TBO-001",$H487,IF($N487="TBO-002",$I487,IF($N487="TBO-004",$J487,IF($N487="TBO-ENG",$K487,0))))))</f>
        <v/>
      </c>
    </row>
    <row r="488">
      <c r="H488" s="31">
        <f>IF($A488="","",IF($D488="Evet",ROUND($C488*tbo_oranBesPuan,2),0))</f>
        <v/>
      </c>
      <c r="I488" s="31">
        <f>IF($A488="","",IF($E488="Evet",ROUND($C488*tbo_oranIlave,2),0))</f>
        <v/>
      </c>
      <c r="J488" s="31">
        <f>IF($A488="","",IF($F488="Evet",ROUND($C488*tbo_oranKadinGenc,2),0))</f>
        <v/>
      </c>
      <c r="K488" s="31">
        <f>IF($A488="","",IF($G488="Evet",ROUND($C488*tbo_isverenOran,2),0))</f>
        <v/>
      </c>
      <c r="L488" s="31">
        <f>IF($A488="","",IF($M488=0,"YOK",IF($I488=$M488,"TBO-002",IF($H488=$M488,"TBO-001",IF($J488=$M488,"TBO-004","TBO-ENG")))))</f>
        <v/>
      </c>
      <c r="M488" s="31">
        <f>IF($A488="","",MAX($H488,$I488,$J488,$K488))</f>
        <v/>
      </c>
      <c r="O488" s="31">
        <f>IF($A488="","",MAX(0,$M488-IF($N488="TBO-001",$H488,IF($N488="TBO-002",$I488,IF($N488="TBO-004",$J488,IF($N488="TBO-ENG",$K488,0))))))</f>
        <v/>
      </c>
    </row>
    <row r="489">
      <c r="H489" s="31">
        <f>IF($A489="","",IF($D489="Evet",ROUND($C489*tbo_oranBesPuan,2),0))</f>
        <v/>
      </c>
      <c r="I489" s="31">
        <f>IF($A489="","",IF($E489="Evet",ROUND($C489*tbo_oranIlave,2),0))</f>
        <v/>
      </c>
      <c r="J489" s="31">
        <f>IF($A489="","",IF($F489="Evet",ROUND($C489*tbo_oranKadinGenc,2),0))</f>
        <v/>
      </c>
      <c r="K489" s="31">
        <f>IF($A489="","",IF($G489="Evet",ROUND($C489*tbo_isverenOran,2),0))</f>
        <v/>
      </c>
      <c r="L489" s="31">
        <f>IF($A489="","",IF($M489=0,"YOK",IF($I489=$M489,"TBO-002",IF($H489=$M489,"TBO-001",IF($J489=$M489,"TBO-004","TBO-ENG")))))</f>
        <v/>
      </c>
      <c r="M489" s="31">
        <f>IF($A489="","",MAX($H489,$I489,$J489,$K489))</f>
        <v/>
      </c>
      <c r="O489" s="31">
        <f>IF($A489="","",MAX(0,$M489-IF($N489="TBO-001",$H489,IF($N489="TBO-002",$I489,IF($N489="TBO-004",$J489,IF($N489="TBO-ENG",$K489,0))))))</f>
        <v/>
      </c>
    </row>
    <row r="490">
      <c r="H490" s="31">
        <f>IF($A490="","",IF($D490="Evet",ROUND($C490*tbo_oranBesPuan,2),0))</f>
        <v/>
      </c>
      <c r="I490" s="31">
        <f>IF($A490="","",IF($E490="Evet",ROUND($C490*tbo_oranIlave,2),0))</f>
        <v/>
      </c>
      <c r="J490" s="31">
        <f>IF($A490="","",IF($F490="Evet",ROUND($C490*tbo_oranKadinGenc,2),0))</f>
        <v/>
      </c>
      <c r="K490" s="31">
        <f>IF($A490="","",IF($G490="Evet",ROUND($C490*tbo_isverenOran,2),0))</f>
        <v/>
      </c>
      <c r="L490" s="31">
        <f>IF($A490="","",IF($M490=0,"YOK",IF($I490=$M490,"TBO-002",IF($H490=$M490,"TBO-001",IF($J490=$M490,"TBO-004","TBO-ENG")))))</f>
        <v/>
      </c>
      <c r="M490" s="31">
        <f>IF($A490="","",MAX($H490,$I490,$J490,$K490))</f>
        <v/>
      </c>
      <c r="O490" s="31">
        <f>IF($A490="","",MAX(0,$M490-IF($N490="TBO-001",$H490,IF($N490="TBO-002",$I490,IF($N490="TBO-004",$J490,IF($N490="TBO-ENG",$K490,0))))))</f>
        <v/>
      </c>
    </row>
    <row r="491">
      <c r="H491" s="31">
        <f>IF($A491="","",IF($D491="Evet",ROUND($C491*tbo_oranBesPuan,2),0))</f>
        <v/>
      </c>
      <c r="I491" s="31">
        <f>IF($A491="","",IF($E491="Evet",ROUND($C491*tbo_oranIlave,2),0))</f>
        <v/>
      </c>
      <c r="J491" s="31">
        <f>IF($A491="","",IF($F491="Evet",ROUND($C491*tbo_oranKadinGenc,2),0))</f>
        <v/>
      </c>
      <c r="K491" s="31">
        <f>IF($A491="","",IF($G491="Evet",ROUND($C491*tbo_isverenOran,2),0))</f>
        <v/>
      </c>
      <c r="L491" s="31">
        <f>IF($A491="","",IF($M491=0,"YOK",IF($I491=$M491,"TBO-002",IF($H491=$M491,"TBO-001",IF($J491=$M491,"TBO-004","TBO-ENG")))))</f>
        <v/>
      </c>
      <c r="M491" s="31">
        <f>IF($A491="","",MAX($H491,$I491,$J491,$K491))</f>
        <v/>
      </c>
      <c r="O491" s="31">
        <f>IF($A491="","",MAX(0,$M491-IF($N491="TBO-001",$H491,IF($N491="TBO-002",$I491,IF($N491="TBO-004",$J491,IF($N491="TBO-ENG",$K491,0))))))</f>
        <v/>
      </c>
    </row>
    <row r="492">
      <c r="H492" s="31">
        <f>IF($A492="","",IF($D492="Evet",ROUND($C492*tbo_oranBesPuan,2),0))</f>
        <v/>
      </c>
      <c r="I492" s="31">
        <f>IF($A492="","",IF($E492="Evet",ROUND($C492*tbo_oranIlave,2),0))</f>
        <v/>
      </c>
      <c r="J492" s="31">
        <f>IF($A492="","",IF($F492="Evet",ROUND($C492*tbo_oranKadinGenc,2),0))</f>
        <v/>
      </c>
      <c r="K492" s="31">
        <f>IF($A492="","",IF($G492="Evet",ROUND($C492*tbo_isverenOran,2),0))</f>
        <v/>
      </c>
      <c r="L492" s="31">
        <f>IF($A492="","",IF($M492=0,"YOK",IF($I492=$M492,"TBO-002",IF($H492=$M492,"TBO-001",IF($J492=$M492,"TBO-004","TBO-ENG")))))</f>
        <v/>
      </c>
      <c r="M492" s="31">
        <f>IF($A492="","",MAX($H492,$I492,$J492,$K492))</f>
        <v/>
      </c>
      <c r="O492" s="31">
        <f>IF($A492="","",MAX(0,$M492-IF($N492="TBO-001",$H492,IF($N492="TBO-002",$I492,IF($N492="TBO-004",$J492,IF($N492="TBO-ENG",$K492,0))))))</f>
        <v/>
      </c>
    </row>
    <row r="493">
      <c r="H493" s="31">
        <f>IF($A493="","",IF($D493="Evet",ROUND($C493*tbo_oranBesPuan,2),0))</f>
        <v/>
      </c>
      <c r="I493" s="31">
        <f>IF($A493="","",IF($E493="Evet",ROUND($C493*tbo_oranIlave,2),0))</f>
        <v/>
      </c>
      <c r="J493" s="31">
        <f>IF($A493="","",IF($F493="Evet",ROUND($C493*tbo_oranKadinGenc,2),0))</f>
        <v/>
      </c>
      <c r="K493" s="31">
        <f>IF($A493="","",IF($G493="Evet",ROUND($C493*tbo_isverenOran,2),0))</f>
        <v/>
      </c>
      <c r="L493" s="31">
        <f>IF($A493="","",IF($M493=0,"YOK",IF($I493=$M493,"TBO-002",IF($H493=$M493,"TBO-001",IF($J493=$M493,"TBO-004","TBO-ENG")))))</f>
        <v/>
      </c>
      <c r="M493" s="31">
        <f>IF($A493="","",MAX($H493,$I493,$J493,$K493))</f>
        <v/>
      </c>
      <c r="O493" s="31">
        <f>IF($A493="","",MAX(0,$M493-IF($N493="TBO-001",$H493,IF($N493="TBO-002",$I493,IF($N493="TBO-004",$J493,IF($N493="TBO-ENG",$K493,0))))))</f>
        <v/>
      </c>
    </row>
    <row r="494">
      <c r="H494" s="31">
        <f>IF($A494="","",IF($D494="Evet",ROUND($C494*tbo_oranBesPuan,2),0))</f>
        <v/>
      </c>
      <c r="I494" s="31">
        <f>IF($A494="","",IF($E494="Evet",ROUND($C494*tbo_oranIlave,2),0))</f>
        <v/>
      </c>
      <c r="J494" s="31">
        <f>IF($A494="","",IF($F494="Evet",ROUND($C494*tbo_oranKadinGenc,2),0))</f>
        <v/>
      </c>
      <c r="K494" s="31">
        <f>IF($A494="","",IF($G494="Evet",ROUND($C494*tbo_isverenOran,2),0))</f>
        <v/>
      </c>
      <c r="L494" s="31">
        <f>IF($A494="","",IF($M494=0,"YOK",IF($I494=$M494,"TBO-002",IF($H494=$M494,"TBO-001",IF($J494=$M494,"TBO-004","TBO-ENG")))))</f>
        <v/>
      </c>
      <c r="M494" s="31">
        <f>IF($A494="","",MAX($H494,$I494,$J494,$K494))</f>
        <v/>
      </c>
      <c r="O494" s="31">
        <f>IF($A494="","",MAX(0,$M494-IF($N494="TBO-001",$H494,IF($N494="TBO-002",$I494,IF($N494="TBO-004",$J494,IF($N494="TBO-ENG",$K494,0))))))</f>
        <v/>
      </c>
    </row>
    <row r="495">
      <c r="H495" s="31">
        <f>IF($A495="","",IF($D495="Evet",ROUND($C495*tbo_oranBesPuan,2),0))</f>
        <v/>
      </c>
      <c r="I495" s="31">
        <f>IF($A495="","",IF($E495="Evet",ROUND($C495*tbo_oranIlave,2),0))</f>
        <v/>
      </c>
      <c r="J495" s="31">
        <f>IF($A495="","",IF($F495="Evet",ROUND($C495*tbo_oranKadinGenc,2),0))</f>
        <v/>
      </c>
      <c r="K495" s="31">
        <f>IF($A495="","",IF($G495="Evet",ROUND($C495*tbo_isverenOran,2),0))</f>
        <v/>
      </c>
      <c r="L495" s="31">
        <f>IF($A495="","",IF($M495=0,"YOK",IF($I495=$M495,"TBO-002",IF($H495=$M495,"TBO-001",IF($J495=$M495,"TBO-004","TBO-ENG")))))</f>
        <v/>
      </c>
      <c r="M495" s="31">
        <f>IF($A495="","",MAX($H495,$I495,$J495,$K495))</f>
        <v/>
      </c>
      <c r="O495" s="31">
        <f>IF($A495="","",MAX(0,$M495-IF($N495="TBO-001",$H495,IF($N495="TBO-002",$I495,IF($N495="TBO-004",$J495,IF($N495="TBO-ENG",$K495,0))))))</f>
        <v/>
      </c>
    </row>
    <row r="496">
      <c r="H496" s="31">
        <f>IF($A496="","",IF($D496="Evet",ROUND($C496*tbo_oranBesPuan,2),0))</f>
        <v/>
      </c>
      <c r="I496" s="31">
        <f>IF($A496="","",IF($E496="Evet",ROUND($C496*tbo_oranIlave,2),0))</f>
        <v/>
      </c>
      <c r="J496" s="31">
        <f>IF($A496="","",IF($F496="Evet",ROUND($C496*tbo_oranKadinGenc,2),0))</f>
        <v/>
      </c>
      <c r="K496" s="31">
        <f>IF($A496="","",IF($G496="Evet",ROUND($C496*tbo_isverenOran,2),0))</f>
        <v/>
      </c>
      <c r="L496" s="31">
        <f>IF($A496="","",IF($M496=0,"YOK",IF($I496=$M496,"TBO-002",IF($H496=$M496,"TBO-001",IF($J496=$M496,"TBO-004","TBO-ENG")))))</f>
        <v/>
      </c>
      <c r="M496" s="31">
        <f>IF($A496="","",MAX($H496,$I496,$J496,$K496))</f>
        <v/>
      </c>
      <c r="O496" s="31">
        <f>IF($A496="","",MAX(0,$M496-IF($N496="TBO-001",$H496,IF($N496="TBO-002",$I496,IF($N496="TBO-004",$J496,IF($N496="TBO-ENG",$K496,0))))))</f>
        <v/>
      </c>
    </row>
    <row r="497">
      <c r="H497" s="31">
        <f>IF($A497="","",IF($D497="Evet",ROUND($C497*tbo_oranBesPuan,2),0))</f>
        <v/>
      </c>
      <c r="I497" s="31">
        <f>IF($A497="","",IF($E497="Evet",ROUND($C497*tbo_oranIlave,2),0))</f>
        <v/>
      </c>
      <c r="J497" s="31">
        <f>IF($A497="","",IF($F497="Evet",ROUND($C497*tbo_oranKadinGenc,2),0))</f>
        <v/>
      </c>
      <c r="K497" s="31">
        <f>IF($A497="","",IF($G497="Evet",ROUND($C497*tbo_isverenOran,2),0))</f>
        <v/>
      </c>
      <c r="L497" s="31">
        <f>IF($A497="","",IF($M497=0,"YOK",IF($I497=$M497,"TBO-002",IF($H497=$M497,"TBO-001",IF($J497=$M497,"TBO-004","TBO-ENG")))))</f>
        <v/>
      </c>
      <c r="M497" s="31">
        <f>IF($A497="","",MAX($H497,$I497,$J497,$K497))</f>
        <v/>
      </c>
      <c r="O497" s="31">
        <f>IF($A497="","",MAX(0,$M497-IF($N497="TBO-001",$H497,IF($N497="TBO-002",$I497,IF($N497="TBO-004",$J497,IF($N497="TBO-ENG",$K497,0))))))</f>
        <v/>
      </c>
    </row>
    <row r="498">
      <c r="H498" s="31">
        <f>IF($A498="","",IF($D498="Evet",ROUND($C498*tbo_oranBesPuan,2),0))</f>
        <v/>
      </c>
      <c r="I498" s="31">
        <f>IF($A498="","",IF($E498="Evet",ROUND($C498*tbo_oranIlave,2),0))</f>
        <v/>
      </c>
      <c r="J498" s="31">
        <f>IF($A498="","",IF($F498="Evet",ROUND($C498*tbo_oranKadinGenc,2),0))</f>
        <v/>
      </c>
      <c r="K498" s="31">
        <f>IF($A498="","",IF($G498="Evet",ROUND($C498*tbo_isverenOran,2),0))</f>
        <v/>
      </c>
      <c r="L498" s="31">
        <f>IF($A498="","",IF($M498=0,"YOK",IF($I498=$M498,"TBO-002",IF($H498=$M498,"TBO-001",IF($J498=$M498,"TBO-004","TBO-ENG")))))</f>
        <v/>
      </c>
      <c r="M498" s="31">
        <f>IF($A498="","",MAX($H498,$I498,$J498,$K498))</f>
        <v/>
      </c>
      <c r="O498" s="31">
        <f>IF($A498="","",MAX(0,$M498-IF($N498="TBO-001",$H498,IF($N498="TBO-002",$I498,IF($N498="TBO-004",$J498,IF($N498="TBO-ENG",$K498,0))))))</f>
        <v/>
      </c>
    </row>
    <row r="499">
      <c r="H499" s="31">
        <f>IF($A499="","",IF($D499="Evet",ROUND($C499*tbo_oranBesPuan,2),0))</f>
        <v/>
      </c>
      <c r="I499" s="31">
        <f>IF($A499="","",IF($E499="Evet",ROUND($C499*tbo_oranIlave,2),0))</f>
        <v/>
      </c>
      <c r="J499" s="31">
        <f>IF($A499="","",IF($F499="Evet",ROUND($C499*tbo_oranKadinGenc,2),0))</f>
        <v/>
      </c>
      <c r="K499" s="31">
        <f>IF($A499="","",IF($G499="Evet",ROUND($C499*tbo_isverenOran,2),0))</f>
        <v/>
      </c>
      <c r="L499" s="31">
        <f>IF($A499="","",IF($M499=0,"YOK",IF($I499=$M499,"TBO-002",IF($H499=$M499,"TBO-001",IF($J499=$M499,"TBO-004","TBO-ENG")))))</f>
        <v/>
      </c>
      <c r="M499" s="31">
        <f>IF($A499="","",MAX($H499,$I499,$J499,$K499))</f>
        <v/>
      </c>
      <c r="O499" s="31">
        <f>IF($A499="","",MAX(0,$M499-IF($N499="TBO-001",$H499,IF($N499="TBO-002",$I499,IF($N499="TBO-004",$J499,IF($N499="TBO-ENG",$K499,0))))))</f>
        <v/>
      </c>
    </row>
    <row r="500">
      <c r="H500" s="31">
        <f>IF($A500="","",IF($D500="Evet",ROUND($C500*tbo_oranBesPuan,2),0))</f>
        <v/>
      </c>
      <c r="I500" s="31">
        <f>IF($A500="","",IF($E500="Evet",ROUND($C500*tbo_oranIlave,2),0))</f>
        <v/>
      </c>
      <c r="J500" s="31">
        <f>IF($A500="","",IF($F500="Evet",ROUND($C500*tbo_oranKadinGenc,2),0))</f>
        <v/>
      </c>
      <c r="K500" s="31">
        <f>IF($A500="","",IF($G500="Evet",ROUND($C500*tbo_isverenOran,2),0))</f>
        <v/>
      </c>
      <c r="L500" s="31">
        <f>IF($A500="","",IF($M500=0,"YOK",IF($I500=$M500,"TBO-002",IF($H500=$M500,"TBO-001",IF($J500=$M500,"TBO-004","TBO-ENG")))))</f>
        <v/>
      </c>
      <c r="M500" s="31">
        <f>IF($A500="","",MAX($H500,$I500,$J500,$K500))</f>
        <v/>
      </c>
      <c r="O500" s="31">
        <f>IF($A500="","",MAX(0,$M500-IF($N500="TBO-001",$H500,IF($N500="TBO-002",$I500,IF($N500="TBO-004",$J500,IF($N500="TBO-ENG",$K500,0))))))</f>
        <v/>
      </c>
    </row>
    <row r="501">
      <c r="H501" s="31">
        <f>IF($A501="","",IF($D501="Evet",ROUND($C501*tbo_oranBesPuan,2),0))</f>
        <v/>
      </c>
      <c r="I501" s="31">
        <f>IF($A501="","",IF($E501="Evet",ROUND($C501*tbo_oranIlave,2),0))</f>
        <v/>
      </c>
      <c r="J501" s="31">
        <f>IF($A501="","",IF($F501="Evet",ROUND($C501*tbo_oranKadinGenc,2),0))</f>
        <v/>
      </c>
      <c r="K501" s="31">
        <f>IF($A501="","",IF($G501="Evet",ROUND($C501*tbo_isverenOran,2),0))</f>
        <v/>
      </c>
      <c r="L501" s="31">
        <f>IF($A501="","",IF($M501=0,"YOK",IF($I501=$M501,"TBO-002",IF($H501=$M501,"TBO-001",IF($J501=$M501,"TBO-004","TBO-ENG")))))</f>
        <v/>
      </c>
      <c r="M501" s="31">
        <f>IF($A501="","",MAX($H501,$I501,$J501,$K501))</f>
        <v/>
      </c>
      <c r="O501" s="31">
        <f>IF($A501="","",MAX(0,$M501-IF($N501="TBO-001",$H501,IF($N501="TBO-002",$I501,IF($N501="TBO-004",$J501,IF($N501="TBO-ENG",$K501,0))))))</f>
        <v/>
      </c>
    </row>
    <row r="502">
      <c r="H502" s="31">
        <f>IF($A502="","",IF($D502="Evet",ROUND($C502*tbo_oranBesPuan,2),0))</f>
        <v/>
      </c>
      <c r="I502" s="31">
        <f>IF($A502="","",IF($E502="Evet",ROUND($C502*tbo_oranIlave,2),0))</f>
        <v/>
      </c>
      <c r="J502" s="31">
        <f>IF($A502="","",IF($F502="Evet",ROUND($C502*tbo_oranKadinGenc,2),0))</f>
        <v/>
      </c>
      <c r="K502" s="31">
        <f>IF($A502="","",IF($G502="Evet",ROUND($C502*tbo_isverenOran,2),0))</f>
        <v/>
      </c>
      <c r="L502" s="31">
        <f>IF($A502="","",IF($M502=0,"YOK",IF($I502=$M502,"TBO-002",IF($H502=$M502,"TBO-001",IF($J502=$M502,"TBO-004","TBO-ENG")))))</f>
        <v/>
      </c>
      <c r="M502" s="31">
        <f>IF($A502="","",MAX($H502,$I502,$J502,$K502))</f>
        <v/>
      </c>
      <c r="O502" s="31">
        <f>IF($A502="","",MAX(0,$M502-IF($N502="TBO-001",$H502,IF($N502="TBO-002",$I502,IF($N502="TBO-004",$J502,IF($N502="TBO-ENG",$K502,0))))))</f>
        <v/>
      </c>
    </row>
    <row r="503">
      <c r="H503" s="31">
        <f>IF($A503="","",IF($D503="Evet",ROUND($C503*tbo_oranBesPuan,2),0))</f>
        <v/>
      </c>
      <c r="I503" s="31">
        <f>IF($A503="","",IF($E503="Evet",ROUND($C503*tbo_oranIlave,2),0))</f>
        <v/>
      </c>
      <c r="J503" s="31">
        <f>IF($A503="","",IF($F503="Evet",ROUND($C503*tbo_oranKadinGenc,2),0))</f>
        <v/>
      </c>
      <c r="K503" s="31">
        <f>IF($A503="","",IF($G503="Evet",ROUND($C503*tbo_isverenOran,2),0))</f>
        <v/>
      </c>
      <c r="L503" s="31">
        <f>IF($A503="","",IF($M503=0,"YOK",IF($I503=$M503,"TBO-002",IF($H503=$M503,"TBO-001",IF($J503=$M503,"TBO-004","TBO-ENG")))))</f>
        <v/>
      </c>
      <c r="M503" s="31">
        <f>IF($A503="","",MAX($H503,$I503,$J503,$K503))</f>
        <v/>
      </c>
      <c r="O503" s="31">
        <f>IF($A503="","",MAX(0,$M503-IF($N503="TBO-001",$H503,IF($N503="TBO-002",$I503,IF($N503="TBO-004",$J503,IF($N503="TBO-ENG",$K503,0))))))</f>
        <v/>
      </c>
    </row>
    <row r="504">
      <c r="H504" s="31">
        <f>IF($A504="","",IF($D504="Evet",ROUND($C504*tbo_oranBesPuan,2),0))</f>
        <v/>
      </c>
      <c r="I504" s="31">
        <f>IF($A504="","",IF($E504="Evet",ROUND($C504*tbo_oranIlave,2),0))</f>
        <v/>
      </c>
      <c r="J504" s="31">
        <f>IF($A504="","",IF($F504="Evet",ROUND($C504*tbo_oranKadinGenc,2),0))</f>
        <v/>
      </c>
      <c r="K504" s="31">
        <f>IF($A504="","",IF($G504="Evet",ROUND($C504*tbo_isverenOran,2),0))</f>
        <v/>
      </c>
      <c r="L504" s="31">
        <f>IF($A504="","",IF($M504=0,"YOK",IF($I504=$M504,"TBO-002",IF($H504=$M504,"TBO-001",IF($J504=$M504,"TBO-004","TBO-ENG")))))</f>
        <v/>
      </c>
      <c r="M504" s="31">
        <f>IF($A504="","",MAX($H504,$I504,$J504,$K504))</f>
        <v/>
      </c>
      <c r="O504" s="31">
        <f>IF($A504="","",MAX(0,$M504-IF($N504="TBO-001",$H504,IF($N504="TBO-002",$I504,IF($N504="TBO-004",$J504,IF($N504="TBO-ENG",$K504,0))))))</f>
        <v/>
      </c>
    </row>
    <row r="505">
      <c r="H505" s="31">
        <f>IF($A505="","",IF($D505="Evet",ROUND($C505*tbo_oranBesPuan,2),0))</f>
        <v/>
      </c>
      <c r="I505" s="31">
        <f>IF($A505="","",IF($E505="Evet",ROUND($C505*tbo_oranIlave,2),0))</f>
        <v/>
      </c>
      <c r="J505" s="31">
        <f>IF($A505="","",IF($F505="Evet",ROUND($C505*tbo_oranKadinGenc,2),0))</f>
        <v/>
      </c>
      <c r="K505" s="31">
        <f>IF($A505="","",IF($G505="Evet",ROUND($C505*tbo_isverenOran,2),0))</f>
        <v/>
      </c>
      <c r="L505" s="31">
        <f>IF($A505="","",IF($M505=0,"YOK",IF($I505=$M505,"TBO-002",IF($H505=$M505,"TBO-001",IF($J505=$M505,"TBO-004","TBO-ENG")))))</f>
        <v/>
      </c>
      <c r="M505" s="31">
        <f>IF($A505="","",MAX($H505,$I505,$J505,$K505))</f>
        <v/>
      </c>
      <c r="O505" s="31">
        <f>IF($A505="","",MAX(0,$M505-IF($N505="TBO-001",$H505,IF($N505="TBO-002",$I505,IF($N505="TBO-004",$J505,IF($N505="TBO-ENG",$K505,0))))))</f>
        <v/>
      </c>
    </row>
    <row r="506">
      <c r="H506" s="31">
        <f>IF($A506="","",IF($D506="Evet",ROUND($C506*tbo_oranBesPuan,2),0))</f>
        <v/>
      </c>
      <c r="I506" s="31">
        <f>IF($A506="","",IF($E506="Evet",ROUND($C506*tbo_oranIlave,2),0))</f>
        <v/>
      </c>
      <c r="J506" s="31">
        <f>IF($A506="","",IF($F506="Evet",ROUND($C506*tbo_oranKadinGenc,2),0))</f>
        <v/>
      </c>
      <c r="K506" s="31">
        <f>IF($A506="","",IF($G506="Evet",ROUND($C506*tbo_isverenOran,2),0))</f>
        <v/>
      </c>
      <c r="L506" s="31">
        <f>IF($A506="","",IF($M506=0,"YOK",IF($I506=$M506,"TBO-002",IF($H506=$M506,"TBO-001",IF($J506=$M506,"TBO-004","TBO-ENG")))))</f>
        <v/>
      </c>
      <c r="M506" s="31">
        <f>IF($A506="","",MAX($H506,$I506,$J506,$K506))</f>
        <v/>
      </c>
      <c r="O506" s="31">
        <f>IF($A506="","",MAX(0,$M506-IF($N506="TBO-001",$H506,IF($N506="TBO-002",$I506,IF($N506="TBO-004",$J506,IF($N506="TBO-ENG",$K506,0))))))</f>
        <v/>
      </c>
    </row>
    <row r="507">
      <c r="H507" s="31">
        <f>IF($A507="","",IF($D507="Evet",ROUND($C507*tbo_oranBesPuan,2),0))</f>
        <v/>
      </c>
      <c r="I507" s="31">
        <f>IF($A507="","",IF($E507="Evet",ROUND($C507*tbo_oranIlave,2),0))</f>
        <v/>
      </c>
      <c r="J507" s="31">
        <f>IF($A507="","",IF($F507="Evet",ROUND($C507*tbo_oranKadinGenc,2),0))</f>
        <v/>
      </c>
      <c r="K507" s="31">
        <f>IF($A507="","",IF($G507="Evet",ROUND($C507*tbo_isverenOran,2),0))</f>
        <v/>
      </c>
      <c r="L507" s="31">
        <f>IF($A507="","",IF($M507=0,"YOK",IF($I507=$M507,"TBO-002",IF($H507=$M507,"TBO-001",IF($J507=$M507,"TBO-004","TBO-ENG")))))</f>
        <v/>
      </c>
      <c r="M507" s="31">
        <f>IF($A507="","",MAX($H507,$I507,$J507,$K507))</f>
        <v/>
      </c>
      <c r="O507" s="31">
        <f>IF($A507="","",MAX(0,$M507-IF($N507="TBO-001",$H507,IF($N507="TBO-002",$I507,IF($N507="TBO-004",$J507,IF($N507="TBO-ENG",$K507,0))))))</f>
        <v/>
      </c>
    </row>
    <row r="508">
      <c r="H508" s="31">
        <f>IF($A508="","",IF($D508="Evet",ROUND($C508*tbo_oranBesPuan,2),0))</f>
        <v/>
      </c>
      <c r="I508" s="31">
        <f>IF($A508="","",IF($E508="Evet",ROUND($C508*tbo_oranIlave,2),0))</f>
        <v/>
      </c>
      <c r="J508" s="31">
        <f>IF($A508="","",IF($F508="Evet",ROUND($C508*tbo_oranKadinGenc,2),0))</f>
        <v/>
      </c>
      <c r="K508" s="31">
        <f>IF($A508="","",IF($G508="Evet",ROUND($C508*tbo_isverenOran,2),0))</f>
        <v/>
      </c>
      <c r="L508" s="31">
        <f>IF($A508="","",IF($M508=0,"YOK",IF($I508=$M508,"TBO-002",IF($H508=$M508,"TBO-001",IF($J508=$M508,"TBO-004","TBO-ENG")))))</f>
        <v/>
      </c>
      <c r="M508" s="31">
        <f>IF($A508="","",MAX($H508,$I508,$J508,$K508))</f>
        <v/>
      </c>
      <c r="O508" s="31">
        <f>IF($A508="","",MAX(0,$M508-IF($N508="TBO-001",$H508,IF($N508="TBO-002",$I508,IF($N508="TBO-004",$J508,IF($N508="TBO-ENG",$K508,0))))))</f>
        <v/>
      </c>
    </row>
    <row r="509">
      <c r="H509" s="31">
        <f>IF($A509="","",IF($D509="Evet",ROUND($C509*tbo_oranBesPuan,2),0))</f>
        <v/>
      </c>
      <c r="I509" s="31">
        <f>IF($A509="","",IF($E509="Evet",ROUND($C509*tbo_oranIlave,2),0))</f>
        <v/>
      </c>
      <c r="J509" s="31">
        <f>IF($A509="","",IF($F509="Evet",ROUND($C509*tbo_oranKadinGenc,2),0))</f>
        <v/>
      </c>
      <c r="K509" s="31">
        <f>IF($A509="","",IF($G509="Evet",ROUND($C509*tbo_isverenOran,2),0))</f>
        <v/>
      </c>
      <c r="L509" s="31">
        <f>IF($A509="","",IF($M509=0,"YOK",IF($I509=$M509,"TBO-002",IF($H509=$M509,"TBO-001",IF($J509=$M509,"TBO-004","TBO-ENG")))))</f>
        <v/>
      </c>
      <c r="M509" s="31">
        <f>IF($A509="","",MAX($H509,$I509,$J509,$K509))</f>
        <v/>
      </c>
      <c r="O509" s="31">
        <f>IF($A509="","",MAX(0,$M509-IF($N509="TBO-001",$H509,IF($N509="TBO-002",$I509,IF($N509="TBO-004",$J509,IF($N509="TBO-ENG",$K509,0))))))</f>
        <v/>
      </c>
    </row>
    <row r="510">
      <c r="H510" s="31">
        <f>IF($A510="","",IF($D510="Evet",ROUND($C510*tbo_oranBesPuan,2),0))</f>
        <v/>
      </c>
      <c r="I510" s="31">
        <f>IF($A510="","",IF($E510="Evet",ROUND($C510*tbo_oranIlave,2),0))</f>
        <v/>
      </c>
      <c r="J510" s="31">
        <f>IF($A510="","",IF($F510="Evet",ROUND($C510*tbo_oranKadinGenc,2),0))</f>
        <v/>
      </c>
      <c r="K510" s="31">
        <f>IF($A510="","",IF($G510="Evet",ROUND($C510*tbo_isverenOran,2),0))</f>
        <v/>
      </c>
      <c r="L510" s="31">
        <f>IF($A510="","",IF($M510=0,"YOK",IF($I510=$M510,"TBO-002",IF($H510=$M510,"TBO-001",IF($J510=$M510,"TBO-004","TBO-ENG")))))</f>
        <v/>
      </c>
      <c r="M510" s="31">
        <f>IF($A510="","",MAX($H510,$I510,$J510,$K510))</f>
        <v/>
      </c>
      <c r="O510" s="31">
        <f>IF($A510="","",MAX(0,$M510-IF($N510="TBO-001",$H510,IF($N510="TBO-002",$I510,IF($N510="TBO-004",$J510,IF($N510="TBO-ENG",$K510,0))))))</f>
        <v/>
      </c>
    </row>
    <row r="511">
      <c r="H511" s="31">
        <f>IF($A511="","",IF($D511="Evet",ROUND($C511*tbo_oranBesPuan,2),0))</f>
        <v/>
      </c>
      <c r="I511" s="31">
        <f>IF($A511="","",IF($E511="Evet",ROUND($C511*tbo_oranIlave,2),0))</f>
        <v/>
      </c>
      <c r="J511" s="31">
        <f>IF($A511="","",IF($F511="Evet",ROUND($C511*tbo_oranKadinGenc,2),0))</f>
        <v/>
      </c>
      <c r="K511" s="31">
        <f>IF($A511="","",IF($G511="Evet",ROUND($C511*tbo_isverenOran,2),0))</f>
        <v/>
      </c>
      <c r="L511" s="31">
        <f>IF($A511="","",IF($M511=0,"YOK",IF($I511=$M511,"TBO-002",IF($H511=$M511,"TBO-001",IF($J511=$M511,"TBO-004","TBO-ENG")))))</f>
        <v/>
      </c>
      <c r="M511" s="31">
        <f>IF($A511="","",MAX($H511,$I511,$J511,$K511))</f>
        <v/>
      </c>
      <c r="O511" s="31">
        <f>IF($A511="","",MAX(0,$M511-IF($N511="TBO-001",$H511,IF($N511="TBO-002",$I511,IF($N511="TBO-004",$J511,IF($N511="TBO-ENG",$K511,0))))))</f>
        <v/>
      </c>
    </row>
    <row r="512">
      <c r="H512" s="31">
        <f>IF($A512="","",IF($D512="Evet",ROUND($C512*tbo_oranBesPuan,2),0))</f>
        <v/>
      </c>
      <c r="I512" s="31">
        <f>IF($A512="","",IF($E512="Evet",ROUND($C512*tbo_oranIlave,2),0))</f>
        <v/>
      </c>
      <c r="J512" s="31">
        <f>IF($A512="","",IF($F512="Evet",ROUND($C512*tbo_oranKadinGenc,2),0))</f>
        <v/>
      </c>
      <c r="K512" s="31">
        <f>IF($A512="","",IF($G512="Evet",ROUND($C512*tbo_isverenOran,2),0))</f>
        <v/>
      </c>
      <c r="L512" s="31">
        <f>IF($A512="","",IF($M512=0,"YOK",IF($I512=$M512,"TBO-002",IF($H512=$M512,"TBO-001",IF($J512=$M512,"TBO-004","TBO-ENG")))))</f>
        <v/>
      </c>
      <c r="M512" s="31">
        <f>IF($A512="","",MAX($H512,$I512,$J512,$K512))</f>
        <v/>
      </c>
      <c r="O512" s="31">
        <f>IF($A512="","",MAX(0,$M512-IF($N512="TBO-001",$H512,IF($N512="TBO-002",$I512,IF($N512="TBO-004",$J512,IF($N512="TBO-ENG",$K512,0))))))</f>
        <v/>
      </c>
    </row>
    <row r="513">
      <c r="H513" s="31">
        <f>IF($A513="","",IF($D513="Evet",ROUND($C513*tbo_oranBesPuan,2),0))</f>
        <v/>
      </c>
      <c r="I513" s="31">
        <f>IF($A513="","",IF($E513="Evet",ROUND($C513*tbo_oranIlave,2),0))</f>
        <v/>
      </c>
      <c r="J513" s="31">
        <f>IF($A513="","",IF($F513="Evet",ROUND($C513*tbo_oranKadinGenc,2),0))</f>
        <v/>
      </c>
      <c r="K513" s="31">
        <f>IF($A513="","",IF($G513="Evet",ROUND($C513*tbo_isverenOran,2),0))</f>
        <v/>
      </c>
      <c r="L513" s="31">
        <f>IF($A513="","",IF($M513=0,"YOK",IF($I513=$M513,"TBO-002",IF($H513=$M513,"TBO-001",IF($J513=$M513,"TBO-004","TBO-ENG")))))</f>
        <v/>
      </c>
      <c r="M513" s="31">
        <f>IF($A513="","",MAX($H513,$I513,$J513,$K513))</f>
        <v/>
      </c>
      <c r="O513" s="31">
        <f>IF($A513="","",MAX(0,$M513-IF($N513="TBO-001",$H513,IF($N513="TBO-002",$I513,IF($N513="TBO-004",$J513,IF($N513="TBO-ENG",$K513,0))))))</f>
        <v/>
      </c>
    </row>
    <row r="514">
      <c r="H514" s="31">
        <f>IF($A514="","",IF($D514="Evet",ROUND($C514*tbo_oranBesPuan,2),0))</f>
        <v/>
      </c>
      <c r="I514" s="31">
        <f>IF($A514="","",IF($E514="Evet",ROUND($C514*tbo_oranIlave,2),0))</f>
        <v/>
      </c>
      <c r="J514" s="31">
        <f>IF($A514="","",IF($F514="Evet",ROUND($C514*tbo_oranKadinGenc,2),0))</f>
        <v/>
      </c>
      <c r="K514" s="31">
        <f>IF($A514="","",IF($G514="Evet",ROUND($C514*tbo_isverenOran,2),0))</f>
        <v/>
      </c>
      <c r="L514" s="31">
        <f>IF($A514="","",IF($M514=0,"YOK",IF($I514=$M514,"TBO-002",IF($H514=$M514,"TBO-001",IF($J514=$M514,"TBO-004","TBO-ENG")))))</f>
        <v/>
      </c>
      <c r="M514" s="31">
        <f>IF($A514="","",MAX($H514,$I514,$J514,$K514))</f>
        <v/>
      </c>
      <c r="O514" s="31">
        <f>IF($A514="","",MAX(0,$M514-IF($N514="TBO-001",$H514,IF($N514="TBO-002",$I514,IF($N514="TBO-004",$J514,IF($N514="TBO-ENG",$K514,0))))))</f>
        <v/>
      </c>
    </row>
    <row r="515">
      <c r="H515" s="31">
        <f>IF($A515="","",IF($D515="Evet",ROUND($C515*tbo_oranBesPuan,2),0))</f>
        <v/>
      </c>
      <c r="I515" s="31">
        <f>IF($A515="","",IF($E515="Evet",ROUND($C515*tbo_oranIlave,2),0))</f>
        <v/>
      </c>
      <c r="J515" s="31">
        <f>IF($A515="","",IF($F515="Evet",ROUND($C515*tbo_oranKadinGenc,2),0))</f>
        <v/>
      </c>
      <c r="K515" s="31">
        <f>IF($A515="","",IF($G515="Evet",ROUND($C515*tbo_isverenOran,2),0))</f>
        <v/>
      </c>
      <c r="L515" s="31">
        <f>IF($A515="","",IF($M515=0,"YOK",IF($I515=$M515,"TBO-002",IF($H515=$M515,"TBO-001",IF($J515=$M515,"TBO-004","TBO-ENG")))))</f>
        <v/>
      </c>
      <c r="M515" s="31">
        <f>IF($A515="","",MAX($H515,$I515,$J515,$K515))</f>
        <v/>
      </c>
      <c r="O515" s="31">
        <f>IF($A515="","",MAX(0,$M515-IF($N515="TBO-001",$H515,IF($N515="TBO-002",$I515,IF($N515="TBO-004",$J515,IF($N515="TBO-ENG",$K515,0))))))</f>
        <v/>
      </c>
    </row>
    <row r="516">
      <c r="H516" s="31">
        <f>IF($A516="","",IF($D516="Evet",ROUND($C516*tbo_oranBesPuan,2),0))</f>
        <v/>
      </c>
      <c r="I516" s="31">
        <f>IF($A516="","",IF($E516="Evet",ROUND($C516*tbo_oranIlave,2),0))</f>
        <v/>
      </c>
      <c r="J516" s="31">
        <f>IF($A516="","",IF($F516="Evet",ROUND($C516*tbo_oranKadinGenc,2),0))</f>
        <v/>
      </c>
      <c r="K516" s="31">
        <f>IF($A516="","",IF($G516="Evet",ROUND($C516*tbo_isverenOran,2),0))</f>
        <v/>
      </c>
      <c r="L516" s="31">
        <f>IF($A516="","",IF($M516=0,"YOK",IF($I516=$M516,"TBO-002",IF($H516=$M516,"TBO-001",IF($J516=$M516,"TBO-004","TBO-ENG")))))</f>
        <v/>
      </c>
      <c r="M516" s="31">
        <f>IF($A516="","",MAX($H516,$I516,$J516,$K516))</f>
        <v/>
      </c>
      <c r="O516" s="31">
        <f>IF($A516="","",MAX(0,$M516-IF($N516="TBO-001",$H516,IF($N516="TBO-002",$I516,IF($N516="TBO-004",$J516,IF($N516="TBO-ENG",$K516,0))))))</f>
        <v/>
      </c>
    </row>
    <row r="517">
      <c r="H517" s="31">
        <f>IF($A517="","",IF($D517="Evet",ROUND($C517*tbo_oranBesPuan,2),0))</f>
        <v/>
      </c>
      <c r="I517" s="31">
        <f>IF($A517="","",IF($E517="Evet",ROUND($C517*tbo_oranIlave,2),0))</f>
        <v/>
      </c>
      <c r="J517" s="31">
        <f>IF($A517="","",IF($F517="Evet",ROUND($C517*tbo_oranKadinGenc,2),0))</f>
        <v/>
      </c>
      <c r="K517" s="31">
        <f>IF($A517="","",IF($G517="Evet",ROUND($C517*tbo_isverenOran,2),0))</f>
        <v/>
      </c>
      <c r="L517" s="31">
        <f>IF($A517="","",IF($M517=0,"YOK",IF($I517=$M517,"TBO-002",IF($H517=$M517,"TBO-001",IF($J517=$M517,"TBO-004","TBO-ENG")))))</f>
        <v/>
      </c>
      <c r="M517" s="31">
        <f>IF($A517="","",MAX($H517,$I517,$J517,$K517))</f>
        <v/>
      </c>
      <c r="O517" s="31">
        <f>IF($A517="","",MAX(0,$M517-IF($N517="TBO-001",$H517,IF($N517="TBO-002",$I517,IF($N517="TBO-004",$J517,IF($N517="TBO-ENG",$K517,0))))))</f>
        <v/>
      </c>
    </row>
    <row r="518">
      <c r="H518" s="31">
        <f>IF($A518="","",IF($D518="Evet",ROUND($C518*tbo_oranBesPuan,2),0))</f>
        <v/>
      </c>
      <c r="I518" s="31">
        <f>IF($A518="","",IF($E518="Evet",ROUND($C518*tbo_oranIlave,2),0))</f>
        <v/>
      </c>
      <c r="J518" s="31">
        <f>IF($A518="","",IF($F518="Evet",ROUND($C518*tbo_oranKadinGenc,2),0))</f>
        <v/>
      </c>
      <c r="K518" s="31">
        <f>IF($A518="","",IF($G518="Evet",ROUND($C518*tbo_isverenOran,2),0))</f>
        <v/>
      </c>
      <c r="L518" s="31">
        <f>IF($A518="","",IF($M518=0,"YOK",IF($I518=$M518,"TBO-002",IF($H518=$M518,"TBO-001",IF($J518=$M518,"TBO-004","TBO-ENG")))))</f>
        <v/>
      </c>
      <c r="M518" s="31">
        <f>IF($A518="","",MAX($H518,$I518,$J518,$K518))</f>
        <v/>
      </c>
      <c r="O518" s="31">
        <f>IF($A518="","",MAX(0,$M518-IF($N518="TBO-001",$H518,IF($N518="TBO-002",$I518,IF($N518="TBO-004",$J518,IF($N518="TBO-ENG",$K518,0))))))</f>
        <v/>
      </c>
    </row>
    <row r="519">
      <c r="H519" s="31">
        <f>IF($A519="","",IF($D519="Evet",ROUND($C519*tbo_oranBesPuan,2),0))</f>
        <v/>
      </c>
      <c r="I519" s="31">
        <f>IF($A519="","",IF($E519="Evet",ROUND($C519*tbo_oranIlave,2),0))</f>
        <v/>
      </c>
      <c r="J519" s="31">
        <f>IF($A519="","",IF($F519="Evet",ROUND($C519*tbo_oranKadinGenc,2),0))</f>
        <v/>
      </c>
      <c r="K519" s="31">
        <f>IF($A519="","",IF($G519="Evet",ROUND($C519*tbo_isverenOran,2),0))</f>
        <v/>
      </c>
      <c r="L519" s="31">
        <f>IF($A519="","",IF($M519=0,"YOK",IF($I519=$M519,"TBO-002",IF($H519=$M519,"TBO-001",IF($J519=$M519,"TBO-004","TBO-ENG")))))</f>
        <v/>
      </c>
      <c r="M519" s="31">
        <f>IF($A519="","",MAX($H519,$I519,$J519,$K519))</f>
        <v/>
      </c>
      <c r="O519" s="31">
        <f>IF($A519="","",MAX(0,$M519-IF($N519="TBO-001",$H519,IF($N519="TBO-002",$I519,IF($N519="TBO-004",$J519,IF($N519="TBO-ENG",$K519,0))))))</f>
        <v/>
      </c>
    </row>
    <row r="520">
      <c r="H520" s="31">
        <f>IF($A520="","",IF($D520="Evet",ROUND($C520*tbo_oranBesPuan,2),0))</f>
        <v/>
      </c>
      <c r="I520" s="31">
        <f>IF($A520="","",IF($E520="Evet",ROUND($C520*tbo_oranIlave,2),0))</f>
        <v/>
      </c>
      <c r="J520" s="31">
        <f>IF($A520="","",IF($F520="Evet",ROUND($C520*tbo_oranKadinGenc,2),0))</f>
        <v/>
      </c>
      <c r="K520" s="31">
        <f>IF($A520="","",IF($G520="Evet",ROUND($C520*tbo_isverenOran,2),0))</f>
        <v/>
      </c>
      <c r="L520" s="31">
        <f>IF($A520="","",IF($M520=0,"YOK",IF($I520=$M520,"TBO-002",IF($H520=$M520,"TBO-001",IF($J520=$M520,"TBO-004","TBO-ENG")))))</f>
        <v/>
      </c>
      <c r="M520" s="31">
        <f>IF($A520="","",MAX($H520,$I520,$J520,$K520))</f>
        <v/>
      </c>
      <c r="O520" s="31">
        <f>IF($A520="","",MAX(0,$M520-IF($N520="TBO-001",$H520,IF($N520="TBO-002",$I520,IF($N520="TBO-004",$J520,IF($N520="TBO-ENG",$K520,0))))))</f>
        <v/>
      </c>
    </row>
    <row r="521">
      <c r="H521" s="31">
        <f>IF($A521="","",IF($D521="Evet",ROUND($C521*tbo_oranBesPuan,2),0))</f>
        <v/>
      </c>
      <c r="I521" s="31">
        <f>IF($A521="","",IF($E521="Evet",ROUND($C521*tbo_oranIlave,2),0))</f>
        <v/>
      </c>
      <c r="J521" s="31">
        <f>IF($A521="","",IF($F521="Evet",ROUND($C521*tbo_oranKadinGenc,2),0))</f>
        <v/>
      </c>
      <c r="K521" s="31">
        <f>IF($A521="","",IF($G521="Evet",ROUND($C521*tbo_isverenOran,2),0))</f>
        <v/>
      </c>
      <c r="L521" s="31">
        <f>IF($A521="","",IF($M521=0,"YOK",IF($I521=$M521,"TBO-002",IF($H521=$M521,"TBO-001",IF($J521=$M521,"TBO-004","TBO-ENG")))))</f>
        <v/>
      </c>
      <c r="M521" s="31">
        <f>IF($A521="","",MAX($H521,$I521,$J521,$K521))</f>
        <v/>
      </c>
      <c r="O521" s="31">
        <f>IF($A521="","",MAX(0,$M521-IF($N521="TBO-001",$H521,IF($N521="TBO-002",$I521,IF($N521="TBO-004",$J521,IF($N521="TBO-ENG",$K521,0))))))</f>
        <v/>
      </c>
    </row>
    <row r="522">
      <c r="H522" s="31">
        <f>IF($A522="","",IF($D522="Evet",ROUND($C522*tbo_oranBesPuan,2),0))</f>
        <v/>
      </c>
      <c r="I522" s="31">
        <f>IF($A522="","",IF($E522="Evet",ROUND($C522*tbo_oranIlave,2),0))</f>
        <v/>
      </c>
      <c r="J522" s="31">
        <f>IF($A522="","",IF($F522="Evet",ROUND($C522*tbo_oranKadinGenc,2),0))</f>
        <v/>
      </c>
      <c r="K522" s="31">
        <f>IF($A522="","",IF($G522="Evet",ROUND($C522*tbo_isverenOran,2),0))</f>
        <v/>
      </c>
      <c r="L522" s="31">
        <f>IF($A522="","",IF($M522=0,"YOK",IF($I522=$M522,"TBO-002",IF($H522=$M522,"TBO-001",IF($J522=$M522,"TBO-004","TBO-ENG")))))</f>
        <v/>
      </c>
      <c r="M522" s="31">
        <f>IF($A522="","",MAX($H522,$I522,$J522,$K522))</f>
        <v/>
      </c>
      <c r="O522" s="31">
        <f>IF($A522="","",MAX(0,$M522-IF($N522="TBO-001",$H522,IF($N522="TBO-002",$I522,IF($N522="TBO-004",$J522,IF($N522="TBO-ENG",$K522,0))))))</f>
        <v/>
      </c>
    </row>
    <row r="523">
      <c r="H523" s="31">
        <f>IF($A523="","",IF($D523="Evet",ROUND($C523*tbo_oranBesPuan,2),0))</f>
        <v/>
      </c>
      <c r="I523" s="31">
        <f>IF($A523="","",IF($E523="Evet",ROUND($C523*tbo_oranIlave,2),0))</f>
        <v/>
      </c>
      <c r="J523" s="31">
        <f>IF($A523="","",IF($F523="Evet",ROUND($C523*tbo_oranKadinGenc,2),0))</f>
        <v/>
      </c>
      <c r="K523" s="31">
        <f>IF($A523="","",IF($G523="Evet",ROUND($C523*tbo_isverenOran,2),0))</f>
        <v/>
      </c>
      <c r="L523" s="31">
        <f>IF($A523="","",IF($M523=0,"YOK",IF($I523=$M523,"TBO-002",IF($H523=$M523,"TBO-001",IF($J523=$M523,"TBO-004","TBO-ENG")))))</f>
        <v/>
      </c>
      <c r="M523" s="31">
        <f>IF($A523="","",MAX($H523,$I523,$J523,$K523))</f>
        <v/>
      </c>
      <c r="O523" s="31">
        <f>IF($A523="","",MAX(0,$M523-IF($N523="TBO-001",$H523,IF($N523="TBO-002",$I523,IF($N523="TBO-004",$J523,IF($N523="TBO-ENG",$K523,0))))))</f>
        <v/>
      </c>
    </row>
    <row r="524">
      <c r="H524" s="31">
        <f>IF($A524="","",IF($D524="Evet",ROUND($C524*tbo_oranBesPuan,2),0))</f>
        <v/>
      </c>
      <c r="I524" s="31">
        <f>IF($A524="","",IF($E524="Evet",ROUND($C524*tbo_oranIlave,2),0))</f>
        <v/>
      </c>
      <c r="J524" s="31">
        <f>IF($A524="","",IF($F524="Evet",ROUND($C524*tbo_oranKadinGenc,2),0))</f>
        <v/>
      </c>
      <c r="K524" s="31">
        <f>IF($A524="","",IF($G524="Evet",ROUND($C524*tbo_isverenOran,2),0))</f>
        <v/>
      </c>
      <c r="L524" s="31">
        <f>IF($A524="","",IF($M524=0,"YOK",IF($I524=$M524,"TBO-002",IF($H524=$M524,"TBO-001",IF($J524=$M524,"TBO-004","TBO-ENG")))))</f>
        <v/>
      </c>
      <c r="M524" s="31">
        <f>IF($A524="","",MAX($H524,$I524,$J524,$K524))</f>
        <v/>
      </c>
      <c r="O524" s="31">
        <f>IF($A524="","",MAX(0,$M524-IF($N524="TBO-001",$H524,IF($N524="TBO-002",$I524,IF($N524="TBO-004",$J524,IF($N524="TBO-ENG",$K524,0))))))</f>
        <v/>
      </c>
    </row>
    <row r="525">
      <c r="H525" s="31">
        <f>IF($A525="","",IF($D525="Evet",ROUND($C525*tbo_oranBesPuan,2),0))</f>
        <v/>
      </c>
      <c r="I525" s="31">
        <f>IF($A525="","",IF($E525="Evet",ROUND($C525*tbo_oranIlave,2),0))</f>
        <v/>
      </c>
      <c r="J525" s="31">
        <f>IF($A525="","",IF($F525="Evet",ROUND($C525*tbo_oranKadinGenc,2),0))</f>
        <v/>
      </c>
      <c r="K525" s="31">
        <f>IF($A525="","",IF($G525="Evet",ROUND($C525*tbo_isverenOran,2),0))</f>
        <v/>
      </c>
      <c r="L525" s="31">
        <f>IF($A525="","",IF($M525=0,"YOK",IF($I525=$M525,"TBO-002",IF($H525=$M525,"TBO-001",IF($J525=$M525,"TBO-004","TBO-ENG")))))</f>
        <v/>
      </c>
      <c r="M525" s="31">
        <f>IF($A525="","",MAX($H525,$I525,$J525,$K525))</f>
        <v/>
      </c>
      <c r="O525" s="31">
        <f>IF($A525="","",MAX(0,$M525-IF($N525="TBO-001",$H525,IF($N525="TBO-002",$I525,IF($N525="TBO-004",$J525,IF($N525="TBO-ENG",$K525,0))))))</f>
        <v/>
      </c>
    </row>
    <row r="526">
      <c r="H526" s="31">
        <f>IF($A526="","",IF($D526="Evet",ROUND($C526*tbo_oranBesPuan,2),0))</f>
        <v/>
      </c>
      <c r="I526" s="31">
        <f>IF($A526="","",IF($E526="Evet",ROUND($C526*tbo_oranIlave,2),0))</f>
        <v/>
      </c>
      <c r="J526" s="31">
        <f>IF($A526="","",IF($F526="Evet",ROUND($C526*tbo_oranKadinGenc,2),0))</f>
        <v/>
      </c>
      <c r="K526" s="31">
        <f>IF($A526="","",IF($G526="Evet",ROUND($C526*tbo_isverenOran,2),0))</f>
        <v/>
      </c>
      <c r="L526" s="31">
        <f>IF($A526="","",IF($M526=0,"YOK",IF($I526=$M526,"TBO-002",IF($H526=$M526,"TBO-001",IF($J526=$M526,"TBO-004","TBO-ENG")))))</f>
        <v/>
      </c>
      <c r="M526" s="31">
        <f>IF($A526="","",MAX($H526,$I526,$J526,$K526))</f>
        <v/>
      </c>
      <c r="O526" s="31">
        <f>IF($A526="","",MAX(0,$M526-IF($N526="TBO-001",$H526,IF($N526="TBO-002",$I526,IF($N526="TBO-004",$J526,IF($N526="TBO-ENG",$K526,0))))))</f>
        <v/>
      </c>
    </row>
    <row r="527">
      <c r="H527" s="31">
        <f>IF($A527="","",IF($D527="Evet",ROUND($C527*tbo_oranBesPuan,2),0))</f>
        <v/>
      </c>
      <c r="I527" s="31">
        <f>IF($A527="","",IF($E527="Evet",ROUND($C527*tbo_oranIlave,2),0))</f>
        <v/>
      </c>
      <c r="J527" s="31">
        <f>IF($A527="","",IF($F527="Evet",ROUND($C527*tbo_oranKadinGenc,2),0))</f>
        <v/>
      </c>
      <c r="K527" s="31">
        <f>IF($A527="","",IF($G527="Evet",ROUND($C527*tbo_isverenOran,2),0))</f>
        <v/>
      </c>
      <c r="L527" s="31">
        <f>IF($A527="","",IF($M527=0,"YOK",IF($I527=$M527,"TBO-002",IF($H527=$M527,"TBO-001",IF($J527=$M527,"TBO-004","TBO-ENG")))))</f>
        <v/>
      </c>
      <c r="M527" s="31">
        <f>IF($A527="","",MAX($H527,$I527,$J527,$K527))</f>
        <v/>
      </c>
      <c r="O527" s="31">
        <f>IF($A527="","",MAX(0,$M527-IF($N527="TBO-001",$H527,IF($N527="TBO-002",$I527,IF($N527="TBO-004",$J527,IF($N527="TBO-ENG",$K527,0))))))</f>
        <v/>
      </c>
    </row>
    <row r="528">
      <c r="H528" s="31">
        <f>IF($A528="","",IF($D528="Evet",ROUND($C528*tbo_oranBesPuan,2),0))</f>
        <v/>
      </c>
      <c r="I528" s="31">
        <f>IF($A528="","",IF($E528="Evet",ROUND($C528*tbo_oranIlave,2),0))</f>
        <v/>
      </c>
      <c r="J528" s="31">
        <f>IF($A528="","",IF($F528="Evet",ROUND($C528*tbo_oranKadinGenc,2),0))</f>
        <v/>
      </c>
      <c r="K528" s="31">
        <f>IF($A528="","",IF($G528="Evet",ROUND($C528*tbo_isverenOran,2),0))</f>
        <v/>
      </c>
      <c r="L528" s="31">
        <f>IF($A528="","",IF($M528=0,"YOK",IF($I528=$M528,"TBO-002",IF($H528=$M528,"TBO-001",IF($J528=$M528,"TBO-004","TBO-ENG")))))</f>
        <v/>
      </c>
      <c r="M528" s="31">
        <f>IF($A528="","",MAX($H528,$I528,$J528,$K528))</f>
        <v/>
      </c>
      <c r="O528" s="31">
        <f>IF($A528="","",MAX(0,$M528-IF($N528="TBO-001",$H528,IF($N528="TBO-002",$I528,IF($N528="TBO-004",$J528,IF($N528="TBO-ENG",$K528,0))))))</f>
        <v/>
      </c>
    </row>
    <row r="529">
      <c r="H529" s="31">
        <f>IF($A529="","",IF($D529="Evet",ROUND($C529*tbo_oranBesPuan,2),0))</f>
        <v/>
      </c>
      <c r="I529" s="31">
        <f>IF($A529="","",IF($E529="Evet",ROUND($C529*tbo_oranIlave,2),0))</f>
        <v/>
      </c>
      <c r="J529" s="31">
        <f>IF($A529="","",IF($F529="Evet",ROUND($C529*tbo_oranKadinGenc,2),0))</f>
        <v/>
      </c>
      <c r="K529" s="31">
        <f>IF($A529="","",IF($G529="Evet",ROUND($C529*tbo_isverenOran,2),0))</f>
        <v/>
      </c>
      <c r="L529" s="31">
        <f>IF($A529="","",IF($M529=0,"YOK",IF($I529=$M529,"TBO-002",IF($H529=$M529,"TBO-001",IF($J529=$M529,"TBO-004","TBO-ENG")))))</f>
        <v/>
      </c>
      <c r="M529" s="31">
        <f>IF($A529="","",MAX($H529,$I529,$J529,$K529))</f>
        <v/>
      </c>
      <c r="O529" s="31">
        <f>IF($A529="","",MAX(0,$M529-IF($N529="TBO-001",$H529,IF($N529="TBO-002",$I529,IF($N529="TBO-004",$J529,IF($N529="TBO-ENG",$K529,0))))))</f>
        <v/>
      </c>
    </row>
    <row r="530">
      <c r="H530" s="31">
        <f>IF($A530="","",IF($D530="Evet",ROUND($C530*tbo_oranBesPuan,2),0))</f>
        <v/>
      </c>
      <c r="I530" s="31">
        <f>IF($A530="","",IF($E530="Evet",ROUND($C530*tbo_oranIlave,2),0))</f>
        <v/>
      </c>
      <c r="J530" s="31">
        <f>IF($A530="","",IF($F530="Evet",ROUND($C530*tbo_oranKadinGenc,2),0))</f>
        <v/>
      </c>
      <c r="K530" s="31">
        <f>IF($A530="","",IF($G530="Evet",ROUND($C530*tbo_isverenOran,2),0))</f>
        <v/>
      </c>
      <c r="L530" s="31">
        <f>IF($A530="","",IF($M530=0,"YOK",IF($I530=$M530,"TBO-002",IF($H530=$M530,"TBO-001",IF($J530=$M530,"TBO-004","TBO-ENG")))))</f>
        <v/>
      </c>
      <c r="M530" s="31">
        <f>IF($A530="","",MAX($H530,$I530,$J530,$K530))</f>
        <v/>
      </c>
      <c r="O530" s="31">
        <f>IF($A530="","",MAX(0,$M530-IF($N530="TBO-001",$H530,IF($N530="TBO-002",$I530,IF($N530="TBO-004",$J530,IF($N530="TBO-ENG",$K530,0))))))</f>
        <v/>
      </c>
    </row>
    <row r="531">
      <c r="H531" s="31">
        <f>IF($A531="","",IF($D531="Evet",ROUND($C531*tbo_oranBesPuan,2),0))</f>
        <v/>
      </c>
      <c r="I531" s="31">
        <f>IF($A531="","",IF($E531="Evet",ROUND($C531*tbo_oranIlave,2),0))</f>
        <v/>
      </c>
      <c r="J531" s="31">
        <f>IF($A531="","",IF($F531="Evet",ROUND($C531*tbo_oranKadinGenc,2),0))</f>
        <v/>
      </c>
      <c r="K531" s="31">
        <f>IF($A531="","",IF($G531="Evet",ROUND($C531*tbo_isverenOran,2),0))</f>
        <v/>
      </c>
      <c r="L531" s="31">
        <f>IF($A531="","",IF($M531=0,"YOK",IF($I531=$M531,"TBO-002",IF($H531=$M531,"TBO-001",IF($J531=$M531,"TBO-004","TBO-ENG")))))</f>
        <v/>
      </c>
      <c r="M531" s="31">
        <f>IF($A531="","",MAX($H531,$I531,$J531,$K531))</f>
        <v/>
      </c>
      <c r="O531" s="31">
        <f>IF($A531="","",MAX(0,$M531-IF($N531="TBO-001",$H531,IF($N531="TBO-002",$I531,IF($N531="TBO-004",$J531,IF($N531="TBO-ENG",$K531,0))))))</f>
        <v/>
      </c>
    </row>
    <row r="532">
      <c r="H532" s="31">
        <f>IF($A532="","",IF($D532="Evet",ROUND($C532*tbo_oranBesPuan,2),0))</f>
        <v/>
      </c>
      <c r="I532" s="31">
        <f>IF($A532="","",IF($E532="Evet",ROUND($C532*tbo_oranIlave,2),0))</f>
        <v/>
      </c>
      <c r="J532" s="31">
        <f>IF($A532="","",IF($F532="Evet",ROUND($C532*tbo_oranKadinGenc,2),0))</f>
        <v/>
      </c>
      <c r="K532" s="31">
        <f>IF($A532="","",IF($G532="Evet",ROUND($C532*tbo_isverenOran,2),0))</f>
        <v/>
      </c>
      <c r="L532" s="31">
        <f>IF($A532="","",IF($M532=0,"YOK",IF($I532=$M532,"TBO-002",IF($H532=$M532,"TBO-001",IF($J532=$M532,"TBO-004","TBO-ENG")))))</f>
        <v/>
      </c>
      <c r="M532" s="31">
        <f>IF($A532="","",MAX($H532,$I532,$J532,$K532))</f>
        <v/>
      </c>
      <c r="O532" s="31">
        <f>IF($A532="","",MAX(0,$M532-IF($N532="TBO-001",$H532,IF($N532="TBO-002",$I532,IF($N532="TBO-004",$J532,IF($N532="TBO-ENG",$K532,0))))))</f>
        <v/>
      </c>
    </row>
    <row r="533">
      <c r="H533" s="31">
        <f>IF($A533="","",IF($D533="Evet",ROUND($C533*tbo_oranBesPuan,2),0))</f>
        <v/>
      </c>
      <c r="I533" s="31">
        <f>IF($A533="","",IF($E533="Evet",ROUND($C533*tbo_oranIlave,2),0))</f>
        <v/>
      </c>
      <c r="J533" s="31">
        <f>IF($A533="","",IF($F533="Evet",ROUND($C533*tbo_oranKadinGenc,2),0))</f>
        <v/>
      </c>
      <c r="K533" s="31">
        <f>IF($A533="","",IF($G533="Evet",ROUND($C533*tbo_isverenOran,2),0))</f>
        <v/>
      </c>
      <c r="L533" s="31">
        <f>IF($A533="","",IF($M533=0,"YOK",IF($I533=$M533,"TBO-002",IF($H533=$M533,"TBO-001",IF($J533=$M533,"TBO-004","TBO-ENG")))))</f>
        <v/>
      </c>
      <c r="M533" s="31">
        <f>IF($A533="","",MAX($H533,$I533,$J533,$K533))</f>
        <v/>
      </c>
      <c r="O533" s="31">
        <f>IF($A533="","",MAX(0,$M533-IF($N533="TBO-001",$H533,IF($N533="TBO-002",$I533,IF($N533="TBO-004",$J533,IF($N533="TBO-ENG",$K533,0))))))</f>
        <v/>
      </c>
    </row>
    <row r="534">
      <c r="H534" s="31">
        <f>IF($A534="","",IF($D534="Evet",ROUND($C534*tbo_oranBesPuan,2),0))</f>
        <v/>
      </c>
      <c r="I534" s="31">
        <f>IF($A534="","",IF($E534="Evet",ROUND($C534*tbo_oranIlave,2),0))</f>
        <v/>
      </c>
      <c r="J534" s="31">
        <f>IF($A534="","",IF($F534="Evet",ROUND($C534*tbo_oranKadinGenc,2),0))</f>
        <v/>
      </c>
      <c r="K534" s="31">
        <f>IF($A534="","",IF($G534="Evet",ROUND($C534*tbo_isverenOran,2),0))</f>
        <v/>
      </c>
      <c r="L534" s="31">
        <f>IF($A534="","",IF($M534=0,"YOK",IF($I534=$M534,"TBO-002",IF($H534=$M534,"TBO-001",IF($J534=$M534,"TBO-004","TBO-ENG")))))</f>
        <v/>
      </c>
      <c r="M534" s="31">
        <f>IF($A534="","",MAX($H534,$I534,$J534,$K534))</f>
        <v/>
      </c>
      <c r="O534" s="31">
        <f>IF($A534="","",MAX(0,$M534-IF($N534="TBO-001",$H534,IF($N534="TBO-002",$I534,IF($N534="TBO-004",$J534,IF($N534="TBO-ENG",$K534,0))))))</f>
        <v/>
      </c>
    </row>
    <row r="535">
      <c r="H535" s="31">
        <f>IF($A535="","",IF($D535="Evet",ROUND($C535*tbo_oranBesPuan,2),0))</f>
        <v/>
      </c>
      <c r="I535" s="31">
        <f>IF($A535="","",IF($E535="Evet",ROUND($C535*tbo_oranIlave,2),0))</f>
        <v/>
      </c>
      <c r="J535" s="31">
        <f>IF($A535="","",IF($F535="Evet",ROUND($C535*tbo_oranKadinGenc,2),0))</f>
        <v/>
      </c>
      <c r="K535" s="31">
        <f>IF($A535="","",IF($G535="Evet",ROUND($C535*tbo_isverenOran,2),0))</f>
        <v/>
      </c>
      <c r="L535" s="31">
        <f>IF($A535="","",IF($M535=0,"YOK",IF($I535=$M535,"TBO-002",IF($H535=$M535,"TBO-001",IF($J535=$M535,"TBO-004","TBO-ENG")))))</f>
        <v/>
      </c>
      <c r="M535" s="31">
        <f>IF($A535="","",MAX($H535,$I535,$J535,$K535))</f>
        <v/>
      </c>
      <c r="O535" s="31">
        <f>IF($A535="","",MAX(0,$M535-IF($N535="TBO-001",$H535,IF($N535="TBO-002",$I535,IF($N535="TBO-004",$J535,IF($N535="TBO-ENG",$K535,0))))))</f>
        <v/>
      </c>
    </row>
    <row r="536">
      <c r="H536" s="31">
        <f>IF($A536="","",IF($D536="Evet",ROUND($C536*tbo_oranBesPuan,2),0))</f>
        <v/>
      </c>
      <c r="I536" s="31">
        <f>IF($A536="","",IF($E536="Evet",ROUND($C536*tbo_oranIlave,2),0))</f>
        <v/>
      </c>
      <c r="J536" s="31">
        <f>IF($A536="","",IF($F536="Evet",ROUND($C536*tbo_oranKadinGenc,2),0))</f>
        <v/>
      </c>
      <c r="K536" s="31">
        <f>IF($A536="","",IF($G536="Evet",ROUND($C536*tbo_isverenOran,2),0))</f>
        <v/>
      </c>
      <c r="L536" s="31">
        <f>IF($A536="","",IF($M536=0,"YOK",IF($I536=$M536,"TBO-002",IF($H536=$M536,"TBO-001",IF($J536=$M536,"TBO-004","TBO-ENG")))))</f>
        <v/>
      </c>
      <c r="M536" s="31">
        <f>IF($A536="","",MAX($H536,$I536,$J536,$K536))</f>
        <v/>
      </c>
      <c r="O536" s="31">
        <f>IF($A536="","",MAX(0,$M536-IF($N536="TBO-001",$H536,IF($N536="TBO-002",$I536,IF($N536="TBO-004",$J536,IF($N536="TBO-ENG",$K536,0))))))</f>
        <v/>
      </c>
    </row>
    <row r="537">
      <c r="H537" s="31">
        <f>IF($A537="","",IF($D537="Evet",ROUND($C537*tbo_oranBesPuan,2),0))</f>
        <v/>
      </c>
      <c r="I537" s="31">
        <f>IF($A537="","",IF($E537="Evet",ROUND($C537*tbo_oranIlave,2),0))</f>
        <v/>
      </c>
      <c r="J537" s="31">
        <f>IF($A537="","",IF($F537="Evet",ROUND($C537*tbo_oranKadinGenc,2),0))</f>
        <v/>
      </c>
      <c r="K537" s="31">
        <f>IF($A537="","",IF($G537="Evet",ROUND($C537*tbo_isverenOran,2),0))</f>
        <v/>
      </c>
      <c r="L537" s="31">
        <f>IF($A537="","",IF($M537=0,"YOK",IF($I537=$M537,"TBO-002",IF($H537=$M537,"TBO-001",IF($J537=$M537,"TBO-004","TBO-ENG")))))</f>
        <v/>
      </c>
      <c r="M537" s="31">
        <f>IF($A537="","",MAX($H537,$I537,$J537,$K537))</f>
        <v/>
      </c>
      <c r="O537" s="31">
        <f>IF($A537="","",MAX(0,$M537-IF($N537="TBO-001",$H537,IF($N537="TBO-002",$I537,IF($N537="TBO-004",$J537,IF($N537="TBO-ENG",$K537,0))))))</f>
        <v/>
      </c>
    </row>
    <row r="538">
      <c r="H538" s="31">
        <f>IF($A538="","",IF($D538="Evet",ROUND($C538*tbo_oranBesPuan,2),0))</f>
        <v/>
      </c>
      <c r="I538" s="31">
        <f>IF($A538="","",IF($E538="Evet",ROUND($C538*tbo_oranIlave,2),0))</f>
        <v/>
      </c>
      <c r="J538" s="31">
        <f>IF($A538="","",IF($F538="Evet",ROUND($C538*tbo_oranKadinGenc,2),0))</f>
        <v/>
      </c>
      <c r="K538" s="31">
        <f>IF($A538="","",IF($G538="Evet",ROUND($C538*tbo_isverenOran,2),0))</f>
        <v/>
      </c>
      <c r="L538" s="31">
        <f>IF($A538="","",IF($M538=0,"YOK",IF($I538=$M538,"TBO-002",IF($H538=$M538,"TBO-001",IF($J538=$M538,"TBO-004","TBO-ENG")))))</f>
        <v/>
      </c>
      <c r="M538" s="31">
        <f>IF($A538="","",MAX($H538,$I538,$J538,$K538))</f>
        <v/>
      </c>
      <c r="O538" s="31">
        <f>IF($A538="","",MAX(0,$M538-IF($N538="TBO-001",$H538,IF($N538="TBO-002",$I538,IF($N538="TBO-004",$J538,IF($N538="TBO-ENG",$K538,0))))))</f>
        <v/>
      </c>
    </row>
    <row r="539">
      <c r="H539" s="31">
        <f>IF($A539="","",IF($D539="Evet",ROUND($C539*tbo_oranBesPuan,2),0))</f>
        <v/>
      </c>
      <c r="I539" s="31">
        <f>IF($A539="","",IF($E539="Evet",ROUND($C539*tbo_oranIlave,2),0))</f>
        <v/>
      </c>
      <c r="J539" s="31">
        <f>IF($A539="","",IF($F539="Evet",ROUND($C539*tbo_oranKadinGenc,2),0))</f>
        <v/>
      </c>
      <c r="K539" s="31">
        <f>IF($A539="","",IF($G539="Evet",ROUND($C539*tbo_isverenOran,2),0))</f>
        <v/>
      </c>
      <c r="L539" s="31">
        <f>IF($A539="","",IF($M539=0,"YOK",IF($I539=$M539,"TBO-002",IF($H539=$M539,"TBO-001",IF($J539=$M539,"TBO-004","TBO-ENG")))))</f>
        <v/>
      </c>
      <c r="M539" s="31">
        <f>IF($A539="","",MAX($H539,$I539,$J539,$K539))</f>
        <v/>
      </c>
      <c r="O539" s="31">
        <f>IF($A539="","",MAX(0,$M539-IF($N539="TBO-001",$H539,IF($N539="TBO-002",$I539,IF($N539="TBO-004",$J539,IF($N539="TBO-ENG",$K539,0))))))</f>
        <v/>
      </c>
    </row>
    <row r="540">
      <c r="H540" s="31">
        <f>IF($A540="","",IF($D540="Evet",ROUND($C540*tbo_oranBesPuan,2),0))</f>
        <v/>
      </c>
      <c r="I540" s="31">
        <f>IF($A540="","",IF($E540="Evet",ROUND($C540*tbo_oranIlave,2),0))</f>
        <v/>
      </c>
      <c r="J540" s="31">
        <f>IF($A540="","",IF($F540="Evet",ROUND($C540*tbo_oranKadinGenc,2),0))</f>
        <v/>
      </c>
      <c r="K540" s="31">
        <f>IF($A540="","",IF($G540="Evet",ROUND($C540*tbo_isverenOran,2),0))</f>
        <v/>
      </c>
      <c r="L540" s="31">
        <f>IF($A540="","",IF($M540=0,"YOK",IF($I540=$M540,"TBO-002",IF($H540=$M540,"TBO-001",IF($J540=$M540,"TBO-004","TBO-ENG")))))</f>
        <v/>
      </c>
      <c r="M540" s="31">
        <f>IF($A540="","",MAX($H540,$I540,$J540,$K540))</f>
        <v/>
      </c>
      <c r="O540" s="31">
        <f>IF($A540="","",MAX(0,$M540-IF($N540="TBO-001",$H540,IF($N540="TBO-002",$I540,IF($N540="TBO-004",$J540,IF($N540="TBO-ENG",$K540,0))))))</f>
        <v/>
      </c>
    </row>
    <row r="541">
      <c r="H541" s="31">
        <f>IF($A541="","",IF($D541="Evet",ROUND($C541*tbo_oranBesPuan,2),0))</f>
        <v/>
      </c>
      <c r="I541" s="31">
        <f>IF($A541="","",IF($E541="Evet",ROUND($C541*tbo_oranIlave,2),0))</f>
        <v/>
      </c>
      <c r="J541" s="31">
        <f>IF($A541="","",IF($F541="Evet",ROUND($C541*tbo_oranKadinGenc,2),0))</f>
        <v/>
      </c>
      <c r="K541" s="31">
        <f>IF($A541="","",IF($G541="Evet",ROUND($C541*tbo_isverenOran,2),0))</f>
        <v/>
      </c>
      <c r="L541" s="31">
        <f>IF($A541="","",IF($M541=0,"YOK",IF($I541=$M541,"TBO-002",IF($H541=$M541,"TBO-001",IF($J541=$M541,"TBO-004","TBO-ENG")))))</f>
        <v/>
      </c>
      <c r="M541" s="31">
        <f>IF($A541="","",MAX($H541,$I541,$J541,$K541))</f>
        <v/>
      </c>
      <c r="O541" s="31">
        <f>IF($A541="","",MAX(0,$M541-IF($N541="TBO-001",$H541,IF($N541="TBO-002",$I541,IF($N541="TBO-004",$J541,IF($N541="TBO-ENG",$K541,0))))))</f>
        <v/>
      </c>
    </row>
    <row r="542">
      <c r="H542" s="31">
        <f>IF($A542="","",IF($D542="Evet",ROUND($C542*tbo_oranBesPuan,2),0))</f>
        <v/>
      </c>
      <c r="I542" s="31">
        <f>IF($A542="","",IF($E542="Evet",ROUND($C542*tbo_oranIlave,2),0))</f>
        <v/>
      </c>
      <c r="J542" s="31">
        <f>IF($A542="","",IF($F542="Evet",ROUND($C542*tbo_oranKadinGenc,2),0))</f>
        <v/>
      </c>
      <c r="K542" s="31">
        <f>IF($A542="","",IF($G542="Evet",ROUND($C542*tbo_isverenOran,2),0))</f>
        <v/>
      </c>
      <c r="L542" s="31">
        <f>IF($A542="","",IF($M542=0,"YOK",IF($I542=$M542,"TBO-002",IF($H542=$M542,"TBO-001",IF($J542=$M542,"TBO-004","TBO-ENG")))))</f>
        <v/>
      </c>
      <c r="M542" s="31">
        <f>IF($A542="","",MAX($H542,$I542,$J542,$K542))</f>
        <v/>
      </c>
      <c r="O542" s="31">
        <f>IF($A542="","",MAX(0,$M542-IF($N542="TBO-001",$H542,IF($N542="TBO-002",$I542,IF($N542="TBO-004",$J542,IF($N542="TBO-ENG",$K542,0))))))</f>
        <v/>
      </c>
    </row>
    <row r="543">
      <c r="H543" s="31">
        <f>IF($A543="","",IF($D543="Evet",ROUND($C543*tbo_oranBesPuan,2),0))</f>
        <v/>
      </c>
      <c r="I543" s="31">
        <f>IF($A543="","",IF($E543="Evet",ROUND($C543*tbo_oranIlave,2),0))</f>
        <v/>
      </c>
      <c r="J543" s="31">
        <f>IF($A543="","",IF($F543="Evet",ROUND($C543*tbo_oranKadinGenc,2),0))</f>
        <v/>
      </c>
      <c r="K543" s="31">
        <f>IF($A543="","",IF($G543="Evet",ROUND($C543*tbo_isverenOran,2),0))</f>
        <v/>
      </c>
      <c r="L543" s="31">
        <f>IF($A543="","",IF($M543=0,"YOK",IF($I543=$M543,"TBO-002",IF($H543=$M543,"TBO-001",IF($J543=$M543,"TBO-004","TBO-ENG")))))</f>
        <v/>
      </c>
      <c r="M543" s="31">
        <f>IF($A543="","",MAX($H543,$I543,$J543,$K543))</f>
        <v/>
      </c>
      <c r="O543" s="31">
        <f>IF($A543="","",MAX(0,$M543-IF($N543="TBO-001",$H543,IF($N543="TBO-002",$I543,IF($N543="TBO-004",$J543,IF($N543="TBO-ENG",$K543,0))))))</f>
        <v/>
      </c>
    </row>
    <row r="544">
      <c r="H544" s="31">
        <f>IF($A544="","",IF($D544="Evet",ROUND($C544*tbo_oranBesPuan,2),0))</f>
        <v/>
      </c>
      <c r="I544" s="31">
        <f>IF($A544="","",IF($E544="Evet",ROUND($C544*tbo_oranIlave,2),0))</f>
        <v/>
      </c>
      <c r="J544" s="31">
        <f>IF($A544="","",IF($F544="Evet",ROUND($C544*tbo_oranKadinGenc,2),0))</f>
        <v/>
      </c>
      <c r="K544" s="31">
        <f>IF($A544="","",IF($G544="Evet",ROUND($C544*tbo_isverenOran,2),0))</f>
        <v/>
      </c>
      <c r="L544" s="31">
        <f>IF($A544="","",IF($M544=0,"YOK",IF($I544=$M544,"TBO-002",IF($H544=$M544,"TBO-001",IF($J544=$M544,"TBO-004","TBO-ENG")))))</f>
        <v/>
      </c>
      <c r="M544" s="31">
        <f>IF($A544="","",MAX($H544,$I544,$J544,$K544))</f>
        <v/>
      </c>
      <c r="O544" s="31">
        <f>IF($A544="","",MAX(0,$M544-IF($N544="TBO-001",$H544,IF($N544="TBO-002",$I544,IF($N544="TBO-004",$J544,IF($N544="TBO-ENG",$K544,0))))))</f>
        <v/>
      </c>
    </row>
    <row r="545">
      <c r="H545" s="31">
        <f>IF($A545="","",IF($D545="Evet",ROUND($C545*tbo_oranBesPuan,2),0))</f>
        <v/>
      </c>
      <c r="I545" s="31">
        <f>IF($A545="","",IF($E545="Evet",ROUND($C545*tbo_oranIlave,2),0))</f>
        <v/>
      </c>
      <c r="J545" s="31">
        <f>IF($A545="","",IF($F545="Evet",ROUND($C545*tbo_oranKadinGenc,2),0))</f>
        <v/>
      </c>
      <c r="K545" s="31">
        <f>IF($A545="","",IF($G545="Evet",ROUND($C545*tbo_isverenOran,2),0))</f>
        <v/>
      </c>
      <c r="L545" s="31">
        <f>IF($A545="","",IF($M545=0,"YOK",IF($I545=$M545,"TBO-002",IF($H545=$M545,"TBO-001",IF($J545=$M545,"TBO-004","TBO-ENG")))))</f>
        <v/>
      </c>
      <c r="M545" s="31">
        <f>IF($A545="","",MAX($H545,$I545,$J545,$K545))</f>
        <v/>
      </c>
      <c r="O545" s="31">
        <f>IF($A545="","",MAX(0,$M545-IF($N545="TBO-001",$H545,IF($N545="TBO-002",$I545,IF($N545="TBO-004",$J545,IF($N545="TBO-ENG",$K545,0))))))</f>
        <v/>
      </c>
    </row>
    <row r="546">
      <c r="H546" s="31">
        <f>IF($A546="","",IF($D546="Evet",ROUND($C546*tbo_oranBesPuan,2),0))</f>
        <v/>
      </c>
      <c r="I546" s="31">
        <f>IF($A546="","",IF($E546="Evet",ROUND($C546*tbo_oranIlave,2),0))</f>
        <v/>
      </c>
      <c r="J546" s="31">
        <f>IF($A546="","",IF($F546="Evet",ROUND($C546*tbo_oranKadinGenc,2),0))</f>
        <v/>
      </c>
      <c r="K546" s="31">
        <f>IF($A546="","",IF($G546="Evet",ROUND($C546*tbo_isverenOran,2),0))</f>
        <v/>
      </c>
      <c r="L546" s="31">
        <f>IF($A546="","",IF($M546=0,"YOK",IF($I546=$M546,"TBO-002",IF($H546=$M546,"TBO-001",IF($J546=$M546,"TBO-004","TBO-ENG")))))</f>
        <v/>
      </c>
      <c r="M546" s="31">
        <f>IF($A546="","",MAX($H546,$I546,$J546,$K546))</f>
        <v/>
      </c>
      <c r="O546" s="31">
        <f>IF($A546="","",MAX(0,$M546-IF($N546="TBO-001",$H546,IF($N546="TBO-002",$I546,IF($N546="TBO-004",$J546,IF($N546="TBO-ENG",$K546,0))))))</f>
        <v/>
      </c>
    </row>
    <row r="547">
      <c r="H547" s="31">
        <f>IF($A547="","",IF($D547="Evet",ROUND($C547*tbo_oranBesPuan,2),0))</f>
        <v/>
      </c>
      <c r="I547" s="31">
        <f>IF($A547="","",IF($E547="Evet",ROUND($C547*tbo_oranIlave,2),0))</f>
        <v/>
      </c>
      <c r="J547" s="31">
        <f>IF($A547="","",IF($F547="Evet",ROUND($C547*tbo_oranKadinGenc,2),0))</f>
        <v/>
      </c>
      <c r="K547" s="31">
        <f>IF($A547="","",IF($G547="Evet",ROUND($C547*tbo_isverenOran,2),0))</f>
        <v/>
      </c>
      <c r="L547" s="31">
        <f>IF($A547="","",IF($M547=0,"YOK",IF($I547=$M547,"TBO-002",IF($H547=$M547,"TBO-001",IF($J547=$M547,"TBO-004","TBO-ENG")))))</f>
        <v/>
      </c>
      <c r="M547" s="31">
        <f>IF($A547="","",MAX($H547,$I547,$J547,$K547))</f>
        <v/>
      </c>
      <c r="O547" s="31">
        <f>IF($A547="","",MAX(0,$M547-IF($N547="TBO-001",$H547,IF($N547="TBO-002",$I547,IF($N547="TBO-004",$J547,IF($N547="TBO-ENG",$K547,0))))))</f>
        <v/>
      </c>
    </row>
    <row r="548">
      <c r="H548" s="31">
        <f>IF($A548="","",IF($D548="Evet",ROUND($C548*tbo_oranBesPuan,2),0))</f>
        <v/>
      </c>
      <c r="I548" s="31">
        <f>IF($A548="","",IF($E548="Evet",ROUND($C548*tbo_oranIlave,2),0))</f>
        <v/>
      </c>
      <c r="J548" s="31">
        <f>IF($A548="","",IF($F548="Evet",ROUND($C548*tbo_oranKadinGenc,2),0))</f>
        <v/>
      </c>
      <c r="K548" s="31">
        <f>IF($A548="","",IF($G548="Evet",ROUND($C548*tbo_isverenOran,2),0))</f>
        <v/>
      </c>
      <c r="L548" s="31">
        <f>IF($A548="","",IF($M548=0,"YOK",IF($I548=$M548,"TBO-002",IF($H548=$M548,"TBO-001",IF($J548=$M548,"TBO-004","TBO-ENG")))))</f>
        <v/>
      </c>
      <c r="M548" s="31">
        <f>IF($A548="","",MAX($H548,$I548,$J548,$K548))</f>
        <v/>
      </c>
      <c r="O548" s="31">
        <f>IF($A548="","",MAX(0,$M548-IF($N548="TBO-001",$H548,IF($N548="TBO-002",$I548,IF($N548="TBO-004",$J548,IF($N548="TBO-ENG",$K548,0))))))</f>
        <v/>
      </c>
    </row>
    <row r="549">
      <c r="H549" s="31">
        <f>IF($A549="","",IF($D549="Evet",ROUND($C549*tbo_oranBesPuan,2),0))</f>
        <v/>
      </c>
      <c r="I549" s="31">
        <f>IF($A549="","",IF($E549="Evet",ROUND($C549*tbo_oranIlave,2),0))</f>
        <v/>
      </c>
      <c r="J549" s="31">
        <f>IF($A549="","",IF($F549="Evet",ROUND($C549*tbo_oranKadinGenc,2),0))</f>
        <v/>
      </c>
      <c r="K549" s="31">
        <f>IF($A549="","",IF($G549="Evet",ROUND($C549*tbo_isverenOran,2),0))</f>
        <v/>
      </c>
      <c r="L549" s="31">
        <f>IF($A549="","",IF($M549=0,"YOK",IF($I549=$M549,"TBO-002",IF($H549=$M549,"TBO-001",IF($J549=$M549,"TBO-004","TBO-ENG")))))</f>
        <v/>
      </c>
      <c r="M549" s="31">
        <f>IF($A549="","",MAX($H549,$I549,$J549,$K549))</f>
        <v/>
      </c>
      <c r="O549" s="31">
        <f>IF($A549="","",MAX(0,$M549-IF($N549="TBO-001",$H549,IF($N549="TBO-002",$I549,IF($N549="TBO-004",$J549,IF($N549="TBO-ENG",$K549,0))))))</f>
        <v/>
      </c>
    </row>
    <row r="550">
      <c r="H550" s="31">
        <f>IF($A550="","",IF($D550="Evet",ROUND($C550*tbo_oranBesPuan,2),0))</f>
        <v/>
      </c>
      <c r="I550" s="31">
        <f>IF($A550="","",IF($E550="Evet",ROUND($C550*tbo_oranIlave,2),0))</f>
        <v/>
      </c>
      <c r="J550" s="31">
        <f>IF($A550="","",IF($F550="Evet",ROUND($C550*tbo_oranKadinGenc,2),0))</f>
        <v/>
      </c>
      <c r="K550" s="31">
        <f>IF($A550="","",IF($G550="Evet",ROUND($C550*tbo_isverenOran,2),0))</f>
        <v/>
      </c>
      <c r="L550" s="31">
        <f>IF($A550="","",IF($M550=0,"YOK",IF($I550=$M550,"TBO-002",IF($H550=$M550,"TBO-001",IF($J550=$M550,"TBO-004","TBO-ENG")))))</f>
        <v/>
      </c>
      <c r="M550" s="31">
        <f>IF($A550="","",MAX($H550,$I550,$J550,$K550))</f>
        <v/>
      </c>
      <c r="O550" s="31">
        <f>IF($A550="","",MAX(0,$M550-IF($N550="TBO-001",$H550,IF($N550="TBO-002",$I550,IF($N550="TBO-004",$J550,IF($N550="TBO-ENG",$K550,0))))))</f>
        <v/>
      </c>
    </row>
    <row r="551">
      <c r="H551" s="31">
        <f>IF($A551="","",IF($D551="Evet",ROUND($C551*tbo_oranBesPuan,2),0))</f>
        <v/>
      </c>
      <c r="I551" s="31">
        <f>IF($A551="","",IF($E551="Evet",ROUND($C551*tbo_oranIlave,2),0))</f>
        <v/>
      </c>
      <c r="J551" s="31">
        <f>IF($A551="","",IF($F551="Evet",ROUND($C551*tbo_oranKadinGenc,2),0))</f>
        <v/>
      </c>
      <c r="K551" s="31">
        <f>IF($A551="","",IF($G551="Evet",ROUND($C551*tbo_isverenOran,2),0))</f>
        <v/>
      </c>
      <c r="L551" s="31">
        <f>IF($A551="","",IF($M551=0,"YOK",IF($I551=$M551,"TBO-002",IF($H551=$M551,"TBO-001",IF($J551=$M551,"TBO-004","TBO-ENG")))))</f>
        <v/>
      </c>
      <c r="M551" s="31">
        <f>IF($A551="","",MAX($H551,$I551,$J551,$K551))</f>
        <v/>
      </c>
      <c r="O551" s="31">
        <f>IF($A551="","",MAX(0,$M551-IF($N551="TBO-001",$H551,IF($N551="TBO-002",$I551,IF($N551="TBO-004",$J551,IF($N551="TBO-ENG",$K551,0))))))</f>
        <v/>
      </c>
    </row>
    <row r="552">
      <c r="H552" s="31">
        <f>IF($A552="","",IF($D552="Evet",ROUND($C552*tbo_oranBesPuan,2),0))</f>
        <v/>
      </c>
      <c r="I552" s="31">
        <f>IF($A552="","",IF($E552="Evet",ROUND($C552*tbo_oranIlave,2),0))</f>
        <v/>
      </c>
      <c r="J552" s="31">
        <f>IF($A552="","",IF($F552="Evet",ROUND($C552*tbo_oranKadinGenc,2),0))</f>
        <v/>
      </c>
      <c r="K552" s="31">
        <f>IF($A552="","",IF($G552="Evet",ROUND($C552*tbo_isverenOran,2),0))</f>
        <v/>
      </c>
      <c r="L552" s="31">
        <f>IF($A552="","",IF($M552=0,"YOK",IF($I552=$M552,"TBO-002",IF($H552=$M552,"TBO-001",IF($J552=$M552,"TBO-004","TBO-ENG")))))</f>
        <v/>
      </c>
      <c r="M552" s="31">
        <f>IF($A552="","",MAX($H552,$I552,$J552,$K552))</f>
        <v/>
      </c>
      <c r="O552" s="31">
        <f>IF($A552="","",MAX(0,$M552-IF($N552="TBO-001",$H552,IF($N552="TBO-002",$I552,IF($N552="TBO-004",$J552,IF($N552="TBO-ENG",$K552,0))))))</f>
        <v/>
      </c>
    </row>
    <row r="553">
      <c r="H553" s="31">
        <f>IF($A553="","",IF($D553="Evet",ROUND($C553*tbo_oranBesPuan,2),0))</f>
        <v/>
      </c>
      <c r="I553" s="31">
        <f>IF($A553="","",IF($E553="Evet",ROUND($C553*tbo_oranIlave,2),0))</f>
        <v/>
      </c>
      <c r="J553" s="31">
        <f>IF($A553="","",IF($F553="Evet",ROUND($C553*tbo_oranKadinGenc,2),0))</f>
        <v/>
      </c>
      <c r="K553" s="31">
        <f>IF($A553="","",IF($G553="Evet",ROUND($C553*tbo_isverenOran,2),0))</f>
        <v/>
      </c>
      <c r="L553" s="31">
        <f>IF($A553="","",IF($M553=0,"YOK",IF($I553=$M553,"TBO-002",IF($H553=$M553,"TBO-001",IF($J553=$M553,"TBO-004","TBO-ENG")))))</f>
        <v/>
      </c>
      <c r="M553" s="31">
        <f>IF($A553="","",MAX($H553,$I553,$J553,$K553))</f>
        <v/>
      </c>
      <c r="O553" s="31">
        <f>IF($A553="","",MAX(0,$M553-IF($N553="TBO-001",$H553,IF($N553="TBO-002",$I553,IF($N553="TBO-004",$J553,IF($N553="TBO-ENG",$K553,0))))))</f>
        <v/>
      </c>
    </row>
    <row r="554">
      <c r="H554" s="31">
        <f>IF($A554="","",IF($D554="Evet",ROUND($C554*tbo_oranBesPuan,2),0))</f>
        <v/>
      </c>
      <c r="I554" s="31">
        <f>IF($A554="","",IF($E554="Evet",ROUND($C554*tbo_oranIlave,2),0))</f>
        <v/>
      </c>
      <c r="J554" s="31">
        <f>IF($A554="","",IF($F554="Evet",ROUND($C554*tbo_oranKadinGenc,2),0))</f>
        <v/>
      </c>
      <c r="K554" s="31">
        <f>IF($A554="","",IF($G554="Evet",ROUND($C554*tbo_isverenOran,2),0))</f>
        <v/>
      </c>
      <c r="L554" s="31">
        <f>IF($A554="","",IF($M554=0,"YOK",IF($I554=$M554,"TBO-002",IF($H554=$M554,"TBO-001",IF($J554=$M554,"TBO-004","TBO-ENG")))))</f>
        <v/>
      </c>
      <c r="M554" s="31">
        <f>IF($A554="","",MAX($H554,$I554,$J554,$K554))</f>
        <v/>
      </c>
      <c r="O554" s="31">
        <f>IF($A554="","",MAX(0,$M554-IF($N554="TBO-001",$H554,IF($N554="TBO-002",$I554,IF($N554="TBO-004",$J554,IF($N554="TBO-ENG",$K554,0))))))</f>
        <v/>
      </c>
    </row>
    <row r="555">
      <c r="H555" s="31">
        <f>IF($A555="","",IF($D555="Evet",ROUND($C555*tbo_oranBesPuan,2),0))</f>
        <v/>
      </c>
      <c r="I555" s="31">
        <f>IF($A555="","",IF($E555="Evet",ROUND($C555*tbo_oranIlave,2),0))</f>
        <v/>
      </c>
      <c r="J555" s="31">
        <f>IF($A555="","",IF($F555="Evet",ROUND($C555*tbo_oranKadinGenc,2),0))</f>
        <v/>
      </c>
      <c r="K555" s="31">
        <f>IF($A555="","",IF($G555="Evet",ROUND($C555*tbo_isverenOran,2),0))</f>
        <v/>
      </c>
      <c r="L555" s="31">
        <f>IF($A555="","",IF($M555=0,"YOK",IF($I555=$M555,"TBO-002",IF($H555=$M555,"TBO-001",IF($J555=$M555,"TBO-004","TBO-ENG")))))</f>
        <v/>
      </c>
      <c r="M555" s="31">
        <f>IF($A555="","",MAX($H555,$I555,$J555,$K555))</f>
        <v/>
      </c>
      <c r="O555" s="31">
        <f>IF($A555="","",MAX(0,$M555-IF($N555="TBO-001",$H555,IF($N555="TBO-002",$I555,IF($N555="TBO-004",$J555,IF($N555="TBO-ENG",$K555,0))))))</f>
        <v/>
      </c>
    </row>
    <row r="556">
      <c r="H556" s="31">
        <f>IF($A556="","",IF($D556="Evet",ROUND($C556*tbo_oranBesPuan,2),0))</f>
        <v/>
      </c>
      <c r="I556" s="31">
        <f>IF($A556="","",IF($E556="Evet",ROUND($C556*tbo_oranIlave,2),0))</f>
        <v/>
      </c>
      <c r="J556" s="31">
        <f>IF($A556="","",IF($F556="Evet",ROUND($C556*tbo_oranKadinGenc,2),0))</f>
        <v/>
      </c>
      <c r="K556" s="31">
        <f>IF($A556="","",IF($G556="Evet",ROUND($C556*tbo_isverenOran,2),0))</f>
        <v/>
      </c>
      <c r="L556" s="31">
        <f>IF($A556="","",IF($M556=0,"YOK",IF($I556=$M556,"TBO-002",IF($H556=$M556,"TBO-001",IF($J556=$M556,"TBO-004","TBO-ENG")))))</f>
        <v/>
      </c>
      <c r="M556" s="31">
        <f>IF($A556="","",MAX($H556,$I556,$J556,$K556))</f>
        <v/>
      </c>
      <c r="O556" s="31">
        <f>IF($A556="","",MAX(0,$M556-IF($N556="TBO-001",$H556,IF($N556="TBO-002",$I556,IF($N556="TBO-004",$J556,IF($N556="TBO-ENG",$K556,0))))))</f>
        <v/>
      </c>
    </row>
    <row r="557">
      <c r="H557" s="31">
        <f>IF($A557="","",IF($D557="Evet",ROUND($C557*tbo_oranBesPuan,2),0))</f>
        <v/>
      </c>
      <c r="I557" s="31">
        <f>IF($A557="","",IF($E557="Evet",ROUND($C557*tbo_oranIlave,2),0))</f>
        <v/>
      </c>
      <c r="J557" s="31">
        <f>IF($A557="","",IF($F557="Evet",ROUND($C557*tbo_oranKadinGenc,2),0))</f>
        <v/>
      </c>
      <c r="K557" s="31">
        <f>IF($A557="","",IF($G557="Evet",ROUND($C557*tbo_isverenOran,2),0))</f>
        <v/>
      </c>
      <c r="L557" s="31">
        <f>IF($A557="","",IF($M557=0,"YOK",IF($I557=$M557,"TBO-002",IF($H557=$M557,"TBO-001",IF($J557=$M557,"TBO-004","TBO-ENG")))))</f>
        <v/>
      </c>
      <c r="M557" s="31">
        <f>IF($A557="","",MAX($H557,$I557,$J557,$K557))</f>
        <v/>
      </c>
      <c r="O557" s="31">
        <f>IF($A557="","",MAX(0,$M557-IF($N557="TBO-001",$H557,IF($N557="TBO-002",$I557,IF($N557="TBO-004",$J557,IF($N557="TBO-ENG",$K557,0))))))</f>
        <v/>
      </c>
    </row>
    <row r="558">
      <c r="H558" s="31">
        <f>IF($A558="","",IF($D558="Evet",ROUND($C558*tbo_oranBesPuan,2),0))</f>
        <v/>
      </c>
      <c r="I558" s="31">
        <f>IF($A558="","",IF($E558="Evet",ROUND($C558*tbo_oranIlave,2),0))</f>
        <v/>
      </c>
      <c r="J558" s="31">
        <f>IF($A558="","",IF($F558="Evet",ROUND($C558*tbo_oranKadinGenc,2),0))</f>
        <v/>
      </c>
      <c r="K558" s="31">
        <f>IF($A558="","",IF($G558="Evet",ROUND($C558*tbo_isverenOran,2),0))</f>
        <v/>
      </c>
      <c r="L558" s="31">
        <f>IF($A558="","",IF($M558=0,"YOK",IF($I558=$M558,"TBO-002",IF($H558=$M558,"TBO-001",IF($J558=$M558,"TBO-004","TBO-ENG")))))</f>
        <v/>
      </c>
      <c r="M558" s="31">
        <f>IF($A558="","",MAX($H558,$I558,$J558,$K558))</f>
        <v/>
      </c>
      <c r="O558" s="31">
        <f>IF($A558="","",MAX(0,$M558-IF($N558="TBO-001",$H558,IF($N558="TBO-002",$I558,IF($N558="TBO-004",$J558,IF($N558="TBO-ENG",$K558,0))))))</f>
        <v/>
      </c>
    </row>
    <row r="559">
      <c r="H559" s="31">
        <f>IF($A559="","",IF($D559="Evet",ROUND($C559*tbo_oranBesPuan,2),0))</f>
        <v/>
      </c>
      <c r="I559" s="31">
        <f>IF($A559="","",IF($E559="Evet",ROUND($C559*tbo_oranIlave,2),0))</f>
        <v/>
      </c>
      <c r="J559" s="31">
        <f>IF($A559="","",IF($F559="Evet",ROUND($C559*tbo_oranKadinGenc,2),0))</f>
        <v/>
      </c>
      <c r="K559" s="31">
        <f>IF($A559="","",IF($G559="Evet",ROUND($C559*tbo_isverenOran,2),0))</f>
        <v/>
      </c>
      <c r="L559" s="31">
        <f>IF($A559="","",IF($M559=0,"YOK",IF($I559=$M559,"TBO-002",IF($H559=$M559,"TBO-001",IF($J559=$M559,"TBO-004","TBO-ENG")))))</f>
        <v/>
      </c>
      <c r="M559" s="31">
        <f>IF($A559="","",MAX($H559,$I559,$J559,$K559))</f>
        <v/>
      </c>
      <c r="O559" s="31">
        <f>IF($A559="","",MAX(0,$M559-IF($N559="TBO-001",$H559,IF($N559="TBO-002",$I559,IF($N559="TBO-004",$J559,IF($N559="TBO-ENG",$K559,0))))))</f>
        <v/>
      </c>
    </row>
    <row r="560">
      <c r="H560" s="31">
        <f>IF($A560="","",IF($D560="Evet",ROUND($C560*tbo_oranBesPuan,2),0))</f>
        <v/>
      </c>
      <c r="I560" s="31">
        <f>IF($A560="","",IF($E560="Evet",ROUND($C560*tbo_oranIlave,2),0))</f>
        <v/>
      </c>
      <c r="J560" s="31">
        <f>IF($A560="","",IF($F560="Evet",ROUND($C560*tbo_oranKadinGenc,2),0))</f>
        <v/>
      </c>
      <c r="K560" s="31">
        <f>IF($A560="","",IF($G560="Evet",ROUND($C560*tbo_isverenOran,2),0))</f>
        <v/>
      </c>
      <c r="L560" s="31">
        <f>IF($A560="","",IF($M560=0,"YOK",IF($I560=$M560,"TBO-002",IF($H560=$M560,"TBO-001",IF($J560=$M560,"TBO-004","TBO-ENG")))))</f>
        <v/>
      </c>
      <c r="M560" s="31">
        <f>IF($A560="","",MAX($H560,$I560,$J560,$K560))</f>
        <v/>
      </c>
      <c r="O560" s="31">
        <f>IF($A560="","",MAX(0,$M560-IF($N560="TBO-001",$H560,IF($N560="TBO-002",$I560,IF($N560="TBO-004",$J560,IF($N560="TBO-ENG",$K560,0))))))</f>
        <v/>
      </c>
    </row>
    <row r="561">
      <c r="H561" s="31">
        <f>IF($A561="","",IF($D561="Evet",ROUND($C561*tbo_oranBesPuan,2),0))</f>
        <v/>
      </c>
      <c r="I561" s="31">
        <f>IF($A561="","",IF($E561="Evet",ROUND($C561*tbo_oranIlave,2),0))</f>
        <v/>
      </c>
      <c r="J561" s="31">
        <f>IF($A561="","",IF($F561="Evet",ROUND($C561*tbo_oranKadinGenc,2),0))</f>
        <v/>
      </c>
      <c r="K561" s="31">
        <f>IF($A561="","",IF($G561="Evet",ROUND($C561*tbo_isverenOran,2),0))</f>
        <v/>
      </c>
      <c r="L561" s="31">
        <f>IF($A561="","",IF($M561=0,"YOK",IF($I561=$M561,"TBO-002",IF($H561=$M561,"TBO-001",IF($J561=$M561,"TBO-004","TBO-ENG")))))</f>
        <v/>
      </c>
      <c r="M561" s="31">
        <f>IF($A561="","",MAX($H561,$I561,$J561,$K561))</f>
        <v/>
      </c>
      <c r="O561" s="31">
        <f>IF($A561="","",MAX(0,$M561-IF($N561="TBO-001",$H561,IF($N561="TBO-002",$I561,IF($N561="TBO-004",$J561,IF($N561="TBO-ENG",$K561,0))))))</f>
        <v/>
      </c>
    </row>
    <row r="562">
      <c r="H562" s="31">
        <f>IF($A562="","",IF($D562="Evet",ROUND($C562*tbo_oranBesPuan,2),0))</f>
        <v/>
      </c>
      <c r="I562" s="31">
        <f>IF($A562="","",IF($E562="Evet",ROUND($C562*tbo_oranIlave,2),0))</f>
        <v/>
      </c>
      <c r="J562" s="31">
        <f>IF($A562="","",IF($F562="Evet",ROUND($C562*tbo_oranKadinGenc,2),0))</f>
        <v/>
      </c>
      <c r="K562" s="31">
        <f>IF($A562="","",IF($G562="Evet",ROUND($C562*tbo_isverenOran,2),0))</f>
        <v/>
      </c>
      <c r="L562" s="31">
        <f>IF($A562="","",IF($M562=0,"YOK",IF($I562=$M562,"TBO-002",IF($H562=$M562,"TBO-001",IF($J562=$M562,"TBO-004","TBO-ENG")))))</f>
        <v/>
      </c>
      <c r="M562" s="31">
        <f>IF($A562="","",MAX($H562,$I562,$J562,$K562))</f>
        <v/>
      </c>
      <c r="O562" s="31">
        <f>IF($A562="","",MAX(0,$M562-IF($N562="TBO-001",$H562,IF($N562="TBO-002",$I562,IF($N562="TBO-004",$J562,IF($N562="TBO-ENG",$K562,0))))))</f>
        <v/>
      </c>
    </row>
    <row r="563">
      <c r="H563" s="31">
        <f>IF($A563="","",IF($D563="Evet",ROUND($C563*tbo_oranBesPuan,2),0))</f>
        <v/>
      </c>
      <c r="I563" s="31">
        <f>IF($A563="","",IF($E563="Evet",ROUND($C563*tbo_oranIlave,2),0))</f>
        <v/>
      </c>
      <c r="J563" s="31">
        <f>IF($A563="","",IF($F563="Evet",ROUND($C563*tbo_oranKadinGenc,2),0))</f>
        <v/>
      </c>
      <c r="K563" s="31">
        <f>IF($A563="","",IF($G563="Evet",ROUND($C563*tbo_isverenOran,2),0))</f>
        <v/>
      </c>
      <c r="L563" s="31">
        <f>IF($A563="","",IF($M563=0,"YOK",IF($I563=$M563,"TBO-002",IF($H563=$M563,"TBO-001",IF($J563=$M563,"TBO-004","TBO-ENG")))))</f>
        <v/>
      </c>
      <c r="M563" s="31">
        <f>IF($A563="","",MAX($H563,$I563,$J563,$K563))</f>
        <v/>
      </c>
      <c r="O563" s="31">
        <f>IF($A563="","",MAX(0,$M563-IF($N563="TBO-001",$H563,IF($N563="TBO-002",$I563,IF($N563="TBO-004",$J563,IF($N563="TBO-ENG",$K563,0))))))</f>
        <v/>
      </c>
    </row>
    <row r="564">
      <c r="H564" s="31">
        <f>IF($A564="","",IF($D564="Evet",ROUND($C564*tbo_oranBesPuan,2),0))</f>
        <v/>
      </c>
      <c r="I564" s="31">
        <f>IF($A564="","",IF($E564="Evet",ROUND($C564*tbo_oranIlave,2),0))</f>
        <v/>
      </c>
      <c r="J564" s="31">
        <f>IF($A564="","",IF($F564="Evet",ROUND($C564*tbo_oranKadinGenc,2),0))</f>
        <v/>
      </c>
      <c r="K564" s="31">
        <f>IF($A564="","",IF($G564="Evet",ROUND($C564*tbo_isverenOran,2),0))</f>
        <v/>
      </c>
      <c r="L564" s="31">
        <f>IF($A564="","",IF($M564=0,"YOK",IF($I564=$M564,"TBO-002",IF($H564=$M564,"TBO-001",IF($J564=$M564,"TBO-004","TBO-ENG")))))</f>
        <v/>
      </c>
      <c r="M564" s="31">
        <f>IF($A564="","",MAX($H564,$I564,$J564,$K564))</f>
        <v/>
      </c>
      <c r="O564" s="31">
        <f>IF($A564="","",MAX(0,$M564-IF($N564="TBO-001",$H564,IF($N564="TBO-002",$I564,IF($N564="TBO-004",$J564,IF($N564="TBO-ENG",$K564,0))))))</f>
        <v/>
      </c>
    </row>
    <row r="565">
      <c r="H565" s="31">
        <f>IF($A565="","",IF($D565="Evet",ROUND($C565*tbo_oranBesPuan,2),0))</f>
        <v/>
      </c>
      <c r="I565" s="31">
        <f>IF($A565="","",IF($E565="Evet",ROUND($C565*tbo_oranIlave,2),0))</f>
        <v/>
      </c>
      <c r="J565" s="31">
        <f>IF($A565="","",IF($F565="Evet",ROUND($C565*tbo_oranKadinGenc,2),0))</f>
        <v/>
      </c>
      <c r="K565" s="31">
        <f>IF($A565="","",IF($G565="Evet",ROUND($C565*tbo_isverenOran,2),0))</f>
        <v/>
      </c>
      <c r="L565" s="31">
        <f>IF($A565="","",IF($M565=0,"YOK",IF($I565=$M565,"TBO-002",IF($H565=$M565,"TBO-001",IF($J565=$M565,"TBO-004","TBO-ENG")))))</f>
        <v/>
      </c>
      <c r="M565" s="31">
        <f>IF($A565="","",MAX($H565,$I565,$J565,$K565))</f>
        <v/>
      </c>
      <c r="O565" s="31">
        <f>IF($A565="","",MAX(0,$M565-IF($N565="TBO-001",$H565,IF($N565="TBO-002",$I565,IF($N565="TBO-004",$J565,IF($N565="TBO-ENG",$K565,0))))))</f>
        <v/>
      </c>
    </row>
    <row r="566">
      <c r="H566" s="31">
        <f>IF($A566="","",IF($D566="Evet",ROUND($C566*tbo_oranBesPuan,2),0))</f>
        <v/>
      </c>
      <c r="I566" s="31">
        <f>IF($A566="","",IF($E566="Evet",ROUND($C566*tbo_oranIlave,2),0))</f>
        <v/>
      </c>
      <c r="J566" s="31">
        <f>IF($A566="","",IF($F566="Evet",ROUND($C566*tbo_oranKadinGenc,2),0))</f>
        <v/>
      </c>
      <c r="K566" s="31">
        <f>IF($A566="","",IF($G566="Evet",ROUND($C566*tbo_isverenOran,2),0))</f>
        <v/>
      </c>
      <c r="L566" s="31">
        <f>IF($A566="","",IF($M566=0,"YOK",IF($I566=$M566,"TBO-002",IF($H566=$M566,"TBO-001",IF($J566=$M566,"TBO-004","TBO-ENG")))))</f>
        <v/>
      </c>
      <c r="M566" s="31">
        <f>IF($A566="","",MAX($H566,$I566,$J566,$K566))</f>
        <v/>
      </c>
      <c r="O566" s="31">
        <f>IF($A566="","",MAX(0,$M566-IF($N566="TBO-001",$H566,IF($N566="TBO-002",$I566,IF($N566="TBO-004",$J566,IF($N566="TBO-ENG",$K566,0))))))</f>
        <v/>
      </c>
    </row>
    <row r="567">
      <c r="H567" s="31">
        <f>IF($A567="","",IF($D567="Evet",ROUND($C567*tbo_oranBesPuan,2),0))</f>
        <v/>
      </c>
      <c r="I567" s="31">
        <f>IF($A567="","",IF($E567="Evet",ROUND($C567*tbo_oranIlave,2),0))</f>
        <v/>
      </c>
      <c r="J567" s="31">
        <f>IF($A567="","",IF($F567="Evet",ROUND($C567*tbo_oranKadinGenc,2),0))</f>
        <v/>
      </c>
      <c r="K567" s="31">
        <f>IF($A567="","",IF($G567="Evet",ROUND($C567*tbo_isverenOran,2),0))</f>
        <v/>
      </c>
      <c r="L567" s="31">
        <f>IF($A567="","",IF($M567=0,"YOK",IF($I567=$M567,"TBO-002",IF($H567=$M567,"TBO-001",IF($J567=$M567,"TBO-004","TBO-ENG")))))</f>
        <v/>
      </c>
      <c r="M567" s="31">
        <f>IF($A567="","",MAX($H567,$I567,$J567,$K567))</f>
        <v/>
      </c>
      <c r="O567" s="31">
        <f>IF($A567="","",MAX(0,$M567-IF($N567="TBO-001",$H567,IF($N567="TBO-002",$I567,IF($N567="TBO-004",$J567,IF($N567="TBO-ENG",$K567,0))))))</f>
        <v/>
      </c>
    </row>
    <row r="568">
      <c r="H568" s="31">
        <f>IF($A568="","",IF($D568="Evet",ROUND($C568*tbo_oranBesPuan,2),0))</f>
        <v/>
      </c>
      <c r="I568" s="31">
        <f>IF($A568="","",IF($E568="Evet",ROUND($C568*tbo_oranIlave,2),0))</f>
        <v/>
      </c>
      <c r="J568" s="31">
        <f>IF($A568="","",IF($F568="Evet",ROUND($C568*tbo_oranKadinGenc,2),0))</f>
        <v/>
      </c>
      <c r="K568" s="31">
        <f>IF($A568="","",IF($G568="Evet",ROUND($C568*tbo_isverenOran,2),0))</f>
        <v/>
      </c>
      <c r="L568" s="31">
        <f>IF($A568="","",IF($M568=0,"YOK",IF($I568=$M568,"TBO-002",IF($H568=$M568,"TBO-001",IF($J568=$M568,"TBO-004","TBO-ENG")))))</f>
        <v/>
      </c>
      <c r="M568" s="31">
        <f>IF($A568="","",MAX($H568,$I568,$J568,$K568))</f>
        <v/>
      </c>
      <c r="O568" s="31">
        <f>IF($A568="","",MAX(0,$M568-IF($N568="TBO-001",$H568,IF($N568="TBO-002",$I568,IF($N568="TBO-004",$J568,IF($N568="TBO-ENG",$K568,0))))))</f>
        <v/>
      </c>
    </row>
    <row r="569">
      <c r="H569" s="31">
        <f>IF($A569="","",IF($D569="Evet",ROUND($C569*tbo_oranBesPuan,2),0))</f>
        <v/>
      </c>
      <c r="I569" s="31">
        <f>IF($A569="","",IF($E569="Evet",ROUND($C569*tbo_oranIlave,2),0))</f>
        <v/>
      </c>
      <c r="J569" s="31">
        <f>IF($A569="","",IF($F569="Evet",ROUND($C569*tbo_oranKadinGenc,2),0))</f>
        <v/>
      </c>
      <c r="K569" s="31">
        <f>IF($A569="","",IF($G569="Evet",ROUND($C569*tbo_isverenOran,2),0))</f>
        <v/>
      </c>
      <c r="L569" s="31">
        <f>IF($A569="","",IF($M569=0,"YOK",IF($I569=$M569,"TBO-002",IF($H569=$M569,"TBO-001",IF($J569=$M569,"TBO-004","TBO-ENG")))))</f>
        <v/>
      </c>
      <c r="M569" s="31">
        <f>IF($A569="","",MAX($H569,$I569,$J569,$K569))</f>
        <v/>
      </c>
      <c r="O569" s="31">
        <f>IF($A569="","",MAX(0,$M569-IF($N569="TBO-001",$H569,IF($N569="TBO-002",$I569,IF($N569="TBO-004",$J569,IF($N569="TBO-ENG",$K569,0))))))</f>
        <v/>
      </c>
    </row>
    <row r="570">
      <c r="H570" s="31">
        <f>IF($A570="","",IF($D570="Evet",ROUND($C570*tbo_oranBesPuan,2),0))</f>
        <v/>
      </c>
      <c r="I570" s="31">
        <f>IF($A570="","",IF($E570="Evet",ROUND($C570*tbo_oranIlave,2),0))</f>
        <v/>
      </c>
      <c r="J570" s="31">
        <f>IF($A570="","",IF($F570="Evet",ROUND($C570*tbo_oranKadinGenc,2),0))</f>
        <v/>
      </c>
      <c r="K570" s="31">
        <f>IF($A570="","",IF($G570="Evet",ROUND($C570*tbo_isverenOran,2),0))</f>
        <v/>
      </c>
      <c r="L570" s="31">
        <f>IF($A570="","",IF($M570=0,"YOK",IF($I570=$M570,"TBO-002",IF($H570=$M570,"TBO-001",IF($J570=$M570,"TBO-004","TBO-ENG")))))</f>
        <v/>
      </c>
      <c r="M570" s="31">
        <f>IF($A570="","",MAX($H570,$I570,$J570,$K570))</f>
        <v/>
      </c>
      <c r="O570" s="31">
        <f>IF($A570="","",MAX(0,$M570-IF($N570="TBO-001",$H570,IF($N570="TBO-002",$I570,IF($N570="TBO-004",$J570,IF($N570="TBO-ENG",$K570,0))))))</f>
        <v/>
      </c>
    </row>
    <row r="571">
      <c r="H571" s="31">
        <f>IF($A571="","",IF($D571="Evet",ROUND($C571*tbo_oranBesPuan,2),0))</f>
        <v/>
      </c>
      <c r="I571" s="31">
        <f>IF($A571="","",IF($E571="Evet",ROUND($C571*tbo_oranIlave,2),0))</f>
        <v/>
      </c>
      <c r="J571" s="31">
        <f>IF($A571="","",IF($F571="Evet",ROUND($C571*tbo_oranKadinGenc,2),0))</f>
        <v/>
      </c>
      <c r="K571" s="31">
        <f>IF($A571="","",IF($G571="Evet",ROUND($C571*tbo_isverenOran,2),0))</f>
        <v/>
      </c>
      <c r="L571" s="31">
        <f>IF($A571="","",IF($M571=0,"YOK",IF($I571=$M571,"TBO-002",IF($H571=$M571,"TBO-001",IF($J571=$M571,"TBO-004","TBO-ENG")))))</f>
        <v/>
      </c>
      <c r="M571" s="31">
        <f>IF($A571="","",MAX($H571,$I571,$J571,$K571))</f>
        <v/>
      </c>
      <c r="O571" s="31">
        <f>IF($A571="","",MAX(0,$M571-IF($N571="TBO-001",$H571,IF($N571="TBO-002",$I571,IF($N571="TBO-004",$J571,IF($N571="TBO-ENG",$K571,0))))))</f>
        <v/>
      </c>
    </row>
    <row r="572">
      <c r="H572" s="31">
        <f>IF($A572="","",IF($D572="Evet",ROUND($C572*tbo_oranBesPuan,2),0))</f>
        <v/>
      </c>
      <c r="I572" s="31">
        <f>IF($A572="","",IF($E572="Evet",ROUND($C572*tbo_oranIlave,2),0))</f>
        <v/>
      </c>
      <c r="J572" s="31">
        <f>IF($A572="","",IF($F572="Evet",ROUND($C572*tbo_oranKadinGenc,2),0))</f>
        <v/>
      </c>
      <c r="K572" s="31">
        <f>IF($A572="","",IF($G572="Evet",ROUND($C572*tbo_isverenOran,2),0))</f>
        <v/>
      </c>
      <c r="L572" s="31">
        <f>IF($A572="","",IF($M572=0,"YOK",IF($I572=$M572,"TBO-002",IF($H572=$M572,"TBO-001",IF($J572=$M572,"TBO-004","TBO-ENG")))))</f>
        <v/>
      </c>
      <c r="M572" s="31">
        <f>IF($A572="","",MAX($H572,$I572,$J572,$K572))</f>
        <v/>
      </c>
      <c r="O572" s="31">
        <f>IF($A572="","",MAX(0,$M572-IF($N572="TBO-001",$H572,IF($N572="TBO-002",$I572,IF($N572="TBO-004",$J572,IF($N572="TBO-ENG",$K572,0))))))</f>
        <v/>
      </c>
    </row>
    <row r="573">
      <c r="H573" s="31">
        <f>IF($A573="","",IF($D573="Evet",ROUND($C573*tbo_oranBesPuan,2),0))</f>
        <v/>
      </c>
      <c r="I573" s="31">
        <f>IF($A573="","",IF($E573="Evet",ROUND($C573*tbo_oranIlave,2),0))</f>
        <v/>
      </c>
      <c r="J573" s="31">
        <f>IF($A573="","",IF($F573="Evet",ROUND($C573*tbo_oranKadinGenc,2),0))</f>
        <v/>
      </c>
      <c r="K573" s="31">
        <f>IF($A573="","",IF($G573="Evet",ROUND($C573*tbo_isverenOran,2),0))</f>
        <v/>
      </c>
      <c r="L573" s="31">
        <f>IF($A573="","",IF($M573=0,"YOK",IF($I573=$M573,"TBO-002",IF($H573=$M573,"TBO-001",IF($J573=$M573,"TBO-004","TBO-ENG")))))</f>
        <v/>
      </c>
      <c r="M573" s="31">
        <f>IF($A573="","",MAX($H573,$I573,$J573,$K573))</f>
        <v/>
      </c>
      <c r="O573" s="31">
        <f>IF($A573="","",MAX(0,$M573-IF($N573="TBO-001",$H573,IF($N573="TBO-002",$I573,IF($N573="TBO-004",$J573,IF($N573="TBO-ENG",$K573,0))))))</f>
        <v/>
      </c>
    </row>
    <row r="574">
      <c r="H574" s="31">
        <f>IF($A574="","",IF($D574="Evet",ROUND($C574*tbo_oranBesPuan,2),0))</f>
        <v/>
      </c>
      <c r="I574" s="31">
        <f>IF($A574="","",IF($E574="Evet",ROUND($C574*tbo_oranIlave,2),0))</f>
        <v/>
      </c>
      <c r="J574" s="31">
        <f>IF($A574="","",IF($F574="Evet",ROUND($C574*tbo_oranKadinGenc,2),0))</f>
        <v/>
      </c>
      <c r="K574" s="31">
        <f>IF($A574="","",IF($G574="Evet",ROUND($C574*tbo_isverenOran,2),0))</f>
        <v/>
      </c>
      <c r="L574" s="31">
        <f>IF($A574="","",IF($M574=0,"YOK",IF($I574=$M574,"TBO-002",IF($H574=$M574,"TBO-001",IF($J574=$M574,"TBO-004","TBO-ENG")))))</f>
        <v/>
      </c>
      <c r="M574" s="31">
        <f>IF($A574="","",MAX($H574,$I574,$J574,$K574))</f>
        <v/>
      </c>
      <c r="O574" s="31">
        <f>IF($A574="","",MAX(0,$M574-IF($N574="TBO-001",$H574,IF($N574="TBO-002",$I574,IF($N574="TBO-004",$J574,IF($N574="TBO-ENG",$K574,0))))))</f>
        <v/>
      </c>
    </row>
    <row r="575">
      <c r="H575" s="31">
        <f>IF($A575="","",IF($D575="Evet",ROUND($C575*tbo_oranBesPuan,2),0))</f>
        <v/>
      </c>
      <c r="I575" s="31">
        <f>IF($A575="","",IF($E575="Evet",ROUND($C575*tbo_oranIlave,2),0))</f>
        <v/>
      </c>
      <c r="J575" s="31">
        <f>IF($A575="","",IF($F575="Evet",ROUND($C575*tbo_oranKadinGenc,2),0))</f>
        <v/>
      </c>
      <c r="K575" s="31">
        <f>IF($A575="","",IF($G575="Evet",ROUND($C575*tbo_isverenOran,2),0))</f>
        <v/>
      </c>
      <c r="L575" s="31">
        <f>IF($A575="","",IF($M575=0,"YOK",IF($I575=$M575,"TBO-002",IF($H575=$M575,"TBO-001",IF($J575=$M575,"TBO-004","TBO-ENG")))))</f>
        <v/>
      </c>
      <c r="M575" s="31">
        <f>IF($A575="","",MAX($H575,$I575,$J575,$K575))</f>
        <v/>
      </c>
      <c r="O575" s="31">
        <f>IF($A575="","",MAX(0,$M575-IF($N575="TBO-001",$H575,IF($N575="TBO-002",$I575,IF($N575="TBO-004",$J575,IF($N575="TBO-ENG",$K575,0))))))</f>
        <v/>
      </c>
    </row>
    <row r="576">
      <c r="H576" s="31">
        <f>IF($A576="","",IF($D576="Evet",ROUND($C576*tbo_oranBesPuan,2),0))</f>
        <v/>
      </c>
      <c r="I576" s="31">
        <f>IF($A576="","",IF($E576="Evet",ROUND($C576*tbo_oranIlave,2),0))</f>
        <v/>
      </c>
      <c r="J576" s="31">
        <f>IF($A576="","",IF($F576="Evet",ROUND($C576*tbo_oranKadinGenc,2),0))</f>
        <v/>
      </c>
      <c r="K576" s="31">
        <f>IF($A576="","",IF($G576="Evet",ROUND($C576*tbo_isverenOran,2),0))</f>
        <v/>
      </c>
      <c r="L576" s="31">
        <f>IF($A576="","",IF($M576=0,"YOK",IF($I576=$M576,"TBO-002",IF($H576=$M576,"TBO-001",IF($J576=$M576,"TBO-004","TBO-ENG")))))</f>
        <v/>
      </c>
      <c r="M576" s="31">
        <f>IF($A576="","",MAX($H576,$I576,$J576,$K576))</f>
        <v/>
      </c>
      <c r="O576" s="31">
        <f>IF($A576="","",MAX(0,$M576-IF($N576="TBO-001",$H576,IF($N576="TBO-002",$I576,IF($N576="TBO-004",$J576,IF($N576="TBO-ENG",$K576,0))))))</f>
        <v/>
      </c>
    </row>
    <row r="577">
      <c r="H577" s="31">
        <f>IF($A577="","",IF($D577="Evet",ROUND($C577*tbo_oranBesPuan,2),0))</f>
        <v/>
      </c>
      <c r="I577" s="31">
        <f>IF($A577="","",IF($E577="Evet",ROUND($C577*tbo_oranIlave,2),0))</f>
        <v/>
      </c>
      <c r="J577" s="31">
        <f>IF($A577="","",IF($F577="Evet",ROUND($C577*tbo_oranKadinGenc,2),0))</f>
        <v/>
      </c>
      <c r="K577" s="31">
        <f>IF($A577="","",IF($G577="Evet",ROUND($C577*tbo_isverenOran,2),0))</f>
        <v/>
      </c>
      <c r="L577" s="31">
        <f>IF($A577="","",IF($M577=0,"YOK",IF($I577=$M577,"TBO-002",IF($H577=$M577,"TBO-001",IF($J577=$M577,"TBO-004","TBO-ENG")))))</f>
        <v/>
      </c>
      <c r="M577" s="31">
        <f>IF($A577="","",MAX($H577,$I577,$J577,$K577))</f>
        <v/>
      </c>
      <c r="O577" s="31">
        <f>IF($A577="","",MAX(0,$M577-IF($N577="TBO-001",$H577,IF($N577="TBO-002",$I577,IF($N577="TBO-004",$J577,IF($N577="TBO-ENG",$K577,0))))))</f>
        <v/>
      </c>
    </row>
    <row r="578">
      <c r="H578" s="31">
        <f>IF($A578="","",IF($D578="Evet",ROUND($C578*tbo_oranBesPuan,2),0))</f>
        <v/>
      </c>
      <c r="I578" s="31">
        <f>IF($A578="","",IF($E578="Evet",ROUND($C578*tbo_oranIlave,2),0))</f>
        <v/>
      </c>
      <c r="J578" s="31">
        <f>IF($A578="","",IF($F578="Evet",ROUND($C578*tbo_oranKadinGenc,2),0))</f>
        <v/>
      </c>
      <c r="K578" s="31">
        <f>IF($A578="","",IF($G578="Evet",ROUND($C578*tbo_isverenOran,2),0))</f>
        <v/>
      </c>
      <c r="L578" s="31">
        <f>IF($A578="","",IF($M578=0,"YOK",IF($I578=$M578,"TBO-002",IF($H578=$M578,"TBO-001",IF($J578=$M578,"TBO-004","TBO-ENG")))))</f>
        <v/>
      </c>
      <c r="M578" s="31">
        <f>IF($A578="","",MAX($H578,$I578,$J578,$K578))</f>
        <v/>
      </c>
      <c r="O578" s="31">
        <f>IF($A578="","",MAX(0,$M578-IF($N578="TBO-001",$H578,IF($N578="TBO-002",$I578,IF($N578="TBO-004",$J578,IF($N578="TBO-ENG",$K578,0))))))</f>
        <v/>
      </c>
    </row>
    <row r="579">
      <c r="H579" s="31">
        <f>IF($A579="","",IF($D579="Evet",ROUND($C579*tbo_oranBesPuan,2),0))</f>
        <v/>
      </c>
      <c r="I579" s="31">
        <f>IF($A579="","",IF($E579="Evet",ROUND($C579*tbo_oranIlave,2),0))</f>
        <v/>
      </c>
      <c r="J579" s="31">
        <f>IF($A579="","",IF($F579="Evet",ROUND($C579*tbo_oranKadinGenc,2),0))</f>
        <v/>
      </c>
      <c r="K579" s="31">
        <f>IF($A579="","",IF($G579="Evet",ROUND($C579*tbo_isverenOran,2),0))</f>
        <v/>
      </c>
      <c r="L579" s="31">
        <f>IF($A579="","",IF($M579=0,"YOK",IF($I579=$M579,"TBO-002",IF($H579=$M579,"TBO-001",IF($J579=$M579,"TBO-004","TBO-ENG")))))</f>
        <v/>
      </c>
      <c r="M579" s="31">
        <f>IF($A579="","",MAX($H579,$I579,$J579,$K579))</f>
        <v/>
      </c>
      <c r="O579" s="31">
        <f>IF($A579="","",MAX(0,$M579-IF($N579="TBO-001",$H579,IF($N579="TBO-002",$I579,IF($N579="TBO-004",$J579,IF($N579="TBO-ENG",$K579,0))))))</f>
        <v/>
      </c>
    </row>
    <row r="580">
      <c r="H580" s="31">
        <f>IF($A580="","",IF($D580="Evet",ROUND($C580*tbo_oranBesPuan,2),0))</f>
        <v/>
      </c>
      <c r="I580" s="31">
        <f>IF($A580="","",IF($E580="Evet",ROUND($C580*tbo_oranIlave,2),0))</f>
        <v/>
      </c>
      <c r="J580" s="31">
        <f>IF($A580="","",IF($F580="Evet",ROUND($C580*tbo_oranKadinGenc,2),0))</f>
        <v/>
      </c>
      <c r="K580" s="31">
        <f>IF($A580="","",IF($G580="Evet",ROUND($C580*tbo_isverenOran,2),0))</f>
        <v/>
      </c>
      <c r="L580" s="31">
        <f>IF($A580="","",IF($M580=0,"YOK",IF($I580=$M580,"TBO-002",IF($H580=$M580,"TBO-001",IF($J580=$M580,"TBO-004","TBO-ENG")))))</f>
        <v/>
      </c>
      <c r="M580" s="31">
        <f>IF($A580="","",MAX($H580,$I580,$J580,$K580))</f>
        <v/>
      </c>
      <c r="O580" s="31">
        <f>IF($A580="","",MAX(0,$M580-IF($N580="TBO-001",$H580,IF($N580="TBO-002",$I580,IF($N580="TBO-004",$J580,IF($N580="TBO-ENG",$K580,0))))))</f>
        <v/>
      </c>
    </row>
    <row r="581">
      <c r="H581" s="31">
        <f>IF($A581="","",IF($D581="Evet",ROUND($C581*tbo_oranBesPuan,2),0))</f>
        <v/>
      </c>
      <c r="I581" s="31">
        <f>IF($A581="","",IF($E581="Evet",ROUND($C581*tbo_oranIlave,2),0))</f>
        <v/>
      </c>
      <c r="J581" s="31">
        <f>IF($A581="","",IF($F581="Evet",ROUND($C581*tbo_oranKadinGenc,2),0))</f>
        <v/>
      </c>
      <c r="K581" s="31">
        <f>IF($A581="","",IF($G581="Evet",ROUND($C581*tbo_isverenOran,2),0))</f>
        <v/>
      </c>
      <c r="L581" s="31">
        <f>IF($A581="","",IF($M581=0,"YOK",IF($I581=$M581,"TBO-002",IF($H581=$M581,"TBO-001",IF($J581=$M581,"TBO-004","TBO-ENG")))))</f>
        <v/>
      </c>
      <c r="M581" s="31">
        <f>IF($A581="","",MAX($H581,$I581,$J581,$K581))</f>
        <v/>
      </c>
      <c r="O581" s="31">
        <f>IF($A581="","",MAX(0,$M581-IF($N581="TBO-001",$H581,IF($N581="TBO-002",$I581,IF($N581="TBO-004",$J581,IF($N581="TBO-ENG",$K581,0))))))</f>
        <v/>
      </c>
    </row>
    <row r="582">
      <c r="H582" s="31">
        <f>IF($A582="","",IF($D582="Evet",ROUND($C582*tbo_oranBesPuan,2),0))</f>
        <v/>
      </c>
      <c r="I582" s="31">
        <f>IF($A582="","",IF($E582="Evet",ROUND($C582*tbo_oranIlave,2),0))</f>
        <v/>
      </c>
      <c r="J582" s="31">
        <f>IF($A582="","",IF($F582="Evet",ROUND($C582*tbo_oranKadinGenc,2),0))</f>
        <v/>
      </c>
      <c r="K582" s="31">
        <f>IF($A582="","",IF($G582="Evet",ROUND($C582*tbo_isverenOran,2),0))</f>
        <v/>
      </c>
      <c r="L582" s="31">
        <f>IF($A582="","",IF($M582=0,"YOK",IF($I582=$M582,"TBO-002",IF($H582=$M582,"TBO-001",IF($J582=$M582,"TBO-004","TBO-ENG")))))</f>
        <v/>
      </c>
      <c r="M582" s="31">
        <f>IF($A582="","",MAX($H582,$I582,$J582,$K582))</f>
        <v/>
      </c>
      <c r="O582" s="31">
        <f>IF($A582="","",MAX(0,$M582-IF($N582="TBO-001",$H582,IF($N582="TBO-002",$I582,IF($N582="TBO-004",$J582,IF($N582="TBO-ENG",$K582,0))))))</f>
        <v/>
      </c>
    </row>
    <row r="583">
      <c r="H583" s="31">
        <f>IF($A583="","",IF($D583="Evet",ROUND($C583*tbo_oranBesPuan,2),0))</f>
        <v/>
      </c>
      <c r="I583" s="31">
        <f>IF($A583="","",IF($E583="Evet",ROUND($C583*tbo_oranIlave,2),0))</f>
        <v/>
      </c>
      <c r="J583" s="31">
        <f>IF($A583="","",IF($F583="Evet",ROUND($C583*tbo_oranKadinGenc,2),0))</f>
        <v/>
      </c>
      <c r="K583" s="31">
        <f>IF($A583="","",IF($G583="Evet",ROUND($C583*tbo_isverenOran,2),0))</f>
        <v/>
      </c>
      <c r="L583" s="31">
        <f>IF($A583="","",IF($M583=0,"YOK",IF($I583=$M583,"TBO-002",IF($H583=$M583,"TBO-001",IF($J583=$M583,"TBO-004","TBO-ENG")))))</f>
        <v/>
      </c>
      <c r="M583" s="31">
        <f>IF($A583="","",MAX($H583,$I583,$J583,$K583))</f>
        <v/>
      </c>
      <c r="O583" s="31">
        <f>IF($A583="","",MAX(0,$M583-IF($N583="TBO-001",$H583,IF($N583="TBO-002",$I583,IF($N583="TBO-004",$J583,IF($N583="TBO-ENG",$K583,0))))))</f>
        <v/>
      </c>
    </row>
    <row r="584">
      <c r="H584" s="31">
        <f>IF($A584="","",IF($D584="Evet",ROUND($C584*tbo_oranBesPuan,2),0))</f>
        <v/>
      </c>
      <c r="I584" s="31">
        <f>IF($A584="","",IF($E584="Evet",ROUND($C584*tbo_oranIlave,2),0))</f>
        <v/>
      </c>
      <c r="J584" s="31">
        <f>IF($A584="","",IF($F584="Evet",ROUND($C584*tbo_oranKadinGenc,2),0))</f>
        <v/>
      </c>
      <c r="K584" s="31">
        <f>IF($A584="","",IF($G584="Evet",ROUND($C584*tbo_isverenOran,2),0))</f>
        <v/>
      </c>
      <c r="L584" s="31">
        <f>IF($A584="","",IF($M584=0,"YOK",IF($I584=$M584,"TBO-002",IF($H584=$M584,"TBO-001",IF($J584=$M584,"TBO-004","TBO-ENG")))))</f>
        <v/>
      </c>
      <c r="M584" s="31">
        <f>IF($A584="","",MAX($H584,$I584,$J584,$K584))</f>
        <v/>
      </c>
      <c r="O584" s="31">
        <f>IF($A584="","",MAX(0,$M584-IF($N584="TBO-001",$H584,IF($N584="TBO-002",$I584,IF($N584="TBO-004",$J584,IF($N584="TBO-ENG",$K584,0))))))</f>
        <v/>
      </c>
    </row>
    <row r="585">
      <c r="H585" s="31">
        <f>IF($A585="","",IF($D585="Evet",ROUND($C585*tbo_oranBesPuan,2),0))</f>
        <v/>
      </c>
      <c r="I585" s="31">
        <f>IF($A585="","",IF($E585="Evet",ROUND($C585*tbo_oranIlave,2),0))</f>
        <v/>
      </c>
      <c r="J585" s="31">
        <f>IF($A585="","",IF($F585="Evet",ROUND($C585*tbo_oranKadinGenc,2),0))</f>
        <v/>
      </c>
      <c r="K585" s="31">
        <f>IF($A585="","",IF($G585="Evet",ROUND($C585*tbo_isverenOran,2),0))</f>
        <v/>
      </c>
      <c r="L585" s="31">
        <f>IF($A585="","",IF($M585=0,"YOK",IF($I585=$M585,"TBO-002",IF($H585=$M585,"TBO-001",IF($J585=$M585,"TBO-004","TBO-ENG")))))</f>
        <v/>
      </c>
      <c r="M585" s="31">
        <f>IF($A585="","",MAX($H585,$I585,$J585,$K585))</f>
        <v/>
      </c>
      <c r="O585" s="31">
        <f>IF($A585="","",MAX(0,$M585-IF($N585="TBO-001",$H585,IF($N585="TBO-002",$I585,IF($N585="TBO-004",$J585,IF($N585="TBO-ENG",$K585,0))))))</f>
        <v/>
      </c>
    </row>
    <row r="586">
      <c r="H586" s="31">
        <f>IF($A586="","",IF($D586="Evet",ROUND($C586*tbo_oranBesPuan,2),0))</f>
        <v/>
      </c>
      <c r="I586" s="31">
        <f>IF($A586="","",IF($E586="Evet",ROUND($C586*tbo_oranIlave,2),0))</f>
        <v/>
      </c>
      <c r="J586" s="31">
        <f>IF($A586="","",IF($F586="Evet",ROUND($C586*tbo_oranKadinGenc,2),0))</f>
        <v/>
      </c>
      <c r="K586" s="31">
        <f>IF($A586="","",IF($G586="Evet",ROUND($C586*tbo_isverenOran,2),0))</f>
        <v/>
      </c>
      <c r="L586" s="31">
        <f>IF($A586="","",IF($M586=0,"YOK",IF($I586=$M586,"TBO-002",IF($H586=$M586,"TBO-001",IF($J586=$M586,"TBO-004","TBO-ENG")))))</f>
        <v/>
      </c>
      <c r="M586" s="31">
        <f>IF($A586="","",MAX($H586,$I586,$J586,$K586))</f>
        <v/>
      </c>
      <c r="O586" s="31">
        <f>IF($A586="","",MAX(0,$M586-IF($N586="TBO-001",$H586,IF($N586="TBO-002",$I586,IF($N586="TBO-004",$J586,IF($N586="TBO-ENG",$K586,0))))))</f>
        <v/>
      </c>
    </row>
    <row r="587">
      <c r="H587" s="31">
        <f>IF($A587="","",IF($D587="Evet",ROUND($C587*tbo_oranBesPuan,2),0))</f>
        <v/>
      </c>
      <c r="I587" s="31">
        <f>IF($A587="","",IF($E587="Evet",ROUND($C587*tbo_oranIlave,2),0))</f>
        <v/>
      </c>
      <c r="J587" s="31">
        <f>IF($A587="","",IF($F587="Evet",ROUND($C587*tbo_oranKadinGenc,2),0))</f>
        <v/>
      </c>
      <c r="K587" s="31">
        <f>IF($A587="","",IF($G587="Evet",ROUND($C587*tbo_isverenOran,2),0))</f>
        <v/>
      </c>
      <c r="L587" s="31">
        <f>IF($A587="","",IF($M587=0,"YOK",IF($I587=$M587,"TBO-002",IF($H587=$M587,"TBO-001",IF($J587=$M587,"TBO-004","TBO-ENG")))))</f>
        <v/>
      </c>
      <c r="M587" s="31">
        <f>IF($A587="","",MAX($H587,$I587,$J587,$K587))</f>
        <v/>
      </c>
      <c r="O587" s="31">
        <f>IF($A587="","",MAX(0,$M587-IF($N587="TBO-001",$H587,IF($N587="TBO-002",$I587,IF($N587="TBO-004",$J587,IF($N587="TBO-ENG",$K587,0))))))</f>
        <v/>
      </c>
    </row>
    <row r="588">
      <c r="H588" s="31">
        <f>IF($A588="","",IF($D588="Evet",ROUND($C588*tbo_oranBesPuan,2),0))</f>
        <v/>
      </c>
      <c r="I588" s="31">
        <f>IF($A588="","",IF($E588="Evet",ROUND($C588*tbo_oranIlave,2),0))</f>
        <v/>
      </c>
      <c r="J588" s="31">
        <f>IF($A588="","",IF($F588="Evet",ROUND($C588*tbo_oranKadinGenc,2),0))</f>
        <v/>
      </c>
      <c r="K588" s="31">
        <f>IF($A588="","",IF($G588="Evet",ROUND($C588*tbo_isverenOran,2),0))</f>
        <v/>
      </c>
      <c r="L588" s="31">
        <f>IF($A588="","",IF($M588=0,"YOK",IF($I588=$M588,"TBO-002",IF($H588=$M588,"TBO-001",IF($J588=$M588,"TBO-004","TBO-ENG")))))</f>
        <v/>
      </c>
      <c r="M588" s="31">
        <f>IF($A588="","",MAX($H588,$I588,$J588,$K588))</f>
        <v/>
      </c>
      <c r="O588" s="31">
        <f>IF($A588="","",MAX(0,$M588-IF($N588="TBO-001",$H588,IF($N588="TBO-002",$I588,IF($N588="TBO-004",$J588,IF($N588="TBO-ENG",$K588,0))))))</f>
        <v/>
      </c>
    </row>
    <row r="589">
      <c r="H589" s="31">
        <f>IF($A589="","",IF($D589="Evet",ROUND($C589*tbo_oranBesPuan,2),0))</f>
        <v/>
      </c>
      <c r="I589" s="31">
        <f>IF($A589="","",IF($E589="Evet",ROUND($C589*tbo_oranIlave,2),0))</f>
        <v/>
      </c>
      <c r="J589" s="31">
        <f>IF($A589="","",IF($F589="Evet",ROUND($C589*tbo_oranKadinGenc,2),0))</f>
        <v/>
      </c>
      <c r="K589" s="31">
        <f>IF($A589="","",IF($G589="Evet",ROUND($C589*tbo_isverenOran,2),0))</f>
        <v/>
      </c>
      <c r="L589" s="31">
        <f>IF($A589="","",IF($M589=0,"YOK",IF($I589=$M589,"TBO-002",IF($H589=$M589,"TBO-001",IF($J589=$M589,"TBO-004","TBO-ENG")))))</f>
        <v/>
      </c>
      <c r="M589" s="31">
        <f>IF($A589="","",MAX($H589,$I589,$J589,$K589))</f>
        <v/>
      </c>
      <c r="O589" s="31">
        <f>IF($A589="","",MAX(0,$M589-IF($N589="TBO-001",$H589,IF($N589="TBO-002",$I589,IF($N589="TBO-004",$J589,IF($N589="TBO-ENG",$K589,0))))))</f>
        <v/>
      </c>
    </row>
    <row r="590">
      <c r="H590" s="31">
        <f>IF($A590="","",IF($D590="Evet",ROUND($C590*tbo_oranBesPuan,2),0))</f>
        <v/>
      </c>
      <c r="I590" s="31">
        <f>IF($A590="","",IF($E590="Evet",ROUND($C590*tbo_oranIlave,2),0))</f>
        <v/>
      </c>
      <c r="J590" s="31">
        <f>IF($A590="","",IF($F590="Evet",ROUND($C590*tbo_oranKadinGenc,2),0))</f>
        <v/>
      </c>
      <c r="K590" s="31">
        <f>IF($A590="","",IF($G590="Evet",ROUND($C590*tbo_isverenOran,2),0))</f>
        <v/>
      </c>
      <c r="L590" s="31">
        <f>IF($A590="","",IF($M590=0,"YOK",IF($I590=$M590,"TBO-002",IF($H590=$M590,"TBO-001",IF($J590=$M590,"TBO-004","TBO-ENG")))))</f>
        <v/>
      </c>
      <c r="M590" s="31">
        <f>IF($A590="","",MAX($H590,$I590,$J590,$K590))</f>
        <v/>
      </c>
      <c r="O590" s="31">
        <f>IF($A590="","",MAX(0,$M590-IF($N590="TBO-001",$H590,IF($N590="TBO-002",$I590,IF($N590="TBO-004",$J590,IF($N590="TBO-ENG",$K590,0))))))</f>
        <v/>
      </c>
    </row>
    <row r="591">
      <c r="H591" s="31">
        <f>IF($A591="","",IF($D591="Evet",ROUND($C591*tbo_oranBesPuan,2),0))</f>
        <v/>
      </c>
      <c r="I591" s="31">
        <f>IF($A591="","",IF($E591="Evet",ROUND($C591*tbo_oranIlave,2),0))</f>
        <v/>
      </c>
      <c r="J591" s="31">
        <f>IF($A591="","",IF($F591="Evet",ROUND($C591*tbo_oranKadinGenc,2),0))</f>
        <v/>
      </c>
      <c r="K591" s="31">
        <f>IF($A591="","",IF($G591="Evet",ROUND($C591*tbo_isverenOran,2),0))</f>
        <v/>
      </c>
      <c r="L591" s="31">
        <f>IF($A591="","",IF($M591=0,"YOK",IF($I591=$M591,"TBO-002",IF($H591=$M591,"TBO-001",IF($J591=$M591,"TBO-004","TBO-ENG")))))</f>
        <v/>
      </c>
      <c r="M591" s="31">
        <f>IF($A591="","",MAX($H591,$I591,$J591,$K591))</f>
        <v/>
      </c>
      <c r="O591" s="31">
        <f>IF($A591="","",MAX(0,$M591-IF($N591="TBO-001",$H591,IF($N591="TBO-002",$I591,IF($N591="TBO-004",$J591,IF($N591="TBO-ENG",$K591,0))))))</f>
        <v/>
      </c>
    </row>
    <row r="592">
      <c r="H592" s="31">
        <f>IF($A592="","",IF($D592="Evet",ROUND($C592*tbo_oranBesPuan,2),0))</f>
        <v/>
      </c>
      <c r="I592" s="31">
        <f>IF($A592="","",IF($E592="Evet",ROUND($C592*tbo_oranIlave,2),0))</f>
        <v/>
      </c>
      <c r="J592" s="31">
        <f>IF($A592="","",IF($F592="Evet",ROUND($C592*tbo_oranKadinGenc,2),0))</f>
        <v/>
      </c>
      <c r="K592" s="31">
        <f>IF($A592="","",IF($G592="Evet",ROUND($C592*tbo_isverenOran,2),0))</f>
        <v/>
      </c>
      <c r="L592" s="31">
        <f>IF($A592="","",IF($M592=0,"YOK",IF($I592=$M592,"TBO-002",IF($H592=$M592,"TBO-001",IF($J592=$M592,"TBO-004","TBO-ENG")))))</f>
        <v/>
      </c>
      <c r="M592" s="31">
        <f>IF($A592="","",MAX($H592,$I592,$J592,$K592))</f>
        <v/>
      </c>
      <c r="O592" s="31">
        <f>IF($A592="","",MAX(0,$M592-IF($N592="TBO-001",$H592,IF($N592="TBO-002",$I592,IF($N592="TBO-004",$J592,IF($N592="TBO-ENG",$K592,0))))))</f>
        <v/>
      </c>
    </row>
    <row r="593">
      <c r="H593" s="31">
        <f>IF($A593="","",IF($D593="Evet",ROUND($C593*tbo_oranBesPuan,2),0))</f>
        <v/>
      </c>
      <c r="I593" s="31">
        <f>IF($A593="","",IF($E593="Evet",ROUND($C593*tbo_oranIlave,2),0))</f>
        <v/>
      </c>
      <c r="J593" s="31">
        <f>IF($A593="","",IF($F593="Evet",ROUND($C593*tbo_oranKadinGenc,2),0))</f>
        <v/>
      </c>
      <c r="K593" s="31">
        <f>IF($A593="","",IF($G593="Evet",ROUND($C593*tbo_isverenOran,2),0))</f>
        <v/>
      </c>
      <c r="L593" s="31">
        <f>IF($A593="","",IF($M593=0,"YOK",IF($I593=$M593,"TBO-002",IF($H593=$M593,"TBO-001",IF($J593=$M593,"TBO-004","TBO-ENG")))))</f>
        <v/>
      </c>
      <c r="M593" s="31">
        <f>IF($A593="","",MAX($H593,$I593,$J593,$K593))</f>
        <v/>
      </c>
      <c r="O593" s="31">
        <f>IF($A593="","",MAX(0,$M593-IF($N593="TBO-001",$H593,IF($N593="TBO-002",$I593,IF($N593="TBO-004",$J593,IF($N593="TBO-ENG",$K593,0))))))</f>
        <v/>
      </c>
    </row>
    <row r="594">
      <c r="H594" s="31">
        <f>IF($A594="","",IF($D594="Evet",ROUND($C594*tbo_oranBesPuan,2),0))</f>
        <v/>
      </c>
      <c r="I594" s="31">
        <f>IF($A594="","",IF($E594="Evet",ROUND($C594*tbo_oranIlave,2),0))</f>
        <v/>
      </c>
      <c r="J594" s="31">
        <f>IF($A594="","",IF($F594="Evet",ROUND($C594*tbo_oranKadinGenc,2),0))</f>
        <v/>
      </c>
      <c r="K594" s="31">
        <f>IF($A594="","",IF($G594="Evet",ROUND($C594*tbo_isverenOran,2),0))</f>
        <v/>
      </c>
      <c r="L594" s="31">
        <f>IF($A594="","",IF($M594=0,"YOK",IF($I594=$M594,"TBO-002",IF($H594=$M594,"TBO-001",IF($J594=$M594,"TBO-004","TBO-ENG")))))</f>
        <v/>
      </c>
      <c r="M594" s="31">
        <f>IF($A594="","",MAX($H594,$I594,$J594,$K594))</f>
        <v/>
      </c>
      <c r="O594" s="31">
        <f>IF($A594="","",MAX(0,$M594-IF($N594="TBO-001",$H594,IF($N594="TBO-002",$I594,IF($N594="TBO-004",$J594,IF($N594="TBO-ENG",$K594,0))))))</f>
        <v/>
      </c>
    </row>
    <row r="595">
      <c r="H595" s="31">
        <f>IF($A595="","",IF($D595="Evet",ROUND($C595*tbo_oranBesPuan,2),0))</f>
        <v/>
      </c>
      <c r="I595" s="31">
        <f>IF($A595="","",IF($E595="Evet",ROUND($C595*tbo_oranIlave,2),0))</f>
        <v/>
      </c>
      <c r="J595" s="31">
        <f>IF($A595="","",IF($F595="Evet",ROUND($C595*tbo_oranKadinGenc,2),0))</f>
        <v/>
      </c>
      <c r="K595" s="31">
        <f>IF($A595="","",IF($G595="Evet",ROUND($C595*tbo_isverenOran,2),0))</f>
        <v/>
      </c>
      <c r="L595" s="31">
        <f>IF($A595="","",IF($M595=0,"YOK",IF($I595=$M595,"TBO-002",IF($H595=$M595,"TBO-001",IF($J595=$M595,"TBO-004","TBO-ENG")))))</f>
        <v/>
      </c>
      <c r="M595" s="31">
        <f>IF($A595="","",MAX($H595,$I595,$J595,$K595))</f>
        <v/>
      </c>
      <c r="O595" s="31">
        <f>IF($A595="","",MAX(0,$M595-IF($N595="TBO-001",$H595,IF($N595="TBO-002",$I595,IF($N595="TBO-004",$J595,IF($N595="TBO-ENG",$K595,0))))))</f>
        <v/>
      </c>
    </row>
    <row r="596">
      <c r="H596" s="31">
        <f>IF($A596="","",IF($D596="Evet",ROUND($C596*tbo_oranBesPuan,2),0))</f>
        <v/>
      </c>
      <c r="I596" s="31">
        <f>IF($A596="","",IF($E596="Evet",ROUND($C596*tbo_oranIlave,2),0))</f>
        <v/>
      </c>
      <c r="J596" s="31">
        <f>IF($A596="","",IF($F596="Evet",ROUND($C596*tbo_oranKadinGenc,2),0))</f>
        <v/>
      </c>
      <c r="K596" s="31">
        <f>IF($A596="","",IF($G596="Evet",ROUND($C596*tbo_isverenOran,2),0))</f>
        <v/>
      </c>
      <c r="L596" s="31">
        <f>IF($A596="","",IF($M596=0,"YOK",IF($I596=$M596,"TBO-002",IF($H596=$M596,"TBO-001",IF($J596=$M596,"TBO-004","TBO-ENG")))))</f>
        <v/>
      </c>
      <c r="M596" s="31">
        <f>IF($A596="","",MAX($H596,$I596,$J596,$K596))</f>
        <v/>
      </c>
      <c r="O596" s="31">
        <f>IF($A596="","",MAX(0,$M596-IF($N596="TBO-001",$H596,IF($N596="TBO-002",$I596,IF($N596="TBO-004",$J596,IF($N596="TBO-ENG",$K596,0))))))</f>
        <v/>
      </c>
    </row>
    <row r="597">
      <c r="H597" s="31">
        <f>IF($A597="","",IF($D597="Evet",ROUND($C597*tbo_oranBesPuan,2),0))</f>
        <v/>
      </c>
      <c r="I597" s="31">
        <f>IF($A597="","",IF($E597="Evet",ROUND($C597*tbo_oranIlave,2),0))</f>
        <v/>
      </c>
      <c r="J597" s="31">
        <f>IF($A597="","",IF($F597="Evet",ROUND($C597*tbo_oranKadinGenc,2),0))</f>
        <v/>
      </c>
      <c r="K597" s="31">
        <f>IF($A597="","",IF($G597="Evet",ROUND($C597*tbo_isverenOran,2),0))</f>
        <v/>
      </c>
      <c r="L597" s="31">
        <f>IF($A597="","",IF($M597=0,"YOK",IF($I597=$M597,"TBO-002",IF($H597=$M597,"TBO-001",IF($J597=$M597,"TBO-004","TBO-ENG")))))</f>
        <v/>
      </c>
      <c r="M597" s="31">
        <f>IF($A597="","",MAX($H597,$I597,$J597,$K597))</f>
        <v/>
      </c>
      <c r="O597" s="31">
        <f>IF($A597="","",MAX(0,$M597-IF($N597="TBO-001",$H597,IF($N597="TBO-002",$I597,IF($N597="TBO-004",$J597,IF($N597="TBO-ENG",$K597,0))))))</f>
        <v/>
      </c>
    </row>
    <row r="598">
      <c r="H598" s="31">
        <f>IF($A598="","",IF($D598="Evet",ROUND($C598*tbo_oranBesPuan,2),0))</f>
        <v/>
      </c>
      <c r="I598" s="31">
        <f>IF($A598="","",IF($E598="Evet",ROUND($C598*tbo_oranIlave,2),0))</f>
        <v/>
      </c>
      <c r="J598" s="31">
        <f>IF($A598="","",IF($F598="Evet",ROUND($C598*tbo_oranKadinGenc,2),0))</f>
        <v/>
      </c>
      <c r="K598" s="31">
        <f>IF($A598="","",IF($G598="Evet",ROUND($C598*tbo_isverenOran,2),0))</f>
        <v/>
      </c>
      <c r="L598" s="31">
        <f>IF($A598="","",IF($M598=0,"YOK",IF($I598=$M598,"TBO-002",IF($H598=$M598,"TBO-001",IF($J598=$M598,"TBO-004","TBO-ENG")))))</f>
        <v/>
      </c>
      <c r="M598" s="31">
        <f>IF($A598="","",MAX($H598,$I598,$J598,$K598))</f>
        <v/>
      </c>
      <c r="O598" s="31">
        <f>IF($A598="","",MAX(0,$M598-IF($N598="TBO-001",$H598,IF($N598="TBO-002",$I598,IF($N598="TBO-004",$J598,IF($N598="TBO-ENG",$K598,0))))))</f>
        <v/>
      </c>
    </row>
    <row r="599">
      <c r="H599" s="31">
        <f>IF($A599="","",IF($D599="Evet",ROUND($C599*tbo_oranBesPuan,2),0))</f>
        <v/>
      </c>
      <c r="I599" s="31">
        <f>IF($A599="","",IF($E599="Evet",ROUND($C599*tbo_oranIlave,2),0))</f>
        <v/>
      </c>
      <c r="J599" s="31">
        <f>IF($A599="","",IF($F599="Evet",ROUND($C599*tbo_oranKadinGenc,2),0))</f>
        <v/>
      </c>
      <c r="K599" s="31">
        <f>IF($A599="","",IF($G599="Evet",ROUND($C599*tbo_isverenOran,2),0))</f>
        <v/>
      </c>
      <c r="L599" s="31">
        <f>IF($A599="","",IF($M599=0,"YOK",IF($I599=$M599,"TBO-002",IF($H599=$M599,"TBO-001",IF($J599=$M599,"TBO-004","TBO-ENG")))))</f>
        <v/>
      </c>
      <c r="M599" s="31">
        <f>IF($A599="","",MAX($H599,$I599,$J599,$K599))</f>
        <v/>
      </c>
      <c r="O599" s="31">
        <f>IF($A599="","",MAX(0,$M599-IF($N599="TBO-001",$H599,IF($N599="TBO-002",$I599,IF($N599="TBO-004",$J599,IF($N599="TBO-ENG",$K599,0))))))</f>
        <v/>
      </c>
    </row>
    <row r="600">
      <c r="H600" s="31">
        <f>IF($A600="","",IF($D600="Evet",ROUND($C600*tbo_oranBesPuan,2),0))</f>
        <v/>
      </c>
      <c r="I600" s="31">
        <f>IF($A600="","",IF($E600="Evet",ROUND($C600*tbo_oranIlave,2),0))</f>
        <v/>
      </c>
      <c r="J600" s="31">
        <f>IF($A600="","",IF($F600="Evet",ROUND($C600*tbo_oranKadinGenc,2),0))</f>
        <v/>
      </c>
      <c r="K600" s="31">
        <f>IF($A600="","",IF($G600="Evet",ROUND($C600*tbo_isverenOran,2),0))</f>
        <v/>
      </c>
      <c r="L600" s="31">
        <f>IF($A600="","",IF($M600=0,"YOK",IF($I600=$M600,"TBO-002",IF($H600=$M600,"TBO-001",IF($J600=$M600,"TBO-004","TBO-ENG")))))</f>
        <v/>
      </c>
      <c r="M600" s="31">
        <f>IF($A600="","",MAX($H600,$I600,$J600,$K600))</f>
        <v/>
      </c>
      <c r="O600" s="31">
        <f>IF($A600="","",MAX(0,$M600-IF($N600="TBO-001",$H600,IF($N600="TBO-002",$I600,IF($N600="TBO-004",$J600,IF($N600="TBO-ENG",$K600,0))))))</f>
        <v/>
      </c>
    </row>
    <row r="601">
      <c r="H601" s="31">
        <f>IF($A601="","",IF($D601="Evet",ROUND($C601*tbo_oranBesPuan,2),0))</f>
        <v/>
      </c>
      <c r="I601" s="31">
        <f>IF($A601="","",IF($E601="Evet",ROUND($C601*tbo_oranIlave,2),0))</f>
        <v/>
      </c>
      <c r="J601" s="31">
        <f>IF($A601="","",IF($F601="Evet",ROUND($C601*tbo_oranKadinGenc,2),0))</f>
        <v/>
      </c>
      <c r="K601" s="31">
        <f>IF($A601="","",IF($G601="Evet",ROUND($C601*tbo_isverenOran,2),0))</f>
        <v/>
      </c>
      <c r="L601" s="31">
        <f>IF($A601="","",IF($M601=0,"YOK",IF($I601=$M601,"TBO-002",IF($H601=$M601,"TBO-001",IF($J601=$M601,"TBO-004","TBO-ENG")))))</f>
        <v/>
      </c>
      <c r="M601" s="31">
        <f>IF($A601="","",MAX($H601,$I601,$J601,$K601))</f>
        <v/>
      </c>
      <c r="O601" s="31">
        <f>IF($A601="","",MAX(0,$M601-IF($N601="TBO-001",$H601,IF($N601="TBO-002",$I601,IF($N601="TBO-004",$J601,IF($N601="TBO-ENG",$K601,0))))))</f>
        <v/>
      </c>
    </row>
    <row r="602">
      <c r="H602" s="31">
        <f>IF($A602="","",IF($D602="Evet",ROUND($C602*tbo_oranBesPuan,2),0))</f>
        <v/>
      </c>
      <c r="I602" s="31">
        <f>IF($A602="","",IF($E602="Evet",ROUND($C602*tbo_oranIlave,2),0))</f>
        <v/>
      </c>
      <c r="J602" s="31">
        <f>IF($A602="","",IF($F602="Evet",ROUND($C602*tbo_oranKadinGenc,2),0))</f>
        <v/>
      </c>
      <c r="K602" s="31">
        <f>IF($A602="","",IF($G602="Evet",ROUND($C602*tbo_isverenOran,2),0))</f>
        <v/>
      </c>
      <c r="L602" s="31">
        <f>IF($A602="","",IF($M602=0,"YOK",IF($I602=$M602,"TBO-002",IF($H602=$M602,"TBO-001",IF($J602=$M602,"TBO-004","TBO-ENG")))))</f>
        <v/>
      </c>
      <c r="M602" s="31">
        <f>IF($A602="","",MAX($H602,$I602,$J602,$K602))</f>
        <v/>
      </c>
      <c r="O602" s="31">
        <f>IF($A602="","",MAX(0,$M602-IF($N602="TBO-001",$H602,IF($N602="TBO-002",$I602,IF($N602="TBO-004",$J602,IF($N602="TBO-ENG",$K602,0))))))</f>
        <v/>
      </c>
    </row>
    <row r="603">
      <c r="H603" s="31">
        <f>IF($A603="","",IF($D603="Evet",ROUND($C603*tbo_oranBesPuan,2),0))</f>
        <v/>
      </c>
      <c r="I603" s="31">
        <f>IF($A603="","",IF($E603="Evet",ROUND($C603*tbo_oranIlave,2),0))</f>
        <v/>
      </c>
      <c r="J603" s="31">
        <f>IF($A603="","",IF($F603="Evet",ROUND($C603*tbo_oranKadinGenc,2),0))</f>
        <v/>
      </c>
      <c r="K603" s="31">
        <f>IF($A603="","",IF($G603="Evet",ROUND($C603*tbo_isverenOran,2),0))</f>
        <v/>
      </c>
      <c r="L603" s="31">
        <f>IF($A603="","",IF($M603=0,"YOK",IF($I603=$M603,"TBO-002",IF($H603=$M603,"TBO-001",IF($J603=$M603,"TBO-004","TBO-ENG")))))</f>
        <v/>
      </c>
      <c r="M603" s="31">
        <f>IF($A603="","",MAX($H603,$I603,$J603,$K603))</f>
        <v/>
      </c>
      <c r="O603" s="31">
        <f>IF($A603="","",MAX(0,$M603-IF($N603="TBO-001",$H603,IF($N603="TBO-002",$I603,IF($N603="TBO-004",$J603,IF($N603="TBO-ENG",$K603,0))))))</f>
        <v/>
      </c>
    </row>
    <row r="604">
      <c r="H604" s="31">
        <f>IF($A604="","",IF($D604="Evet",ROUND($C604*tbo_oranBesPuan,2),0))</f>
        <v/>
      </c>
      <c r="I604" s="31">
        <f>IF($A604="","",IF($E604="Evet",ROUND($C604*tbo_oranIlave,2),0))</f>
        <v/>
      </c>
      <c r="J604" s="31">
        <f>IF($A604="","",IF($F604="Evet",ROUND($C604*tbo_oranKadinGenc,2),0))</f>
        <v/>
      </c>
      <c r="K604" s="31">
        <f>IF($A604="","",IF($G604="Evet",ROUND($C604*tbo_isverenOran,2),0))</f>
        <v/>
      </c>
      <c r="L604" s="31">
        <f>IF($A604="","",IF($M604=0,"YOK",IF($I604=$M604,"TBO-002",IF($H604=$M604,"TBO-001",IF($J604=$M604,"TBO-004","TBO-ENG")))))</f>
        <v/>
      </c>
      <c r="M604" s="31">
        <f>IF($A604="","",MAX($H604,$I604,$J604,$K604))</f>
        <v/>
      </c>
      <c r="O604" s="31">
        <f>IF($A604="","",MAX(0,$M604-IF($N604="TBO-001",$H604,IF($N604="TBO-002",$I604,IF($N604="TBO-004",$J604,IF($N604="TBO-ENG",$K604,0))))))</f>
        <v/>
      </c>
    </row>
    <row r="605">
      <c r="H605" s="31">
        <f>IF($A605="","",IF($D605="Evet",ROUND($C605*tbo_oranBesPuan,2),0))</f>
        <v/>
      </c>
      <c r="I605" s="31">
        <f>IF($A605="","",IF($E605="Evet",ROUND($C605*tbo_oranIlave,2),0))</f>
        <v/>
      </c>
      <c r="J605" s="31">
        <f>IF($A605="","",IF($F605="Evet",ROUND($C605*tbo_oranKadinGenc,2),0))</f>
        <v/>
      </c>
      <c r="K605" s="31">
        <f>IF($A605="","",IF($G605="Evet",ROUND($C605*tbo_isverenOran,2),0))</f>
        <v/>
      </c>
      <c r="L605" s="31">
        <f>IF($A605="","",IF($M605=0,"YOK",IF($I605=$M605,"TBO-002",IF($H605=$M605,"TBO-001",IF($J605=$M605,"TBO-004","TBO-ENG")))))</f>
        <v/>
      </c>
      <c r="M605" s="31">
        <f>IF($A605="","",MAX($H605,$I605,$J605,$K605))</f>
        <v/>
      </c>
      <c r="O605" s="31">
        <f>IF($A605="","",MAX(0,$M605-IF($N605="TBO-001",$H605,IF($N605="TBO-002",$I605,IF($N605="TBO-004",$J605,IF($N605="TBO-ENG",$K605,0))))))</f>
        <v/>
      </c>
    </row>
    <row r="606">
      <c r="H606" s="31">
        <f>IF($A606="","",IF($D606="Evet",ROUND($C606*tbo_oranBesPuan,2),0))</f>
        <v/>
      </c>
      <c r="I606" s="31">
        <f>IF($A606="","",IF($E606="Evet",ROUND($C606*tbo_oranIlave,2),0))</f>
        <v/>
      </c>
      <c r="J606" s="31">
        <f>IF($A606="","",IF($F606="Evet",ROUND($C606*tbo_oranKadinGenc,2),0))</f>
        <v/>
      </c>
      <c r="K606" s="31">
        <f>IF($A606="","",IF($G606="Evet",ROUND($C606*tbo_isverenOran,2),0))</f>
        <v/>
      </c>
      <c r="L606" s="31">
        <f>IF($A606="","",IF($M606=0,"YOK",IF($I606=$M606,"TBO-002",IF($H606=$M606,"TBO-001",IF($J606=$M606,"TBO-004","TBO-ENG")))))</f>
        <v/>
      </c>
      <c r="M606" s="31">
        <f>IF($A606="","",MAX($H606,$I606,$J606,$K606))</f>
        <v/>
      </c>
      <c r="O606" s="31">
        <f>IF($A606="","",MAX(0,$M606-IF($N606="TBO-001",$H606,IF($N606="TBO-002",$I606,IF($N606="TBO-004",$J606,IF($N606="TBO-ENG",$K606,0))))))</f>
        <v/>
      </c>
    </row>
    <row r="607">
      <c r="H607" s="31">
        <f>IF($A607="","",IF($D607="Evet",ROUND($C607*tbo_oranBesPuan,2),0))</f>
        <v/>
      </c>
      <c r="I607" s="31">
        <f>IF($A607="","",IF($E607="Evet",ROUND($C607*tbo_oranIlave,2),0))</f>
        <v/>
      </c>
      <c r="J607" s="31">
        <f>IF($A607="","",IF($F607="Evet",ROUND($C607*tbo_oranKadinGenc,2),0))</f>
        <v/>
      </c>
      <c r="K607" s="31">
        <f>IF($A607="","",IF($G607="Evet",ROUND($C607*tbo_isverenOran,2),0))</f>
        <v/>
      </c>
      <c r="L607" s="31">
        <f>IF($A607="","",IF($M607=0,"YOK",IF($I607=$M607,"TBO-002",IF($H607=$M607,"TBO-001",IF($J607=$M607,"TBO-004","TBO-ENG")))))</f>
        <v/>
      </c>
      <c r="M607" s="31">
        <f>IF($A607="","",MAX($H607,$I607,$J607,$K607))</f>
        <v/>
      </c>
      <c r="O607" s="31">
        <f>IF($A607="","",MAX(0,$M607-IF($N607="TBO-001",$H607,IF($N607="TBO-002",$I607,IF($N607="TBO-004",$J607,IF($N607="TBO-ENG",$K607,0))))))</f>
        <v/>
      </c>
    </row>
    <row r="608">
      <c r="H608" s="31">
        <f>IF($A608="","",IF($D608="Evet",ROUND($C608*tbo_oranBesPuan,2),0))</f>
        <v/>
      </c>
      <c r="I608" s="31">
        <f>IF($A608="","",IF($E608="Evet",ROUND($C608*tbo_oranIlave,2),0))</f>
        <v/>
      </c>
      <c r="J608" s="31">
        <f>IF($A608="","",IF($F608="Evet",ROUND($C608*tbo_oranKadinGenc,2),0))</f>
        <v/>
      </c>
      <c r="K608" s="31">
        <f>IF($A608="","",IF($G608="Evet",ROUND($C608*tbo_isverenOran,2),0))</f>
        <v/>
      </c>
      <c r="L608" s="31">
        <f>IF($A608="","",IF($M608=0,"YOK",IF($I608=$M608,"TBO-002",IF($H608=$M608,"TBO-001",IF($J608=$M608,"TBO-004","TBO-ENG")))))</f>
        <v/>
      </c>
      <c r="M608" s="31">
        <f>IF($A608="","",MAX($H608,$I608,$J608,$K608))</f>
        <v/>
      </c>
      <c r="O608" s="31">
        <f>IF($A608="","",MAX(0,$M608-IF($N608="TBO-001",$H608,IF($N608="TBO-002",$I608,IF($N608="TBO-004",$J608,IF($N608="TBO-ENG",$K608,0))))))</f>
        <v/>
      </c>
    </row>
    <row r="609">
      <c r="H609" s="31">
        <f>IF($A609="","",IF($D609="Evet",ROUND($C609*tbo_oranBesPuan,2),0))</f>
        <v/>
      </c>
      <c r="I609" s="31">
        <f>IF($A609="","",IF($E609="Evet",ROUND($C609*tbo_oranIlave,2),0))</f>
        <v/>
      </c>
      <c r="J609" s="31">
        <f>IF($A609="","",IF($F609="Evet",ROUND($C609*tbo_oranKadinGenc,2),0))</f>
        <v/>
      </c>
      <c r="K609" s="31">
        <f>IF($A609="","",IF($G609="Evet",ROUND($C609*tbo_isverenOran,2),0))</f>
        <v/>
      </c>
      <c r="L609" s="31">
        <f>IF($A609="","",IF($M609=0,"YOK",IF($I609=$M609,"TBO-002",IF($H609=$M609,"TBO-001",IF($J609=$M609,"TBO-004","TBO-ENG")))))</f>
        <v/>
      </c>
      <c r="M609" s="31">
        <f>IF($A609="","",MAX($H609,$I609,$J609,$K609))</f>
        <v/>
      </c>
      <c r="O609" s="31">
        <f>IF($A609="","",MAX(0,$M609-IF($N609="TBO-001",$H609,IF($N609="TBO-002",$I609,IF($N609="TBO-004",$J609,IF($N609="TBO-ENG",$K609,0))))))</f>
        <v/>
      </c>
    </row>
    <row r="610">
      <c r="H610" s="31">
        <f>IF($A610="","",IF($D610="Evet",ROUND($C610*tbo_oranBesPuan,2),0))</f>
        <v/>
      </c>
      <c r="I610" s="31">
        <f>IF($A610="","",IF($E610="Evet",ROUND($C610*tbo_oranIlave,2),0))</f>
        <v/>
      </c>
      <c r="J610" s="31">
        <f>IF($A610="","",IF($F610="Evet",ROUND($C610*tbo_oranKadinGenc,2),0))</f>
        <v/>
      </c>
      <c r="K610" s="31">
        <f>IF($A610="","",IF($G610="Evet",ROUND($C610*tbo_isverenOran,2),0))</f>
        <v/>
      </c>
      <c r="L610" s="31">
        <f>IF($A610="","",IF($M610=0,"YOK",IF($I610=$M610,"TBO-002",IF($H610=$M610,"TBO-001",IF($J610=$M610,"TBO-004","TBO-ENG")))))</f>
        <v/>
      </c>
      <c r="M610" s="31">
        <f>IF($A610="","",MAX($H610,$I610,$J610,$K610))</f>
        <v/>
      </c>
      <c r="O610" s="31">
        <f>IF($A610="","",MAX(0,$M610-IF($N610="TBO-001",$H610,IF($N610="TBO-002",$I610,IF($N610="TBO-004",$J610,IF($N610="TBO-ENG",$K610,0))))))</f>
        <v/>
      </c>
    </row>
    <row r="611">
      <c r="H611" s="31">
        <f>IF($A611="","",IF($D611="Evet",ROUND($C611*tbo_oranBesPuan,2),0))</f>
        <v/>
      </c>
      <c r="I611" s="31">
        <f>IF($A611="","",IF($E611="Evet",ROUND($C611*tbo_oranIlave,2),0))</f>
        <v/>
      </c>
      <c r="J611" s="31">
        <f>IF($A611="","",IF($F611="Evet",ROUND($C611*tbo_oranKadinGenc,2),0))</f>
        <v/>
      </c>
      <c r="K611" s="31">
        <f>IF($A611="","",IF($G611="Evet",ROUND($C611*tbo_isverenOran,2),0))</f>
        <v/>
      </c>
      <c r="L611" s="31">
        <f>IF($A611="","",IF($M611=0,"YOK",IF($I611=$M611,"TBO-002",IF($H611=$M611,"TBO-001",IF($J611=$M611,"TBO-004","TBO-ENG")))))</f>
        <v/>
      </c>
      <c r="M611" s="31">
        <f>IF($A611="","",MAX($H611,$I611,$J611,$K611))</f>
        <v/>
      </c>
      <c r="O611" s="31">
        <f>IF($A611="","",MAX(0,$M611-IF($N611="TBO-001",$H611,IF($N611="TBO-002",$I611,IF($N611="TBO-004",$J611,IF($N611="TBO-ENG",$K611,0))))))</f>
        <v/>
      </c>
    </row>
    <row r="612">
      <c r="H612" s="31">
        <f>IF($A612="","",IF($D612="Evet",ROUND($C612*tbo_oranBesPuan,2),0))</f>
        <v/>
      </c>
      <c r="I612" s="31">
        <f>IF($A612="","",IF($E612="Evet",ROUND($C612*tbo_oranIlave,2),0))</f>
        <v/>
      </c>
      <c r="J612" s="31">
        <f>IF($A612="","",IF($F612="Evet",ROUND($C612*tbo_oranKadinGenc,2),0))</f>
        <v/>
      </c>
      <c r="K612" s="31">
        <f>IF($A612="","",IF($G612="Evet",ROUND($C612*tbo_isverenOran,2),0))</f>
        <v/>
      </c>
      <c r="L612" s="31">
        <f>IF($A612="","",IF($M612=0,"YOK",IF($I612=$M612,"TBO-002",IF($H612=$M612,"TBO-001",IF($J612=$M612,"TBO-004","TBO-ENG")))))</f>
        <v/>
      </c>
      <c r="M612" s="31">
        <f>IF($A612="","",MAX($H612,$I612,$J612,$K612))</f>
        <v/>
      </c>
      <c r="O612" s="31">
        <f>IF($A612="","",MAX(0,$M612-IF($N612="TBO-001",$H612,IF($N612="TBO-002",$I612,IF($N612="TBO-004",$J612,IF($N612="TBO-ENG",$K612,0))))))</f>
        <v/>
      </c>
    </row>
    <row r="613">
      <c r="H613" s="31">
        <f>IF($A613="","",IF($D613="Evet",ROUND($C613*tbo_oranBesPuan,2),0))</f>
        <v/>
      </c>
      <c r="I613" s="31">
        <f>IF($A613="","",IF($E613="Evet",ROUND($C613*tbo_oranIlave,2),0))</f>
        <v/>
      </c>
      <c r="J613" s="31">
        <f>IF($A613="","",IF($F613="Evet",ROUND($C613*tbo_oranKadinGenc,2),0))</f>
        <v/>
      </c>
      <c r="K613" s="31">
        <f>IF($A613="","",IF($G613="Evet",ROUND($C613*tbo_isverenOran,2),0))</f>
        <v/>
      </c>
      <c r="L613" s="31">
        <f>IF($A613="","",IF($M613=0,"YOK",IF($I613=$M613,"TBO-002",IF($H613=$M613,"TBO-001",IF($J613=$M613,"TBO-004","TBO-ENG")))))</f>
        <v/>
      </c>
      <c r="M613" s="31">
        <f>IF($A613="","",MAX($H613,$I613,$J613,$K613))</f>
        <v/>
      </c>
      <c r="O613" s="31">
        <f>IF($A613="","",MAX(0,$M613-IF($N613="TBO-001",$H613,IF($N613="TBO-002",$I613,IF($N613="TBO-004",$J613,IF($N613="TBO-ENG",$K613,0))))))</f>
        <v/>
      </c>
    </row>
    <row r="614">
      <c r="H614" s="31">
        <f>IF($A614="","",IF($D614="Evet",ROUND($C614*tbo_oranBesPuan,2),0))</f>
        <v/>
      </c>
      <c r="I614" s="31">
        <f>IF($A614="","",IF($E614="Evet",ROUND($C614*tbo_oranIlave,2),0))</f>
        <v/>
      </c>
      <c r="J614" s="31">
        <f>IF($A614="","",IF($F614="Evet",ROUND($C614*tbo_oranKadinGenc,2),0))</f>
        <v/>
      </c>
      <c r="K614" s="31">
        <f>IF($A614="","",IF($G614="Evet",ROUND($C614*tbo_isverenOran,2),0))</f>
        <v/>
      </c>
      <c r="L614" s="31">
        <f>IF($A614="","",IF($M614=0,"YOK",IF($I614=$M614,"TBO-002",IF($H614=$M614,"TBO-001",IF($J614=$M614,"TBO-004","TBO-ENG")))))</f>
        <v/>
      </c>
      <c r="M614" s="31">
        <f>IF($A614="","",MAX($H614,$I614,$J614,$K614))</f>
        <v/>
      </c>
      <c r="O614" s="31">
        <f>IF($A614="","",MAX(0,$M614-IF($N614="TBO-001",$H614,IF($N614="TBO-002",$I614,IF($N614="TBO-004",$J614,IF($N614="TBO-ENG",$K614,0))))))</f>
        <v/>
      </c>
    </row>
    <row r="615">
      <c r="H615" s="31">
        <f>IF($A615="","",IF($D615="Evet",ROUND($C615*tbo_oranBesPuan,2),0))</f>
        <v/>
      </c>
      <c r="I615" s="31">
        <f>IF($A615="","",IF($E615="Evet",ROUND($C615*tbo_oranIlave,2),0))</f>
        <v/>
      </c>
      <c r="J615" s="31">
        <f>IF($A615="","",IF($F615="Evet",ROUND($C615*tbo_oranKadinGenc,2),0))</f>
        <v/>
      </c>
      <c r="K615" s="31">
        <f>IF($A615="","",IF($G615="Evet",ROUND($C615*tbo_isverenOran,2),0))</f>
        <v/>
      </c>
      <c r="L615" s="31">
        <f>IF($A615="","",IF($M615=0,"YOK",IF($I615=$M615,"TBO-002",IF($H615=$M615,"TBO-001",IF($J615=$M615,"TBO-004","TBO-ENG")))))</f>
        <v/>
      </c>
      <c r="M615" s="31">
        <f>IF($A615="","",MAX($H615,$I615,$J615,$K615))</f>
        <v/>
      </c>
      <c r="O615" s="31">
        <f>IF($A615="","",MAX(0,$M615-IF($N615="TBO-001",$H615,IF($N615="TBO-002",$I615,IF($N615="TBO-004",$J615,IF($N615="TBO-ENG",$K615,0))))))</f>
        <v/>
      </c>
    </row>
    <row r="616">
      <c r="H616" s="31">
        <f>IF($A616="","",IF($D616="Evet",ROUND($C616*tbo_oranBesPuan,2),0))</f>
        <v/>
      </c>
      <c r="I616" s="31">
        <f>IF($A616="","",IF($E616="Evet",ROUND($C616*tbo_oranIlave,2),0))</f>
        <v/>
      </c>
      <c r="J616" s="31">
        <f>IF($A616="","",IF($F616="Evet",ROUND($C616*tbo_oranKadinGenc,2),0))</f>
        <v/>
      </c>
      <c r="K616" s="31">
        <f>IF($A616="","",IF($G616="Evet",ROUND($C616*tbo_isverenOran,2),0))</f>
        <v/>
      </c>
      <c r="L616" s="31">
        <f>IF($A616="","",IF($M616=0,"YOK",IF($I616=$M616,"TBO-002",IF($H616=$M616,"TBO-001",IF($J616=$M616,"TBO-004","TBO-ENG")))))</f>
        <v/>
      </c>
      <c r="M616" s="31">
        <f>IF($A616="","",MAX($H616,$I616,$J616,$K616))</f>
        <v/>
      </c>
      <c r="O616" s="31">
        <f>IF($A616="","",MAX(0,$M616-IF($N616="TBO-001",$H616,IF($N616="TBO-002",$I616,IF($N616="TBO-004",$J616,IF($N616="TBO-ENG",$K616,0))))))</f>
        <v/>
      </c>
    </row>
    <row r="617">
      <c r="H617" s="31">
        <f>IF($A617="","",IF($D617="Evet",ROUND($C617*tbo_oranBesPuan,2),0))</f>
        <v/>
      </c>
      <c r="I617" s="31">
        <f>IF($A617="","",IF($E617="Evet",ROUND($C617*tbo_oranIlave,2),0))</f>
        <v/>
      </c>
      <c r="J617" s="31">
        <f>IF($A617="","",IF($F617="Evet",ROUND($C617*tbo_oranKadinGenc,2),0))</f>
        <v/>
      </c>
      <c r="K617" s="31">
        <f>IF($A617="","",IF($G617="Evet",ROUND($C617*tbo_isverenOran,2),0))</f>
        <v/>
      </c>
      <c r="L617" s="31">
        <f>IF($A617="","",IF($M617=0,"YOK",IF($I617=$M617,"TBO-002",IF($H617=$M617,"TBO-001",IF($J617=$M617,"TBO-004","TBO-ENG")))))</f>
        <v/>
      </c>
      <c r="M617" s="31">
        <f>IF($A617="","",MAX($H617,$I617,$J617,$K617))</f>
        <v/>
      </c>
      <c r="O617" s="31">
        <f>IF($A617="","",MAX(0,$M617-IF($N617="TBO-001",$H617,IF($N617="TBO-002",$I617,IF($N617="TBO-004",$J617,IF($N617="TBO-ENG",$K617,0))))))</f>
        <v/>
      </c>
    </row>
    <row r="618">
      <c r="H618" s="31">
        <f>IF($A618="","",IF($D618="Evet",ROUND($C618*tbo_oranBesPuan,2),0))</f>
        <v/>
      </c>
      <c r="I618" s="31">
        <f>IF($A618="","",IF($E618="Evet",ROUND($C618*tbo_oranIlave,2),0))</f>
        <v/>
      </c>
      <c r="J618" s="31">
        <f>IF($A618="","",IF($F618="Evet",ROUND($C618*tbo_oranKadinGenc,2),0))</f>
        <v/>
      </c>
      <c r="K618" s="31">
        <f>IF($A618="","",IF($G618="Evet",ROUND($C618*tbo_isverenOran,2),0))</f>
        <v/>
      </c>
      <c r="L618" s="31">
        <f>IF($A618="","",IF($M618=0,"YOK",IF($I618=$M618,"TBO-002",IF($H618=$M618,"TBO-001",IF($J618=$M618,"TBO-004","TBO-ENG")))))</f>
        <v/>
      </c>
      <c r="M618" s="31">
        <f>IF($A618="","",MAX($H618,$I618,$J618,$K618))</f>
        <v/>
      </c>
      <c r="O618" s="31">
        <f>IF($A618="","",MAX(0,$M618-IF($N618="TBO-001",$H618,IF($N618="TBO-002",$I618,IF($N618="TBO-004",$J618,IF($N618="TBO-ENG",$K618,0))))))</f>
        <v/>
      </c>
    </row>
    <row r="619">
      <c r="H619" s="31">
        <f>IF($A619="","",IF($D619="Evet",ROUND($C619*tbo_oranBesPuan,2),0))</f>
        <v/>
      </c>
      <c r="I619" s="31">
        <f>IF($A619="","",IF($E619="Evet",ROUND($C619*tbo_oranIlave,2),0))</f>
        <v/>
      </c>
      <c r="J619" s="31">
        <f>IF($A619="","",IF($F619="Evet",ROUND($C619*tbo_oranKadinGenc,2),0))</f>
        <v/>
      </c>
      <c r="K619" s="31">
        <f>IF($A619="","",IF($G619="Evet",ROUND($C619*tbo_isverenOran,2),0))</f>
        <v/>
      </c>
      <c r="L619" s="31">
        <f>IF($A619="","",IF($M619=0,"YOK",IF($I619=$M619,"TBO-002",IF($H619=$M619,"TBO-001",IF($J619=$M619,"TBO-004","TBO-ENG")))))</f>
        <v/>
      </c>
      <c r="M619" s="31">
        <f>IF($A619="","",MAX($H619,$I619,$J619,$K619))</f>
        <v/>
      </c>
      <c r="O619" s="31">
        <f>IF($A619="","",MAX(0,$M619-IF($N619="TBO-001",$H619,IF($N619="TBO-002",$I619,IF($N619="TBO-004",$J619,IF($N619="TBO-ENG",$K619,0))))))</f>
        <v/>
      </c>
    </row>
    <row r="620">
      <c r="H620" s="31">
        <f>IF($A620="","",IF($D620="Evet",ROUND($C620*tbo_oranBesPuan,2),0))</f>
        <v/>
      </c>
      <c r="I620" s="31">
        <f>IF($A620="","",IF($E620="Evet",ROUND($C620*tbo_oranIlave,2),0))</f>
        <v/>
      </c>
      <c r="J620" s="31">
        <f>IF($A620="","",IF($F620="Evet",ROUND($C620*tbo_oranKadinGenc,2),0))</f>
        <v/>
      </c>
      <c r="K620" s="31">
        <f>IF($A620="","",IF($G620="Evet",ROUND($C620*tbo_isverenOran,2),0))</f>
        <v/>
      </c>
      <c r="L620" s="31">
        <f>IF($A620="","",IF($M620=0,"YOK",IF($I620=$M620,"TBO-002",IF($H620=$M620,"TBO-001",IF($J620=$M620,"TBO-004","TBO-ENG")))))</f>
        <v/>
      </c>
      <c r="M620" s="31">
        <f>IF($A620="","",MAX($H620,$I620,$J620,$K620))</f>
        <v/>
      </c>
      <c r="O620" s="31">
        <f>IF($A620="","",MAX(0,$M620-IF($N620="TBO-001",$H620,IF($N620="TBO-002",$I620,IF($N620="TBO-004",$J620,IF($N620="TBO-ENG",$K620,0))))))</f>
        <v/>
      </c>
    </row>
    <row r="621">
      <c r="H621" s="31">
        <f>IF($A621="","",IF($D621="Evet",ROUND($C621*tbo_oranBesPuan,2),0))</f>
        <v/>
      </c>
      <c r="I621" s="31">
        <f>IF($A621="","",IF($E621="Evet",ROUND($C621*tbo_oranIlave,2),0))</f>
        <v/>
      </c>
      <c r="J621" s="31">
        <f>IF($A621="","",IF($F621="Evet",ROUND($C621*tbo_oranKadinGenc,2),0))</f>
        <v/>
      </c>
      <c r="K621" s="31">
        <f>IF($A621="","",IF($G621="Evet",ROUND($C621*tbo_isverenOran,2),0))</f>
        <v/>
      </c>
      <c r="L621" s="31">
        <f>IF($A621="","",IF($M621=0,"YOK",IF($I621=$M621,"TBO-002",IF($H621=$M621,"TBO-001",IF($J621=$M621,"TBO-004","TBO-ENG")))))</f>
        <v/>
      </c>
      <c r="M621" s="31">
        <f>IF($A621="","",MAX($H621,$I621,$J621,$K621))</f>
        <v/>
      </c>
      <c r="O621" s="31">
        <f>IF($A621="","",MAX(0,$M621-IF($N621="TBO-001",$H621,IF($N621="TBO-002",$I621,IF($N621="TBO-004",$J621,IF($N621="TBO-ENG",$K621,0))))))</f>
        <v/>
      </c>
    </row>
    <row r="622">
      <c r="H622" s="31">
        <f>IF($A622="","",IF($D622="Evet",ROUND($C622*tbo_oranBesPuan,2),0))</f>
        <v/>
      </c>
      <c r="I622" s="31">
        <f>IF($A622="","",IF($E622="Evet",ROUND($C622*tbo_oranIlave,2),0))</f>
        <v/>
      </c>
      <c r="J622" s="31">
        <f>IF($A622="","",IF($F622="Evet",ROUND($C622*tbo_oranKadinGenc,2),0))</f>
        <v/>
      </c>
      <c r="K622" s="31">
        <f>IF($A622="","",IF($G622="Evet",ROUND($C622*tbo_isverenOran,2),0))</f>
        <v/>
      </c>
      <c r="L622" s="31">
        <f>IF($A622="","",IF($M622=0,"YOK",IF($I622=$M622,"TBO-002",IF($H622=$M622,"TBO-001",IF($J622=$M622,"TBO-004","TBO-ENG")))))</f>
        <v/>
      </c>
      <c r="M622" s="31">
        <f>IF($A622="","",MAX($H622,$I622,$J622,$K622))</f>
        <v/>
      </c>
      <c r="O622" s="31">
        <f>IF($A622="","",MAX(0,$M622-IF($N622="TBO-001",$H622,IF($N622="TBO-002",$I622,IF($N622="TBO-004",$J622,IF($N622="TBO-ENG",$K622,0))))))</f>
        <v/>
      </c>
    </row>
    <row r="623">
      <c r="H623" s="31">
        <f>IF($A623="","",IF($D623="Evet",ROUND($C623*tbo_oranBesPuan,2),0))</f>
        <v/>
      </c>
      <c r="I623" s="31">
        <f>IF($A623="","",IF($E623="Evet",ROUND($C623*tbo_oranIlave,2),0))</f>
        <v/>
      </c>
      <c r="J623" s="31">
        <f>IF($A623="","",IF($F623="Evet",ROUND($C623*tbo_oranKadinGenc,2),0))</f>
        <v/>
      </c>
      <c r="K623" s="31">
        <f>IF($A623="","",IF($G623="Evet",ROUND($C623*tbo_isverenOran,2),0))</f>
        <v/>
      </c>
      <c r="L623" s="31">
        <f>IF($A623="","",IF($M623=0,"YOK",IF($I623=$M623,"TBO-002",IF($H623=$M623,"TBO-001",IF($J623=$M623,"TBO-004","TBO-ENG")))))</f>
        <v/>
      </c>
      <c r="M623" s="31">
        <f>IF($A623="","",MAX($H623,$I623,$J623,$K623))</f>
        <v/>
      </c>
      <c r="O623" s="31">
        <f>IF($A623="","",MAX(0,$M623-IF($N623="TBO-001",$H623,IF($N623="TBO-002",$I623,IF($N623="TBO-004",$J623,IF($N623="TBO-ENG",$K623,0))))))</f>
        <v/>
      </c>
    </row>
    <row r="624">
      <c r="H624" s="31">
        <f>IF($A624="","",IF($D624="Evet",ROUND($C624*tbo_oranBesPuan,2),0))</f>
        <v/>
      </c>
      <c r="I624" s="31">
        <f>IF($A624="","",IF($E624="Evet",ROUND($C624*tbo_oranIlave,2),0))</f>
        <v/>
      </c>
      <c r="J624" s="31">
        <f>IF($A624="","",IF($F624="Evet",ROUND($C624*tbo_oranKadinGenc,2),0))</f>
        <v/>
      </c>
      <c r="K624" s="31">
        <f>IF($A624="","",IF($G624="Evet",ROUND($C624*tbo_isverenOran,2),0))</f>
        <v/>
      </c>
      <c r="L624" s="31">
        <f>IF($A624="","",IF($M624=0,"YOK",IF($I624=$M624,"TBO-002",IF($H624=$M624,"TBO-001",IF($J624=$M624,"TBO-004","TBO-ENG")))))</f>
        <v/>
      </c>
      <c r="M624" s="31">
        <f>IF($A624="","",MAX($H624,$I624,$J624,$K624))</f>
        <v/>
      </c>
      <c r="O624" s="31">
        <f>IF($A624="","",MAX(0,$M624-IF($N624="TBO-001",$H624,IF($N624="TBO-002",$I624,IF($N624="TBO-004",$J624,IF($N624="TBO-ENG",$K624,0))))))</f>
        <v/>
      </c>
    </row>
    <row r="625">
      <c r="H625" s="31">
        <f>IF($A625="","",IF($D625="Evet",ROUND($C625*tbo_oranBesPuan,2),0))</f>
        <v/>
      </c>
      <c r="I625" s="31">
        <f>IF($A625="","",IF($E625="Evet",ROUND($C625*tbo_oranIlave,2),0))</f>
        <v/>
      </c>
      <c r="J625" s="31">
        <f>IF($A625="","",IF($F625="Evet",ROUND($C625*tbo_oranKadinGenc,2),0))</f>
        <v/>
      </c>
      <c r="K625" s="31">
        <f>IF($A625="","",IF($G625="Evet",ROUND($C625*tbo_isverenOran,2),0))</f>
        <v/>
      </c>
      <c r="L625" s="31">
        <f>IF($A625="","",IF($M625=0,"YOK",IF($I625=$M625,"TBO-002",IF($H625=$M625,"TBO-001",IF($J625=$M625,"TBO-004","TBO-ENG")))))</f>
        <v/>
      </c>
      <c r="M625" s="31">
        <f>IF($A625="","",MAX($H625,$I625,$J625,$K625))</f>
        <v/>
      </c>
      <c r="O625" s="31">
        <f>IF($A625="","",MAX(0,$M625-IF($N625="TBO-001",$H625,IF($N625="TBO-002",$I625,IF($N625="TBO-004",$J625,IF($N625="TBO-ENG",$K625,0))))))</f>
        <v/>
      </c>
    </row>
    <row r="626">
      <c r="H626" s="31">
        <f>IF($A626="","",IF($D626="Evet",ROUND($C626*tbo_oranBesPuan,2),0))</f>
        <v/>
      </c>
      <c r="I626" s="31">
        <f>IF($A626="","",IF($E626="Evet",ROUND($C626*tbo_oranIlave,2),0))</f>
        <v/>
      </c>
      <c r="J626" s="31">
        <f>IF($A626="","",IF($F626="Evet",ROUND($C626*tbo_oranKadinGenc,2),0))</f>
        <v/>
      </c>
      <c r="K626" s="31">
        <f>IF($A626="","",IF($G626="Evet",ROUND($C626*tbo_isverenOran,2),0))</f>
        <v/>
      </c>
      <c r="L626" s="31">
        <f>IF($A626="","",IF($M626=0,"YOK",IF($I626=$M626,"TBO-002",IF($H626=$M626,"TBO-001",IF($J626=$M626,"TBO-004","TBO-ENG")))))</f>
        <v/>
      </c>
      <c r="M626" s="31">
        <f>IF($A626="","",MAX($H626,$I626,$J626,$K626))</f>
        <v/>
      </c>
      <c r="O626" s="31">
        <f>IF($A626="","",MAX(0,$M626-IF($N626="TBO-001",$H626,IF($N626="TBO-002",$I626,IF($N626="TBO-004",$J626,IF($N626="TBO-ENG",$K626,0))))))</f>
        <v/>
      </c>
    </row>
    <row r="627">
      <c r="H627" s="31">
        <f>IF($A627="","",IF($D627="Evet",ROUND($C627*tbo_oranBesPuan,2),0))</f>
        <v/>
      </c>
      <c r="I627" s="31">
        <f>IF($A627="","",IF($E627="Evet",ROUND($C627*tbo_oranIlave,2),0))</f>
        <v/>
      </c>
      <c r="J627" s="31">
        <f>IF($A627="","",IF($F627="Evet",ROUND($C627*tbo_oranKadinGenc,2),0))</f>
        <v/>
      </c>
      <c r="K627" s="31">
        <f>IF($A627="","",IF($G627="Evet",ROUND($C627*tbo_isverenOran,2),0))</f>
        <v/>
      </c>
      <c r="L627" s="31">
        <f>IF($A627="","",IF($M627=0,"YOK",IF($I627=$M627,"TBO-002",IF($H627=$M627,"TBO-001",IF($J627=$M627,"TBO-004","TBO-ENG")))))</f>
        <v/>
      </c>
      <c r="M627" s="31">
        <f>IF($A627="","",MAX($H627,$I627,$J627,$K627))</f>
        <v/>
      </c>
      <c r="O627" s="31">
        <f>IF($A627="","",MAX(0,$M627-IF($N627="TBO-001",$H627,IF($N627="TBO-002",$I627,IF($N627="TBO-004",$J627,IF($N627="TBO-ENG",$K627,0))))))</f>
        <v/>
      </c>
    </row>
    <row r="628">
      <c r="H628" s="31">
        <f>IF($A628="","",IF($D628="Evet",ROUND($C628*tbo_oranBesPuan,2),0))</f>
        <v/>
      </c>
      <c r="I628" s="31">
        <f>IF($A628="","",IF($E628="Evet",ROUND($C628*tbo_oranIlave,2),0))</f>
        <v/>
      </c>
      <c r="J628" s="31">
        <f>IF($A628="","",IF($F628="Evet",ROUND($C628*tbo_oranKadinGenc,2),0))</f>
        <v/>
      </c>
      <c r="K628" s="31">
        <f>IF($A628="","",IF($G628="Evet",ROUND($C628*tbo_isverenOran,2),0))</f>
        <v/>
      </c>
      <c r="L628" s="31">
        <f>IF($A628="","",IF($M628=0,"YOK",IF($I628=$M628,"TBO-002",IF($H628=$M628,"TBO-001",IF($J628=$M628,"TBO-004","TBO-ENG")))))</f>
        <v/>
      </c>
      <c r="M628" s="31">
        <f>IF($A628="","",MAX($H628,$I628,$J628,$K628))</f>
        <v/>
      </c>
      <c r="O628" s="31">
        <f>IF($A628="","",MAX(0,$M628-IF($N628="TBO-001",$H628,IF($N628="TBO-002",$I628,IF($N628="TBO-004",$J628,IF($N628="TBO-ENG",$K628,0))))))</f>
        <v/>
      </c>
    </row>
    <row r="629">
      <c r="H629" s="31">
        <f>IF($A629="","",IF($D629="Evet",ROUND($C629*tbo_oranBesPuan,2),0))</f>
        <v/>
      </c>
      <c r="I629" s="31">
        <f>IF($A629="","",IF($E629="Evet",ROUND($C629*tbo_oranIlave,2),0))</f>
        <v/>
      </c>
      <c r="J629" s="31">
        <f>IF($A629="","",IF($F629="Evet",ROUND($C629*tbo_oranKadinGenc,2),0))</f>
        <v/>
      </c>
      <c r="K629" s="31">
        <f>IF($A629="","",IF($G629="Evet",ROUND($C629*tbo_isverenOran,2),0))</f>
        <v/>
      </c>
      <c r="L629" s="31">
        <f>IF($A629="","",IF($M629=0,"YOK",IF($I629=$M629,"TBO-002",IF($H629=$M629,"TBO-001",IF($J629=$M629,"TBO-004","TBO-ENG")))))</f>
        <v/>
      </c>
      <c r="M629" s="31">
        <f>IF($A629="","",MAX($H629,$I629,$J629,$K629))</f>
        <v/>
      </c>
      <c r="O629" s="31">
        <f>IF($A629="","",MAX(0,$M629-IF($N629="TBO-001",$H629,IF($N629="TBO-002",$I629,IF($N629="TBO-004",$J629,IF($N629="TBO-ENG",$K629,0))))))</f>
        <v/>
      </c>
    </row>
    <row r="630">
      <c r="H630" s="31">
        <f>IF($A630="","",IF($D630="Evet",ROUND($C630*tbo_oranBesPuan,2),0))</f>
        <v/>
      </c>
      <c r="I630" s="31">
        <f>IF($A630="","",IF($E630="Evet",ROUND($C630*tbo_oranIlave,2),0))</f>
        <v/>
      </c>
      <c r="J630" s="31">
        <f>IF($A630="","",IF($F630="Evet",ROUND($C630*tbo_oranKadinGenc,2),0))</f>
        <v/>
      </c>
      <c r="K630" s="31">
        <f>IF($A630="","",IF($G630="Evet",ROUND($C630*tbo_isverenOran,2),0))</f>
        <v/>
      </c>
      <c r="L630" s="31">
        <f>IF($A630="","",IF($M630=0,"YOK",IF($I630=$M630,"TBO-002",IF($H630=$M630,"TBO-001",IF($J630=$M630,"TBO-004","TBO-ENG")))))</f>
        <v/>
      </c>
      <c r="M630" s="31">
        <f>IF($A630="","",MAX($H630,$I630,$J630,$K630))</f>
        <v/>
      </c>
      <c r="O630" s="31">
        <f>IF($A630="","",MAX(0,$M630-IF($N630="TBO-001",$H630,IF($N630="TBO-002",$I630,IF($N630="TBO-004",$J630,IF($N630="TBO-ENG",$K630,0))))))</f>
        <v/>
      </c>
    </row>
    <row r="631">
      <c r="H631" s="31">
        <f>IF($A631="","",IF($D631="Evet",ROUND($C631*tbo_oranBesPuan,2),0))</f>
        <v/>
      </c>
      <c r="I631" s="31">
        <f>IF($A631="","",IF($E631="Evet",ROUND($C631*tbo_oranIlave,2),0))</f>
        <v/>
      </c>
      <c r="J631" s="31">
        <f>IF($A631="","",IF($F631="Evet",ROUND($C631*tbo_oranKadinGenc,2),0))</f>
        <v/>
      </c>
      <c r="K631" s="31">
        <f>IF($A631="","",IF($G631="Evet",ROUND($C631*tbo_isverenOran,2),0))</f>
        <v/>
      </c>
      <c r="L631" s="31">
        <f>IF($A631="","",IF($M631=0,"YOK",IF($I631=$M631,"TBO-002",IF($H631=$M631,"TBO-001",IF($J631=$M631,"TBO-004","TBO-ENG")))))</f>
        <v/>
      </c>
      <c r="M631" s="31">
        <f>IF($A631="","",MAX($H631,$I631,$J631,$K631))</f>
        <v/>
      </c>
      <c r="O631" s="31">
        <f>IF($A631="","",MAX(0,$M631-IF($N631="TBO-001",$H631,IF($N631="TBO-002",$I631,IF($N631="TBO-004",$J631,IF($N631="TBO-ENG",$K631,0))))))</f>
        <v/>
      </c>
    </row>
    <row r="632">
      <c r="H632" s="31">
        <f>IF($A632="","",IF($D632="Evet",ROUND($C632*tbo_oranBesPuan,2),0))</f>
        <v/>
      </c>
      <c r="I632" s="31">
        <f>IF($A632="","",IF($E632="Evet",ROUND($C632*tbo_oranIlave,2),0))</f>
        <v/>
      </c>
      <c r="J632" s="31">
        <f>IF($A632="","",IF($F632="Evet",ROUND($C632*tbo_oranKadinGenc,2),0))</f>
        <v/>
      </c>
      <c r="K632" s="31">
        <f>IF($A632="","",IF($G632="Evet",ROUND($C632*tbo_isverenOran,2),0))</f>
        <v/>
      </c>
      <c r="L632" s="31">
        <f>IF($A632="","",IF($M632=0,"YOK",IF($I632=$M632,"TBO-002",IF($H632=$M632,"TBO-001",IF($J632=$M632,"TBO-004","TBO-ENG")))))</f>
        <v/>
      </c>
      <c r="M632" s="31">
        <f>IF($A632="","",MAX($H632,$I632,$J632,$K632))</f>
        <v/>
      </c>
      <c r="O632" s="31">
        <f>IF($A632="","",MAX(0,$M632-IF($N632="TBO-001",$H632,IF($N632="TBO-002",$I632,IF($N632="TBO-004",$J632,IF($N632="TBO-ENG",$K632,0))))))</f>
        <v/>
      </c>
    </row>
    <row r="633">
      <c r="H633" s="31">
        <f>IF($A633="","",IF($D633="Evet",ROUND($C633*tbo_oranBesPuan,2),0))</f>
        <v/>
      </c>
      <c r="I633" s="31">
        <f>IF($A633="","",IF($E633="Evet",ROUND($C633*tbo_oranIlave,2),0))</f>
        <v/>
      </c>
      <c r="J633" s="31">
        <f>IF($A633="","",IF($F633="Evet",ROUND($C633*tbo_oranKadinGenc,2),0))</f>
        <v/>
      </c>
      <c r="K633" s="31">
        <f>IF($A633="","",IF($G633="Evet",ROUND($C633*tbo_isverenOran,2),0))</f>
        <v/>
      </c>
      <c r="L633" s="31">
        <f>IF($A633="","",IF($M633=0,"YOK",IF($I633=$M633,"TBO-002",IF($H633=$M633,"TBO-001",IF($J633=$M633,"TBO-004","TBO-ENG")))))</f>
        <v/>
      </c>
      <c r="M633" s="31">
        <f>IF($A633="","",MAX($H633,$I633,$J633,$K633))</f>
        <v/>
      </c>
      <c r="O633" s="31">
        <f>IF($A633="","",MAX(0,$M633-IF($N633="TBO-001",$H633,IF($N633="TBO-002",$I633,IF($N633="TBO-004",$J633,IF($N633="TBO-ENG",$K633,0))))))</f>
        <v/>
      </c>
    </row>
    <row r="634">
      <c r="H634" s="31">
        <f>IF($A634="","",IF($D634="Evet",ROUND($C634*tbo_oranBesPuan,2),0))</f>
        <v/>
      </c>
      <c r="I634" s="31">
        <f>IF($A634="","",IF($E634="Evet",ROUND($C634*tbo_oranIlave,2),0))</f>
        <v/>
      </c>
      <c r="J634" s="31">
        <f>IF($A634="","",IF($F634="Evet",ROUND($C634*tbo_oranKadinGenc,2),0))</f>
        <v/>
      </c>
      <c r="K634" s="31">
        <f>IF($A634="","",IF($G634="Evet",ROUND($C634*tbo_isverenOran,2),0))</f>
        <v/>
      </c>
      <c r="L634" s="31">
        <f>IF($A634="","",IF($M634=0,"YOK",IF($I634=$M634,"TBO-002",IF($H634=$M634,"TBO-001",IF($J634=$M634,"TBO-004","TBO-ENG")))))</f>
        <v/>
      </c>
      <c r="M634" s="31">
        <f>IF($A634="","",MAX($H634,$I634,$J634,$K634))</f>
        <v/>
      </c>
      <c r="O634" s="31">
        <f>IF($A634="","",MAX(0,$M634-IF($N634="TBO-001",$H634,IF($N634="TBO-002",$I634,IF($N634="TBO-004",$J634,IF($N634="TBO-ENG",$K634,0))))))</f>
        <v/>
      </c>
    </row>
    <row r="635">
      <c r="H635" s="31">
        <f>IF($A635="","",IF($D635="Evet",ROUND($C635*tbo_oranBesPuan,2),0))</f>
        <v/>
      </c>
      <c r="I635" s="31">
        <f>IF($A635="","",IF($E635="Evet",ROUND($C635*tbo_oranIlave,2),0))</f>
        <v/>
      </c>
      <c r="J635" s="31">
        <f>IF($A635="","",IF($F635="Evet",ROUND($C635*tbo_oranKadinGenc,2),0))</f>
        <v/>
      </c>
      <c r="K635" s="31">
        <f>IF($A635="","",IF($G635="Evet",ROUND($C635*tbo_isverenOran,2),0))</f>
        <v/>
      </c>
      <c r="L635" s="31">
        <f>IF($A635="","",IF($M635=0,"YOK",IF($I635=$M635,"TBO-002",IF($H635=$M635,"TBO-001",IF($J635=$M635,"TBO-004","TBO-ENG")))))</f>
        <v/>
      </c>
      <c r="M635" s="31">
        <f>IF($A635="","",MAX($H635,$I635,$J635,$K635))</f>
        <v/>
      </c>
      <c r="O635" s="31">
        <f>IF($A635="","",MAX(0,$M635-IF($N635="TBO-001",$H635,IF($N635="TBO-002",$I635,IF($N635="TBO-004",$J635,IF($N635="TBO-ENG",$K635,0))))))</f>
        <v/>
      </c>
    </row>
    <row r="636">
      <c r="H636" s="31">
        <f>IF($A636="","",IF($D636="Evet",ROUND($C636*tbo_oranBesPuan,2),0))</f>
        <v/>
      </c>
      <c r="I636" s="31">
        <f>IF($A636="","",IF($E636="Evet",ROUND($C636*tbo_oranIlave,2),0))</f>
        <v/>
      </c>
      <c r="J636" s="31">
        <f>IF($A636="","",IF($F636="Evet",ROUND($C636*tbo_oranKadinGenc,2),0))</f>
        <v/>
      </c>
      <c r="K636" s="31">
        <f>IF($A636="","",IF($G636="Evet",ROUND($C636*tbo_isverenOran,2),0))</f>
        <v/>
      </c>
      <c r="L636" s="31">
        <f>IF($A636="","",IF($M636=0,"YOK",IF($I636=$M636,"TBO-002",IF($H636=$M636,"TBO-001",IF($J636=$M636,"TBO-004","TBO-ENG")))))</f>
        <v/>
      </c>
      <c r="M636" s="31">
        <f>IF($A636="","",MAX($H636,$I636,$J636,$K636))</f>
        <v/>
      </c>
      <c r="O636" s="31">
        <f>IF($A636="","",MAX(0,$M636-IF($N636="TBO-001",$H636,IF($N636="TBO-002",$I636,IF($N636="TBO-004",$J636,IF($N636="TBO-ENG",$K636,0))))))</f>
        <v/>
      </c>
    </row>
    <row r="637">
      <c r="H637" s="31">
        <f>IF($A637="","",IF($D637="Evet",ROUND($C637*tbo_oranBesPuan,2),0))</f>
        <v/>
      </c>
      <c r="I637" s="31">
        <f>IF($A637="","",IF($E637="Evet",ROUND($C637*tbo_oranIlave,2),0))</f>
        <v/>
      </c>
      <c r="J637" s="31">
        <f>IF($A637="","",IF($F637="Evet",ROUND($C637*tbo_oranKadinGenc,2),0))</f>
        <v/>
      </c>
      <c r="K637" s="31">
        <f>IF($A637="","",IF($G637="Evet",ROUND($C637*tbo_isverenOran,2),0))</f>
        <v/>
      </c>
      <c r="L637" s="31">
        <f>IF($A637="","",IF($M637=0,"YOK",IF($I637=$M637,"TBO-002",IF($H637=$M637,"TBO-001",IF($J637=$M637,"TBO-004","TBO-ENG")))))</f>
        <v/>
      </c>
      <c r="M637" s="31">
        <f>IF($A637="","",MAX($H637,$I637,$J637,$K637))</f>
        <v/>
      </c>
      <c r="O637" s="31">
        <f>IF($A637="","",MAX(0,$M637-IF($N637="TBO-001",$H637,IF($N637="TBO-002",$I637,IF($N637="TBO-004",$J637,IF($N637="TBO-ENG",$K637,0))))))</f>
        <v/>
      </c>
    </row>
    <row r="638">
      <c r="H638" s="31">
        <f>IF($A638="","",IF($D638="Evet",ROUND($C638*tbo_oranBesPuan,2),0))</f>
        <v/>
      </c>
      <c r="I638" s="31">
        <f>IF($A638="","",IF($E638="Evet",ROUND($C638*tbo_oranIlave,2),0))</f>
        <v/>
      </c>
      <c r="J638" s="31">
        <f>IF($A638="","",IF($F638="Evet",ROUND($C638*tbo_oranKadinGenc,2),0))</f>
        <v/>
      </c>
      <c r="K638" s="31">
        <f>IF($A638="","",IF($G638="Evet",ROUND($C638*tbo_isverenOran,2),0))</f>
        <v/>
      </c>
      <c r="L638" s="31">
        <f>IF($A638="","",IF($M638=0,"YOK",IF($I638=$M638,"TBO-002",IF($H638=$M638,"TBO-001",IF($J638=$M638,"TBO-004","TBO-ENG")))))</f>
        <v/>
      </c>
      <c r="M638" s="31">
        <f>IF($A638="","",MAX($H638,$I638,$J638,$K638))</f>
        <v/>
      </c>
      <c r="O638" s="31">
        <f>IF($A638="","",MAX(0,$M638-IF($N638="TBO-001",$H638,IF($N638="TBO-002",$I638,IF($N638="TBO-004",$J638,IF($N638="TBO-ENG",$K638,0))))))</f>
        <v/>
      </c>
    </row>
    <row r="639">
      <c r="H639" s="31">
        <f>IF($A639="","",IF($D639="Evet",ROUND($C639*tbo_oranBesPuan,2),0))</f>
        <v/>
      </c>
      <c r="I639" s="31">
        <f>IF($A639="","",IF($E639="Evet",ROUND($C639*tbo_oranIlave,2),0))</f>
        <v/>
      </c>
      <c r="J639" s="31">
        <f>IF($A639="","",IF($F639="Evet",ROUND($C639*tbo_oranKadinGenc,2),0))</f>
        <v/>
      </c>
      <c r="K639" s="31">
        <f>IF($A639="","",IF($G639="Evet",ROUND($C639*tbo_isverenOran,2),0))</f>
        <v/>
      </c>
      <c r="L639" s="31">
        <f>IF($A639="","",IF($M639=0,"YOK",IF($I639=$M639,"TBO-002",IF($H639=$M639,"TBO-001",IF($J639=$M639,"TBO-004","TBO-ENG")))))</f>
        <v/>
      </c>
      <c r="M639" s="31">
        <f>IF($A639="","",MAX($H639,$I639,$J639,$K639))</f>
        <v/>
      </c>
      <c r="O639" s="31">
        <f>IF($A639="","",MAX(0,$M639-IF($N639="TBO-001",$H639,IF($N639="TBO-002",$I639,IF($N639="TBO-004",$J639,IF($N639="TBO-ENG",$K639,0))))))</f>
        <v/>
      </c>
    </row>
    <row r="640">
      <c r="H640" s="31">
        <f>IF($A640="","",IF($D640="Evet",ROUND($C640*tbo_oranBesPuan,2),0))</f>
        <v/>
      </c>
      <c r="I640" s="31">
        <f>IF($A640="","",IF($E640="Evet",ROUND($C640*tbo_oranIlave,2),0))</f>
        <v/>
      </c>
      <c r="J640" s="31">
        <f>IF($A640="","",IF($F640="Evet",ROUND($C640*tbo_oranKadinGenc,2),0))</f>
        <v/>
      </c>
      <c r="K640" s="31">
        <f>IF($A640="","",IF($G640="Evet",ROUND($C640*tbo_isverenOran,2),0))</f>
        <v/>
      </c>
      <c r="L640" s="31">
        <f>IF($A640="","",IF($M640=0,"YOK",IF($I640=$M640,"TBO-002",IF($H640=$M640,"TBO-001",IF($J640=$M640,"TBO-004","TBO-ENG")))))</f>
        <v/>
      </c>
      <c r="M640" s="31">
        <f>IF($A640="","",MAX($H640,$I640,$J640,$K640))</f>
        <v/>
      </c>
      <c r="O640" s="31">
        <f>IF($A640="","",MAX(0,$M640-IF($N640="TBO-001",$H640,IF($N640="TBO-002",$I640,IF($N640="TBO-004",$J640,IF($N640="TBO-ENG",$K640,0))))))</f>
        <v/>
      </c>
    </row>
    <row r="641">
      <c r="H641" s="31">
        <f>IF($A641="","",IF($D641="Evet",ROUND($C641*tbo_oranBesPuan,2),0))</f>
        <v/>
      </c>
      <c r="I641" s="31">
        <f>IF($A641="","",IF($E641="Evet",ROUND($C641*tbo_oranIlave,2),0))</f>
        <v/>
      </c>
      <c r="J641" s="31">
        <f>IF($A641="","",IF($F641="Evet",ROUND($C641*tbo_oranKadinGenc,2),0))</f>
        <v/>
      </c>
      <c r="K641" s="31">
        <f>IF($A641="","",IF($G641="Evet",ROUND($C641*tbo_isverenOran,2),0))</f>
        <v/>
      </c>
      <c r="L641" s="31">
        <f>IF($A641="","",IF($M641=0,"YOK",IF($I641=$M641,"TBO-002",IF($H641=$M641,"TBO-001",IF($J641=$M641,"TBO-004","TBO-ENG")))))</f>
        <v/>
      </c>
      <c r="M641" s="31">
        <f>IF($A641="","",MAX($H641,$I641,$J641,$K641))</f>
        <v/>
      </c>
      <c r="O641" s="31">
        <f>IF($A641="","",MAX(0,$M641-IF($N641="TBO-001",$H641,IF($N641="TBO-002",$I641,IF($N641="TBO-004",$J641,IF($N641="TBO-ENG",$K641,0))))))</f>
        <v/>
      </c>
    </row>
    <row r="642">
      <c r="H642" s="31">
        <f>IF($A642="","",IF($D642="Evet",ROUND($C642*tbo_oranBesPuan,2),0))</f>
        <v/>
      </c>
      <c r="I642" s="31">
        <f>IF($A642="","",IF($E642="Evet",ROUND($C642*tbo_oranIlave,2),0))</f>
        <v/>
      </c>
      <c r="J642" s="31">
        <f>IF($A642="","",IF($F642="Evet",ROUND($C642*tbo_oranKadinGenc,2),0))</f>
        <v/>
      </c>
      <c r="K642" s="31">
        <f>IF($A642="","",IF($G642="Evet",ROUND($C642*tbo_isverenOran,2),0))</f>
        <v/>
      </c>
      <c r="L642" s="31">
        <f>IF($A642="","",IF($M642=0,"YOK",IF($I642=$M642,"TBO-002",IF($H642=$M642,"TBO-001",IF($J642=$M642,"TBO-004","TBO-ENG")))))</f>
        <v/>
      </c>
      <c r="M642" s="31">
        <f>IF($A642="","",MAX($H642,$I642,$J642,$K642))</f>
        <v/>
      </c>
      <c r="O642" s="31">
        <f>IF($A642="","",MAX(0,$M642-IF($N642="TBO-001",$H642,IF($N642="TBO-002",$I642,IF($N642="TBO-004",$J642,IF($N642="TBO-ENG",$K642,0))))))</f>
        <v/>
      </c>
    </row>
    <row r="643">
      <c r="H643" s="31">
        <f>IF($A643="","",IF($D643="Evet",ROUND($C643*tbo_oranBesPuan,2),0))</f>
        <v/>
      </c>
      <c r="I643" s="31">
        <f>IF($A643="","",IF($E643="Evet",ROUND($C643*tbo_oranIlave,2),0))</f>
        <v/>
      </c>
      <c r="J643" s="31">
        <f>IF($A643="","",IF($F643="Evet",ROUND($C643*tbo_oranKadinGenc,2),0))</f>
        <v/>
      </c>
      <c r="K643" s="31">
        <f>IF($A643="","",IF($G643="Evet",ROUND($C643*tbo_isverenOran,2),0))</f>
        <v/>
      </c>
      <c r="L643" s="31">
        <f>IF($A643="","",IF($M643=0,"YOK",IF($I643=$M643,"TBO-002",IF($H643=$M643,"TBO-001",IF($J643=$M643,"TBO-004","TBO-ENG")))))</f>
        <v/>
      </c>
      <c r="M643" s="31">
        <f>IF($A643="","",MAX($H643,$I643,$J643,$K643))</f>
        <v/>
      </c>
      <c r="O643" s="31">
        <f>IF($A643="","",MAX(0,$M643-IF($N643="TBO-001",$H643,IF($N643="TBO-002",$I643,IF($N643="TBO-004",$J643,IF($N643="TBO-ENG",$K643,0))))))</f>
        <v/>
      </c>
    </row>
    <row r="644">
      <c r="H644" s="31">
        <f>IF($A644="","",IF($D644="Evet",ROUND($C644*tbo_oranBesPuan,2),0))</f>
        <v/>
      </c>
      <c r="I644" s="31">
        <f>IF($A644="","",IF($E644="Evet",ROUND($C644*tbo_oranIlave,2),0))</f>
        <v/>
      </c>
      <c r="J644" s="31">
        <f>IF($A644="","",IF($F644="Evet",ROUND($C644*tbo_oranKadinGenc,2),0))</f>
        <v/>
      </c>
      <c r="K644" s="31">
        <f>IF($A644="","",IF($G644="Evet",ROUND($C644*tbo_isverenOran,2),0))</f>
        <v/>
      </c>
      <c r="L644" s="31">
        <f>IF($A644="","",IF($M644=0,"YOK",IF($I644=$M644,"TBO-002",IF($H644=$M644,"TBO-001",IF($J644=$M644,"TBO-004","TBO-ENG")))))</f>
        <v/>
      </c>
      <c r="M644" s="31">
        <f>IF($A644="","",MAX($H644,$I644,$J644,$K644))</f>
        <v/>
      </c>
      <c r="O644" s="31">
        <f>IF($A644="","",MAX(0,$M644-IF($N644="TBO-001",$H644,IF($N644="TBO-002",$I644,IF($N644="TBO-004",$J644,IF($N644="TBO-ENG",$K644,0))))))</f>
        <v/>
      </c>
    </row>
    <row r="645">
      <c r="H645" s="31">
        <f>IF($A645="","",IF($D645="Evet",ROUND($C645*tbo_oranBesPuan,2),0))</f>
        <v/>
      </c>
      <c r="I645" s="31">
        <f>IF($A645="","",IF($E645="Evet",ROUND($C645*tbo_oranIlave,2),0))</f>
        <v/>
      </c>
      <c r="J645" s="31">
        <f>IF($A645="","",IF($F645="Evet",ROUND($C645*tbo_oranKadinGenc,2),0))</f>
        <v/>
      </c>
      <c r="K645" s="31">
        <f>IF($A645="","",IF($G645="Evet",ROUND($C645*tbo_isverenOran,2),0))</f>
        <v/>
      </c>
      <c r="L645" s="31">
        <f>IF($A645="","",IF($M645=0,"YOK",IF($I645=$M645,"TBO-002",IF($H645=$M645,"TBO-001",IF($J645=$M645,"TBO-004","TBO-ENG")))))</f>
        <v/>
      </c>
      <c r="M645" s="31">
        <f>IF($A645="","",MAX($H645,$I645,$J645,$K645))</f>
        <v/>
      </c>
      <c r="O645" s="31">
        <f>IF($A645="","",MAX(0,$M645-IF($N645="TBO-001",$H645,IF($N645="TBO-002",$I645,IF($N645="TBO-004",$J645,IF($N645="TBO-ENG",$K645,0))))))</f>
        <v/>
      </c>
    </row>
    <row r="646">
      <c r="H646" s="31">
        <f>IF($A646="","",IF($D646="Evet",ROUND($C646*tbo_oranBesPuan,2),0))</f>
        <v/>
      </c>
      <c r="I646" s="31">
        <f>IF($A646="","",IF($E646="Evet",ROUND($C646*tbo_oranIlave,2),0))</f>
        <v/>
      </c>
      <c r="J646" s="31">
        <f>IF($A646="","",IF($F646="Evet",ROUND($C646*tbo_oranKadinGenc,2),0))</f>
        <v/>
      </c>
      <c r="K646" s="31">
        <f>IF($A646="","",IF($G646="Evet",ROUND($C646*tbo_isverenOran,2),0))</f>
        <v/>
      </c>
      <c r="L646" s="31">
        <f>IF($A646="","",IF($M646=0,"YOK",IF($I646=$M646,"TBO-002",IF($H646=$M646,"TBO-001",IF($J646=$M646,"TBO-004","TBO-ENG")))))</f>
        <v/>
      </c>
      <c r="M646" s="31">
        <f>IF($A646="","",MAX($H646,$I646,$J646,$K646))</f>
        <v/>
      </c>
      <c r="O646" s="31">
        <f>IF($A646="","",MAX(0,$M646-IF($N646="TBO-001",$H646,IF($N646="TBO-002",$I646,IF($N646="TBO-004",$J646,IF($N646="TBO-ENG",$K646,0))))))</f>
        <v/>
      </c>
    </row>
    <row r="647">
      <c r="H647" s="31">
        <f>IF($A647="","",IF($D647="Evet",ROUND($C647*tbo_oranBesPuan,2),0))</f>
        <v/>
      </c>
      <c r="I647" s="31">
        <f>IF($A647="","",IF($E647="Evet",ROUND($C647*tbo_oranIlave,2),0))</f>
        <v/>
      </c>
      <c r="J647" s="31">
        <f>IF($A647="","",IF($F647="Evet",ROUND($C647*tbo_oranKadinGenc,2),0))</f>
        <v/>
      </c>
      <c r="K647" s="31">
        <f>IF($A647="","",IF($G647="Evet",ROUND($C647*tbo_isverenOran,2),0))</f>
        <v/>
      </c>
      <c r="L647" s="31">
        <f>IF($A647="","",IF($M647=0,"YOK",IF($I647=$M647,"TBO-002",IF($H647=$M647,"TBO-001",IF($J647=$M647,"TBO-004","TBO-ENG")))))</f>
        <v/>
      </c>
      <c r="M647" s="31">
        <f>IF($A647="","",MAX($H647,$I647,$J647,$K647))</f>
        <v/>
      </c>
      <c r="O647" s="31">
        <f>IF($A647="","",MAX(0,$M647-IF($N647="TBO-001",$H647,IF($N647="TBO-002",$I647,IF($N647="TBO-004",$J647,IF($N647="TBO-ENG",$K647,0))))))</f>
        <v/>
      </c>
    </row>
    <row r="648">
      <c r="H648" s="31">
        <f>IF($A648="","",IF($D648="Evet",ROUND($C648*tbo_oranBesPuan,2),0))</f>
        <v/>
      </c>
      <c r="I648" s="31">
        <f>IF($A648="","",IF($E648="Evet",ROUND($C648*tbo_oranIlave,2),0))</f>
        <v/>
      </c>
      <c r="J648" s="31">
        <f>IF($A648="","",IF($F648="Evet",ROUND($C648*tbo_oranKadinGenc,2),0))</f>
        <v/>
      </c>
      <c r="K648" s="31">
        <f>IF($A648="","",IF($G648="Evet",ROUND($C648*tbo_isverenOran,2),0))</f>
        <v/>
      </c>
      <c r="L648" s="31">
        <f>IF($A648="","",IF($M648=0,"YOK",IF($I648=$M648,"TBO-002",IF($H648=$M648,"TBO-001",IF($J648=$M648,"TBO-004","TBO-ENG")))))</f>
        <v/>
      </c>
      <c r="M648" s="31">
        <f>IF($A648="","",MAX($H648,$I648,$J648,$K648))</f>
        <v/>
      </c>
      <c r="O648" s="31">
        <f>IF($A648="","",MAX(0,$M648-IF($N648="TBO-001",$H648,IF($N648="TBO-002",$I648,IF($N648="TBO-004",$J648,IF($N648="TBO-ENG",$K648,0))))))</f>
        <v/>
      </c>
    </row>
    <row r="649">
      <c r="H649" s="31">
        <f>IF($A649="","",IF($D649="Evet",ROUND($C649*tbo_oranBesPuan,2),0))</f>
        <v/>
      </c>
      <c r="I649" s="31">
        <f>IF($A649="","",IF($E649="Evet",ROUND($C649*tbo_oranIlave,2),0))</f>
        <v/>
      </c>
      <c r="J649" s="31">
        <f>IF($A649="","",IF($F649="Evet",ROUND($C649*tbo_oranKadinGenc,2),0))</f>
        <v/>
      </c>
      <c r="K649" s="31">
        <f>IF($A649="","",IF($G649="Evet",ROUND($C649*tbo_isverenOran,2),0))</f>
        <v/>
      </c>
      <c r="L649" s="31">
        <f>IF($A649="","",IF($M649=0,"YOK",IF($I649=$M649,"TBO-002",IF($H649=$M649,"TBO-001",IF($J649=$M649,"TBO-004","TBO-ENG")))))</f>
        <v/>
      </c>
      <c r="M649" s="31">
        <f>IF($A649="","",MAX($H649,$I649,$J649,$K649))</f>
        <v/>
      </c>
      <c r="O649" s="31">
        <f>IF($A649="","",MAX(0,$M649-IF($N649="TBO-001",$H649,IF($N649="TBO-002",$I649,IF($N649="TBO-004",$J649,IF($N649="TBO-ENG",$K649,0))))))</f>
        <v/>
      </c>
    </row>
    <row r="650">
      <c r="H650" s="31">
        <f>IF($A650="","",IF($D650="Evet",ROUND($C650*tbo_oranBesPuan,2),0))</f>
        <v/>
      </c>
      <c r="I650" s="31">
        <f>IF($A650="","",IF($E650="Evet",ROUND($C650*tbo_oranIlave,2),0))</f>
        <v/>
      </c>
      <c r="J650" s="31">
        <f>IF($A650="","",IF($F650="Evet",ROUND($C650*tbo_oranKadinGenc,2),0))</f>
        <v/>
      </c>
      <c r="K650" s="31">
        <f>IF($A650="","",IF($G650="Evet",ROUND($C650*tbo_isverenOran,2),0))</f>
        <v/>
      </c>
      <c r="L650" s="31">
        <f>IF($A650="","",IF($M650=0,"YOK",IF($I650=$M650,"TBO-002",IF($H650=$M650,"TBO-001",IF($J650=$M650,"TBO-004","TBO-ENG")))))</f>
        <v/>
      </c>
      <c r="M650" s="31">
        <f>IF($A650="","",MAX($H650,$I650,$J650,$K650))</f>
        <v/>
      </c>
      <c r="O650" s="31">
        <f>IF($A650="","",MAX(0,$M650-IF($N650="TBO-001",$H650,IF($N650="TBO-002",$I650,IF($N650="TBO-004",$J650,IF($N650="TBO-ENG",$K650,0))))))</f>
        <v/>
      </c>
    </row>
    <row r="651">
      <c r="H651" s="31">
        <f>IF($A651="","",IF($D651="Evet",ROUND($C651*tbo_oranBesPuan,2),0))</f>
        <v/>
      </c>
      <c r="I651" s="31">
        <f>IF($A651="","",IF($E651="Evet",ROUND($C651*tbo_oranIlave,2),0))</f>
        <v/>
      </c>
      <c r="J651" s="31">
        <f>IF($A651="","",IF($F651="Evet",ROUND($C651*tbo_oranKadinGenc,2),0))</f>
        <v/>
      </c>
      <c r="K651" s="31">
        <f>IF($A651="","",IF($G651="Evet",ROUND($C651*tbo_isverenOran,2),0))</f>
        <v/>
      </c>
      <c r="L651" s="31">
        <f>IF($A651="","",IF($M651=0,"YOK",IF($I651=$M651,"TBO-002",IF($H651=$M651,"TBO-001",IF($J651=$M651,"TBO-004","TBO-ENG")))))</f>
        <v/>
      </c>
      <c r="M651" s="31">
        <f>IF($A651="","",MAX($H651,$I651,$J651,$K651))</f>
        <v/>
      </c>
      <c r="O651" s="31">
        <f>IF($A651="","",MAX(0,$M651-IF($N651="TBO-001",$H651,IF($N651="TBO-002",$I651,IF($N651="TBO-004",$J651,IF($N651="TBO-ENG",$K651,0))))))</f>
        <v/>
      </c>
    </row>
    <row r="652">
      <c r="H652" s="31">
        <f>IF($A652="","",IF($D652="Evet",ROUND($C652*tbo_oranBesPuan,2),0))</f>
        <v/>
      </c>
      <c r="I652" s="31">
        <f>IF($A652="","",IF($E652="Evet",ROUND($C652*tbo_oranIlave,2),0))</f>
        <v/>
      </c>
      <c r="J652" s="31">
        <f>IF($A652="","",IF($F652="Evet",ROUND($C652*tbo_oranKadinGenc,2),0))</f>
        <v/>
      </c>
      <c r="K652" s="31">
        <f>IF($A652="","",IF($G652="Evet",ROUND($C652*tbo_isverenOran,2),0))</f>
        <v/>
      </c>
      <c r="L652" s="31">
        <f>IF($A652="","",IF($M652=0,"YOK",IF($I652=$M652,"TBO-002",IF($H652=$M652,"TBO-001",IF($J652=$M652,"TBO-004","TBO-ENG")))))</f>
        <v/>
      </c>
      <c r="M652" s="31">
        <f>IF($A652="","",MAX($H652,$I652,$J652,$K652))</f>
        <v/>
      </c>
      <c r="O652" s="31">
        <f>IF($A652="","",MAX(0,$M652-IF($N652="TBO-001",$H652,IF($N652="TBO-002",$I652,IF($N652="TBO-004",$J652,IF($N652="TBO-ENG",$K652,0))))))</f>
        <v/>
      </c>
    </row>
    <row r="653">
      <c r="H653" s="31">
        <f>IF($A653="","",IF($D653="Evet",ROUND($C653*tbo_oranBesPuan,2),0))</f>
        <v/>
      </c>
      <c r="I653" s="31">
        <f>IF($A653="","",IF($E653="Evet",ROUND($C653*tbo_oranIlave,2),0))</f>
        <v/>
      </c>
      <c r="J653" s="31">
        <f>IF($A653="","",IF($F653="Evet",ROUND($C653*tbo_oranKadinGenc,2),0))</f>
        <v/>
      </c>
      <c r="K653" s="31">
        <f>IF($A653="","",IF($G653="Evet",ROUND($C653*tbo_isverenOran,2),0))</f>
        <v/>
      </c>
      <c r="L653" s="31">
        <f>IF($A653="","",IF($M653=0,"YOK",IF($I653=$M653,"TBO-002",IF($H653=$M653,"TBO-001",IF($J653=$M653,"TBO-004","TBO-ENG")))))</f>
        <v/>
      </c>
      <c r="M653" s="31">
        <f>IF($A653="","",MAX($H653,$I653,$J653,$K653))</f>
        <v/>
      </c>
      <c r="O653" s="31">
        <f>IF($A653="","",MAX(0,$M653-IF($N653="TBO-001",$H653,IF($N653="TBO-002",$I653,IF($N653="TBO-004",$J653,IF($N653="TBO-ENG",$K653,0))))))</f>
        <v/>
      </c>
    </row>
    <row r="654">
      <c r="H654" s="31">
        <f>IF($A654="","",IF($D654="Evet",ROUND($C654*tbo_oranBesPuan,2),0))</f>
        <v/>
      </c>
      <c r="I654" s="31">
        <f>IF($A654="","",IF($E654="Evet",ROUND($C654*tbo_oranIlave,2),0))</f>
        <v/>
      </c>
      <c r="J654" s="31">
        <f>IF($A654="","",IF($F654="Evet",ROUND($C654*tbo_oranKadinGenc,2),0))</f>
        <v/>
      </c>
      <c r="K654" s="31">
        <f>IF($A654="","",IF($G654="Evet",ROUND($C654*tbo_isverenOran,2),0))</f>
        <v/>
      </c>
      <c r="L654" s="31">
        <f>IF($A654="","",IF($M654=0,"YOK",IF($I654=$M654,"TBO-002",IF($H654=$M654,"TBO-001",IF($J654=$M654,"TBO-004","TBO-ENG")))))</f>
        <v/>
      </c>
      <c r="M654" s="31">
        <f>IF($A654="","",MAX($H654,$I654,$J654,$K654))</f>
        <v/>
      </c>
      <c r="O654" s="31">
        <f>IF($A654="","",MAX(0,$M654-IF($N654="TBO-001",$H654,IF($N654="TBO-002",$I654,IF($N654="TBO-004",$J654,IF($N654="TBO-ENG",$K654,0))))))</f>
        <v/>
      </c>
    </row>
    <row r="655">
      <c r="H655" s="31">
        <f>IF($A655="","",IF($D655="Evet",ROUND($C655*tbo_oranBesPuan,2),0))</f>
        <v/>
      </c>
      <c r="I655" s="31">
        <f>IF($A655="","",IF($E655="Evet",ROUND($C655*tbo_oranIlave,2),0))</f>
        <v/>
      </c>
      <c r="J655" s="31">
        <f>IF($A655="","",IF($F655="Evet",ROUND($C655*tbo_oranKadinGenc,2),0))</f>
        <v/>
      </c>
      <c r="K655" s="31">
        <f>IF($A655="","",IF($G655="Evet",ROUND($C655*tbo_isverenOran,2),0))</f>
        <v/>
      </c>
      <c r="L655" s="31">
        <f>IF($A655="","",IF($M655=0,"YOK",IF($I655=$M655,"TBO-002",IF($H655=$M655,"TBO-001",IF($J655=$M655,"TBO-004","TBO-ENG")))))</f>
        <v/>
      </c>
      <c r="M655" s="31">
        <f>IF($A655="","",MAX($H655,$I655,$J655,$K655))</f>
        <v/>
      </c>
      <c r="O655" s="31">
        <f>IF($A655="","",MAX(0,$M655-IF($N655="TBO-001",$H655,IF($N655="TBO-002",$I655,IF($N655="TBO-004",$J655,IF($N655="TBO-ENG",$K655,0))))))</f>
        <v/>
      </c>
    </row>
    <row r="656">
      <c r="H656" s="31">
        <f>IF($A656="","",IF($D656="Evet",ROUND($C656*tbo_oranBesPuan,2),0))</f>
        <v/>
      </c>
      <c r="I656" s="31">
        <f>IF($A656="","",IF($E656="Evet",ROUND($C656*tbo_oranIlave,2),0))</f>
        <v/>
      </c>
      <c r="J656" s="31">
        <f>IF($A656="","",IF($F656="Evet",ROUND($C656*tbo_oranKadinGenc,2),0))</f>
        <v/>
      </c>
      <c r="K656" s="31">
        <f>IF($A656="","",IF($G656="Evet",ROUND($C656*tbo_isverenOran,2),0))</f>
        <v/>
      </c>
      <c r="L656" s="31">
        <f>IF($A656="","",IF($M656=0,"YOK",IF($I656=$M656,"TBO-002",IF($H656=$M656,"TBO-001",IF($J656=$M656,"TBO-004","TBO-ENG")))))</f>
        <v/>
      </c>
      <c r="M656" s="31">
        <f>IF($A656="","",MAX($H656,$I656,$J656,$K656))</f>
        <v/>
      </c>
      <c r="O656" s="31">
        <f>IF($A656="","",MAX(0,$M656-IF($N656="TBO-001",$H656,IF($N656="TBO-002",$I656,IF($N656="TBO-004",$J656,IF($N656="TBO-ENG",$K656,0))))))</f>
        <v/>
      </c>
    </row>
    <row r="657">
      <c r="H657" s="31">
        <f>IF($A657="","",IF($D657="Evet",ROUND($C657*tbo_oranBesPuan,2),0))</f>
        <v/>
      </c>
      <c r="I657" s="31">
        <f>IF($A657="","",IF($E657="Evet",ROUND($C657*tbo_oranIlave,2),0))</f>
        <v/>
      </c>
      <c r="J657" s="31">
        <f>IF($A657="","",IF($F657="Evet",ROUND($C657*tbo_oranKadinGenc,2),0))</f>
        <v/>
      </c>
      <c r="K657" s="31">
        <f>IF($A657="","",IF($G657="Evet",ROUND($C657*tbo_isverenOran,2),0))</f>
        <v/>
      </c>
      <c r="L657" s="31">
        <f>IF($A657="","",IF($M657=0,"YOK",IF($I657=$M657,"TBO-002",IF($H657=$M657,"TBO-001",IF($J657=$M657,"TBO-004","TBO-ENG")))))</f>
        <v/>
      </c>
      <c r="M657" s="31">
        <f>IF($A657="","",MAX($H657,$I657,$J657,$K657))</f>
        <v/>
      </c>
      <c r="O657" s="31">
        <f>IF($A657="","",MAX(0,$M657-IF($N657="TBO-001",$H657,IF($N657="TBO-002",$I657,IF($N657="TBO-004",$J657,IF($N657="TBO-ENG",$K657,0))))))</f>
        <v/>
      </c>
    </row>
    <row r="658">
      <c r="H658" s="31">
        <f>IF($A658="","",IF($D658="Evet",ROUND($C658*tbo_oranBesPuan,2),0))</f>
        <v/>
      </c>
      <c r="I658" s="31">
        <f>IF($A658="","",IF($E658="Evet",ROUND($C658*tbo_oranIlave,2),0))</f>
        <v/>
      </c>
      <c r="J658" s="31">
        <f>IF($A658="","",IF($F658="Evet",ROUND($C658*tbo_oranKadinGenc,2),0))</f>
        <v/>
      </c>
      <c r="K658" s="31">
        <f>IF($A658="","",IF($G658="Evet",ROUND($C658*tbo_isverenOran,2),0))</f>
        <v/>
      </c>
      <c r="L658" s="31">
        <f>IF($A658="","",IF($M658=0,"YOK",IF($I658=$M658,"TBO-002",IF($H658=$M658,"TBO-001",IF($J658=$M658,"TBO-004","TBO-ENG")))))</f>
        <v/>
      </c>
      <c r="M658" s="31">
        <f>IF($A658="","",MAX($H658,$I658,$J658,$K658))</f>
        <v/>
      </c>
      <c r="O658" s="31">
        <f>IF($A658="","",MAX(0,$M658-IF($N658="TBO-001",$H658,IF($N658="TBO-002",$I658,IF($N658="TBO-004",$J658,IF($N658="TBO-ENG",$K658,0))))))</f>
        <v/>
      </c>
    </row>
    <row r="659">
      <c r="H659" s="31">
        <f>IF($A659="","",IF($D659="Evet",ROUND($C659*tbo_oranBesPuan,2),0))</f>
        <v/>
      </c>
      <c r="I659" s="31">
        <f>IF($A659="","",IF($E659="Evet",ROUND($C659*tbo_oranIlave,2),0))</f>
        <v/>
      </c>
      <c r="J659" s="31">
        <f>IF($A659="","",IF($F659="Evet",ROUND($C659*tbo_oranKadinGenc,2),0))</f>
        <v/>
      </c>
      <c r="K659" s="31">
        <f>IF($A659="","",IF($G659="Evet",ROUND($C659*tbo_isverenOran,2),0))</f>
        <v/>
      </c>
      <c r="L659" s="31">
        <f>IF($A659="","",IF($M659=0,"YOK",IF($I659=$M659,"TBO-002",IF($H659=$M659,"TBO-001",IF($J659=$M659,"TBO-004","TBO-ENG")))))</f>
        <v/>
      </c>
      <c r="M659" s="31">
        <f>IF($A659="","",MAX($H659,$I659,$J659,$K659))</f>
        <v/>
      </c>
      <c r="O659" s="31">
        <f>IF($A659="","",MAX(0,$M659-IF($N659="TBO-001",$H659,IF($N659="TBO-002",$I659,IF($N659="TBO-004",$J659,IF($N659="TBO-ENG",$K659,0))))))</f>
        <v/>
      </c>
    </row>
    <row r="660">
      <c r="H660" s="31">
        <f>IF($A660="","",IF($D660="Evet",ROUND($C660*tbo_oranBesPuan,2),0))</f>
        <v/>
      </c>
      <c r="I660" s="31">
        <f>IF($A660="","",IF($E660="Evet",ROUND($C660*tbo_oranIlave,2),0))</f>
        <v/>
      </c>
      <c r="J660" s="31">
        <f>IF($A660="","",IF($F660="Evet",ROUND($C660*tbo_oranKadinGenc,2),0))</f>
        <v/>
      </c>
      <c r="K660" s="31">
        <f>IF($A660="","",IF($G660="Evet",ROUND($C660*tbo_isverenOran,2),0))</f>
        <v/>
      </c>
      <c r="L660" s="31">
        <f>IF($A660="","",IF($M660=0,"YOK",IF($I660=$M660,"TBO-002",IF($H660=$M660,"TBO-001",IF($J660=$M660,"TBO-004","TBO-ENG")))))</f>
        <v/>
      </c>
      <c r="M660" s="31">
        <f>IF($A660="","",MAX($H660,$I660,$J660,$K660))</f>
        <v/>
      </c>
      <c r="O660" s="31">
        <f>IF($A660="","",MAX(0,$M660-IF($N660="TBO-001",$H660,IF($N660="TBO-002",$I660,IF($N660="TBO-004",$J660,IF($N660="TBO-ENG",$K660,0))))))</f>
        <v/>
      </c>
    </row>
    <row r="661">
      <c r="H661" s="31">
        <f>IF($A661="","",IF($D661="Evet",ROUND($C661*tbo_oranBesPuan,2),0))</f>
        <v/>
      </c>
      <c r="I661" s="31">
        <f>IF($A661="","",IF($E661="Evet",ROUND($C661*tbo_oranIlave,2),0))</f>
        <v/>
      </c>
      <c r="J661" s="31">
        <f>IF($A661="","",IF($F661="Evet",ROUND($C661*tbo_oranKadinGenc,2),0))</f>
        <v/>
      </c>
      <c r="K661" s="31">
        <f>IF($A661="","",IF($G661="Evet",ROUND($C661*tbo_isverenOran,2),0))</f>
        <v/>
      </c>
      <c r="L661" s="31">
        <f>IF($A661="","",IF($M661=0,"YOK",IF($I661=$M661,"TBO-002",IF($H661=$M661,"TBO-001",IF($J661=$M661,"TBO-004","TBO-ENG")))))</f>
        <v/>
      </c>
      <c r="M661" s="31">
        <f>IF($A661="","",MAX($H661,$I661,$J661,$K661))</f>
        <v/>
      </c>
      <c r="O661" s="31">
        <f>IF($A661="","",MAX(0,$M661-IF($N661="TBO-001",$H661,IF($N661="TBO-002",$I661,IF($N661="TBO-004",$J661,IF($N661="TBO-ENG",$K661,0))))))</f>
        <v/>
      </c>
    </row>
    <row r="662">
      <c r="H662" s="31">
        <f>IF($A662="","",IF($D662="Evet",ROUND($C662*tbo_oranBesPuan,2),0))</f>
        <v/>
      </c>
      <c r="I662" s="31">
        <f>IF($A662="","",IF($E662="Evet",ROUND($C662*tbo_oranIlave,2),0))</f>
        <v/>
      </c>
      <c r="J662" s="31">
        <f>IF($A662="","",IF($F662="Evet",ROUND($C662*tbo_oranKadinGenc,2),0))</f>
        <v/>
      </c>
      <c r="K662" s="31">
        <f>IF($A662="","",IF($G662="Evet",ROUND($C662*tbo_isverenOran,2),0))</f>
        <v/>
      </c>
      <c r="L662" s="31">
        <f>IF($A662="","",IF($M662=0,"YOK",IF($I662=$M662,"TBO-002",IF($H662=$M662,"TBO-001",IF($J662=$M662,"TBO-004","TBO-ENG")))))</f>
        <v/>
      </c>
      <c r="M662" s="31">
        <f>IF($A662="","",MAX($H662,$I662,$J662,$K662))</f>
        <v/>
      </c>
      <c r="O662" s="31">
        <f>IF($A662="","",MAX(0,$M662-IF($N662="TBO-001",$H662,IF($N662="TBO-002",$I662,IF($N662="TBO-004",$J662,IF($N662="TBO-ENG",$K662,0))))))</f>
        <v/>
      </c>
    </row>
    <row r="663">
      <c r="H663" s="31">
        <f>IF($A663="","",IF($D663="Evet",ROUND($C663*tbo_oranBesPuan,2),0))</f>
        <v/>
      </c>
      <c r="I663" s="31">
        <f>IF($A663="","",IF($E663="Evet",ROUND($C663*tbo_oranIlave,2),0))</f>
        <v/>
      </c>
      <c r="J663" s="31">
        <f>IF($A663="","",IF($F663="Evet",ROUND($C663*tbo_oranKadinGenc,2),0))</f>
        <v/>
      </c>
      <c r="K663" s="31">
        <f>IF($A663="","",IF($G663="Evet",ROUND($C663*tbo_isverenOran,2),0))</f>
        <v/>
      </c>
      <c r="L663" s="31">
        <f>IF($A663="","",IF($M663=0,"YOK",IF($I663=$M663,"TBO-002",IF($H663=$M663,"TBO-001",IF($J663=$M663,"TBO-004","TBO-ENG")))))</f>
        <v/>
      </c>
      <c r="M663" s="31">
        <f>IF($A663="","",MAX($H663,$I663,$J663,$K663))</f>
        <v/>
      </c>
      <c r="O663" s="31">
        <f>IF($A663="","",MAX(0,$M663-IF($N663="TBO-001",$H663,IF($N663="TBO-002",$I663,IF($N663="TBO-004",$J663,IF($N663="TBO-ENG",$K663,0))))))</f>
        <v/>
      </c>
    </row>
    <row r="664">
      <c r="H664" s="31">
        <f>IF($A664="","",IF($D664="Evet",ROUND($C664*tbo_oranBesPuan,2),0))</f>
        <v/>
      </c>
      <c r="I664" s="31">
        <f>IF($A664="","",IF($E664="Evet",ROUND($C664*tbo_oranIlave,2),0))</f>
        <v/>
      </c>
      <c r="J664" s="31">
        <f>IF($A664="","",IF($F664="Evet",ROUND($C664*tbo_oranKadinGenc,2),0))</f>
        <v/>
      </c>
      <c r="K664" s="31">
        <f>IF($A664="","",IF($G664="Evet",ROUND($C664*tbo_isverenOran,2),0))</f>
        <v/>
      </c>
      <c r="L664" s="31">
        <f>IF($A664="","",IF($M664=0,"YOK",IF($I664=$M664,"TBO-002",IF($H664=$M664,"TBO-001",IF($J664=$M664,"TBO-004","TBO-ENG")))))</f>
        <v/>
      </c>
      <c r="M664" s="31">
        <f>IF($A664="","",MAX($H664,$I664,$J664,$K664))</f>
        <v/>
      </c>
      <c r="O664" s="31">
        <f>IF($A664="","",MAX(0,$M664-IF($N664="TBO-001",$H664,IF($N664="TBO-002",$I664,IF($N664="TBO-004",$J664,IF($N664="TBO-ENG",$K664,0))))))</f>
        <v/>
      </c>
    </row>
    <row r="665">
      <c r="H665" s="31">
        <f>IF($A665="","",IF($D665="Evet",ROUND($C665*tbo_oranBesPuan,2),0))</f>
        <v/>
      </c>
      <c r="I665" s="31">
        <f>IF($A665="","",IF($E665="Evet",ROUND($C665*tbo_oranIlave,2),0))</f>
        <v/>
      </c>
      <c r="J665" s="31">
        <f>IF($A665="","",IF($F665="Evet",ROUND($C665*tbo_oranKadinGenc,2),0))</f>
        <v/>
      </c>
      <c r="K665" s="31">
        <f>IF($A665="","",IF($G665="Evet",ROUND($C665*tbo_isverenOran,2),0))</f>
        <v/>
      </c>
      <c r="L665" s="31">
        <f>IF($A665="","",IF($M665=0,"YOK",IF($I665=$M665,"TBO-002",IF($H665=$M665,"TBO-001",IF($J665=$M665,"TBO-004","TBO-ENG")))))</f>
        <v/>
      </c>
      <c r="M665" s="31">
        <f>IF($A665="","",MAX($H665,$I665,$J665,$K665))</f>
        <v/>
      </c>
      <c r="O665" s="31">
        <f>IF($A665="","",MAX(0,$M665-IF($N665="TBO-001",$H665,IF($N665="TBO-002",$I665,IF($N665="TBO-004",$J665,IF($N665="TBO-ENG",$K665,0))))))</f>
        <v/>
      </c>
    </row>
    <row r="666">
      <c r="H666" s="31">
        <f>IF($A666="","",IF($D666="Evet",ROUND($C666*tbo_oranBesPuan,2),0))</f>
        <v/>
      </c>
      <c r="I666" s="31">
        <f>IF($A666="","",IF($E666="Evet",ROUND($C666*tbo_oranIlave,2),0))</f>
        <v/>
      </c>
      <c r="J666" s="31">
        <f>IF($A666="","",IF($F666="Evet",ROUND($C666*tbo_oranKadinGenc,2),0))</f>
        <v/>
      </c>
      <c r="K666" s="31">
        <f>IF($A666="","",IF($G666="Evet",ROUND($C666*tbo_isverenOran,2),0))</f>
        <v/>
      </c>
      <c r="L666" s="31">
        <f>IF($A666="","",IF($M666=0,"YOK",IF($I666=$M666,"TBO-002",IF($H666=$M666,"TBO-001",IF($J666=$M666,"TBO-004","TBO-ENG")))))</f>
        <v/>
      </c>
      <c r="M666" s="31">
        <f>IF($A666="","",MAX($H666,$I666,$J666,$K666))</f>
        <v/>
      </c>
      <c r="O666" s="31">
        <f>IF($A666="","",MAX(0,$M666-IF($N666="TBO-001",$H666,IF($N666="TBO-002",$I666,IF($N666="TBO-004",$J666,IF($N666="TBO-ENG",$K666,0))))))</f>
        <v/>
      </c>
    </row>
    <row r="667">
      <c r="H667" s="31">
        <f>IF($A667="","",IF($D667="Evet",ROUND($C667*tbo_oranBesPuan,2),0))</f>
        <v/>
      </c>
      <c r="I667" s="31">
        <f>IF($A667="","",IF($E667="Evet",ROUND($C667*tbo_oranIlave,2),0))</f>
        <v/>
      </c>
      <c r="J667" s="31">
        <f>IF($A667="","",IF($F667="Evet",ROUND($C667*tbo_oranKadinGenc,2),0))</f>
        <v/>
      </c>
      <c r="K667" s="31">
        <f>IF($A667="","",IF($G667="Evet",ROUND($C667*tbo_isverenOran,2),0))</f>
        <v/>
      </c>
      <c r="L667" s="31">
        <f>IF($A667="","",IF($M667=0,"YOK",IF($I667=$M667,"TBO-002",IF($H667=$M667,"TBO-001",IF($J667=$M667,"TBO-004","TBO-ENG")))))</f>
        <v/>
      </c>
      <c r="M667" s="31">
        <f>IF($A667="","",MAX($H667,$I667,$J667,$K667))</f>
        <v/>
      </c>
      <c r="O667" s="31">
        <f>IF($A667="","",MAX(0,$M667-IF($N667="TBO-001",$H667,IF($N667="TBO-002",$I667,IF($N667="TBO-004",$J667,IF($N667="TBO-ENG",$K667,0))))))</f>
        <v/>
      </c>
    </row>
    <row r="668">
      <c r="H668" s="31">
        <f>IF($A668="","",IF($D668="Evet",ROUND($C668*tbo_oranBesPuan,2),0))</f>
        <v/>
      </c>
      <c r="I668" s="31">
        <f>IF($A668="","",IF($E668="Evet",ROUND($C668*tbo_oranIlave,2),0))</f>
        <v/>
      </c>
      <c r="J668" s="31">
        <f>IF($A668="","",IF($F668="Evet",ROUND($C668*tbo_oranKadinGenc,2),0))</f>
        <v/>
      </c>
      <c r="K668" s="31">
        <f>IF($A668="","",IF($G668="Evet",ROUND($C668*tbo_isverenOran,2),0))</f>
        <v/>
      </c>
      <c r="L668" s="31">
        <f>IF($A668="","",IF($M668=0,"YOK",IF($I668=$M668,"TBO-002",IF($H668=$M668,"TBO-001",IF($J668=$M668,"TBO-004","TBO-ENG")))))</f>
        <v/>
      </c>
      <c r="M668" s="31">
        <f>IF($A668="","",MAX($H668,$I668,$J668,$K668))</f>
        <v/>
      </c>
      <c r="O668" s="31">
        <f>IF($A668="","",MAX(0,$M668-IF($N668="TBO-001",$H668,IF($N668="TBO-002",$I668,IF($N668="TBO-004",$J668,IF($N668="TBO-ENG",$K668,0))))))</f>
        <v/>
      </c>
    </row>
    <row r="669">
      <c r="H669" s="31">
        <f>IF($A669="","",IF($D669="Evet",ROUND($C669*tbo_oranBesPuan,2),0))</f>
        <v/>
      </c>
      <c r="I669" s="31">
        <f>IF($A669="","",IF($E669="Evet",ROUND($C669*tbo_oranIlave,2),0))</f>
        <v/>
      </c>
      <c r="J669" s="31">
        <f>IF($A669="","",IF($F669="Evet",ROUND($C669*tbo_oranKadinGenc,2),0))</f>
        <v/>
      </c>
      <c r="K669" s="31">
        <f>IF($A669="","",IF($G669="Evet",ROUND($C669*tbo_isverenOran,2),0))</f>
        <v/>
      </c>
      <c r="L669" s="31">
        <f>IF($A669="","",IF($M669=0,"YOK",IF($I669=$M669,"TBO-002",IF($H669=$M669,"TBO-001",IF($J669=$M669,"TBO-004","TBO-ENG")))))</f>
        <v/>
      </c>
      <c r="M669" s="31">
        <f>IF($A669="","",MAX($H669,$I669,$J669,$K669))</f>
        <v/>
      </c>
      <c r="O669" s="31">
        <f>IF($A669="","",MAX(0,$M669-IF($N669="TBO-001",$H669,IF($N669="TBO-002",$I669,IF($N669="TBO-004",$J669,IF($N669="TBO-ENG",$K669,0))))))</f>
        <v/>
      </c>
    </row>
    <row r="670">
      <c r="H670" s="31">
        <f>IF($A670="","",IF($D670="Evet",ROUND($C670*tbo_oranBesPuan,2),0))</f>
        <v/>
      </c>
      <c r="I670" s="31">
        <f>IF($A670="","",IF($E670="Evet",ROUND($C670*tbo_oranIlave,2),0))</f>
        <v/>
      </c>
      <c r="J670" s="31">
        <f>IF($A670="","",IF($F670="Evet",ROUND($C670*tbo_oranKadinGenc,2),0))</f>
        <v/>
      </c>
      <c r="K670" s="31">
        <f>IF($A670="","",IF($G670="Evet",ROUND($C670*tbo_isverenOran,2),0))</f>
        <v/>
      </c>
      <c r="L670" s="31">
        <f>IF($A670="","",IF($M670=0,"YOK",IF($I670=$M670,"TBO-002",IF($H670=$M670,"TBO-001",IF($J670=$M670,"TBO-004","TBO-ENG")))))</f>
        <v/>
      </c>
      <c r="M670" s="31">
        <f>IF($A670="","",MAX($H670,$I670,$J670,$K670))</f>
        <v/>
      </c>
      <c r="O670" s="31">
        <f>IF($A670="","",MAX(0,$M670-IF($N670="TBO-001",$H670,IF($N670="TBO-002",$I670,IF($N670="TBO-004",$J670,IF($N670="TBO-ENG",$K670,0))))))</f>
        <v/>
      </c>
    </row>
    <row r="671">
      <c r="H671" s="31">
        <f>IF($A671="","",IF($D671="Evet",ROUND($C671*tbo_oranBesPuan,2),0))</f>
        <v/>
      </c>
      <c r="I671" s="31">
        <f>IF($A671="","",IF($E671="Evet",ROUND($C671*tbo_oranIlave,2),0))</f>
        <v/>
      </c>
      <c r="J671" s="31">
        <f>IF($A671="","",IF($F671="Evet",ROUND($C671*tbo_oranKadinGenc,2),0))</f>
        <v/>
      </c>
      <c r="K671" s="31">
        <f>IF($A671="","",IF($G671="Evet",ROUND($C671*tbo_isverenOran,2),0))</f>
        <v/>
      </c>
      <c r="L671" s="31">
        <f>IF($A671="","",IF($M671=0,"YOK",IF($I671=$M671,"TBO-002",IF($H671=$M671,"TBO-001",IF($J671=$M671,"TBO-004","TBO-ENG")))))</f>
        <v/>
      </c>
      <c r="M671" s="31">
        <f>IF($A671="","",MAX($H671,$I671,$J671,$K671))</f>
        <v/>
      </c>
      <c r="O671" s="31">
        <f>IF($A671="","",MAX(0,$M671-IF($N671="TBO-001",$H671,IF($N671="TBO-002",$I671,IF($N671="TBO-004",$J671,IF($N671="TBO-ENG",$K671,0))))))</f>
        <v/>
      </c>
    </row>
    <row r="672">
      <c r="H672" s="31">
        <f>IF($A672="","",IF($D672="Evet",ROUND($C672*tbo_oranBesPuan,2),0))</f>
        <v/>
      </c>
      <c r="I672" s="31">
        <f>IF($A672="","",IF($E672="Evet",ROUND($C672*tbo_oranIlave,2),0))</f>
        <v/>
      </c>
      <c r="J672" s="31">
        <f>IF($A672="","",IF($F672="Evet",ROUND($C672*tbo_oranKadinGenc,2),0))</f>
        <v/>
      </c>
      <c r="K672" s="31">
        <f>IF($A672="","",IF($G672="Evet",ROUND($C672*tbo_isverenOran,2),0))</f>
        <v/>
      </c>
      <c r="L672" s="31">
        <f>IF($A672="","",IF($M672=0,"YOK",IF($I672=$M672,"TBO-002",IF($H672=$M672,"TBO-001",IF($J672=$M672,"TBO-004","TBO-ENG")))))</f>
        <v/>
      </c>
      <c r="M672" s="31">
        <f>IF($A672="","",MAX($H672,$I672,$J672,$K672))</f>
        <v/>
      </c>
      <c r="O672" s="31">
        <f>IF($A672="","",MAX(0,$M672-IF($N672="TBO-001",$H672,IF($N672="TBO-002",$I672,IF($N672="TBO-004",$J672,IF($N672="TBO-ENG",$K672,0))))))</f>
        <v/>
      </c>
    </row>
    <row r="673">
      <c r="H673" s="31">
        <f>IF($A673="","",IF($D673="Evet",ROUND($C673*tbo_oranBesPuan,2),0))</f>
        <v/>
      </c>
      <c r="I673" s="31">
        <f>IF($A673="","",IF($E673="Evet",ROUND($C673*tbo_oranIlave,2),0))</f>
        <v/>
      </c>
      <c r="J673" s="31">
        <f>IF($A673="","",IF($F673="Evet",ROUND($C673*tbo_oranKadinGenc,2),0))</f>
        <v/>
      </c>
      <c r="K673" s="31">
        <f>IF($A673="","",IF($G673="Evet",ROUND($C673*tbo_isverenOran,2),0))</f>
        <v/>
      </c>
      <c r="L673" s="31">
        <f>IF($A673="","",IF($M673=0,"YOK",IF($I673=$M673,"TBO-002",IF($H673=$M673,"TBO-001",IF($J673=$M673,"TBO-004","TBO-ENG")))))</f>
        <v/>
      </c>
      <c r="M673" s="31">
        <f>IF($A673="","",MAX($H673,$I673,$J673,$K673))</f>
        <v/>
      </c>
      <c r="O673" s="31">
        <f>IF($A673="","",MAX(0,$M673-IF($N673="TBO-001",$H673,IF($N673="TBO-002",$I673,IF($N673="TBO-004",$J673,IF($N673="TBO-ENG",$K673,0))))))</f>
        <v/>
      </c>
    </row>
    <row r="674">
      <c r="H674" s="31">
        <f>IF($A674="","",IF($D674="Evet",ROUND($C674*tbo_oranBesPuan,2),0))</f>
        <v/>
      </c>
      <c r="I674" s="31">
        <f>IF($A674="","",IF($E674="Evet",ROUND($C674*tbo_oranIlave,2),0))</f>
        <v/>
      </c>
      <c r="J674" s="31">
        <f>IF($A674="","",IF($F674="Evet",ROUND($C674*tbo_oranKadinGenc,2),0))</f>
        <v/>
      </c>
      <c r="K674" s="31">
        <f>IF($A674="","",IF($G674="Evet",ROUND($C674*tbo_isverenOran,2),0))</f>
        <v/>
      </c>
      <c r="L674" s="31">
        <f>IF($A674="","",IF($M674=0,"YOK",IF($I674=$M674,"TBO-002",IF($H674=$M674,"TBO-001",IF($J674=$M674,"TBO-004","TBO-ENG")))))</f>
        <v/>
      </c>
      <c r="M674" s="31">
        <f>IF($A674="","",MAX($H674,$I674,$J674,$K674))</f>
        <v/>
      </c>
      <c r="O674" s="31">
        <f>IF($A674="","",MAX(0,$M674-IF($N674="TBO-001",$H674,IF($N674="TBO-002",$I674,IF($N674="TBO-004",$J674,IF($N674="TBO-ENG",$K674,0))))))</f>
        <v/>
      </c>
    </row>
    <row r="675">
      <c r="H675" s="31">
        <f>IF($A675="","",IF($D675="Evet",ROUND($C675*tbo_oranBesPuan,2),0))</f>
        <v/>
      </c>
      <c r="I675" s="31">
        <f>IF($A675="","",IF($E675="Evet",ROUND($C675*tbo_oranIlave,2),0))</f>
        <v/>
      </c>
      <c r="J675" s="31">
        <f>IF($A675="","",IF($F675="Evet",ROUND($C675*tbo_oranKadinGenc,2),0))</f>
        <v/>
      </c>
      <c r="K675" s="31">
        <f>IF($A675="","",IF($G675="Evet",ROUND($C675*tbo_isverenOran,2),0))</f>
        <v/>
      </c>
      <c r="L675" s="31">
        <f>IF($A675="","",IF($M675=0,"YOK",IF($I675=$M675,"TBO-002",IF($H675=$M675,"TBO-001",IF($J675=$M675,"TBO-004","TBO-ENG")))))</f>
        <v/>
      </c>
      <c r="M675" s="31">
        <f>IF($A675="","",MAX($H675,$I675,$J675,$K675))</f>
        <v/>
      </c>
      <c r="O675" s="31">
        <f>IF($A675="","",MAX(0,$M675-IF($N675="TBO-001",$H675,IF($N675="TBO-002",$I675,IF($N675="TBO-004",$J675,IF($N675="TBO-ENG",$K675,0))))))</f>
        <v/>
      </c>
    </row>
    <row r="676">
      <c r="H676" s="31">
        <f>IF($A676="","",IF($D676="Evet",ROUND($C676*tbo_oranBesPuan,2),0))</f>
        <v/>
      </c>
      <c r="I676" s="31">
        <f>IF($A676="","",IF($E676="Evet",ROUND($C676*tbo_oranIlave,2),0))</f>
        <v/>
      </c>
      <c r="J676" s="31">
        <f>IF($A676="","",IF($F676="Evet",ROUND($C676*tbo_oranKadinGenc,2),0))</f>
        <v/>
      </c>
      <c r="K676" s="31">
        <f>IF($A676="","",IF($G676="Evet",ROUND($C676*tbo_isverenOran,2),0))</f>
        <v/>
      </c>
      <c r="L676" s="31">
        <f>IF($A676="","",IF($M676=0,"YOK",IF($I676=$M676,"TBO-002",IF($H676=$M676,"TBO-001",IF($J676=$M676,"TBO-004","TBO-ENG")))))</f>
        <v/>
      </c>
      <c r="M676" s="31">
        <f>IF($A676="","",MAX($H676,$I676,$J676,$K676))</f>
        <v/>
      </c>
      <c r="O676" s="31">
        <f>IF($A676="","",MAX(0,$M676-IF($N676="TBO-001",$H676,IF($N676="TBO-002",$I676,IF($N676="TBO-004",$J676,IF($N676="TBO-ENG",$K676,0))))))</f>
        <v/>
      </c>
    </row>
    <row r="677">
      <c r="H677" s="31">
        <f>IF($A677="","",IF($D677="Evet",ROUND($C677*tbo_oranBesPuan,2),0))</f>
        <v/>
      </c>
      <c r="I677" s="31">
        <f>IF($A677="","",IF($E677="Evet",ROUND($C677*tbo_oranIlave,2),0))</f>
        <v/>
      </c>
      <c r="J677" s="31">
        <f>IF($A677="","",IF($F677="Evet",ROUND($C677*tbo_oranKadinGenc,2),0))</f>
        <v/>
      </c>
      <c r="K677" s="31">
        <f>IF($A677="","",IF($G677="Evet",ROUND($C677*tbo_isverenOran,2),0))</f>
        <v/>
      </c>
      <c r="L677" s="31">
        <f>IF($A677="","",IF($M677=0,"YOK",IF($I677=$M677,"TBO-002",IF($H677=$M677,"TBO-001",IF($J677=$M677,"TBO-004","TBO-ENG")))))</f>
        <v/>
      </c>
      <c r="M677" s="31">
        <f>IF($A677="","",MAX($H677,$I677,$J677,$K677))</f>
        <v/>
      </c>
      <c r="O677" s="31">
        <f>IF($A677="","",MAX(0,$M677-IF($N677="TBO-001",$H677,IF($N677="TBO-002",$I677,IF($N677="TBO-004",$J677,IF($N677="TBO-ENG",$K677,0))))))</f>
        <v/>
      </c>
    </row>
    <row r="678">
      <c r="H678" s="31">
        <f>IF($A678="","",IF($D678="Evet",ROUND($C678*tbo_oranBesPuan,2),0))</f>
        <v/>
      </c>
      <c r="I678" s="31">
        <f>IF($A678="","",IF($E678="Evet",ROUND($C678*tbo_oranIlave,2),0))</f>
        <v/>
      </c>
      <c r="J678" s="31">
        <f>IF($A678="","",IF($F678="Evet",ROUND($C678*tbo_oranKadinGenc,2),0))</f>
        <v/>
      </c>
      <c r="K678" s="31">
        <f>IF($A678="","",IF($G678="Evet",ROUND($C678*tbo_isverenOran,2),0))</f>
        <v/>
      </c>
      <c r="L678" s="31">
        <f>IF($A678="","",IF($M678=0,"YOK",IF($I678=$M678,"TBO-002",IF($H678=$M678,"TBO-001",IF($J678=$M678,"TBO-004","TBO-ENG")))))</f>
        <v/>
      </c>
      <c r="M678" s="31">
        <f>IF($A678="","",MAX($H678,$I678,$J678,$K678))</f>
        <v/>
      </c>
      <c r="O678" s="31">
        <f>IF($A678="","",MAX(0,$M678-IF($N678="TBO-001",$H678,IF($N678="TBO-002",$I678,IF($N678="TBO-004",$J678,IF($N678="TBO-ENG",$K678,0))))))</f>
        <v/>
      </c>
    </row>
    <row r="679">
      <c r="H679" s="31">
        <f>IF($A679="","",IF($D679="Evet",ROUND($C679*tbo_oranBesPuan,2),0))</f>
        <v/>
      </c>
      <c r="I679" s="31">
        <f>IF($A679="","",IF($E679="Evet",ROUND($C679*tbo_oranIlave,2),0))</f>
        <v/>
      </c>
      <c r="J679" s="31">
        <f>IF($A679="","",IF($F679="Evet",ROUND($C679*tbo_oranKadinGenc,2),0))</f>
        <v/>
      </c>
      <c r="K679" s="31">
        <f>IF($A679="","",IF($G679="Evet",ROUND($C679*tbo_isverenOran,2),0))</f>
        <v/>
      </c>
      <c r="L679" s="31">
        <f>IF($A679="","",IF($M679=0,"YOK",IF($I679=$M679,"TBO-002",IF($H679=$M679,"TBO-001",IF($J679=$M679,"TBO-004","TBO-ENG")))))</f>
        <v/>
      </c>
      <c r="M679" s="31">
        <f>IF($A679="","",MAX($H679,$I679,$J679,$K679))</f>
        <v/>
      </c>
      <c r="O679" s="31">
        <f>IF($A679="","",MAX(0,$M679-IF($N679="TBO-001",$H679,IF($N679="TBO-002",$I679,IF($N679="TBO-004",$J679,IF($N679="TBO-ENG",$K679,0))))))</f>
        <v/>
      </c>
    </row>
    <row r="680">
      <c r="H680" s="31">
        <f>IF($A680="","",IF($D680="Evet",ROUND($C680*tbo_oranBesPuan,2),0))</f>
        <v/>
      </c>
      <c r="I680" s="31">
        <f>IF($A680="","",IF($E680="Evet",ROUND($C680*tbo_oranIlave,2),0))</f>
        <v/>
      </c>
      <c r="J680" s="31">
        <f>IF($A680="","",IF($F680="Evet",ROUND($C680*tbo_oranKadinGenc,2),0))</f>
        <v/>
      </c>
      <c r="K680" s="31">
        <f>IF($A680="","",IF($G680="Evet",ROUND($C680*tbo_isverenOran,2),0))</f>
        <v/>
      </c>
      <c r="L680" s="31">
        <f>IF($A680="","",IF($M680=0,"YOK",IF($I680=$M680,"TBO-002",IF($H680=$M680,"TBO-001",IF($J680=$M680,"TBO-004","TBO-ENG")))))</f>
        <v/>
      </c>
      <c r="M680" s="31">
        <f>IF($A680="","",MAX($H680,$I680,$J680,$K680))</f>
        <v/>
      </c>
      <c r="O680" s="31">
        <f>IF($A680="","",MAX(0,$M680-IF($N680="TBO-001",$H680,IF($N680="TBO-002",$I680,IF($N680="TBO-004",$J680,IF($N680="TBO-ENG",$K680,0))))))</f>
        <v/>
      </c>
    </row>
    <row r="681">
      <c r="H681" s="31">
        <f>IF($A681="","",IF($D681="Evet",ROUND($C681*tbo_oranBesPuan,2),0))</f>
        <v/>
      </c>
      <c r="I681" s="31">
        <f>IF($A681="","",IF($E681="Evet",ROUND($C681*tbo_oranIlave,2),0))</f>
        <v/>
      </c>
      <c r="J681" s="31">
        <f>IF($A681="","",IF($F681="Evet",ROUND($C681*tbo_oranKadinGenc,2),0))</f>
        <v/>
      </c>
      <c r="K681" s="31">
        <f>IF($A681="","",IF($G681="Evet",ROUND($C681*tbo_isverenOran,2),0))</f>
        <v/>
      </c>
      <c r="L681" s="31">
        <f>IF($A681="","",IF($M681=0,"YOK",IF($I681=$M681,"TBO-002",IF($H681=$M681,"TBO-001",IF($J681=$M681,"TBO-004","TBO-ENG")))))</f>
        <v/>
      </c>
      <c r="M681" s="31">
        <f>IF($A681="","",MAX($H681,$I681,$J681,$K681))</f>
        <v/>
      </c>
      <c r="O681" s="31">
        <f>IF($A681="","",MAX(0,$M681-IF($N681="TBO-001",$H681,IF($N681="TBO-002",$I681,IF($N681="TBO-004",$J681,IF($N681="TBO-ENG",$K681,0))))))</f>
        <v/>
      </c>
    </row>
    <row r="682">
      <c r="H682" s="31">
        <f>IF($A682="","",IF($D682="Evet",ROUND($C682*tbo_oranBesPuan,2),0))</f>
        <v/>
      </c>
      <c r="I682" s="31">
        <f>IF($A682="","",IF($E682="Evet",ROUND($C682*tbo_oranIlave,2),0))</f>
        <v/>
      </c>
      <c r="J682" s="31">
        <f>IF($A682="","",IF($F682="Evet",ROUND($C682*tbo_oranKadinGenc,2),0))</f>
        <v/>
      </c>
      <c r="K682" s="31">
        <f>IF($A682="","",IF($G682="Evet",ROUND($C682*tbo_isverenOran,2),0))</f>
        <v/>
      </c>
      <c r="L682" s="31">
        <f>IF($A682="","",IF($M682=0,"YOK",IF($I682=$M682,"TBO-002",IF($H682=$M682,"TBO-001",IF($J682=$M682,"TBO-004","TBO-ENG")))))</f>
        <v/>
      </c>
      <c r="M682" s="31">
        <f>IF($A682="","",MAX($H682,$I682,$J682,$K682))</f>
        <v/>
      </c>
      <c r="O682" s="31">
        <f>IF($A682="","",MAX(0,$M682-IF($N682="TBO-001",$H682,IF($N682="TBO-002",$I682,IF($N682="TBO-004",$J682,IF($N682="TBO-ENG",$K682,0))))))</f>
        <v/>
      </c>
    </row>
    <row r="683">
      <c r="H683" s="31">
        <f>IF($A683="","",IF($D683="Evet",ROUND($C683*tbo_oranBesPuan,2),0))</f>
        <v/>
      </c>
      <c r="I683" s="31">
        <f>IF($A683="","",IF($E683="Evet",ROUND($C683*tbo_oranIlave,2),0))</f>
        <v/>
      </c>
      <c r="J683" s="31">
        <f>IF($A683="","",IF($F683="Evet",ROUND($C683*tbo_oranKadinGenc,2),0))</f>
        <v/>
      </c>
      <c r="K683" s="31">
        <f>IF($A683="","",IF($G683="Evet",ROUND($C683*tbo_isverenOran,2),0))</f>
        <v/>
      </c>
      <c r="L683" s="31">
        <f>IF($A683="","",IF($M683=0,"YOK",IF($I683=$M683,"TBO-002",IF($H683=$M683,"TBO-001",IF($J683=$M683,"TBO-004","TBO-ENG")))))</f>
        <v/>
      </c>
      <c r="M683" s="31">
        <f>IF($A683="","",MAX($H683,$I683,$J683,$K683))</f>
        <v/>
      </c>
      <c r="O683" s="31">
        <f>IF($A683="","",MAX(0,$M683-IF($N683="TBO-001",$H683,IF($N683="TBO-002",$I683,IF($N683="TBO-004",$J683,IF($N683="TBO-ENG",$K683,0))))))</f>
        <v/>
      </c>
    </row>
    <row r="684">
      <c r="H684" s="31">
        <f>IF($A684="","",IF($D684="Evet",ROUND($C684*tbo_oranBesPuan,2),0))</f>
        <v/>
      </c>
      <c r="I684" s="31">
        <f>IF($A684="","",IF($E684="Evet",ROUND($C684*tbo_oranIlave,2),0))</f>
        <v/>
      </c>
      <c r="J684" s="31">
        <f>IF($A684="","",IF($F684="Evet",ROUND($C684*tbo_oranKadinGenc,2),0))</f>
        <v/>
      </c>
      <c r="K684" s="31">
        <f>IF($A684="","",IF($G684="Evet",ROUND($C684*tbo_isverenOran,2),0))</f>
        <v/>
      </c>
      <c r="L684" s="31">
        <f>IF($A684="","",IF($M684=0,"YOK",IF($I684=$M684,"TBO-002",IF($H684=$M684,"TBO-001",IF($J684=$M684,"TBO-004","TBO-ENG")))))</f>
        <v/>
      </c>
      <c r="M684" s="31">
        <f>IF($A684="","",MAX($H684,$I684,$J684,$K684))</f>
        <v/>
      </c>
      <c r="O684" s="31">
        <f>IF($A684="","",MAX(0,$M684-IF($N684="TBO-001",$H684,IF($N684="TBO-002",$I684,IF($N684="TBO-004",$J684,IF($N684="TBO-ENG",$K684,0))))))</f>
        <v/>
      </c>
    </row>
    <row r="685">
      <c r="H685" s="31">
        <f>IF($A685="","",IF($D685="Evet",ROUND($C685*tbo_oranBesPuan,2),0))</f>
        <v/>
      </c>
      <c r="I685" s="31">
        <f>IF($A685="","",IF($E685="Evet",ROUND($C685*tbo_oranIlave,2),0))</f>
        <v/>
      </c>
      <c r="J685" s="31">
        <f>IF($A685="","",IF($F685="Evet",ROUND($C685*tbo_oranKadinGenc,2),0))</f>
        <v/>
      </c>
      <c r="K685" s="31">
        <f>IF($A685="","",IF($G685="Evet",ROUND($C685*tbo_isverenOran,2),0))</f>
        <v/>
      </c>
      <c r="L685" s="31">
        <f>IF($A685="","",IF($M685=0,"YOK",IF($I685=$M685,"TBO-002",IF($H685=$M685,"TBO-001",IF($J685=$M685,"TBO-004","TBO-ENG")))))</f>
        <v/>
      </c>
      <c r="M685" s="31">
        <f>IF($A685="","",MAX($H685,$I685,$J685,$K685))</f>
        <v/>
      </c>
      <c r="O685" s="31">
        <f>IF($A685="","",MAX(0,$M685-IF($N685="TBO-001",$H685,IF($N685="TBO-002",$I685,IF($N685="TBO-004",$J685,IF($N685="TBO-ENG",$K685,0))))))</f>
        <v/>
      </c>
    </row>
    <row r="686">
      <c r="H686" s="31">
        <f>IF($A686="","",IF($D686="Evet",ROUND($C686*tbo_oranBesPuan,2),0))</f>
        <v/>
      </c>
      <c r="I686" s="31">
        <f>IF($A686="","",IF($E686="Evet",ROUND($C686*tbo_oranIlave,2),0))</f>
        <v/>
      </c>
      <c r="J686" s="31">
        <f>IF($A686="","",IF($F686="Evet",ROUND($C686*tbo_oranKadinGenc,2),0))</f>
        <v/>
      </c>
      <c r="K686" s="31">
        <f>IF($A686="","",IF($G686="Evet",ROUND($C686*tbo_isverenOran,2),0))</f>
        <v/>
      </c>
      <c r="L686" s="31">
        <f>IF($A686="","",IF($M686=0,"YOK",IF($I686=$M686,"TBO-002",IF($H686=$M686,"TBO-001",IF($J686=$M686,"TBO-004","TBO-ENG")))))</f>
        <v/>
      </c>
      <c r="M686" s="31">
        <f>IF($A686="","",MAX($H686,$I686,$J686,$K686))</f>
        <v/>
      </c>
      <c r="O686" s="31">
        <f>IF($A686="","",MAX(0,$M686-IF($N686="TBO-001",$H686,IF($N686="TBO-002",$I686,IF($N686="TBO-004",$J686,IF($N686="TBO-ENG",$K686,0))))))</f>
        <v/>
      </c>
    </row>
    <row r="687">
      <c r="H687" s="31">
        <f>IF($A687="","",IF($D687="Evet",ROUND($C687*tbo_oranBesPuan,2),0))</f>
        <v/>
      </c>
      <c r="I687" s="31">
        <f>IF($A687="","",IF($E687="Evet",ROUND($C687*tbo_oranIlave,2),0))</f>
        <v/>
      </c>
      <c r="J687" s="31">
        <f>IF($A687="","",IF($F687="Evet",ROUND($C687*tbo_oranKadinGenc,2),0))</f>
        <v/>
      </c>
      <c r="K687" s="31">
        <f>IF($A687="","",IF($G687="Evet",ROUND($C687*tbo_isverenOran,2),0))</f>
        <v/>
      </c>
      <c r="L687" s="31">
        <f>IF($A687="","",IF($M687=0,"YOK",IF($I687=$M687,"TBO-002",IF($H687=$M687,"TBO-001",IF($J687=$M687,"TBO-004","TBO-ENG")))))</f>
        <v/>
      </c>
      <c r="M687" s="31">
        <f>IF($A687="","",MAX($H687,$I687,$J687,$K687))</f>
        <v/>
      </c>
      <c r="O687" s="31">
        <f>IF($A687="","",MAX(0,$M687-IF($N687="TBO-001",$H687,IF($N687="TBO-002",$I687,IF($N687="TBO-004",$J687,IF($N687="TBO-ENG",$K687,0))))))</f>
        <v/>
      </c>
    </row>
    <row r="688">
      <c r="H688" s="31">
        <f>IF($A688="","",IF($D688="Evet",ROUND($C688*tbo_oranBesPuan,2),0))</f>
        <v/>
      </c>
      <c r="I688" s="31">
        <f>IF($A688="","",IF($E688="Evet",ROUND($C688*tbo_oranIlave,2),0))</f>
        <v/>
      </c>
      <c r="J688" s="31">
        <f>IF($A688="","",IF($F688="Evet",ROUND($C688*tbo_oranKadinGenc,2),0))</f>
        <v/>
      </c>
      <c r="K688" s="31">
        <f>IF($A688="","",IF($G688="Evet",ROUND($C688*tbo_isverenOran,2),0))</f>
        <v/>
      </c>
      <c r="L688" s="31">
        <f>IF($A688="","",IF($M688=0,"YOK",IF($I688=$M688,"TBO-002",IF($H688=$M688,"TBO-001",IF($J688=$M688,"TBO-004","TBO-ENG")))))</f>
        <v/>
      </c>
      <c r="M688" s="31">
        <f>IF($A688="","",MAX($H688,$I688,$J688,$K688))</f>
        <v/>
      </c>
      <c r="O688" s="31">
        <f>IF($A688="","",MAX(0,$M688-IF($N688="TBO-001",$H688,IF($N688="TBO-002",$I688,IF($N688="TBO-004",$J688,IF($N688="TBO-ENG",$K688,0))))))</f>
        <v/>
      </c>
    </row>
    <row r="689">
      <c r="H689" s="31">
        <f>IF($A689="","",IF($D689="Evet",ROUND($C689*tbo_oranBesPuan,2),0))</f>
        <v/>
      </c>
      <c r="I689" s="31">
        <f>IF($A689="","",IF($E689="Evet",ROUND($C689*tbo_oranIlave,2),0))</f>
        <v/>
      </c>
      <c r="J689" s="31">
        <f>IF($A689="","",IF($F689="Evet",ROUND($C689*tbo_oranKadinGenc,2),0))</f>
        <v/>
      </c>
      <c r="K689" s="31">
        <f>IF($A689="","",IF($G689="Evet",ROUND($C689*tbo_isverenOran,2),0))</f>
        <v/>
      </c>
      <c r="L689" s="31">
        <f>IF($A689="","",IF($M689=0,"YOK",IF($I689=$M689,"TBO-002",IF($H689=$M689,"TBO-001",IF($J689=$M689,"TBO-004","TBO-ENG")))))</f>
        <v/>
      </c>
      <c r="M689" s="31">
        <f>IF($A689="","",MAX($H689,$I689,$J689,$K689))</f>
        <v/>
      </c>
      <c r="O689" s="31">
        <f>IF($A689="","",MAX(0,$M689-IF($N689="TBO-001",$H689,IF($N689="TBO-002",$I689,IF($N689="TBO-004",$J689,IF($N689="TBO-ENG",$K689,0))))))</f>
        <v/>
      </c>
    </row>
    <row r="690">
      <c r="H690" s="31">
        <f>IF($A690="","",IF($D690="Evet",ROUND($C690*tbo_oranBesPuan,2),0))</f>
        <v/>
      </c>
      <c r="I690" s="31">
        <f>IF($A690="","",IF($E690="Evet",ROUND($C690*tbo_oranIlave,2),0))</f>
        <v/>
      </c>
      <c r="J690" s="31">
        <f>IF($A690="","",IF($F690="Evet",ROUND($C690*tbo_oranKadinGenc,2),0))</f>
        <v/>
      </c>
      <c r="K690" s="31">
        <f>IF($A690="","",IF($G690="Evet",ROUND($C690*tbo_isverenOran,2),0))</f>
        <v/>
      </c>
      <c r="L690" s="31">
        <f>IF($A690="","",IF($M690=0,"YOK",IF($I690=$M690,"TBO-002",IF($H690=$M690,"TBO-001",IF($J690=$M690,"TBO-004","TBO-ENG")))))</f>
        <v/>
      </c>
      <c r="M690" s="31">
        <f>IF($A690="","",MAX($H690,$I690,$J690,$K690))</f>
        <v/>
      </c>
      <c r="O690" s="31">
        <f>IF($A690="","",MAX(0,$M690-IF($N690="TBO-001",$H690,IF($N690="TBO-002",$I690,IF($N690="TBO-004",$J690,IF($N690="TBO-ENG",$K690,0))))))</f>
        <v/>
      </c>
    </row>
    <row r="691">
      <c r="H691" s="31">
        <f>IF($A691="","",IF($D691="Evet",ROUND($C691*tbo_oranBesPuan,2),0))</f>
        <v/>
      </c>
      <c r="I691" s="31">
        <f>IF($A691="","",IF($E691="Evet",ROUND($C691*tbo_oranIlave,2),0))</f>
        <v/>
      </c>
      <c r="J691" s="31">
        <f>IF($A691="","",IF($F691="Evet",ROUND($C691*tbo_oranKadinGenc,2),0))</f>
        <v/>
      </c>
      <c r="K691" s="31">
        <f>IF($A691="","",IF($G691="Evet",ROUND($C691*tbo_isverenOran,2),0))</f>
        <v/>
      </c>
      <c r="L691" s="31">
        <f>IF($A691="","",IF($M691=0,"YOK",IF($I691=$M691,"TBO-002",IF($H691=$M691,"TBO-001",IF($J691=$M691,"TBO-004","TBO-ENG")))))</f>
        <v/>
      </c>
      <c r="M691" s="31">
        <f>IF($A691="","",MAX($H691,$I691,$J691,$K691))</f>
        <v/>
      </c>
      <c r="O691" s="31">
        <f>IF($A691="","",MAX(0,$M691-IF($N691="TBO-001",$H691,IF($N691="TBO-002",$I691,IF($N691="TBO-004",$J691,IF($N691="TBO-ENG",$K691,0))))))</f>
        <v/>
      </c>
    </row>
    <row r="692">
      <c r="H692" s="31">
        <f>IF($A692="","",IF($D692="Evet",ROUND($C692*tbo_oranBesPuan,2),0))</f>
        <v/>
      </c>
      <c r="I692" s="31">
        <f>IF($A692="","",IF($E692="Evet",ROUND($C692*tbo_oranIlave,2),0))</f>
        <v/>
      </c>
      <c r="J692" s="31">
        <f>IF($A692="","",IF($F692="Evet",ROUND($C692*tbo_oranKadinGenc,2),0))</f>
        <v/>
      </c>
      <c r="K692" s="31">
        <f>IF($A692="","",IF($G692="Evet",ROUND($C692*tbo_isverenOran,2),0))</f>
        <v/>
      </c>
      <c r="L692" s="31">
        <f>IF($A692="","",IF($M692=0,"YOK",IF($I692=$M692,"TBO-002",IF($H692=$M692,"TBO-001",IF($J692=$M692,"TBO-004","TBO-ENG")))))</f>
        <v/>
      </c>
      <c r="M692" s="31">
        <f>IF($A692="","",MAX($H692,$I692,$J692,$K692))</f>
        <v/>
      </c>
      <c r="O692" s="31">
        <f>IF($A692="","",MAX(0,$M692-IF($N692="TBO-001",$H692,IF($N692="TBO-002",$I692,IF($N692="TBO-004",$J692,IF($N692="TBO-ENG",$K692,0))))))</f>
        <v/>
      </c>
    </row>
    <row r="693">
      <c r="H693" s="31">
        <f>IF($A693="","",IF($D693="Evet",ROUND($C693*tbo_oranBesPuan,2),0))</f>
        <v/>
      </c>
      <c r="I693" s="31">
        <f>IF($A693="","",IF($E693="Evet",ROUND($C693*tbo_oranIlave,2),0))</f>
        <v/>
      </c>
      <c r="J693" s="31">
        <f>IF($A693="","",IF($F693="Evet",ROUND($C693*tbo_oranKadinGenc,2),0))</f>
        <v/>
      </c>
      <c r="K693" s="31">
        <f>IF($A693="","",IF($G693="Evet",ROUND($C693*tbo_isverenOran,2),0))</f>
        <v/>
      </c>
      <c r="L693" s="31">
        <f>IF($A693="","",IF($M693=0,"YOK",IF($I693=$M693,"TBO-002",IF($H693=$M693,"TBO-001",IF($J693=$M693,"TBO-004","TBO-ENG")))))</f>
        <v/>
      </c>
      <c r="M693" s="31">
        <f>IF($A693="","",MAX($H693,$I693,$J693,$K693))</f>
        <v/>
      </c>
      <c r="O693" s="31">
        <f>IF($A693="","",MAX(0,$M693-IF($N693="TBO-001",$H693,IF($N693="TBO-002",$I693,IF($N693="TBO-004",$J693,IF($N693="TBO-ENG",$K693,0))))))</f>
        <v/>
      </c>
    </row>
    <row r="694">
      <c r="H694" s="31">
        <f>IF($A694="","",IF($D694="Evet",ROUND($C694*tbo_oranBesPuan,2),0))</f>
        <v/>
      </c>
      <c r="I694" s="31">
        <f>IF($A694="","",IF($E694="Evet",ROUND($C694*tbo_oranIlave,2),0))</f>
        <v/>
      </c>
      <c r="J694" s="31">
        <f>IF($A694="","",IF($F694="Evet",ROUND($C694*tbo_oranKadinGenc,2),0))</f>
        <v/>
      </c>
      <c r="K694" s="31">
        <f>IF($A694="","",IF($G694="Evet",ROUND($C694*tbo_isverenOran,2),0))</f>
        <v/>
      </c>
      <c r="L694" s="31">
        <f>IF($A694="","",IF($M694=0,"YOK",IF($I694=$M694,"TBO-002",IF($H694=$M694,"TBO-001",IF($J694=$M694,"TBO-004","TBO-ENG")))))</f>
        <v/>
      </c>
      <c r="M694" s="31">
        <f>IF($A694="","",MAX($H694,$I694,$J694,$K694))</f>
        <v/>
      </c>
      <c r="O694" s="31">
        <f>IF($A694="","",MAX(0,$M694-IF($N694="TBO-001",$H694,IF($N694="TBO-002",$I694,IF($N694="TBO-004",$J694,IF($N694="TBO-ENG",$K694,0))))))</f>
        <v/>
      </c>
    </row>
    <row r="695">
      <c r="H695" s="31">
        <f>IF($A695="","",IF($D695="Evet",ROUND($C695*tbo_oranBesPuan,2),0))</f>
        <v/>
      </c>
      <c r="I695" s="31">
        <f>IF($A695="","",IF($E695="Evet",ROUND($C695*tbo_oranIlave,2),0))</f>
        <v/>
      </c>
      <c r="J695" s="31">
        <f>IF($A695="","",IF($F695="Evet",ROUND($C695*tbo_oranKadinGenc,2),0))</f>
        <v/>
      </c>
      <c r="K695" s="31">
        <f>IF($A695="","",IF($G695="Evet",ROUND($C695*tbo_isverenOran,2),0))</f>
        <v/>
      </c>
      <c r="L695" s="31">
        <f>IF($A695="","",IF($M695=0,"YOK",IF($I695=$M695,"TBO-002",IF($H695=$M695,"TBO-001",IF($J695=$M695,"TBO-004","TBO-ENG")))))</f>
        <v/>
      </c>
      <c r="M695" s="31">
        <f>IF($A695="","",MAX($H695,$I695,$J695,$K695))</f>
        <v/>
      </c>
      <c r="O695" s="31">
        <f>IF($A695="","",MAX(0,$M695-IF($N695="TBO-001",$H695,IF($N695="TBO-002",$I695,IF($N695="TBO-004",$J695,IF($N695="TBO-ENG",$K695,0))))))</f>
        <v/>
      </c>
    </row>
    <row r="696">
      <c r="H696" s="31">
        <f>IF($A696="","",IF($D696="Evet",ROUND($C696*tbo_oranBesPuan,2),0))</f>
        <v/>
      </c>
      <c r="I696" s="31">
        <f>IF($A696="","",IF($E696="Evet",ROUND($C696*tbo_oranIlave,2),0))</f>
        <v/>
      </c>
      <c r="J696" s="31">
        <f>IF($A696="","",IF($F696="Evet",ROUND($C696*tbo_oranKadinGenc,2),0))</f>
        <v/>
      </c>
      <c r="K696" s="31">
        <f>IF($A696="","",IF($G696="Evet",ROUND($C696*tbo_isverenOran,2),0))</f>
        <v/>
      </c>
      <c r="L696" s="31">
        <f>IF($A696="","",IF($M696=0,"YOK",IF($I696=$M696,"TBO-002",IF($H696=$M696,"TBO-001",IF($J696=$M696,"TBO-004","TBO-ENG")))))</f>
        <v/>
      </c>
      <c r="M696" s="31">
        <f>IF($A696="","",MAX($H696,$I696,$J696,$K696))</f>
        <v/>
      </c>
      <c r="O696" s="31">
        <f>IF($A696="","",MAX(0,$M696-IF($N696="TBO-001",$H696,IF($N696="TBO-002",$I696,IF($N696="TBO-004",$J696,IF($N696="TBO-ENG",$K696,0))))))</f>
        <v/>
      </c>
    </row>
    <row r="697">
      <c r="H697" s="31">
        <f>IF($A697="","",IF($D697="Evet",ROUND($C697*tbo_oranBesPuan,2),0))</f>
        <v/>
      </c>
      <c r="I697" s="31">
        <f>IF($A697="","",IF($E697="Evet",ROUND($C697*tbo_oranIlave,2),0))</f>
        <v/>
      </c>
      <c r="J697" s="31">
        <f>IF($A697="","",IF($F697="Evet",ROUND($C697*tbo_oranKadinGenc,2),0))</f>
        <v/>
      </c>
      <c r="K697" s="31">
        <f>IF($A697="","",IF($G697="Evet",ROUND($C697*tbo_isverenOran,2),0))</f>
        <v/>
      </c>
      <c r="L697" s="31">
        <f>IF($A697="","",IF($M697=0,"YOK",IF($I697=$M697,"TBO-002",IF($H697=$M697,"TBO-001",IF($J697=$M697,"TBO-004","TBO-ENG")))))</f>
        <v/>
      </c>
      <c r="M697" s="31">
        <f>IF($A697="","",MAX($H697,$I697,$J697,$K697))</f>
        <v/>
      </c>
      <c r="O697" s="31">
        <f>IF($A697="","",MAX(0,$M697-IF($N697="TBO-001",$H697,IF($N697="TBO-002",$I697,IF($N697="TBO-004",$J697,IF($N697="TBO-ENG",$K697,0))))))</f>
        <v/>
      </c>
    </row>
    <row r="698">
      <c r="H698" s="31">
        <f>IF($A698="","",IF($D698="Evet",ROUND($C698*tbo_oranBesPuan,2),0))</f>
        <v/>
      </c>
      <c r="I698" s="31">
        <f>IF($A698="","",IF($E698="Evet",ROUND($C698*tbo_oranIlave,2),0))</f>
        <v/>
      </c>
      <c r="J698" s="31">
        <f>IF($A698="","",IF($F698="Evet",ROUND($C698*tbo_oranKadinGenc,2),0))</f>
        <v/>
      </c>
      <c r="K698" s="31">
        <f>IF($A698="","",IF($G698="Evet",ROUND($C698*tbo_isverenOran,2),0))</f>
        <v/>
      </c>
      <c r="L698" s="31">
        <f>IF($A698="","",IF($M698=0,"YOK",IF($I698=$M698,"TBO-002",IF($H698=$M698,"TBO-001",IF($J698=$M698,"TBO-004","TBO-ENG")))))</f>
        <v/>
      </c>
      <c r="M698" s="31">
        <f>IF($A698="","",MAX($H698,$I698,$J698,$K698))</f>
        <v/>
      </c>
      <c r="O698" s="31">
        <f>IF($A698="","",MAX(0,$M698-IF($N698="TBO-001",$H698,IF($N698="TBO-002",$I698,IF($N698="TBO-004",$J698,IF($N698="TBO-ENG",$K698,0))))))</f>
        <v/>
      </c>
    </row>
    <row r="699">
      <c r="H699" s="31">
        <f>IF($A699="","",IF($D699="Evet",ROUND($C699*tbo_oranBesPuan,2),0))</f>
        <v/>
      </c>
      <c r="I699" s="31">
        <f>IF($A699="","",IF($E699="Evet",ROUND($C699*tbo_oranIlave,2),0))</f>
        <v/>
      </c>
      <c r="J699" s="31">
        <f>IF($A699="","",IF($F699="Evet",ROUND($C699*tbo_oranKadinGenc,2),0))</f>
        <v/>
      </c>
      <c r="K699" s="31">
        <f>IF($A699="","",IF($G699="Evet",ROUND($C699*tbo_isverenOran,2),0))</f>
        <v/>
      </c>
      <c r="L699" s="31">
        <f>IF($A699="","",IF($M699=0,"YOK",IF($I699=$M699,"TBO-002",IF($H699=$M699,"TBO-001",IF($J699=$M699,"TBO-004","TBO-ENG")))))</f>
        <v/>
      </c>
      <c r="M699" s="31">
        <f>IF($A699="","",MAX($H699,$I699,$J699,$K699))</f>
        <v/>
      </c>
      <c r="O699" s="31">
        <f>IF($A699="","",MAX(0,$M699-IF($N699="TBO-001",$H699,IF($N699="TBO-002",$I699,IF($N699="TBO-004",$J699,IF($N699="TBO-ENG",$K699,0))))))</f>
        <v/>
      </c>
    </row>
    <row r="700">
      <c r="H700" s="31">
        <f>IF($A700="","",IF($D700="Evet",ROUND($C700*tbo_oranBesPuan,2),0))</f>
        <v/>
      </c>
      <c r="I700" s="31">
        <f>IF($A700="","",IF($E700="Evet",ROUND($C700*tbo_oranIlave,2),0))</f>
        <v/>
      </c>
      <c r="J700" s="31">
        <f>IF($A700="","",IF($F700="Evet",ROUND($C700*tbo_oranKadinGenc,2),0))</f>
        <v/>
      </c>
      <c r="K700" s="31">
        <f>IF($A700="","",IF($G700="Evet",ROUND($C700*tbo_isverenOran,2),0))</f>
        <v/>
      </c>
      <c r="L700" s="31">
        <f>IF($A700="","",IF($M700=0,"YOK",IF($I700=$M700,"TBO-002",IF($H700=$M700,"TBO-001",IF($J700=$M700,"TBO-004","TBO-ENG")))))</f>
        <v/>
      </c>
      <c r="M700" s="31">
        <f>IF($A700="","",MAX($H700,$I700,$J700,$K700))</f>
        <v/>
      </c>
      <c r="O700" s="31">
        <f>IF($A700="","",MAX(0,$M700-IF($N700="TBO-001",$H700,IF($N700="TBO-002",$I700,IF($N700="TBO-004",$J700,IF($N700="TBO-ENG",$K700,0))))))</f>
        <v/>
      </c>
    </row>
    <row r="701">
      <c r="H701" s="31">
        <f>IF($A701="","",IF($D701="Evet",ROUND($C701*tbo_oranBesPuan,2),0))</f>
        <v/>
      </c>
      <c r="I701" s="31">
        <f>IF($A701="","",IF($E701="Evet",ROUND($C701*tbo_oranIlave,2),0))</f>
        <v/>
      </c>
      <c r="J701" s="31">
        <f>IF($A701="","",IF($F701="Evet",ROUND($C701*tbo_oranKadinGenc,2),0))</f>
        <v/>
      </c>
      <c r="K701" s="31">
        <f>IF($A701="","",IF($G701="Evet",ROUND($C701*tbo_isverenOran,2),0))</f>
        <v/>
      </c>
      <c r="L701" s="31">
        <f>IF($A701="","",IF($M701=0,"YOK",IF($I701=$M701,"TBO-002",IF($H701=$M701,"TBO-001",IF($J701=$M701,"TBO-004","TBO-ENG")))))</f>
        <v/>
      </c>
      <c r="M701" s="31">
        <f>IF($A701="","",MAX($H701,$I701,$J701,$K701))</f>
        <v/>
      </c>
      <c r="O701" s="31">
        <f>IF($A701="","",MAX(0,$M701-IF($N701="TBO-001",$H701,IF($N701="TBO-002",$I701,IF($N701="TBO-004",$J701,IF($N701="TBO-ENG",$K701,0))))))</f>
        <v/>
      </c>
    </row>
    <row r="702">
      <c r="H702" s="31">
        <f>IF($A702="","",IF($D702="Evet",ROUND($C702*tbo_oranBesPuan,2),0))</f>
        <v/>
      </c>
      <c r="I702" s="31">
        <f>IF($A702="","",IF($E702="Evet",ROUND($C702*tbo_oranIlave,2),0))</f>
        <v/>
      </c>
      <c r="J702" s="31">
        <f>IF($A702="","",IF($F702="Evet",ROUND($C702*tbo_oranKadinGenc,2),0))</f>
        <v/>
      </c>
      <c r="K702" s="31">
        <f>IF($A702="","",IF($G702="Evet",ROUND($C702*tbo_isverenOran,2),0))</f>
        <v/>
      </c>
      <c r="L702" s="31">
        <f>IF($A702="","",IF($M702=0,"YOK",IF($I702=$M702,"TBO-002",IF($H702=$M702,"TBO-001",IF($J702=$M702,"TBO-004","TBO-ENG")))))</f>
        <v/>
      </c>
      <c r="M702" s="31">
        <f>IF($A702="","",MAX($H702,$I702,$J702,$K702))</f>
        <v/>
      </c>
      <c r="O702" s="31">
        <f>IF($A702="","",MAX(0,$M702-IF($N702="TBO-001",$H702,IF($N702="TBO-002",$I702,IF($N702="TBO-004",$J702,IF($N702="TBO-ENG",$K702,0))))))</f>
        <v/>
      </c>
    </row>
    <row r="703">
      <c r="H703" s="31">
        <f>IF($A703="","",IF($D703="Evet",ROUND($C703*tbo_oranBesPuan,2),0))</f>
        <v/>
      </c>
      <c r="I703" s="31">
        <f>IF($A703="","",IF($E703="Evet",ROUND($C703*tbo_oranIlave,2),0))</f>
        <v/>
      </c>
      <c r="J703" s="31">
        <f>IF($A703="","",IF($F703="Evet",ROUND($C703*tbo_oranKadinGenc,2),0))</f>
        <v/>
      </c>
      <c r="K703" s="31">
        <f>IF($A703="","",IF($G703="Evet",ROUND($C703*tbo_isverenOran,2),0))</f>
        <v/>
      </c>
      <c r="L703" s="31">
        <f>IF($A703="","",IF($M703=0,"YOK",IF($I703=$M703,"TBO-002",IF($H703=$M703,"TBO-001",IF($J703=$M703,"TBO-004","TBO-ENG")))))</f>
        <v/>
      </c>
      <c r="M703" s="31">
        <f>IF($A703="","",MAX($H703,$I703,$J703,$K703))</f>
        <v/>
      </c>
      <c r="O703" s="31">
        <f>IF($A703="","",MAX(0,$M703-IF($N703="TBO-001",$H703,IF($N703="TBO-002",$I703,IF($N703="TBO-004",$J703,IF($N703="TBO-ENG",$K703,0))))))</f>
        <v/>
      </c>
    </row>
    <row r="704">
      <c r="H704" s="31">
        <f>IF($A704="","",IF($D704="Evet",ROUND($C704*tbo_oranBesPuan,2),0))</f>
        <v/>
      </c>
      <c r="I704" s="31">
        <f>IF($A704="","",IF($E704="Evet",ROUND($C704*tbo_oranIlave,2),0))</f>
        <v/>
      </c>
      <c r="J704" s="31">
        <f>IF($A704="","",IF($F704="Evet",ROUND($C704*tbo_oranKadinGenc,2),0))</f>
        <v/>
      </c>
      <c r="K704" s="31">
        <f>IF($A704="","",IF($G704="Evet",ROUND($C704*tbo_isverenOran,2),0))</f>
        <v/>
      </c>
      <c r="L704" s="31">
        <f>IF($A704="","",IF($M704=0,"YOK",IF($I704=$M704,"TBO-002",IF($H704=$M704,"TBO-001",IF($J704=$M704,"TBO-004","TBO-ENG")))))</f>
        <v/>
      </c>
      <c r="M704" s="31">
        <f>IF($A704="","",MAX($H704,$I704,$J704,$K704))</f>
        <v/>
      </c>
      <c r="O704" s="31">
        <f>IF($A704="","",MAX(0,$M704-IF($N704="TBO-001",$H704,IF($N704="TBO-002",$I704,IF($N704="TBO-004",$J704,IF($N704="TBO-ENG",$K704,0))))))</f>
        <v/>
      </c>
    </row>
    <row r="705">
      <c r="H705" s="31">
        <f>IF($A705="","",IF($D705="Evet",ROUND($C705*tbo_oranBesPuan,2),0))</f>
        <v/>
      </c>
      <c r="I705" s="31">
        <f>IF($A705="","",IF($E705="Evet",ROUND($C705*tbo_oranIlave,2),0))</f>
        <v/>
      </c>
      <c r="J705" s="31">
        <f>IF($A705="","",IF($F705="Evet",ROUND($C705*tbo_oranKadinGenc,2),0))</f>
        <v/>
      </c>
      <c r="K705" s="31">
        <f>IF($A705="","",IF($G705="Evet",ROUND($C705*tbo_isverenOran,2),0))</f>
        <v/>
      </c>
      <c r="L705" s="31">
        <f>IF($A705="","",IF($M705=0,"YOK",IF($I705=$M705,"TBO-002",IF($H705=$M705,"TBO-001",IF($J705=$M705,"TBO-004","TBO-ENG")))))</f>
        <v/>
      </c>
      <c r="M705" s="31">
        <f>IF($A705="","",MAX($H705,$I705,$J705,$K705))</f>
        <v/>
      </c>
      <c r="O705" s="31">
        <f>IF($A705="","",MAX(0,$M705-IF($N705="TBO-001",$H705,IF($N705="TBO-002",$I705,IF($N705="TBO-004",$J705,IF($N705="TBO-ENG",$K705,0))))))</f>
        <v/>
      </c>
    </row>
    <row r="706">
      <c r="H706" s="31">
        <f>IF($A706="","",IF($D706="Evet",ROUND($C706*tbo_oranBesPuan,2),0))</f>
        <v/>
      </c>
      <c r="I706" s="31">
        <f>IF($A706="","",IF($E706="Evet",ROUND($C706*tbo_oranIlave,2),0))</f>
        <v/>
      </c>
      <c r="J706" s="31">
        <f>IF($A706="","",IF($F706="Evet",ROUND($C706*tbo_oranKadinGenc,2),0))</f>
        <v/>
      </c>
      <c r="K706" s="31">
        <f>IF($A706="","",IF($G706="Evet",ROUND($C706*tbo_isverenOran,2),0))</f>
        <v/>
      </c>
      <c r="L706" s="31">
        <f>IF($A706="","",IF($M706=0,"YOK",IF($I706=$M706,"TBO-002",IF($H706=$M706,"TBO-001",IF($J706=$M706,"TBO-004","TBO-ENG")))))</f>
        <v/>
      </c>
      <c r="M706" s="31">
        <f>IF($A706="","",MAX($H706,$I706,$J706,$K706))</f>
        <v/>
      </c>
      <c r="O706" s="31">
        <f>IF($A706="","",MAX(0,$M706-IF($N706="TBO-001",$H706,IF($N706="TBO-002",$I706,IF($N706="TBO-004",$J706,IF($N706="TBO-ENG",$K706,0))))))</f>
        <v/>
      </c>
    </row>
    <row r="707">
      <c r="H707" s="31">
        <f>IF($A707="","",IF($D707="Evet",ROUND($C707*tbo_oranBesPuan,2),0))</f>
        <v/>
      </c>
      <c r="I707" s="31">
        <f>IF($A707="","",IF($E707="Evet",ROUND($C707*tbo_oranIlave,2),0))</f>
        <v/>
      </c>
      <c r="J707" s="31">
        <f>IF($A707="","",IF($F707="Evet",ROUND($C707*tbo_oranKadinGenc,2),0))</f>
        <v/>
      </c>
      <c r="K707" s="31">
        <f>IF($A707="","",IF($G707="Evet",ROUND($C707*tbo_isverenOran,2),0))</f>
        <v/>
      </c>
      <c r="L707" s="31">
        <f>IF($A707="","",IF($M707=0,"YOK",IF($I707=$M707,"TBO-002",IF($H707=$M707,"TBO-001",IF($J707=$M707,"TBO-004","TBO-ENG")))))</f>
        <v/>
      </c>
      <c r="M707" s="31">
        <f>IF($A707="","",MAX($H707,$I707,$J707,$K707))</f>
        <v/>
      </c>
      <c r="O707" s="31">
        <f>IF($A707="","",MAX(0,$M707-IF($N707="TBO-001",$H707,IF($N707="TBO-002",$I707,IF($N707="TBO-004",$J707,IF($N707="TBO-ENG",$K707,0))))))</f>
        <v/>
      </c>
    </row>
    <row r="708">
      <c r="H708" s="31">
        <f>IF($A708="","",IF($D708="Evet",ROUND($C708*tbo_oranBesPuan,2),0))</f>
        <v/>
      </c>
      <c r="I708" s="31">
        <f>IF($A708="","",IF($E708="Evet",ROUND($C708*tbo_oranIlave,2),0))</f>
        <v/>
      </c>
      <c r="J708" s="31">
        <f>IF($A708="","",IF($F708="Evet",ROUND($C708*tbo_oranKadinGenc,2),0))</f>
        <v/>
      </c>
      <c r="K708" s="31">
        <f>IF($A708="","",IF($G708="Evet",ROUND($C708*tbo_isverenOran,2),0))</f>
        <v/>
      </c>
      <c r="L708" s="31">
        <f>IF($A708="","",IF($M708=0,"YOK",IF($I708=$M708,"TBO-002",IF($H708=$M708,"TBO-001",IF($J708=$M708,"TBO-004","TBO-ENG")))))</f>
        <v/>
      </c>
      <c r="M708" s="31">
        <f>IF($A708="","",MAX($H708,$I708,$J708,$K708))</f>
        <v/>
      </c>
      <c r="O708" s="31">
        <f>IF($A708="","",MAX(0,$M708-IF($N708="TBO-001",$H708,IF($N708="TBO-002",$I708,IF($N708="TBO-004",$J708,IF($N708="TBO-ENG",$K708,0))))))</f>
        <v/>
      </c>
    </row>
    <row r="709">
      <c r="H709" s="31">
        <f>IF($A709="","",IF($D709="Evet",ROUND($C709*tbo_oranBesPuan,2),0))</f>
        <v/>
      </c>
      <c r="I709" s="31">
        <f>IF($A709="","",IF($E709="Evet",ROUND($C709*tbo_oranIlave,2),0))</f>
        <v/>
      </c>
      <c r="J709" s="31">
        <f>IF($A709="","",IF($F709="Evet",ROUND($C709*tbo_oranKadinGenc,2),0))</f>
        <v/>
      </c>
      <c r="K709" s="31">
        <f>IF($A709="","",IF($G709="Evet",ROUND($C709*tbo_isverenOran,2),0))</f>
        <v/>
      </c>
      <c r="L709" s="31">
        <f>IF($A709="","",IF($M709=0,"YOK",IF($I709=$M709,"TBO-002",IF($H709=$M709,"TBO-001",IF($J709=$M709,"TBO-004","TBO-ENG")))))</f>
        <v/>
      </c>
      <c r="M709" s="31">
        <f>IF($A709="","",MAX($H709,$I709,$J709,$K709))</f>
        <v/>
      </c>
      <c r="O709" s="31">
        <f>IF($A709="","",MAX(0,$M709-IF($N709="TBO-001",$H709,IF($N709="TBO-002",$I709,IF($N709="TBO-004",$J709,IF($N709="TBO-ENG",$K709,0))))))</f>
        <v/>
      </c>
    </row>
    <row r="710">
      <c r="H710" s="31">
        <f>IF($A710="","",IF($D710="Evet",ROUND($C710*tbo_oranBesPuan,2),0))</f>
        <v/>
      </c>
      <c r="I710" s="31">
        <f>IF($A710="","",IF($E710="Evet",ROUND($C710*tbo_oranIlave,2),0))</f>
        <v/>
      </c>
      <c r="J710" s="31">
        <f>IF($A710="","",IF($F710="Evet",ROUND($C710*tbo_oranKadinGenc,2),0))</f>
        <v/>
      </c>
      <c r="K710" s="31">
        <f>IF($A710="","",IF($G710="Evet",ROUND($C710*tbo_isverenOran,2),0))</f>
        <v/>
      </c>
      <c r="L710" s="31">
        <f>IF($A710="","",IF($M710=0,"YOK",IF($I710=$M710,"TBO-002",IF($H710=$M710,"TBO-001",IF($J710=$M710,"TBO-004","TBO-ENG")))))</f>
        <v/>
      </c>
      <c r="M710" s="31">
        <f>IF($A710="","",MAX($H710,$I710,$J710,$K710))</f>
        <v/>
      </c>
      <c r="O710" s="31">
        <f>IF($A710="","",MAX(0,$M710-IF($N710="TBO-001",$H710,IF($N710="TBO-002",$I710,IF($N710="TBO-004",$J710,IF($N710="TBO-ENG",$K710,0))))))</f>
        <v/>
      </c>
    </row>
    <row r="711">
      <c r="H711" s="31">
        <f>IF($A711="","",IF($D711="Evet",ROUND($C711*tbo_oranBesPuan,2),0))</f>
        <v/>
      </c>
      <c r="I711" s="31">
        <f>IF($A711="","",IF($E711="Evet",ROUND($C711*tbo_oranIlave,2),0))</f>
        <v/>
      </c>
      <c r="J711" s="31">
        <f>IF($A711="","",IF($F711="Evet",ROUND($C711*tbo_oranKadinGenc,2),0))</f>
        <v/>
      </c>
      <c r="K711" s="31">
        <f>IF($A711="","",IF($G711="Evet",ROUND($C711*tbo_isverenOran,2),0))</f>
        <v/>
      </c>
      <c r="L711" s="31">
        <f>IF($A711="","",IF($M711=0,"YOK",IF($I711=$M711,"TBO-002",IF($H711=$M711,"TBO-001",IF($J711=$M711,"TBO-004","TBO-ENG")))))</f>
        <v/>
      </c>
      <c r="M711" s="31">
        <f>IF($A711="","",MAX($H711,$I711,$J711,$K711))</f>
        <v/>
      </c>
      <c r="O711" s="31">
        <f>IF($A711="","",MAX(0,$M711-IF($N711="TBO-001",$H711,IF($N711="TBO-002",$I711,IF($N711="TBO-004",$J711,IF($N711="TBO-ENG",$K711,0))))))</f>
        <v/>
      </c>
    </row>
    <row r="712">
      <c r="H712" s="31">
        <f>IF($A712="","",IF($D712="Evet",ROUND($C712*tbo_oranBesPuan,2),0))</f>
        <v/>
      </c>
      <c r="I712" s="31">
        <f>IF($A712="","",IF($E712="Evet",ROUND($C712*tbo_oranIlave,2),0))</f>
        <v/>
      </c>
      <c r="J712" s="31">
        <f>IF($A712="","",IF($F712="Evet",ROUND($C712*tbo_oranKadinGenc,2),0))</f>
        <v/>
      </c>
      <c r="K712" s="31">
        <f>IF($A712="","",IF($G712="Evet",ROUND($C712*tbo_isverenOran,2),0))</f>
        <v/>
      </c>
      <c r="L712" s="31">
        <f>IF($A712="","",IF($M712=0,"YOK",IF($I712=$M712,"TBO-002",IF($H712=$M712,"TBO-001",IF($J712=$M712,"TBO-004","TBO-ENG")))))</f>
        <v/>
      </c>
      <c r="M712" s="31">
        <f>IF($A712="","",MAX($H712,$I712,$J712,$K712))</f>
        <v/>
      </c>
      <c r="O712" s="31">
        <f>IF($A712="","",MAX(0,$M712-IF($N712="TBO-001",$H712,IF($N712="TBO-002",$I712,IF($N712="TBO-004",$J712,IF($N712="TBO-ENG",$K712,0))))))</f>
        <v/>
      </c>
    </row>
    <row r="713">
      <c r="H713" s="31">
        <f>IF($A713="","",IF($D713="Evet",ROUND($C713*tbo_oranBesPuan,2),0))</f>
        <v/>
      </c>
      <c r="I713" s="31">
        <f>IF($A713="","",IF($E713="Evet",ROUND($C713*tbo_oranIlave,2),0))</f>
        <v/>
      </c>
      <c r="J713" s="31">
        <f>IF($A713="","",IF($F713="Evet",ROUND($C713*tbo_oranKadinGenc,2),0))</f>
        <v/>
      </c>
      <c r="K713" s="31">
        <f>IF($A713="","",IF($G713="Evet",ROUND($C713*tbo_isverenOran,2),0))</f>
        <v/>
      </c>
      <c r="L713" s="31">
        <f>IF($A713="","",IF($M713=0,"YOK",IF($I713=$M713,"TBO-002",IF($H713=$M713,"TBO-001",IF($J713=$M713,"TBO-004","TBO-ENG")))))</f>
        <v/>
      </c>
      <c r="M713" s="31">
        <f>IF($A713="","",MAX($H713,$I713,$J713,$K713))</f>
        <v/>
      </c>
      <c r="O713" s="31">
        <f>IF($A713="","",MAX(0,$M713-IF($N713="TBO-001",$H713,IF($N713="TBO-002",$I713,IF($N713="TBO-004",$J713,IF($N713="TBO-ENG",$K713,0))))))</f>
        <v/>
      </c>
    </row>
    <row r="714">
      <c r="H714" s="31">
        <f>IF($A714="","",IF($D714="Evet",ROUND($C714*tbo_oranBesPuan,2),0))</f>
        <v/>
      </c>
      <c r="I714" s="31">
        <f>IF($A714="","",IF($E714="Evet",ROUND($C714*tbo_oranIlave,2),0))</f>
        <v/>
      </c>
      <c r="J714" s="31">
        <f>IF($A714="","",IF($F714="Evet",ROUND($C714*tbo_oranKadinGenc,2),0))</f>
        <v/>
      </c>
      <c r="K714" s="31">
        <f>IF($A714="","",IF($G714="Evet",ROUND($C714*tbo_isverenOran,2),0))</f>
        <v/>
      </c>
      <c r="L714" s="31">
        <f>IF($A714="","",IF($M714=0,"YOK",IF($I714=$M714,"TBO-002",IF($H714=$M714,"TBO-001",IF($J714=$M714,"TBO-004","TBO-ENG")))))</f>
        <v/>
      </c>
      <c r="M714" s="31">
        <f>IF($A714="","",MAX($H714,$I714,$J714,$K714))</f>
        <v/>
      </c>
      <c r="O714" s="31">
        <f>IF($A714="","",MAX(0,$M714-IF($N714="TBO-001",$H714,IF($N714="TBO-002",$I714,IF($N714="TBO-004",$J714,IF($N714="TBO-ENG",$K714,0))))))</f>
        <v/>
      </c>
    </row>
    <row r="715">
      <c r="H715" s="31">
        <f>IF($A715="","",IF($D715="Evet",ROUND($C715*tbo_oranBesPuan,2),0))</f>
        <v/>
      </c>
      <c r="I715" s="31">
        <f>IF($A715="","",IF($E715="Evet",ROUND($C715*tbo_oranIlave,2),0))</f>
        <v/>
      </c>
      <c r="J715" s="31">
        <f>IF($A715="","",IF($F715="Evet",ROUND($C715*tbo_oranKadinGenc,2),0))</f>
        <v/>
      </c>
      <c r="K715" s="31">
        <f>IF($A715="","",IF($G715="Evet",ROUND($C715*tbo_isverenOran,2),0))</f>
        <v/>
      </c>
      <c r="L715" s="31">
        <f>IF($A715="","",IF($M715=0,"YOK",IF($I715=$M715,"TBO-002",IF($H715=$M715,"TBO-001",IF($J715=$M715,"TBO-004","TBO-ENG")))))</f>
        <v/>
      </c>
      <c r="M715" s="31">
        <f>IF($A715="","",MAX($H715,$I715,$J715,$K715))</f>
        <v/>
      </c>
      <c r="O715" s="31">
        <f>IF($A715="","",MAX(0,$M715-IF($N715="TBO-001",$H715,IF($N715="TBO-002",$I715,IF($N715="TBO-004",$J715,IF($N715="TBO-ENG",$K715,0))))))</f>
        <v/>
      </c>
    </row>
    <row r="716">
      <c r="H716" s="31">
        <f>IF($A716="","",IF($D716="Evet",ROUND($C716*tbo_oranBesPuan,2),0))</f>
        <v/>
      </c>
      <c r="I716" s="31">
        <f>IF($A716="","",IF($E716="Evet",ROUND($C716*tbo_oranIlave,2),0))</f>
        <v/>
      </c>
      <c r="J716" s="31">
        <f>IF($A716="","",IF($F716="Evet",ROUND($C716*tbo_oranKadinGenc,2),0))</f>
        <v/>
      </c>
      <c r="K716" s="31">
        <f>IF($A716="","",IF($G716="Evet",ROUND($C716*tbo_isverenOran,2),0))</f>
        <v/>
      </c>
      <c r="L716" s="31">
        <f>IF($A716="","",IF($M716=0,"YOK",IF($I716=$M716,"TBO-002",IF($H716=$M716,"TBO-001",IF($J716=$M716,"TBO-004","TBO-ENG")))))</f>
        <v/>
      </c>
      <c r="M716" s="31">
        <f>IF($A716="","",MAX($H716,$I716,$J716,$K716))</f>
        <v/>
      </c>
      <c r="O716" s="31">
        <f>IF($A716="","",MAX(0,$M716-IF($N716="TBO-001",$H716,IF($N716="TBO-002",$I716,IF($N716="TBO-004",$J716,IF($N716="TBO-ENG",$K716,0))))))</f>
        <v/>
      </c>
    </row>
    <row r="717">
      <c r="H717" s="31">
        <f>IF($A717="","",IF($D717="Evet",ROUND($C717*tbo_oranBesPuan,2),0))</f>
        <v/>
      </c>
      <c r="I717" s="31">
        <f>IF($A717="","",IF($E717="Evet",ROUND($C717*tbo_oranIlave,2),0))</f>
        <v/>
      </c>
      <c r="J717" s="31">
        <f>IF($A717="","",IF($F717="Evet",ROUND($C717*tbo_oranKadinGenc,2),0))</f>
        <v/>
      </c>
      <c r="K717" s="31">
        <f>IF($A717="","",IF($G717="Evet",ROUND($C717*tbo_isverenOran,2),0))</f>
        <v/>
      </c>
      <c r="L717" s="31">
        <f>IF($A717="","",IF($M717=0,"YOK",IF($I717=$M717,"TBO-002",IF($H717=$M717,"TBO-001",IF($J717=$M717,"TBO-004","TBO-ENG")))))</f>
        <v/>
      </c>
      <c r="M717" s="31">
        <f>IF($A717="","",MAX($H717,$I717,$J717,$K717))</f>
        <v/>
      </c>
      <c r="O717" s="31">
        <f>IF($A717="","",MAX(0,$M717-IF($N717="TBO-001",$H717,IF($N717="TBO-002",$I717,IF($N717="TBO-004",$J717,IF($N717="TBO-ENG",$K717,0))))))</f>
        <v/>
      </c>
    </row>
    <row r="718">
      <c r="H718" s="31">
        <f>IF($A718="","",IF($D718="Evet",ROUND($C718*tbo_oranBesPuan,2),0))</f>
        <v/>
      </c>
      <c r="I718" s="31">
        <f>IF($A718="","",IF($E718="Evet",ROUND($C718*tbo_oranIlave,2),0))</f>
        <v/>
      </c>
      <c r="J718" s="31">
        <f>IF($A718="","",IF($F718="Evet",ROUND($C718*tbo_oranKadinGenc,2),0))</f>
        <v/>
      </c>
      <c r="K718" s="31">
        <f>IF($A718="","",IF($G718="Evet",ROUND($C718*tbo_isverenOran,2),0))</f>
        <v/>
      </c>
      <c r="L718" s="31">
        <f>IF($A718="","",IF($M718=0,"YOK",IF($I718=$M718,"TBO-002",IF($H718=$M718,"TBO-001",IF($J718=$M718,"TBO-004","TBO-ENG")))))</f>
        <v/>
      </c>
      <c r="M718" s="31">
        <f>IF($A718="","",MAX($H718,$I718,$J718,$K718))</f>
        <v/>
      </c>
      <c r="O718" s="31">
        <f>IF($A718="","",MAX(0,$M718-IF($N718="TBO-001",$H718,IF($N718="TBO-002",$I718,IF($N718="TBO-004",$J718,IF($N718="TBO-ENG",$K718,0))))))</f>
        <v/>
      </c>
    </row>
    <row r="719">
      <c r="H719" s="31">
        <f>IF($A719="","",IF($D719="Evet",ROUND($C719*tbo_oranBesPuan,2),0))</f>
        <v/>
      </c>
      <c r="I719" s="31">
        <f>IF($A719="","",IF($E719="Evet",ROUND($C719*tbo_oranIlave,2),0))</f>
        <v/>
      </c>
      <c r="J719" s="31">
        <f>IF($A719="","",IF($F719="Evet",ROUND($C719*tbo_oranKadinGenc,2),0))</f>
        <v/>
      </c>
      <c r="K719" s="31">
        <f>IF($A719="","",IF($G719="Evet",ROUND($C719*tbo_isverenOran,2),0))</f>
        <v/>
      </c>
      <c r="L719" s="31">
        <f>IF($A719="","",IF($M719=0,"YOK",IF($I719=$M719,"TBO-002",IF($H719=$M719,"TBO-001",IF($J719=$M719,"TBO-004","TBO-ENG")))))</f>
        <v/>
      </c>
      <c r="M719" s="31">
        <f>IF($A719="","",MAX($H719,$I719,$J719,$K719))</f>
        <v/>
      </c>
      <c r="O719" s="31">
        <f>IF($A719="","",MAX(0,$M719-IF($N719="TBO-001",$H719,IF($N719="TBO-002",$I719,IF($N719="TBO-004",$J719,IF($N719="TBO-ENG",$K719,0))))))</f>
        <v/>
      </c>
    </row>
    <row r="720">
      <c r="H720" s="31">
        <f>IF($A720="","",IF($D720="Evet",ROUND($C720*tbo_oranBesPuan,2),0))</f>
        <v/>
      </c>
      <c r="I720" s="31">
        <f>IF($A720="","",IF($E720="Evet",ROUND($C720*tbo_oranIlave,2),0))</f>
        <v/>
      </c>
      <c r="J720" s="31">
        <f>IF($A720="","",IF($F720="Evet",ROUND($C720*tbo_oranKadinGenc,2),0))</f>
        <v/>
      </c>
      <c r="K720" s="31">
        <f>IF($A720="","",IF($G720="Evet",ROUND($C720*tbo_isverenOran,2),0))</f>
        <v/>
      </c>
      <c r="L720" s="31">
        <f>IF($A720="","",IF($M720=0,"YOK",IF($I720=$M720,"TBO-002",IF($H720=$M720,"TBO-001",IF($J720=$M720,"TBO-004","TBO-ENG")))))</f>
        <v/>
      </c>
      <c r="M720" s="31">
        <f>IF($A720="","",MAX($H720,$I720,$J720,$K720))</f>
        <v/>
      </c>
      <c r="O720" s="31">
        <f>IF($A720="","",MAX(0,$M720-IF($N720="TBO-001",$H720,IF($N720="TBO-002",$I720,IF($N720="TBO-004",$J720,IF($N720="TBO-ENG",$K720,0))))))</f>
        <v/>
      </c>
    </row>
    <row r="721">
      <c r="H721" s="31">
        <f>IF($A721="","",IF($D721="Evet",ROUND($C721*tbo_oranBesPuan,2),0))</f>
        <v/>
      </c>
      <c r="I721" s="31">
        <f>IF($A721="","",IF($E721="Evet",ROUND($C721*tbo_oranIlave,2),0))</f>
        <v/>
      </c>
      <c r="J721" s="31">
        <f>IF($A721="","",IF($F721="Evet",ROUND($C721*tbo_oranKadinGenc,2),0))</f>
        <v/>
      </c>
      <c r="K721" s="31">
        <f>IF($A721="","",IF($G721="Evet",ROUND($C721*tbo_isverenOran,2),0))</f>
        <v/>
      </c>
      <c r="L721" s="31">
        <f>IF($A721="","",IF($M721=0,"YOK",IF($I721=$M721,"TBO-002",IF($H721=$M721,"TBO-001",IF($J721=$M721,"TBO-004","TBO-ENG")))))</f>
        <v/>
      </c>
      <c r="M721" s="31">
        <f>IF($A721="","",MAX($H721,$I721,$J721,$K721))</f>
        <v/>
      </c>
      <c r="O721" s="31">
        <f>IF($A721="","",MAX(0,$M721-IF($N721="TBO-001",$H721,IF($N721="TBO-002",$I721,IF($N721="TBO-004",$J721,IF($N721="TBO-ENG",$K721,0))))))</f>
        <v/>
      </c>
    </row>
    <row r="722">
      <c r="H722" s="31">
        <f>IF($A722="","",IF($D722="Evet",ROUND($C722*tbo_oranBesPuan,2),0))</f>
        <v/>
      </c>
      <c r="I722" s="31">
        <f>IF($A722="","",IF($E722="Evet",ROUND($C722*tbo_oranIlave,2),0))</f>
        <v/>
      </c>
      <c r="J722" s="31">
        <f>IF($A722="","",IF($F722="Evet",ROUND($C722*tbo_oranKadinGenc,2),0))</f>
        <v/>
      </c>
      <c r="K722" s="31">
        <f>IF($A722="","",IF($G722="Evet",ROUND($C722*tbo_isverenOran,2),0))</f>
        <v/>
      </c>
      <c r="L722" s="31">
        <f>IF($A722="","",IF($M722=0,"YOK",IF($I722=$M722,"TBO-002",IF($H722=$M722,"TBO-001",IF($J722=$M722,"TBO-004","TBO-ENG")))))</f>
        <v/>
      </c>
      <c r="M722" s="31">
        <f>IF($A722="","",MAX($H722,$I722,$J722,$K722))</f>
        <v/>
      </c>
      <c r="O722" s="31">
        <f>IF($A722="","",MAX(0,$M722-IF($N722="TBO-001",$H722,IF($N722="TBO-002",$I722,IF($N722="TBO-004",$J722,IF($N722="TBO-ENG",$K722,0))))))</f>
        <v/>
      </c>
    </row>
    <row r="723">
      <c r="H723" s="31">
        <f>IF($A723="","",IF($D723="Evet",ROUND($C723*tbo_oranBesPuan,2),0))</f>
        <v/>
      </c>
      <c r="I723" s="31">
        <f>IF($A723="","",IF($E723="Evet",ROUND($C723*tbo_oranIlave,2),0))</f>
        <v/>
      </c>
      <c r="J723" s="31">
        <f>IF($A723="","",IF($F723="Evet",ROUND($C723*tbo_oranKadinGenc,2),0))</f>
        <v/>
      </c>
      <c r="K723" s="31">
        <f>IF($A723="","",IF($G723="Evet",ROUND($C723*tbo_isverenOran,2),0))</f>
        <v/>
      </c>
      <c r="L723" s="31">
        <f>IF($A723="","",IF($M723=0,"YOK",IF($I723=$M723,"TBO-002",IF($H723=$M723,"TBO-001",IF($J723=$M723,"TBO-004","TBO-ENG")))))</f>
        <v/>
      </c>
      <c r="M723" s="31">
        <f>IF($A723="","",MAX($H723,$I723,$J723,$K723))</f>
        <v/>
      </c>
      <c r="O723" s="31">
        <f>IF($A723="","",MAX(0,$M723-IF($N723="TBO-001",$H723,IF($N723="TBO-002",$I723,IF($N723="TBO-004",$J723,IF($N723="TBO-ENG",$K723,0))))))</f>
        <v/>
      </c>
    </row>
    <row r="724">
      <c r="H724" s="31">
        <f>IF($A724="","",IF($D724="Evet",ROUND($C724*tbo_oranBesPuan,2),0))</f>
        <v/>
      </c>
      <c r="I724" s="31">
        <f>IF($A724="","",IF($E724="Evet",ROUND($C724*tbo_oranIlave,2),0))</f>
        <v/>
      </c>
      <c r="J724" s="31">
        <f>IF($A724="","",IF($F724="Evet",ROUND($C724*tbo_oranKadinGenc,2),0))</f>
        <v/>
      </c>
      <c r="K724" s="31">
        <f>IF($A724="","",IF($G724="Evet",ROUND($C724*tbo_isverenOran,2),0))</f>
        <v/>
      </c>
      <c r="L724" s="31">
        <f>IF($A724="","",IF($M724=0,"YOK",IF($I724=$M724,"TBO-002",IF($H724=$M724,"TBO-001",IF($J724=$M724,"TBO-004","TBO-ENG")))))</f>
        <v/>
      </c>
      <c r="M724" s="31">
        <f>IF($A724="","",MAX($H724,$I724,$J724,$K724))</f>
        <v/>
      </c>
      <c r="O724" s="31">
        <f>IF($A724="","",MAX(0,$M724-IF($N724="TBO-001",$H724,IF($N724="TBO-002",$I724,IF($N724="TBO-004",$J724,IF($N724="TBO-ENG",$K724,0))))))</f>
        <v/>
      </c>
    </row>
    <row r="725">
      <c r="H725" s="31">
        <f>IF($A725="","",IF($D725="Evet",ROUND($C725*tbo_oranBesPuan,2),0))</f>
        <v/>
      </c>
      <c r="I725" s="31">
        <f>IF($A725="","",IF($E725="Evet",ROUND($C725*tbo_oranIlave,2),0))</f>
        <v/>
      </c>
      <c r="J725" s="31">
        <f>IF($A725="","",IF($F725="Evet",ROUND($C725*tbo_oranKadinGenc,2),0))</f>
        <v/>
      </c>
      <c r="K725" s="31">
        <f>IF($A725="","",IF($G725="Evet",ROUND($C725*tbo_isverenOran,2),0))</f>
        <v/>
      </c>
      <c r="L725" s="31">
        <f>IF($A725="","",IF($M725=0,"YOK",IF($I725=$M725,"TBO-002",IF($H725=$M725,"TBO-001",IF($J725=$M725,"TBO-004","TBO-ENG")))))</f>
        <v/>
      </c>
      <c r="M725" s="31">
        <f>IF($A725="","",MAX($H725,$I725,$J725,$K725))</f>
        <v/>
      </c>
      <c r="O725" s="31">
        <f>IF($A725="","",MAX(0,$M725-IF($N725="TBO-001",$H725,IF($N725="TBO-002",$I725,IF($N725="TBO-004",$J725,IF($N725="TBO-ENG",$K725,0))))))</f>
        <v/>
      </c>
    </row>
    <row r="726">
      <c r="H726" s="31">
        <f>IF($A726="","",IF($D726="Evet",ROUND($C726*tbo_oranBesPuan,2),0))</f>
        <v/>
      </c>
      <c r="I726" s="31">
        <f>IF($A726="","",IF($E726="Evet",ROUND($C726*tbo_oranIlave,2),0))</f>
        <v/>
      </c>
      <c r="J726" s="31">
        <f>IF($A726="","",IF($F726="Evet",ROUND($C726*tbo_oranKadinGenc,2),0))</f>
        <v/>
      </c>
      <c r="K726" s="31">
        <f>IF($A726="","",IF($G726="Evet",ROUND($C726*tbo_isverenOran,2),0))</f>
        <v/>
      </c>
      <c r="L726" s="31">
        <f>IF($A726="","",IF($M726=0,"YOK",IF($I726=$M726,"TBO-002",IF($H726=$M726,"TBO-001",IF($J726=$M726,"TBO-004","TBO-ENG")))))</f>
        <v/>
      </c>
      <c r="M726" s="31">
        <f>IF($A726="","",MAX($H726,$I726,$J726,$K726))</f>
        <v/>
      </c>
      <c r="O726" s="31">
        <f>IF($A726="","",MAX(0,$M726-IF($N726="TBO-001",$H726,IF($N726="TBO-002",$I726,IF($N726="TBO-004",$J726,IF($N726="TBO-ENG",$K726,0))))))</f>
        <v/>
      </c>
    </row>
    <row r="727">
      <c r="H727" s="31">
        <f>IF($A727="","",IF($D727="Evet",ROUND($C727*tbo_oranBesPuan,2),0))</f>
        <v/>
      </c>
      <c r="I727" s="31">
        <f>IF($A727="","",IF($E727="Evet",ROUND($C727*tbo_oranIlave,2),0))</f>
        <v/>
      </c>
      <c r="J727" s="31">
        <f>IF($A727="","",IF($F727="Evet",ROUND($C727*tbo_oranKadinGenc,2),0))</f>
        <v/>
      </c>
      <c r="K727" s="31">
        <f>IF($A727="","",IF($G727="Evet",ROUND($C727*tbo_isverenOran,2),0))</f>
        <v/>
      </c>
      <c r="L727" s="31">
        <f>IF($A727="","",IF($M727=0,"YOK",IF($I727=$M727,"TBO-002",IF($H727=$M727,"TBO-001",IF($J727=$M727,"TBO-004","TBO-ENG")))))</f>
        <v/>
      </c>
      <c r="M727" s="31">
        <f>IF($A727="","",MAX($H727,$I727,$J727,$K727))</f>
        <v/>
      </c>
      <c r="O727" s="31">
        <f>IF($A727="","",MAX(0,$M727-IF($N727="TBO-001",$H727,IF($N727="TBO-002",$I727,IF($N727="TBO-004",$J727,IF($N727="TBO-ENG",$K727,0))))))</f>
        <v/>
      </c>
    </row>
    <row r="728">
      <c r="H728" s="31">
        <f>IF($A728="","",IF($D728="Evet",ROUND($C728*tbo_oranBesPuan,2),0))</f>
        <v/>
      </c>
      <c r="I728" s="31">
        <f>IF($A728="","",IF($E728="Evet",ROUND($C728*tbo_oranIlave,2),0))</f>
        <v/>
      </c>
      <c r="J728" s="31">
        <f>IF($A728="","",IF($F728="Evet",ROUND($C728*tbo_oranKadinGenc,2),0))</f>
        <v/>
      </c>
      <c r="K728" s="31">
        <f>IF($A728="","",IF($G728="Evet",ROUND($C728*tbo_isverenOran,2),0))</f>
        <v/>
      </c>
      <c r="L728" s="31">
        <f>IF($A728="","",IF($M728=0,"YOK",IF($I728=$M728,"TBO-002",IF($H728=$M728,"TBO-001",IF($J728=$M728,"TBO-004","TBO-ENG")))))</f>
        <v/>
      </c>
      <c r="M728" s="31">
        <f>IF($A728="","",MAX($H728,$I728,$J728,$K728))</f>
        <v/>
      </c>
      <c r="O728" s="31">
        <f>IF($A728="","",MAX(0,$M728-IF($N728="TBO-001",$H728,IF($N728="TBO-002",$I728,IF($N728="TBO-004",$J728,IF($N728="TBO-ENG",$K728,0))))))</f>
        <v/>
      </c>
    </row>
    <row r="729">
      <c r="H729" s="31">
        <f>IF($A729="","",IF($D729="Evet",ROUND($C729*tbo_oranBesPuan,2),0))</f>
        <v/>
      </c>
      <c r="I729" s="31">
        <f>IF($A729="","",IF($E729="Evet",ROUND($C729*tbo_oranIlave,2),0))</f>
        <v/>
      </c>
      <c r="J729" s="31">
        <f>IF($A729="","",IF($F729="Evet",ROUND($C729*tbo_oranKadinGenc,2),0))</f>
        <v/>
      </c>
      <c r="K729" s="31">
        <f>IF($A729="","",IF($G729="Evet",ROUND($C729*tbo_isverenOran,2),0))</f>
        <v/>
      </c>
      <c r="L729" s="31">
        <f>IF($A729="","",IF($M729=0,"YOK",IF($I729=$M729,"TBO-002",IF($H729=$M729,"TBO-001",IF($J729=$M729,"TBO-004","TBO-ENG")))))</f>
        <v/>
      </c>
      <c r="M729" s="31">
        <f>IF($A729="","",MAX($H729,$I729,$J729,$K729))</f>
        <v/>
      </c>
      <c r="O729" s="31">
        <f>IF($A729="","",MAX(0,$M729-IF($N729="TBO-001",$H729,IF($N729="TBO-002",$I729,IF($N729="TBO-004",$J729,IF($N729="TBO-ENG",$K729,0))))))</f>
        <v/>
      </c>
    </row>
    <row r="730">
      <c r="H730" s="31">
        <f>IF($A730="","",IF($D730="Evet",ROUND($C730*tbo_oranBesPuan,2),0))</f>
        <v/>
      </c>
      <c r="I730" s="31">
        <f>IF($A730="","",IF($E730="Evet",ROUND($C730*tbo_oranIlave,2),0))</f>
        <v/>
      </c>
      <c r="J730" s="31">
        <f>IF($A730="","",IF($F730="Evet",ROUND($C730*tbo_oranKadinGenc,2),0))</f>
        <v/>
      </c>
      <c r="K730" s="31">
        <f>IF($A730="","",IF($G730="Evet",ROUND($C730*tbo_isverenOran,2),0))</f>
        <v/>
      </c>
      <c r="L730" s="31">
        <f>IF($A730="","",IF($M730=0,"YOK",IF($I730=$M730,"TBO-002",IF($H730=$M730,"TBO-001",IF($J730=$M730,"TBO-004","TBO-ENG")))))</f>
        <v/>
      </c>
      <c r="M730" s="31">
        <f>IF($A730="","",MAX($H730,$I730,$J730,$K730))</f>
        <v/>
      </c>
      <c r="O730" s="31">
        <f>IF($A730="","",MAX(0,$M730-IF($N730="TBO-001",$H730,IF($N730="TBO-002",$I730,IF($N730="TBO-004",$J730,IF($N730="TBO-ENG",$K730,0))))))</f>
        <v/>
      </c>
    </row>
    <row r="731">
      <c r="H731" s="31">
        <f>IF($A731="","",IF($D731="Evet",ROUND($C731*tbo_oranBesPuan,2),0))</f>
        <v/>
      </c>
      <c r="I731" s="31">
        <f>IF($A731="","",IF($E731="Evet",ROUND($C731*tbo_oranIlave,2),0))</f>
        <v/>
      </c>
      <c r="J731" s="31">
        <f>IF($A731="","",IF($F731="Evet",ROUND($C731*tbo_oranKadinGenc,2),0))</f>
        <v/>
      </c>
      <c r="K731" s="31">
        <f>IF($A731="","",IF($G731="Evet",ROUND($C731*tbo_isverenOran,2),0))</f>
        <v/>
      </c>
      <c r="L731" s="31">
        <f>IF($A731="","",IF($M731=0,"YOK",IF($I731=$M731,"TBO-002",IF($H731=$M731,"TBO-001",IF($J731=$M731,"TBO-004","TBO-ENG")))))</f>
        <v/>
      </c>
      <c r="M731" s="31">
        <f>IF($A731="","",MAX($H731,$I731,$J731,$K731))</f>
        <v/>
      </c>
      <c r="O731" s="31">
        <f>IF($A731="","",MAX(0,$M731-IF($N731="TBO-001",$H731,IF($N731="TBO-002",$I731,IF($N731="TBO-004",$J731,IF($N731="TBO-ENG",$K731,0))))))</f>
        <v/>
      </c>
    </row>
    <row r="732">
      <c r="H732" s="31">
        <f>IF($A732="","",IF($D732="Evet",ROUND($C732*tbo_oranBesPuan,2),0))</f>
        <v/>
      </c>
      <c r="I732" s="31">
        <f>IF($A732="","",IF($E732="Evet",ROUND($C732*tbo_oranIlave,2),0))</f>
        <v/>
      </c>
      <c r="J732" s="31">
        <f>IF($A732="","",IF($F732="Evet",ROUND($C732*tbo_oranKadinGenc,2),0))</f>
        <v/>
      </c>
      <c r="K732" s="31">
        <f>IF($A732="","",IF($G732="Evet",ROUND($C732*tbo_isverenOran,2),0))</f>
        <v/>
      </c>
      <c r="L732" s="31">
        <f>IF($A732="","",IF($M732=0,"YOK",IF($I732=$M732,"TBO-002",IF($H732=$M732,"TBO-001",IF($J732=$M732,"TBO-004","TBO-ENG")))))</f>
        <v/>
      </c>
      <c r="M732" s="31">
        <f>IF($A732="","",MAX($H732,$I732,$J732,$K732))</f>
        <v/>
      </c>
      <c r="O732" s="31">
        <f>IF($A732="","",MAX(0,$M732-IF($N732="TBO-001",$H732,IF($N732="TBO-002",$I732,IF($N732="TBO-004",$J732,IF($N732="TBO-ENG",$K732,0))))))</f>
        <v/>
      </c>
    </row>
    <row r="733">
      <c r="H733" s="31">
        <f>IF($A733="","",IF($D733="Evet",ROUND($C733*tbo_oranBesPuan,2),0))</f>
        <v/>
      </c>
      <c r="I733" s="31">
        <f>IF($A733="","",IF($E733="Evet",ROUND($C733*tbo_oranIlave,2),0))</f>
        <v/>
      </c>
      <c r="J733" s="31">
        <f>IF($A733="","",IF($F733="Evet",ROUND($C733*tbo_oranKadinGenc,2),0))</f>
        <v/>
      </c>
      <c r="K733" s="31">
        <f>IF($A733="","",IF($G733="Evet",ROUND($C733*tbo_isverenOran,2),0))</f>
        <v/>
      </c>
      <c r="L733" s="31">
        <f>IF($A733="","",IF($M733=0,"YOK",IF($I733=$M733,"TBO-002",IF($H733=$M733,"TBO-001",IF($J733=$M733,"TBO-004","TBO-ENG")))))</f>
        <v/>
      </c>
      <c r="M733" s="31">
        <f>IF($A733="","",MAX($H733,$I733,$J733,$K733))</f>
        <v/>
      </c>
      <c r="O733" s="31">
        <f>IF($A733="","",MAX(0,$M733-IF($N733="TBO-001",$H733,IF($N733="TBO-002",$I733,IF($N733="TBO-004",$J733,IF($N733="TBO-ENG",$K733,0))))))</f>
        <v/>
      </c>
    </row>
    <row r="734">
      <c r="H734" s="31">
        <f>IF($A734="","",IF($D734="Evet",ROUND($C734*tbo_oranBesPuan,2),0))</f>
        <v/>
      </c>
      <c r="I734" s="31">
        <f>IF($A734="","",IF($E734="Evet",ROUND($C734*tbo_oranIlave,2),0))</f>
        <v/>
      </c>
      <c r="J734" s="31">
        <f>IF($A734="","",IF($F734="Evet",ROUND($C734*tbo_oranKadinGenc,2),0))</f>
        <v/>
      </c>
      <c r="K734" s="31">
        <f>IF($A734="","",IF($G734="Evet",ROUND($C734*tbo_isverenOran,2),0))</f>
        <v/>
      </c>
      <c r="L734" s="31">
        <f>IF($A734="","",IF($M734=0,"YOK",IF($I734=$M734,"TBO-002",IF($H734=$M734,"TBO-001",IF($J734=$M734,"TBO-004","TBO-ENG")))))</f>
        <v/>
      </c>
      <c r="M734" s="31">
        <f>IF($A734="","",MAX($H734,$I734,$J734,$K734))</f>
        <v/>
      </c>
      <c r="O734" s="31">
        <f>IF($A734="","",MAX(0,$M734-IF($N734="TBO-001",$H734,IF($N734="TBO-002",$I734,IF($N734="TBO-004",$J734,IF($N734="TBO-ENG",$K734,0))))))</f>
        <v/>
      </c>
    </row>
    <row r="735">
      <c r="H735" s="31">
        <f>IF($A735="","",IF($D735="Evet",ROUND($C735*tbo_oranBesPuan,2),0))</f>
        <v/>
      </c>
      <c r="I735" s="31">
        <f>IF($A735="","",IF($E735="Evet",ROUND($C735*tbo_oranIlave,2),0))</f>
        <v/>
      </c>
      <c r="J735" s="31">
        <f>IF($A735="","",IF($F735="Evet",ROUND($C735*tbo_oranKadinGenc,2),0))</f>
        <v/>
      </c>
      <c r="K735" s="31">
        <f>IF($A735="","",IF($G735="Evet",ROUND($C735*tbo_isverenOran,2),0))</f>
        <v/>
      </c>
      <c r="L735" s="31">
        <f>IF($A735="","",IF($M735=0,"YOK",IF($I735=$M735,"TBO-002",IF($H735=$M735,"TBO-001",IF($J735=$M735,"TBO-004","TBO-ENG")))))</f>
        <v/>
      </c>
      <c r="M735" s="31">
        <f>IF($A735="","",MAX($H735,$I735,$J735,$K735))</f>
        <v/>
      </c>
      <c r="O735" s="31">
        <f>IF($A735="","",MAX(0,$M735-IF($N735="TBO-001",$H735,IF($N735="TBO-002",$I735,IF($N735="TBO-004",$J735,IF($N735="TBO-ENG",$K735,0))))))</f>
        <v/>
      </c>
    </row>
    <row r="736">
      <c r="H736" s="31">
        <f>IF($A736="","",IF($D736="Evet",ROUND($C736*tbo_oranBesPuan,2),0))</f>
        <v/>
      </c>
      <c r="I736" s="31">
        <f>IF($A736="","",IF($E736="Evet",ROUND($C736*tbo_oranIlave,2),0))</f>
        <v/>
      </c>
      <c r="J736" s="31">
        <f>IF($A736="","",IF($F736="Evet",ROUND($C736*tbo_oranKadinGenc,2),0))</f>
        <v/>
      </c>
      <c r="K736" s="31">
        <f>IF($A736="","",IF($G736="Evet",ROUND($C736*tbo_isverenOran,2),0))</f>
        <v/>
      </c>
      <c r="L736" s="31">
        <f>IF($A736="","",IF($M736=0,"YOK",IF($I736=$M736,"TBO-002",IF($H736=$M736,"TBO-001",IF($J736=$M736,"TBO-004","TBO-ENG")))))</f>
        <v/>
      </c>
      <c r="M736" s="31">
        <f>IF($A736="","",MAX($H736,$I736,$J736,$K736))</f>
        <v/>
      </c>
      <c r="O736" s="31">
        <f>IF($A736="","",MAX(0,$M736-IF($N736="TBO-001",$H736,IF($N736="TBO-002",$I736,IF($N736="TBO-004",$J736,IF($N736="TBO-ENG",$K736,0))))))</f>
        <v/>
      </c>
    </row>
    <row r="737">
      <c r="H737" s="31">
        <f>IF($A737="","",IF($D737="Evet",ROUND($C737*tbo_oranBesPuan,2),0))</f>
        <v/>
      </c>
      <c r="I737" s="31">
        <f>IF($A737="","",IF($E737="Evet",ROUND($C737*tbo_oranIlave,2),0))</f>
        <v/>
      </c>
      <c r="J737" s="31">
        <f>IF($A737="","",IF($F737="Evet",ROUND($C737*tbo_oranKadinGenc,2),0))</f>
        <v/>
      </c>
      <c r="K737" s="31">
        <f>IF($A737="","",IF($G737="Evet",ROUND($C737*tbo_isverenOran,2),0))</f>
        <v/>
      </c>
      <c r="L737" s="31">
        <f>IF($A737="","",IF($M737=0,"YOK",IF($I737=$M737,"TBO-002",IF($H737=$M737,"TBO-001",IF($J737=$M737,"TBO-004","TBO-ENG")))))</f>
        <v/>
      </c>
      <c r="M737" s="31">
        <f>IF($A737="","",MAX($H737,$I737,$J737,$K737))</f>
        <v/>
      </c>
      <c r="O737" s="31">
        <f>IF($A737="","",MAX(0,$M737-IF($N737="TBO-001",$H737,IF($N737="TBO-002",$I737,IF($N737="TBO-004",$J737,IF($N737="TBO-ENG",$K737,0))))))</f>
        <v/>
      </c>
    </row>
    <row r="738">
      <c r="H738" s="31">
        <f>IF($A738="","",IF($D738="Evet",ROUND($C738*tbo_oranBesPuan,2),0))</f>
        <v/>
      </c>
      <c r="I738" s="31">
        <f>IF($A738="","",IF($E738="Evet",ROUND($C738*tbo_oranIlave,2),0))</f>
        <v/>
      </c>
      <c r="J738" s="31">
        <f>IF($A738="","",IF($F738="Evet",ROUND($C738*tbo_oranKadinGenc,2),0))</f>
        <v/>
      </c>
      <c r="K738" s="31">
        <f>IF($A738="","",IF($G738="Evet",ROUND($C738*tbo_isverenOran,2),0))</f>
        <v/>
      </c>
      <c r="L738" s="31">
        <f>IF($A738="","",IF($M738=0,"YOK",IF($I738=$M738,"TBO-002",IF($H738=$M738,"TBO-001",IF($J738=$M738,"TBO-004","TBO-ENG")))))</f>
        <v/>
      </c>
      <c r="M738" s="31">
        <f>IF($A738="","",MAX($H738,$I738,$J738,$K738))</f>
        <v/>
      </c>
      <c r="O738" s="31">
        <f>IF($A738="","",MAX(0,$M738-IF($N738="TBO-001",$H738,IF($N738="TBO-002",$I738,IF($N738="TBO-004",$J738,IF($N738="TBO-ENG",$K738,0))))))</f>
        <v/>
      </c>
    </row>
    <row r="739">
      <c r="H739" s="31">
        <f>IF($A739="","",IF($D739="Evet",ROUND($C739*tbo_oranBesPuan,2),0))</f>
        <v/>
      </c>
      <c r="I739" s="31">
        <f>IF($A739="","",IF($E739="Evet",ROUND($C739*tbo_oranIlave,2),0))</f>
        <v/>
      </c>
      <c r="J739" s="31">
        <f>IF($A739="","",IF($F739="Evet",ROUND($C739*tbo_oranKadinGenc,2),0))</f>
        <v/>
      </c>
      <c r="K739" s="31">
        <f>IF($A739="","",IF($G739="Evet",ROUND($C739*tbo_isverenOran,2),0))</f>
        <v/>
      </c>
      <c r="L739" s="31">
        <f>IF($A739="","",IF($M739=0,"YOK",IF($I739=$M739,"TBO-002",IF($H739=$M739,"TBO-001",IF($J739=$M739,"TBO-004","TBO-ENG")))))</f>
        <v/>
      </c>
      <c r="M739" s="31">
        <f>IF($A739="","",MAX($H739,$I739,$J739,$K739))</f>
        <v/>
      </c>
      <c r="O739" s="31">
        <f>IF($A739="","",MAX(0,$M739-IF($N739="TBO-001",$H739,IF($N739="TBO-002",$I739,IF($N739="TBO-004",$J739,IF($N739="TBO-ENG",$K739,0))))))</f>
        <v/>
      </c>
    </row>
    <row r="740">
      <c r="H740" s="31">
        <f>IF($A740="","",IF($D740="Evet",ROUND($C740*tbo_oranBesPuan,2),0))</f>
        <v/>
      </c>
      <c r="I740" s="31">
        <f>IF($A740="","",IF($E740="Evet",ROUND($C740*tbo_oranIlave,2),0))</f>
        <v/>
      </c>
      <c r="J740" s="31">
        <f>IF($A740="","",IF($F740="Evet",ROUND($C740*tbo_oranKadinGenc,2),0))</f>
        <v/>
      </c>
      <c r="K740" s="31">
        <f>IF($A740="","",IF($G740="Evet",ROUND($C740*tbo_isverenOran,2),0))</f>
        <v/>
      </c>
      <c r="L740" s="31">
        <f>IF($A740="","",IF($M740=0,"YOK",IF($I740=$M740,"TBO-002",IF($H740=$M740,"TBO-001",IF($J740=$M740,"TBO-004","TBO-ENG")))))</f>
        <v/>
      </c>
      <c r="M740" s="31">
        <f>IF($A740="","",MAX($H740,$I740,$J740,$K740))</f>
        <v/>
      </c>
      <c r="O740" s="31">
        <f>IF($A740="","",MAX(0,$M740-IF($N740="TBO-001",$H740,IF($N740="TBO-002",$I740,IF($N740="TBO-004",$J740,IF($N740="TBO-ENG",$K740,0))))))</f>
        <v/>
      </c>
    </row>
    <row r="741">
      <c r="H741" s="31">
        <f>IF($A741="","",IF($D741="Evet",ROUND($C741*tbo_oranBesPuan,2),0))</f>
        <v/>
      </c>
      <c r="I741" s="31">
        <f>IF($A741="","",IF($E741="Evet",ROUND($C741*tbo_oranIlave,2),0))</f>
        <v/>
      </c>
      <c r="J741" s="31">
        <f>IF($A741="","",IF($F741="Evet",ROUND($C741*tbo_oranKadinGenc,2),0))</f>
        <v/>
      </c>
      <c r="K741" s="31">
        <f>IF($A741="","",IF($G741="Evet",ROUND($C741*tbo_isverenOran,2),0))</f>
        <v/>
      </c>
      <c r="L741" s="31">
        <f>IF($A741="","",IF($M741=0,"YOK",IF($I741=$M741,"TBO-002",IF($H741=$M741,"TBO-001",IF($J741=$M741,"TBO-004","TBO-ENG")))))</f>
        <v/>
      </c>
      <c r="M741" s="31">
        <f>IF($A741="","",MAX($H741,$I741,$J741,$K741))</f>
        <v/>
      </c>
      <c r="O741" s="31">
        <f>IF($A741="","",MAX(0,$M741-IF($N741="TBO-001",$H741,IF($N741="TBO-002",$I741,IF($N741="TBO-004",$J741,IF($N741="TBO-ENG",$K741,0))))))</f>
        <v/>
      </c>
    </row>
    <row r="742">
      <c r="H742" s="31">
        <f>IF($A742="","",IF($D742="Evet",ROUND($C742*tbo_oranBesPuan,2),0))</f>
        <v/>
      </c>
      <c r="I742" s="31">
        <f>IF($A742="","",IF($E742="Evet",ROUND($C742*tbo_oranIlave,2),0))</f>
        <v/>
      </c>
      <c r="J742" s="31">
        <f>IF($A742="","",IF($F742="Evet",ROUND($C742*tbo_oranKadinGenc,2),0))</f>
        <v/>
      </c>
      <c r="K742" s="31">
        <f>IF($A742="","",IF($G742="Evet",ROUND($C742*tbo_isverenOran,2),0))</f>
        <v/>
      </c>
      <c r="L742" s="31">
        <f>IF($A742="","",IF($M742=0,"YOK",IF($I742=$M742,"TBO-002",IF($H742=$M742,"TBO-001",IF($J742=$M742,"TBO-004","TBO-ENG")))))</f>
        <v/>
      </c>
      <c r="M742" s="31">
        <f>IF($A742="","",MAX($H742,$I742,$J742,$K742))</f>
        <v/>
      </c>
      <c r="O742" s="31">
        <f>IF($A742="","",MAX(0,$M742-IF($N742="TBO-001",$H742,IF($N742="TBO-002",$I742,IF($N742="TBO-004",$J742,IF($N742="TBO-ENG",$K742,0))))))</f>
        <v/>
      </c>
    </row>
    <row r="743">
      <c r="H743" s="31">
        <f>IF($A743="","",IF($D743="Evet",ROUND($C743*tbo_oranBesPuan,2),0))</f>
        <v/>
      </c>
      <c r="I743" s="31">
        <f>IF($A743="","",IF($E743="Evet",ROUND($C743*tbo_oranIlave,2),0))</f>
        <v/>
      </c>
      <c r="J743" s="31">
        <f>IF($A743="","",IF($F743="Evet",ROUND($C743*tbo_oranKadinGenc,2),0))</f>
        <v/>
      </c>
      <c r="K743" s="31">
        <f>IF($A743="","",IF($G743="Evet",ROUND($C743*tbo_isverenOran,2),0))</f>
        <v/>
      </c>
      <c r="L743" s="31">
        <f>IF($A743="","",IF($M743=0,"YOK",IF($I743=$M743,"TBO-002",IF($H743=$M743,"TBO-001",IF($J743=$M743,"TBO-004","TBO-ENG")))))</f>
        <v/>
      </c>
      <c r="M743" s="31">
        <f>IF($A743="","",MAX($H743,$I743,$J743,$K743))</f>
        <v/>
      </c>
      <c r="O743" s="31">
        <f>IF($A743="","",MAX(0,$M743-IF($N743="TBO-001",$H743,IF($N743="TBO-002",$I743,IF($N743="TBO-004",$J743,IF($N743="TBO-ENG",$K743,0))))))</f>
        <v/>
      </c>
    </row>
    <row r="744">
      <c r="H744" s="31">
        <f>IF($A744="","",IF($D744="Evet",ROUND($C744*tbo_oranBesPuan,2),0))</f>
        <v/>
      </c>
      <c r="I744" s="31">
        <f>IF($A744="","",IF($E744="Evet",ROUND($C744*tbo_oranIlave,2),0))</f>
        <v/>
      </c>
      <c r="J744" s="31">
        <f>IF($A744="","",IF($F744="Evet",ROUND($C744*tbo_oranKadinGenc,2),0))</f>
        <v/>
      </c>
      <c r="K744" s="31">
        <f>IF($A744="","",IF($G744="Evet",ROUND($C744*tbo_isverenOran,2),0))</f>
        <v/>
      </c>
      <c r="L744" s="31">
        <f>IF($A744="","",IF($M744=0,"YOK",IF($I744=$M744,"TBO-002",IF($H744=$M744,"TBO-001",IF($J744=$M744,"TBO-004","TBO-ENG")))))</f>
        <v/>
      </c>
      <c r="M744" s="31">
        <f>IF($A744="","",MAX($H744,$I744,$J744,$K744))</f>
        <v/>
      </c>
      <c r="O744" s="31">
        <f>IF($A744="","",MAX(0,$M744-IF($N744="TBO-001",$H744,IF($N744="TBO-002",$I744,IF($N744="TBO-004",$J744,IF($N744="TBO-ENG",$K744,0))))))</f>
        <v/>
      </c>
    </row>
    <row r="745">
      <c r="H745" s="31">
        <f>IF($A745="","",IF($D745="Evet",ROUND($C745*tbo_oranBesPuan,2),0))</f>
        <v/>
      </c>
      <c r="I745" s="31">
        <f>IF($A745="","",IF($E745="Evet",ROUND($C745*tbo_oranIlave,2),0))</f>
        <v/>
      </c>
      <c r="J745" s="31">
        <f>IF($A745="","",IF($F745="Evet",ROUND($C745*tbo_oranKadinGenc,2),0))</f>
        <v/>
      </c>
      <c r="K745" s="31">
        <f>IF($A745="","",IF($G745="Evet",ROUND($C745*tbo_isverenOran,2),0))</f>
        <v/>
      </c>
      <c r="L745" s="31">
        <f>IF($A745="","",IF($M745=0,"YOK",IF($I745=$M745,"TBO-002",IF($H745=$M745,"TBO-001",IF($J745=$M745,"TBO-004","TBO-ENG")))))</f>
        <v/>
      </c>
      <c r="M745" s="31">
        <f>IF($A745="","",MAX($H745,$I745,$J745,$K745))</f>
        <v/>
      </c>
      <c r="O745" s="31">
        <f>IF($A745="","",MAX(0,$M745-IF($N745="TBO-001",$H745,IF($N745="TBO-002",$I745,IF($N745="TBO-004",$J745,IF($N745="TBO-ENG",$K745,0))))))</f>
        <v/>
      </c>
    </row>
    <row r="746">
      <c r="H746" s="31">
        <f>IF($A746="","",IF($D746="Evet",ROUND($C746*tbo_oranBesPuan,2),0))</f>
        <v/>
      </c>
      <c r="I746" s="31">
        <f>IF($A746="","",IF($E746="Evet",ROUND($C746*tbo_oranIlave,2),0))</f>
        <v/>
      </c>
      <c r="J746" s="31">
        <f>IF($A746="","",IF($F746="Evet",ROUND($C746*tbo_oranKadinGenc,2),0))</f>
        <v/>
      </c>
      <c r="K746" s="31">
        <f>IF($A746="","",IF($G746="Evet",ROUND($C746*tbo_isverenOran,2),0))</f>
        <v/>
      </c>
      <c r="L746" s="31">
        <f>IF($A746="","",IF($M746=0,"YOK",IF($I746=$M746,"TBO-002",IF($H746=$M746,"TBO-001",IF($J746=$M746,"TBO-004","TBO-ENG")))))</f>
        <v/>
      </c>
      <c r="M746" s="31">
        <f>IF($A746="","",MAX($H746,$I746,$J746,$K746))</f>
        <v/>
      </c>
      <c r="O746" s="31">
        <f>IF($A746="","",MAX(0,$M746-IF($N746="TBO-001",$H746,IF($N746="TBO-002",$I746,IF($N746="TBO-004",$J746,IF($N746="TBO-ENG",$K746,0))))))</f>
        <v/>
      </c>
    </row>
    <row r="747">
      <c r="H747" s="31">
        <f>IF($A747="","",IF($D747="Evet",ROUND($C747*tbo_oranBesPuan,2),0))</f>
        <v/>
      </c>
      <c r="I747" s="31">
        <f>IF($A747="","",IF($E747="Evet",ROUND($C747*tbo_oranIlave,2),0))</f>
        <v/>
      </c>
      <c r="J747" s="31">
        <f>IF($A747="","",IF($F747="Evet",ROUND($C747*tbo_oranKadinGenc,2),0))</f>
        <v/>
      </c>
      <c r="K747" s="31">
        <f>IF($A747="","",IF($G747="Evet",ROUND($C747*tbo_isverenOran,2),0))</f>
        <v/>
      </c>
      <c r="L747" s="31">
        <f>IF($A747="","",IF($M747=0,"YOK",IF($I747=$M747,"TBO-002",IF($H747=$M747,"TBO-001",IF($J747=$M747,"TBO-004","TBO-ENG")))))</f>
        <v/>
      </c>
      <c r="M747" s="31">
        <f>IF($A747="","",MAX($H747,$I747,$J747,$K747))</f>
        <v/>
      </c>
      <c r="O747" s="31">
        <f>IF($A747="","",MAX(0,$M747-IF($N747="TBO-001",$H747,IF($N747="TBO-002",$I747,IF($N747="TBO-004",$J747,IF($N747="TBO-ENG",$K747,0))))))</f>
        <v/>
      </c>
    </row>
    <row r="748">
      <c r="H748" s="31">
        <f>IF($A748="","",IF($D748="Evet",ROUND($C748*tbo_oranBesPuan,2),0))</f>
        <v/>
      </c>
      <c r="I748" s="31">
        <f>IF($A748="","",IF($E748="Evet",ROUND($C748*tbo_oranIlave,2),0))</f>
        <v/>
      </c>
      <c r="J748" s="31">
        <f>IF($A748="","",IF($F748="Evet",ROUND($C748*tbo_oranKadinGenc,2),0))</f>
        <v/>
      </c>
      <c r="K748" s="31">
        <f>IF($A748="","",IF($G748="Evet",ROUND($C748*tbo_isverenOran,2),0))</f>
        <v/>
      </c>
      <c r="L748" s="31">
        <f>IF($A748="","",IF($M748=0,"YOK",IF($I748=$M748,"TBO-002",IF($H748=$M748,"TBO-001",IF($J748=$M748,"TBO-004","TBO-ENG")))))</f>
        <v/>
      </c>
      <c r="M748" s="31">
        <f>IF($A748="","",MAX($H748,$I748,$J748,$K748))</f>
        <v/>
      </c>
      <c r="O748" s="31">
        <f>IF($A748="","",MAX(0,$M748-IF($N748="TBO-001",$H748,IF($N748="TBO-002",$I748,IF($N748="TBO-004",$J748,IF($N748="TBO-ENG",$K748,0))))))</f>
        <v/>
      </c>
    </row>
    <row r="749">
      <c r="H749" s="31">
        <f>IF($A749="","",IF($D749="Evet",ROUND($C749*tbo_oranBesPuan,2),0))</f>
        <v/>
      </c>
      <c r="I749" s="31">
        <f>IF($A749="","",IF($E749="Evet",ROUND($C749*tbo_oranIlave,2),0))</f>
        <v/>
      </c>
      <c r="J749" s="31">
        <f>IF($A749="","",IF($F749="Evet",ROUND($C749*tbo_oranKadinGenc,2),0))</f>
        <v/>
      </c>
      <c r="K749" s="31">
        <f>IF($A749="","",IF($G749="Evet",ROUND($C749*tbo_isverenOran,2),0))</f>
        <v/>
      </c>
      <c r="L749" s="31">
        <f>IF($A749="","",IF($M749=0,"YOK",IF($I749=$M749,"TBO-002",IF($H749=$M749,"TBO-001",IF($J749=$M749,"TBO-004","TBO-ENG")))))</f>
        <v/>
      </c>
      <c r="M749" s="31">
        <f>IF($A749="","",MAX($H749,$I749,$J749,$K749))</f>
        <v/>
      </c>
      <c r="O749" s="31">
        <f>IF($A749="","",MAX(0,$M749-IF($N749="TBO-001",$H749,IF($N749="TBO-002",$I749,IF($N749="TBO-004",$J749,IF($N749="TBO-ENG",$K749,0))))))</f>
        <v/>
      </c>
    </row>
    <row r="750">
      <c r="H750" s="31">
        <f>IF($A750="","",IF($D750="Evet",ROUND($C750*tbo_oranBesPuan,2),0))</f>
        <v/>
      </c>
      <c r="I750" s="31">
        <f>IF($A750="","",IF($E750="Evet",ROUND($C750*tbo_oranIlave,2),0))</f>
        <v/>
      </c>
      <c r="J750" s="31">
        <f>IF($A750="","",IF($F750="Evet",ROUND($C750*tbo_oranKadinGenc,2),0))</f>
        <v/>
      </c>
      <c r="K750" s="31">
        <f>IF($A750="","",IF($G750="Evet",ROUND($C750*tbo_isverenOran,2),0))</f>
        <v/>
      </c>
      <c r="L750" s="31">
        <f>IF($A750="","",IF($M750=0,"YOK",IF($I750=$M750,"TBO-002",IF($H750=$M750,"TBO-001",IF($J750=$M750,"TBO-004","TBO-ENG")))))</f>
        <v/>
      </c>
      <c r="M750" s="31">
        <f>IF($A750="","",MAX($H750,$I750,$J750,$K750))</f>
        <v/>
      </c>
      <c r="O750" s="31">
        <f>IF($A750="","",MAX(0,$M750-IF($N750="TBO-001",$H750,IF($N750="TBO-002",$I750,IF($N750="TBO-004",$J750,IF($N750="TBO-ENG",$K750,0))))))</f>
        <v/>
      </c>
    </row>
    <row r="751">
      <c r="H751" s="31">
        <f>IF($A751="","",IF($D751="Evet",ROUND($C751*tbo_oranBesPuan,2),0))</f>
        <v/>
      </c>
      <c r="I751" s="31">
        <f>IF($A751="","",IF($E751="Evet",ROUND($C751*tbo_oranIlave,2),0))</f>
        <v/>
      </c>
      <c r="J751" s="31">
        <f>IF($A751="","",IF($F751="Evet",ROUND($C751*tbo_oranKadinGenc,2),0))</f>
        <v/>
      </c>
      <c r="K751" s="31">
        <f>IF($A751="","",IF($G751="Evet",ROUND($C751*tbo_isverenOran,2),0))</f>
        <v/>
      </c>
      <c r="L751" s="31">
        <f>IF($A751="","",IF($M751=0,"YOK",IF($I751=$M751,"TBO-002",IF($H751=$M751,"TBO-001",IF($J751=$M751,"TBO-004","TBO-ENG")))))</f>
        <v/>
      </c>
      <c r="M751" s="31">
        <f>IF($A751="","",MAX($H751,$I751,$J751,$K751))</f>
        <v/>
      </c>
      <c r="O751" s="31">
        <f>IF($A751="","",MAX(0,$M751-IF($N751="TBO-001",$H751,IF($N751="TBO-002",$I751,IF($N751="TBO-004",$J751,IF($N751="TBO-ENG",$K751,0))))))</f>
        <v/>
      </c>
    </row>
    <row r="752">
      <c r="H752" s="31">
        <f>IF($A752="","",IF($D752="Evet",ROUND($C752*tbo_oranBesPuan,2),0))</f>
        <v/>
      </c>
      <c r="I752" s="31">
        <f>IF($A752="","",IF($E752="Evet",ROUND($C752*tbo_oranIlave,2),0))</f>
        <v/>
      </c>
      <c r="J752" s="31">
        <f>IF($A752="","",IF($F752="Evet",ROUND($C752*tbo_oranKadinGenc,2),0))</f>
        <v/>
      </c>
      <c r="K752" s="31">
        <f>IF($A752="","",IF($G752="Evet",ROUND($C752*tbo_isverenOran,2),0))</f>
        <v/>
      </c>
      <c r="L752" s="31">
        <f>IF($A752="","",IF($M752=0,"YOK",IF($I752=$M752,"TBO-002",IF($H752=$M752,"TBO-001",IF($J752=$M752,"TBO-004","TBO-ENG")))))</f>
        <v/>
      </c>
      <c r="M752" s="31">
        <f>IF($A752="","",MAX($H752,$I752,$J752,$K752))</f>
        <v/>
      </c>
      <c r="O752" s="31">
        <f>IF($A752="","",MAX(0,$M752-IF($N752="TBO-001",$H752,IF($N752="TBO-002",$I752,IF($N752="TBO-004",$J752,IF($N752="TBO-ENG",$K752,0))))))</f>
        <v/>
      </c>
    </row>
    <row r="753">
      <c r="H753" s="31">
        <f>IF($A753="","",IF($D753="Evet",ROUND($C753*tbo_oranBesPuan,2),0))</f>
        <v/>
      </c>
      <c r="I753" s="31">
        <f>IF($A753="","",IF($E753="Evet",ROUND($C753*tbo_oranIlave,2),0))</f>
        <v/>
      </c>
      <c r="J753" s="31">
        <f>IF($A753="","",IF($F753="Evet",ROUND($C753*tbo_oranKadinGenc,2),0))</f>
        <v/>
      </c>
      <c r="K753" s="31">
        <f>IF($A753="","",IF($G753="Evet",ROUND($C753*tbo_isverenOran,2),0))</f>
        <v/>
      </c>
      <c r="L753" s="31">
        <f>IF($A753="","",IF($M753=0,"YOK",IF($I753=$M753,"TBO-002",IF($H753=$M753,"TBO-001",IF($J753=$M753,"TBO-004","TBO-ENG")))))</f>
        <v/>
      </c>
      <c r="M753" s="31">
        <f>IF($A753="","",MAX($H753,$I753,$J753,$K753))</f>
        <v/>
      </c>
      <c r="O753" s="31">
        <f>IF($A753="","",MAX(0,$M753-IF($N753="TBO-001",$H753,IF($N753="TBO-002",$I753,IF($N753="TBO-004",$J753,IF($N753="TBO-ENG",$K753,0))))))</f>
        <v/>
      </c>
    </row>
    <row r="754">
      <c r="H754" s="31">
        <f>IF($A754="","",IF($D754="Evet",ROUND($C754*tbo_oranBesPuan,2),0))</f>
        <v/>
      </c>
      <c r="I754" s="31">
        <f>IF($A754="","",IF($E754="Evet",ROUND($C754*tbo_oranIlave,2),0))</f>
        <v/>
      </c>
      <c r="J754" s="31">
        <f>IF($A754="","",IF($F754="Evet",ROUND($C754*tbo_oranKadinGenc,2),0))</f>
        <v/>
      </c>
      <c r="K754" s="31">
        <f>IF($A754="","",IF($G754="Evet",ROUND($C754*tbo_isverenOran,2),0))</f>
        <v/>
      </c>
      <c r="L754" s="31">
        <f>IF($A754="","",IF($M754=0,"YOK",IF($I754=$M754,"TBO-002",IF($H754=$M754,"TBO-001",IF($J754=$M754,"TBO-004","TBO-ENG")))))</f>
        <v/>
      </c>
      <c r="M754" s="31">
        <f>IF($A754="","",MAX($H754,$I754,$J754,$K754))</f>
        <v/>
      </c>
      <c r="O754" s="31">
        <f>IF($A754="","",MAX(0,$M754-IF($N754="TBO-001",$H754,IF($N754="TBO-002",$I754,IF($N754="TBO-004",$J754,IF($N754="TBO-ENG",$K754,0))))))</f>
        <v/>
      </c>
    </row>
    <row r="755">
      <c r="H755" s="31">
        <f>IF($A755="","",IF($D755="Evet",ROUND($C755*tbo_oranBesPuan,2),0))</f>
        <v/>
      </c>
      <c r="I755" s="31">
        <f>IF($A755="","",IF($E755="Evet",ROUND($C755*tbo_oranIlave,2),0))</f>
        <v/>
      </c>
      <c r="J755" s="31">
        <f>IF($A755="","",IF($F755="Evet",ROUND($C755*tbo_oranKadinGenc,2),0))</f>
        <v/>
      </c>
      <c r="K755" s="31">
        <f>IF($A755="","",IF($G755="Evet",ROUND($C755*tbo_isverenOran,2),0))</f>
        <v/>
      </c>
      <c r="L755" s="31">
        <f>IF($A755="","",IF($M755=0,"YOK",IF($I755=$M755,"TBO-002",IF($H755=$M755,"TBO-001",IF($J755=$M755,"TBO-004","TBO-ENG")))))</f>
        <v/>
      </c>
      <c r="M755" s="31">
        <f>IF($A755="","",MAX($H755,$I755,$J755,$K755))</f>
        <v/>
      </c>
      <c r="O755" s="31">
        <f>IF($A755="","",MAX(0,$M755-IF($N755="TBO-001",$H755,IF($N755="TBO-002",$I755,IF($N755="TBO-004",$J755,IF($N755="TBO-ENG",$K755,0))))))</f>
        <v/>
      </c>
    </row>
    <row r="756">
      <c r="H756" s="31">
        <f>IF($A756="","",IF($D756="Evet",ROUND($C756*tbo_oranBesPuan,2),0))</f>
        <v/>
      </c>
      <c r="I756" s="31">
        <f>IF($A756="","",IF($E756="Evet",ROUND($C756*tbo_oranIlave,2),0))</f>
        <v/>
      </c>
      <c r="J756" s="31">
        <f>IF($A756="","",IF($F756="Evet",ROUND($C756*tbo_oranKadinGenc,2),0))</f>
        <v/>
      </c>
      <c r="K756" s="31">
        <f>IF($A756="","",IF($G756="Evet",ROUND($C756*tbo_isverenOran,2),0))</f>
        <v/>
      </c>
      <c r="L756" s="31">
        <f>IF($A756="","",IF($M756=0,"YOK",IF($I756=$M756,"TBO-002",IF($H756=$M756,"TBO-001",IF($J756=$M756,"TBO-004","TBO-ENG")))))</f>
        <v/>
      </c>
      <c r="M756" s="31">
        <f>IF($A756="","",MAX($H756,$I756,$J756,$K756))</f>
        <v/>
      </c>
      <c r="O756" s="31">
        <f>IF($A756="","",MAX(0,$M756-IF($N756="TBO-001",$H756,IF($N756="TBO-002",$I756,IF($N756="TBO-004",$J756,IF($N756="TBO-ENG",$K756,0))))))</f>
        <v/>
      </c>
    </row>
    <row r="757">
      <c r="H757" s="31">
        <f>IF($A757="","",IF($D757="Evet",ROUND($C757*tbo_oranBesPuan,2),0))</f>
        <v/>
      </c>
      <c r="I757" s="31">
        <f>IF($A757="","",IF($E757="Evet",ROUND($C757*tbo_oranIlave,2),0))</f>
        <v/>
      </c>
      <c r="J757" s="31">
        <f>IF($A757="","",IF($F757="Evet",ROUND($C757*tbo_oranKadinGenc,2),0))</f>
        <v/>
      </c>
      <c r="K757" s="31">
        <f>IF($A757="","",IF($G757="Evet",ROUND($C757*tbo_isverenOran,2),0))</f>
        <v/>
      </c>
      <c r="L757" s="31">
        <f>IF($A757="","",IF($M757=0,"YOK",IF($I757=$M757,"TBO-002",IF($H757=$M757,"TBO-001",IF($J757=$M757,"TBO-004","TBO-ENG")))))</f>
        <v/>
      </c>
      <c r="M757" s="31">
        <f>IF($A757="","",MAX($H757,$I757,$J757,$K757))</f>
        <v/>
      </c>
      <c r="O757" s="31">
        <f>IF($A757="","",MAX(0,$M757-IF($N757="TBO-001",$H757,IF($N757="TBO-002",$I757,IF($N757="TBO-004",$J757,IF($N757="TBO-ENG",$K757,0))))))</f>
        <v/>
      </c>
    </row>
    <row r="758">
      <c r="H758" s="31">
        <f>IF($A758="","",IF($D758="Evet",ROUND($C758*tbo_oranBesPuan,2),0))</f>
        <v/>
      </c>
      <c r="I758" s="31">
        <f>IF($A758="","",IF($E758="Evet",ROUND($C758*tbo_oranIlave,2),0))</f>
        <v/>
      </c>
      <c r="J758" s="31">
        <f>IF($A758="","",IF($F758="Evet",ROUND($C758*tbo_oranKadinGenc,2),0))</f>
        <v/>
      </c>
      <c r="K758" s="31">
        <f>IF($A758="","",IF($G758="Evet",ROUND($C758*tbo_isverenOran,2),0))</f>
        <v/>
      </c>
      <c r="L758" s="31">
        <f>IF($A758="","",IF($M758=0,"YOK",IF($I758=$M758,"TBO-002",IF($H758=$M758,"TBO-001",IF($J758=$M758,"TBO-004","TBO-ENG")))))</f>
        <v/>
      </c>
      <c r="M758" s="31">
        <f>IF($A758="","",MAX($H758,$I758,$J758,$K758))</f>
        <v/>
      </c>
      <c r="O758" s="31">
        <f>IF($A758="","",MAX(0,$M758-IF($N758="TBO-001",$H758,IF($N758="TBO-002",$I758,IF($N758="TBO-004",$J758,IF($N758="TBO-ENG",$K758,0))))))</f>
        <v/>
      </c>
    </row>
    <row r="759">
      <c r="H759" s="31">
        <f>IF($A759="","",IF($D759="Evet",ROUND($C759*tbo_oranBesPuan,2),0))</f>
        <v/>
      </c>
      <c r="I759" s="31">
        <f>IF($A759="","",IF($E759="Evet",ROUND($C759*tbo_oranIlave,2),0))</f>
        <v/>
      </c>
      <c r="J759" s="31">
        <f>IF($A759="","",IF($F759="Evet",ROUND($C759*tbo_oranKadinGenc,2),0))</f>
        <v/>
      </c>
      <c r="K759" s="31">
        <f>IF($A759="","",IF($G759="Evet",ROUND($C759*tbo_isverenOran,2),0))</f>
        <v/>
      </c>
      <c r="L759" s="31">
        <f>IF($A759="","",IF($M759=0,"YOK",IF($I759=$M759,"TBO-002",IF($H759=$M759,"TBO-001",IF($J759=$M759,"TBO-004","TBO-ENG")))))</f>
        <v/>
      </c>
      <c r="M759" s="31">
        <f>IF($A759="","",MAX($H759,$I759,$J759,$K759))</f>
        <v/>
      </c>
      <c r="O759" s="31">
        <f>IF($A759="","",MAX(0,$M759-IF($N759="TBO-001",$H759,IF($N759="TBO-002",$I759,IF($N759="TBO-004",$J759,IF($N759="TBO-ENG",$K759,0))))))</f>
        <v/>
      </c>
    </row>
    <row r="760">
      <c r="H760" s="31">
        <f>IF($A760="","",IF($D760="Evet",ROUND($C760*tbo_oranBesPuan,2),0))</f>
        <v/>
      </c>
      <c r="I760" s="31">
        <f>IF($A760="","",IF($E760="Evet",ROUND($C760*tbo_oranIlave,2),0))</f>
        <v/>
      </c>
      <c r="J760" s="31">
        <f>IF($A760="","",IF($F760="Evet",ROUND($C760*tbo_oranKadinGenc,2),0))</f>
        <v/>
      </c>
      <c r="K760" s="31">
        <f>IF($A760="","",IF($G760="Evet",ROUND($C760*tbo_isverenOran,2),0))</f>
        <v/>
      </c>
      <c r="L760" s="31">
        <f>IF($A760="","",IF($M760=0,"YOK",IF($I760=$M760,"TBO-002",IF($H760=$M760,"TBO-001",IF($J760=$M760,"TBO-004","TBO-ENG")))))</f>
        <v/>
      </c>
      <c r="M760" s="31">
        <f>IF($A760="","",MAX($H760,$I760,$J760,$K760))</f>
        <v/>
      </c>
      <c r="O760" s="31">
        <f>IF($A760="","",MAX(0,$M760-IF($N760="TBO-001",$H760,IF($N760="TBO-002",$I760,IF($N760="TBO-004",$J760,IF($N760="TBO-ENG",$K760,0))))))</f>
        <v/>
      </c>
    </row>
    <row r="761">
      <c r="H761" s="31">
        <f>IF($A761="","",IF($D761="Evet",ROUND($C761*tbo_oranBesPuan,2),0))</f>
        <v/>
      </c>
      <c r="I761" s="31">
        <f>IF($A761="","",IF($E761="Evet",ROUND($C761*tbo_oranIlave,2),0))</f>
        <v/>
      </c>
      <c r="J761" s="31">
        <f>IF($A761="","",IF($F761="Evet",ROUND($C761*tbo_oranKadinGenc,2),0))</f>
        <v/>
      </c>
      <c r="K761" s="31">
        <f>IF($A761="","",IF($G761="Evet",ROUND($C761*tbo_isverenOran,2),0))</f>
        <v/>
      </c>
      <c r="L761" s="31">
        <f>IF($A761="","",IF($M761=0,"YOK",IF($I761=$M761,"TBO-002",IF($H761=$M761,"TBO-001",IF($J761=$M761,"TBO-004","TBO-ENG")))))</f>
        <v/>
      </c>
      <c r="M761" s="31">
        <f>IF($A761="","",MAX($H761,$I761,$J761,$K761))</f>
        <v/>
      </c>
      <c r="O761" s="31">
        <f>IF($A761="","",MAX(0,$M761-IF($N761="TBO-001",$H761,IF($N761="TBO-002",$I761,IF($N761="TBO-004",$J761,IF($N761="TBO-ENG",$K761,0))))))</f>
        <v/>
      </c>
    </row>
    <row r="762">
      <c r="H762" s="31">
        <f>IF($A762="","",IF($D762="Evet",ROUND($C762*tbo_oranBesPuan,2),0))</f>
        <v/>
      </c>
      <c r="I762" s="31">
        <f>IF($A762="","",IF($E762="Evet",ROUND($C762*tbo_oranIlave,2),0))</f>
        <v/>
      </c>
      <c r="J762" s="31">
        <f>IF($A762="","",IF($F762="Evet",ROUND($C762*tbo_oranKadinGenc,2),0))</f>
        <v/>
      </c>
      <c r="K762" s="31">
        <f>IF($A762="","",IF($G762="Evet",ROUND($C762*tbo_isverenOran,2),0))</f>
        <v/>
      </c>
      <c r="L762" s="31">
        <f>IF($A762="","",IF($M762=0,"YOK",IF($I762=$M762,"TBO-002",IF($H762=$M762,"TBO-001",IF($J762=$M762,"TBO-004","TBO-ENG")))))</f>
        <v/>
      </c>
      <c r="M762" s="31">
        <f>IF($A762="","",MAX($H762,$I762,$J762,$K762))</f>
        <v/>
      </c>
      <c r="O762" s="31">
        <f>IF($A762="","",MAX(0,$M762-IF($N762="TBO-001",$H762,IF($N762="TBO-002",$I762,IF($N762="TBO-004",$J762,IF($N762="TBO-ENG",$K762,0))))))</f>
        <v/>
      </c>
    </row>
    <row r="763">
      <c r="H763" s="31">
        <f>IF($A763="","",IF($D763="Evet",ROUND($C763*tbo_oranBesPuan,2),0))</f>
        <v/>
      </c>
      <c r="I763" s="31">
        <f>IF($A763="","",IF($E763="Evet",ROUND($C763*tbo_oranIlave,2),0))</f>
        <v/>
      </c>
      <c r="J763" s="31">
        <f>IF($A763="","",IF($F763="Evet",ROUND($C763*tbo_oranKadinGenc,2),0))</f>
        <v/>
      </c>
      <c r="K763" s="31">
        <f>IF($A763="","",IF($G763="Evet",ROUND($C763*tbo_isverenOran,2),0))</f>
        <v/>
      </c>
      <c r="L763" s="31">
        <f>IF($A763="","",IF($M763=0,"YOK",IF($I763=$M763,"TBO-002",IF($H763=$M763,"TBO-001",IF($J763=$M763,"TBO-004","TBO-ENG")))))</f>
        <v/>
      </c>
      <c r="M763" s="31">
        <f>IF($A763="","",MAX($H763,$I763,$J763,$K763))</f>
        <v/>
      </c>
      <c r="O763" s="31">
        <f>IF($A763="","",MAX(0,$M763-IF($N763="TBO-001",$H763,IF($N763="TBO-002",$I763,IF($N763="TBO-004",$J763,IF($N763="TBO-ENG",$K763,0))))))</f>
        <v/>
      </c>
    </row>
    <row r="764">
      <c r="H764" s="31">
        <f>IF($A764="","",IF($D764="Evet",ROUND($C764*tbo_oranBesPuan,2),0))</f>
        <v/>
      </c>
      <c r="I764" s="31">
        <f>IF($A764="","",IF($E764="Evet",ROUND($C764*tbo_oranIlave,2),0))</f>
        <v/>
      </c>
      <c r="J764" s="31">
        <f>IF($A764="","",IF($F764="Evet",ROUND($C764*tbo_oranKadinGenc,2),0))</f>
        <v/>
      </c>
      <c r="K764" s="31">
        <f>IF($A764="","",IF($G764="Evet",ROUND($C764*tbo_isverenOran,2),0))</f>
        <v/>
      </c>
      <c r="L764" s="31">
        <f>IF($A764="","",IF($M764=0,"YOK",IF($I764=$M764,"TBO-002",IF($H764=$M764,"TBO-001",IF($J764=$M764,"TBO-004","TBO-ENG")))))</f>
        <v/>
      </c>
      <c r="M764" s="31">
        <f>IF($A764="","",MAX($H764,$I764,$J764,$K764))</f>
        <v/>
      </c>
      <c r="O764" s="31">
        <f>IF($A764="","",MAX(0,$M764-IF($N764="TBO-001",$H764,IF($N764="TBO-002",$I764,IF($N764="TBO-004",$J764,IF($N764="TBO-ENG",$K764,0))))))</f>
        <v/>
      </c>
    </row>
    <row r="765">
      <c r="H765" s="31">
        <f>IF($A765="","",IF($D765="Evet",ROUND($C765*tbo_oranBesPuan,2),0))</f>
        <v/>
      </c>
      <c r="I765" s="31">
        <f>IF($A765="","",IF($E765="Evet",ROUND($C765*tbo_oranIlave,2),0))</f>
        <v/>
      </c>
      <c r="J765" s="31">
        <f>IF($A765="","",IF($F765="Evet",ROUND($C765*tbo_oranKadinGenc,2),0))</f>
        <v/>
      </c>
      <c r="K765" s="31">
        <f>IF($A765="","",IF($G765="Evet",ROUND($C765*tbo_isverenOran,2),0))</f>
        <v/>
      </c>
      <c r="L765" s="31">
        <f>IF($A765="","",IF($M765=0,"YOK",IF($I765=$M765,"TBO-002",IF($H765=$M765,"TBO-001",IF($J765=$M765,"TBO-004","TBO-ENG")))))</f>
        <v/>
      </c>
      <c r="M765" s="31">
        <f>IF($A765="","",MAX($H765,$I765,$J765,$K765))</f>
        <v/>
      </c>
      <c r="O765" s="31">
        <f>IF($A765="","",MAX(0,$M765-IF($N765="TBO-001",$H765,IF($N765="TBO-002",$I765,IF($N765="TBO-004",$J765,IF($N765="TBO-ENG",$K765,0))))))</f>
        <v/>
      </c>
    </row>
    <row r="766">
      <c r="H766" s="31">
        <f>IF($A766="","",IF($D766="Evet",ROUND($C766*tbo_oranBesPuan,2),0))</f>
        <v/>
      </c>
      <c r="I766" s="31">
        <f>IF($A766="","",IF($E766="Evet",ROUND($C766*tbo_oranIlave,2),0))</f>
        <v/>
      </c>
      <c r="J766" s="31">
        <f>IF($A766="","",IF($F766="Evet",ROUND($C766*tbo_oranKadinGenc,2),0))</f>
        <v/>
      </c>
      <c r="K766" s="31">
        <f>IF($A766="","",IF($G766="Evet",ROUND($C766*tbo_isverenOran,2),0))</f>
        <v/>
      </c>
      <c r="L766" s="31">
        <f>IF($A766="","",IF($M766=0,"YOK",IF($I766=$M766,"TBO-002",IF($H766=$M766,"TBO-001",IF($J766=$M766,"TBO-004","TBO-ENG")))))</f>
        <v/>
      </c>
      <c r="M766" s="31">
        <f>IF($A766="","",MAX($H766,$I766,$J766,$K766))</f>
        <v/>
      </c>
      <c r="O766" s="31">
        <f>IF($A766="","",MAX(0,$M766-IF($N766="TBO-001",$H766,IF($N766="TBO-002",$I766,IF($N766="TBO-004",$J766,IF($N766="TBO-ENG",$K766,0))))))</f>
        <v/>
      </c>
    </row>
    <row r="767">
      <c r="H767" s="31">
        <f>IF($A767="","",IF($D767="Evet",ROUND($C767*tbo_oranBesPuan,2),0))</f>
        <v/>
      </c>
      <c r="I767" s="31">
        <f>IF($A767="","",IF($E767="Evet",ROUND($C767*tbo_oranIlave,2),0))</f>
        <v/>
      </c>
      <c r="J767" s="31">
        <f>IF($A767="","",IF($F767="Evet",ROUND($C767*tbo_oranKadinGenc,2),0))</f>
        <v/>
      </c>
      <c r="K767" s="31">
        <f>IF($A767="","",IF($G767="Evet",ROUND($C767*tbo_isverenOran,2),0))</f>
        <v/>
      </c>
      <c r="L767" s="31">
        <f>IF($A767="","",IF($M767=0,"YOK",IF($I767=$M767,"TBO-002",IF($H767=$M767,"TBO-001",IF($J767=$M767,"TBO-004","TBO-ENG")))))</f>
        <v/>
      </c>
      <c r="M767" s="31">
        <f>IF($A767="","",MAX($H767,$I767,$J767,$K767))</f>
        <v/>
      </c>
      <c r="O767" s="31">
        <f>IF($A767="","",MAX(0,$M767-IF($N767="TBO-001",$H767,IF($N767="TBO-002",$I767,IF($N767="TBO-004",$J767,IF($N767="TBO-ENG",$K767,0))))))</f>
        <v/>
      </c>
    </row>
    <row r="768">
      <c r="H768" s="31">
        <f>IF($A768="","",IF($D768="Evet",ROUND($C768*tbo_oranBesPuan,2),0))</f>
        <v/>
      </c>
      <c r="I768" s="31">
        <f>IF($A768="","",IF($E768="Evet",ROUND($C768*tbo_oranIlave,2),0))</f>
        <v/>
      </c>
      <c r="J768" s="31">
        <f>IF($A768="","",IF($F768="Evet",ROUND($C768*tbo_oranKadinGenc,2),0))</f>
        <v/>
      </c>
      <c r="K768" s="31">
        <f>IF($A768="","",IF($G768="Evet",ROUND($C768*tbo_isverenOran,2),0))</f>
        <v/>
      </c>
      <c r="L768" s="31">
        <f>IF($A768="","",IF($M768=0,"YOK",IF($I768=$M768,"TBO-002",IF($H768=$M768,"TBO-001",IF($J768=$M768,"TBO-004","TBO-ENG")))))</f>
        <v/>
      </c>
      <c r="M768" s="31">
        <f>IF($A768="","",MAX($H768,$I768,$J768,$K768))</f>
        <v/>
      </c>
      <c r="O768" s="31">
        <f>IF($A768="","",MAX(0,$M768-IF($N768="TBO-001",$H768,IF($N768="TBO-002",$I768,IF($N768="TBO-004",$J768,IF($N768="TBO-ENG",$K768,0))))))</f>
        <v/>
      </c>
    </row>
    <row r="769">
      <c r="H769" s="31">
        <f>IF($A769="","",IF($D769="Evet",ROUND($C769*tbo_oranBesPuan,2),0))</f>
        <v/>
      </c>
      <c r="I769" s="31">
        <f>IF($A769="","",IF($E769="Evet",ROUND($C769*tbo_oranIlave,2),0))</f>
        <v/>
      </c>
      <c r="J769" s="31">
        <f>IF($A769="","",IF($F769="Evet",ROUND($C769*tbo_oranKadinGenc,2),0))</f>
        <v/>
      </c>
      <c r="K769" s="31">
        <f>IF($A769="","",IF($G769="Evet",ROUND($C769*tbo_isverenOran,2),0))</f>
        <v/>
      </c>
      <c r="L769" s="31">
        <f>IF($A769="","",IF($M769=0,"YOK",IF($I769=$M769,"TBO-002",IF($H769=$M769,"TBO-001",IF($J769=$M769,"TBO-004","TBO-ENG")))))</f>
        <v/>
      </c>
      <c r="M769" s="31">
        <f>IF($A769="","",MAX($H769,$I769,$J769,$K769))</f>
        <v/>
      </c>
      <c r="O769" s="31">
        <f>IF($A769="","",MAX(0,$M769-IF($N769="TBO-001",$H769,IF($N769="TBO-002",$I769,IF($N769="TBO-004",$J769,IF($N769="TBO-ENG",$K769,0))))))</f>
        <v/>
      </c>
    </row>
    <row r="770">
      <c r="H770" s="31">
        <f>IF($A770="","",IF($D770="Evet",ROUND($C770*tbo_oranBesPuan,2),0))</f>
        <v/>
      </c>
      <c r="I770" s="31">
        <f>IF($A770="","",IF($E770="Evet",ROUND($C770*tbo_oranIlave,2),0))</f>
        <v/>
      </c>
      <c r="J770" s="31">
        <f>IF($A770="","",IF($F770="Evet",ROUND($C770*tbo_oranKadinGenc,2),0))</f>
        <v/>
      </c>
      <c r="K770" s="31">
        <f>IF($A770="","",IF($G770="Evet",ROUND($C770*tbo_isverenOran,2),0))</f>
        <v/>
      </c>
      <c r="L770" s="31">
        <f>IF($A770="","",IF($M770=0,"YOK",IF($I770=$M770,"TBO-002",IF($H770=$M770,"TBO-001",IF($J770=$M770,"TBO-004","TBO-ENG")))))</f>
        <v/>
      </c>
      <c r="M770" s="31">
        <f>IF($A770="","",MAX($H770,$I770,$J770,$K770))</f>
        <v/>
      </c>
      <c r="O770" s="31">
        <f>IF($A770="","",MAX(0,$M770-IF($N770="TBO-001",$H770,IF($N770="TBO-002",$I770,IF($N770="TBO-004",$J770,IF($N770="TBO-ENG",$K770,0))))))</f>
        <v/>
      </c>
    </row>
    <row r="771">
      <c r="H771" s="31">
        <f>IF($A771="","",IF($D771="Evet",ROUND($C771*tbo_oranBesPuan,2),0))</f>
        <v/>
      </c>
      <c r="I771" s="31">
        <f>IF($A771="","",IF($E771="Evet",ROUND($C771*tbo_oranIlave,2),0))</f>
        <v/>
      </c>
      <c r="J771" s="31">
        <f>IF($A771="","",IF($F771="Evet",ROUND($C771*tbo_oranKadinGenc,2),0))</f>
        <v/>
      </c>
      <c r="K771" s="31">
        <f>IF($A771="","",IF($G771="Evet",ROUND($C771*tbo_isverenOran,2),0))</f>
        <v/>
      </c>
      <c r="L771" s="31">
        <f>IF($A771="","",IF($M771=0,"YOK",IF($I771=$M771,"TBO-002",IF($H771=$M771,"TBO-001",IF($J771=$M771,"TBO-004","TBO-ENG")))))</f>
        <v/>
      </c>
      <c r="M771" s="31">
        <f>IF($A771="","",MAX($H771,$I771,$J771,$K771))</f>
        <v/>
      </c>
      <c r="O771" s="31">
        <f>IF($A771="","",MAX(0,$M771-IF($N771="TBO-001",$H771,IF($N771="TBO-002",$I771,IF($N771="TBO-004",$J771,IF($N771="TBO-ENG",$K771,0))))))</f>
        <v/>
      </c>
    </row>
    <row r="772">
      <c r="H772" s="31">
        <f>IF($A772="","",IF($D772="Evet",ROUND($C772*tbo_oranBesPuan,2),0))</f>
        <v/>
      </c>
      <c r="I772" s="31">
        <f>IF($A772="","",IF($E772="Evet",ROUND($C772*tbo_oranIlave,2),0))</f>
        <v/>
      </c>
      <c r="J772" s="31">
        <f>IF($A772="","",IF($F772="Evet",ROUND($C772*tbo_oranKadinGenc,2),0))</f>
        <v/>
      </c>
      <c r="K772" s="31">
        <f>IF($A772="","",IF($G772="Evet",ROUND($C772*tbo_isverenOran,2),0))</f>
        <v/>
      </c>
      <c r="L772" s="31">
        <f>IF($A772="","",IF($M772=0,"YOK",IF($I772=$M772,"TBO-002",IF($H772=$M772,"TBO-001",IF($J772=$M772,"TBO-004","TBO-ENG")))))</f>
        <v/>
      </c>
      <c r="M772" s="31">
        <f>IF($A772="","",MAX($H772,$I772,$J772,$K772))</f>
        <v/>
      </c>
      <c r="O772" s="31">
        <f>IF($A772="","",MAX(0,$M772-IF($N772="TBO-001",$H772,IF($N772="TBO-002",$I772,IF($N772="TBO-004",$J772,IF($N772="TBO-ENG",$K772,0))))))</f>
        <v/>
      </c>
    </row>
    <row r="773">
      <c r="H773" s="31">
        <f>IF($A773="","",IF($D773="Evet",ROUND($C773*tbo_oranBesPuan,2),0))</f>
        <v/>
      </c>
      <c r="I773" s="31">
        <f>IF($A773="","",IF($E773="Evet",ROUND($C773*tbo_oranIlave,2),0))</f>
        <v/>
      </c>
      <c r="J773" s="31">
        <f>IF($A773="","",IF($F773="Evet",ROUND($C773*tbo_oranKadinGenc,2),0))</f>
        <v/>
      </c>
      <c r="K773" s="31">
        <f>IF($A773="","",IF($G773="Evet",ROUND($C773*tbo_isverenOran,2),0))</f>
        <v/>
      </c>
      <c r="L773" s="31">
        <f>IF($A773="","",IF($M773=0,"YOK",IF($I773=$M773,"TBO-002",IF($H773=$M773,"TBO-001",IF($J773=$M773,"TBO-004","TBO-ENG")))))</f>
        <v/>
      </c>
      <c r="M773" s="31">
        <f>IF($A773="","",MAX($H773,$I773,$J773,$K773))</f>
        <v/>
      </c>
      <c r="O773" s="31">
        <f>IF($A773="","",MAX(0,$M773-IF($N773="TBO-001",$H773,IF($N773="TBO-002",$I773,IF($N773="TBO-004",$J773,IF($N773="TBO-ENG",$K773,0))))))</f>
        <v/>
      </c>
    </row>
    <row r="774">
      <c r="H774" s="31">
        <f>IF($A774="","",IF($D774="Evet",ROUND($C774*tbo_oranBesPuan,2),0))</f>
        <v/>
      </c>
      <c r="I774" s="31">
        <f>IF($A774="","",IF($E774="Evet",ROUND($C774*tbo_oranIlave,2),0))</f>
        <v/>
      </c>
      <c r="J774" s="31">
        <f>IF($A774="","",IF($F774="Evet",ROUND($C774*tbo_oranKadinGenc,2),0))</f>
        <v/>
      </c>
      <c r="K774" s="31">
        <f>IF($A774="","",IF($G774="Evet",ROUND($C774*tbo_isverenOran,2),0))</f>
        <v/>
      </c>
      <c r="L774" s="31">
        <f>IF($A774="","",IF($M774=0,"YOK",IF($I774=$M774,"TBO-002",IF($H774=$M774,"TBO-001",IF($J774=$M774,"TBO-004","TBO-ENG")))))</f>
        <v/>
      </c>
      <c r="M774" s="31">
        <f>IF($A774="","",MAX($H774,$I774,$J774,$K774))</f>
        <v/>
      </c>
      <c r="O774" s="31">
        <f>IF($A774="","",MAX(0,$M774-IF($N774="TBO-001",$H774,IF($N774="TBO-002",$I774,IF($N774="TBO-004",$J774,IF($N774="TBO-ENG",$K774,0))))))</f>
        <v/>
      </c>
    </row>
    <row r="775">
      <c r="H775" s="31">
        <f>IF($A775="","",IF($D775="Evet",ROUND($C775*tbo_oranBesPuan,2),0))</f>
        <v/>
      </c>
      <c r="I775" s="31">
        <f>IF($A775="","",IF($E775="Evet",ROUND($C775*tbo_oranIlave,2),0))</f>
        <v/>
      </c>
      <c r="J775" s="31">
        <f>IF($A775="","",IF($F775="Evet",ROUND($C775*tbo_oranKadinGenc,2),0))</f>
        <v/>
      </c>
      <c r="K775" s="31">
        <f>IF($A775="","",IF($G775="Evet",ROUND($C775*tbo_isverenOran,2),0))</f>
        <v/>
      </c>
      <c r="L775" s="31">
        <f>IF($A775="","",IF($M775=0,"YOK",IF($I775=$M775,"TBO-002",IF($H775=$M775,"TBO-001",IF($J775=$M775,"TBO-004","TBO-ENG")))))</f>
        <v/>
      </c>
      <c r="M775" s="31">
        <f>IF($A775="","",MAX($H775,$I775,$J775,$K775))</f>
        <v/>
      </c>
      <c r="O775" s="31">
        <f>IF($A775="","",MAX(0,$M775-IF($N775="TBO-001",$H775,IF($N775="TBO-002",$I775,IF($N775="TBO-004",$J775,IF($N775="TBO-ENG",$K775,0))))))</f>
        <v/>
      </c>
    </row>
    <row r="776">
      <c r="H776" s="31">
        <f>IF($A776="","",IF($D776="Evet",ROUND($C776*tbo_oranBesPuan,2),0))</f>
        <v/>
      </c>
      <c r="I776" s="31">
        <f>IF($A776="","",IF($E776="Evet",ROUND($C776*tbo_oranIlave,2),0))</f>
        <v/>
      </c>
      <c r="J776" s="31">
        <f>IF($A776="","",IF($F776="Evet",ROUND($C776*tbo_oranKadinGenc,2),0))</f>
        <v/>
      </c>
      <c r="K776" s="31">
        <f>IF($A776="","",IF($G776="Evet",ROUND($C776*tbo_isverenOran,2),0))</f>
        <v/>
      </c>
      <c r="L776" s="31">
        <f>IF($A776="","",IF($M776=0,"YOK",IF($I776=$M776,"TBO-002",IF($H776=$M776,"TBO-001",IF($J776=$M776,"TBO-004","TBO-ENG")))))</f>
        <v/>
      </c>
      <c r="M776" s="31">
        <f>IF($A776="","",MAX($H776,$I776,$J776,$K776))</f>
        <v/>
      </c>
      <c r="O776" s="31">
        <f>IF($A776="","",MAX(0,$M776-IF($N776="TBO-001",$H776,IF($N776="TBO-002",$I776,IF($N776="TBO-004",$J776,IF($N776="TBO-ENG",$K776,0))))))</f>
        <v/>
      </c>
    </row>
    <row r="777">
      <c r="H777" s="31">
        <f>IF($A777="","",IF($D777="Evet",ROUND($C777*tbo_oranBesPuan,2),0))</f>
        <v/>
      </c>
      <c r="I777" s="31">
        <f>IF($A777="","",IF($E777="Evet",ROUND($C777*tbo_oranIlave,2),0))</f>
        <v/>
      </c>
      <c r="J777" s="31">
        <f>IF($A777="","",IF($F777="Evet",ROUND($C777*tbo_oranKadinGenc,2),0))</f>
        <v/>
      </c>
      <c r="K777" s="31">
        <f>IF($A777="","",IF($G777="Evet",ROUND($C777*tbo_isverenOran,2),0))</f>
        <v/>
      </c>
      <c r="L777" s="31">
        <f>IF($A777="","",IF($M777=0,"YOK",IF($I777=$M777,"TBO-002",IF($H777=$M777,"TBO-001",IF($J777=$M777,"TBO-004","TBO-ENG")))))</f>
        <v/>
      </c>
      <c r="M777" s="31">
        <f>IF($A777="","",MAX($H777,$I777,$J777,$K777))</f>
        <v/>
      </c>
      <c r="O777" s="31">
        <f>IF($A777="","",MAX(0,$M777-IF($N777="TBO-001",$H777,IF($N777="TBO-002",$I777,IF($N777="TBO-004",$J777,IF($N777="TBO-ENG",$K777,0))))))</f>
        <v/>
      </c>
    </row>
    <row r="778">
      <c r="H778" s="31">
        <f>IF($A778="","",IF($D778="Evet",ROUND($C778*tbo_oranBesPuan,2),0))</f>
        <v/>
      </c>
      <c r="I778" s="31">
        <f>IF($A778="","",IF($E778="Evet",ROUND($C778*tbo_oranIlave,2),0))</f>
        <v/>
      </c>
      <c r="J778" s="31">
        <f>IF($A778="","",IF($F778="Evet",ROUND($C778*tbo_oranKadinGenc,2),0))</f>
        <v/>
      </c>
      <c r="K778" s="31">
        <f>IF($A778="","",IF($G778="Evet",ROUND($C778*tbo_isverenOran,2),0))</f>
        <v/>
      </c>
      <c r="L778" s="31">
        <f>IF($A778="","",IF($M778=0,"YOK",IF($I778=$M778,"TBO-002",IF($H778=$M778,"TBO-001",IF($J778=$M778,"TBO-004","TBO-ENG")))))</f>
        <v/>
      </c>
      <c r="M778" s="31">
        <f>IF($A778="","",MAX($H778,$I778,$J778,$K778))</f>
        <v/>
      </c>
      <c r="O778" s="31">
        <f>IF($A778="","",MAX(0,$M778-IF($N778="TBO-001",$H778,IF($N778="TBO-002",$I778,IF($N778="TBO-004",$J778,IF($N778="TBO-ENG",$K778,0))))))</f>
        <v/>
      </c>
    </row>
    <row r="779">
      <c r="H779" s="31">
        <f>IF($A779="","",IF($D779="Evet",ROUND($C779*tbo_oranBesPuan,2),0))</f>
        <v/>
      </c>
      <c r="I779" s="31">
        <f>IF($A779="","",IF($E779="Evet",ROUND($C779*tbo_oranIlave,2),0))</f>
        <v/>
      </c>
      <c r="J779" s="31">
        <f>IF($A779="","",IF($F779="Evet",ROUND($C779*tbo_oranKadinGenc,2),0))</f>
        <v/>
      </c>
      <c r="K779" s="31">
        <f>IF($A779="","",IF($G779="Evet",ROUND($C779*tbo_isverenOran,2),0))</f>
        <v/>
      </c>
      <c r="L779" s="31">
        <f>IF($A779="","",IF($M779=0,"YOK",IF($I779=$M779,"TBO-002",IF($H779=$M779,"TBO-001",IF($J779=$M779,"TBO-004","TBO-ENG")))))</f>
        <v/>
      </c>
      <c r="M779" s="31">
        <f>IF($A779="","",MAX($H779,$I779,$J779,$K779))</f>
        <v/>
      </c>
      <c r="O779" s="31">
        <f>IF($A779="","",MAX(0,$M779-IF($N779="TBO-001",$H779,IF($N779="TBO-002",$I779,IF($N779="TBO-004",$J779,IF($N779="TBO-ENG",$K779,0))))))</f>
        <v/>
      </c>
    </row>
    <row r="780">
      <c r="H780" s="31">
        <f>IF($A780="","",IF($D780="Evet",ROUND($C780*tbo_oranBesPuan,2),0))</f>
        <v/>
      </c>
      <c r="I780" s="31">
        <f>IF($A780="","",IF($E780="Evet",ROUND($C780*tbo_oranIlave,2),0))</f>
        <v/>
      </c>
      <c r="J780" s="31">
        <f>IF($A780="","",IF($F780="Evet",ROUND($C780*tbo_oranKadinGenc,2),0))</f>
        <v/>
      </c>
      <c r="K780" s="31">
        <f>IF($A780="","",IF($G780="Evet",ROUND($C780*tbo_isverenOran,2),0))</f>
        <v/>
      </c>
      <c r="L780" s="31">
        <f>IF($A780="","",IF($M780=0,"YOK",IF($I780=$M780,"TBO-002",IF($H780=$M780,"TBO-001",IF($J780=$M780,"TBO-004","TBO-ENG")))))</f>
        <v/>
      </c>
      <c r="M780" s="31">
        <f>IF($A780="","",MAX($H780,$I780,$J780,$K780))</f>
        <v/>
      </c>
      <c r="O780" s="31">
        <f>IF($A780="","",MAX(0,$M780-IF($N780="TBO-001",$H780,IF($N780="TBO-002",$I780,IF($N780="TBO-004",$J780,IF($N780="TBO-ENG",$K780,0))))))</f>
        <v/>
      </c>
    </row>
    <row r="781">
      <c r="H781" s="31">
        <f>IF($A781="","",IF($D781="Evet",ROUND($C781*tbo_oranBesPuan,2),0))</f>
        <v/>
      </c>
      <c r="I781" s="31">
        <f>IF($A781="","",IF($E781="Evet",ROUND($C781*tbo_oranIlave,2),0))</f>
        <v/>
      </c>
      <c r="J781" s="31">
        <f>IF($A781="","",IF($F781="Evet",ROUND($C781*tbo_oranKadinGenc,2),0))</f>
        <v/>
      </c>
      <c r="K781" s="31">
        <f>IF($A781="","",IF($G781="Evet",ROUND($C781*tbo_isverenOran,2),0))</f>
        <v/>
      </c>
      <c r="L781" s="31">
        <f>IF($A781="","",IF($M781=0,"YOK",IF($I781=$M781,"TBO-002",IF($H781=$M781,"TBO-001",IF($J781=$M781,"TBO-004","TBO-ENG")))))</f>
        <v/>
      </c>
      <c r="M781" s="31">
        <f>IF($A781="","",MAX($H781,$I781,$J781,$K781))</f>
        <v/>
      </c>
      <c r="O781" s="31">
        <f>IF($A781="","",MAX(0,$M781-IF($N781="TBO-001",$H781,IF($N781="TBO-002",$I781,IF($N781="TBO-004",$J781,IF($N781="TBO-ENG",$K781,0))))))</f>
        <v/>
      </c>
    </row>
    <row r="782">
      <c r="H782" s="31">
        <f>IF($A782="","",IF($D782="Evet",ROUND($C782*tbo_oranBesPuan,2),0))</f>
        <v/>
      </c>
      <c r="I782" s="31">
        <f>IF($A782="","",IF($E782="Evet",ROUND($C782*tbo_oranIlave,2),0))</f>
        <v/>
      </c>
      <c r="J782" s="31">
        <f>IF($A782="","",IF($F782="Evet",ROUND($C782*tbo_oranKadinGenc,2),0))</f>
        <v/>
      </c>
      <c r="K782" s="31">
        <f>IF($A782="","",IF($G782="Evet",ROUND($C782*tbo_isverenOran,2),0))</f>
        <v/>
      </c>
      <c r="L782" s="31">
        <f>IF($A782="","",IF($M782=0,"YOK",IF($I782=$M782,"TBO-002",IF($H782=$M782,"TBO-001",IF($J782=$M782,"TBO-004","TBO-ENG")))))</f>
        <v/>
      </c>
      <c r="M782" s="31">
        <f>IF($A782="","",MAX($H782,$I782,$J782,$K782))</f>
        <v/>
      </c>
      <c r="O782" s="31">
        <f>IF($A782="","",MAX(0,$M782-IF($N782="TBO-001",$H782,IF($N782="TBO-002",$I782,IF($N782="TBO-004",$J782,IF($N782="TBO-ENG",$K782,0))))))</f>
        <v/>
      </c>
    </row>
    <row r="783">
      <c r="H783" s="31">
        <f>IF($A783="","",IF($D783="Evet",ROUND($C783*tbo_oranBesPuan,2),0))</f>
        <v/>
      </c>
      <c r="I783" s="31">
        <f>IF($A783="","",IF($E783="Evet",ROUND($C783*tbo_oranIlave,2),0))</f>
        <v/>
      </c>
      <c r="J783" s="31">
        <f>IF($A783="","",IF($F783="Evet",ROUND($C783*tbo_oranKadinGenc,2),0))</f>
        <v/>
      </c>
      <c r="K783" s="31">
        <f>IF($A783="","",IF($G783="Evet",ROUND($C783*tbo_isverenOran,2),0))</f>
        <v/>
      </c>
      <c r="L783" s="31">
        <f>IF($A783="","",IF($M783=0,"YOK",IF($I783=$M783,"TBO-002",IF($H783=$M783,"TBO-001",IF($J783=$M783,"TBO-004","TBO-ENG")))))</f>
        <v/>
      </c>
      <c r="M783" s="31">
        <f>IF($A783="","",MAX($H783,$I783,$J783,$K783))</f>
        <v/>
      </c>
      <c r="O783" s="31">
        <f>IF($A783="","",MAX(0,$M783-IF($N783="TBO-001",$H783,IF($N783="TBO-002",$I783,IF($N783="TBO-004",$J783,IF($N783="TBO-ENG",$K783,0))))))</f>
        <v/>
      </c>
    </row>
    <row r="784">
      <c r="H784" s="31">
        <f>IF($A784="","",IF($D784="Evet",ROUND($C784*tbo_oranBesPuan,2),0))</f>
        <v/>
      </c>
      <c r="I784" s="31">
        <f>IF($A784="","",IF($E784="Evet",ROUND($C784*tbo_oranIlave,2),0))</f>
        <v/>
      </c>
      <c r="J784" s="31">
        <f>IF($A784="","",IF($F784="Evet",ROUND($C784*tbo_oranKadinGenc,2),0))</f>
        <v/>
      </c>
      <c r="K784" s="31">
        <f>IF($A784="","",IF($G784="Evet",ROUND($C784*tbo_isverenOran,2),0))</f>
        <v/>
      </c>
      <c r="L784" s="31">
        <f>IF($A784="","",IF($M784=0,"YOK",IF($I784=$M784,"TBO-002",IF($H784=$M784,"TBO-001",IF($J784=$M784,"TBO-004","TBO-ENG")))))</f>
        <v/>
      </c>
      <c r="M784" s="31">
        <f>IF($A784="","",MAX($H784,$I784,$J784,$K784))</f>
        <v/>
      </c>
      <c r="O784" s="31">
        <f>IF($A784="","",MAX(0,$M784-IF($N784="TBO-001",$H784,IF($N784="TBO-002",$I784,IF($N784="TBO-004",$J784,IF($N784="TBO-ENG",$K784,0))))))</f>
        <v/>
      </c>
    </row>
    <row r="785">
      <c r="H785" s="31">
        <f>IF($A785="","",IF($D785="Evet",ROUND($C785*tbo_oranBesPuan,2),0))</f>
        <v/>
      </c>
      <c r="I785" s="31">
        <f>IF($A785="","",IF($E785="Evet",ROUND($C785*tbo_oranIlave,2),0))</f>
        <v/>
      </c>
      <c r="J785" s="31">
        <f>IF($A785="","",IF($F785="Evet",ROUND($C785*tbo_oranKadinGenc,2),0))</f>
        <v/>
      </c>
      <c r="K785" s="31">
        <f>IF($A785="","",IF($G785="Evet",ROUND($C785*tbo_isverenOran,2),0))</f>
        <v/>
      </c>
      <c r="L785" s="31">
        <f>IF($A785="","",IF($M785=0,"YOK",IF($I785=$M785,"TBO-002",IF($H785=$M785,"TBO-001",IF($J785=$M785,"TBO-004","TBO-ENG")))))</f>
        <v/>
      </c>
      <c r="M785" s="31">
        <f>IF($A785="","",MAX($H785,$I785,$J785,$K785))</f>
        <v/>
      </c>
      <c r="O785" s="31">
        <f>IF($A785="","",MAX(0,$M785-IF($N785="TBO-001",$H785,IF($N785="TBO-002",$I785,IF($N785="TBO-004",$J785,IF($N785="TBO-ENG",$K785,0))))))</f>
        <v/>
      </c>
    </row>
    <row r="786">
      <c r="H786" s="31">
        <f>IF($A786="","",IF($D786="Evet",ROUND($C786*tbo_oranBesPuan,2),0))</f>
        <v/>
      </c>
      <c r="I786" s="31">
        <f>IF($A786="","",IF($E786="Evet",ROUND($C786*tbo_oranIlave,2),0))</f>
        <v/>
      </c>
      <c r="J786" s="31">
        <f>IF($A786="","",IF($F786="Evet",ROUND($C786*tbo_oranKadinGenc,2),0))</f>
        <v/>
      </c>
      <c r="K786" s="31">
        <f>IF($A786="","",IF($G786="Evet",ROUND($C786*tbo_isverenOran,2),0))</f>
        <v/>
      </c>
      <c r="L786" s="31">
        <f>IF($A786="","",IF($M786=0,"YOK",IF($I786=$M786,"TBO-002",IF($H786=$M786,"TBO-001",IF($J786=$M786,"TBO-004","TBO-ENG")))))</f>
        <v/>
      </c>
      <c r="M786" s="31">
        <f>IF($A786="","",MAX($H786,$I786,$J786,$K786))</f>
        <v/>
      </c>
      <c r="O786" s="31">
        <f>IF($A786="","",MAX(0,$M786-IF($N786="TBO-001",$H786,IF($N786="TBO-002",$I786,IF($N786="TBO-004",$J786,IF($N786="TBO-ENG",$K786,0))))))</f>
        <v/>
      </c>
    </row>
    <row r="787">
      <c r="H787" s="31">
        <f>IF($A787="","",IF($D787="Evet",ROUND($C787*tbo_oranBesPuan,2),0))</f>
        <v/>
      </c>
      <c r="I787" s="31">
        <f>IF($A787="","",IF($E787="Evet",ROUND($C787*tbo_oranIlave,2),0))</f>
        <v/>
      </c>
      <c r="J787" s="31">
        <f>IF($A787="","",IF($F787="Evet",ROUND($C787*tbo_oranKadinGenc,2),0))</f>
        <v/>
      </c>
      <c r="K787" s="31">
        <f>IF($A787="","",IF($G787="Evet",ROUND($C787*tbo_isverenOran,2),0))</f>
        <v/>
      </c>
      <c r="L787" s="31">
        <f>IF($A787="","",IF($M787=0,"YOK",IF($I787=$M787,"TBO-002",IF($H787=$M787,"TBO-001",IF($J787=$M787,"TBO-004","TBO-ENG")))))</f>
        <v/>
      </c>
      <c r="M787" s="31">
        <f>IF($A787="","",MAX($H787,$I787,$J787,$K787))</f>
        <v/>
      </c>
      <c r="O787" s="31">
        <f>IF($A787="","",MAX(0,$M787-IF($N787="TBO-001",$H787,IF($N787="TBO-002",$I787,IF($N787="TBO-004",$J787,IF($N787="TBO-ENG",$K787,0))))))</f>
        <v/>
      </c>
    </row>
    <row r="788">
      <c r="H788" s="31">
        <f>IF($A788="","",IF($D788="Evet",ROUND($C788*tbo_oranBesPuan,2),0))</f>
        <v/>
      </c>
      <c r="I788" s="31">
        <f>IF($A788="","",IF($E788="Evet",ROUND($C788*tbo_oranIlave,2),0))</f>
        <v/>
      </c>
      <c r="J788" s="31">
        <f>IF($A788="","",IF($F788="Evet",ROUND($C788*tbo_oranKadinGenc,2),0))</f>
        <v/>
      </c>
      <c r="K788" s="31">
        <f>IF($A788="","",IF($G788="Evet",ROUND($C788*tbo_isverenOran,2),0))</f>
        <v/>
      </c>
      <c r="L788" s="31">
        <f>IF($A788="","",IF($M788=0,"YOK",IF($I788=$M788,"TBO-002",IF($H788=$M788,"TBO-001",IF($J788=$M788,"TBO-004","TBO-ENG")))))</f>
        <v/>
      </c>
      <c r="M788" s="31">
        <f>IF($A788="","",MAX($H788,$I788,$J788,$K788))</f>
        <v/>
      </c>
      <c r="O788" s="31">
        <f>IF($A788="","",MAX(0,$M788-IF($N788="TBO-001",$H788,IF($N788="TBO-002",$I788,IF($N788="TBO-004",$J788,IF($N788="TBO-ENG",$K788,0))))))</f>
        <v/>
      </c>
    </row>
    <row r="789">
      <c r="H789" s="31">
        <f>IF($A789="","",IF($D789="Evet",ROUND($C789*tbo_oranBesPuan,2),0))</f>
        <v/>
      </c>
      <c r="I789" s="31">
        <f>IF($A789="","",IF($E789="Evet",ROUND($C789*tbo_oranIlave,2),0))</f>
        <v/>
      </c>
      <c r="J789" s="31">
        <f>IF($A789="","",IF($F789="Evet",ROUND($C789*tbo_oranKadinGenc,2),0))</f>
        <v/>
      </c>
      <c r="K789" s="31">
        <f>IF($A789="","",IF($G789="Evet",ROUND($C789*tbo_isverenOran,2),0))</f>
        <v/>
      </c>
      <c r="L789" s="31">
        <f>IF($A789="","",IF($M789=0,"YOK",IF($I789=$M789,"TBO-002",IF($H789=$M789,"TBO-001",IF($J789=$M789,"TBO-004","TBO-ENG")))))</f>
        <v/>
      </c>
      <c r="M789" s="31">
        <f>IF($A789="","",MAX($H789,$I789,$J789,$K789))</f>
        <v/>
      </c>
      <c r="O789" s="31">
        <f>IF($A789="","",MAX(0,$M789-IF($N789="TBO-001",$H789,IF($N789="TBO-002",$I789,IF($N789="TBO-004",$J789,IF($N789="TBO-ENG",$K789,0))))))</f>
        <v/>
      </c>
    </row>
    <row r="790">
      <c r="H790" s="31">
        <f>IF($A790="","",IF($D790="Evet",ROUND($C790*tbo_oranBesPuan,2),0))</f>
        <v/>
      </c>
      <c r="I790" s="31">
        <f>IF($A790="","",IF($E790="Evet",ROUND($C790*tbo_oranIlave,2),0))</f>
        <v/>
      </c>
      <c r="J790" s="31">
        <f>IF($A790="","",IF($F790="Evet",ROUND($C790*tbo_oranKadinGenc,2),0))</f>
        <v/>
      </c>
      <c r="K790" s="31">
        <f>IF($A790="","",IF($G790="Evet",ROUND($C790*tbo_isverenOran,2),0))</f>
        <v/>
      </c>
      <c r="L790" s="31">
        <f>IF($A790="","",IF($M790=0,"YOK",IF($I790=$M790,"TBO-002",IF($H790=$M790,"TBO-001",IF($J790=$M790,"TBO-004","TBO-ENG")))))</f>
        <v/>
      </c>
      <c r="M790" s="31">
        <f>IF($A790="","",MAX($H790,$I790,$J790,$K790))</f>
        <v/>
      </c>
      <c r="O790" s="31">
        <f>IF($A790="","",MAX(0,$M790-IF($N790="TBO-001",$H790,IF($N790="TBO-002",$I790,IF($N790="TBO-004",$J790,IF($N790="TBO-ENG",$K790,0))))))</f>
        <v/>
      </c>
    </row>
    <row r="791">
      <c r="H791" s="31">
        <f>IF($A791="","",IF($D791="Evet",ROUND($C791*tbo_oranBesPuan,2),0))</f>
        <v/>
      </c>
      <c r="I791" s="31">
        <f>IF($A791="","",IF($E791="Evet",ROUND($C791*tbo_oranIlave,2),0))</f>
        <v/>
      </c>
      <c r="J791" s="31">
        <f>IF($A791="","",IF($F791="Evet",ROUND($C791*tbo_oranKadinGenc,2),0))</f>
        <v/>
      </c>
      <c r="K791" s="31">
        <f>IF($A791="","",IF($G791="Evet",ROUND($C791*tbo_isverenOran,2),0))</f>
        <v/>
      </c>
      <c r="L791" s="31">
        <f>IF($A791="","",IF($M791=0,"YOK",IF($I791=$M791,"TBO-002",IF($H791=$M791,"TBO-001",IF($J791=$M791,"TBO-004","TBO-ENG")))))</f>
        <v/>
      </c>
      <c r="M791" s="31">
        <f>IF($A791="","",MAX($H791,$I791,$J791,$K791))</f>
        <v/>
      </c>
      <c r="O791" s="31">
        <f>IF($A791="","",MAX(0,$M791-IF($N791="TBO-001",$H791,IF($N791="TBO-002",$I791,IF($N791="TBO-004",$J791,IF($N791="TBO-ENG",$K791,0))))))</f>
        <v/>
      </c>
    </row>
    <row r="792">
      <c r="H792" s="31">
        <f>IF($A792="","",IF($D792="Evet",ROUND($C792*tbo_oranBesPuan,2),0))</f>
        <v/>
      </c>
      <c r="I792" s="31">
        <f>IF($A792="","",IF($E792="Evet",ROUND($C792*tbo_oranIlave,2),0))</f>
        <v/>
      </c>
      <c r="J792" s="31">
        <f>IF($A792="","",IF($F792="Evet",ROUND($C792*tbo_oranKadinGenc,2),0))</f>
        <v/>
      </c>
      <c r="K792" s="31">
        <f>IF($A792="","",IF($G792="Evet",ROUND($C792*tbo_isverenOran,2),0))</f>
        <v/>
      </c>
      <c r="L792" s="31">
        <f>IF($A792="","",IF($M792=0,"YOK",IF($I792=$M792,"TBO-002",IF($H792=$M792,"TBO-001",IF($J792=$M792,"TBO-004","TBO-ENG")))))</f>
        <v/>
      </c>
      <c r="M792" s="31">
        <f>IF($A792="","",MAX($H792,$I792,$J792,$K792))</f>
        <v/>
      </c>
      <c r="O792" s="31">
        <f>IF($A792="","",MAX(0,$M792-IF($N792="TBO-001",$H792,IF($N792="TBO-002",$I792,IF($N792="TBO-004",$J792,IF($N792="TBO-ENG",$K792,0))))))</f>
        <v/>
      </c>
    </row>
    <row r="793">
      <c r="H793" s="31">
        <f>IF($A793="","",IF($D793="Evet",ROUND($C793*tbo_oranBesPuan,2),0))</f>
        <v/>
      </c>
      <c r="I793" s="31">
        <f>IF($A793="","",IF($E793="Evet",ROUND($C793*tbo_oranIlave,2),0))</f>
        <v/>
      </c>
      <c r="J793" s="31">
        <f>IF($A793="","",IF($F793="Evet",ROUND($C793*tbo_oranKadinGenc,2),0))</f>
        <v/>
      </c>
      <c r="K793" s="31">
        <f>IF($A793="","",IF($G793="Evet",ROUND($C793*tbo_isverenOran,2),0))</f>
        <v/>
      </c>
      <c r="L793" s="31">
        <f>IF($A793="","",IF($M793=0,"YOK",IF($I793=$M793,"TBO-002",IF($H793=$M793,"TBO-001",IF($J793=$M793,"TBO-004","TBO-ENG")))))</f>
        <v/>
      </c>
      <c r="M793" s="31">
        <f>IF($A793="","",MAX($H793,$I793,$J793,$K793))</f>
        <v/>
      </c>
      <c r="O793" s="31">
        <f>IF($A793="","",MAX(0,$M793-IF($N793="TBO-001",$H793,IF($N793="TBO-002",$I793,IF($N793="TBO-004",$J793,IF($N793="TBO-ENG",$K793,0))))))</f>
        <v/>
      </c>
    </row>
    <row r="794">
      <c r="H794" s="31">
        <f>IF($A794="","",IF($D794="Evet",ROUND($C794*tbo_oranBesPuan,2),0))</f>
        <v/>
      </c>
      <c r="I794" s="31">
        <f>IF($A794="","",IF($E794="Evet",ROUND($C794*tbo_oranIlave,2),0))</f>
        <v/>
      </c>
      <c r="J794" s="31">
        <f>IF($A794="","",IF($F794="Evet",ROUND($C794*tbo_oranKadinGenc,2),0))</f>
        <v/>
      </c>
      <c r="K794" s="31">
        <f>IF($A794="","",IF($G794="Evet",ROUND($C794*tbo_isverenOran,2),0))</f>
        <v/>
      </c>
      <c r="L794" s="31">
        <f>IF($A794="","",IF($M794=0,"YOK",IF($I794=$M794,"TBO-002",IF($H794=$M794,"TBO-001",IF($J794=$M794,"TBO-004","TBO-ENG")))))</f>
        <v/>
      </c>
      <c r="M794" s="31">
        <f>IF($A794="","",MAX($H794,$I794,$J794,$K794))</f>
        <v/>
      </c>
      <c r="O794" s="31">
        <f>IF($A794="","",MAX(0,$M794-IF($N794="TBO-001",$H794,IF($N794="TBO-002",$I794,IF($N794="TBO-004",$J794,IF($N794="TBO-ENG",$K794,0))))))</f>
        <v/>
      </c>
    </row>
    <row r="795">
      <c r="H795" s="31">
        <f>IF($A795="","",IF($D795="Evet",ROUND($C795*tbo_oranBesPuan,2),0))</f>
        <v/>
      </c>
      <c r="I795" s="31">
        <f>IF($A795="","",IF($E795="Evet",ROUND($C795*tbo_oranIlave,2),0))</f>
        <v/>
      </c>
      <c r="J795" s="31">
        <f>IF($A795="","",IF($F795="Evet",ROUND($C795*tbo_oranKadinGenc,2),0))</f>
        <v/>
      </c>
      <c r="K795" s="31">
        <f>IF($A795="","",IF($G795="Evet",ROUND($C795*tbo_isverenOran,2),0))</f>
        <v/>
      </c>
      <c r="L795" s="31">
        <f>IF($A795="","",IF($M795=0,"YOK",IF($I795=$M795,"TBO-002",IF($H795=$M795,"TBO-001",IF($J795=$M795,"TBO-004","TBO-ENG")))))</f>
        <v/>
      </c>
      <c r="M795" s="31">
        <f>IF($A795="","",MAX($H795,$I795,$J795,$K795))</f>
        <v/>
      </c>
      <c r="O795" s="31">
        <f>IF($A795="","",MAX(0,$M795-IF($N795="TBO-001",$H795,IF($N795="TBO-002",$I795,IF($N795="TBO-004",$J795,IF($N795="TBO-ENG",$K795,0))))))</f>
        <v/>
      </c>
    </row>
    <row r="796">
      <c r="H796" s="31">
        <f>IF($A796="","",IF($D796="Evet",ROUND($C796*tbo_oranBesPuan,2),0))</f>
        <v/>
      </c>
      <c r="I796" s="31">
        <f>IF($A796="","",IF($E796="Evet",ROUND($C796*tbo_oranIlave,2),0))</f>
        <v/>
      </c>
      <c r="J796" s="31">
        <f>IF($A796="","",IF($F796="Evet",ROUND($C796*tbo_oranKadinGenc,2),0))</f>
        <v/>
      </c>
      <c r="K796" s="31">
        <f>IF($A796="","",IF($G796="Evet",ROUND($C796*tbo_isverenOran,2),0))</f>
        <v/>
      </c>
      <c r="L796" s="31">
        <f>IF($A796="","",IF($M796=0,"YOK",IF($I796=$M796,"TBO-002",IF($H796=$M796,"TBO-001",IF($J796=$M796,"TBO-004","TBO-ENG")))))</f>
        <v/>
      </c>
      <c r="M796" s="31">
        <f>IF($A796="","",MAX($H796,$I796,$J796,$K796))</f>
        <v/>
      </c>
      <c r="O796" s="31">
        <f>IF($A796="","",MAX(0,$M796-IF($N796="TBO-001",$H796,IF($N796="TBO-002",$I796,IF($N796="TBO-004",$J796,IF($N796="TBO-ENG",$K796,0))))))</f>
        <v/>
      </c>
    </row>
    <row r="797">
      <c r="H797" s="31">
        <f>IF($A797="","",IF($D797="Evet",ROUND($C797*tbo_oranBesPuan,2),0))</f>
        <v/>
      </c>
      <c r="I797" s="31">
        <f>IF($A797="","",IF($E797="Evet",ROUND($C797*tbo_oranIlave,2),0))</f>
        <v/>
      </c>
      <c r="J797" s="31">
        <f>IF($A797="","",IF($F797="Evet",ROUND($C797*tbo_oranKadinGenc,2),0))</f>
        <v/>
      </c>
      <c r="K797" s="31">
        <f>IF($A797="","",IF($G797="Evet",ROUND($C797*tbo_isverenOran,2),0))</f>
        <v/>
      </c>
      <c r="L797" s="31">
        <f>IF($A797="","",IF($M797=0,"YOK",IF($I797=$M797,"TBO-002",IF($H797=$M797,"TBO-001",IF($J797=$M797,"TBO-004","TBO-ENG")))))</f>
        <v/>
      </c>
      <c r="M797" s="31">
        <f>IF($A797="","",MAX($H797,$I797,$J797,$K797))</f>
        <v/>
      </c>
      <c r="O797" s="31">
        <f>IF($A797="","",MAX(0,$M797-IF($N797="TBO-001",$H797,IF($N797="TBO-002",$I797,IF($N797="TBO-004",$J797,IF($N797="TBO-ENG",$K797,0))))))</f>
        <v/>
      </c>
    </row>
    <row r="798">
      <c r="H798" s="31">
        <f>IF($A798="","",IF($D798="Evet",ROUND($C798*tbo_oranBesPuan,2),0))</f>
        <v/>
      </c>
      <c r="I798" s="31">
        <f>IF($A798="","",IF($E798="Evet",ROUND($C798*tbo_oranIlave,2),0))</f>
        <v/>
      </c>
      <c r="J798" s="31">
        <f>IF($A798="","",IF($F798="Evet",ROUND($C798*tbo_oranKadinGenc,2),0))</f>
        <v/>
      </c>
      <c r="K798" s="31">
        <f>IF($A798="","",IF($G798="Evet",ROUND($C798*tbo_isverenOran,2),0))</f>
        <v/>
      </c>
      <c r="L798" s="31">
        <f>IF($A798="","",IF($M798=0,"YOK",IF($I798=$M798,"TBO-002",IF($H798=$M798,"TBO-001",IF($J798=$M798,"TBO-004","TBO-ENG")))))</f>
        <v/>
      </c>
      <c r="M798" s="31">
        <f>IF($A798="","",MAX($H798,$I798,$J798,$K798))</f>
        <v/>
      </c>
      <c r="O798" s="31">
        <f>IF($A798="","",MAX(0,$M798-IF($N798="TBO-001",$H798,IF($N798="TBO-002",$I798,IF($N798="TBO-004",$J798,IF($N798="TBO-ENG",$K798,0))))))</f>
        <v/>
      </c>
    </row>
    <row r="799">
      <c r="H799" s="31">
        <f>IF($A799="","",IF($D799="Evet",ROUND($C799*tbo_oranBesPuan,2),0))</f>
        <v/>
      </c>
      <c r="I799" s="31">
        <f>IF($A799="","",IF($E799="Evet",ROUND($C799*tbo_oranIlave,2),0))</f>
        <v/>
      </c>
      <c r="J799" s="31">
        <f>IF($A799="","",IF($F799="Evet",ROUND($C799*tbo_oranKadinGenc,2),0))</f>
        <v/>
      </c>
      <c r="K799" s="31">
        <f>IF($A799="","",IF($G799="Evet",ROUND($C799*tbo_isverenOran,2),0))</f>
        <v/>
      </c>
      <c r="L799" s="31">
        <f>IF($A799="","",IF($M799=0,"YOK",IF($I799=$M799,"TBO-002",IF($H799=$M799,"TBO-001",IF($J799=$M799,"TBO-004","TBO-ENG")))))</f>
        <v/>
      </c>
      <c r="M799" s="31">
        <f>IF($A799="","",MAX($H799,$I799,$J799,$K799))</f>
        <v/>
      </c>
      <c r="O799" s="31">
        <f>IF($A799="","",MAX(0,$M799-IF($N799="TBO-001",$H799,IF($N799="TBO-002",$I799,IF($N799="TBO-004",$J799,IF($N799="TBO-ENG",$K799,0))))))</f>
        <v/>
      </c>
    </row>
    <row r="800">
      <c r="H800" s="31">
        <f>IF($A800="","",IF($D800="Evet",ROUND($C800*tbo_oranBesPuan,2),0))</f>
        <v/>
      </c>
      <c r="I800" s="31">
        <f>IF($A800="","",IF($E800="Evet",ROUND($C800*tbo_oranIlave,2),0))</f>
        <v/>
      </c>
      <c r="J800" s="31">
        <f>IF($A800="","",IF($F800="Evet",ROUND($C800*tbo_oranKadinGenc,2),0))</f>
        <v/>
      </c>
      <c r="K800" s="31">
        <f>IF($A800="","",IF($G800="Evet",ROUND($C800*tbo_isverenOran,2),0))</f>
        <v/>
      </c>
      <c r="L800" s="31">
        <f>IF($A800="","",IF($M800=0,"YOK",IF($I800=$M800,"TBO-002",IF($H800=$M800,"TBO-001",IF($J800=$M800,"TBO-004","TBO-ENG")))))</f>
        <v/>
      </c>
      <c r="M800" s="31">
        <f>IF($A800="","",MAX($H800,$I800,$J800,$K800))</f>
        <v/>
      </c>
      <c r="O800" s="31">
        <f>IF($A800="","",MAX(0,$M800-IF($N800="TBO-001",$H800,IF($N800="TBO-002",$I800,IF($N800="TBO-004",$J800,IF($N800="TBO-ENG",$K800,0))))))</f>
        <v/>
      </c>
    </row>
    <row r="801">
      <c r="H801" s="31">
        <f>IF($A801="","",IF($D801="Evet",ROUND($C801*tbo_oranBesPuan,2),0))</f>
        <v/>
      </c>
      <c r="I801" s="31">
        <f>IF($A801="","",IF($E801="Evet",ROUND($C801*tbo_oranIlave,2),0))</f>
        <v/>
      </c>
      <c r="J801" s="31">
        <f>IF($A801="","",IF($F801="Evet",ROUND($C801*tbo_oranKadinGenc,2),0))</f>
        <v/>
      </c>
      <c r="K801" s="31">
        <f>IF($A801="","",IF($G801="Evet",ROUND($C801*tbo_isverenOran,2),0))</f>
        <v/>
      </c>
      <c r="L801" s="31">
        <f>IF($A801="","",IF($M801=0,"YOK",IF($I801=$M801,"TBO-002",IF($H801=$M801,"TBO-001",IF($J801=$M801,"TBO-004","TBO-ENG")))))</f>
        <v/>
      </c>
      <c r="M801" s="31">
        <f>IF($A801="","",MAX($H801,$I801,$J801,$K801))</f>
        <v/>
      </c>
      <c r="O801" s="31">
        <f>IF($A801="","",MAX(0,$M801-IF($N801="TBO-001",$H801,IF($N801="TBO-002",$I801,IF($N801="TBO-004",$J801,IF($N801="TBO-ENG",$K801,0))))))</f>
        <v/>
      </c>
    </row>
    <row r="802">
      <c r="H802" s="31">
        <f>IF($A802="","",IF($D802="Evet",ROUND($C802*tbo_oranBesPuan,2),0))</f>
        <v/>
      </c>
      <c r="I802" s="31">
        <f>IF($A802="","",IF($E802="Evet",ROUND($C802*tbo_oranIlave,2),0))</f>
        <v/>
      </c>
      <c r="J802" s="31">
        <f>IF($A802="","",IF($F802="Evet",ROUND($C802*tbo_oranKadinGenc,2),0))</f>
        <v/>
      </c>
      <c r="K802" s="31">
        <f>IF($A802="","",IF($G802="Evet",ROUND($C802*tbo_isverenOran,2),0))</f>
        <v/>
      </c>
      <c r="L802" s="31">
        <f>IF($A802="","",IF($M802=0,"YOK",IF($I802=$M802,"TBO-002",IF($H802=$M802,"TBO-001",IF($J802=$M802,"TBO-004","TBO-ENG")))))</f>
        <v/>
      </c>
      <c r="M802" s="31">
        <f>IF($A802="","",MAX($H802,$I802,$J802,$K802))</f>
        <v/>
      </c>
      <c r="O802" s="31">
        <f>IF($A802="","",MAX(0,$M802-IF($N802="TBO-001",$H802,IF($N802="TBO-002",$I802,IF($N802="TBO-004",$J802,IF($N802="TBO-ENG",$K802,0))))))</f>
        <v/>
      </c>
    </row>
    <row r="803">
      <c r="H803" s="31">
        <f>IF($A803="","",IF($D803="Evet",ROUND($C803*tbo_oranBesPuan,2),0))</f>
        <v/>
      </c>
      <c r="I803" s="31">
        <f>IF($A803="","",IF($E803="Evet",ROUND($C803*tbo_oranIlave,2),0))</f>
        <v/>
      </c>
      <c r="J803" s="31">
        <f>IF($A803="","",IF($F803="Evet",ROUND($C803*tbo_oranKadinGenc,2),0))</f>
        <v/>
      </c>
      <c r="K803" s="31">
        <f>IF($A803="","",IF($G803="Evet",ROUND($C803*tbo_isverenOran,2),0))</f>
        <v/>
      </c>
      <c r="L803" s="31">
        <f>IF($A803="","",IF($M803=0,"YOK",IF($I803=$M803,"TBO-002",IF($H803=$M803,"TBO-001",IF($J803=$M803,"TBO-004","TBO-ENG")))))</f>
        <v/>
      </c>
      <c r="M803" s="31">
        <f>IF($A803="","",MAX($H803,$I803,$J803,$K803))</f>
        <v/>
      </c>
      <c r="O803" s="31">
        <f>IF($A803="","",MAX(0,$M803-IF($N803="TBO-001",$H803,IF($N803="TBO-002",$I803,IF($N803="TBO-004",$J803,IF($N803="TBO-ENG",$K803,0))))))</f>
        <v/>
      </c>
    </row>
    <row r="804">
      <c r="H804" s="31">
        <f>IF($A804="","",IF($D804="Evet",ROUND($C804*tbo_oranBesPuan,2),0))</f>
        <v/>
      </c>
      <c r="I804" s="31">
        <f>IF($A804="","",IF($E804="Evet",ROUND($C804*tbo_oranIlave,2),0))</f>
        <v/>
      </c>
      <c r="J804" s="31">
        <f>IF($A804="","",IF($F804="Evet",ROUND($C804*tbo_oranKadinGenc,2),0))</f>
        <v/>
      </c>
      <c r="K804" s="31">
        <f>IF($A804="","",IF($G804="Evet",ROUND($C804*tbo_isverenOran,2),0))</f>
        <v/>
      </c>
      <c r="L804" s="31">
        <f>IF($A804="","",IF($M804=0,"YOK",IF($I804=$M804,"TBO-002",IF($H804=$M804,"TBO-001",IF($J804=$M804,"TBO-004","TBO-ENG")))))</f>
        <v/>
      </c>
      <c r="M804" s="31">
        <f>IF($A804="","",MAX($H804,$I804,$J804,$K804))</f>
        <v/>
      </c>
      <c r="O804" s="31">
        <f>IF($A804="","",MAX(0,$M804-IF($N804="TBO-001",$H804,IF($N804="TBO-002",$I804,IF($N804="TBO-004",$J804,IF($N804="TBO-ENG",$K804,0))))))</f>
        <v/>
      </c>
    </row>
    <row r="805">
      <c r="H805" s="31">
        <f>IF($A805="","",IF($D805="Evet",ROUND($C805*tbo_oranBesPuan,2),0))</f>
        <v/>
      </c>
      <c r="I805" s="31">
        <f>IF($A805="","",IF($E805="Evet",ROUND($C805*tbo_oranIlave,2),0))</f>
        <v/>
      </c>
      <c r="J805" s="31">
        <f>IF($A805="","",IF($F805="Evet",ROUND($C805*tbo_oranKadinGenc,2),0))</f>
        <v/>
      </c>
      <c r="K805" s="31">
        <f>IF($A805="","",IF($G805="Evet",ROUND($C805*tbo_isverenOran,2),0))</f>
        <v/>
      </c>
      <c r="L805" s="31">
        <f>IF($A805="","",IF($M805=0,"YOK",IF($I805=$M805,"TBO-002",IF($H805=$M805,"TBO-001",IF($J805=$M805,"TBO-004","TBO-ENG")))))</f>
        <v/>
      </c>
      <c r="M805" s="31">
        <f>IF($A805="","",MAX($H805,$I805,$J805,$K805))</f>
        <v/>
      </c>
      <c r="O805" s="31">
        <f>IF($A805="","",MAX(0,$M805-IF($N805="TBO-001",$H805,IF($N805="TBO-002",$I805,IF($N805="TBO-004",$J805,IF($N805="TBO-ENG",$K805,0))))))</f>
        <v/>
      </c>
    </row>
    <row r="806">
      <c r="H806" s="31">
        <f>IF($A806="","",IF($D806="Evet",ROUND($C806*tbo_oranBesPuan,2),0))</f>
        <v/>
      </c>
      <c r="I806" s="31">
        <f>IF($A806="","",IF($E806="Evet",ROUND($C806*tbo_oranIlave,2),0))</f>
        <v/>
      </c>
      <c r="J806" s="31">
        <f>IF($A806="","",IF($F806="Evet",ROUND($C806*tbo_oranKadinGenc,2),0))</f>
        <v/>
      </c>
      <c r="K806" s="31">
        <f>IF($A806="","",IF($G806="Evet",ROUND($C806*tbo_isverenOran,2),0))</f>
        <v/>
      </c>
      <c r="L806" s="31">
        <f>IF($A806="","",IF($M806=0,"YOK",IF($I806=$M806,"TBO-002",IF($H806=$M806,"TBO-001",IF($J806=$M806,"TBO-004","TBO-ENG")))))</f>
        <v/>
      </c>
      <c r="M806" s="31">
        <f>IF($A806="","",MAX($H806,$I806,$J806,$K806))</f>
        <v/>
      </c>
      <c r="O806" s="31">
        <f>IF($A806="","",MAX(0,$M806-IF($N806="TBO-001",$H806,IF($N806="TBO-002",$I806,IF($N806="TBO-004",$J806,IF($N806="TBO-ENG",$K806,0))))))</f>
        <v/>
      </c>
    </row>
    <row r="807">
      <c r="H807" s="31">
        <f>IF($A807="","",IF($D807="Evet",ROUND($C807*tbo_oranBesPuan,2),0))</f>
        <v/>
      </c>
      <c r="I807" s="31">
        <f>IF($A807="","",IF($E807="Evet",ROUND($C807*tbo_oranIlave,2),0))</f>
        <v/>
      </c>
      <c r="J807" s="31">
        <f>IF($A807="","",IF($F807="Evet",ROUND($C807*tbo_oranKadinGenc,2),0))</f>
        <v/>
      </c>
      <c r="K807" s="31">
        <f>IF($A807="","",IF($G807="Evet",ROUND($C807*tbo_isverenOran,2),0))</f>
        <v/>
      </c>
      <c r="L807" s="31">
        <f>IF($A807="","",IF($M807=0,"YOK",IF($I807=$M807,"TBO-002",IF($H807=$M807,"TBO-001",IF($J807=$M807,"TBO-004","TBO-ENG")))))</f>
        <v/>
      </c>
      <c r="M807" s="31">
        <f>IF($A807="","",MAX($H807,$I807,$J807,$K807))</f>
        <v/>
      </c>
      <c r="O807" s="31">
        <f>IF($A807="","",MAX(0,$M807-IF($N807="TBO-001",$H807,IF($N807="TBO-002",$I807,IF($N807="TBO-004",$J807,IF($N807="TBO-ENG",$K807,0))))))</f>
        <v/>
      </c>
    </row>
    <row r="808">
      <c r="H808" s="31">
        <f>IF($A808="","",IF($D808="Evet",ROUND($C808*tbo_oranBesPuan,2),0))</f>
        <v/>
      </c>
      <c r="I808" s="31">
        <f>IF($A808="","",IF($E808="Evet",ROUND($C808*tbo_oranIlave,2),0))</f>
        <v/>
      </c>
      <c r="J808" s="31">
        <f>IF($A808="","",IF($F808="Evet",ROUND($C808*tbo_oranKadinGenc,2),0))</f>
        <v/>
      </c>
      <c r="K808" s="31">
        <f>IF($A808="","",IF($G808="Evet",ROUND($C808*tbo_isverenOran,2),0))</f>
        <v/>
      </c>
      <c r="L808" s="31">
        <f>IF($A808="","",IF($M808=0,"YOK",IF($I808=$M808,"TBO-002",IF($H808=$M808,"TBO-001",IF($J808=$M808,"TBO-004","TBO-ENG")))))</f>
        <v/>
      </c>
      <c r="M808" s="31">
        <f>IF($A808="","",MAX($H808,$I808,$J808,$K808))</f>
        <v/>
      </c>
      <c r="O808" s="31">
        <f>IF($A808="","",MAX(0,$M808-IF($N808="TBO-001",$H808,IF($N808="TBO-002",$I808,IF($N808="TBO-004",$J808,IF($N808="TBO-ENG",$K808,0))))))</f>
        <v/>
      </c>
    </row>
    <row r="809">
      <c r="H809" s="31">
        <f>IF($A809="","",IF($D809="Evet",ROUND($C809*tbo_oranBesPuan,2),0))</f>
        <v/>
      </c>
      <c r="I809" s="31">
        <f>IF($A809="","",IF($E809="Evet",ROUND($C809*tbo_oranIlave,2),0))</f>
        <v/>
      </c>
      <c r="J809" s="31">
        <f>IF($A809="","",IF($F809="Evet",ROUND($C809*tbo_oranKadinGenc,2),0))</f>
        <v/>
      </c>
      <c r="K809" s="31">
        <f>IF($A809="","",IF($G809="Evet",ROUND($C809*tbo_isverenOran,2),0))</f>
        <v/>
      </c>
      <c r="L809" s="31">
        <f>IF($A809="","",IF($M809=0,"YOK",IF($I809=$M809,"TBO-002",IF($H809=$M809,"TBO-001",IF($J809=$M809,"TBO-004","TBO-ENG")))))</f>
        <v/>
      </c>
      <c r="M809" s="31">
        <f>IF($A809="","",MAX($H809,$I809,$J809,$K809))</f>
        <v/>
      </c>
      <c r="O809" s="31">
        <f>IF($A809="","",MAX(0,$M809-IF($N809="TBO-001",$H809,IF($N809="TBO-002",$I809,IF($N809="TBO-004",$J809,IF($N809="TBO-ENG",$K809,0))))))</f>
        <v/>
      </c>
    </row>
    <row r="810">
      <c r="H810" s="31">
        <f>IF($A810="","",IF($D810="Evet",ROUND($C810*tbo_oranBesPuan,2),0))</f>
        <v/>
      </c>
      <c r="I810" s="31">
        <f>IF($A810="","",IF($E810="Evet",ROUND($C810*tbo_oranIlave,2),0))</f>
        <v/>
      </c>
      <c r="J810" s="31">
        <f>IF($A810="","",IF($F810="Evet",ROUND($C810*tbo_oranKadinGenc,2),0))</f>
        <v/>
      </c>
      <c r="K810" s="31">
        <f>IF($A810="","",IF($G810="Evet",ROUND($C810*tbo_isverenOran,2),0))</f>
        <v/>
      </c>
      <c r="L810" s="31">
        <f>IF($A810="","",IF($M810=0,"YOK",IF($I810=$M810,"TBO-002",IF($H810=$M810,"TBO-001",IF($J810=$M810,"TBO-004","TBO-ENG")))))</f>
        <v/>
      </c>
      <c r="M810" s="31">
        <f>IF($A810="","",MAX($H810,$I810,$J810,$K810))</f>
        <v/>
      </c>
      <c r="O810" s="31">
        <f>IF($A810="","",MAX(0,$M810-IF($N810="TBO-001",$H810,IF($N810="TBO-002",$I810,IF($N810="TBO-004",$J810,IF($N810="TBO-ENG",$K810,0))))))</f>
        <v/>
      </c>
    </row>
    <row r="811">
      <c r="H811" s="31">
        <f>IF($A811="","",IF($D811="Evet",ROUND($C811*tbo_oranBesPuan,2),0))</f>
        <v/>
      </c>
      <c r="I811" s="31">
        <f>IF($A811="","",IF($E811="Evet",ROUND($C811*tbo_oranIlave,2),0))</f>
        <v/>
      </c>
      <c r="J811" s="31">
        <f>IF($A811="","",IF($F811="Evet",ROUND($C811*tbo_oranKadinGenc,2),0))</f>
        <v/>
      </c>
      <c r="K811" s="31">
        <f>IF($A811="","",IF($G811="Evet",ROUND($C811*tbo_isverenOran,2),0))</f>
        <v/>
      </c>
      <c r="L811" s="31">
        <f>IF($A811="","",IF($M811=0,"YOK",IF($I811=$M811,"TBO-002",IF($H811=$M811,"TBO-001",IF($J811=$M811,"TBO-004","TBO-ENG")))))</f>
        <v/>
      </c>
      <c r="M811" s="31">
        <f>IF($A811="","",MAX($H811,$I811,$J811,$K811))</f>
        <v/>
      </c>
      <c r="O811" s="31">
        <f>IF($A811="","",MAX(0,$M811-IF($N811="TBO-001",$H811,IF($N811="TBO-002",$I811,IF($N811="TBO-004",$J811,IF($N811="TBO-ENG",$K811,0))))))</f>
        <v/>
      </c>
    </row>
    <row r="812">
      <c r="H812" s="31">
        <f>IF($A812="","",IF($D812="Evet",ROUND($C812*tbo_oranBesPuan,2),0))</f>
        <v/>
      </c>
      <c r="I812" s="31">
        <f>IF($A812="","",IF($E812="Evet",ROUND($C812*tbo_oranIlave,2),0))</f>
        <v/>
      </c>
      <c r="J812" s="31">
        <f>IF($A812="","",IF($F812="Evet",ROUND($C812*tbo_oranKadinGenc,2),0))</f>
        <v/>
      </c>
      <c r="K812" s="31">
        <f>IF($A812="","",IF($G812="Evet",ROUND($C812*tbo_isverenOran,2),0))</f>
        <v/>
      </c>
      <c r="L812" s="31">
        <f>IF($A812="","",IF($M812=0,"YOK",IF($I812=$M812,"TBO-002",IF($H812=$M812,"TBO-001",IF($J812=$M812,"TBO-004","TBO-ENG")))))</f>
        <v/>
      </c>
      <c r="M812" s="31">
        <f>IF($A812="","",MAX($H812,$I812,$J812,$K812))</f>
        <v/>
      </c>
      <c r="O812" s="31">
        <f>IF($A812="","",MAX(0,$M812-IF($N812="TBO-001",$H812,IF($N812="TBO-002",$I812,IF($N812="TBO-004",$J812,IF($N812="TBO-ENG",$K812,0))))))</f>
        <v/>
      </c>
    </row>
    <row r="813">
      <c r="H813" s="31">
        <f>IF($A813="","",IF($D813="Evet",ROUND($C813*tbo_oranBesPuan,2),0))</f>
        <v/>
      </c>
      <c r="I813" s="31">
        <f>IF($A813="","",IF($E813="Evet",ROUND($C813*tbo_oranIlave,2),0))</f>
        <v/>
      </c>
      <c r="J813" s="31">
        <f>IF($A813="","",IF($F813="Evet",ROUND($C813*tbo_oranKadinGenc,2),0))</f>
        <v/>
      </c>
      <c r="K813" s="31">
        <f>IF($A813="","",IF($G813="Evet",ROUND($C813*tbo_isverenOran,2),0))</f>
        <v/>
      </c>
      <c r="L813" s="31">
        <f>IF($A813="","",IF($M813=0,"YOK",IF($I813=$M813,"TBO-002",IF($H813=$M813,"TBO-001",IF($J813=$M813,"TBO-004","TBO-ENG")))))</f>
        <v/>
      </c>
      <c r="M813" s="31">
        <f>IF($A813="","",MAX($H813,$I813,$J813,$K813))</f>
        <v/>
      </c>
      <c r="O813" s="31">
        <f>IF($A813="","",MAX(0,$M813-IF($N813="TBO-001",$H813,IF($N813="TBO-002",$I813,IF($N813="TBO-004",$J813,IF($N813="TBO-ENG",$K813,0))))))</f>
        <v/>
      </c>
    </row>
    <row r="814">
      <c r="H814" s="31">
        <f>IF($A814="","",IF($D814="Evet",ROUND($C814*tbo_oranBesPuan,2),0))</f>
        <v/>
      </c>
      <c r="I814" s="31">
        <f>IF($A814="","",IF($E814="Evet",ROUND($C814*tbo_oranIlave,2),0))</f>
        <v/>
      </c>
      <c r="J814" s="31">
        <f>IF($A814="","",IF($F814="Evet",ROUND($C814*tbo_oranKadinGenc,2),0))</f>
        <v/>
      </c>
      <c r="K814" s="31">
        <f>IF($A814="","",IF($G814="Evet",ROUND($C814*tbo_isverenOran,2),0))</f>
        <v/>
      </c>
      <c r="L814" s="31">
        <f>IF($A814="","",IF($M814=0,"YOK",IF($I814=$M814,"TBO-002",IF($H814=$M814,"TBO-001",IF($J814=$M814,"TBO-004","TBO-ENG")))))</f>
        <v/>
      </c>
      <c r="M814" s="31">
        <f>IF($A814="","",MAX($H814,$I814,$J814,$K814))</f>
        <v/>
      </c>
      <c r="O814" s="31">
        <f>IF($A814="","",MAX(0,$M814-IF($N814="TBO-001",$H814,IF($N814="TBO-002",$I814,IF($N814="TBO-004",$J814,IF($N814="TBO-ENG",$K814,0))))))</f>
        <v/>
      </c>
    </row>
    <row r="815">
      <c r="H815" s="31">
        <f>IF($A815="","",IF($D815="Evet",ROUND($C815*tbo_oranBesPuan,2),0))</f>
        <v/>
      </c>
      <c r="I815" s="31">
        <f>IF($A815="","",IF($E815="Evet",ROUND($C815*tbo_oranIlave,2),0))</f>
        <v/>
      </c>
      <c r="J815" s="31">
        <f>IF($A815="","",IF($F815="Evet",ROUND($C815*tbo_oranKadinGenc,2),0))</f>
        <v/>
      </c>
      <c r="K815" s="31">
        <f>IF($A815="","",IF($G815="Evet",ROUND($C815*tbo_isverenOran,2),0))</f>
        <v/>
      </c>
      <c r="L815" s="31">
        <f>IF($A815="","",IF($M815=0,"YOK",IF($I815=$M815,"TBO-002",IF($H815=$M815,"TBO-001",IF($J815=$M815,"TBO-004","TBO-ENG")))))</f>
        <v/>
      </c>
      <c r="M815" s="31">
        <f>IF($A815="","",MAX($H815,$I815,$J815,$K815))</f>
        <v/>
      </c>
      <c r="O815" s="31">
        <f>IF($A815="","",MAX(0,$M815-IF($N815="TBO-001",$H815,IF($N815="TBO-002",$I815,IF($N815="TBO-004",$J815,IF($N815="TBO-ENG",$K815,0))))))</f>
        <v/>
      </c>
    </row>
    <row r="816">
      <c r="H816" s="31">
        <f>IF($A816="","",IF($D816="Evet",ROUND($C816*tbo_oranBesPuan,2),0))</f>
        <v/>
      </c>
      <c r="I816" s="31">
        <f>IF($A816="","",IF($E816="Evet",ROUND($C816*tbo_oranIlave,2),0))</f>
        <v/>
      </c>
      <c r="J816" s="31">
        <f>IF($A816="","",IF($F816="Evet",ROUND($C816*tbo_oranKadinGenc,2),0))</f>
        <v/>
      </c>
      <c r="K816" s="31">
        <f>IF($A816="","",IF($G816="Evet",ROUND($C816*tbo_isverenOran,2),0))</f>
        <v/>
      </c>
      <c r="L816" s="31">
        <f>IF($A816="","",IF($M816=0,"YOK",IF($I816=$M816,"TBO-002",IF($H816=$M816,"TBO-001",IF($J816=$M816,"TBO-004","TBO-ENG")))))</f>
        <v/>
      </c>
      <c r="M816" s="31">
        <f>IF($A816="","",MAX($H816,$I816,$J816,$K816))</f>
        <v/>
      </c>
      <c r="O816" s="31">
        <f>IF($A816="","",MAX(0,$M816-IF($N816="TBO-001",$H816,IF($N816="TBO-002",$I816,IF($N816="TBO-004",$J816,IF($N816="TBO-ENG",$K816,0))))))</f>
        <v/>
      </c>
    </row>
    <row r="817">
      <c r="H817" s="31">
        <f>IF($A817="","",IF($D817="Evet",ROUND($C817*tbo_oranBesPuan,2),0))</f>
        <v/>
      </c>
      <c r="I817" s="31">
        <f>IF($A817="","",IF($E817="Evet",ROUND($C817*tbo_oranIlave,2),0))</f>
        <v/>
      </c>
      <c r="J817" s="31">
        <f>IF($A817="","",IF($F817="Evet",ROUND($C817*tbo_oranKadinGenc,2),0))</f>
        <v/>
      </c>
      <c r="K817" s="31">
        <f>IF($A817="","",IF($G817="Evet",ROUND($C817*tbo_isverenOran,2),0))</f>
        <v/>
      </c>
      <c r="L817" s="31">
        <f>IF($A817="","",IF($M817=0,"YOK",IF($I817=$M817,"TBO-002",IF($H817=$M817,"TBO-001",IF($J817=$M817,"TBO-004","TBO-ENG")))))</f>
        <v/>
      </c>
      <c r="M817" s="31">
        <f>IF($A817="","",MAX($H817,$I817,$J817,$K817))</f>
        <v/>
      </c>
      <c r="O817" s="31">
        <f>IF($A817="","",MAX(0,$M817-IF($N817="TBO-001",$H817,IF($N817="TBO-002",$I817,IF($N817="TBO-004",$J817,IF($N817="TBO-ENG",$K817,0))))))</f>
        <v/>
      </c>
    </row>
    <row r="818">
      <c r="H818" s="31">
        <f>IF($A818="","",IF($D818="Evet",ROUND($C818*tbo_oranBesPuan,2),0))</f>
        <v/>
      </c>
      <c r="I818" s="31">
        <f>IF($A818="","",IF($E818="Evet",ROUND($C818*tbo_oranIlave,2),0))</f>
        <v/>
      </c>
      <c r="J818" s="31">
        <f>IF($A818="","",IF($F818="Evet",ROUND($C818*tbo_oranKadinGenc,2),0))</f>
        <v/>
      </c>
      <c r="K818" s="31">
        <f>IF($A818="","",IF($G818="Evet",ROUND($C818*tbo_isverenOran,2),0))</f>
        <v/>
      </c>
      <c r="L818" s="31">
        <f>IF($A818="","",IF($M818=0,"YOK",IF($I818=$M818,"TBO-002",IF($H818=$M818,"TBO-001",IF($J818=$M818,"TBO-004","TBO-ENG")))))</f>
        <v/>
      </c>
      <c r="M818" s="31">
        <f>IF($A818="","",MAX($H818,$I818,$J818,$K818))</f>
        <v/>
      </c>
      <c r="O818" s="31">
        <f>IF($A818="","",MAX(0,$M818-IF($N818="TBO-001",$H818,IF($N818="TBO-002",$I818,IF($N818="TBO-004",$J818,IF($N818="TBO-ENG",$K818,0))))))</f>
        <v/>
      </c>
    </row>
    <row r="819">
      <c r="H819" s="31">
        <f>IF($A819="","",IF($D819="Evet",ROUND($C819*tbo_oranBesPuan,2),0))</f>
        <v/>
      </c>
      <c r="I819" s="31">
        <f>IF($A819="","",IF($E819="Evet",ROUND($C819*tbo_oranIlave,2),0))</f>
        <v/>
      </c>
      <c r="J819" s="31">
        <f>IF($A819="","",IF($F819="Evet",ROUND($C819*tbo_oranKadinGenc,2),0))</f>
        <v/>
      </c>
      <c r="K819" s="31">
        <f>IF($A819="","",IF($G819="Evet",ROUND($C819*tbo_isverenOran,2),0))</f>
        <v/>
      </c>
      <c r="L819" s="31">
        <f>IF($A819="","",IF($M819=0,"YOK",IF($I819=$M819,"TBO-002",IF($H819=$M819,"TBO-001",IF($J819=$M819,"TBO-004","TBO-ENG")))))</f>
        <v/>
      </c>
      <c r="M819" s="31">
        <f>IF($A819="","",MAX($H819,$I819,$J819,$K819))</f>
        <v/>
      </c>
      <c r="O819" s="31">
        <f>IF($A819="","",MAX(0,$M819-IF($N819="TBO-001",$H819,IF($N819="TBO-002",$I819,IF($N819="TBO-004",$J819,IF($N819="TBO-ENG",$K819,0))))))</f>
        <v/>
      </c>
    </row>
    <row r="820">
      <c r="H820" s="31">
        <f>IF($A820="","",IF($D820="Evet",ROUND($C820*tbo_oranBesPuan,2),0))</f>
        <v/>
      </c>
      <c r="I820" s="31">
        <f>IF($A820="","",IF($E820="Evet",ROUND($C820*tbo_oranIlave,2),0))</f>
        <v/>
      </c>
      <c r="J820" s="31">
        <f>IF($A820="","",IF($F820="Evet",ROUND($C820*tbo_oranKadinGenc,2),0))</f>
        <v/>
      </c>
      <c r="K820" s="31">
        <f>IF($A820="","",IF($G820="Evet",ROUND($C820*tbo_isverenOran,2),0))</f>
        <v/>
      </c>
      <c r="L820" s="31">
        <f>IF($A820="","",IF($M820=0,"YOK",IF($I820=$M820,"TBO-002",IF($H820=$M820,"TBO-001",IF($J820=$M820,"TBO-004","TBO-ENG")))))</f>
        <v/>
      </c>
      <c r="M820" s="31">
        <f>IF($A820="","",MAX($H820,$I820,$J820,$K820))</f>
        <v/>
      </c>
      <c r="O820" s="31">
        <f>IF($A820="","",MAX(0,$M820-IF($N820="TBO-001",$H820,IF($N820="TBO-002",$I820,IF($N820="TBO-004",$J820,IF($N820="TBO-ENG",$K820,0))))))</f>
        <v/>
      </c>
    </row>
    <row r="821">
      <c r="H821" s="31">
        <f>IF($A821="","",IF($D821="Evet",ROUND($C821*tbo_oranBesPuan,2),0))</f>
        <v/>
      </c>
      <c r="I821" s="31">
        <f>IF($A821="","",IF($E821="Evet",ROUND($C821*tbo_oranIlave,2),0))</f>
        <v/>
      </c>
      <c r="J821" s="31">
        <f>IF($A821="","",IF($F821="Evet",ROUND($C821*tbo_oranKadinGenc,2),0))</f>
        <v/>
      </c>
      <c r="K821" s="31">
        <f>IF($A821="","",IF($G821="Evet",ROUND($C821*tbo_isverenOran,2),0))</f>
        <v/>
      </c>
      <c r="L821" s="31">
        <f>IF($A821="","",IF($M821=0,"YOK",IF($I821=$M821,"TBO-002",IF($H821=$M821,"TBO-001",IF($J821=$M821,"TBO-004","TBO-ENG")))))</f>
        <v/>
      </c>
      <c r="M821" s="31">
        <f>IF($A821="","",MAX($H821,$I821,$J821,$K821))</f>
        <v/>
      </c>
      <c r="O821" s="31">
        <f>IF($A821="","",MAX(0,$M821-IF($N821="TBO-001",$H821,IF($N821="TBO-002",$I821,IF($N821="TBO-004",$J821,IF($N821="TBO-ENG",$K821,0))))))</f>
        <v/>
      </c>
    </row>
    <row r="822">
      <c r="H822" s="31">
        <f>IF($A822="","",IF($D822="Evet",ROUND($C822*tbo_oranBesPuan,2),0))</f>
        <v/>
      </c>
      <c r="I822" s="31">
        <f>IF($A822="","",IF($E822="Evet",ROUND($C822*tbo_oranIlave,2),0))</f>
        <v/>
      </c>
      <c r="J822" s="31">
        <f>IF($A822="","",IF($F822="Evet",ROUND($C822*tbo_oranKadinGenc,2),0))</f>
        <v/>
      </c>
      <c r="K822" s="31">
        <f>IF($A822="","",IF($G822="Evet",ROUND($C822*tbo_isverenOran,2),0))</f>
        <v/>
      </c>
      <c r="L822" s="31">
        <f>IF($A822="","",IF($M822=0,"YOK",IF($I822=$M822,"TBO-002",IF($H822=$M822,"TBO-001",IF($J822=$M822,"TBO-004","TBO-ENG")))))</f>
        <v/>
      </c>
      <c r="M822" s="31">
        <f>IF($A822="","",MAX($H822,$I822,$J822,$K822))</f>
        <v/>
      </c>
      <c r="O822" s="31">
        <f>IF($A822="","",MAX(0,$M822-IF($N822="TBO-001",$H822,IF($N822="TBO-002",$I822,IF($N822="TBO-004",$J822,IF($N822="TBO-ENG",$K822,0))))))</f>
        <v/>
      </c>
    </row>
    <row r="823">
      <c r="H823" s="31">
        <f>IF($A823="","",IF($D823="Evet",ROUND($C823*tbo_oranBesPuan,2),0))</f>
        <v/>
      </c>
      <c r="I823" s="31">
        <f>IF($A823="","",IF($E823="Evet",ROUND($C823*tbo_oranIlave,2),0))</f>
        <v/>
      </c>
      <c r="J823" s="31">
        <f>IF($A823="","",IF($F823="Evet",ROUND($C823*tbo_oranKadinGenc,2),0))</f>
        <v/>
      </c>
      <c r="K823" s="31">
        <f>IF($A823="","",IF($G823="Evet",ROUND($C823*tbo_isverenOran,2),0))</f>
        <v/>
      </c>
      <c r="L823" s="31">
        <f>IF($A823="","",IF($M823=0,"YOK",IF($I823=$M823,"TBO-002",IF($H823=$M823,"TBO-001",IF($J823=$M823,"TBO-004","TBO-ENG")))))</f>
        <v/>
      </c>
      <c r="M823" s="31">
        <f>IF($A823="","",MAX($H823,$I823,$J823,$K823))</f>
        <v/>
      </c>
      <c r="O823" s="31">
        <f>IF($A823="","",MAX(0,$M823-IF($N823="TBO-001",$H823,IF($N823="TBO-002",$I823,IF($N823="TBO-004",$J823,IF($N823="TBO-ENG",$K823,0))))))</f>
        <v/>
      </c>
    </row>
    <row r="824">
      <c r="H824" s="31">
        <f>IF($A824="","",IF($D824="Evet",ROUND($C824*tbo_oranBesPuan,2),0))</f>
        <v/>
      </c>
      <c r="I824" s="31">
        <f>IF($A824="","",IF($E824="Evet",ROUND($C824*tbo_oranIlave,2),0))</f>
        <v/>
      </c>
      <c r="J824" s="31">
        <f>IF($A824="","",IF($F824="Evet",ROUND($C824*tbo_oranKadinGenc,2),0))</f>
        <v/>
      </c>
      <c r="K824" s="31">
        <f>IF($A824="","",IF($G824="Evet",ROUND($C824*tbo_isverenOran,2),0))</f>
        <v/>
      </c>
      <c r="L824" s="31">
        <f>IF($A824="","",IF($M824=0,"YOK",IF($I824=$M824,"TBO-002",IF($H824=$M824,"TBO-001",IF($J824=$M824,"TBO-004","TBO-ENG")))))</f>
        <v/>
      </c>
      <c r="M824" s="31">
        <f>IF($A824="","",MAX($H824,$I824,$J824,$K824))</f>
        <v/>
      </c>
      <c r="O824" s="31">
        <f>IF($A824="","",MAX(0,$M824-IF($N824="TBO-001",$H824,IF($N824="TBO-002",$I824,IF($N824="TBO-004",$J824,IF($N824="TBO-ENG",$K824,0))))))</f>
        <v/>
      </c>
    </row>
    <row r="825">
      <c r="H825" s="31">
        <f>IF($A825="","",IF($D825="Evet",ROUND($C825*tbo_oranBesPuan,2),0))</f>
        <v/>
      </c>
      <c r="I825" s="31">
        <f>IF($A825="","",IF($E825="Evet",ROUND($C825*tbo_oranIlave,2),0))</f>
        <v/>
      </c>
      <c r="J825" s="31">
        <f>IF($A825="","",IF($F825="Evet",ROUND($C825*tbo_oranKadinGenc,2),0))</f>
        <v/>
      </c>
      <c r="K825" s="31">
        <f>IF($A825="","",IF($G825="Evet",ROUND($C825*tbo_isverenOran,2),0))</f>
        <v/>
      </c>
      <c r="L825" s="31">
        <f>IF($A825="","",IF($M825=0,"YOK",IF($I825=$M825,"TBO-002",IF($H825=$M825,"TBO-001",IF($J825=$M825,"TBO-004","TBO-ENG")))))</f>
        <v/>
      </c>
      <c r="M825" s="31">
        <f>IF($A825="","",MAX($H825,$I825,$J825,$K825))</f>
        <v/>
      </c>
      <c r="O825" s="31">
        <f>IF($A825="","",MAX(0,$M825-IF($N825="TBO-001",$H825,IF($N825="TBO-002",$I825,IF($N825="TBO-004",$J825,IF($N825="TBO-ENG",$K825,0))))))</f>
        <v/>
      </c>
    </row>
    <row r="826">
      <c r="H826" s="31">
        <f>IF($A826="","",IF($D826="Evet",ROUND($C826*tbo_oranBesPuan,2),0))</f>
        <v/>
      </c>
      <c r="I826" s="31">
        <f>IF($A826="","",IF($E826="Evet",ROUND($C826*tbo_oranIlave,2),0))</f>
        <v/>
      </c>
      <c r="J826" s="31">
        <f>IF($A826="","",IF($F826="Evet",ROUND($C826*tbo_oranKadinGenc,2),0))</f>
        <v/>
      </c>
      <c r="K826" s="31">
        <f>IF($A826="","",IF($G826="Evet",ROUND($C826*tbo_isverenOran,2),0))</f>
        <v/>
      </c>
      <c r="L826" s="31">
        <f>IF($A826="","",IF($M826=0,"YOK",IF($I826=$M826,"TBO-002",IF($H826=$M826,"TBO-001",IF($J826=$M826,"TBO-004","TBO-ENG")))))</f>
        <v/>
      </c>
      <c r="M826" s="31">
        <f>IF($A826="","",MAX($H826,$I826,$J826,$K826))</f>
        <v/>
      </c>
      <c r="O826" s="31">
        <f>IF($A826="","",MAX(0,$M826-IF($N826="TBO-001",$H826,IF($N826="TBO-002",$I826,IF($N826="TBO-004",$J826,IF($N826="TBO-ENG",$K826,0))))))</f>
        <v/>
      </c>
    </row>
    <row r="827">
      <c r="H827" s="31">
        <f>IF($A827="","",IF($D827="Evet",ROUND($C827*tbo_oranBesPuan,2),0))</f>
        <v/>
      </c>
      <c r="I827" s="31">
        <f>IF($A827="","",IF($E827="Evet",ROUND($C827*tbo_oranIlave,2),0))</f>
        <v/>
      </c>
      <c r="J827" s="31">
        <f>IF($A827="","",IF($F827="Evet",ROUND($C827*tbo_oranKadinGenc,2),0))</f>
        <v/>
      </c>
      <c r="K827" s="31">
        <f>IF($A827="","",IF($G827="Evet",ROUND($C827*tbo_isverenOran,2),0))</f>
        <v/>
      </c>
      <c r="L827" s="31">
        <f>IF($A827="","",IF($M827=0,"YOK",IF($I827=$M827,"TBO-002",IF($H827=$M827,"TBO-001",IF($J827=$M827,"TBO-004","TBO-ENG")))))</f>
        <v/>
      </c>
      <c r="M827" s="31">
        <f>IF($A827="","",MAX($H827,$I827,$J827,$K827))</f>
        <v/>
      </c>
      <c r="O827" s="31">
        <f>IF($A827="","",MAX(0,$M827-IF($N827="TBO-001",$H827,IF($N827="TBO-002",$I827,IF($N827="TBO-004",$J827,IF($N827="TBO-ENG",$K827,0))))))</f>
        <v/>
      </c>
    </row>
    <row r="828">
      <c r="H828" s="31">
        <f>IF($A828="","",IF($D828="Evet",ROUND($C828*tbo_oranBesPuan,2),0))</f>
        <v/>
      </c>
      <c r="I828" s="31">
        <f>IF($A828="","",IF($E828="Evet",ROUND($C828*tbo_oranIlave,2),0))</f>
        <v/>
      </c>
      <c r="J828" s="31">
        <f>IF($A828="","",IF($F828="Evet",ROUND($C828*tbo_oranKadinGenc,2),0))</f>
        <v/>
      </c>
      <c r="K828" s="31">
        <f>IF($A828="","",IF($G828="Evet",ROUND($C828*tbo_isverenOran,2),0))</f>
        <v/>
      </c>
      <c r="L828" s="31">
        <f>IF($A828="","",IF($M828=0,"YOK",IF($I828=$M828,"TBO-002",IF($H828=$M828,"TBO-001",IF($J828=$M828,"TBO-004","TBO-ENG")))))</f>
        <v/>
      </c>
      <c r="M828" s="31">
        <f>IF($A828="","",MAX($H828,$I828,$J828,$K828))</f>
        <v/>
      </c>
      <c r="O828" s="31">
        <f>IF($A828="","",MAX(0,$M828-IF($N828="TBO-001",$H828,IF($N828="TBO-002",$I828,IF($N828="TBO-004",$J828,IF($N828="TBO-ENG",$K828,0))))))</f>
        <v/>
      </c>
    </row>
    <row r="829">
      <c r="H829" s="31">
        <f>IF($A829="","",IF($D829="Evet",ROUND($C829*tbo_oranBesPuan,2),0))</f>
        <v/>
      </c>
      <c r="I829" s="31">
        <f>IF($A829="","",IF($E829="Evet",ROUND($C829*tbo_oranIlave,2),0))</f>
        <v/>
      </c>
      <c r="J829" s="31">
        <f>IF($A829="","",IF($F829="Evet",ROUND($C829*tbo_oranKadinGenc,2),0))</f>
        <v/>
      </c>
      <c r="K829" s="31">
        <f>IF($A829="","",IF($G829="Evet",ROUND($C829*tbo_isverenOran,2),0))</f>
        <v/>
      </c>
      <c r="L829" s="31">
        <f>IF($A829="","",IF($M829=0,"YOK",IF($I829=$M829,"TBO-002",IF($H829=$M829,"TBO-001",IF($J829=$M829,"TBO-004","TBO-ENG")))))</f>
        <v/>
      </c>
      <c r="M829" s="31">
        <f>IF($A829="","",MAX($H829,$I829,$J829,$K829))</f>
        <v/>
      </c>
      <c r="O829" s="31">
        <f>IF($A829="","",MAX(0,$M829-IF($N829="TBO-001",$H829,IF($N829="TBO-002",$I829,IF($N829="TBO-004",$J829,IF($N829="TBO-ENG",$K829,0))))))</f>
        <v/>
      </c>
    </row>
    <row r="830">
      <c r="H830" s="31">
        <f>IF($A830="","",IF($D830="Evet",ROUND($C830*tbo_oranBesPuan,2),0))</f>
        <v/>
      </c>
      <c r="I830" s="31">
        <f>IF($A830="","",IF($E830="Evet",ROUND($C830*tbo_oranIlave,2),0))</f>
        <v/>
      </c>
      <c r="J830" s="31">
        <f>IF($A830="","",IF($F830="Evet",ROUND($C830*tbo_oranKadinGenc,2),0))</f>
        <v/>
      </c>
      <c r="K830" s="31">
        <f>IF($A830="","",IF($G830="Evet",ROUND($C830*tbo_isverenOran,2),0))</f>
        <v/>
      </c>
      <c r="L830" s="31">
        <f>IF($A830="","",IF($M830=0,"YOK",IF($I830=$M830,"TBO-002",IF($H830=$M830,"TBO-001",IF($J830=$M830,"TBO-004","TBO-ENG")))))</f>
        <v/>
      </c>
      <c r="M830" s="31">
        <f>IF($A830="","",MAX($H830,$I830,$J830,$K830))</f>
        <v/>
      </c>
      <c r="O830" s="31">
        <f>IF($A830="","",MAX(0,$M830-IF($N830="TBO-001",$H830,IF($N830="TBO-002",$I830,IF($N830="TBO-004",$J830,IF($N830="TBO-ENG",$K830,0))))))</f>
        <v/>
      </c>
    </row>
    <row r="831">
      <c r="H831" s="31">
        <f>IF($A831="","",IF($D831="Evet",ROUND($C831*tbo_oranBesPuan,2),0))</f>
        <v/>
      </c>
      <c r="I831" s="31">
        <f>IF($A831="","",IF($E831="Evet",ROUND($C831*tbo_oranIlave,2),0))</f>
        <v/>
      </c>
      <c r="J831" s="31">
        <f>IF($A831="","",IF($F831="Evet",ROUND($C831*tbo_oranKadinGenc,2),0))</f>
        <v/>
      </c>
      <c r="K831" s="31">
        <f>IF($A831="","",IF($G831="Evet",ROUND($C831*tbo_isverenOran,2),0))</f>
        <v/>
      </c>
      <c r="L831" s="31">
        <f>IF($A831="","",IF($M831=0,"YOK",IF($I831=$M831,"TBO-002",IF($H831=$M831,"TBO-001",IF($J831=$M831,"TBO-004","TBO-ENG")))))</f>
        <v/>
      </c>
      <c r="M831" s="31">
        <f>IF($A831="","",MAX($H831,$I831,$J831,$K831))</f>
        <v/>
      </c>
      <c r="O831" s="31">
        <f>IF($A831="","",MAX(0,$M831-IF($N831="TBO-001",$H831,IF($N831="TBO-002",$I831,IF($N831="TBO-004",$J831,IF($N831="TBO-ENG",$K831,0))))))</f>
        <v/>
      </c>
    </row>
    <row r="832">
      <c r="H832" s="31">
        <f>IF($A832="","",IF($D832="Evet",ROUND($C832*tbo_oranBesPuan,2),0))</f>
        <v/>
      </c>
      <c r="I832" s="31">
        <f>IF($A832="","",IF($E832="Evet",ROUND($C832*tbo_oranIlave,2),0))</f>
        <v/>
      </c>
      <c r="J832" s="31">
        <f>IF($A832="","",IF($F832="Evet",ROUND($C832*tbo_oranKadinGenc,2),0))</f>
        <v/>
      </c>
      <c r="K832" s="31">
        <f>IF($A832="","",IF($G832="Evet",ROUND($C832*tbo_isverenOran,2),0))</f>
        <v/>
      </c>
      <c r="L832" s="31">
        <f>IF($A832="","",IF($M832=0,"YOK",IF($I832=$M832,"TBO-002",IF($H832=$M832,"TBO-001",IF($J832=$M832,"TBO-004","TBO-ENG")))))</f>
        <v/>
      </c>
      <c r="M832" s="31">
        <f>IF($A832="","",MAX($H832,$I832,$J832,$K832))</f>
        <v/>
      </c>
      <c r="O832" s="31">
        <f>IF($A832="","",MAX(0,$M832-IF($N832="TBO-001",$H832,IF($N832="TBO-002",$I832,IF($N832="TBO-004",$J832,IF($N832="TBO-ENG",$K832,0))))))</f>
        <v/>
      </c>
    </row>
    <row r="833">
      <c r="H833" s="31">
        <f>IF($A833="","",IF($D833="Evet",ROUND($C833*tbo_oranBesPuan,2),0))</f>
        <v/>
      </c>
      <c r="I833" s="31">
        <f>IF($A833="","",IF($E833="Evet",ROUND($C833*tbo_oranIlave,2),0))</f>
        <v/>
      </c>
      <c r="J833" s="31">
        <f>IF($A833="","",IF($F833="Evet",ROUND($C833*tbo_oranKadinGenc,2),0))</f>
        <v/>
      </c>
      <c r="K833" s="31">
        <f>IF($A833="","",IF($G833="Evet",ROUND($C833*tbo_isverenOran,2),0))</f>
        <v/>
      </c>
      <c r="L833" s="31">
        <f>IF($A833="","",IF($M833=0,"YOK",IF($I833=$M833,"TBO-002",IF($H833=$M833,"TBO-001",IF($J833=$M833,"TBO-004","TBO-ENG")))))</f>
        <v/>
      </c>
      <c r="M833" s="31">
        <f>IF($A833="","",MAX($H833,$I833,$J833,$K833))</f>
        <v/>
      </c>
      <c r="O833" s="31">
        <f>IF($A833="","",MAX(0,$M833-IF($N833="TBO-001",$H833,IF($N833="TBO-002",$I833,IF($N833="TBO-004",$J833,IF($N833="TBO-ENG",$K833,0))))))</f>
        <v/>
      </c>
    </row>
    <row r="834">
      <c r="H834" s="31">
        <f>IF($A834="","",IF($D834="Evet",ROUND($C834*tbo_oranBesPuan,2),0))</f>
        <v/>
      </c>
      <c r="I834" s="31">
        <f>IF($A834="","",IF($E834="Evet",ROUND($C834*tbo_oranIlave,2),0))</f>
        <v/>
      </c>
      <c r="J834" s="31">
        <f>IF($A834="","",IF($F834="Evet",ROUND($C834*tbo_oranKadinGenc,2),0))</f>
        <v/>
      </c>
      <c r="K834" s="31">
        <f>IF($A834="","",IF($G834="Evet",ROUND($C834*tbo_isverenOran,2),0))</f>
        <v/>
      </c>
      <c r="L834" s="31">
        <f>IF($A834="","",IF($M834=0,"YOK",IF($I834=$M834,"TBO-002",IF($H834=$M834,"TBO-001",IF($J834=$M834,"TBO-004","TBO-ENG")))))</f>
        <v/>
      </c>
      <c r="M834" s="31">
        <f>IF($A834="","",MAX($H834,$I834,$J834,$K834))</f>
        <v/>
      </c>
      <c r="O834" s="31">
        <f>IF($A834="","",MAX(0,$M834-IF($N834="TBO-001",$H834,IF($N834="TBO-002",$I834,IF($N834="TBO-004",$J834,IF($N834="TBO-ENG",$K834,0))))))</f>
        <v/>
      </c>
    </row>
    <row r="835">
      <c r="H835" s="31">
        <f>IF($A835="","",IF($D835="Evet",ROUND($C835*tbo_oranBesPuan,2),0))</f>
        <v/>
      </c>
      <c r="I835" s="31">
        <f>IF($A835="","",IF($E835="Evet",ROUND($C835*tbo_oranIlave,2),0))</f>
        <v/>
      </c>
      <c r="J835" s="31">
        <f>IF($A835="","",IF($F835="Evet",ROUND($C835*tbo_oranKadinGenc,2),0))</f>
        <v/>
      </c>
      <c r="K835" s="31">
        <f>IF($A835="","",IF($G835="Evet",ROUND($C835*tbo_isverenOran,2),0))</f>
        <v/>
      </c>
      <c r="L835" s="31">
        <f>IF($A835="","",IF($M835=0,"YOK",IF($I835=$M835,"TBO-002",IF($H835=$M835,"TBO-001",IF($J835=$M835,"TBO-004","TBO-ENG")))))</f>
        <v/>
      </c>
      <c r="M835" s="31">
        <f>IF($A835="","",MAX($H835,$I835,$J835,$K835))</f>
        <v/>
      </c>
      <c r="O835" s="31">
        <f>IF($A835="","",MAX(0,$M835-IF($N835="TBO-001",$H835,IF($N835="TBO-002",$I835,IF($N835="TBO-004",$J835,IF($N835="TBO-ENG",$K835,0))))))</f>
        <v/>
      </c>
    </row>
    <row r="836">
      <c r="H836" s="31">
        <f>IF($A836="","",IF($D836="Evet",ROUND($C836*tbo_oranBesPuan,2),0))</f>
        <v/>
      </c>
      <c r="I836" s="31">
        <f>IF($A836="","",IF($E836="Evet",ROUND($C836*tbo_oranIlave,2),0))</f>
        <v/>
      </c>
      <c r="J836" s="31">
        <f>IF($A836="","",IF($F836="Evet",ROUND($C836*tbo_oranKadinGenc,2),0))</f>
        <v/>
      </c>
      <c r="K836" s="31">
        <f>IF($A836="","",IF($G836="Evet",ROUND($C836*tbo_isverenOran,2),0))</f>
        <v/>
      </c>
      <c r="L836" s="31">
        <f>IF($A836="","",IF($M836=0,"YOK",IF($I836=$M836,"TBO-002",IF($H836=$M836,"TBO-001",IF($J836=$M836,"TBO-004","TBO-ENG")))))</f>
        <v/>
      </c>
      <c r="M836" s="31">
        <f>IF($A836="","",MAX($H836,$I836,$J836,$K836))</f>
        <v/>
      </c>
      <c r="O836" s="31">
        <f>IF($A836="","",MAX(0,$M836-IF($N836="TBO-001",$H836,IF($N836="TBO-002",$I836,IF($N836="TBO-004",$J836,IF($N836="TBO-ENG",$K836,0))))))</f>
        <v/>
      </c>
    </row>
    <row r="837">
      <c r="H837" s="31">
        <f>IF($A837="","",IF($D837="Evet",ROUND($C837*tbo_oranBesPuan,2),0))</f>
        <v/>
      </c>
      <c r="I837" s="31">
        <f>IF($A837="","",IF($E837="Evet",ROUND($C837*tbo_oranIlave,2),0))</f>
        <v/>
      </c>
      <c r="J837" s="31">
        <f>IF($A837="","",IF($F837="Evet",ROUND($C837*tbo_oranKadinGenc,2),0))</f>
        <v/>
      </c>
      <c r="K837" s="31">
        <f>IF($A837="","",IF($G837="Evet",ROUND($C837*tbo_isverenOran,2),0))</f>
        <v/>
      </c>
      <c r="L837" s="31">
        <f>IF($A837="","",IF($M837=0,"YOK",IF($I837=$M837,"TBO-002",IF($H837=$M837,"TBO-001",IF($J837=$M837,"TBO-004","TBO-ENG")))))</f>
        <v/>
      </c>
      <c r="M837" s="31">
        <f>IF($A837="","",MAX($H837,$I837,$J837,$K837))</f>
        <v/>
      </c>
      <c r="O837" s="31">
        <f>IF($A837="","",MAX(0,$M837-IF($N837="TBO-001",$H837,IF($N837="TBO-002",$I837,IF($N837="TBO-004",$J837,IF($N837="TBO-ENG",$K837,0))))))</f>
        <v/>
      </c>
    </row>
    <row r="838">
      <c r="H838" s="31">
        <f>IF($A838="","",IF($D838="Evet",ROUND($C838*tbo_oranBesPuan,2),0))</f>
        <v/>
      </c>
      <c r="I838" s="31">
        <f>IF($A838="","",IF($E838="Evet",ROUND($C838*tbo_oranIlave,2),0))</f>
        <v/>
      </c>
      <c r="J838" s="31">
        <f>IF($A838="","",IF($F838="Evet",ROUND($C838*tbo_oranKadinGenc,2),0))</f>
        <v/>
      </c>
      <c r="K838" s="31">
        <f>IF($A838="","",IF($G838="Evet",ROUND($C838*tbo_isverenOran,2),0))</f>
        <v/>
      </c>
      <c r="L838" s="31">
        <f>IF($A838="","",IF($M838=0,"YOK",IF($I838=$M838,"TBO-002",IF($H838=$M838,"TBO-001",IF($J838=$M838,"TBO-004","TBO-ENG")))))</f>
        <v/>
      </c>
      <c r="M838" s="31">
        <f>IF($A838="","",MAX($H838,$I838,$J838,$K838))</f>
        <v/>
      </c>
      <c r="O838" s="31">
        <f>IF($A838="","",MAX(0,$M838-IF($N838="TBO-001",$H838,IF($N838="TBO-002",$I838,IF($N838="TBO-004",$J838,IF($N838="TBO-ENG",$K838,0))))))</f>
        <v/>
      </c>
    </row>
    <row r="839">
      <c r="H839" s="31">
        <f>IF($A839="","",IF($D839="Evet",ROUND($C839*tbo_oranBesPuan,2),0))</f>
        <v/>
      </c>
      <c r="I839" s="31">
        <f>IF($A839="","",IF($E839="Evet",ROUND($C839*tbo_oranIlave,2),0))</f>
        <v/>
      </c>
      <c r="J839" s="31">
        <f>IF($A839="","",IF($F839="Evet",ROUND($C839*tbo_oranKadinGenc,2),0))</f>
        <v/>
      </c>
      <c r="K839" s="31">
        <f>IF($A839="","",IF($G839="Evet",ROUND($C839*tbo_isverenOran,2),0))</f>
        <v/>
      </c>
      <c r="L839" s="31">
        <f>IF($A839="","",IF($M839=0,"YOK",IF($I839=$M839,"TBO-002",IF($H839=$M839,"TBO-001",IF($J839=$M839,"TBO-004","TBO-ENG")))))</f>
        <v/>
      </c>
      <c r="M839" s="31">
        <f>IF($A839="","",MAX($H839,$I839,$J839,$K839))</f>
        <v/>
      </c>
      <c r="O839" s="31">
        <f>IF($A839="","",MAX(0,$M839-IF($N839="TBO-001",$H839,IF($N839="TBO-002",$I839,IF($N839="TBO-004",$J839,IF($N839="TBO-ENG",$K839,0))))))</f>
        <v/>
      </c>
    </row>
    <row r="840">
      <c r="H840" s="31">
        <f>IF($A840="","",IF($D840="Evet",ROUND($C840*tbo_oranBesPuan,2),0))</f>
        <v/>
      </c>
      <c r="I840" s="31">
        <f>IF($A840="","",IF($E840="Evet",ROUND($C840*tbo_oranIlave,2),0))</f>
        <v/>
      </c>
      <c r="J840" s="31">
        <f>IF($A840="","",IF($F840="Evet",ROUND($C840*tbo_oranKadinGenc,2),0))</f>
        <v/>
      </c>
      <c r="K840" s="31">
        <f>IF($A840="","",IF($G840="Evet",ROUND($C840*tbo_isverenOran,2),0))</f>
        <v/>
      </c>
      <c r="L840" s="31">
        <f>IF($A840="","",IF($M840=0,"YOK",IF($I840=$M840,"TBO-002",IF($H840=$M840,"TBO-001",IF($J840=$M840,"TBO-004","TBO-ENG")))))</f>
        <v/>
      </c>
      <c r="M840" s="31">
        <f>IF($A840="","",MAX($H840,$I840,$J840,$K840))</f>
        <v/>
      </c>
      <c r="O840" s="31">
        <f>IF($A840="","",MAX(0,$M840-IF($N840="TBO-001",$H840,IF($N840="TBO-002",$I840,IF($N840="TBO-004",$J840,IF($N840="TBO-ENG",$K840,0))))))</f>
        <v/>
      </c>
    </row>
    <row r="841">
      <c r="H841" s="31">
        <f>IF($A841="","",IF($D841="Evet",ROUND($C841*tbo_oranBesPuan,2),0))</f>
        <v/>
      </c>
      <c r="I841" s="31">
        <f>IF($A841="","",IF($E841="Evet",ROUND($C841*tbo_oranIlave,2),0))</f>
        <v/>
      </c>
      <c r="J841" s="31">
        <f>IF($A841="","",IF($F841="Evet",ROUND($C841*tbo_oranKadinGenc,2),0))</f>
        <v/>
      </c>
      <c r="K841" s="31">
        <f>IF($A841="","",IF($G841="Evet",ROUND($C841*tbo_isverenOran,2),0))</f>
        <v/>
      </c>
      <c r="L841" s="31">
        <f>IF($A841="","",IF($M841=0,"YOK",IF($I841=$M841,"TBO-002",IF($H841=$M841,"TBO-001",IF($J841=$M841,"TBO-004","TBO-ENG")))))</f>
        <v/>
      </c>
      <c r="M841" s="31">
        <f>IF($A841="","",MAX($H841,$I841,$J841,$K841))</f>
        <v/>
      </c>
      <c r="O841" s="31">
        <f>IF($A841="","",MAX(0,$M841-IF($N841="TBO-001",$H841,IF($N841="TBO-002",$I841,IF($N841="TBO-004",$J841,IF($N841="TBO-ENG",$K841,0))))))</f>
        <v/>
      </c>
    </row>
    <row r="842">
      <c r="H842" s="31">
        <f>IF($A842="","",IF($D842="Evet",ROUND($C842*tbo_oranBesPuan,2),0))</f>
        <v/>
      </c>
      <c r="I842" s="31">
        <f>IF($A842="","",IF($E842="Evet",ROUND($C842*tbo_oranIlave,2),0))</f>
        <v/>
      </c>
      <c r="J842" s="31">
        <f>IF($A842="","",IF($F842="Evet",ROUND($C842*tbo_oranKadinGenc,2),0))</f>
        <v/>
      </c>
      <c r="K842" s="31">
        <f>IF($A842="","",IF($G842="Evet",ROUND($C842*tbo_isverenOran,2),0))</f>
        <v/>
      </c>
      <c r="L842" s="31">
        <f>IF($A842="","",IF($M842=0,"YOK",IF($I842=$M842,"TBO-002",IF($H842=$M842,"TBO-001",IF($J842=$M842,"TBO-004","TBO-ENG")))))</f>
        <v/>
      </c>
      <c r="M842" s="31">
        <f>IF($A842="","",MAX($H842,$I842,$J842,$K842))</f>
        <v/>
      </c>
      <c r="O842" s="31">
        <f>IF($A842="","",MAX(0,$M842-IF($N842="TBO-001",$H842,IF($N842="TBO-002",$I842,IF($N842="TBO-004",$J842,IF($N842="TBO-ENG",$K842,0))))))</f>
        <v/>
      </c>
    </row>
    <row r="843">
      <c r="H843" s="31">
        <f>IF($A843="","",IF($D843="Evet",ROUND($C843*tbo_oranBesPuan,2),0))</f>
        <v/>
      </c>
      <c r="I843" s="31">
        <f>IF($A843="","",IF($E843="Evet",ROUND($C843*tbo_oranIlave,2),0))</f>
        <v/>
      </c>
      <c r="J843" s="31">
        <f>IF($A843="","",IF($F843="Evet",ROUND($C843*tbo_oranKadinGenc,2),0))</f>
        <v/>
      </c>
      <c r="K843" s="31">
        <f>IF($A843="","",IF($G843="Evet",ROUND($C843*tbo_isverenOran,2),0))</f>
        <v/>
      </c>
      <c r="L843" s="31">
        <f>IF($A843="","",IF($M843=0,"YOK",IF($I843=$M843,"TBO-002",IF($H843=$M843,"TBO-001",IF($J843=$M843,"TBO-004","TBO-ENG")))))</f>
        <v/>
      </c>
      <c r="M843" s="31">
        <f>IF($A843="","",MAX($H843,$I843,$J843,$K843))</f>
        <v/>
      </c>
      <c r="O843" s="31">
        <f>IF($A843="","",MAX(0,$M843-IF($N843="TBO-001",$H843,IF($N843="TBO-002",$I843,IF($N843="TBO-004",$J843,IF($N843="TBO-ENG",$K843,0))))))</f>
        <v/>
      </c>
    </row>
    <row r="844">
      <c r="H844" s="31">
        <f>IF($A844="","",IF($D844="Evet",ROUND($C844*tbo_oranBesPuan,2),0))</f>
        <v/>
      </c>
      <c r="I844" s="31">
        <f>IF($A844="","",IF($E844="Evet",ROUND($C844*tbo_oranIlave,2),0))</f>
        <v/>
      </c>
      <c r="J844" s="31">
        <f>IF($A844="","",IF($F844="Evet",ROUND($C844*tbo_oranKadinGenc,2),0))</f>
        <v/>
      </c>
      <c r="K844" s="31">
        <f>IF($A844="","",IF($G844="Evet",ROUND($C844*tbo_isverenOran,2),0))</f>
        <v/>
      </c>
      <c r="L844" s="31">
        <f>IF($A844="","",IF($M844=0,"YOK",IF($I844=$M844,"TBO-002",IF($H844=$M844,"TBO-001",IF($J844=$M844,"TBO-004","TBO-ENG")))))</f>
        <v/>
      </c>
      <c r="M844" s="31">
        <f>IF($A844="","",MAX($H844,$I844,$J844,$K844))</f>
        <v/>
      </c>
      <c r="O844" s="31">
        <f>IF($A844="","",MAX(0,$M844-IF($N844="TBO-001",$H844,IF($N844="TBO-002",$I844,IF($N844="TBO-004",$J844,IF($N844="TBO-ENG",$K844,0))))))</f>
        <v/>
      </c>
    </row>
    <row r="845">
      <c r="H845" s="31">
        <f>IF($A845="","",IF($D845="Evet",ROUND($C845*tbo_oranBesPuan,2),0))</f>
        <v/>
      </c>
      <c r="I845" s="31">
        <f>IF($A845="","",IF($E845="Evet",ROUND($C845*tbo_oranIlave,2),0))</f>
        <v/>
      </c>
      <c r="J845" s="31">
        <f>IF($A845="","",IF($F845="Evet",ROUND($C845*tbo_oranKadinGenc,2),0))</f>
        <v/>
      </c>
      <c r="K845" s="31">
        <f>IF($A845="","",IF($G845="Evet",ROUND($C845*tbo_isverenOran,2),0))</f>
        <v/>
      </c>
      <c r="L845" s="31">
        <f>IF($A845="","",IF($M845=0,"YOK",IF($I845=$M845,"TBO-002",IF($H845=$M845,"TBO-001",IF($J845=$M845,"TBO-004","TBO-ENG")))))</f>
        <v/>
      </c>
      <c r="M845" s="31">
        <f>IF($A845="","",MAX($H845,$I845,$J845,$K845))</f>
        <v/>
      </c>
      <c r="O845" s="31">
        <f>IF($A845="","",MAX(0,$M845-IF($N845="TBO-001",$H845,IF($N845="TBO-002",$I845,IF($N845="TBO-004",$J845,IF($N845="TBO-ENG",$K845,0))))))</f>
        <v/>
      </c>
    </row>
    <row r="846">
      <c r="H846" s="31">
        <f>IF($A846="","",IF($D846="Evet",ROUND($C846*tbo_oranBesPuan,2),0))</f>
        <v/>
      </c>
      <c r="I846" s="31">
        <f>IF($A846="","",IF($E846="Evet",ROUND($C846*tbo_oranIlave,2),0))</f>
        <v/>
      </c>
      <c r="J846" s="31">
        <f>IF($A846="","",IF($F846="Evet",ROUND($C846*tbo_oranKadinGenc,2),0))</f>
        <v/>
      </c>
      <c r="K846" s="31">
        <f>IF($A846="","",IF($G846="Evet",ROUND($C846*tbo_isverenOran,2),0))</f>
        <v/>
      </c>
      <c r="L846" s="31">
        <f>IF($A846="","",IF($M846=0,"YOK",IF($I846=$M846,"TBO-002",IF($H846=$M846,"TBO-001",IF($J846=$M846,"TBO-004","TBO-ENG")))))</f>
        <v/>
      </c>
      <c r="M846" s="31">
        <f>IF($A846="","",MAX($H846,$I846,$J846,$K846))</f>
        <v/>
      </c>
      <c r="O846" s="31">
        <f>IF($A846="","",MAX(0,$M846-IF($N846="TBO-001",$H846,IF($N846="TBO-002",$I846,IF($N846="TBO-004",$J846,IF($N846="TBO-ENG",$K846,0))))))</f>
        <v/>
      </c>
    </row>
    <row r="847">
      <c r="H847" s="31">
        <f>IF($A847="","",IF($D847="Evet",ROUND($C847*tbo_oranBesPuan,2),0))</f>
        <v/>
      </c>
      <c r="I847" s="31">
        <f>IF($A847="","",IF($E847="Evet",ROUND($C847*tbo_oranIlave,2),0))</f>
        <v/>
      </c>
      <c r="J847" s="31">
        <f>IF($A847="","",IF($F847="Evet",ROUND($C847*tbo_oranKadinGenc,2),0))</f>
        <v/>
      </c>
      <c r="K847" s="31">
        <f>IF($A847="","",IF($G847="Evet",ROUND($C847*tbo_isverenOran,2),0))</f>
        <v/>
      </c>
      <c r="L847" s="31">
        <f>IF($A847="","",IF($M847=0,"YOK",IF($I847=$M847,"TBO-002",IF($H847=$M847,"TBO-001",IF($J847=$M847,"TBO-004","TBO-ENG")))))</f>
        <v/>
      </c>
      <c r="M847" s="31">
        <f>IF($A847="","",MAX($H847,$I847,$J847,$K847))</f>
        <v/>
      </c>
      <c r="O847" s="31">
        <f>IF($A847="","",MAX(0,$M847-IF($N847="TBO-001",$H847,IF($N847="TBO-002",$I847,IF($N847="TBO-004",$J847,IF($N847="TBO-ENG",$K847,0))))))</f>
        <v/>
      </c>
    </row>
    <row r="848">
      <c r="H848" s="31">
        <f>IF($A848="","",IF($D848="Evet",ROUND($C848*tbo_oranBesPuan,2),0))</f>
        <v/>
      </c>
      <c r="I848" s="31">
        <f>IF($A848="","",IF($E848="Evet",ROUND($C848*tbo_oranIlave,2),0))</f>
        <v/>
      </c>
      <c r="J848" s="31">
        <f>IF($A848="","",IF($F848="Evet",ROUND($C848*tbo_oranKadinGenc,2),0))</f>
        <v/>
      </c>
      <c r="K848" s="31">
        <f>IF($A848="","",IF($G848="Evet",ROUND($C848*tbo_isverenOran,2),0))</f>
        <v/>
      </c>
      <c r="L848" s="31">
        <f>IF($A848="","",IF($M848=0,"YOK",IF($I848=$M848,"TBO-002",IF($H848=$M848,"TBO-001",IF($J848=$M848,"TBO-004","TBO-ENG")))))</f>
        <v/>
      </c>
      <c r="M848" s="31">
        <f>IF($A848="","",MAX($H848,$I848,$J848,$K848))</f>
        <v/>
      </c>
      <c r="O848" s="31">
        <f>IF($A848="","",MAX(0,$M848-IF($N848="TBO-001",$H848,IF($N848="TBO-002",$I848,IF($N848="TBO-004",$J848,IF($N848="TBO-ENG",$K848,0))))))</f>
        <v/>
      </c>
    </row>
    <row r="849">
      <c r="H849" s="31">
        <f>IF($A849="","",IF($D849="Evet",ROUND($C849*tbo_oranBesPuan,2),0))</f>
        <v/>
      </c>
      <c r="I849" s="31">
        <f>IF($A849="","",IF($E849="Evet",ROUND($C849*tbo_oranIlave,2),0))</f>
        <v/>
      </c>
      <c r="J849" s="31">
        <f>IF($A849="","",IF($F849="Evet",ROUND($C849*tbo_oranKadinGenc,2),0))</f>
        <v/>
      </c>
      <c r="K849" s="31">
        <f>IF($A849="","",IF($G849="Evet",ROUND($C849*tbo_isverenOran,2),0))</f>
        <v/>
      </c>
      <c r="L849" s="31">
        <f>IF($A849="","",IF($M849=0,"YOK",IF($I849=$M849,"TBO-002",IF($H849=$M849,"TBO-001",IF($J849=$M849,"TBO-004","TBO-ENG")))))</f>
        <v/>
      </c>
      <c r="M849" s="31">
        <f>IF($A849="","",MAX($H849,$I849,$J849,$K849))</f>
        <v/>
      </c>
      <c r="O849" s="31">
        <f>IF($A849="","",MAX(0,$M849-IF($N849="TBO-001",$H849,IF($N849="TBO-002",$I849,IF($N849="TBO-004",$J849,IF($N849="TBO-ENG",$K849,0))))))</f>
        <v/>
      </c>
    </row>
    <row r="850">
      <c r="H850" s="31">
        <f>IF($A850="","",IF($D850="Evet",ROUND($C850*tbo_oranBesPuan,2),0))</f>
        <v/>
      </c>
      <c r="I850" s="31">
        <f>IF($A850="","",IF($E850="Evet",ROUND($C850*tbo_oranIlave,2),0))</f>
        <v/>
      </c>
      <c r="J850" s="31">
        <f>IF($A850="","",IF($F850="Evet",ROUND($C850*tbo_oranKadinGenc,2),0))</f>
        <v/>
      </c>
      <c r="K850" s="31">
        <f>IF($A850="","",IF($G850="Evet",ROUND($C850*tbo_isverenOran,2),0))</f>
        <v/>
      </c>
      <c r="L850" s="31">
        <f>IF($A850="","",IF($M850=0,"YOK",IF($I850=$M850,"TBO-002",IF($H850=$M850,"TBO-001",IF($J850=$M850,"TBO-004","TBO-ENG")))))</f>
        <v/>
      </c>
      <c r="M850" s="31">
        <f>IF($A850="","",MAX($H850,$I850,$J850,$K850))</f>
        <v/>
      </c>
      <c r="O850" s="31">
        <f>IF($A850="","",MAX(0,$M850-IF($N850="TBO-001",$H850,IF($N850="TBO-002",$I850,IF($N850="TBO-004",$J850,IF($N850="TBO-ENG",$K850,0))))))</f>
        <v/>
      </c>
    </row>
    <row r="851">
      <c r="H851" s="31">
        <f>IF($A851="","",IF($D851="Evet",ROUND($C851*tbo_oranBesPuan,2),0))</f>
        <v/>
      </c>
      <c r="I851" s="31">
        <f>IF($A851="","",IF($E851="Evet",ROUND($C851*tbo_oranIlave,2),0))</f>
        <v/>
      </c>
      <c r="J851" s="31">
        <f>IF($A851="","",IF($F851="Evet",ROUND($C851*tbo_oranKadinGenc,2),0))</f>
        <v/>
      </c>
      <c r="K851" s="31">
        <f>IF($A851="","",IF($G851="Evet",ROUND($C851*tbo_isverenOran,2),0))</f>
        <v/>
      </c>
      <c r="L851" s="31">
        <f>IF($A851="","",IF($M851=0,"YOK",IF($I851=$M851,"TBO-002",IF($H851=$M851,"TBO-001",IF($J851=$M851,"TBO-004","TBO-ENG")))))</f>
        <v/>
      </c>
      <c r="M851" s="31">
        <f>IF($A851="","",MAX($H851,$I851,$J851,$K851))</f>
        <v/>
      </c>
      <c r="O851" s="31">
        <f>IF($A851="","",MAX(0,$M851-IF($N851="TBO-001",$H851,IF($N851="TBO-002",$I851,IF($N851="TBO-004",$J851,IF($N851="TBO-ENG",$K851,0))))))</f>
        <v/>
      </c>
    </row>
    <row r="852">
      <c r="H852" s="31">
        <f>IF($A852="","",IF($D852="Evet",ROUND($C852*tbo_oranBesPuan,2),0))</f>
        <v/>
      </c>
      <c r="I852" s="31">
        <f>IF($A852="","",IF($E852="Evet",ROUND($C852*tbo_oranIlave,2),0))</f>
        <v/>
      </c>
      <c r="J852" s="31">
        <f>IF($A852="","",IF($F852="Evet",ROUND($C852*tbo_oranKadinGenc,2),0))</f>
        <v/>
      </c>
      <c r="K852" s="31">
        <f>IF($A852="","",IF($G852="Evet",ROUND($C852*tbo_isverenOran,2),0))</f>
        <v/>
      </c>
      <c r="L852" s="31">
        <f>IF($A852="","",IF($M852=0,"YOK",IF($I852=$M852,"TBO-002",IF($H852=$M852,"TBO-001",IF($J852=$M852,"TBO-004","TBO-ENG")))))</f>
        <v/>
      </c>
      <c r="M852" s="31">
        <f>IF($A852="","",MAX($H852,$I852,$J852,$K852))</f>
        <v/>
      </c>
      <c r="O852" s="31">
        <f>IF($A852="","",MAX(0,$M852-IF($N852="TBO-001",$H852,IF($N852="TBO-002",$I852,IF($N852="TBO-004",$J852,IF($N852="TBO-ENG",$K852,0))))))</f>
        <v/>
      </c>
    </row>
    <row r="853">
      <c r="H853" s="31">
        <f>IF($A853="","",IF($D853="Evet",ROUND($C853*tbo_oranBesPuan,2),0))</f>
        <v/>
      </c>
      <c r="I853" s="31">
        <f>IF($A853="","",IF($E853="Evet",ROUND($C853*tbo_oranIlave,2),0))</f>
        <v/>
      </c>
      <c r="J853" s="31">
        <f>IF($A853="","",IF($F853="Evet",ROUND($C853*tbo_oranKadinGenc,2),0))</f>
        <v/>
      </c>
      <c r="K853" s="31">
        <f>IF($A853="","",IF($G853="Evet",ROUND($C853*tbo_isverenOran,2),0))</f>
        <v/>
      </c>
      <c r="L853" s="31">
        <f>IF($A853="","",IF($M853=0,"YOK",IF($I853=$M853,"TBO-002",IF($H853=$M853,"TBO-001",IF($J853=$M853,"TBO-004","TBO-ENG")))))</f>
        <v/>
      </c>
      <c r="M853" s="31">
        <f>IF($A853="","",MAX($H853,$I853,$J853,$K853))</f>
        <v/>
      </c>
      <c r="O853" s="31">
        <f>IF($A853="","",MAX(0,$M853-IF($N853="TBO-001",$H853,IF($N853="TBO-002",$I853,IF($N853="TBO-004",$J853,IF($N853="TBO-ENG",$K853,0))))))</f>
        <v/>
      </c>
    </row>
    <row r="854">
      <c r="H854" s="31">
        <f>IF($A854="","",IF($D854="Evet",ROUND($C854*tbo_oranBesPuan,2),0))</f>
        <v/>
      </c>
      <c r="I854" s="31">
        <f>IF($A854="","",IF($E854="Evet",ROUND($C854*tbo_oranIlave,2),0))</f>
        <v/>
      </c>
      <c r="J854" s="31">
        <f>IF($A854="","",IF($F854="Evet",ROUND($C854*tbo_oranKadinGenc,2),0))</f>
        <v/>
      </c>
      <c r="K854" s="31">
        <f>IF($A854="","",IF($G854="Evet",ROUND($C854*tbo_isverenOran,2),0))</f>
        <v/>
      </c>
      <c r="L854" s="31">
        <f>IF($A854="","",IF($M854=0,"YOK",IF($I854=$M854,"TBO-002",IF($H854=$M854,"TBO-001",IF($J854=$M854,"TBO-004","TBO-ENG")))))</f>
        <v/>
      </c>
      <c r="M854" s="31">
        <f>IF($A854="","",MAX($H854,$I854,$J854,$K854))</f>
        <v/>
      </c>
      <c r="O854" s="31">
        <f>IF($A854="","",MAX(0,$M854-IF($N854="TBO-001",$H854,IF($N854="TBO-002",$I854,IF($N854="TBO-004",$J854,IF($N854="TBO-ENG",$K854,0))))))</f>
        <v/>
      </c>
    </row>
    <row r="855">
      <c r="H855" s="31">
        <f>IF($A855="","",IF($D855="Evet",ROUND($C855*tbo_oranBesPuan,2),0))</f>
        <v/>
      </c>
      <c r="I855" s="31">
        <f>IF($A855="","",IF($E855="Evet",ROUND($C855*tbo_oranIlave,2),0))</f>
        <v/>
      </c>
      <c r="J855" s="31">
        <f>IF($A855="","",IF($F855="Evet",ROUND($C855*tbo_oranKadinGenc,2),0))</f>
        <v/>
      </c>
      <c r="K855" s="31">
        <f>IF($A855="","",IF($G855="Evet",ROUND($C855*tbo_isverenOran,2),0))</f>
        <v/>
      </c>
      <c r="L855" s="31">
        <f>IF($A855="","",IF($M855=0,"YOK",IF($I855=$M855,"TBO-002",IF($H855=$M855,"TBO-001",IF($J855=$M855,"TBO-004","TBO-ENG")))))</f>
        <v/>
      </c>
      <c r="M855" s="31">
        <f>IF($A855="","",MAX($H855,$I855,$J855,$K855))</f>
        <v/>
      </c>
      <c r="O855" s="31">
        <f>IF($A855="","",MAX(0,$M855-IF($N855="TBO-001",$H855,IF($N855="TBO-002",$I855,IF($N855="TBO-004",$J855,IF($N855="TBO-ENG",$K855,0))))))</f>
        <v/>
      </c>
    </row>
    <row r="856">
      <c r="H856" s="31">
        <f>IF($A856="","",IF($D856="Evet",ROUND($C856*tbo_oranBesPuan,2),0))</f>
        <v/>
      </c>
      <c r="I856" s="31">
        <f>IF($A856="","",IF($E856="Evet",ROUND($C856*tbo_oranIlave,2),0))</f>
        <v/>
      </c>
      <c r="J856" s="31">
        <f>IF($A856="","",IF($F856="Evet",ROUND($C856*tbo_oranKadinGenc,2),0))</f>
        <v/>
      </c>
      <c r="K856" s="31">
        <f>IF($A856="","",IF($G856="Evet",ROUND($C856*tbo_isverenOran,2),0))</f>
        <v/>
      </c>
      <c r="L856" s="31">
        <f>IF($A856="","",IF($M856=0,"YOK",IF($I856=$M856,"TBO-002",IF($H856=$M856,"TBO-001",IF($J856=$M856,"TBO-004","TBO-ENG")))))</f>
        <v/>
      </c>
      <c r="M856" s="31">
        <f>IF($A856="","",MAX($H856,$I856,$J856,$K856))</f>
        <v/>
      </c>
      <c r="O856" s="31">
        <f>IF($A856="","",MAX(0,$M856-IF($N856="TBO-001",$H856,IF($N856="TBO-002",$I856,IF($N856="TBO-004",$J856,IF($N856="TBO-ENG",$K856,0))))))</f>
        <v/>
      </c>
    </row>
    <row r="857">
      <c r="H857" s="31">
        <f>IF($A857="","",IF($D857="Evet",ROUND($C857*tbo_oranBesPuan,2),0))</f>
        <v/>
      </c>
      <c r="I857" s="31">
        <f>IF($A857="","",IF($E857="Evet",ROUND($C857*tbo_oranIlave,2),0))</f>
        <v/>
      </c>
      <c r="J857" s="31">
        <f>IF($A857="","",IF($F857="Evet",ROUND($C857*tbo_oranKadinGenc,2),0))</f>
        <v/>
      </c>
      <c r="K857" s="31">
        <f>IF($A857="","",IF($G857="Evet",ROUND($C857*tbo_isverenOran,2),0))</f>
        <v/>
      </c>
      <c r="L857" s="31">
        <f>IF($A857="","",IF($M857=0,"YOK",IF($I857=$M857,"TBO-002",IF($H857=$M857,"TBO-001",IF($J857=$M857,"TBO-004","TBO-ENG")))))</f>
        <v/>
      </c>
      <c r="M857" s="31">
        <f>IF($A857="","",MAX($H857,$I857,$J857,$K857))</f>
        <v/>
      </c>
      <c r="O857" s="31">
        <f>IF($A857="","",MAX(0,$M857-IF($N857="TBO-001",$H857,IF($N857="TBO-002",$I857,IF($N857="TBO-004",$J857,IF($N857="TBO-ENG",$K857,0))))))</f>
        <v/>
      </c>
    </row>
    <row r="858">
      <c r="H858" s="31">
        <f>IF($A858="","",IF($D858="Evet",ROUND($C858*tbo_oranBesPuan,2),0))</f>
        <v/>
      </c>
      <c r="I858" s="31">
        <f>IF($A858="","",IF($E858="Evet",ROUND($C858*tbo_oranIlave,2),0))</f>
        <v/>
      </c>
      <c r="J858" s="31">
        <f>IF($A858="","",IF($F858="Evet",ROUND($C858*tbo_oranKadinGenc,2),0))</f>
        <v/>
      </c>
      <c r="K858" s="31">
        <f>IF($A858="","",IF($G858="Evet",ROUND($C858*tbo_isverenOran,2),0))</f>
        <v/>
      </c>
      <c r="L858" s="31">
        <f>IF($A858="","",IF($M858=0,"YOK",IF($I858=$M858,"TBO-002",IF($H858=$M858,"TBO-001",IF($J858=$M858,"TBO-004","TBO-ENG")))))</f>
        <v/>
      </c>
      <c r="M858" s="31">
        <f>IF($A858="","",MAX($H858,$I858,$J858,$K858))</f>
        <v/>
      </c>
      <c r="O858" s="31">
        <f>IF($A858="","",MAX(0,$M858-IF($N858="TBO-001",$H858,IF($N858="TBO-002",$I858,IF($N858="TBO-004",$J858,IF($N858="TBO-ENG",$K858,0))))))</f>
        <v/>
      </c>
    </row>
    <row r="859">
      <c r="H859" s="31">
        <f>IF($A859="","",IF($D859="Evet",ROUND($C859*tbo_oranBesPuan,2),0))</f>
        <v/>
      </c>
      <c r="I859" s="31">
        <f>IF($A859="","",IF($E859="Evet",ROUND($C859*tbo_oranIlave,2),0))</f>
        <v/>
      </c>
      <c r="J859" s="31">
        <f>IF($A859="","",IF($F859="Evet",ROUND($C859*tbo_oranKadinGenc,2),0))</f>
        <v/>
      </c>
      <c r="K859" s="31">
        <f>IF($A859="","",IF($G859="Evet",ROUND($C859*tbo_isverenOran,2),0))</f>
        <v/>
      </c>
      <c r="L859" s="31">
        <f>IF($A859="","",IF($M859=0,"YOK",IF($I859=$M859,"TBO-002",IF($H859=$M859,"TBO-001",IF($J859=$M859,"TBO-004","TBO-ENG")))))</f>
        <v/>
      </c>
      <c r="M859" s="31">
        <f>IF($A859="","",MAX($H859,$I859,$J859,$K859))</f>
        <v/>
      </c>
      <c r="O859" s="31">
        <f>IF($A859="","",MAX(0,$M859-IF($N859="TBO-001",$H859,IF($N859="TBO-002",$I859,IF($N859="TBO-004",$J859,IF($N859="TBO-ENG",$K859,0))))))</f>
        <v/>
      </c>
    </row>
    <row r="860">
      <c r="H860" s="31">
        <f>IF($A860="","",IF($D860="Evet",ROUND($C860*tbo_oranBesPuan,2),0))</f>
        <v/>
      </c>
      <c r="I860" s="31">
        <f>IF($A860="","",IF($E860="Evet",ROUND($C860*tbo_oranIlave,2),0))</f>
        <v/>
      </c>
      <c r="J860" s="31">
        <f>IF($A860="","",IF($F860="Evet",ROUND($C860*tbo_oranKadinGenc,2),0))</f>
        <v/>
      </c>
      <c r="K860" s="31">
        <f>IF($A860="","",IF($G860="Evet",ROUND($C860*tbo_isverenOran,2),0))</f>
        <v/>
      </c>
      <c r="L860" s="31">
        <f>IF($A860="","",IF($M860=0,"YOK",IF($I860=$M860,"TBO-002",IF($H860=$M860,"TBO-001",IF($J860=$M860,"TBO-004","TBO-ENG")))))</f>
        <v/>
      </c>
      <c r="M860" s="31">
        <f>IF($A860="","",MAX($H860,$I860,$J860,$K860))</f>
        <v/>
      </c>
      <c r="O860" s="31">
        <f>IF($A860="","",MAX(0,$M860-IF($N860="TBO-001",$H860,IF($N860="TBO-002",$I860,IF($N860="TBO-004",$J860,IF($N860="TBO-ENG",$K860,0))))))</f>
        <v/>
      </c>
    </row>
    <row r="861">
      <c r="H861" s="31">
        <f>IF($A861="","",IF($D861="Evet",ROUND($C861*tbo_oranBesPuan,2),0))</f>
        <v/>
      </c>
      <c r="I861" s="31">
        <f>IF($A861="","",IF($E861="Evet",ROUND($C861*tbo_oranIlave,2),0))</f>
        <v/>
      </c>
      <c r="J861" s="31">
        <f>IF($A861="","",IF($F861="Evet",ROUND($C861*tbo_oranKadinGenc,2),0))</f>
        <v/>
      </c>
      <c r="K861" s="31">
        <f>IF($A861="","",IF($G861="Evet",ROUND($C861*tbo_isverenOran,2),0))</f>
        <v/>
      </c>
      <c r="L861" s="31">
        <f>IF($A861="","",IF($M861=0,"YOK",IF($I861=$M861,"TBO-002",IF($H861=$M861,"TBO-001",IF($J861=$M861,"TBO-004","TBO-ENG")))))</f>
        <v/>
      </c>
      <c r="M861" s="31">
        <f>IF($A861="","",MAX($H861,$I861,$J861,$K861))</f>
        <v/>
      </c>
      <c r="O861" s="31">
        <f>IF($A861="","",MAX(0,$M861-IF($N861="TBO-001",$H861,IF($N861="TBO-002",$I861,IF($N861="TBO-004",$J861,IF($N861="TBO-ENG",$K861,0))))))</f>
        <v/>
      </c>
    </row>
    <row r="862">
      <c r="H862" s="31">
        <f>IF($A862="","",IF($D862="Evet",ROUND($C862*tbo_oranBesPuan,2),0))</f>
        <v/>
      </c>
      <c r="I862" s="31">
        <f>IF($A862="","",IF($E862="Evet",ROUND($C862*tbo_oranIlave,2),0))</f>
        <v/>
      </c>
      <c r="J862" s="31">
        <f>IF($A862="","",IF($F862="Evet",ROUND($C862*tbo_oranKadinGenc,2),0))</f>
        <v/>
      </c>
      <c r="K862" s="31">
        <f>IF($A862="","",IF($G862="Evet",ROUND($C862*tbo_isverenOran,2),0))</f>
        <v/>
      </c>
      <c r="L862" s="31">
        <f>IF($A862="","",IF($M862=0,"YOK",IF($I862=$M862,"TBO-002",IF($H862=$M862,"TBO-001",IF($J862=$M862,"TBO-004","TBO-ENG")))))</f>
        <v/>
      </c>
      <c r="M862" s="31">
        <f>IF($A862="","",MAX($H862,$I862,$J862,$K862))</f>
        <v/>
      </c>
      <c r="O862" s="31">
        <f>IF($A862="","",MAX(0,$M862-IF($N862="TBO-001",$H862,IF($N862="TBO-002",$I862,IF($N862="TBO-004",$J862,IF($N862="TBO-ENG",$K862,0))))))</f>
        <v/>
      </c>
    </row>
    <row r="863">
      <c r="H863" s="31">
        <f>IF($A863="","",IF($D863="Evet",ROUND($C863*tbo_oranBesPuan,2),0))</f>
        <v/>
      </c>
      <c r="I863" s="31">
        <f>IF($A863="","",IF($E863="Evet",ROUND($C863*tbo_oranIlave,2),0))</f>
        <v/>
      </c>
      <c r="J863" s="31">
        <f>IF($A863="","",IF($F863="Evet",ROUND($C863*tbo_oranKadinGenc,2),0))</f>
        <v/>
      </c>
      <c r="K863" s="31">
        <f>IF($A863="","",IF($G863="Evet",ROUND($C863*tbo_isverenOran,2),0))</f>
        <v/>
      </c>
      <c r="L863" s="31">
        <f>IF($A863="","",IF($M863=0,"YOK",IF($I863=$M863,"TBO-002",IF($H863=$M863,"TBO-001",IF($J863=$M863,"TBO-004","TBO-ENG")))))</f>
        <v/>
      </c>
      <c r="M863" s="31">
        <f>IF($A863="","",MAX($H863,$I863,$J863,$K863))</f>
        <v/>
      </c>
      <c r="O863" s="31">
        <f>IF($A863="","",MAX(0,$M863-IF($N863="TBO-001",$H863,IF($N863="TBO-002",$I863,IF($N863="TBO-004",$J863,IF($N863="TBO-ENG",$K863,0))))))</f>
        <v/>
      </c>
    </row>
    <row r="864">
      <c r="H864" s="31">
        <f>IF($A864="","",IF($D864="Evet",ROUND($C864*tbo_oranBesPuan,2),0))</f>
        <v/>
      </c>
      <c r="I864" s="31">
        <f>IF($A864="","",IF($E864="Evet",ROUND($C864*tbo_oranIlave,2),0))</f>
        <v/>
      </c>
      <c r="J864" s="31">
        <f>IF($A864="","",IF($F864="Evet",ROUND($C864*tbo_oranKadinGenc,2),0))</f>
        <v/>
      </c>
      <c r="K864" s="31">
        <f>IF($A864="","",IF($G864="Evet",ROUND($C864*tbo_isverenOran,2),0))</f>
        <v/>
      </c>
      <c r="L864" s="31">
        <f>IF($A864="","",IF($M864=0,"YOK",IF($I864=$M864,"TBO-002",IF($H864=$M864,"TBO-001",IF($J864=$M864,"TBO-004","TBO-ENG")))))</f>
        <v/>
      </c>
      <c r="M864" s="31">
        <f>IF($A864="","",MAX($H864,$I864,$J864,$K864))</f>
        <v/>
      </c>
      <c r="O864" s="31">
        <f>IF($A864="","",MAX(0,$M864-IF($N864="TBO-001",$H864,IF($N864="TBO-002",$I864,IF($N864="TBO-004",$J864,IF($N864="TBO-ENG",$K864,0))))))</f>
        <v/>
      </c>
    </row>
    <row r="865">
      <c r="H865" s="31">
        <f>IF($A865="","",IF($D865="Evet",ROUND($C865*tbo_oranBesPuan,2),0))</f>
        <v/>
      </c>
      <c r="I865" s="31">
        <f>IF($A865="","",IF($E865="Evet",ROUND($C865*tbo_oranIlave,2),0))</f>
        <v/>
      </c>
      <c r="J865" s="31">
        <f>IF($A865="","",IF($F865="Evet",ROUND($C865*tbo_oranKadinGenc,2),0))</f>
        <v/>
      </c>
      <c r="K865" s="31">
        <f>IF($A865="","",IF($G865="Evet",ROUND($C865*tbo_isverenOran,2),0))</f>
        <v/>
      </c>
      <c r="L865" s="31">
        <f>IF($A865="","",IF($M865=0,"YOK",IF($I865=$M865,"TBO-002",IF($H865=$M865,"TBO-001",IF($J865=$M865,"TBO-004","TBO-ENG")))))</f>
        <v/>
      </c>
      <c r="M865" s="31">
        <f>IF($A865="","",MAX($H865,$I865,$J865,$K865))</f>
        <v/>
      </c>
      <c r="O865" s="31">
        <f>IF($A865="","",MAX(0,$M865-IF($N865="TBO-001",$H865,IF($N865="TBO-002",$I865,IF($N865="TBO-004",$J865,IF($N865="TBO-ENG",$K865,0))))))</f>
        <v/>
      </c>
    </row>
    <row r="866">
      <c r="H866" s="31">
        <f>IF($A866="","",IF($D866="Evet",ROUND($C866*tbo_oranBesPuan,2),0))</f>
        <v/>
      </c>
      <c r="I866" s="31">
        <f>IF($A866="","",IF($E866="Evet",ROUND($C866*tbo_oranIlave,2),0))</f>
        <v/>
      </c>
      <c r="J866" s="31">
        <f>IF($A866="","",IF($F866="Evet",ROUND($C866*tbo_oranKadinGenc,2),0))</f>
        <v/>
      </c>
      <c r="K866" s="31">
        <f>IF($A866="","",IF($G866="Evet",ROUND($C866*tbo_isverenOran,2),0))</f>
        <v/>
      </c>
      <c r="L866" s="31">
        <f>IF($A866="","",IF($M866=0,"YOK",IF($I866=$M866,"TBO-002",IF($H866=$M866,"TBO-001",IF($J866=$M866,"TBO-004","TBO-ENG")))))</f>
        <v/>
      </c>
      <c r="M866" s="31">
        <f>IF($A866="","",MAX($H866,$I866,$J866,$K866))</f>
        <v/>
      </c>
      <c r="O866" s="31">
        <f>IF($A866="","",MAX(0,$M866-IF($N866="TBO-001",$H866,IF($N866="TBO-002",$I866,IF($N866="TBO-004",$J866,IF($N866="TBO-ENG",$K866,0))))))</f>
        <v/>
      </c>
    </row>
    <row r="867">
      <c r="H867" s="31">
        <f>IF($A867="","",IF($D867="Evet",ROUND($C867*tbo_oranBesPuan,2),0))</f>
        <v/>
      </c>
      <c r="I867" s="31">
        <f>IF($A867="","",IF($E867="Evet",ROUND($C867*tbo_oranIlave,2),0))</f>
        <v/>
      </c>
      <c r="J867" s="31">
        <f>IF($A867="","",IF($F867="Evet",ROUND($C867*tbo_oranKadinGenc,2),0))</f>
        <v/>
      </c>
      <c r="K867" s="31">
        <f>IF($A867="","",IF($G867="Evet",ROUND($C867*tbo_isverenOran,2),0))</f>
        <v/>
      </c>
      <c r="L867" s="31">
        <f>IF($A867="","",IF($M867=0,"YOK",IF($I867=$M867,"TBO-002",IF($H867=$M867,"TBO-001",IF($J867=$M867,"TBO-004","TBO-ENG")))))</f>
        <v/>
      </c>
      <c r="M867" s="31">
        <f>IF($A867="","",MAX($H867,$I867,$J867,$K867))</f>
        <v/>
      </c>
      <c r="O867" s="31">
        <f>IF($A867="","",MAX(0,$M867-IF($N867="TBO-001",$H867,IF($N867="TBO-002",$I867,IF($N867="TBO-004",$J867,IF($N867="TBO-ENG",$K867,0))))))</f>
        <v/>
      </c>
    </row>
    <row r="868">
      <c r="H868" s="31">
        <f>IF($A868="","",IF($D868="Evet",ROUND($C868*tbo_oranBesPuan,2),0))</f>
        <v/>
      </c>
      <c r="I868" s="31">
        <f>IF($A868="","",IF($E868="Evet",ROUND($C868*tbo_oranIlave,2),0))</f>
        <v/>
      </c>
      <c r="J868" s="31">
        <f>IF($A868="","",IF($F868="Evet",ROUND($C868*tbo_oranKadinGenc,2),0))</f>
        <v/>
      </c>
      <c r="K868" s="31">
        <f>IF($A868="","",IF($G868="Evet",ROUND($C868*tbo_isverenOran,2),0))</f>
        <v/>
      </c>
      <c r="L868" s="31">
        <f>IF($A868="","",IF($M868=0,"YOK",IF($I868=$M868,"TBO-002",IF($H868=$M868,"TBO-001",IF($J868=$M868,"TBO-004","TBO-ENG")))))</f>
        <v/>
      </c>
      <c r="M868" s="31">
        <f>IF($A868="","",MAX($H868,$I868,$J868,$K868))</f>
        <v/>
      </c>
      <c r="O868" s="31">
        <f>IF($A868="","",MAX(0,$M868-IF($N868="TBO-001",$H868,IF($N868="TBO-002",$I868,IF($N868="TBO-004",$J868,IF($N868="TBO-ENG",$K868,0))))))</f>
        <v/>
      </c>
    </row>
    <row r="869">
      <c r="H869" s="31">
        <f>IF($A869="","",IF($D869="Evet",ROUND($C869*tbo_oranBesPuan,2),0))</f>
        <v/>
      </c>
      <c r="I869" s="31">
        <f>IF($A869="","",IF($E869="Evet",ROUND($C869*tbo_oranIlave,2),0))</f>
        <v/>
      </c>
      <c r="J869" s="31">
        <f>IF($A869="","",IF($F869="Evet",ROUND($C869*tbo_oranKadinGenc,2),0))</f>
        <v/>
      </c>
      <c r="K869" s="31">
        <f>IF($A869="","",IF($G869="Evet",ROUND($C869*tbo_isverenOran,2),0))</f>
        <v/>
      </c>
      <c r="L869" s="31">
        <f>IF($A869="","",IF($M869=0,"YOK",IF($I869=$M869,"TBO-002",IF($H869=$M869,"TBO-001",IF($J869=$M869,"TBO-004","TBO-ENG")))))</f>
        <v/>
      </c>
      <c r="M869" s="31">
        <f>IF($A869="","",MAX($H869,$I869,$J869,$K869))</f>
        <v/>
      </c>
      <c r="O869" s="31">
        <f>IF($A869="","",MAX(0,$M869-IF($N869="TBO-001",$H869,IF($N869="TBO-002",$I869,IF($N869="TBO-004",$J869,IF($N869="TBO-ENG",$K869,0))))))</f>
        <v/>
      </c>
    </row>
    <row r="870">
      <c r="H870" s="31">
        <f>IF($A870="","",IF($D870="Evet",ROUND($C870*tbo_oranBesPuan,2),0))</f>
        <v/>
      </c>
      <c r="I870" s="31">
        <f>IF($A870="","",IF($E870="Evet",ROUND($C870*tbo_oranIlave,2),0))</f>
        <v/>
      </c>
      <c r="J870" s="31">
        <f>IF($A870="","",IF($F870="Evet",ROUND($C870*tbo_oranKadinGenc,2),0))</f>
        <v/>
      </c>
      <c r="K870" s="31">
        <f>IF($A870="","",IF($G870="Evet",ROUND($C870*tbo_isverenOran,2),0))</f>
        <v/>
      </c>
      <c r="L870" s="31">
        <f>IF($A870="","",IF($M870=0,"YOK",IF($I870=$M870,"TBO-002",IF($H870=$M870,"TBO-001",IF($J870=$M870,"TBO-004","TBO-ENG")))))</f>
        <v/>
      </c>
      <c r="M870" s="31">
        <f>IF($A870="","",MAX($H870,$I870,$J870,$K870))</f>
        <v/>
      </c>
      <c r="O870" s="31">
        <f>IF($A870="","",MAX(0,$M870-IF($N870="TBO-001",$H870,IF($N870="TBO-002",$I870,IF($N870="TBO-004",$J870,IF($N870="TBO-ENG",$K870,0))))))</f>
        <v/>
      </c>
    </row>
    <row r="871">
      <c r="H871" s="31">
        <f>IF($A871="","",IF($D871="Evet",ROUND($C871*tbo_oranBesPuan,2),0))</f>
        <v/>
      </c>
      <c r="I871" s="31">
        <f>IF($A871="","",IF($E871="Evet",ROUND($C871*tbo_oranIlave,2),0))</f>
        <v/>
      </c>
      <c r="J871" s="31">
        <f>IF($A871="","",IF($F871="Evet",ROUND($C871*tbo_oranKadinGenc,2),0))</f>
        <v/>
      </c>
      <c r="K871" s="31">
        <f>IF($A871="","",IF($G871="Evet",ROUND($C871*tbo_isverenOran,2),0))</f>
        <v/>
      </c>
      <c r="L871" s="31">
        <f>IF($A871="","",IF($M871=0,"YOK",IF($I871=$M871,"TBO-002",IF($H871=$M871,"TBO-001",IF($J871=$M871,"TBO-004","TBO-ENG")))))</f>
        <v/>
      </c>
      <c r="M871" s="31">
        <f>IF($A871="","",MAX($H871,$I871,$J871,$K871))</f>
        <v/>
      </c>
      <c r="O871" s="31">
        <f>IF($A871="","",MAX(0,$M871-IF($N871="TBO-001",$H871,IF($N871="TBO-002",$I871,IF($N871="TBO-004",$J871,IF($N871="TBO-ENG",$K871,0))))))</f>
        <v/>
      </c>
    </row>
    <row r="872">
      <c r="H872" s="31">
        <f>IF($A872="","",IF($D872="Evet",ROUND($C872*tbo_oranBesPuan,2),0))</f>
        <v/>
      </c>
      <c r="I872" s="31">
        <f>IF($A872="","",IF($E872="Evet",ROUND($C872*tbo_oranIlave,2),0))</f>
        <v/>
      </c>
      <c r="J872" s="31">
        <f>IF($A872="","",IF($F872="Evet",ROUND($C872*tbo_oranKadinGenc,2),0))</f>
        <v/>
      </c>
      <c r="K872" s="31">
        <f>IF($A872="","",IF($G872="Evet",ROUND($C872*tbo_isverenOran,2),0))</f>
        <v/>
      </c>
      <c r="L872" s="31">
        <f>IF($A872="","",IF($M872=0,"YOK",IF($I872=$M872,"TBO-002",IF($H872=$M872,"TBO-001",IF($J872=$M872,"TBO-004","TBO-ENG")))))</f>
        <v/>
      </c>
      <c r="M872" s="31">
        <f>IF($A872="","",MAX($H872,$I872,$J872,$K872))</f>
        <v/>
      </c>
      <c r="O872" s="31">
        <f>IF($A872="","",MAX(0,$M872-IF($N872="TBO-001",$H872,IF($N872="TBO-002",$I872,IF($N872="TBO-004",$J872,IF($N872="TBO-ENG",$K872,0))))))</f>
        <v/>
      </c>
    </row>
    <row r="873">
      <c r="H873" s="31">
        <f>IF($A873="","",IF($D873="Evet",ROUND($C873*tbo_oranBesPuan,2),0))</f>
        <v/>
      </c>
      <c r="I873" s="31">
        <f>IF($A873="","",IF($E873="Evet",ROUND($C873*tbo_oranIlave,2),0))</f>
        <v/>
      </c>
      <c r="J873" s="31">
        <f>IF($A873="","",IF($F873="Evet",ROUND($C873*tbo_oranKadinGenc,2),0))</f>
        <v/>
      </c>
      <c r="K873" s="31">
        <f>IF($A873="","",IF($G873="Evet",ROUND($C873*tbo_isverenOran,2),0))</f>
        <v/>
      </c>
      <c r="L873" s="31">
        <f>IF($A873="","",IF($M873=0,"YOK",IF($I873=$M873,"TBO-002",IF($H873=$M873,"TBO-001",IF($J873=$M873,"TBO-004","TBO-ENG")))))</f>
        <v/>
      </c>
      <c r="M873" s="31">
        <f>IF($A873="","",MAX($H873,$I873,$J873,$K873))</f>
        <v/>
      </c>
      <c r="O873" s="31">
        <f>IF($A873="","",MAX(0,$M873-IF($N873="TBO-001",$H873,IF($N873="TBO-002",$I873,IF($N873="TBO-004",$J873,IF($N873="TBO-ENG",$K873,0))))))</f>
        <v/>
      </c>
    </row>
    <row r="874">
      <c r="H874" s="31">
        <f>IF($A874="","",IF($D874="Evet",ROUND($C874*tbo_oranBesPuan,2),0))</f>
        <v/>
      </c>
      <c r="I874" s="31">
        <f>IF($A874="","",IF($E874="Evet",ROUND($C874*tbo_oranIlave,2),0))</f>
        <v/>
      </c>
      <c r="J874" s="31">
        <f>IF($A874="","",IF($F874="Evet",ROUND($C874*tbo_oranKadinGenc,2),0))</f>
        <v/>
      </c>
      <c r="K874" s="31">
        <f>IF($A874="","",IF($G874="Evet",ROUND($C874*tbo_isverenOran,2),0))</f>
        <v/>
      </c>
      <c r="L874" s="31">
        <f>IF($A874="","",IF($M874=0,"YOK",IF($I874=$M874,"TBO-002",IF($H874=$M874,"TBO-001",IF($J874=$M874,"TBO-004","TBO-ENG")))))</f>
        <v/>
      </c>
      <c r="M874" s="31">
        <f>IF($A874="","",MAX($H874,$I874,$J874,$K874))</f>
        <v/>
      </c>
      <c r="O874" s="31">
        <f>IF($A874="","",MAX(0,$M874-IF($N874="TBO-001",$H874,IF($N874="TBO-002",$I874,IF($N874="TBO-004",$J874,IF($N874="TBO-ENG",$K874,0))))))</f>
        <v/>
      </c>
    </row>
    <row r="875">
      <c r="H875" s="31">
        <f>IF($A875="","",IF($D875="Evet",ROUND($C875*tbo_oranBesPuan,2),0))</f>
        <v/>
      </c>
      <c r="I875" s="31">
        <f>IF($A875="","",IF($E875="Evet",ROUND($C875*tbo_oranIlave,2),0))</f>
        <v/>
      </c>
      <c r="J875" s="31">
        <f>IF($A875="","",IF($F875="Evet",ROUND($C875*tbo_oranKadinGenc,2),0))</f>
        <v/>
      </c>
      <c r="K875" s="31">
        <f>IF($A875="","",IF($G875="Evet",ROUND($C875*tbo_isverenOran,2),0))</f>
        <v/>
      </c>
      <c r="L875" s="31">
        <f>IF($A875="","",IF($M875=0,"YOK",IF($I875=$M875,"TBO-002",IF($H875=$M875,"TBO-001",IF($J875=$M875,"TBO-004","TBO-ENG")))))</f>
        <v/>
      </c>
      <c r="M875" s="31">
        <f>IF($A875="","",MAX($H875,$I875,$J875,$K875))</f>
        <v/>
      </c>
      <c r="O875" s="31">
        <f>IF($A875="","",MAX(0,$M875-IF($N875="TBO-001",$H875,IF($N875="TBO-002",$I875,IF($N875="TBO-004",$J875,IF($N875="TBO-ENG",$K875,0))))))</f>
        <v/>
      </c>
    </row>
    <row r="876">
      <c r="H876" s="31">
        <f>IF($A876="","",IF($D876="Evet",ROUND($C876*tbo_oranBesPuan,2),0))</f>
        <v/>
      </c>
      <c r="I876" s="31">
        <f>IF($A876="","",IF($E876="Evet",ROUND($C876*tbo_oranIlave,2),0))</f>
        <v/>
      </c>
      <c r="J876" s="31">
        <f>IF($A876="","",IF($F876="Evet",ROUND($C876*tbo_oranKadinGenc,2),0))</f>
        <v/>
      </c>
      <c r="K876" s="31">
        <f>IF($A876="","",IF($G876="Evet",ROUND($C876*tbo_isverenOran,2),0))</f>
        <v/>
      </c>
      <c r="L876" s="31">
        <f>IF($A876="","",IF($M876=0,"YOK",IF($I876=$M876,"TBO-002",IF($H876=$M876,"TBO-001",IF($J876=$M876,"TBO-004","TBO-ENG")))))</f>
        <v/>
      </c>
      <c r="M876" s="31">
        <f>IF($A876="","",MAX($H876,$I876,$J876,$K876))</f>
        <v/>
      </c>
      <c r="O876" s="31">
        <f>IF($A876="","",MAX(0,$M876-IF($N876="TBO-001",$H876,IF($N876="TBO-002",$I876,IF($N876="TBO-004",$J876,IF($N876="TBO-ENG",$K876,0))))))</f>
        <v/>
      </c>
    </row>
    <row r="877">
      <c r="H877" s="31">
        <f>IF($A877="","",IF($D877="Evet",ROUND($C877*tbo_oranBesPuan,2),0))</f>
        <v/>
      </c>
      <c r="I877" s="31">
        <f>IF($A877="","",IF($E877="Evet",ROUND($C877*tbo_oranIlave,2),0))</f>
        <v/>
      </c>
      <c r="J877" s="31">
        <f>IF($A877="","",IF($F877="Evet",ROUND($C877*tbo_oranKadinGenc,2),0))</f>
        <v/>
      </c>
      <c r="K877" s="31">
        <f>IF($A877="","",IF($G877="Evet",ROUND($C877*tbo_isverenOran,2),0))</f>
        <v/>
      </c>
      <c r="L877" s="31">
        <f>IF($A877="","",IF($M877=0,"YOK",IF($I877=$M877,"TBO-002",IF($H877=$M877,"TBO-001",IF($J877=$M877,"TBO-004","TBO-ENG")))))</f>
        <v/>
      </c>
      <c r="M877" s="31">
        <f>IF($A877="","",MAX($H877,$I877,$J877,$K877))</f>
        <v/>
      </c>
      <c r="O877" s="31">
        <f>IF($A877="","",MAX(0,$M877-IF($N877="TBO-001",$H877,IF($N877="TBO-002",$I877,IF($N877="TBO-004",$J877,IF($N877="TBO-ENG",$K877,0))))))</f>
        <v/>
      </c>
    </row>
    <row r="878">
      <c r="H878" s="31">
        <f>IF($A878="","",IF($D878="Evet",ROUND($C878*tbo_oranBesPuan,2),0))</f>
        <v/>
      </c>
      <c r="I878" s="31">
        <f>IF($A878="","",IF($E878="Evet",ROUND($C878*tbo_oranIlave,2),0))</f>
        <v/>
      </c>
      <c r="J878" s="31">
        <f>IF($A878="","",IF($F878="Evet",ROUND($C878*tbo_oranKadinGenc,2),0))</f>
        <v/>
      </c>
      <c r="K878" s="31">
        <f>IF($A878="","",IF($G878="Evet",ROUND($C878*tbo_isverenOran,2),0))</f>
        <v/>
      </c>
      <c r="L878" s="31">
        <f>IF($A878="","",IF($M878=0,"YOK",IF($I878=$M878,"TBO-002",IF($H878=$M878,"TBO-001",IF($J878=$M878,"TBO-004","TBO-ENG")))))</f>
        <v/>
      </c>
      <c r="M878" s="31">
        <f>IF($A878="","",MAX($H878,$I878,$J878,$K878))</f>
        <v/>
      </c>
      <c r="O878" s="31">
        <f>IF($A878="","",MAX(0,$M878-IF($N878="TBO-001",$H878,IF($N878="TBO-002",$I878,IF($N878="TBO-004",$J878,IF($N878="TBO-ENG",$K878,0))))))</f>
        <v/>
      </c>
    </row>
    <row r="879">
      <c r="H879" s="31">
        <f>IF($A879="","",IF($D879="Evet",ROUND($C879*tbo_oranBesPuan,2),0))</f>
        <v/>
      </c>
      <c r="I879" s="31">
        <f>IF($A879="","",IF($E879="Evet",ROUND($C879*tbo_oranIlave,2),0))</f>
        <v/>
      </c>
      <c r="J879" s="31">
        <f>IF($A879="","",IF($F879="Evet",ROUND($C879*tbo_oranKadinGenc,2),0))</f>
        <v/>
      </c>
      <c r="K879" s="31">
        <f>IF($A879="","",IF($G879="Evet",ROUND($C879*tbo_isverenOran,2),0))</f>
        <v/>
      </c>
      <c r="L879" s="31">
        <f>IF($A879="","",IF($M879=0,"YOK",IF($I879=$M879,"TBO-002",IF($H879=$M879,"TBO-001",IF($J879=$M879,"TBO-004","TBO-ENG")))))</f>
        <v/>
      </c>
      <c r="M879" s="31">
        <f>IF($A879="","",MAX($H879,$I879,$J879,$K879))</f>
        <v/>
      </c>
      <c r="O879" s="31">
        <f>IF($A879="","",MAX(0,$M879-IF($N879="TBO-001",$H879,IF($N879="TBO-002",$I879,IF($N879="TBO-004",$J879,IF($N879="TBO-ENG",$K879,0))))))</f>
        <v/>
      </c>
    </row>
    <row r="880">
      <c r="H880" s="31">
        <f>IF($A880="","",IF($D880="Evet",ROUND($C880*tbo_oranBesPuan,2),0))</f>
        <v/>
      </c>
      <c r="I880" s="31">
        <f>IF($A880="","",IF($E880="Evet",ROUND($C880*tbo_oranIlave,2),0))</f>
        <v/>
      </c>
      <c r="J880" s="31">
        <f>IF($A880="","",IF($F880="Evet",ROUND($C880*tbo_oranKadinGenc,2),0))</f>
        <v/>
      </c>
      <c r="K880" s="31">
        <f>IF($A880="","",IF($G880="Evet",ROUND($C880*tbo_isverenOran,2),0))</f>
        <v/>
      </c>
      <c r="L880" s="31">
        <f>IF($A880="","",IF($M880=0,"YOK",IF($I880=$M880,"TBO-002",IF($H880=$M880,"TBO-001",IF($J880=$M880,"TBO-004","TBO-ENG")))))</f>
        <v/>
      </c>
      <c r="M880" s="31">
        <f>IF($A880="","",MAX($H880,$I880,$J880,$K880))</f>
        <v/>
      </c>
      <c r="O880" s="31">
        <f>IF($A880="","",MAX(0,$M880-IF($N880="TBO-001",$H880,IF($N880="TBO-002",$I880,IF($N880="TBO-004",$J880,IF($N880="TBO-ENG",$K880,0))))))</f>
        <v/>
      </c>
    </row>
    <row r="881">
      <c r="H881" s="31">
        <f>IF($A881="","",IF($D881="Evet",ROUND($C881*tbo_oranBesPuan,2),0))</f>
        <v/>
      </c>
      <c r="I881" s="31">
        <f>IF($A881="","",IF($E881="Evet",ROUND($C881*tbo_oranIlave,2),0))</f>
        <v/>
      </c>
      <c r="J881" s="31">
        <f>IF($A881="","",IF($F881="Evet",ROUND($C881*tbo_oranKadinGenc,2),0))</f>
        <v/>
      </c>
      <c r="K881" s="31">
        <f>IF($A881="","",IF($G881="Evet",ROUND($C881*tbo_isverenOran,2),0))</f>
        <v/>
      </c>
      <c r="L881" s="31">
        <f>IF($A881="","",IF($M881=0,"YOK",IF($I881=$M881,"TBO-002",IF($H881=$M881,"TBO-001",IF($J881=$M881,"TBO-004","TBO-ENG")))))</f>
        <v/>
      </c>
      <c r="M881" s="31">
        <f>IF($A881="","",MAX($H881,$I881,$J881,$K881))</f>
        <v/>
      </c>
      <c r="O881" s="31">
        <f>IF($A881="","",MAX(0,$M881-IF($N881="TBO-001",$H881,IF($N881="TBO-002",$I881,IF($N881="TBO-004",$J881,IF($N881="TBO-ENG",$K881,0))))))</f>
        <v/>
      </c>
    </row>
    <row r="882">
      <c r="H882" s="31">
        <f>IF($A882="","",IF($D882="Evet",ROUND($C882*tbo_oranBesPuan,2),0))</f>
        <v/>
      </c>
      <c r="I882" s="31">
        <f>IF($A882="","",IF($E882="Evet",ROUND($C882*tbo_oranIlave,2),0))</f>
        <v/>
      </c>
      <c r="J882" s="31">
        <f>IF($A882="","",IF($F882="Evet",ROUND($C882*tbo_oranKadinGenc,2),0))</f>
        <v/>
      </c>
      <c r="K882" s="31">
        <f>IF($A882="","",IF($G882="Evet",ROUND($C882*tbo_isverenOran,2),0))</f>
        <v/>
      </c>
      <c r="L882" s="31">
        <f>IF($A882="","",IF($M882=0,"YOK",IF($I882=$M882,"TBO-002",IF($H882=$M882,"TBO-001",IF($J882=$M882,"TBO-004","TBO-ENG")))))</f>
        <v/>
      </c>
      <c r="M882" s="31">
        <f>IF($A882="","",MAX($H882,$I882,$J882,$K882))</f>
        <v/>
      </c>
      <c r="O882" s="31">
        <f>IF($A882="","",MAX(0,$M882-IF($N882="TBO-001",$H882,IF($N882="TBO-002",$I882,IF($N882="TBO-004",$J882,IF($N882="TBO-ENG",$K882,0))))))</f>
        <v/>
      </c>
    </row>
    <row r="883">
      <c r="H883" s="31">
        <f>IF($A883="","",IF($D883="Evet",ROUND($C883*tbo_oranBesPuan,2),0))</f>
        <v/>
      </c>
      <c r="I883" s="31">
        <f>IF($A883="","",IF($E883="Evet",ROUND($C883*tbo_oranIlave,2),0))</f>
        <v/>
      </c>
      <c r="J883" s="31">
        <f>IF($A883="","",IF($F883="Evet",ROUND($C883*tbo_oranKadinGenc,2),0))</f>
        <v/>
      </c>
      <c r="K883" s="31">
        <f>IF($A883="","",IF($G883="Evet",ROUND($C883*tbo_isverenOran,2),0))</f>
        <v/>
      </c>
      <c r="L883" s="31">
        <f>IF($A883="","",IF($M883=0,"YOK",IF($I883=$M883,"TBO-002",IF($H883=$M883,"TBO-001",IF($J883=$M883,"TBO-004","TBO-ENG")))))</f>
        <v/>
      </c>
      <c r="M883" s="31">
        <f>IF($A883="","",MAX($H883,$I883,$J883,$K883))</f>
        <v/>
      </c>
      <c r="O883" s="31">
        <f>IF($A883="","",MAX(0,$M883-IF($N883="TBO-001",$H883,IF($N883="TBO-002",$I883,IF($N883="TBO-004",$J883,IF($N883="TBO-ENG",$K883,0))))))</f>
        <v/>
      </c>
    </row>
    <row r="884">
      <c r="H884" s="31">
        <f>IF($A884="","",IF($D884="Evet",ROUND($C884*tbo_oranBesPuan,2),0))</f>
        <v/>
      </c>
      <c r="I884" s="31">
        <f>IF($A884="","",IF($E884="Evet",ROUND($C884*tbo_oranIlave,2),0))</f>
        <v/>
      </c>
      <c r="J884" s="31">
        <f>IF($A884="","",IF($F884="Evet",ROUND($C884*tbo_oranKadinGenc,2),0))</f>
        <v/>
      </c>
      <c r="K884" s="31">
        <f>IF($A884="","",IF($G884="Evet",ROUND($C884*tbo_isverenOran,2),0))</f>
        <v/>
      </c>
      <c r="L884" s="31">
        <f>IF($A884="","",IF($M884=0,"YOK",IF($I884=$M884,"TBO-002",IF($H884=$M884,"TBO-001",IF($J884=$M884,"TBO-004","TBO-ENG")))))</f>
        <v/>
      </c>
      <c r="M884" s="31">
        <f>IF($A884="","",MAX($H884,$I884,$J884,$K884))</f>
        <v/>
      </c>
      <c r="O884" s="31">
        <f>IF($A884="","",MAX(0,$M884-IF($N884="TBO-001",$H884,IF($N884="TBO-002",$I884,IF($N884="TBO-004",$J884,IF($N884="TBO-ENG",$K884,0))))))</f>
        <v/>
      </c>
    </row>
    <row r="885">
      <c r="H885" s="31">
        <f>IF($A885="","",IF($D885="Evet",ROUND($C885*tbo_oranBesPuan,2),0))</f>
        <v/>
      </c>
      <c r="I885" s="31">
        <f>IF($A885="","",IF($E885="Evet",ROUND($C885*tbo_oranIlave,2),0))</f>
        <v/>
      </c>
      <c r="J885" s="31">
        <f>IF($A885="","",IF($F885="Evet",ROUND($C885*tbo_oranKadinGenc,2),0))</f>
        <v/>
      </c>
      <c r="K885" s="31">
        <f>IF($A885="","",IF($G885="Evet",ROUND($C885*tbo_isverenOran,2),0))</f>
        <v/>
      </c>
      <c r="L885" s="31">
        <f>IF($A885="","",IF($M885=0,"YOK",IF($I885=$M885,"TBO-002",IF($H885=$M885,"TBO-001",IF($J885=$M885,"TBO-004","TBO-ENG")))))</f>
        <v/>
      </c>
      <c r="M885" s="31">
        <f>IF($A885="","",MAX($H885,$I885,$J885,$K885))</f>
        <v/>
      </c>
      <c r="O885" s="31">
        <f>IF($A885="","",MAX(0,$M885-IF($N885="TBO-001",$H885,IF($N885="TBO-002",$I885,IF($N885="TBO-004",$J885,IF($N885="TBO-ENG",$K885,0))))))</f>
        <v/>
      </c>
    </row>
    <row r="886">
      <c r="H886" s="31">
        <f>IF($A886="","",IF($D886="Evet",ROUND($C886*tbo_oranBesPuan,2),0))</f>
        <v/>
      </c>
      <c r="I886" s="31">
        <f>IF($A886="","",IF($E886="Evet",ROUND($C886*tbo_oranIlave,2),0))</f>
        <v/>
      </c>
      <c r="J886" s="31">
        <f>IF($A886="","",IF($F886="Evet",ROUND($C886*tbo_oranKadinGenc,2),0))</f>
        <v/>
      </c>
      <c r="K886" s="31">
        <f>IF($A886="","",IF($G886="Evet",ROUND($C886*tbo_isverenOran,2),0))</f>
        <v/>
      </c>
      <c r="L886" s="31">
        <f>IF($A886="","",IF($M886=0,"YOK",IF($I886=$M886,"TBO-002",IF($H886=$M886,"TBO-001",IF($J886=$M886,"TBO-004","TBO-ENG")))))</f>
        <v/>
      </c>
      <c r="M886" s="31">
        <f>IF($A886="","",MAX($H886,$I886,$J886,$K886))</f>
        <v/>
      </c>
      <c r="O886" s="31">
        <f>IF($A886="","",MAX(0,$M886-IF($N886="TBO-001",$H886,IF($N886="TBO-002",$I886,IF($N886="TBO-004",$J886,IF($N886="TBO-ENG",$K886,0))))))</f>
        <v/>
      </c>
    </row>
    <row r="887">
      <c r="H887" s="31">
        <f>IF($A887="","",IF($D887="Evet",ROUND($C887*tbo_oranBesPuan,2),0))</f>
        <v/>
      </c>
      <c r="I887" s="31">
        <f>IF($A887="","",IF($E887="Evet",ROUND($C887*tbo_oranIlave,2),0))</f>
        <v/>
      </c>
      <c r="J887" s="31">
        <f>IF($A887="","",IF($F887="Evet",ROUND($C887*tbo_oranKadinGenc,2),0))</f>
        <v/>
      </c>
      <c r="K887" s="31">
        <f>IF($A887="","",IF($G887="Evet",ROUND($C887*tbo_isverenOran,2),0))</f>
        <v/>
      </c>
      <c r="L887" s="31">
        <f>IF($A887="","",IF($M887=0,"YOK",IF($I887=$M887,"TBO-002",IF($H887=$M887,"TBO-001",IF($J887=$M887,"TBO-004","TBO-ENG")))))</f>
        <v/>
      </c>
      <c r="M887" s="31">
        <f>IF($A887="","",MAX($H887,$I887,$J887,$K887))</f>
        <v/>
      </c>
      <c r="O887" s="31">
        <f>IF($A887="","",MAX(0,$M887-IF($N887="TBO-001",$H887,IF($N887="TBO-002",$I887,IF($N887="TBO-004",$J887,IF($N887="TBO-ENG",$K887,0))))))</f>
        <v/>
      </c>
    </row>
    <row r="888">
      <c r="H888" s="31">
        <f>IF($A888="","",IF($D888="Evet",ROUND($C888*tbo_oranBesPuan,2),0))</f>
        <v/>
      </c>
      <c r="I888" s="31">
        <f>IF($A888="","",IF($E888="Evet",ROUND($C888*tbo_oranIlave,2),0))</f>
        <v/>
      </c>
      <c r="J888" s="31">
        <f>IF($A888="","",IF($F888="Evet",ROUND($C888*tbo_oranKadinGenc,2),0))</f>
        <v/>
      </c>
      <c r="K888" s="31">
        <f>IF($A888="","",IF($G888="Evet",ROUND($C888*tbo_isverenOran,2),0))</f>
        <v/>
      </c>
      <c r="L888" s="31">
        <f>IF($A888="","",IF($M888=0,"YOK",IF($I888=$M888,"TBO-002",IF($H888=$M888,"TBO-001",IF($J888=$M888,"TBO-004","TBO-ENG")))))</f>
        <v/>
      </c>
      <c r="M888" s="31">
        <f>IF($A888="","",MAX($H888,$I888,$J888,$K888))</f>
        <v/>
      </c>
      <c r="O888" s="31">
        <f>IF($A888="","",MAX(0,$M888-IF($N888="TBO-001",$H888,IF($N888="TBO-002",$I888,IF($N888="TBO-004",$J888,IF($N888="TBO-ENG",$K888,0))))))</f>
        <v/>
      </c>
    </row>
    <row r="889">
      <c r="H889" s="31">
        <f>IF($A889="","",IF($D889="Evet",ROUND($C889*tbo_oranBesPuan,2),0))</f>
        <v/>
      </c>
      <c r="I889" s="31">
        <f>IF($A889="","",IF($E889="Evet",ROUND($C889*tbo_oranIlave,2),0))</f>
        <v/>
      </c>
      <c r="J889" s="31">
        <f>IF($A889="","",IF($F889="Evet",ROUND($C889*tbo_oranKadinGenc,2),0))</f>
        <v/>
      </c>
      <c r="K889" s="31">
        <f>IF($A889="","",IF($G889="Evet",ROUND($C889*tbo_isverenOran,2),0))</f>
        <v/>
      </c>
      <c r="L889" s="31">
        <f>IF($A889="","",IF($M889=0,"YOK",IF($I889=$M889,"TBO-002",IF($H889=$M889,"TBO-001",IF($J889=$M889,"TBO-004","TBO-ENG")))))</f>
        <v/>
      </c>
      <c r="M889" s="31">
        <f>IF($A889="","",MAX($H889,$I889,$J889,$K889))</f>
        <v/>
      </c>
      <c r="O889" s="31">
        <f>IF($A889="","",MAX(0,$M889-IF($N889="TBO-001",$H889,IF($N889="TBO-002",$I889,IF($N889="TBO-004",$J889,IF($N889="TBO-ENG",$K889,0))))))</f>
        <v/>
      </c>
    </row>
    <row r="890">
      <c r="H890" s="31">
        <f>IF($A890="","",IF($D890="Evet",ROUND($C890*tbo_oranBesPuan,2),0))</f>
        <v/>
      </c>
      <c r="I890" s="31">
        <f>IF($A890="","",IF($E890="Evet",ROUND($C890*tbo_oranIlave,2),0))</f>
        <v/>
      </c>
      <c r="J890" s="31">
        <f>IF($A890="","",IF($F890="Evet",ROUND($C890*tbo_oranKadinGenc,2),0))</f>
        <v/>
      </c>
      <c r="K890" s="31">
        <f>IF($A890="","",IF($G890="Evet",ROUND($C890*tbo_isverenOran,2),0))</f>
        <v/>
      </c>
      <c r="L890" s="31">
        <f>IF($A890="","",IF($M890=0,"YOK",IF($I890=$M890,"TBO-002",IF($H890=$M890,"TBO-001",IF($J890=$M890,"TBO-004","TBO-ENG")))))</f>
        <v/>
      </c>
      <c r="M890" s="31">
        <f>IF($A890="","",MAX($H890,$I890,$J890,$K890))</f>
        <v/>
      </c>
      <c r="O890" s="31">
        <f>IF($A890="","",MAX(0,$M890-IF($N890="TBO-001",$H890,IF($N890="TBO-002",$I890,IF($N890="TBO-004",$J890,IF($N890="TBO-ENG",$K890,0))))))</f>
        <v/>
      </c>
    </row>
    <row r="891">
      <c r="H891" s="31">
        <f>IF($A891="","",IF($D891="Evet",ROUND($C891*tbo_oranBesPuan,2),0))</f>
        <v/>
      </c>
      <c r="I891" s="31">
        <f>IF($A891="","",IF($E891="Evet",ROUND($C891*tbo_oranIlave,2),0))</f>
        <v/>
      </c>
      <c r="J891" s="31">
        <f>IF($A891="","",IF($F891="Evet",ROUND($C891*tbo_oranKadinGenc,2),0))</f>
        <v/>
      </c>
      <c r="K891" s="31">
        <f>IF($A891="","",IF($G891="Evet",ROUND($C891*tbo_isverenOran,2),0))</f>
        <v/>
      </c>
      <c r="L891" s="31">
        <f>IF($A891="","",IF($M891=0,"YOK",IF($I891=$M891,"TBO-002",IF($H891=$M891,"TBO-001",IF($J891=$M891,"TBO-004","TBO-ENG")))))</f>
        <v/>
      </c>
      <c r="M891" s="31">
        <f>IF($A891="","",MAX($H891,$I891,$J891,$K891))</f>
        <v/>
      </c>
      <c r="O891" s="31">
        <f>IF($A891="","",MAX(0,$M891-IF($N891="TBO-001",$H891,IF($N891="TBO-002",$I891,IF($N891="TBO-004",$J891,IF($N891="TBO-ENG",$K891,0))))))</f>
        <v/>
      </c>
    </row>
    <row r="892">
      <c r="H892" s="31">
        <f>IF($A892="","",IF($D892="Evet",ROUND($C892*tbo_oranBesPuan,2),0))</f>
        <v/>
      </c>
      <c r="I892" s="31">
        <f>IF($A892="","",IF($E892="Evet",ROUND($C892*tbo_oranIlave,2),0))</f>
        <v/>
      </c>
      <c r="J892" s="31">
        <f>IF($A892="","",IF($F892="Evet",ROUND($C892*tbo_oranKadinGenc,2),0))</f>
        <v/>
      </c>
      <c r="K892" s="31">
        <f>IF($A892="","",IF($G892="Evet",ROUND($C892*tbo_isverenOran,2),0))</f>
        <v/>
      </c>
      <c r="L892" s="31">
        <f>IF($A892="","",IF($M892=0,"YOK",IF($I892=$M892,"TBO-002",IF($H892=$M892,"TBO-001",IF($J892=$M892,"TBO-004","TBO-ENG")))))</f>
        <v/>
      </c>
      <c r="M892" s="31">
        <f>IF($A892="","",MAX($H892,$I892,$J892,$K892))</f>
        <v/>
      </c>
      <c r="O892" s="31">
        <f>IF($A892="","",MAX(0,$M892-IF($N892="TBO-001",$H892,IF($N892="TBO-002",$I892,IF($N892="TBO-004",$J892,IF($N892="TBO-ENG",$K892,0))))))</f>
        <v/>
      </c>
    </row>
    <row r="893">
      <c r="H893" s="31">
        <f>IF($A893="","",IF($D893="Evet",ROUND($C893*tbo_oranBesPuan,2),0))</f>
        <v/>
      </c>
      <c r="I893" s="31">
        <f>IF($A893="","",IF($E893="Evet",ROUND($C893*tbo_oranIlave,2),0))</f>
        <v/>
      </c>
      <c r="J893" s="31">
        <f>IF($A893="","",IF($F893="Evet",ROUND($C893*tbo_oranKadinGenc,2),0))</f>
        <v/>
      </c>
      <c r="K893" s="31">
        <f>IF($A893="","",IF($G893="Evet",ROUND($C893*tbo_isverenOran,2),0))</f>
        <v/>
      </c>
      <c r="L893" s="31">
        <f>IF($A893="","",IF($M893=0,"YOK",IF($I893=$M893,"TBO-002",IF($H893=$M893,"TBO-001",IF($J893=$M893,"TBO-004","TBO-ENG")))))</f>
        <v/>
      </c>
      <c r="M893" s="31">
        <f>IF($A893="","",MAX($H893,$I893,$J893,$K893))</f>
        <v/>
      </c>
      <c r="O893" s="31">
        <f>IF($A893="","",MAX(0,$M893-IF($N893="TBO-001",$H893,IF($N893="TBO-002",$I893,IF($N893="TBO-004",$J893,IF($N893="TBO-ENG",$K893,0))))))</f>
        <v/>
      </c>
    </row>
    <row r="894">
      <c r="H894" s="31">
        <f>IF($A894="","",IF($D894="Evet",ROUND($C894*tbo_oranBesPuan,2),0))</f>
        <v/>
      </c>
      <c r="I894" s="31">
        <f>IF($A894="","",IF($E894="Evet",ROUND($C894*tbo_oranIlave,2),0))</f>
        <v/>
      </c>
      <c r="J894" s="31">
        <f>IF($A894="","",IF($F894="Evet",ROUND($C894*tbo_oranKadinGenc,2),0))</f>
        <v/>
      </c>
      <c r="K894" s="31">
        <f>IF($A894="","",IF($G894="Evet",ROUND($C894*tbo_isverenOran,2),0))</f>
        <v/>
      </c>
      <c r="L894" s="31">
        <f>IF($A894="","",IF($M894=0,"YOK",IF($I894=$M894,"TBO-002",IF($H894=$M894,"TBO-001",IF($J894=$M894,"TBO-004","TBO-ENG")))))</f>
        <v/>
      </c>
      <c r="M894" s="31">
        <f>IF($A894="","",MAX($H894,$I894,$J894,$K894))</f>
        <v/>
      </c>
      <c r="O894" s="31">
        <f>IF($A894="","",MAX(0,$M894-IF($N894="TBO-001",$H894,IF($N894="TBO-002",$I894,IF($N894="TBO-004",$J894,IF($N894="TBO-ENG",$K894,0))))))</f>
        <v/>
      </c>
    </row>
    <row r="895">
      <c r="H895" s="31">
        <f>IF($A895="","",IF($D895="Evet",ROUND($C895*tbo_oranBesPuan,2),0))</f>
        <v/>
      </c>
      <c r="I895" s="31">
        <f>IF($A895="","",IF($E895="Evet",ROUND($C895*tbo_oranIlave,2),0))</f>
        <v/>
      </c>
      <c r="J895" s="31">
        <f>IF($A895="","",IF($F895="Evet",ROUND($C895*tbo_oranKadinGenc,2),0))</f>
        <v/>
      </c>
      <c r="K895" s="31">
        <f>IF($A895="","",IF($G895="Evet",ROUND($C895*tbo_isverenOran,2),0))</f>
        <v/>
      </c>
      <c r="L895" s="31">
        <f>IF($A895="","",IF($M895=0,"YOK",IF($I895=$M895,"TBO-002",IF($H895=$M895,"TBO-001",IF($J895=$M895,"TBO-004","TBO-ENG")))))</f>
        <v/>
      </c>
      <c r="M895" s="31">
        <f>IF($A895="","",MAX($H895,$I895,$J895,$K895))</f>
        <v/>
      </c>
      <c r="O895" s="31">
        <f>IF($A895="","",MAX(0,$M895-IF($N895="TBO-001",$H895,IF($N895="TBO-002",$I895,IF($N895="TBO-004",$J895,IF($N895="TBO-ENG",$K895,0))))))</f>
        <v/>
      </c>
    </row>
    <row r="896">
      <c r="H896" s="31">
        <f>IF($A896="","",IF($D896="Evet",ROUND($C896*tbo_oranBesPuan,2),0))</f>
        <v/>
      </c>
      <c r="I896" s="31">
        <f>IF($A896="","",IF($E896="Evet",ROUND($C896*tbo_oranIlave,2),0))</f>
        <v/>
      </c>
      <c r="J896" s="31">
        <f>IF($A896="","",IF($F896="Evet",ROUND($C896*tbo_oranKadinGenc,2),0))</f>
        <v/>
      </c>
      <c r="K896" s="31">
        <f>IF($A896="","",IF($G896="Evet",ROUND($C896*tbo_isverenOran,2),0))</f>
        <v/>
      </c>
      <c r="L896" s="31">
        <f>IF($A896="","",IF($M896=0,"YOK",IF($I896=$M896,"TBO-002",IF($H896=$M896,"TBO-001",IF($J896=$M896,"TBO-004","TBO-ENG")))))</f>
        <v/>
      </c>
      <c r="M896" s="31">
        <f>IF($A896="","",MAX($H896,$I896,$J896,$K896))</f>
        <v/>
      </c>
      <c r="O896" s="31">
        <f>IF($A896="","",MAX(0,$M896-IF($N896="TBO-001",$H896,IF($N896="TBO-002",$I896,IF($N896="TBO-004",$J896,IF($N896="TBO-ENG",$K896,0))))))</f>
        <v/>
      </c>
    </row>
    <row r="897">
      <c r="H897" s="31">
        <f>IF($A897="","",IF($D897="Evet",ROUND($C897*tbo_oranBesPuan,2),0))</f>
        <v/>
      </c>
      <c r="I897" s="31">
        <f>IF($A897="","",IF($E897="Evet",ROUND($C897*tbo_oranIlave,2),0))</f>
        <v/>
      </c>
      <c r="J897" s="31">
        <f>IF($A897="","",IF($F897="Evet",ROUND($C897*tbo_oranKadinGenc,2),0))</f>
        <v/>
      </c>
      <c r="K897" s="31">
        <f>IF($A897="","",IF($G897="Evet",ROUND($C897*tbo_isverenOran,2),0))</f>
        <v/>
      </c>
      <c r="L897" s="31">
        <f>IF($A897="","",IF($M897=0,"YOK",IF($I897=$M897,"TBO-002",IF($H897=$M897,"TBO-001",IF($J897=$M897,"TBO-004","TBO-ENG")))))</f>
        <v/>
      </c>
      <c r="M897" s="31">
        <f>IF($A897="","",MAX($H897,$I897,$J897,$K897))</f>
        <v/>
      </c>
      <c r="O897" s="31">
        <f>IF($A897="","",MAX(0,$M897-IF($N897="TBO-001",$H897,IF($N897="TBO-002",$I897,IF($N897="TBO-004",$J897,IF($N897="TBO-ENG",$K897,0))))))</f>
        <v/>
      </c>
    </row>
    <row r="898">
      <c r="H898" s="31">
        <f>IF($A898="","",IF($D898="Evet",ROUND($C898*tbo_oranBesPuan,2),0))</f>
        <v/>
      </c>
      <c r="I898" s="31">
        <f>IF($A898="","",IF($E898="Evet",ROUND($C898*tbo_oranIlave,2),0))</f>
        <v/>
      </c>
      <c r="J898" s="31">
        <f>IF($A898="","",IF($F898="Evet",ROUND($C898*tbo_oranKadinGenc,2),0))</f>
        <v/>
      </c>
      <c r="K898" s="31">
        <f>IF($A898="","",IF($G898="Evet",ROUND($C898*tbo_isverenOran,2),0))</f>
        <v/>
      </c>
      <c r="L898" s="31">
        <f>IF($A898="","",IF($M898=0,"YOK",IF($I898=$M898,"TBO-002",IF($H898=$M898,"TBO-001",IF($J898=$M898,"TBO-004","TBO-ENG")))))</f>
        <v/>
      </c>
      <c r="M898" s="31">
        <f>IF($A898="","",MAX($H898,$I898,$J898,$K898))</f>
        <v/>
      </c>
      <c r="O898" s="31">
        <f>IF($A898="","",MAX(0,$M898-IF($N898="TBO-001",$H898,IF($N898="TBO-002",$I898,IF($N898="TBO-004",$J898,IF($N898="TBO-ENG",$K898,0))))))</f>
        <v/>
      </c>
    </row>
    <row r="899">
      <c r="H899" s="31">
        <f>IF($A899="","",IF($D899="Evet",ROUND($C899*tbo_oranBesPuan,2),0))</f>
        <v/>
      </c>
      <c r="I899" s="31">
        <f>IF($A899="","",IF($E899="Evet",ROUND($C899*tbo_oranIlave,2),0))</f>
        <v/>
      </c>
      <c r="J899" s="31">
        <f>IF($A899="","",IF($F899="Evet",ROUND($C899*tbo_oranKadinGenc,2),0))</f>
        <v/>
      </c>
      <c r="K899" s="31">
        <f>IF($A899="","",IF($G899="Evet",ROUND($C899*tbo_isverenOran,2),0))</f>
        <v/>
      </c>
      <c r="L899" s="31">
        <f>IF($A899="","",IF($M899=0,"YOK",IF($I899=$M899,"TBO-002",IF($H899=$M899,"TBO-001",IF($J899=$M899,"TBO-004","TBO-ENG")))))</f>
        <v/>
      </c>
      <c r="M899" s="31">
        <f>IF($A899="","",MAX($H899,$I899,$J899,$K899))</f>
        <v/>
      </c>
      <c r="O899" s="31">
        <f>IF($A899="","",MAX(0,$M899-IF($N899="TBO-001",$H899,IF($N899="TBO-002",$I899,IF($N899="TBO-004",$J899,IF($N899="TBO-ENG",$K899,0))))))</f>
        <v/>
      </c>
    </row>
    <row r="900">
      <c r="H900" s="31">
        <f>IF($A900="","",IF($D900="Evet",ROUND($C900*tbo_oranBesPuan,2),0))</f>
        <v/>
      </c>
      <c r="I900" s="31">
        <f>IF($A900="","",IF($E900="Evet",ROUND($C900*tbo_oranIlave,2),0))</f>
        <v/>
      </c>
      <c r="J900" s="31">
        <f>IF($A900="","",IF($F900="Evet",ROUND($C900*tbo_oranKadinGenc,2),0))</f>
        <v/>
      </c>
      <c r="K900" s="31">
        <f>IF($A900="","",IF($G900="Evet",ROUND($C900*tbo_isverenOran,2),0))</f>
        <v/>
      </c>
      <c r="L900" s="31">
        <f>IF($A900="","",IF($M900=0,"YOK",IF($I900=$M900,"TBO-002",IF($H900=$M900,"TBO-001",IF($J900=$M900,"TBO-004","TBO-ENG")))))</f>
        <v/>
      </c>
      <c r="M900" s="31">
        <f>IF($A900="","",MAX($H900,$I900,$J900,$K900))</f>
        <v/>
      </c>
      <c r="O900" s="31">
        <f>IF($A900="","",MAX(0,$M900-IF($N900="TBO-001",$H900,IF($N900="TBO-002",$I900,IF($N900="TBO-004",$J900,IF($N900="TBO-ENG",$K900,0))))))</f>
        <v/>
      </c>
    </row>
    <row r="901">
      <c r="H901" s="31">
        <f>IF($A901="","",IF($D901="Evet",ROUND($C901*tbo_oranBesPuan,2),0))</f>
        <v/>
      </c>
      <c r="I901" s="31">
        <f>IF($A901="","",IF($E901="Evet",ROUND($C901*tbo_oranIlave,2),0))</f>
        <v/>
      </c>
      <c r="J901" s="31">
        <f>IF($A901="","",IF($F901="Evet",ROUND($C901*tbo_oranKadinGenc,2),0))</f>
        <v/>
      </c>
      <c r="K901" s="31">
        <f>IF($A901="","",IF($G901="Evet",ROUND($C901*tbo_isverenOran,2),0))</f>
        <v/>
      </c>
      <c r="L901" s="31">
        <f>IF($A901="","",IF($M901=0,"YOK",IF($I901=$M901,"TBO-002",IF($H901=$M901,"TBO-001",IF($J901=$M901,"TBO-004","TBO-ENG")))))</f>
        <v/>
      </c>
      <c r="M901" s="31">
        <f>IF($A901="","",MAX($H901,$I901,$J901,$K901))</f>
        <v/>
      </c>
      <c r="O901" s="31">
        <f>IF($A901="","",MAX(0,$M901-IF($N901="TBO-001",$H901,IF($N901="TBO-002",$I901,IF($N901="TBO-004",$J901,IF($N901="TBO-ENG",$K901,0))))))</f>
        <v/>
      </c>
    </row>
    <row r="902">
      <c r="H902" s="31">
        <f>IF($A902="","",IF($D902="Evet",ROUND($C902*tbo_oranBesPuan,2),0))</f>
        <v/>
      </c>
      <c r="I902" s="31">
        <f>IF($A902="","",IF($E902="Evet",ROUND($C902*tbo_oranIlave,2),0))</f>
        <v/>
      </c>
      <c r="J902" s="31">
        <f>IF($A902="","",IF($F902="Evet",ROUND($C902*tbo_oranKadinGenc,2),0))</f>
        <v/>
      </c>
      <c r="K902" s="31">
        <f>IF($A902="","",IF($G902="Evet",ROUND($C902*tbo_isverenOran,2),0))</f>
        <v/>
      </c>
      <c r="L902" s="31">
        <f>IF($A902="","",IF($M902=0,"YOK",IF($I902=$M902,"TBO-002",IF($H902=$M902,"TBO-001",IF($J902=$M902,"TBO-004","TBO-ENG")))))</f>
        <v/>
      </c>
      <c r="M902" s="31">
        <f>IF($A902="","",MAX($H902,$I902,$J902,$K902))</f>
        <v/>
      </c>
      <c r="O902" s="31">
        <f>IF($A902="","",MAX(0,$M902-IF($N902="TBO-001",$H902,IF($N902="TBO-002",$I902,IF($N902="TBO-004",$J902,IF($N902="TBO-ENG",$K902,0))))))</f>
        <v/>
      </c>
    </row>
    <row r="903">
      <c r="H903" s="31">
        <f>IF($A903="","",IF($D903="Evet",ROUND($C903*tbo_oranBesPuan,2),0))</f>
        <v/>
      </c>
      <c r="I903" s="31">
        <f>IF($A903="","",IF($E903="Evet",ROUND($C903*tbo_oranIlave,2),0))</f>
        <v/>
      </c>
      <c r="J903" s="31">
        <f>IF($A903="","",IF($F903="Evet",ROUND($C903*tbo_oranKadinGenc,2),0))</f>
        <v/>
      </c>
      <c r="K903" s="31">
        <f>IF($A903="","",IF($G903="Evet",ROUND($C903*tbo_isverenOran,2),0))</f>
        <v/>
      </c>
      <c r="L903" s="31">
        <f>IF($A903="","",IF($M903=0,"YOK",IF($I903=$M903,"TBO-002",IF($H903=$M903,"TBO-001",IF($J903=$M903,"TBO-004","TBO-ENG")))))</f>
        <v/>
      </c>
      <c r="M903" s="31">
        <f>IF($A903="","",MAX($H903,$I903,$J903,$K903))</f>
        <v/>
      </c>
      <c r="O903" s="31">
        <f>IF($A903="","",MAX(0,$M903-IF($N903="TBO-001",$H903,IF($N903="TBO-002",$I903,IF($N903="TBO-004",$J903,IF($N903="TBO-ENG",$K903,0))))))</f>
        <v/>
      </c>
    </row>
    <row r="904">
      <c r="H904" s="31">
        <f>IF($A904="","",IF($D904="Evet",ROUND($C904*tbo_oranBesPuan,2),0))</f>
        <v/>
      </c>
      <c r="I904" s="31">
        <f>IF($A904="","",IF($E904="Evet",ROUND($C904*tbo_oranIlave,2),0))</f>
        <v/>
      </c>
      <c r="J904" s="31">
        <f>IF($A904="","",IF($F904="Evet",ROUND($C904*tbo_oranKadinGenc,2),0))</f>
        <v/>
      </c>
      <c r="K904" s="31">
        <f>IF($A904="","",IF($G904="Evet",ROUND($C904*tbo_isverenOran,2),0))</f>
        <v/>
      </c>
      <c r="L904" s="31">
        <f>IF($A904="","",IF($M904=0,"YOK",IF($I904=$M904,"TBO-002",IF($H904=$M904,"TBO-001",IF($J904=$M904,"TBO-004","TBO-ENG")))))</f>
        <v/>
      </c>
      <c r="M904" s="31">
        <f>IF($A904="","",MAX($H904,$I904,$J904,$K904))</f>
        <v/>
      </c>
      <c r="O904" s="31">
        <f>IF($A904="","",MAX(0,$M904-IF($N904="TBO-001",$H904,IF($N904="TBO-002",$I904,IF($N904="TBO-004",$J904,IF($N904="TBO-ENG",$K904,0))))))</f>
        <v/>
      </c>
    </row>
    <row r="905">
      <c r="H905" s="31">
        <f>IF($A905="","",IF($D905="Evet",ROUND($C905*tbo_oranBesPuan,2),0))</f>
        <v/>
      </c>
      <c r="I905" s="31">
        <f>IF($A905="","",IF($E905="Evet",ROUND($C905*tbo_oranIlave,2),0))</f>
        <v/>
      </c>
      <c r="J905" s="31">
        <f>IF($A905="","",IF($F905="Evet",ROUND($C905*tbo_oranKadinGenc,2),0))</f>
        <v/>
      </c>
      <c r="K905" s="31">
        <f>IF($A905="","",IF($G905="Evet",ROUND($C905*tbo_isverenOran,2),0))</f>
        <v/>
      </c>
      <c r="L905" s="31">
        <f>IF($A905="","",IF($M905=0,"YOK",IF($I905=$M905,"TBO-002",IF($H905=$M905,"TBO-001",IF($J905=$M905,"TBO-004","TBO-ENG")))))</f>
        <v/>
      </c>
      <c r="M905" s="31">
        <f>IF($A905="","",MAX($H905,$I905,$J905,$K905))</f>
        <v/>
      </c>
      <c r="O905" s="31">
        <f>IF($A905="","",MAX(0,$M905-IF($N905="TBO-001",$H905,IF($N905="TBO-002",$I905,IF($N905="TBO-004",$J905,IF($N905="TBO-ENG",$K905,0))))))</f>
        <v/>
      </c>
    </row>
    <row r="906">
      <c r="H906" s="31">
        <f>IF($A906="","",IF($D906="Evet",ROUND($C906*tbo_oranBesPuan,2),0))</f>
        <v/>
      </c>
      <c r="I906" s="31">
        <f>IF($A906="","",IF($E906="Evet",ROUND($C906*tbo_oranIlave,2),0))</f>
        <v/>
      </c>
      <c r="J906" s="31">
        <f>IF($A906="","",IF($F906="Evet",ROUND($C906*tbo_oranKadinGenc,2),0))</f>
        <v/>
      </c>
      <c r="K906" s="31">
        <f>IF($A906="","",IF($G906="Evet",ROUND($C906*tbo_isverenOran,2),0))</f>
        <v/>
      </c>
      <c r="L906" s="31">
        <f>IF($A906="","",IF($M906=0,"YOK",IF($I906=$M906,"TBO-002",IF($H906=$M906,"TBO-001",IF($J906=$M906,"TBO-004","TBO-ENG")))))</f>
        <v/>
      </c>
      <c r="M906" s="31">
        <f>IF($A906="","",MAX($H906,$I906,$J906,$K906))</f>
        <v/>
      </c>
      <c r="O906" s="31">
        <f>IF($A906="","",MAX(0,$M906-IF($N906="TBO-001",$H906,IF($N906="TBO-002",$I906,IF($N906="TBO-004",$J906,IF($N906="TBO-ENG",$K906,0))))))</f>
        <v/>
      </c>
    </row>
    <row r="907">
      <c r="H907" s="31">
        <f>IF($A907="","",IF($D907="Evet",ROUND($C907*tbo_oranBesPuan,2),0))</f>
        <v/>
      </c>
      <c r="I907" s="31">
        <f>IF($A907="","",IF($E907="Evet",ROUND($C907*tbo_oranIlave,2),0))</f>
        <v/>
      </c>
      <c r="J907" s="31">
        <f>IF($A907="","",IF($F907="Evet",ROUND($C907*tbo_oranKadinGenc,2),0))</f>
        <v/>
      </c>
      <c r="K907" s="31">
        <f>IF($A907="","",IF($G907="Evet",ROUND($C907*tbo_isverenOran,2),0))</f>
        <v/>
      </c>
      <c r="L907" s="31">
        <f>IF($A907="","",IF($M907=0,"YOK",IF($I907=$M907,"TBO-002",IF($H907=$M907,"TBO-001",IF($J907=$M907,"TBO-004","TBO-ENG")))))</f>
        <v/>
      </c>
      <c r="M907" s="31">
        <f>IF($A907="","",MAX($H907,$I907,$J907,$K907))</f>
        <v/>
      </c>
      <c r="O907" s="31">
        <f>IF($A907="","",MAX(0,$M907-IF($N907="TBO-001",$H907,IF($N907="TBO-002",$I907,IF($N907="TBO-004",$J907,IF($N907="TBO-ENG",$K907,0))))))</f>
        <v/>
      </c>
    </row>
    <row r="908">
      <c r="H908" s="31">
        <f>IF($A908="","",IF($D908="Evet",ROUND($C908*tbo_oranBesPuan,2),0))</f>
        <v/>
      </c>
      <c r="I908" s="31">
        <f>IF($A908="","",IF($E908="Evet",ROUND($C908*tbo_oranIlave,2),0))</f>
        <v/>
      </c>
      <c r="J908" s="31">
        <f>IF($A908="","",IF($F908="Evet",ROUND($C908*tbo_oranKadinGenc,2),0))</f>
        <v/>
      </c>
      <c r="K908" s="31">
        <f>IF($A908="","",IF($G908="Evet",ROUND($C908*tbo_isverenOran,2),0))</f>
        <v/>
      </c>
      <c r="L908" s="31">
        <f>IF($A908="","",IF($M908=0,"YOK",IF($I908=$M908,"TBO-002",IF($H908=$M908,"TBO-001",IF($J908=$M908,"TBO-004","TBO-ENG")))))</f>
        <v/>
      </c>
      <c r="M908" s="31">
        <f>IF($A908="","",MAX($H908,$I908,$J908,$K908))</f>
        <v/>
      </c>
      <c r="O908" s="31">
        <f>IF($A908="","",MAX(0,$M908-IF($N908="TBO-001",$H908,IF($N908="TBO-002",$I908,IF($N908="TBO-004",$J908,IF($N908="TBO-ENG",$K908,0))))))</f>
        <v/>
      </c>
    </row>
    <row r="909">
      <c r="H909" s="31">
        <f>IF($A909="","",IF($D909="Evet",ROUND($C909*tbo_oranBesPuan,2),0))</f>
        <v/>
      </c>
      <c r="I909" s="31">
        <f>IF($A909="","",IF($E909="Evet",ROUND($C909*tbo_oranIlave,2),0))</f>
        <v/>
      </c>
      <c r="J909" s="31">
        <f>IF($A909="","",IF($F909="Evet",ROUND($C909*tbo_oranKadinGenc,2),0))</f>
        <v/>
      </c>
      <c r="K909" s="31">
        <f>IF($A909="","",IF($G909="Evet",ROUND($C909*tbo_isverenOran,2),0))</f>
        <v/>
      </c>
      <c r="L909" s="31">
        <f>IF($A909="","",IF($M909=0,"YOK",IF($I909=$M909,"TBO-002",IF($H909=$M909,"TBO-001",IF($J909=$M909,"TBO-004","TBO-ENG")))))</f>
        <v/>
      </c>
      <c r="M909" s="31">
        <f>IF($A909="","",MAX($H909,$I909,$J909,$K909))</f>
        <v/>
      </c>
      <c r="O909" s="31">
        <f>IF($A909="","",MAX(0,$M909-IF($N909="TBO-001",$H909,IF($N909="TBO-002",$I909,IF($N909="TBO-004",$J909,IF($N909="TBO-ENG",$K909,0))))))</f>
        <v/>
      </c>
    </row>
    <row r="910">
      <c r="H910" s="31">
        <f>IF($A910="","",IF($D910="Evet",ROUND($C910*tbo_oranBesPuan,2),0))</f>
        <v/>
      </c>
      <c r="I910" s="31">
        <f>IF($A910="","",IF($E910="Evet",ROUND($C910*tbo_oranIlave,2),0))</f>
        <v/>
      </c>
      <c r="J910" s="31">
        <f>IF($A910="","",IF($F910="Evet",ROUND($C910*tbo_oranKadinGenc,2),0))</f>
        <v/>
      </c>
      <c r="K910" s="31">
        <f>IF($A910="","",IF($G910="Evet",ROUND($C910*tbo_isverenOran,2),0))</f>
        <v/>
      </c>
      <c r="L910" s="31">
        <f>IF($A910="","",IF($M910=0,"YOK",IF($I910=$M910,"TBO-002",IF($H910=$M910,"TBO-001",IF($J910=$M910,"TBO-004","TBO-ENG")))))</f>
        <v/>
      </c>
      <c r="M910" s="31">
        <f>IF($A910="","",MAX($H910,$I910,$J910,$K910))</f>
        <v/>
      </c>
      <c r="O910" s="31">
        <f>IF($A910="","",MAX(0,$M910-IF($N910="TBO-001",$H910,IF($N910="TBO-002",$I910,IF($N910="TBO-004",$J910,IF($N910="TBO-ENG",$K910,0))))))</f>
        <v/>
      </c>
    </row>
    <row r="911">
      <c r="H911" s="31">
        <f>IF($A911="","",IF($D911="Evet",ROUND($C911*tbo_oranBesPuan,2),0))</f>
        <v/>
      </c>
      <c r="I911" s="31">
        <f>IF($A911="","",IF($E911="Evet",ROUND($C911*tbo_oranIlave,2),0))</f>
        <v/>
      </c>
      <c r="J911" s="31">
        <f>IF($A911="","",IF($F911="Evet",ROUND($C911*tbo_oranKadinGenc,2),0))</f>
        <v/>
      </c>
      <c r="K911" s="31">
        <f>IF($A911="","",IF($G911="Evet",ROUND($C911*tbo_isverenOran,2),0))</f>
        <v/>
      </c>
      <c r="L911" s="31">
        <f>IF($A911="","",IF($M911=0,"YOK",IF($I911=$M911,"TBO-002",IF($H911=$M911,"TBO-001",IF($J911=$M911,"TBO-004","TBO-ENG")))))</f>
        <v/>
      </c>
      <c r="M911" s="31">
        <f>IF($A911="","",MAX($H911,$I911,$J911,$K911))</f>
        <v/>
      </c>
      <c r="O911" s="31">
        <f>IF($A911="","",MAX(0,$M911-IF($N911="TBO-001",$H911,IF($N911="TBO-002",$I911,IF($N911="TBO-004",$J911,IF($N911="TBO-ENG",$K911,0))))))</f>
        <v/>
      </c>
    </row>
    <row r="912">
      <c r="H912" s="31">
        <f>IF($A912="","",IF($D912="Evet",ROUND($C912*tbo_oranBesPuan,2),0))</f>
        <v/>
      </c>
      <c r="I912" s="31">
        <f>IF($A912="","",IF($E912="Evet",ROUND($C912*tbo_oranIlave,2),0))</f>
        <v/>
      </c>
      <c r="J912" s="31">
        <f>IF($A912="","",IF($F912="Evet",ROUND($C912*tbo_oranKadinGenc,2),0))</f>
        <v/>
      </c>
      <c r="K912" s="31">
        <f>IF($A912="","",IF($G912="Evet",ROUND($C912*tbo_isverenOran,2),0))</f>
        <v/>
      </c>
      <c r="L912" s="31">
        <f>IF($A912="","",IF($M912=0,"YOK",IF($I912=$M912,"TBO-002",IF($H912=$M912,"TBO-001",IF($J912=$M912,"TBO-004","TBO-ENG")))))</f>
        <v/>
      </c>
      <c r="M912" s="31">
        <f>IF($A912="","",MAX($H912,$I912,$J912,$K912))</f>
        <v/>
      </c>
      <c r="O912" s="31">
        <f>IF($A912="","",MAX(0,$M912-IF($N912="TBO-001",$H912,IF($N912="TBO-002",$I912,IF($N912="TBO-004",$J912,IF($N912="TBO-ENG",$K912,0))))))</f>
        <v/>
      </c>
    </row>
    <row r="913">
      <c r="H913" s="31">
        <f>IF($A913="","",IF($D913="Evet",ROUND($C913*tbo_oranBesPuan,2),0))</f>
        <v/>
      </c>
      <c r="I913" s="31">
        <f>IF($A913="","",IF($E913="Evet",ROUND($C913*tbo_oranIlave,2),0))</f>
        <v/>
      </c>
      <c r="J913" s="31">
        <f>IF($A913="","",IF($F913="Evet",ROUND($C913*tbo_oranKadinGenc,2),0))</f>
        <v/>
      </c>
      <c r="K913" s="31">
        <f>IF($A913="","",IF($G913="Evet",ROUND($C913*tbo_isverenOran,2),0))</f>
        <v/>
      </c>
      <c r="L913" s="31">
        <f>IF($A913="","",IF($M913=0,"YOK",IF($I913=$M913,"TBO-002",IF($H913=$M913,"TBO-001",IF($J913=$M913,"TBO-004","TBO-ENG")))))</f>
        <v/>
      </c>
      <c r="M913" s="31">
        <f>IF($A913="","",MAX($H913,$I913,$J913,$K913))</f>
        <v/>
      </c>
      <c r="O913" s="31">
        <f>IF($A913="","",MAX(0,$M913-IF($N913="TBO-001",$H913,IF($N913="TBO-002",$I913,IF($N913="TBO-004",$J913,IF($N913="TBO-ENG",$K913,0))))))</f>
        <v/>
      </c>
    </row>
    <row r="914">
      <c r="H914" s="31">
        <f>IF($A914="","",IF($D914="Evet",ROUND($C914*tbo_oranBesPuan,2),0))</f>
        <v/>
      </c>
      <c r="I914" s="31">
        <f>IF($A914="","",IF($E914="Evet",ROUND($C914*tbo_oranIlave,2),0))</f>
        <v/>
      </c>
      <c r="J914" s="31">
        <f>IF($A914="","",IF($F914="Evet",ROUND($C914*tbo_oranKadinGenc,2),0))</f>
        <v/>
      </c>
      <c r="K914" s="31">
        <f>IF($A914="","",IF($G914="Evet",ROUND($C914*tbo_isverenOran,2),0))</f>
        <v/>
      </c>
      <c r="L914" s="31">
        <f>IF($A914="","",IF($M914=0,"YOK",IF($I914=$M914,"TBO-002",IF($H914=$M914,"TBO-001",IF($J914=$M914,"TBO-004","TBO-ENG")))))</f>
        <v/>
      </c>
      <c r="M914" s="31">
        <f>IF($A914="","",MAX($H914,$I914,$J914,$K914))</f>
        <v/>
      </c>
      <c r="O914" s="31">
        <f>IF($A914="","",MAX(0,$M914-IF($N914="TBO-001",$H914,IF($N914="TBO-002",$I914,IF($N914="TBO-004",$J914,IF($N914="TBO-ENG",$K914,0))))))</f>
        <v/>
      </c>
    </row>
    <row r="915">
      <c r="H915" s="31">
        <f>IF($A915="","",IF($D915="Evet",ROUND($C915*tbo_oranBesPuan,2),0))</f>
        <v/>
      </c>
      <c r="I915" s="31">
        <f>IF($A915="","",IF($E915="Evet",ROUND($C915*tbo_oranIlave,2),0))</f>
        <v/>
      </c>
      <c r="J915" s="31">
        <f>IF($A915="","",IF($F915="Evet",ROUND($C915*tbo_oranKadinGenc,2),0))</f>
        <v/>
      </c>
      <c r="K915" s="31">
        <f>IF($A915="","",IF($G915="Evet",ROUND($C915*tbo_isverenOran,2),0))</f>
        <v/>
      </c>
      <c r="L915" s="31">
        <f>IF($A915="","",IF($M915=0,"YOK",IF($I915=$M915,"TBO-002",IF($H915=$M915,"TBO-001",IF($J915=$M915,"TBO-004","TBO-ENG")))))</f>
        <v/>
      </c>
      <c r="M915" s="31">
        <f>IF($A915="","",MAX($H915,$I915,$J915,$K915))</f>
        <v/>
      </c>
      <c r="O915" s="31">
        <f>IF($A915="","",MAX(0,$M915-IF($N915="TBO-001",$H915,IF($N915="TBO-002",$I915,IF($N915="TBO-004",$J915,IF($N915="TBO-ENG",$K915,0))))))</f>
        <v/>
      </c>
    </row>
    <row r="916">
      <c r="H916" s="31">
        <f>IF($A916="","",IF($D916="Evet",ROUND($C916*tbo_oranBesPuan,2),0))</f>
        <v/>
      </c>
      <c r="I916" s="31">
        <f>IF($A916="","",IF($E916="Evet",ROUND($C916*tbo_oranIlave,2),0))</f>
        <v/>
      </c>
      <c r="J916" s="31">
        <f>IF($A916="","",IF($F916="Evet",ROUND($C916*tbo_oranKadinGenc,2),0))</f>
        <v/>
      </c>
      <c r="K916" s="31">
        <f>IF($A916="","",IF($G916="Evet",ROUND($C916*tbo_isverenOran,2),0))</f>
        <v/>
      </c>
      <c r="L916" s="31">
        <f>IF($A916="","",IF($M916=0,"YOK",IF($I916=$M916,"TBO-002",IF($H916=$M916,"TBO-001",IF($J916=$M916,"TBO-004","TBO-ENG")))))</f>
        <v/>
      </c>
      <c r="M916" s="31">
        <f>IF($A916="","",MAX($H916,$I916,$J916,$K916))</f>
        <v/>
      </c>
      <c r="O916" s="31">
        <f>IF($A916="","",MAX(0,$M916-IF($N916="TBO-001",$H916,IF($N916="TBO-002",$I916,IF($N916="TBO-004",$J916,IF($N916="TBO-ENG",$K916,0))))))</f>
        <v/>
      </c>
    </row>
    <row r="917">
      <c r="H917" s="31">
        <f>IF($A917="","",IF($D917="Evet",ROUND($C917*tbo_oranBesPuan,2),0))</f>
        <v/>
      </c>
      <c r="I917" s="31">
        <f>IF($A917="","",IF($E917="Evet",ROUND($C917*tbo_oranIlave,2),0))</f>
        <v/>
      </c>
      <c r="J917" s="31">
        <f>IF($A917="","",IF($F917="Evet",ROUND($C917*tbo_oranKadinGenc,2),0))</f>
        <v/>
      </c>
      <c r="K917" s="31">
        <f>IF($A917="","",IF($G917="Evet",ROUND($C917*tbo_isverenOran,2),0))</f>
        <v/>
      </c>
      <c r="L917" s="31">
        <f>IF($A917="","",IF($M917=0,"YOK",IF($I917=$M917,"TBO-002",IF($H917=$M917,"TBO-001",IF($J917=$M917,"TBO-004","TBO-ENG")))))</f>
        <v/>
      </c>
      <c r="M917" s="31">
        <f>IF($A917="","",MAX($H917,$I917,$J917,$K917))</f>
        <v/>
      </c>
      <c r="O917" s="31">
        <f>IF($A917="","",MAX(0,$M917-IF($N917="TBO-001",$H917,IF($N917="TBO-002",$I917,IF($N917="TBO-004",$J917,IF($N917="TBO-ENG",$K917,0))))))</f>
        <v/>
      </c>
    </row>
    <row r="918">
      <c r="H918" s="31">
        <f>IF($A918="","",IF($D918="Evet",ROUND($C918*tbo_oranBesPuan,2),0))</f>
        <v/>
      </c>
      <c r="I918" s="31">
        <f>IF($A918="","",IF($E918="Evet",ROUND($C918*tbo_oranIlave,2),0))</f>
        <v/>
      </c>
      <c r="J918" s="31">
        <f>IF($A918="","",IF($F918="Evet",ROUND($C918*tbo_oranKadinGenc,2),0))</f>
        <v/>
      </c>
      <c r="K918" s="31">
        <f>IF($A918="","",IF($G918="Evet",ROUND($C918*tbo_isverenOran,2),0))</f>
        <v/>
      </c>
      <c r="L918" s="31">
        <f>IF($A918="","",IF($M918=0,"YOK",IF($I918=$M918,"TBO-002",IF($H918=$M918,"TBO-001",IF($J918=$M918,"TBO-004","TBO-ENG")))))</f>
        <v/>
      </c>
      <c r="M918" s="31">
        <f>IF($A918="","",MAX($H918,$I918,$J918,$K918))</f>
        <v/>
      </c>
      <c r="O918" s="31">
        <f>IF($A918="","",MAX(0,$M918-IF($N918="TBO-001",$H918,IF($N918="TBO-002",$I918,IF($N918="TBO-004",$J918,IF($N918="TBO-ENG",$K918,0))))))</f>
        <v/>
      </c>
    </row>
    <row r="919">
      <c r="H919" s="31">
        <f>IF($A919="","",IF($D919="Evet",ROUND($C919*tbo_oranBesPuan,2),0))</f>
        <v/>
      </c>
      <c r="I919" s="31">
        <f>IF($A919="","",IF($E919="Evet",ROUND($C919*tbo_oranIlave,2),0))</f>
        <v/>
      </c>
      <c r="J919" s="31">
        <f>IF($A919="","",IF($F919="Evet",ROUND($C919*tbo_oranKadinGenc,2),0))</f>
        <v/>
      </c>
      <c r="K919" s="31">
        <f>IF($A919="","",IF($G919="Evet",ROUND($C919*tbo_isverenOran,2),0))</f>
        <v/>
      </c>
      <c r="L919" s="31">
        <f>IF($A919="","",IF($M919=0,"YOK",IF($I919=$M919,"TBO-002",IF($H919=$M919,"TBO-001",IF($J919=$M919,"TBO-004","TBO-ENG")))))</f>
        <v/>
      </c>
      <c r="M919" s="31">
        <f>IF($A919="","",MAX($H919,$I919,$J919,$K919))</f>
        <v/>
      </c>
      <c r="O919" s="31">
        <f>IF($A919="","",MAX(0,$M919-IF($N919="TBO-001",$H919,IF($N919="TBO-002",$I919,IF($N919="TBO-004",$J919,IF($N919="TBO-ENG",$K919,0))))))</f>
        <v/>
      </c>
    </row>
    <row r="920">
      <c r="H920" s="31">
        <f>IF($A920="","",IF($D920="Evet",ROUND($C920*tbo_oranBesPuan,2),0))</f>
        <v/>
      </c>
      <c r="I920" s="31">
        <f>IF($A920="","",IF($E920="Evet",ROUND($C920*tbo_oranIlave,2),0))</f>
        <v/>
      </c>
      <c r="J920" s="31">
        <f>IF($A920="","",IF($F920="Evet",ROUND($C920*tbo_oranKadinGenc,2),0))</f>
        <v/>
      </c>
      <c r="K920" s="31">
        <f>IF($A920="","",IF($G920="Evet",ROUND($C920*tbo_isverenOran,2),0))</f>
        <v/>
      </c>
      <c r="L920" s="31">
        <f>IF($A920="","",IF($M920=0,"YOK",IF($I920=$M920,"TBO-002",IF($H920=$M920,"TBO-001",IF($J920=$M920,"TBO-004","TBO-ENG")))))</f>
        <v/>
      </c>
      <c r="M920" s="31">
        <f>IF($A920="","",MAX($H920,$I920,$J920,$K920))</f>
        <v/>
      </c>
      <c r="O920" s="31">
        <f>IF($A920="","",MAX(0,$M920-IF($N920="TBO-001",$H920,IF($N920="TBO-002",$I920,IF($N920="TBO-004",$J920,IF($N920="TBO-ENG",$K920,0))))))</f>
        <v/>
      </c>
    </row>
    <row r="921">
      <c r="H921" s="31">
        <f>IF($A921="","",IF($D921="Evet",ROUND($C921*tbo_oranBesPuan,2),0))</f>
        <v/>
      </c>
      <c r="I921" s="31">
        <f>IF($A921="","",IF($E921="Evet",ROUND($C921*tbo_oranIlave,2),0))</f>
        <v/>
      </c>
      <c r="J921" s="31">
        <f>IF($A921="","",IF($F921="Evet",ROUND($C921*tbo_oranKadinGenc,2),0))</f>
        <v/>
      </c>
      <c r="K921" s="31">
        <f>IF($A921="","",IF($G921="Evet",ROUND($C921*tbo_isverenOran,2),0))</f>
        <v/>
      </c>
      <c r="L921" s="31">
        <f>IF($A921="","",IF($M921=0,"YOK",IF($I921=$M921,"TBO-002",IF($H921=$M921,"TBO-001",IF($J921=$M921,"TBO-004","TBO-ENG")))))</f>
        <v/>
      </c>
      <c r="M921" s="31">
        <f>IF($A921="","",MAX($H921,$I921,$J921,$K921))</f>
        <v/>
      </c>
      <c r="O921" s="31">
        <f>IF($A921="","",MAX(0,$M921-IF($N921="TBO-001",$H921,IF($N921="TBO-002",$I921,IF($N921="TBO-004",$J921,IF($N921="TBO-ENG",$K921,0))))))</f>
        <v/>
      </c>
    </row>
    <row r="922">
      <c r="H922" s="31">
        <f>IF($A922="","",IF($D922="Evet",ROUND($C922*tbo_oranBesPuan,2),0))</f>
        <v/>
      </c>
      <c r="I922" s="31">
        <f>IF($A922="","",IF($E922="Evet",ROUND($C922*tbo_oranIlave,2),0))</f>
        <v/>
      </c>
      <c r="J922" s="31">
        <f>IF($A922="","",IF($F922="Evet",ROUND($C922*tbo_oranKadinGenc,2),0))</f>
        <v/>
      </c>
      <c r="K922" s="31">
        <f>IF($A922="","",IF($G922="Evet",ROUND($C922*tbo_isverenOran,2),0))</f>
        <v/>
      </c>
      <c r="L922" s="31">
        <f>IF($A922="","",IF($M922=0,"YOK",IF($I922=$M922,"TBO-002",IF($H922=$M922,"TBO-001",IF($J922=$M922,"TBO-004","TBO-ENG")))))</f>
        <v/>
      </c>
      <c r="M922" s="31">
        <f>IF($A922="","",MAX($H922,$I922,$J922,$K922))</f>
        <v/>
      </c>
      <c r="O922" s="31">
        <f>IF($A922="","",MAX(0,$M922-IF($N922="TBO-001",$H922,IF($N922="TBO-002",$I922,IF($N922="TBO-004",$J922,IF($N922="TBO-ENG",$K922,0))))))</f>
        <v/>
      </c>
    </row>
    <row r="923">
      <c r="H923" s="31">
        <f>IF($A923="","",IF($D923="Evet",ROUND($C923*tbo_oranBesPuan,2),0))</f>
        <v/>
      </c>
      <c r="I923" s="31">
        <f>IF($A923="","",IF($E923="Evet",ROUND($C923*tbo_oranIlave,2),0))</f>
        <v/>
      </c>
      <c r="J923" s="31">
        <f>IF($A923="","",IF($F923="Evet",ROUND($C923*tbo_oranKadinGenc,2),0))</f>
        <v/>
      </c>
      <c r="K923" s="31">
        <f>IF($A923="","",IF($G923="Evet",ROUND($C923*tbo_isverenOran,2),0))</f>
        <v/>
      </c>
      <c r="L923" s="31">
        <f>IF($A923="","",IF($M923=0,"YOK",IF($I923=$M923,"TBO-002",IF($H923=$M923,"TBO-001",IF($J923=$M923,"TBO-004","TBO-ENG")))))</f>
        <v/>
      </c>
      <c r="M923" s="31">
        <f>IF($A923="","",MAX($H923,$I923,$J923,$K923))</f>
        <v/>
      </c>
      <c r="O923" s="31">
        <f>IF($A923="","",MAX(0,$M923-IF($N923="TBO-001",$H923,IF($N923="TBO-002",$I923,IF($N923="TBO-004",$J923,IF($N923="TBO-ENG",$K923,0))))))</f>
        <v/>
      </c>
    </row>
    <row r="924">
      <c r="H924" s="31">
        <f>IF($A924="","",IF($D924="Evet",ROUND($C924*tbo_oranBesPuan,2),0))</f>
        <v/>
      </c>
      <c r="I924" s="31">
        <f>IF($A924="","",IF($E924="Evet",ROUND($C924*tbo_oranIlave,2),0))</f>
        <v/>
      </c>
      <c r="J924" s="31">
        <f>IF($A924="","",IF($F924="Evet",ROUND($C924*tbo_oranKadinGenc,2),0))</f>
        <v/>
      </c>
      <c r="K924" s="31">
        <f>IF($A924="","",IF($G924="Evet",ROUND($C924*tbo_isverenOran,2),0))</f>
        <v/>
      </c>
      <c r="L924" s="31">
        <f>IF($A924="","",IF($M924=0,"YOK",IF($I924=$M924,"TBO-002",IF($H924=$M924,"TBO-001",IF($J924=$M924,"TBO-004","TBO-ENG")))))</f>
        <v/>
      </c>
      <c r="M924" s="31">
        <f>IF($A924="","",MAX($H924,$I924,$J924,$K924))</f>
        <v/>
      </c>
      <c r="O924" s="31">
        <f>IF($A924="","",MAX(0,$M924-IF($N924="TBO-001",$H924,IF($N924="TBO-002",$I924,IF($N924="TBO-004",$J924,IF($N924="TBO-ENG",$K924,0))))))</f>
        <v/>
      </c>
    </row>
    <row r="925">
      <c r="H925" s="31">
        <f>IF($A925="","",IF($D925="Evet",ROUND($C925*tbo_oranBesPuan,2),0))</f>
        <v/>
      </c>
      <c r="I925" s="31">
        <f>IF($A925="","",IF($E925="Evet",ROUND($C925*tbo_oranIlave,2),0))</f>
        <v/>
      </c>
      <c r="J925" s="31">
        <f>IF($A925="","",IF($F925="Evet",ROUND($C925*tbo_oranKadinGenc,2),0))</f>
        <v/>
      </c>
      <c r="K925" s="31">
        <f>IF($A925="","",IF($G925="Evet",ROUND($C925*tbo_isverenOran,2),0))</f>
        <v/>
      </c>
      <c r="L925" s="31">
        <f>IF($A925="","",IF($M925=0,"YOK",IF($I925=$M925,"TBO-002",IF($H925=$M925,"TBO-001",IF($J925=$M925,"TBO-004","TBO-ENG")))))</f>
        <v/>
      </c>
      <c r="M925" s="31">
        <f>IF($A925="","",MAX($H925,$I925,$J925,$K925))</f>
        <v/>
      </c>
      <c r="O925" s="31">
        <f>IF($A925="","",MAX(0,$M925-IF($N925="TBO-001",$H925,IF($N925="TBO-002",$I925,IF($N925="TBO-004",$J925,IF($N925="TBO-ENG",$K925,0))))))</f>
        <v/>
      </c>
    </row>
    <row r="926">
      <c r="H926" s="31">
        <f>IF($A926="","",IF($D926="Evet",ROUND($C926*tbo_oranBesPuan,2),0))</f>
        <v/>
      </c>
      <c r="I926" s="31">
        <f>IF($A926="","",IF($E926="Evet",ROUND($C926*tbo_oranIlave,2),0))</f>
        <v/>
      </c>
      <c r="J926" s="31">
        <f>IF($A926="","",IF($F926="Evet",ROUND($C926*tbo_oranKadinGenc,2),0))</f>
        <v/>
      </c>
      <c r="K926" s="31">
        <f>IF($A926="","",IF($G926="Evet",ROUND($C926*tbo_isverenOran,2),0))</f>
        <v/>
      </c>
      <c r="L926" s="31">
        <f>IF($A926="","",IF($M926=0,"YOK",IF($I926=$M926,"TBO-002",IF($H926=$M926,"TBO-001",IF($J926=$M926,"TBO-004","TBO-ENG")))))</f>
        <v/>
      </c>
      <c r="M926" s="31">
        <f>IF($A926="","",MAX($H926,$I926,$J926,$K926))</f>
        <v/>
      </c>
      <c r="O926" s="31">
        <f>IF($A926="","",MAX(0,$M926-IF($N926="TBO-001",$H926,IF($N926="TBO-002",$I926,IF($N926="TBO-004",$J926,IF($N926="TBO-ENG",$K926,0))))))</f>
        <v/>
      </c>
    </row>
    <row r="927">
      <c r="H927" s="31">
        <f>IF($A927="","",IF($D927="Evet",ROUND($C927*tbo_oranBesPuan,2),0))</f>
        <v/>
      </c>
      <c r="I927" s="31">
        <f>IF($A927="","",IF($E927="Evet",ROUND($C927*tbo_oranIlave,2),0))</f>
        <v/>
      </c>
      <c r="J927" s="31">
        <f>IF($A927="","",IF($F927="Evet",ROUND($C927*tbo_oranKadinGenc,2),0))</f>
        <v/>
      </c>
      <c r="K927" s="31">
        <f>IF($A927="","",IF($G927="Evet",ROUND($C927*tbo_isverenOran,2),0))</f>
        <v/>
      </c>
      <c r="L927" s="31">
        <f>IF($A927="","",IF($M927=0,"YOK",IF($I927=$M927,"TBO-002",IF($H927=$M927,"TBO-001",IF($J927=$M927,"TBO-004","TBO-ENG")))))</f>
        <v/>
      </c>
      <c r="M927" s="31">
        <f>IF($A927="","",MAX($H927,$I927,$J927,$K927))</f>
        <v/>
      </c>
      <c r="O927" s="31">
        <f>IF($A927="","",MAX(0,$M927-IF($N927="TBO-001",$H927,IF($N927="TBO-002",$I927,IF($N927="TBO-004",$J927,IF($N927="TBO-ENG",$K927,0))))))</f>
        <v/>
      </c>
    </row>
    <row r="928">
      <c r="H928" s="31">
        <f>IF($A928="","",IF($D928="Evet",ROUND($C928*tbo_oranBesPuan,2),0))</f>
        <v/>
      </c>
      <c r="I928" s="31">
        <f>IF($A928="","",IF($E928="Evet",ROUND($C928*tbo_oranIlave,2),0))</f>
        <v/>
      </c>
      <c r="J928" s="31">
        <f>IF($A928="","",IF($F928="Evet",ROUND($C928*tbo_oranKadinGenc,2),0))</f>
        <v/>
      </c>
      <c r="K928" s="31">
        <f>IF($A928="","",IF($G928="Evet",ROUND($C928*tbo_isverenOran,2),0))</f>
        <v/>
      </c>
      <c r="L928" s="31">
        <f>IF($A928="","",IF($M928=0,"YOK",IF($I928=$M928,"TBO-002",IF($H928=$M928,"TBO-001",IF($J928=$M928,"TBO-004","TBO-ENG")))))</f>
        <v/>
      </c>
      <c r="M928" s="31">
        <f>IF($A928="","",MAX($H928,$I928,$J928,$K928))</f>
        <v/>
      </c>
      <c r="O928" s="31">
        <f>IF($A928="","",MAX(0,$M928-IF($N928="TBO-001",$H928,IF($N928="TBO-002",$I928,IF($N928="TBO-004",$J928,IF($N928="TBO-ENG",$K928,0))))))</f>
        <v/>
      </c>
    </row>
    <row r="929">
      <c r="H929" s="31">
        <f>IF($A929="","",IF($D929="Evet",ROUND($C929*tbo_oranBesPuan,2),0))</f>
        <v/>
      </c>
      <c r="I929" s="31">
        <f>IF($A929="","",IF($E929="Evet",ROUND($C929*tbo_oranIlave,2),0))</f>
        <v/>
      </c>
      <c r="J929" s="31">
        <f>IF($A929="","",IF($F929="Evet",ROUND($C929*tbo_oranKadinGenc,2),0))</f>
        <v/>
      </c>
      <c r="K929" s="31">
        <f>IF($A929="","",IF($G929="Evet",ROUND($C929*tbo_isverenOran,2),0))</f>
        <v/>
      </c>
      <c r="L929" s="31">
        <f>IF($A929="","",IF($M929=0,"YOK",IF($I929=$M929,"TBO-002",IF($H929=$M929,"TBO-001",IF($J929=$M929,"TBO-004","TBO-ENG")))))</f>
        <v/>
      </c>
      <c r="M929" s="31">
        <f>IF($A929="","",MAX($H929,$I929,$J929,$K929))</f>
        <v/>
      </c>
      <c r="O929" s="31">
        <f>IF($A929="","",MAX(0,$M929-IF($N929="TBO-001",$H929,IF($N929="TBO-002",$I929,IF($N929="TBO-004",$J929,IF($N929="TBO-ENG",$K929,0))))))</f>
        <v/>
      </c>
    </row>
    <row r="930">
      <c r="H930" s="31">
        <f>IF($A930="","",IF($D930="Evet",ROUND($C930*tbo_oranBesPuan,2),0))</f>
        <v/>
      </c>
      <c r="I930" s="31">
        <f>IF($A930="","",IF($E930="Evet",ROUND($C930*tbo_oranIlave,2),0))</f>
        <v/>
      </c>
      <c r="J930" s="31">
        <f>IF($A930="","",IF($F930="Evet",ROUND($C930*tbo_oranKadinGenc,2),0))</f>
        <v/>
      </c>
      <c r="K930" s="31">
        <f>IF($A930="","",IF($G930="Evet",ROUND($C930*tbo_isverenOran,2),0))</f>
        <v/>
      </c>
      <c r="L930" s="31">
        <f>IF($A930="","",IF($M930=0,"YOK",IF($I930=$M930,"TBO-002",IF($H930=$M930,"TBO-001",IF($J930=$M930,"TBO-004","TBO-ENG")))))</f>
        <v/>
      </c>
      <c r="M930" s="31">
        <f>IF($A930="","",MAX($H930,$I930,$J930,$K930))</f>
        <v/>
      </c>
      <c r="O930" s="31">
        <f>IF($A930="","",MAX(0,$M930-IF($N930="TBO-001",$H930,IF($N930="TBO-002",$I930,IF($N930="TBO-004",$J930,IF($N930="TBO-ENG",$K930,0))))))</f>
        <v/>
      </c>
    </row>
    <row r="931">
      <c r="H931" s="31">
        <f>IF($A931="","",IF($D931="Evet",ROUND($C931*tbo_oranBesPuan,2),0))</f>
        <v/>
      </c>
      <c r="I931" s="31">
        <f>IF($A931="","",IF($E931="Evet",ROUND($C931*tbo_oranIlave,2),0))</f>
        <v/>
      </c>
      <c r="J931" s="31">
        <f>IF($A931="","",IF($F931="Evet",ROUND($C931*tbo_oranKadinGenc,2),0))</f>
        <v/>
      </c>
      <c r="K931" s="31">
        <f>IF($A931="","",IF($G931="Evet",ROUND($C931*tbo_isverenOran,2),0))</f>
        <v/>
      </c>
      <c r="L931" s="31">
        <f>IF($A931="","",IF($M931=0,"YOK",IF($I931=$M931,"TBO-002",IF($H931=$M931,"TBO-001",IF($J931=$M931,"TBO-004","TBO-ENG")))))</f>
        <v/>
      </c>
      <c r="M931" s="31">
        <f>IF($A931="","",MAX($H931,$I931,$J931,$K931))</f>
        <v/>
      </c>
      <c r="O931" s="31">
        <f>IF($A931="","",MAX(0,$M931-IF($N931="TBO-001",$H931,IF($N931="TBO-002",$I931,IF($N931="TBO-004",$J931,IF($N931="TBO-ENG",$K931,0))))))</f>
        <v/>
      </c>
    </row>
    <row r="932">
      <c r="H932" s="31">
        <f>IF($A932="","",IF($D932="Evet",ROUND($C932*tbo_oranBesPuan,2),0))</f>
        <v/>
      </c>
      <c r="I932" s="31">
        <f>IF($A932="","",IF($E932="Evet",ROUND($C932*tbo_oranIlave,2),0))</f>
        <v/>
      </c>
      <c r="J932" s="31">
        <f>IF($A932="","",IF($F932="Evet",ROUND($C932*tbo_oranKadinGenc,2),0))</f>
        <v/>
      </c>
      <c r="K932" s="31">
        <f>IF($A932="","",IF($G932="Evet",ROUND($C932*tbo_isverenOran,2),0))</f>
        <v/>
      </c>
      <c r="L932" s="31">
        <f>IF($A932="","",IF($M932=0,"YOK",IF($I932=$M932,"TBO-002",IF($H932=$M932,"TBO-001",IF($J932=$M932,"TBO-004","TBO-ENG")))))</f>
        <v/>
      </c>
      <c r="M932" s="31">
        <f>IF($A932="","",MAX($H932,$I932,$J932,$K932))</f>
        <v/>
      </c>
      <c r="O932" s="31">
        <f>IF($A932="","",MAX(0,$M932-IF($N932="TBO-001",$H932,IF($N932="TBO-002",$I932,IF($N932="TBO-004",$J932,IF($N932="TBO-ENG",$K932,0))))))</f>
        <v/>
      </c>
    </row>
    <row r="933">
      <c r="H933" s="31">
        <f>IF($A933="","",IF($D933="Evet",ROUND($C933*tbo_oranBesPuan,2),0))</f>
        <v/>
      </c>
      <c r="I933" s="31">
        <f>IF($A933="","",IF($E933="Evet",ROUND($C933*tbo_oranIlave,2),0))</f>
        <v/>
      </c>
      <c r="J933" s="31">
        <f>IF($A933="","",IF($F933="Evet",ROUND($C933*tbo_oranKadinGenc,2),0))</f>
        <v/>
      </c>
      <c r="K933" s="31">
        <f>IF($A933="","",IF($G933="Evet",ROUND($C933*tbo_isverenOran,2),0))</f>
        <v/>
      </c>
      <c r="L933" s="31">
        <f>IF($A933="","",IF($M933=0,"YOK",IF($I933=$M933,"TBO-002",IF($H933=$M933,"TBO-001",IF($J933=$M933,"TBO-004","TBO-ENG")))))</f>
        <v/>
      </c>
      <c r="M933" s="31">
        <f>IF($A933="","",MAX($H933,$I933,$J933,$K933))</f>
        <v/>
      </c>
      <c r="O933" s="31">
        <f>IF($A933="","",MAX(0,$M933-IF($N933="TBO-001",$H933,IF($N933="TBO-002",$I933,IF($N933="TBO-004",$J933,IF($N933="TBO-ENG",$K933,0))))))</f>
        <v/>
      </c>
    </row>
    <row r="934">
      <c r="H934" s="31">
        <f>IF($A934="","",IF($D934="Evet",ROUND($C934*tbo_oranBesPuan,2),0))</f>
        <v/>
      </c>
      <c r="I934" s="31">
        <f>IF($A934="","",IF($E934="Evet",ROUND($C934*tbo_oranIlave,2),0))</f>
        <v/>
      </c>
      <c r="J934" s="31">
        <f>IF($A934="","",IF($F934="Evet",ROUND($C934*tbo_oranKadinGenc,2),0))</f>
        <v/>
      </c>
      <c r="K934" s="31">
        <f>IF($A934="","",IF($G934="Evet",ROUND($C934*tbo_isverenOran,2),0))</f>
        <v/>
      </c>
      <c r="L934" s="31">
        <f>IF($A934="","",IF($M934=0,"YOK",IF($I934=$M934,"TBO-002",IF($H934=$M934,"TBO-001",IF($J934=$M934,"TBO-004","TBO-ENG")))))</f>
        <v/>
      </c>
      <c r="M934" s="31">
        <f>IF($A934="","",MAX($H934,$I934,$J934,$K934))</f>
        <v/>
      </c>
      <c r="O934" s="31">
        <f>IF($A934="","",MAX(0,$M934-IF($N934="TBO-001",$H934,IF($N934="TBO-002",$I934,IF($N934="TBO-004",$J934,IF($N934="TBO-ENG",$K934,0))))))</f>
        <v/>
      </c>
    </row>
    <row r="935">
      <c r="H935" s="31">
        <f>IF($A935="","",IF($D935="Evet",ROUND($C935*tbo_oranBesPuan,2),0))</f>
        <v/>
      </c>
      <c r="I935" s="31">
        <f>IF($A935="","",IF($E935="Evet",ROUND($C935*tbo_oranIlave,2),0))</f>
        <v/>
      </c>
      <c r="J935" s="31">
        <f>IF($A935="","",IF($F935="Evet",ROUND($C935*tbo_oranKadinGenc,2),0))</f>
        <v/>
      </c>
      <c r="K935" s="31">
        <f>IF($A935="","",IF($G935="Evet",ROUND($C935*tbo_isverenOran,2),0))</f>
        <v/>
      </c>
      <c r="L935" s="31">
        <f>IF($A935="","",IF($M935=0,"YOK",IF($I935=$M935,"TBO-002",IF($H935=$M935,"TBO-001",IF($J935=$M935,"TBO-004","TBO-ENG")))))</f>
        <v/>
      </c>
      <c r="M935" s="31">
        <f>IF($A935="","",MAX($H935,$I935,$J935,$K935))</f>
        <v/>
      </c>
      <c r="O935" s="31">
        <f>IF($A935="","",MAX(0,$M935-IF($N935="TBO-001",$H935,IF($N935="TBO-002",$I935,IF($N935="TBO-004",$J935,IF($N935="TBO-ENG",$K935,0))))))</f>
        <v/>
      </c>
    </row>
    <row r="936">
      <c r="H936" s="31">
        <f>IF($A936="","",IF($D936="Evet",ROUND($C936*tbo_oranBesPuan,2),0))</f>
        <v/>
      </c>
      <c r="I936" s="31">
        <f>IF($A936="","",IF($E936="Evet",ROUND($C936*tbo_oranIlave,2),0))</f>
        <v/>
      </c>
      <c r="J936" s="31">
        <f>IF($A936="","",IF($F936="Evet",ROUND($C936*tbo_oranKadinGenc,2),0))</f>
        <v/>
      </c>
      <c r="K936" s="31">
        <f>IF($A936="","",IF($G936="Evet",ROUND($C936*tbo_isverenOran,2),0))</f>
        <v/>
      </c>
      <c r="L936" s="31">
        <f>IF($A936="","",IF($M936=0,"YOK",IF($I936=$M936,"TBO-002",IF($H936=$M936,"TBO-001",IF($J936=$M936,"TBO-004","TBO-ENG")))))</f>
        <v/>
      </c>
      <c r="M936" s="31">
        <f>IF($A936="","",MAX($H936,$I936,$J936,$K936))</f>
        <v/>
      </c>
      <c r="O936" s="31">
        <f>IF($A936="","",MAX(0,$M936-IF($N936="TBO-001",$H936,IF($N936="TBO-002",$I936,IF($N936="TBO-004",$J936,IF($N936="TBO-ENG",$K936,0))))))</f>
        <v/>
      </c>
    </row>
    <row r="937">
      <c r="H937" s="31">
        <f>IF($A937="","",IF($D937="Evet",ROUND($C937*tbo_oranBesPuan,2),0))</f>
        <v/>
      </c>
      <c r="I937" s="31">
        <f>IF($A937="","",IF($E937="Evet",ROUND($C937*tbo_oranIlave,2),0))</f>
        <v/>
      </c>
      <c r="J937" s="31">
        <f>IF($A937="","",IF($F937="Evet",ROUND($C937*tbo_oranKadinGenc,2),0))</f>
        <v/>
      </c>
      <c r="K937" s="31">
        <f>IF($A937="","",IF($G937="Evet",ROUND($C937*tbo_isverenOran,2),0))</f>
        <v/>
      </c>
      <c r="L937" s="31">
        <f>IF($A937="","",IF($M937=0,"YOK",IF($I937=$M937,"TBO-002",IF($H937=$M937,"TBO-001",IF($J937=$M937,"TBO-004","TBO-ENG")))))</f>
        <v/>
      </c>
      <c r="M937" s="31">
        <f>IF($A937="","",MAX($H937,$I937,$J937,$K937))</f>
        <v/>
      </c>
      <c r="O937" s="31">
        <f>IF($A937="","",MAX(0,$M937-IF($N937="TBO-001",$H937,IF($N937="TBO-002",$I937,IF($N937="TBO-004",$J937,IF($N937="TBO-ENG",$K937,0))))))</f>
        <v/>
      </c>
    </row>
    <row r="938">
      <c r="H938" s="31">
        <f>IF($A938="","",IF($D938="Evet",ROUND($C938*tbo_oranBesPuan,2),0))</f>
        <v/>
      </c>
      <c r="I938" s="31">
        <f>IF($A938="","",IF($E938="Evet",ROUND($C938*tbo_oranIlave,2),0))</f>
        <v/>
      </c>
      <c r="J938" s="31">
        <f>IF($A938="","",IF($F938="Evet",ROUND($C938*tbo_oranKadinGenc,2),0))</f>
        <v/>
      </c>
      <c r="K938" s="31">
        <f>IF($A938="","",IF($G938="Evet",ROUND($C938*tbo_isverenOran,2),0))</f>
        <v/>
      </c>
      <c r="L938" s="31">
        <f>IF($A938="","",IF($M938=0,"YOK",IF($I938=$M938,"TBO-002",IF($H938=$M938,"TBO-001",IF($J938=$M938,"TBO-004","TBO-ENG")))))</f>
        <v/>
      </c>
      <c r="M938" s="31">
        <f>IF($A938="","",MAX($H938,$I938,$J938,$K938))</f>
        <v/>
      </c>
      <c r="O938" s="31">
        <f>IF($A938="","",MAX(0,$M938-IF($N938="TBO-001",$H938,IF($N938="TBO-002",$I938,IF($N938="TBO-004",$J938,IF($N938="TBO-ENG",$K938,0))))))</f>
        <v/>
      </c>
    </row>
    <row r="939">
      <c r="H939" s="31">
        <f>IF($A939="","",IF($D939="Evet",ROUND($C939*tbo_oranBesPuan,2),0))</f>
        <v/>
      </c>
      <c r="I939" s="31">
        <f>IF($A939="","",IF($E939="Evet",ROUND($C939*tbo_oranIlave,2),0))</f>
        <v/>
      </c>
      <c r="J939" s="31">
        <f>IF($A939="","",IF($F939="Evet",ROUND($C939*tbo_oranKadinGenc,2),0))</f>
        <v/>
      </c>
      <c r="K939" s="31">
        <f>IF($A939="","",IF($G939="Evet",ROUND($C939*tbo_isverenOran,2),0))</f>
        <v/>
      </c>
      <c r="L939" s="31">
        <f>IF($A939="","",IF($M939=0,"YOK",IF($I939=$M939,"TBO-002",IF($H939=$M939,"TBO-001",IF($J939=$M939,"TBO-004","TBO-ENG")))))</f>
        <v/>
      </c>
      <c r="M939" s="31">
        <f>IF($A939="","",MAX($H939,$I939,$J939,$K939))</f>
        <v/>
      </c>
      <c r="O939" s="31">
        <f>IF($A939="","",MAX(0,$M939-IF($N939="TBO-001",$H939,IF($N939="TBO-002",$I939,IF($N939="TBO-004",$J939,IF($N939="TBO-ENG",$K939,0))))))</f>
        <v/>
      </c>
    </row>
    <row r="940">
      <c r="H940" s="31">
        <f>IF($A940="","",IF($D940="Evet",ROUND($C940*tbo_oranBesPuan,2),0))</f>
        <v/>
      </c>
      <c r="I940" s="31">
        <f>IF($A940="","",IF($E940="Evet",ROUND($C940*tbo_oranIlave,2),0))</f>
        <v/>
      </c>
      <c r="J940" s="31">
        <f>IF($A940="","",IF($F940="Evet",ROUND($C940*tbo_oranKadinGenc,2),0))</f>
        <v/>
      </c>
      <c r="K940" s="31">
        <f>IF($A940="","",IF($G940="Evet",ROUND($C940*tbo_isverenOran,2),0))</f>
        <v/>
      </c>
      <c r="L940" s="31">
        <f>IF($A940="","",IF($M940=0,"YOK",IF($I940=$M940,"TBO-002",IF($H940=$M940,"TBO-001",IF($J940=$M940,"TBO-004","TBO-ENG")))))</f>
        <v/>
      </c>
      <c r="M940" s="31">
        <f>IF($A940="","",MAX($H940,$I940,$J940,$K940))</f>
        <v/>
      </c>
      <c r="O940" s="31">
        <f>IF($A940="","",MAX(0,$M940-IF($N940="TBO-001",$H940,IF($N940="TBO-002",$I940,IF($N940="TBO-004",$J940,IF($N940="TBO-ENG",$K940,0))))))</f>
        <v/>
      </c>
    </row>
    <row r="941">
      <c r="H941" s="31">
        <f>IF($A941="","",IF($D941="Evet",ROUND($C941*tbo_oranBesPuan,2),0))</f>
        <v/>
      </c>
      <c r="I941" s="31">
        <f>IF($A941="","",IF($E941="Evet",ROUND($C941*tbo_oranIlave,2),0))</f>
        <v/>
      </c>
      <c r="J941" s="31">
        <f>IF($A941="","",IF($F941="Evet",ROUND($C941*tbo_oranKadinGenc,2),0))</f>
        <v/>
      </c>
      <c r="K941" s="31">
        <f>IF($A941="","",IF($G941="Evet",ROUND($C941*tbo_isverenOran,2),0))</f>
        <v/>
      </c>
      <c r="L941" s="31">
        <f>IF($A941="","",IF($M941=0,"YOK",IF($I941=$M941,"TBO-002",IF($H941=$M941,"TBO-001",IF($J941=$M941,"TBO-004","TBO-ENG")))))</f>
        <v/>
      </c>
      <c r="M941" s="31">
        <f>IF($A941="","",MAX($H941,$I941,$J941,$K941))</f>
        <v/>
      </c>
      <c r="O941" s="31">
        <f>IF($A941="","",MAX(0,$M941-IF($N941="TBO-001",$H941,IF($N941="TBO-002",$I941,IF($N941="TBO-004",$J941,IF($N941="TBO-ENG",$K941,0))))))</f>
        <v/>
      </c>
    </row>
    <row r="942">
      <c r="H942" s="31">
        <f>IF($A942="","",IF($D942="Evet",ROUND($C942*tbo_oranBesPuan,2),0))</f>
        <v/>
      </c>
      <c r="I942" s="31">
        <f>IF($A942="","",IF($E942="Evet",ROUND($C942*tbo_oranIlave,2),0))</f>
        <v/>
      </c>
      <c r="J942" s="31">
        <f>IF($A942="","",IF($F942="Evet",ROUND($C942*tbo_oranKadinGenc,2),0))</f>
        <v/>
      </c>
      <c r="K942" s="31">
        <f>IF($A942="","",IF($G942="Evet",ROUND($C942*tbo_isverenOran,2),0))</f>
        <v/>
      </c>
      <c r="L942" s="31">
        <f>IF($A942="","",IF($M942=0,"YOK",IF($I942=$M942,"TBO-002",IF($H942=$M942,"TBO-001",IF($J942=$M942,"TBO-004","TBO-ENG")))))</f>
        <v/>
      </c>
      <c r="M942" s="31">
        <f>IF($A942="","",MAX($H942,$I942,$J942,$K942))</f>
        <v/>
      </c>
      <c r="O942" s="31">
        <f>IF($A942="","",MAX(0,$M942-IF($N942="TBO-001",$H942,IF($N942="TBO-002",$I942,IF($N942="TBO-004",$J942,IF($N942="TBO-ENG",$K942,0))))))</f>
        <v/>
      </c>
    </row>
    <row r="943">
      <c r="H943" s="31">
        <f>IF($A943="","",IF($D943="Evet",ROUND($C943*tbo_oranBesPuan,2),0))</f>
        <v/>
      </c>
      <c r="I943" s="31">
        <f>IF($A943="","",IF($E943="Evet",ROUND($C943*tbo_oranIlave,2),0))</f>
        <v/>
      </c>
      <c r="J943" s="31">
        <f>IF($A943="","",IF($F943="Evet",ROUND($C943*tbo_oranKadinGenc,2),0))</f>
        <v/>
      </c>
      <c r="K943" s="31">
        <f>IF($A943="","",IF($G943="Evet",ROUND($C943*tbo_isverenOran,2),0))</f>
        <v/>
      </c>
      <c r="L943" s="31">
        <f>IF($A943="","",IF($M943=0,"YOK",IF($I943=$M943,"TBO-002",IF($H943=$M943,"TBO-001",IF($J943=$M943,"TBO-004","TBO-ENG")))))</f>
        <v/>
      </c>
      <c r="M943" s="31">
        <f>IF($A943="","",MAX($H943,$I943,$J943,$K943))</f>
        <v/>
      </c>
      <c r="O943" s="31">
        <f>IF($A943="","",MAX(0,$M943-IF($N943="TBO-001",$H943,IF($N943="TBO-002",$I943,IF($N943="TBO-004",$J943,IF($N943="TBO-ENG",$K943,0))))))</f>
        <v/>
      </c>
    </row>
    <row r="944">
      <c r="H944" s="31">
        <f>IF($A944="","",IF($D944="Evet",ROUND($C944*tbo_oranBesPuan,2),0))</f>
        <v/>
      </c>
      <c r="I944" s="31">
        <f>IF($A944="","",IF($E944="Evet",ROUND($C944*tbo_oranIlave,2),0))</f>
        <v/>
      </c>
      <c r="J944" s="31">
        <f>IF($A944="","",IF($F944="Evet",ROUND($C944*tbo_oranKadinGenc,2),0))</f>
        <v/>
      </c>
      <c r="K944" s="31">
        <f>IF($A944="","",IF($G944="Evet",ROUND($C944*tbo_isverenOran,2),0))</f>
        <v/>
      </c>
      <c r="L944" s="31">
        <f>IF($A944="","",IF($M944=0,"YOK",IF($I944=$M944,"TBO-002",IF($H944=$M944,"TBO-001",IF($J944=$M944,"TBO-004","TBO-ENG")))))</f>
        <v/>
      </c>
      <c r="M944" s="31">
        <f>IF($A944="","",MAX($H944,$I944,$J944,$K944))</f>
        <v/>
      </c>
      <c r="O944" s="31">
        <f>IF($A944="","",MAX(0,$M944-IF($N944="TBO-001",$H944,IF($N944="TBO-002",$I944,IF($N944="TBO-004",$J944,IF($N944="TBO-ENG",$K944,0))))))</f>
        <v/>
      </c>
    </row>
    <row r="945">
      <c r="H945" s="31">
        <f>IF($A945="","",IF($D945="Evet",ROUND($C945*tbo_oranBesPuan,2),0))</f>
        <v/>
      </c>
      <c r="I945" s="31">
        <f>IF($A945="","",IF($E945="Evet",ROUND($C945*tbo_oranIlave,2),0))</f>
        <v/>
      </c>
      <c r="J945" s="31">
        <f>IF($A945="","",IF($F945="Evet",ROUND($C945*tbo_oranKadinGenc,2),0))</f>
        <v/>
      </c>
      <c r="K945" s="31">
        <f>IF($A945="","",IF($G945="Evet",ROUND($C945*tbo_isverenOran,2),0))</f>
        <v/>
      </c>
      <c r="L945" s="31">
        <f>IF($A945="","",IF($M945=0,"YOK",IF($I945=$M945,"TBO-002",IF($H945=$M945,"TBO-001",IF($J945=$M945,"TBO-004","TBO-ENG")))))</f>
        <v/>
      </c>
      <c r="M945" s="31">
        <f>IF($A945="","",MAX($H945,$I945,$J945,$K945))</f>
        <v/>
      </c>
      <c r="O945" s="31">
        <f>IF($A945="","",MAX(0,$M945-IF($N945="TBO-001",$H945,IF($N945="TBO-002",$I945,IF($N945="TBO-004",$J945,IF($N945="TBO-ENG",$K945,0))))))</f>
        <v/>
      </c>
    </row>
    <row r="946">
      <c r="H946" s="31">
        <f>IF($A946="","",IF($D946="Evet",ROUND($C946*tbo_oranBesPuan,2),0))</f>
        <v/>
      </c>
      <c r="I946" s="31">
        <f>IF($A946="","",IF($E946="Evet",ROUND($C946*tbo_oranIlave,2),0))</f>
        <v/>
      </c>
      <c r="J946" s="31">
        <f>IF($A946="","",IF($F946="Evet",ROUND($C946*tbo_oranKadinGenc,2),0))</f>
        <v/>
      </c>
      <c r="K946" s="31">
        <f>IF($A946="","",IF($G946="Evet",ROUND($C946*tbo_isverenOran,2),0))</f>
        <v/>
      </c>
      <c r="L946" s="31">
        <f>IF($A946="","",IF($M946=0,"YOK",IF($I946=$M946,"TBO-002",IF($H946=$M946,"TBO-001",IF($J946=$M946,"TBO-004","TBO-ENG")))))</f>
        <v/>
      </c>
      <c r="M946" s="31">
        <f>IF($A946="","",MAX($H946,$I946,$J946,$K946))</f>
        <v/>
      </c>
      <c r="O946" s="31">
        <f>IF($A946="","",MAX(0,$M946-IF($N946="TBO-001",$H946,IF($N946="TBO-002",$I946,IF($N946="TBO-004",$J946,IF($N946="TBO-ENG",$K946,0))))))</f>
        <v/>
      </c>
    </row>
    <row r="947">
      <c r="H947" s="31">
        <f>IF($A947="","",IF($D947="Evet",ROUND($C947*tbo_oranBesPuan,2),0))</f>
        <v/>
      </c>
      <c r="I947" s="31">
        <f>IF($A947="","",IF($E947="Evet",ROUND($C947*tbo_oranIlave,2),0))</f>
        <v/>
      </c>
      <c r="J947" s="31">
        <f>IF($A947="","",IF($F947="Evet",ROUND($C947*tbo_oranKadinGenc,2),0))</f>
        <v/>
      </c>
      <c r="K947" s="31">
        <f>IF($A947="","",IF($G947="Evet",ROUND($C947*tbo_isverenOran,2),0))</f>
        <v/>
      </c>
      <c r="L947" s="31">
        <f>IF($A947="","",IF($M947=0,"YOK",IF($I947=$M947,"TBO-002",IF($H947=$M947,"TBO-001",IF($J947=$M947,"TBO-004","TBO-ENG")))))</f>
        <v/>
      </c>
      <c r="M947" s="31">
        <f>IF($A947="","",MAX($H947,$I947,$J947,$K947))</f>
        <v/>
      </c>
      <c r="O947" s="31">
        <f>IF($A947="","",MAX(0,$M947-IF($N947="TBO-001",$H947,IF($N947="TBO-002",$I947,IF($N947="TBO-004",$J947,IF($N947="TBO-ENG",$K947,0))))))</f>
        <v/>
      </c>
    </row>
    <row r="948">
      <c r="H948" s="31">
        <f>IF($A948="","",IF($D948="Evet",ROUND($C948*tbo_oranBesPuan,2),0))</f>
        <v/>
      </c>
      <c r="I948" s="31">
        <f>IF($A948="","",IF($E948="Evet",ROUND($C948*tbo_oranIlave,2),0))</f>
        <v/>
      </c>
      <c r="J948" s="31">
        <f>IF($A948="","",IF($F948="Evet",ROUND($C948*tbo_oranKadinGenc,2),0))</f>
        <v/>
      </c>
      <c r="K948" s="31">
        <f>IF($A948="","",IF($G948="Evet",ROUND($C948*tbo_isverenOran,2),0))</f>
        <v/>
      </c>
      <c r="L948" s="31">
        <f>IF($A948="","",IF($M948=0,"YOK",IF($I948=$M948,"TBO-002",IF($H948=$M948,"TBO-001",IF($J948=$M948,"TBO-004","TBO-ENG")))))</f>
        <v/>
      </c>
      <c r="M948" s="31">
        <f>IF($A948="","",MAX($H948,$I948,$J948,$K948))</f>
        <v/>
      </c>
      <c r="O948" s="31">
        <f>IF($A948="","",MAX(0,$M948-IF($N948="TBO-001",$H948,IF($N948="TBO-002",$I948,IF($N948="TBO-004",$J948,IF($N948="TBO-ENG",$K948,0))))))</f>
        <v/>
      </c>
    </row>
    <row r="949">
      <c r="H949" s="31">
        <f>IF($A949="","",IF($D949="Evet",ROUND($C949*tbo_oranBesPuan,2),0))</f>
        <v/>
      </c>
      <c r="I949" s="31">
        <f>IF($A949="","",IF($E949="Evet",ROUND($C949*tbo_oranIlave,2),0))</f>
        <v/>
      </c>
      <c r="J949" s="31">
        <f>IF($A949="","",IF($F949="Evet",ROUND($C949*tbo_oranKadinGenc,2),0))</f>
        <v/>
      </c>
      <c r="K949" s="31">
        <f>IF($A949="","",IF($G949="Evet",ROUND($C949*tbo_isverenOran,2),0))</f>
        <v/>
      </c>
      <c r="L949" s="31">
        <f>IF($A949="","",IF($M949=0,"YOK",IF($I949=$M949,"TBO-002",IF($H949=$M949,"TBO-001",IF($J949=$M949,"TBO-004","TBO-ENG")))))</f>
        <v/>
      </c>
      <c r="M949" s="31">
        <f>IF($A949="","",MAX($H949,$I949,$J949,$K949))</f>
        <v/>
      </c>
      <c r="O949" s="31">
        <f>IF($A949="","",MAX(0,$M949-IF($N949="TBO-001",$H949,IF($N949="TBO-002",$I949,IF($N949="TBO-004",$J949,IF($N949="TBO-ENG",$K949,0))))))</f>
        <v/>
      </c>
    </row>
    <row r="950">
      <c r="H950" s="31">
        <f>IF($A950="","",IF($D950="Evet",ROUND($C950*tbo_oranBesPuan,2),0))</f>
        <v/>
      </c>
      <c r="I950" s="31">
        <f>IF($A950="","",IF($E950="Evet",ROUND($C950*tbo_oranIlave,2),0))</f>
        <v/>
      </c>
      <c r="J950" s="31">
        <f>IF($A950="","",IF($F950="Evet",ROUND($C950*tbo_oranKadinGenc,2),0))</f>
        <v/>
      </c>
      <c r="K950" s="31">
        <f>IF($A950="","",IF($G950="Evet",ROUND($C950*tbo_isverenOran,2),0))</f>
        <v/>
      </c>
      <c r="L950" s="31">
        <f>IF($A950="","",IF($M950=0,"YOK",IF($I950=$M950,"TBO-002",IF($H950=$M950,"TBO-001",IF($J950=$M950,"TBO-004","TBO-ENG")))))</f>
        <v/>
      </c>
      <c r="M950" s="31">
        <f>IF($A950="","",MAX($H950,$I950,$J950,$K950))</f>
        <v/>
      </c>
      <c r="O950" s="31">
        <f>IF($A950="","",MAX(0,$M950-IF($N950="TBO-001",$H950,IF($N950="TBO-002",$I950,IF($N950="TBO-004",$J950,IF($N950="TBO-ENG",$K950,0))))))</f>
        <v/>
      </c>
    </row>
    <row r="951">
      <c r="H951" s="31">
        <f>IF($A951="","",IF($D951="Evet",ROUND($C951*tbo_oranBesPuan,2),0))</f>
        <v/>
      </c>
      <c r="I951" s="31">
        <f>IF($A951="","",IF($E951="Evet",ROUND($C951*tbo_oranIlave,2),0))</f>
        <v/>
      </c>
      <c r="J951" s="31">
        <f>IF($A951="","",IF($F951="Evet",ROUND($C951*tbo_oranKadinGenc,2),0))</f>
        <v/>
      </c>
      <c r="K951" s="31">
        <f>IF($A951="","",IF($G951="Evet",ROUND($C951*tbo_isverenOran,2),0))</f>
        <v/>
      </c>
      <c r="L951" s="31">
        <f>IF($A951="","",IF($M951=0,"YOK",IF($I951=$M951,"TBO-002",IF($H951=$M951,"TBO-001",IF($J951=$M951,"TBO-004","TBO-ENG")))))</f>
        <v/>
      </c>
      <c r="M951" s="31">
        <f>IF($A951="","",MAX($H951,$I951,$J951,$K951))</f>
        <v/>
      </c>
      <c r="O951" s="31">
        <f>IF($A951="","",MAX(0,$M951-IF($N951="TBO-001",$H951,IF($N951="TBO-002",$I951,IF($N951="TBO-004",$J951,IF($N951="TBO-ENG",$K951,0))))))</f>
        <v/>
      </c>
    </row>
    <row r="952">
      <c r="H952" s="31">
        <f>IF($A952="","",IF($D952="Evet",ROUND($C952*tbo_oranBesPuan,2),0))</f>
        <v/>
      </c>
      <c r="I952" s="31">
        <f>IF($A952="","",IF($E952="Evet",ROUND($C952*tbo_oranIlave,2),0))</f>
        <v/>
      </c>
      <c r="J952" s="31">
        <f>IF($A952="","",IF($F952="Evet",ROUND($C952*tbo_oranKadinGenc,2),0))</f>
        <v/>
      </c>
      <c r="K952" s="31">
        <f>IF($A952="","",IF($G952="Evet",ROUND($C952*tbo_isverenOran,2),0))</f>
        <v/>
      </c>
      <c r="L952" s="31">
        <f>IF($A952="","",IF($M952=0,"YOK",IF($I952=$M952,"TBO-002",IF($H952=$M952,"TBO-001",IF($J952=$M952,"TBO-004","TBO-ENG")))))</f>
        <v/>
      </c>
      <c r="M952" s="31">
        <f>IF($A952="","",MAX($H952,$I952,$J952,$K952))</f>
        <v/>
      </c>
      <c r="O952" s="31">
        <f>IF($A952="","",MAX(0,$M952-IF($N952="TBO-001",$H952,IF($N952="TBO-002",$I952,IF($N952="TBO-004",$J952,IF($N952="TBO-ENG",$K952,0))))))</f>
        <v/>
      </c>
    </row>
    <row r="953">
      <c r="H953" s="31">
        <f>IF($A953="","",IF($D953="Evet",ROUND($C953*tbo_oranBesPuan,2),0))</f>
        <v/>
      </c>
      <c r="I953" s="31">
        <f>IF($A953="","",IF($E953="Evet",ROUND($C953*tbo_oranIlave,2),0))</f>
        <v/>
      </c>
      <c r="J953" s="31">
        <f>IF($A953="","",IF($F953="Evet",ROUND($C953*tbo_oranKadinGenc,2),0))</f>
        <v/>
      </c>
      <c r="K953" s="31">
        <f>IF($A953="","",IF($G953="Evet",ROUND($C953*tbo_isverenOran,2),0))</f>
        <v/>
      </c>
      <c r="L953" s="31">
        <f>IF($A953="","",IF($M953=0,"YOK",IF($I953=$M953,"TBO-002",IF($H953=$M953,"TBO-001",IF($J953=$M953,"TBO-004","TBO-ENG")))))</f>
        <v/>
      </c>
      <c r="M953" s="31">
        <f>IF($A953="","",MAX($H953,$I953,$J953,$K953))</f>
        <v/>
      </c>
      <c r="O953" s="31">
        <f>IF($A953="","",MAX(0,$M953-IF($N953="TBO-001",$H953,IF($N953="TBO-002",$I953,IF($N953="TBO-004",$J953,IF($N953="TBO-ENG",$K953,0))))))</f>
        <v/>
      </c>
    </row>
    <row r="954">
      <c r="H954" s="31">
        <f>IF($A954="","",IF($D954="Evet",ROUND($C954*tbo_oranBesPuan,2),0))</f>
        <v/>
      </c>
      <c r="I954" s="31">
        <f>IF($A954="","",IF($E954="Evet",ROUND($C954*tbo_oranIlave,2),0))</f>
        <v/>
      </c>
      <c r="J954" s="31">
        <f>IF($A954="","",IF($F954="Evet",ROUND($C954*tbo_oranKadinGenc,2),0))</f>
        <v/>
      </c>
      <c r="K954" s="31">
        <f>IF($A954="","",IF($G954="Evet",ROUND($C954*tbo_isverenOran,2),0))</f>
        <v/>
      </c>
      <c r="L954" s="31">
        <f>IF($A954="","",IF($M954=0,"YOK",IF($I954=$M954,"TBO-002",IF($H954=$M954,"TBO-001",IF($J954=$M954,"TBO-004","TBO-ENG")))))</f>
        <v/>
      </c>
      <c r="M954" s="31">
        <f>IF($A954="","",MAX($H954,$I954,$J954,$K954))</f>
        <v/>
      </c>
      <c r="O954" s="31">
        <f>IF($A954="","",MAX(0,$M954-IF($N954="TBO-001",$H954,IF($N954="TBO-002",$I954,IF($N954="TBO-004",$J954,IF($N954="TBO-ENG",$K954,0))))))</f>
        <v/>
      </c>
    </row>
    <row r="955">
      <c r="H955" s="31">
        <f>IF($A955="","",IF($D955="Evet",ROUND($C955*tbo_oranBesPuan,2),0))</f>
        <v/>
      </c>
      <c r="I955" s="31">
        <f>IF($A955="","",IF($E955="Evet",ROUND($C955*tbo_oranIlave,2),0))</f>
        <v/>
      </c>
      <c r="J955" s="31">
        <f>IF($A955="","",IF($F955="Evet",ROUND($C955*tbo_oranKadinGenc,2),0))</f>
        <v/>
      </c>
      <c r="K955" s="31">
        <f>IF($A955="","",IF($G955="Evet",ROUND($C955*tbo_isverenOran,2),0))</f>
        <v/>
      </c>
      <c r="L955" s="31">
        <f>IF($A955="","",IF($M955=0,"YOK",IF($I955=$M955,"TBO-002",IF($H955=$M955,"TBO-001",IF($J955=$M955,"TBO-004","TBO-ENG")))))</f>
        <v/>
      </c>
      <c r="M955" s="31">
        <f>IF($A955="","",MAX($H955,$I955,$J955,$K955))</f>
        <v/>
      </c>
      <c r="O955" s="31">
        <f>IF($A955="","",MAX(0,$M955-IF($N955="TBO-001",$H955,IF($N955="TBO-002",$I955,IF($N955="TBO-004",$J955,IF($N955="TBO-ENG",$K955,0))))))</f>
        <v/>
      </c>
    </row>
    <row r="956">
      <c r="H956" s="31">
        <f>IF($A956="","",IF($D956="Evet",ROUND($C956*tbo_oranBesPuan,2),0))</f>
        <v/>
      </c>
      <c r="I956" s="31">
        <f>IF($A956="","",IF($E956="Evet",ROUND($C956*tbo_oranIlave,2),0))</f>
        <v/>
      </c>
      <c r="J956" s="31">
        <f>IF($A956="","",IF($F956="Evet",ROUND($C956*tbo_oranKadinGenc,2),0))</f>
        <v/>
      </c>
      <c r="K956" s="31">
        <f>IF($A956="","",IF($G956="Evet",ROUND($C956*tbo_isverenOran,2),0))</f>
        <v/>
      </c>
      <c r="L956" s="31">
        <f>IF($A956="","",IF($M956=0,"YOK",IF($I956=$M956,"TBO-002",IF($H956=$M956,"TBO-001",IF($J956=$M956,"TBO-004","TBO-ENG")))))</f>
        <v/>
      </c>
      <c r="M956" s="31">
        <f>IF($A956="","",MAX($H956,$I956,$J956,$K956))</f>
        <v/>
      </c>
      <c r="O956" s="31">
        <f>IF($A956="","",MAX(0,$M956-IF($N956="TBO-001",$H956,IF($N956="TBO-002",$I956,IF($N956="TBO-004",$J956,IF($N956="TBO-ENG",$K956,0))))))</f>
        <v/>
      </c>
    </row>
    <row r="957">
      <c r="H957" s="31">
        <f>IF($A957="","",IF($D957="Evet",ROUND($C957*tbo_oranBesPuan,2),0))</f>
        <v/>
      </c>
      <c r="I957" s="31">
        <f>IF($A957="","",IF($E957="Evet",ROUND($C957*tbo_oranIlave,2),0))</f>
        <v/>
      </c>
      <c r="J957" s="31">
        <f>IF($A957="","",IF($F957="Evet",ROUND($C957*tbo_oranKadinGenc,2),0))</f>
        <v/>
      </c>
      <c r="K957" s="31">
        <f>IF($A957="","",IF($G957="Evet",ROUND($C957*tbo_isverenOran,2),0))</f>
        <v/>
      </c>
      <c r="L957" s="31">
        <f>IF($A957="","",IF($M957=0,"YOK",IF($I957=$M957,"TBO-002",IF($H957=$M957,"TBO-001",IF($J957=$M957,"TBO-004","TBO-ENG")))))</f>
        <v/>
      </c>
      <c r="M957" s="31">
        <f>IF($A957="","",MAX($H957,$I957,$J957,$K957))</f>
        <v/>
      </c>
      <c r="O957" s="31">
        <f>IF($A957="","",MAX(0,$M957-IF($N957="TBO-001",$H957,IF($N957="TBO-002",$I957,IF($N957="TBO-004",$J957,IF($N957="TBO-ENG",$K957,0))))))</f>
        <v/>
      </c>
    </row>
    <row r="958">
      <c r="H958" s="31">
        <f>IF($A958="","",IF($D958="Evet",ROUND($C958*tbo_oranBesPuan,2),0))</f>
        <v/>
      </c>
      <c r="I958" s="31">
        <f>IF($A958="","",IF($E958="Evet",ROUND($C958*tbo_oranIlave,2),0))</f>
        <v/>
      </c>
      <c r="J958" s="31">
        <f>IF($A958="","",IF($F958="Evet",ROUND($C958*tbo_oranKadinGenc,2),0))</f>
        <v/>
      </c>
      <c r="K958" s="31">
        <f>IF($A958="","",IF($G958="Evet",ROUND($C958*tbo_isverenOran,2),0))</f>
        <v/>
      </c>
      <c r="L958" s="31">
        <f>IF($A958="","",IF($M958=0,"YOK",IF($I958=$M958,"TBO-002",IF($H958=$M958,"TBO-001",IF($J958=$M958,"TBO-004","TBO-ENG")))))</f>
        <v/>
      </c>
      <c r="M958" s="31">
        <f>IF($A958="","",MAX($H958,$I958,$J958,$K958))</f>
        <v/>
      </c>
      <c r="O958" s="31">
        <f>IF($A958="","",MAX(0,$M958-IF($N958="TBO-001",$H958,IF($N958="TBO-002",$I958,IF($N958="TBO-004",$J958,IF($N958="TBO-ENG",$K958,0))))))</f>
        <v/>
      </c>
    </row>
    <row r="959">
      <c r="H959" s="31">
        <f>IF($A959="","",IF($D959="Evet",ROUND($C959*tbo_oranBesPuan,2),0))</f>
        <v/>
      </c>
      <c r="I959" s="31">
        <f>IF($A959="","",IF($E959="Evet",ROUND($C959*tbo_oranIlave,2),0))</f>
        <v/>
      </c>
      <c r="J959" s="31">
        <f>IF($A959="","",IF($F959="Evet",ROUND($C959*tbo_oranKadinGenc,2),0))</f>
        <v/>
      </c>
      <c r="K959" s="31">
        <f>IF($A959="","",IF($G959="Evet",ROUND($C959*tbo_isverenOran,2),0))</f>
        <v/>
      </c>
      <c r="L959" s="31">
        <f>IF($A959="","",IF($M959=0,"YOK",IF($I959=$M959,"TBO-002",IF($H959=$M959,"TBO-001",IF($J959=$M959,"TBO-004","TBO-ENG")))))</f>
        <v/>
      </c>
      <c r="M959" s="31">
        <f>IF($A959="","",MAX($H959,$I959,$J959,$K959))</f>
        <v/>
      </c>
      <c r="O959" s="31">
        <f>IF($A959="","",MAX(0,$M959-IF($N959="TBO-001",$H959,IF($N959="TBO-002",$I959,IF($N959="TBO-004",$J959,IF($N959="TBO-ENG",$K959,0))))))</f>
        <v/>
      </c>
    </row>
    <row r="960">
      <c r="H960" s="31">
        <f>IF($A960="","",IF($D960="Evet",ROUND($C960*tbo_oranBesPuan,2),0))</f>
        <v/>
      </c>
      <c r="I960" s="31">
        <f>IF($A960="","",IF($E960="Evet",ROUND($C960*tbo_oranIlave,2),0))</f>
        <v/>
      </c>
      <c r="J960" s="31">
        <f>IF($A960="","",IF($F960="Evet",ROUND($C960*tbo_oranKadinGenc,2),0))</f>
        <v/>
      </c>
      <c r="K960" s="31">
        <f>IF($A960="","",IF($G960="Evet",ROUND($C960*tbo_isverenOran,2),0))</f>
        <v/>
      </c>
      <c r="L960" s="31">
        <f>IF($A960="","",IF($M960=0,"YOK",IF($I960=$M960,"TBO-002",IF($H960=$M960,"TBO-001",IF($J960=$M960,"TBO-004","TBO-ENG")))))</f>
        <v/>
      </c>
      <c r="M960" s="31">
        <f>IF($A960="","",MAX($H960,$I960,$J960,$K960))</f>
        <v/>
      </c>
      <c r="O960" s="31">
        <f>IF($A960="","",MAX(0,$M960-IF($N960="TBO-001",$H960,IF($N960="TBO-002",$I960,IF($N960="TBO-004",$J960,IF($N960="TBO-ENG",$K960,0))))))</f>
        <v/>
      </c>
    </row>
    <row r="961">
      <c r="H961" s="31">
        <f>IF($A961="","",IF($D961="Evet",ROUND($C961*tbo_oranBesPuan,2),0))</f>
        <v/>
      </c>
      <c r="I961" s="31">
        <f>IF($A961="","",IF($E961="Evet",ROUND($C961*tbo_oranIlave,2),0))</f>
        <v/>
      </c>
      <c r="J961" s="31">
        <f>IF($A961="","",IF($F961="Evet",ROUND($C961*tbo_oranKadinGenc,2),0))</f>
        <v/>
      </c>
      <c r="K961" s="31">
        <f>IF($A961="","",IF($G961="Evet",ROUND($C961*tbo_isverenOran,2),0))</f>
        <v/>
      </c>
      <c r="L961" s="31">
        <f>IF($A961="","",IF($M961=0,"YOK",IF($I961=$M961,"TBO-002",IF($H961=$M961,"TBO-001",IF($J961=$M961,"TBO-004","TBO-ENG")))))</f>
        <v/>
      </c>
      <c r="M961" s="31">
        <f>IF($A961="","",MAX($H961,$I961,$J961,$K961))</f>
        <v/>
      </c>
      <c r="O961" s="31">
        <f>IF($A961="","",MAX(0,$M961-IF($N961="TBO-001",$H961,IF($N961="TBO-002",$I961,IF($N961="TBO-004",$J961,IF($N961="TBO-ENG",$K961,0))))))</f>
        <v/>
      </c>
    </row>
    <row r="962">
      <c r="H962" s="31">
        <f>IF($A962="","",IF($D962="Evet",ROUND($C962*tbo_oranBesPuan,2),0))</f>
        <v/>
      </c>
      <c r="I962" s="31">
        <f>IF($A962="","",IF($E962="Evet",ROUND($C962*tbo_oranIlave,2),0))</f>
        <v/>
      </c>
      <c r="J962" s="31">
        <f>IF($A962="","",IF($F962="Evet",ROUND($C962*tbo_oranKadinGenc,2),0))</f>
        <v/>
      </c>
      <c r="K962" s="31">
        <f>IF($A962="","",IF($G962="Evet",ROUND($C962*tbo_isverenOran,2),0))</f>
        <v/>
      </c>
      <c r="L962" s="31">
        <f>IF($A962="","",IF($M962=0,"YOK",IF($I962=$M962,"TBO-002",IF($H962=$M962,"TBO-001",IF($J962=$M962,"TBO-004","TBO-ENG")))))</f>
        <v/>
      </c>
      <c r="M962" s="31">
        <f>IF($A962="","",MAX($H962,$I962,$J962,$K962))</f>
        <v/>
      </c>
      <c r="O962" s="31">
        <f>IF($A962="","",MAX(0,$M962-IF($N962="TBO-001",$H962,IF($N962="TBO-002",$I962,IF($N962="TBO-004",$J962,IF($N962="TBO-ENG",$K962,0))))))</f>
        <v/>
      </c>
    </row>
    <row r="963">
      <c r="H963" s="31">
        <f>IF($A963="","",IF($D963="Evet",ROUND($C963*tbo_oranBesPuan,2),0))</f>
        <v/>
      </c>
      <c r="I963" s="31">
        <f>IF($A963="","",IF($E963="Evet",ROUND($C963*tbo_oranIlave,2),0))</f>
        <v/>
      </c>
      <c r="J963" s="31">
        <f>IF($A963="","",IF($F963="Evet",ROUND($C963*tbo_oranKadinGenc,2),0))</f>
        <v/>
      </c>
      <c r="K963" s="31">
        <f>IF($A963="","",IF($G963="Evet",ROUND($C963*tbo_isverenOran,2),0))</f>
        <v/>
      </c>
      <c r="L963" s="31">
        <f>IF($A963="","",IF($M963=0,"YOK",IF($I963=$M963,"TBO-002",IF($H963=$M963,"TBO-001",IF($J963=$M963,"TBO-004","TBO-ENG")))))</f>
        <v/>
      </c>
      <c r="M963" s="31">
        <f>IF($A963="","",MAX($H963,$I963,$J963,$K963))</f>
        <v/>
      </c>
      <c r="O963" s="31">
        <f>IF($A963="","",MAX(0,$M963-IF($N963="TBO-001",$H963,IF($N963="TBO-002",$I963,IF($N963="TBO-004",$J963,IF($N963="TBO-ENG",$K963,0))))))</f>
        <v/>
      </c>
    </row>
    <row r="964">
      <c r="H964" s="31">
        <f>IF($A964="","",IF($D964="Evet",ROUND($C964*tbo_oranBesPuan,2),0))</f>
        <v/>
      </c>
      <c r="I964" s="31">
        <f>IF($A964="","",IF($E964="Evet",ROUND($C964*tbo_oranIlave,2),0))</f>
        <v/>
      </c>
      <c r="J964" s="31">
        <f>IF($A964="","",IF($F964="Evet",ROUND($C964*tbo_oranKadinGenc,2),0))</f>
        <v/>
      </c>
      <c r="K964" s="31">
        <f>IF($A964="","",IF($G964="Evet",ROUND($C964*tbo_isverenOran,2),0))</f>
        <v/>
      </c>
      <c r="L964" s="31">
        <f>IF($A964="","",IF($M964=0,"YOK",IF($I964=$M964,"TBO-002",IF($H964=$M964,"TBO-001",IF($J964=$M964,"TBO-004","TBO-ENG")))))</f>
        <v/>
      </c>
      <c r="M964" s="31">
        <f>IF($A964="","",MAX($H964,$I964,$J964,$K964))</f>
        <v/>
      </c>
      <c r="O964" s="31">
        <f>IF($A964="","",MAX(0,$M964-IF($N964="TBO-001",$H964,IF($N964="TBO-002",$I964,IF($N964="TBO-004",$J964,IF($N964="TBO-ENG",$K964,0))))))</f>
        <v/>
      </c>
    </row>
    <row r="965">
      <c r="H965" s="31">
        <f>IF($A965="","",IF($D965="Evet",ROUND($C965*tbo_oranBesPuan,2),0))</f>
        <v/>
      </c>
      <c r="I965" s="31">
        <f>IF($A965="","",IF($E965="Evet",ROUND($C965*tbo_oranIlave,2),0))</f>
        <v/>
      </c>
      <c r="J965" s="31">
        <f>IF($A965="","",IF($F965="Evet",ROUND($C965*tbo_oranKadinGenc,2),0))</f>
        <v/>
      </c>
      <c r="K965" s="31">
        <f>IF($A965="","",IF($G965="Evet",ROUND($C965*tbo_isverenOran,2),0))</f>
        <v/>
      </c>
      <c r="L965" s="31">
        <f>IF($A965="","",IF($M965=0,"YOK",IF($I965=$M965,"TBO-002",IF($H965=$M965,"TBO-001",IF($J965=$M965,"TBO-004","TBO-ENG")))))</f>
        <v/>
      </c>
      <c r="M965" s="31">
        <f>IF($A965="","",MAX($H965,$I965,$J965,$K965))</f>
        <v/>
      </c>
      <c r="O965" s="31">
        <f>IF($A965="","",MAX(0,$M965-IF($N965="TBO-001",$H965,IF($N965="TBO-002",$I965,IF($N965="TBO-004",$J965,IF($N965="TBO-ENG",$K965,0))))))</f>
        <v/>
      </c>
    </row>
    <row r="966">
      <c r="H966" s="31">
        <f>IF($A966="","",IF($D966="Evet",ROUND($C966*tbo_oranBesPuan,2),0))</f>
        <v/>
      </c>
      <c r="I966" s="31">
        <f>IF($A966="","",IF($E966="Evet",ROUND($C966*tbo_oranIlave,2),0))</f>
        <v/>
      </c>
      <c r="J966" s="31">
        <f>IF($A966="","",IF($F966="Evet",ROUND($C966*tbo_oranKadinGenc,2),0))</f>
        <v/>
      </c>
      <c r="K966" s="31">
        <f>IF($A966="","",IF($G966="Evet",ROUND($C966*tbo_isverenOran,2),0))</f>
        <v/>
      </c>
      <c r="L966" s="31">
        <f>IF($A966="","",IF($M966=0,"YOK",IF($I966=$M966,"TBO-002",IF($H966=$M966,"TBO-001",IF($J966=$M966,"TBO-004","TBO-ENG")))))</f>
        <v/>
      </c>
      <c r="M966" s="31">
        <f>IF($A966="","",MAX($H966,$I966,$J966,$K966))</f>
        <v/>
      </c>
      <c r="O966" s="31">
        <f>IF($A966="","",MAX(0,$M966-IF($N966="TBO-001",$H966,IF($N966="TBO-002",$I966,IF($N966="TBO-004",$J966,IF($N966="TBO-ENG",$K966,0))))))</f>
        <v/>
      </c>
    </row>
    <row r="967">
      <c r="H967" s="31">
        <f>IF($A967="","",IF($D967="Evet",ROUND($C967*tbo_oranBesPuan,2),0))</f>
        <v/>
      </c>
      <c r="I967" s="31">
        <f>IF($A967="","",IF($E967="Evet",ROUND($C967*tbo_oranIlave,2),0))</f>
        <v/>
      </c>
      <c r="J967" s="31">
        <f>IF($A967="","",IF($F967="Evet",ROUND($C967*tbo_oranKadinGenc,2),0))</f>
        <v/>
      </c>
      <c r="K967" s="31">
        <f>IF($A967="","",IF($G967="Evet",ROUND($C967*tbo_isverenOran,2),0))</f>
        <v/>
      </c>
      <c r="L967" s="31">
        <f>IF($A967="","",IF($M967=0,"YOK",IF($I967=$M967,"TBO-002",IF($H967=$M967,"TBO-001",IF($J967=$M967,"TBO-004","TBO-ENG")))))</f>
        <v/>
      </c>
      <c r="M967" s="31">
        <f>IF($A967="","",MAX($H967,$I967,$J967,$K967))</f>
        <v/>
      </c>
      <c r="O967" s="31">
        <f>IF($A967="","",MAX(0,$M967-IF($N967="TBO-001",$H967,IF($N967="TBO-002",$I967,IF($N967="TBO-004",$J967,IF($N967="TBO-ENG",$K967,0))))))</f>
        <v/>
      </c>
    </row>
    <row r="968">
      <c r="H968" s="31">
        <f>IF($A968="","",IF($D968="Evet",ROUND($C968*tbo_oranBesPuan,2),0))</f>
        <v/>
      </c>
      <c r="I968" s="31">
        <f>IF($A968="","",IF($E968="Evet",ROUND($C968*tbo_oranIlave,2),0))</f>
        <v/>
      </c>
      <c r="J968" s="31">
        <f>IF($A968="","",IF($F968="Evet",ROUND($C968*tbo_oranKadinGenc,2),0))</f>
        <v/>
      </c>
      <c r="K968" s="31">
        <f>IF($A968="","",IF($G968="Evet",ROUND($C968*tbo_isverenOran,2),0))</f>
        <v/>
      </c>
      <c r="L968" s="31">
        <f>IF($A968="","",IF($M968=0,"YOK",IF($I968=$M968,"TBO-002",IF($H968=$M968,"TBO-001",IF($J968=$M968,"TBO-004","TBO-ENG")))))</f>
        <v/>
      </c>
      <c r="M968" s="31">
        <f>IF($A968="","",MAX($H968,$I968,$J968,$K968))</f>
        <v/>
      </c>
      <c r="O968" s="31">
        <f>IF($A968="","",MAX(0,$M968-IF($N968="TBO-001",$H968,IF($N968="TBO-002",$I968,IF($N968="TBO-004",$J968,IF($N968="TBO-ENG",$K968,0))))))</f>
        <v/>
      </c>
    </row>
    <row r="969">
      <c r="H969" s="31">
        <f>IF($A969="","",IF($D969="Evet",ROUND($C969*tbo_oranBesPuan,2),0))</f>
        <v/>
      </c>
      <c r="I969" s="31">
        <f>IF($A969="","",IF($E969="Evet",ROUND($C969*tbo_oranIlave,2),0))</f>
        <v/>
      </c>
      <c r="J969" s="31">
        <f>IF($A969="","",IF($F969="Evet",ROUND($C969*tbo_oranKadinGenc,2),0))</f>
        <v/>
      </c>
      <c r="K969" s="31">
        <f>IF($A969="","",IF($G969="Evet",ROUND($C969*tbo_isverenOran,2),0))</f>
        <v/>
      </c>
      <c r="L969" s="31">
        <f>IF($A969="","",IF($M969=0,"YOK",IF($I969=$M969,"TBO-002",IF($H969=$M969,"TBO-001",IF($J969=$M969,"TBO-004","TBO-ENG")))))</f>
        <v/>
      </c>
      <c r="M969" s="31">
        <f>IF($A969="","",MAX($H969,$I969,$J969,$K969))</f>
        <v/>
      </c>
      <c r="O969" s="31">
        <f>IF($A969="","",MAX(0,$M969-IF($N969="TBO-001",$H969,IF($N969="TBO-002",$I969,IF($N969="TBO-004",$J969,IF($N969="TBO-ENG",$K969,0))))))</f>
        <v/>
      </c>
    </row>
    <row r="970">
      <c r="H970" s="31">
        <f>IF($A970="","",IF($D970="Evet",ROUND($C970*tbo_oranBesPuan,2),0))</f>
        <v/>
      </c>
      <c r="I970" s="31">
        <f>IF($A970="","",IF($E970="Evet",ROUND($C970*tbo_oranIlave,2),0))</f>
        <v/>
      </c>
      <c r="J970" s="31">
        <f>IF($A970="","",IF($F970="Evet",ROUND($C970*tbo_oranKadinGenc,2),0))</f>
        <v/>
      </c>
      <c r="K970" s="31">
        <f>IF($A970="","",IF($G970="Evet",ROUND($C970*tbo_isverenOran,2),0))</f>
        <v/>
      </c>
      <c r="L970" s="31">
        <f>IF($A970="","",IF($M970=0,"YOK",IF($I970=$M970,"TBO-002",IF($H970=$M970,"TBO-001",IF($J970=$M970,"TBO-004","TBO-ENG")))))</f>
        <v/>
      </c>
      <c r="M970" s="31">
        <f>IF($A970="","",MAX($H970,$I970,$J970,$K970))</f>
        <v/>
      </c>
      <c r="O970" s="31">
        <f>IF($A970="","",MAX(0,$M970-IF($N970="TBO-001",$H970,IF($N970="TBO-002",$I970,IF($N970="TBO-004",$J970,IF($N970="TBO-ENG",$K970,0))))))</f>
        <v/>
      </c>
    </row>
    <row r="971">
      <c r="H971" s="31">
        <f>IF($A971="","",IF($D971="Evet",ROUND($C971*tbo_oranBesPuan,2),0))</f>
        <v/>
      </c>
      <c r="I971" s="31">
        <f>IF($A971="","",IF($E971="Evet",ROUND($C971*tbo_oranIlave,2),0))</f>
        <v/>
      </c>
      <c r="J971" s="31">
        <f>IF($A971="","",IF($F971="Evet",ROUND($C971*tbo_oranKadinGenc,2),0))</f>
        <v/>
      </c>
      <c r="K971" s="31">
        <f>IF($A971="","",IF($G971="Evet",ROUND($C971*tbo_isverenOran,2),0))</f>
        <v/>
      </c>
      <c r="L971" s="31">
        <f>IF($A971="","",IF($M971=0,"YOK",IF($I971=$M971,"TBO-002",IF($H971=$M971,"TBO-001",IF($J971=$M971,"TBO-004","TBO-ENG")))))</f>
        <v/>
      </c>
      <c r="M971" s="31">
        <f>IF($A971="","",MAX($H971,$I971,$J971,$K971))</f>
        <v/>
      </c>
      <c r="O971" s="31">
        <f>IF($A971="","",MAX(0,$M971-IF($N971="TBO-001",$H971,IF($N971="TBO-002",$I971,IF($N971="TBO-004",$J971,IF($N971="TBO-ENG",$K971,0))))))</f>
        <v/>
      </c>
    </row>
    <row r="972">
      <c r="H972" s="31">
        <f>IF($A972="","",IF($D972="Evet",ROUND($C972*tbo_oranBesPuan,2),0))</f>
        <v/>
      </c>
      <c r="I972" s="31">
        <f>IF($A972="","",IF($E972="Evet",ROUND($C972*tbo_oranIlave,2),0))</f>
        <v/>
      </c>
      <c r="J972" s="31">
        <f>IF($A972="","",IF($F972="Evet",ROUND($C972*tbo_oranKadinGenc,2),0))</f>
        <v/>
      </c>
      <c r="K972" s="31">
        <f>IF($A972="","",IF($G972="Evet",ROUND($C972*tbo_isverenOran,2),0))</f>
        <v/>
      </c>
      <c r="L972" s="31">
        <f>IF($A972="","",IF($M972=0,"YOK",IF($I972=$M972,"TBO-002",IF($H972=$M972,"TBO-001",IF($J972=$M972,"TBO-004","TBO-ENG")))))</f>
        <v/>
      </c>
      <c r="M972" s="31">
        <f>IF($A972="","",MAX($H972,$I972,$J972,$K972))</f>
        <v/>
      </c>
      <c r="O972" s="31">
        <f>IF($A972="","",MAX(0,$M972-IF($N972="TBO-001",$H972,IF($N972="TBO-002",$I972,IF($N972="TBO-004",$J972,IF($N972="TBO-ENG",$K972,0))))))</f>
        <v/>
      </c>
    </row>
    <row r="973">
      <c r="H973" s="31">
        <f>IF($A973="","",IF($D973="Evet",ROUND($C973*tbo_oranBesPuan,2),0))</f>
        <v/>
      </c>
      <c r="I973" s="31">
        <f>IF($A973="","",IF($E973="Evet",ROUND($C973*tbo_oranIlave,2),0))</f>
        <v/>
      </c>
      <c r="J973" s="31">
        <f>IF($A973="","",IF($F973="Evet",ROUND($C973*tbo_oranKadinGenc,2),0))</f>
        <v/>
      </c>
      <c r="K973" s="31">
        <f>IF($A973="","",IF($G973="Evet",ROUND($C973*tbo_isverenOran,2),0))</f>
        <v/>
      </c>
      <c r="L973" s="31">
        <f>IF($A973="","",IF($M973=0,"YOK",IF($I973=$M973,"TBO-002",IF($H973=$M973,"TBO-001",IF($J973=$M973,"TBO-004","TBO-ENG")))))</f>
        <v/>
      </c>
      <c r="M973" s="31">
        <f>IF($A973="","",MAX($H973,$I973,$J973,$K973))</f>
        <v/>
      </c>
      <c r="O973" s="31">
        <f>IF($A973="","",MAX(0,$M973-IF($N973="TBO-001",$H973,IF($N973="TBO-002",$I973,IF($N973="TBO-004",$J973,IF($N973="TBO-ENG",$K973,0))))))</f>
        <v/>
      </c>
    </row>
    <row r="974">
      <c r="H974" s="31">
        <f>IF($A974="","",IF($D974="Evet",ROUND($C974*tbo_oranBesPuan,2),0))</f>
        <v/>
      </c>
      <c r="I974" s="31">
        <f>IF($A974="","",IF($E974="Evet",ROUND($C974*tbo_oranIlave,2),0))</f>
        <v/>
      </c>
      <c r="J974" s="31">
        <f>IF($A974="","",IF($F974="Evet",ROUND($C974*tbo_oranKadinGenc,2),0))</f>
        <v/>
      </c>
      <c r="K974" s="31">
        <f>IF($A974="","",IF($G974="Evet",ROUND($C974*tbo_isverenOran,2),0))</f>
        <v/>
      </c>
      <c r="L974" s="31">
        <f>IF($A974="","",IF($M974=0,"YOK",IF($I974=$M974,"TBO-002",IF($H974=$M974,"TBO-001",IF($J974=$M974,"TBO-004","TBO-ENG")))))</f>
        <v/>
      </c>
      <c r="M974" s="31">
        <f>IF($A974="","",MAX($H974,$I974,$J974,$K974))</f>
        <v/>
      </c>
      <c r="O974" s="31">
        <f>IF($A974="","",MAX(0,$M974-IF($N974="TBO-001",$H974,IF($N974="TBO-002",$I974,IF($N974="TBO-004",$J974,IF($N974="TBO-ENG",$K974,0))))))</f>
        <v/>
      </c>
    </row>
    <row r="975">
      <c r="H975" s="31">
        <f>IF($A975="","",IF($D975="Evet",ROUND($C975*tbo_oranBesPuan,2),0))</f>
        <v/>
      </c>
      <c r="I975" s="31">
        <f>IF($A975="","",IF($E975="Evet",ROUND($C975*tbo_oranIlave,2),0))</f>
        <v/>
      </c>
      <c r="J975" s="31">
        <f>IF($A975="","",IF($F975="Evet",ROUND($C975*tbo_oranKadinGenc,2),0))</f>
        <v/>
      </c>
      <c r="K975" s="31">
        <f>IF($A975="","",IF($G975="Evet",ROUND($C975*tbo_isverenOran,2),0))</f>
        <v/>
      </c>
      <c r="L975" s="31">
        <f>IF($A975="","",IF($M975=0,"YOK",IF($I975=$M975,"TBO-002",IF($H975=$M975,"TBO-001",IF($J975=$M975,"TBO-004","TBO-ENG")))))</f>
        <v/>
      </c>
      <c r="M975" s="31">
        <f>IF($A975="","",MAX($H975,$I975,$J975,$K975))</f>
        <v/>
      </c>
      <c r="O975" s="31">
        <f>IF($A975="","",MAX(0,$M975-IF($N975="TBO-001",$H975,IF($N975="TBO-002",$I975,IF($N975="TBO-004",$J975,IF($N975="TBO-ENG",$K975,0))))))</f>
        <v/>
      </c>
    </row>
    <row r="976">
      <c r="H976" s="31">
        <f>IF($A976="","",IF($D976="Evet",ROUND($C976*tbo_oranBesPuan,2),0))</f>
        <v/>
      </c>
      <c r="I976" s="31">
        <f>IF($A976="","",IF($E976="Evet",ROUND($C976*tbo_oranIlave,2),0))</f>
        <v/>
      </c>
      <c r="J976" s="31">
        <f>IF($A976="","",IF($F976="Evet",ROUND($C976*tbo_oranKadinGenc,2),0))</f>
        <v/>
      </c>
      <c r="K976" s="31">
        <f>IF($A976="","",IF($G976="Evet",ROUND($C976*tbo_isverenOran,2),0))</f>
        <v/>
      </c>
      <c r="L976" s="31">
        <f>IF($A976="","",IF($M976=0,"YOK",IF($I976=$M976,"TBO-002",IF($H976=$M976,"TBO-001",IF($J976=$M976,"TBO-004","TBO-ENG")))))</f>
        <v/>
      </c>
      <c r="M976" s="31">
        <f>IF($A976="","",MAX($H976,$I976,$J976,$K976))</f>
        <v/>
      </c>
      <c r="O976" s="31">
        <f>IF($A976="","",MAX(0,$M976-IF($N976="TBO-001",$H976,IF($N976="TBO-002",$I976,IF($N976="TBO-004",$J976,IF($N976="TBO-ENG",$K976,0))))))</f>
        <v/>
      </c>
    </row>
    <row r="977">
      <c r="H977" s="31">
        <f>IF($A977="","",IF($D977="Evet",ROUND($C977*tbo_oranBesPuan,2),0))</f>
        <v/>
      </c>
      <c r="I977" s="31">
        <f>IF($A977="","",IF($E977="Evet",ROUND($C977*tbo_oranIlave,2),0))</f>
        <v/>
      </c>
      <c r="J977" s="31">
        <f>IF($A977="","",IF($F977="Evet",ROUND($C977*tbo_oranKadinGenc,2),0))</f>
        <v/>
      </c>
      <c r="K977" s="31">
        <f>IF($A977="","",IF($G977="Evet",ROUND($C977*tbo_isverenOran,2),0))</f>
        <v/>
      </c>
      <c r="L977" s="31">
        <f>IF($A977="","",IF($M977=0,"YOK",IF($I977=$M977,"TBO-002",IF($H977=$M977,"TBO-001",IF($J977=$M977,"TBO-004","TBO-ENG")))))</f>
        <v/>
      </c>
      <c r="M977" s="31">
        <f>IF($A977="","",MAX($H977,$I977,$J977,$K977))</f>
        <v/>
      </c>
      <c r="O977" s="31">
        <f>IF($A977="","",MAX(0,$M977-IF($N977="TBO-001",$H977,IF($N977="TBO-002",$I977,IF($N977="TBO-004",$J977,IF($N977="TBO-ENG",$K977,0))))))</f>
        <v/>
      </c>
    </row>
    <row r="978">
      <c r="H978" s="31">
        <f>IF($A978="","",IF($D978="Evet",ROUND($C978*tbo_oranBesPuan,2),0))</f>
        <v/>
      </c>
      <c r="I978" s="31">
        <f>IF($A978="","",IF($E978="Evet",ROUND($C978*tbo_oranIlave,2),0))</f>
        <v/>
      </c>
      <c r="J978" s="31">
        <f>IF($A978="","",IF($F978="Evet",ROUND($C978*tbo_oranKadinGenc,2),0))</f>
        <v/>
      </c>
      <c r="K978" s="31">
        <f>IF($A978="","",IF($G978="Evet",ROUND($C978*tbo_isverenOran,2),0))</f>
        <v/>
      </c>
      <c r="L978" s="31">
        <f>IF($A978="","",IF($M978=0,"YOK",IF($I978=$M978,"TBO-002",IF($H978=$M978,"TBO-001",IF($J978=$M978,"TBO-004","TBO-ENG")))))</f>
        <v/>
      </c>
      <c r="M978" s="31">
        <f>IF($A978="","",MAX($H978,$I978,$J978,$K978))</f>
        <v/>
      </c>
      <c r="O978" s="31">
        <f>IF($A978="","",MAX(0,$M978-IF($N978="TBO-001",$H978,IF($N978="TBO-002",$I978,IF($N978="TBO-004",$J978,IF($N978="TBO-ENG",$K978,0))))))</f>
        <v/>
      </c>
    </row>
    <row r="979">
      <c r="H979" s="31">
        <f>IF($A979="","",IF($D979="Evet",ROUND($C979*tbo_oranBesPuan,2),0))</f>
        <v/>
      </c>
      <c r="I979" s="31">
        <f>IF($A979="","",IF($E979="Evet",ROUND($C979*tbo_oranIlave,2),0))</f>
        <v/>
      </c>
      <c r="J979" s="31">
        <f>IF($A979="","",IF($F979="Evet",ROUND($C979*tbo_oranKadinGenc,2),0))</f>
        <v/>
      </c>
      <c r="K979" s="31">
        <f>IF($A979="","",IF($G979="Evet",ROUND($C979*tbo_isverenOran,2),0))</f>
        <v/>
      </c>
      <c r="L979" s="31">
        <f>IF($A979="","",IF($M979=0,"YOK",IF($I979=$M979,"TBO-002",IF($H979=$M979,"TBO-001",IF($J979=$M979,"TBO-004","TBO-ENG")))))</f>
        <v/>
      </c>
      <c r="M979" s="31">
        <f>IF($A979="","",MAX($H979,$I979,$J979,$K979))</f>
        <v/>
      </c>
      <c r="O979" s="31">
        <f>IF($A979="","",MAX(0,$M979-IF($N979="TBO-001",$H979,IF($N979="TBO-002",$I979,IF($N979="TBO-004",$J979,IF($N979="TBO-ENG",$K979,0))))))</f>
        <v/>
      </c>
    </row>
    <row r="980">
      <c r="H980" s="31">
        <f>IF($A980="","",IF($D980="Evet",ROUND($C980*tbo_oranBesPuan,2),0))</f>
        <v/>
      </c>
      <c r="I980" s="31">
        <f>IF($A980="","",IF($E980="Evet",ROUND($C980*tbo_oranIlave,2),0))</f>
        <v/>
      </c>
      <c r="J980" s="31">
        <f>IF($A980="","",IF($F980="Evet",ROUND($C980*tbo_oranKadinGenc,2),0))</f>
        <v/>
      </c>
      <c r="K980" s="31">
        <f>IF($A980="","",IF($G980="Evet",ROUND($C980*tbo_isverenOran,2),0))</f>
        <v/>
      </c>
      <c r="L980" s="31">
        <f>IF($A980="","",IF($M980=0,"YOK",IF($I980=$M980,"TBO-002",IF($H980=$M980,"TBO-001",IF($J980=$M980,"TBO-004","TBO-ENG")))))</f>
        <v/>
      </c>
      <c r="M980" s="31">
        <f>IF($A980="","",MAX($H980,$I980,$J980,$K980))</f>
        <v/>
      </c>
      <c r="O980" s="31">
        <f>IF($A980="","",MAX(0,$M980-IF($N980="TBO-001",$H980,IF($N980="TBO-002",$I980,IF($N980="TBO-004",$J980,IF($N980="TBO-ENG",$K980,0))))))</f>
        <v/>
      </c>
    </row>
    <row r="981">
      <c r="H981" s="31">
        <f>IF($A981="","",IF($D981="Evet",ROUND($C981*tbo_oranBesPuan,2),0))</f>
        <v/>
      </c>
      <c r="I981" s="31">
        <f>IF($A981="","",IF($E981="Evet",ROUND($C981*tbo_oranIlave,2),0))</f>
        <v/>
      </c>
      <c r="J981" s="31">
        <f>IF($A981="","",IF($F981="Evet",ROUND($C981*tbo_oranKadinGenc,2),0))</f>
        <v/>
      </c>
      <c r="K981" s="31">
        <f>IF($A981="","",IF($G981="Evet",ROUND($C981*tbo_isverenOran,2),0))</f>
        <v/>
      </c>
      <c r="L981" s="31">
        <f>IF($A981="","",IF($M981=0,"YOK",IF($I981=$M981,"TBO-002",IF($H981=$M981,"TBO-001",IF($J981=$M981,"TBO-004","TBO-ENG")))))</f>
        <v/>
      </c>
      <c r="M981" s="31">
        <f>IF($A981="","",MAX($H981,$I981,$J981,$K981))</f>
        <v/>
      </c>
      <c r="O981" s="31">
        <f>IF($A981="","",MAX(0,$M981-IF($N981="TBO-001",$H981,IF($N981="TBO-002",$I981,IF($N981="TBO-004",$J981,IF($N981="TBO-ENG",$K981,0))))))</f>
        <v/>
      </c>
    </row>
    <row r="982">
      <c r="H982" s="31">
        <f>IF($A982="","",IF($D982="Evet",ROUND($C982*tbo_oranBesPuan,2),0))</f>
        <v/>
      </c>
      <c r="I982" s="31">
        <f>IF($A982="","",IF($E982="Evet",ROUND($C982*tbo_oranIlave,2),0))</f>
        <v/>
      </c>
      <c r="J982" s="31">
        <f>IF($A982="","",IF($F982="Evet",ROUND($C982*tbo_oranKadinGenc,2),0))</f>
        <v/>
      </c>
      <c r="K982" s="31">
        <f>IF($A982="","",IF($G982="Evet",ROUND($C982*tbo_isverenOran,2),0))</f>
        <v/>
      </c>
      <c r="L982" s="31">
        <f>IF($A982="","",IF($M982=0,"YOK",IF($I982=$M982,"TBO-002",IF($H982=$M982,"TBO-001",IF($J982=$M982,"TBO-004","TBO-ENG")))))</f>
        <v/>
      </c>
      <c r="M982" s="31">
        <f>IF($A982="","",MAX($H982,$I982,$J982,$K982))</f>
        <v/>
      </c>
      <c r="O982" s="31">
        <f>IF($A982="","",MAX(0,$M982-IF($N982="TBO-001",$H982,IF($N982="TBO-002",$I982,IF($N982="TBO-004",$J982,IF($N982="TBO-ENG",$K982,0))))))</f>
        <v/>
      </c>
    </row>
    <row r="983">
      <c r="H983" s="31">
        <f>IF($A983="","",IF($D983="Evet",ROUND($C983*tbo_oranBesPuan,2),0))</f>
        <v/>
      </c>
      <c r="I983" s="31">
        <f>IF($A983="","",IF($E983="Evet",ROUND($C983*tbo_oranIlave,2),0))</f>
        <v/>
      </c>
      <c r="J983" s="31">
        <f>IF($A983="","",IF($F983="Evet",ROUND($C983*tbo_oranKadinGenc,2),0))</f>
        <v/>
      </c>
      <c r="K983" s="31">
        <f>IF($A983="","",IF($G983="Evet",ROUND($C983*tbo_isverenOran,2),0))</f>
        <v/>
      </c>
      <c r="L983" s="31">
        <f>IF($A983="","",IF($M983=0,"YOK",IF($I983=$M983,"TBO-002",IF($H983=$M983,"TBO-001",IF($J983=$M983,"TBO-004","TBO-ENG")))))</f>
        <v/>
      </c>
      <c r="M983" s="31">
        <f>IF($A983="","",MAX($H983,$I983,$J983,$K983))</f>
        <v/>
      </c>
      <c r="O983" s="31">
        <f>IF($A983="","",MAX(0,$M983-IF($N983="TBO-001",$H983,IF($N983="TBO-002",$I983,IF($N983="TBO-004",$J983,IF($N983="TBO-ENG",$K983,0))))))</f>
        <v/>
      </c>
    </row>
    <row r="984">
      <c r="H984" s="31">
        <f>IF($A984="","",IF($D984="Evet",ROUND($C984*tbo_oranBesPuan,2),0))</f>
        <v/>
      </c>
      <c r="I984" s="31">
        <f>IF($A984="","",IF($E984="Evet",ROUND($C984*tbo_oranIlave,2),0))</f>
        <v/>
      </c>
      <c r="J984" s="31">
        <f>IF($A984="","",IF($F984="Evet",ROUND($C984*tbo_oranKadinGenc,2),0))</f>
        <v/>
      </c>
      <c r="K984" s="31">
        <f>IF($A984="","",IF($G984="Evet",ROUND($C984*tbo_isverenOran,2),0))</f>
        <v/>
      </c>
      <c r="L984" s="31">
        <f>IF($A984="","",IF($M984=0,"YOK",IF($I984=$M984,"TBO-002",IF($H984=$M984,"TBO-001",IF($J984=$M984,"TBO-004","TBO-ENG")))))</f>
        <v/>
      </c>
      <c r="M984" s="31">
        <f>IF($A984="","",MAX($H984,$I984,$J984,$K984))</f>
        <v/>
      </c>
      <c r="O984" s="31">
        <f>IF($A984="","",MAX(0,$M984-IF($N984="TBO-001",$H984,IF($N984="TBO-002",$I984,IF($N984="TBO-004",$J984,IF($N984="TBO-ENG",$K984,0))))))</f>
        <v/>
      </c>
    </row>
    <row r="985">
      <c r="H985" s="31">
        <f>IF($A985="","",IF($D985="Evet",ROUND($C985*tbo_oranBesPuan,2),0))</f>
        <v/>
      </c>
      <c r="I985" s="31">
        <f>IF($A985="","",IF($E985="Evet",ROUND($C985*tbo_oranIlave,2),0))</f>
        <v/>
      </c>
      <c r="J985" s="31">
        <f>IF($A985="","",IF($F985="Evet",ROUND($C985*tbo_oranKadinGenc,2),0))</f>
        <v/>
      </c>
      <c r="K985" s="31">
        <f>IF($A985="","",IF($G985="Evet",ROUND($C985*tbo_isverenOran,2),0))</f>
        <v/>
      </c>
      <c r="L985" s="31">
        <f>IF($A985="","",IF($M985=0,"YOK",IF($I985=$M985,"TBO-002",IF($H985=$M985,"TBO-001",IF($J985=$M985,"TBO-004","TBO-ENG")))))</f>
        <v/>
      </c>
      <c r="M985" s="31">
        <f>IF($A985="","",MAX($H985,$I985,$J985,$K985))</f>
        <v/>
      </c>
      <c r="O985" s="31">
        <f>IF($A985="","",MAX(0,$M985-IF($N985="TBO-001",$H985,IF($N985="TBO-002",$I985,IF($N985="TBO-004",$J985,IF($N985="TBO-ENG",$K985,0))))))</f>
        <v/>
      </c>
    </row>
    <row r="986">
      <c r="H986" s="31">
        <f>IF($A986="","",IF($D986="Evet",ROUND($C986*tbo_oranBesPuan,2),0))</f>
        <v/>
      </c>
      <c r="I986" s="31">
        <f>IF($A986="","",IF($E986="Evet",ROUND($C986*tbo_oranIlave,2),0))</f>
        <v/>
      </c>
      <c r="J986" s="31">
        <f>IF($A986="","",IF($F986="Evet",ROUND($C986*tbo_oranKadinGenc,2),0))</f>
        <v/>
      </c>
      <c r="K986" s="31">
        <f>IF($A986="","",IF($G986="Evet",ROUND($C986*tbo_isverenOran,2),0))</f>
        <v/>
      </c>
      <c r="L986" s="31">
        <f>IF($A986="","",IF($M986=0,"YOK",IF($I986=$M986,"TBO-002",IF($H986=$M986,"TBO-001",IF($J986=$M986,"TBO-004","TBO-ENG")))))</f>
        <v/>
      </c>
      <c r="M986" s="31">
        <f>IF($A986="","",MAX($H986,$I986,$J986,$K986))</f>
        <v/>
      </c>
      <c r="O986" s="31">
        <f>IF($A986="","",MAX(0,$M986-IF($N986="TBO-001",$H986,IF($N986="TBO-002",$I986,IF($N986="TBO-004",$J986,IF($N986="TBO-ENG",$K986,0))))))</f>
        <v/>
      </c>
    </row>
    <row r="987">
      <c r="H987" s="31">
        <f>IF($A987="","",IF($D987="Evet",ROUND($C987*tbo_oranBesPuan,2),0))</f>
        <v/>
      </c>
      <c r="I987" s="31">
        <f>IF($A987="","",IF($E987="Evet",ROUND($C987*tbo_oranIlave,2),0))</f>
        <v/>
      </c>
      <c r="J987" s="31">
        <f>IF($A987="","",IF($F987="Evet",ROUND($C987*tbo_oranKadinGenc,2),0))</f>
        <v/>
      </c>
      <c r="K987" s="31">
        <f>IF($A987="","",IF($G987="Evet",ROUND($C987*tbo_isverenOran,2),0))</f>
        <v/>
      </c>
      <c r="L987" s="31">
        <f>IF($A987="","",IF($M987=0,"YOK",IF($I987=$M987,"TBO-002",IF($H987=$M987,"TBO-001",IF($J987=$M987,"TBO-004","TBO-ENG")))))</f>
        <v/>
      </c>
      <c r="M987" s="31">
        <f>IF($A987="","",MAX($H987,$I987,$J987,$K987))</f>
        <v/>
      </c>
      <c r="O987" s="31">
        <f>IF($A987="","",MAX(0,$M987-IF($N987="TBO-001",$H987,IF($N987="TBO-002",$I987,IF($N987="TBO-004",$J987,IF($N987="TBO-ENG",$K987,0))))))</f>
        <v/>
      </c>
    </row>
    <row r="988">
      <c r="H988" s="31">
        <f>IF($A988="","",IF($D988="Evet",ROUND($C988*tbo_oranBesPuan,2),0))</f>
        <v/>
      </c>
      <c r="I988" s="31">
        <f>IF($A988="","",IF($E988="Evet",ROUND($C988*tbo_oranIlave,2),0))</f>
        <v/>
      </c>
      <c r="J988" s="31">
        <f>IF($A988="","",IF($F988="Evet",ROUND($C988*tbo_oranKadinGenc,2),0))</f>
        <v/>
      </c>
      <c r="K988" s="31">
        <f>IF($A988="","",IF($G988="Evet",ROUND($C988*tbo_isverenOran,2),0))</f>
        <v/>
      </c>
      <c r="L988" s="31">
        <f>IF($A988="","",IF($M988=0,"YOK",IF($I988=$M988,"TBO-002",IF($H988=$M988,"TBO-001",IF($J988=$M988,"TBO-004","TBO-ENG")))))</f>
        <v/>
      </c>
      <c r="M988" s="31">
        <f>IF($A988="","",MAX($H988,$I988,$J988,$K988))</f>
        <v/>
      </c>
      <c r="O988" s="31">
        <f>IF($A988="","",MAX(0,$M988-IF($N988="TBO-001",$H988,IF($N988="TBO-002",$I988,IF($N988="TBO-004",$J988,IF($N988="TBO-ENG",$K988,0))))))</f>
        <v/>
      </c>
    </row>
    <row r="989">
      <c r="H989" s="31">
        <f>IF($A989="","",IF($D989="Evet",ROUND($C989*tbo_oranBesPuan,2),0))</f>
        <v/>
      </c>
      <c r="I989" s="31">
        <f>IF($A989="","",IF($E989="Evet",ROUND($C989*tbo_oranIlave,2),0))</f>
        <v/>
      </c>
      <c r="J989" s="31">
        <f>IF($A989="","",IF($F989="Evet",ROUND($C989*tbo_oranKadinGenc,2),0))</f>
        <v/>
      </c>
      <c r="K989" s="31">
        <f>IF($A989="","",IF($G989="Evet",ROUND($C989*tbo_isverenOran,2),0))</f>
        <v/>
      </c>
      <c r="L989" s="31">
        <f>IF($A989="","",IF($M989=0,"YOK",IF($I989=$M989,"TBO-002",IF($H989=$M989,"TBO-001",IF($J989=$M989,"TBO-004","TBO-ENG")))))</f>
        <v/>
      </c>
      <c r="M989" s="31">
        <f>IF($A989="","",MAX($H989,$I989,$J989,$K989))</f>
        <v/>
      </c>
      <c r="O989" s="31">
        <f>IF($A989="","",MAX(0,$M989-IF($N989="TBO-001",$H989,IF($N989="TBO-002",$I989,IF($N989="TBO-004",$J989,IF($N989="TBO-ENG",$K989,0))))))</f>
        <v/>
      </c>
    </row>
    <row r="990">
      <c r="H990" s="31">
        <f>IF($A990="","",IF($D990="Evet",ROUND($C990*tbo_oranBesPuan,2),0))</f>
        <v/>
      </c>
      <c r="I990" s="31">
        <f>IF($A990="","",IF($E990="Evet",ROUND($C990*tbo_oranIlave,2),0))</f>
        <v/>
      </c>
      <c r="J990" s="31">
        <f>IF($A990="","",IF($F990="Evet",ROUND($C990*tbo_oranKadinGenc,2),0))</f>
        <v/>
      </c>
      <c r="K990" s="31">
        <f>IF($A990="","",IF($G990="Evet",ROUND($C990*tbo_isverenOran,2),0))</f>
        <v/>
      </c>
      <c r="L990" s="31">
        <f>IF($A990="","",IF($M990=0,"YOK",IF($I990=$M990,"TBO-002",IF($H990=$M990,"TBO-001",IF($J990=$M990,"TBO-004","TBO-ENG")))))</f>
        <v/>
      </c>
      <c r="M990" s="31">
        <f>IF($A990="","",MAX($H990,$I990,$J990,$K990))</f>
        <v/>
      </c>
      <c r="O990" s="31">
        <f>IF($A990="","",MAX(0,$M990-IF($N990="TBO-001",$H990,IF($N990="TBO-002",$I990,IF($N990="TBO-004",$J990,IF($N990="TBO-ENG",$K990,0))))))</f>
        <v/>
      </c>
    </row>
    <row r="991">
      <c r="H991" s="31">
        <f>IF($A991="","",IF($D991="Evet",ROUND($C991*tbo_oranBesPuan,2),0))</f>
        <v/>
      </c>
      <c r="I991" s="31">
        <f>IF($A991="","",IF($E991="Evet",ROUND($C991*tbo_oranIlave,2),0))</f>
        <v/>
      </c>
      <c r="J991" s="31">
        <f>IF($A991="","",IF($F991="Evet",ROUND($C991*tbo_oranKadinGenc,2),0))</f>
        <v/>
      </c>
      <c r="K991" s="31">
        <f>IF($A991="","",IF($G991="Evet",ROUND($C991*tbo_isverenOran,2),0))</f>
        <v/>
      </c>
      <c r="L991" s="31">
        <f>IF($A991="","",IF($M991=0,"YOK",IF($I991=$M991,"TBO-002",IF($H991=$M991,"TBO-001",IF($J991=$M991,"TBO-004","TBO-ENG")))))</f>
        <v/>
      </c>
      <c r="M991" s="31">
        <f>IF($A991="","",MAX($H991,$I991,$J991,$K991))</f>
        <v/>
      </c>
      <c r="O991" s="31">
        <f>IF($A991="","",MAX(0,$M991-IF($N991="TBO-001",$H991,IF($N991="TBO-002",$I991,IF($N991="TBO-004",$J991,IF($N991="TBO-ENG",$K991,0))))))</f>
        <v/>
      </c>
    </row>
    <row r="992">
      <c r="H992" s="31">
        <f>IF($A992="","",IF($D992="Evet",ROUND($C992*tbo_oranBesPuan,2),0))</f>
        <v/>
      </c>
      <c r="I992" s="31">
        <f>IF($A992="","",IF($E992="Evet",ROUND($C992*tbo_oranIlave,2),0))</f>
        <v/>
      </c>
      <c r="J992" s="31">
        <f>IF($A992="","",IF($F992="Evet",ROUND($C992*tbo_oranKadinGenc,2),0))</f>
        <v/>
      </c>
      <c r="K992" s="31">
        <f>IF($A992="","",IF($G992="Evet",ROUND($C992*tbo_isverenOran,2),0))</f>
        <v/>
      </c>
      <c r="L992" s="31">
        <f>IF($A992="","",IF($M992=0,"YOK",IF($I992=$M992,"TBO-002",IF($H992=$M992,"TBO-001",IF($J992=$M992,"TBO-004","TBO-ENG")))))</f>
        <v/>
      </c>
      <c r="M992" s="31">
        <f>IF($A992="","",MAX($H992,$I992,$J992,$K992))</f>
        <v/>
      </c>
      <c r="O992" s="31">
        <f>IF($A992="","",MAX(0,$M992-IF($N992="TBO-001",$H992,IF($N992="TBO-002",$I992,IF($N992="TBO-004",$J992,IF($N992="TBO-ENG",$K992,0))))))</f>
        <v/>
      </c>
    </row>
    <row r="993">
      <c r="H993" s="31">
        <f>IF($A993="","",IF($D993="Evet",ROUND($C993*tbo_oranBesPuan,2),0))</f>
        <v/>
      </c>
      <c r="I993" s="31">
        <f>IF($A993="","",IF($E993="Evet",ROUND($C993*tbo_oranIlave,2),0))</f>
        <v/>
      </c>
      <c r="J993" s="31">
        <f>IF($A993="","",IF($F993="Evet",ROUND($C993*tbo_oranKadinGenc,2),0))</f>
        <v/>
      </c>
      <c r="K993" s="31">
        <f>IF($A993="","",IF($G993="Evet",ROUND($C993*tbo_isverenOran,2),0))</f>
        <v/>
      </c>
      <c r="L993" s="31">
        <f>IF($A993="","",IF($M993=0,"YOK",IF($I993=$M993,"TBO-002",IF($H993=$M993,"TBO-001",IF($J993=$M993,"TBO-004","TBO-ENG")))))</f>
        <v/>
      </c>
      <c r="M993" s="31">
        <f>IF($A993="","",MAX($H993,$I993,$J993,$K993))</f>
        <v/>
      </c>
      <c r="O993" s="31">
        <f>IF($A993="","",MAX(0,$M993-IF($N993="TBO-001",$H993,IF($N993="TBO-002",$I993,IF($N993="TBO-004",$J993,IF($N993="TBO-ENG",$K993,0))))))</f>
        <v/>
      </c>
    </row>
    <row r="994">
      <c r="H994" s="31">
        <f>IF($A994="","",IF($D994="Evet",ROUND($C994*tbo_oranBesPuan,2),0))</f>
        <v/>
      </c>
      <c r="I994" s="31">
        <f>IF($A994="","",IF($E994="Evet",ROUND($C994*tbo_oranIlave,2),0))</f>
        <v/>
      </c>
      <c r="J994" s="31">
        <f>IF($A994="","",IF($F994="Evet",ROUND($C994*tbo_oranKadinGenc,2),0))</f>
        <v/>
      </c>
      <c r="K994" s="31">
        <f>IF($A994="","",IF($G994="Evet",ROUND($C994*tbo_isverenOran,2),0))</f>
        <v/>
      </c>
      <c r="L994" s="31">
        <f>IF($A994="","",IF($M994=0,"YOK",IF($I994=$M994,"TBO-002",IF($H994=$M994,"TBO-001",IF($J994=$M994,"TBO-004","TBO-ENG")))))</f>
        <v/>
      </c>
      <c r="M994" s="31">
        <f>IF($A994="","",MAX($H994,$I994,$J994,$K994))</f>
        <v/>
      </c>
      <c r="O994" s="31">
        <f>IF($A994="","",MAX(0,$M994-IF($N994="TBO-001",$H994,IF($N994="TBO-002",$I994,IF($N994="TBO-004",$J994,IF($N994="TBO-ENG",$K994,0))))))</f>
        <v/>
      </c>
    </row>
    <row r="995">
      <c r="H995" s="31">
        <f>IF($A995="","",IF($D995="Evet",ROUND($C995*tbo_oranBesPuan,2),0))</f>
        <v/>
      </c>
      <c r="I995" s="31">
        <f>IF($A995="","",IF($E995="Evet",ROUND($C995*tbo_oranIlave,2),0))</f>
        <v/>
      </c>
      <c r="J995" s="31">
        <f>IF($A995="","",IF($F995="Evet",ROUND($C995*tbo_oranKadinGenc,2),0))</f>
        <v/>
      </c>
      <c r="K995" s="31">
        <f>IF($A995="","",IF($G995="Evet",ROUND($C995*tbo_isverenOran,2),0))</f>
        <v/>
      </c>
      <c r="L995" s="31">
        <f>IF($A995="","",IF($M995=0,"YOK",IF($I995=$M995,"TBO-002",IF($H995=$M995,"TBO-001",IF($J995=$M995,"TBO-004","TBO-ENG")))))</f>
        <v/>
      </c>
      <c r="M995" s="31">
        <f>IF($A995="","",MAX($H995,$I995,$J995,$K995))</f>
        <v/>
      </c>
      <c r="O995" s="31">
        <f>IF($A995="","",MAX(0,$M995-IF($N995="TBO-001",$H995,IF($N995="TBO-002",$I995,IF($N995="TBO-004",$J995,IF($N995="TBO-ENG",$K995,0))))))</f>
        <v/>
      </c>
    </row>
    <row r="996">
      <c r="H996" s="31">
        <f>IF($A996="","",IF($D996="Evet",ROUND($C996*tbo_oranBesPuan,2),0))</f>
        <v/>
      </c>
      <c r="I996" s="31">
        <f>IF($A996="","",IF($E996="Evet",ROUND($C996*tbo_oranIlave,2),0))</f>
        <v/>
      </c>
      <c r="J996" s="31">
        <f>IF($A996="","",IF($F996="Evet",ROUND($C996*tbo_oranKadinGenc,2),0))</f>
        <v/>
      </c>
      <c r="K996" s="31">
        <f>IF($A996="","",IF($G996="Evet",ROUND($C996*tbo_isverenOran,2),0))</f>
        <v/>
      </c>
      <c r="L996" s="31">
        <f>IF($A996="","",IF($M996=0,"YOK",IF($I996=$M996,"TBO-002",IF($H996=$M996,"TBO-001",IF($J996=$M996,"TBO-004","TBO-ENG")))))</f>
        <v/>
      </c>
      <c r="M996" s="31">
        <f>IF($A996="","",MAX($H996,$I996,$J996,$K996))</f>
        <v/>
      </c>
      <c r="O996" s="31">
        <f>IF($A996="","",MAX(0,$M996-IF($N996="TBO-001",$H996,IF($N996="TBO-002",$I996,IF($N996="TBO-004",$J996,IF($N996="TBO-ENG",$K996,0))))))</f>
        <v/>
      </c>
    </row>
    <row r="997">
      <c r="H997" s="31">
        <f>IF($A997="","",IF($D997="Evet",ROUND($C997*tbo_oranBesPuan,2),0))</f>
        <v/>
      </c>
      <c r="I997" s="31">
        <f>IF($A997="","",IF($E997="Evet",ROUND($C997*tbo_oranIlave,2),0))</f>
        <v/>
      </c>
      <c r="J997" s="31">
        <f>IF($A997="","",IF($F997="Evet",ROUND($C997*tbo_oranKadinGenc,2),0))</f>
        <v/>
      </c>
      <c r="K997" s="31">
        <f>IF($A997="","",IF($G997="Evet",ROUND($C997*tbo_isverenOran,2),0))</f>
        <v/>
      </c>
      <c r="L997" s="31">
        <f>IF($A997="","",IF($M997=0,"YOK",IF($I997=$M997,"TBO-002",IF($H997=$M997,"TBO-001",IF($J997=$M997,"TBO-004","TBO-ENG")))))</f>
        <v/>
      </c>
      <c r="M997" s="31">
        <f>IF($A997="","",MAX($H997,$I997,$J997,$K997))</f>
        <v/>
      </c>
      <c r="O997" s="31">
        <f>IF($A997="","",MAX(0,$M997-IF($N997="TBO-001",$H997,IF($N997="TBO-002",$I997,IF($N997="TBO-004",$J997,IF($N997="TBO-ENG",$K997,0))))))</f>
        <v/>
      </c>
    </row>
    <row r="998">
      <c r="H998" s="31">
        <f>IF($A998="","",IF($D998="Evet",ROUND($C998*tbo_oranBesPuan,2),0))</f>
        <v/>
      </c>
      <c r="I998" s="31">
        <f>IF($A998="","",IF($E998="Evet",ROUND($C998*tbo_oranIlave,2),0))</f>
        <v/>
      </c>
      <c r="J998" s="31">
        <f>IF($A998="","",IF($F998="Evet",ROUND($C998*tbo_oranKadinGenc,2),0))</f>
        <v/>
      </c>
      <c r="K998" s="31">
        <f>IF($A998="","",IF($G998="Evet",ROUND($C998*tbo_isverenOran,2),0))</f>
        <v/>
      </c>
      <c r="L998" s="31">
        <f>IF($A998="","",IF($M998=0,"YOK",IF($I998=$M998,"TBO-002",IF($H998=$M998,"TBO-001",IF($J998=$M998,"TBO-004","TBO-ENG")))))</f>
        <v/>
      </c>
      <c r="M998" s="31">
        <f>IF($A998="","",MAX($H998,$I998,$J998,$K998))</f>
        <v/>
      </c>
      <c r="O998" s="31">
        <f>IF($A998="","",MAX(0,$M998-IF($N998="TBO-001",$H998,IF($N998="TBO-002",$I998,IF($N998="TBO-004",$J998,IF($N998="TBO-ENG",$K998,0))))))</f>
        <v/>
      </c>
    </row>
    <row r="999">
      <c r="H999" s="31">
        <f>IF($A999="","",IF($D999="Evet",ROUND($C999*tbo_oranBesPuan,2),0))</f>
        <v/>
      </c>
      <c r="I999" s="31">
        <f>IF($A999="","",IF($E999="Evet",ROUND($C999*tbo_oranIlave,2),0))</f>
        <v/>
      </c>
      <c r="J999" s="31">
        <f>IF($A999="","",IF($F999="Evet",ROUND($C999*tbo_oranKadinGenc,2),0))</f>
        <v/>
      </c>
      <c r="K999" s="31">
        <f>IF($A999="","",IF($G999="Evet",ROUND($C999*tbo_isverenOran,2),0))</f>
        <v/>
      </c>
      <c r="L999" s="31">
        <f>IF($A999="","",IF($M999=0,"YOK",IF($I999=$M999,"TBO-002",IF($H999=$M999,"TBO-001",IF($J999=$M999,"TBO-004","TBO-ENG")))))</f>
        <v/>
      </c>
      <c r="M999" s="31">
        <f>IF($A999="","",MAX($H999,$I999,$J999,$K999))</f>
        <v/>
      </c>
      <c r="O999" s="31">
        <f>IF($A999="","",MAX(0,$M999-IF($N999="TBO-001",$H999,IF($N999="TBO-002",$I999,IF($N999="TBO-004",$J999,IF($N999="TBO-ENG",$K999,0))))))</f>
        <v/>
      </c>
    </row>
    <row r="1000">
      <c r="H1000" s="31">
        <f>IF($A1000="","",IF($D1000="Evet",ROUND($C1000*tbo_oranBesPuan,2),0))</f>
        <v/>
      </c>
      <c r="I1000" s="31">
        <f>IF($A1000="","",IF($E1000="Evet",ROUND($C1000*tbo_oranIlave,2),0))</f>
        <v/>
      </c>
      <c r="J1000" s="31">
        <f>IF($A1000="","",IF($F1000="Evet",ROUND($C1000*tbo_oranKadinGenc,2),0))</f>
        <v/>
      </c>
      <c r="K1000" s="31">
        <f>IF($A1000="","",IF($G1000="Evet",ROUND($C1000*tbo_isverenOran,2),0))</f>
        <v/>
      </c>
      <c r="L1000" s="31">
        <f>IF($A1000="","",IF($M1000=0,"YOK",IF($I1000=$M1000,"TBO-002",IF($H1000=$M1000,"TBO-001",IF($J1000=$M1000,"TBO-004","TBO-ENG")))))</f>
        <v/>
      </c>
      <c r="M1000" s="31">
        <f>IF($A1000="","",MAX($H1000,$I1000,$J1000,$K1000))</f>
        <v/>
      </c>
      <c r="O1000" s="31">
        <f>IF($A1000="","",MAX(0,$M1000-IF($N1000="TBO-001",$H1000,IF($N1000="TBO-002",$I1000,IF($N1000="TBO-004",$J1000,IF($N1000="TBO-ENG",$K1000,0))))))</f>
        <v/>
      </c>
    </row>
    <row r="1001">
      <c r="H1001" s="31">
        <f>IF($A1001="","",IF($D1001="Evet",ROUND($C1001*tbo_oranBesPuan,2),0))</f>
        <v/>
      </c>
      <c r="I1001" s="31">
        <f>IF($A1001="","",IF($E1001="Evet",ROUND($C1001*tbo_oranIlave,2),0))</f>
        <v/>
      </c>
      <c r="J1001" s="31">
        <f>IF($A1001="","",IF($F1001="Evet",ROUND($C1001*tbo_oranKadinGenc,2),0))</f>
        <v/>
      </c>
      <c r="K1001" s="31">
        <f>IF($A1001="","",IF($G1001="Evet",ROUND($C1001*tbo_isverenOran,2),0))</f>
        <v/>
      </c>
      <c r="L1001" s="31">
        <f>IF($A1001="","",IF($M1001=0,"YOK",IF($I1001=$M1001,"TBO-002",IF($H1001=$M1001,"TBO-001",IF($J1001=$M1001,"TBO-004","TBO-ENG")))))</f>
        <v/>
      </c>
      <c r="M1001" s="31">
        <f>IF($A1001="","",MAX($H1001,$I1001,$J1001,$K1001))</f>
        <v/>
      </c>
      <c r="O1001" s="31">
        <f>IF($A1001="","",MAX(0,$M1001-IF($N1001="TBO-001",$H1001,IF($N1001="TBO-002",$I1001,IF($N1001="TBO-004",$J1001,IF($N1001="TBO-ENG",$K1001,0))))))</f>
        <v/>
      </c>
    </row>
    <row r="1002">
      <c r="H1002" s="31">
        <f>IF($A1002="","",IF($D1002="Evet",ROUND($C1002*tbo_oranBesPuan,2),0))</f>
        <v/>
      </c>
      <c r="I1002" s="31">
        <f>IF($A1002="","",IF($E1002="Evet",ROUND($C1002*tbo_oranIlave,2),0))</f>
        <v/>
      </c>
      <c r="J1002" s="31">
        <f>IF($A1002="","",IF($F1002="Evet",ROUND($C1002*tbo_oranKadinGenc,2),0))</f>
        <v/>
      </c>
      <c r="K1002" s="31">
        <f>IF($A1002="","",IF($G1002="Evet",ROUND($C1002*tbo_isverenOran,2),0))</f>
        <v/>
      </c>
      <c r="L1002" s="31">
        <f>IF($A1002="","",IF($M1002=0,"YOK",IF($I1002=$M1002,"TBO-002",IF($H1002=$M1002,"TBO-001",IF($J1002=$M1002,"TBO-004","TBO-ENG")))))</f>
        <v/>
      </c>
      <c r="M1002" s="31">
        <f>IF($A1002="","",MAX($H1002,$I1002,$J1002,$K1002))</f>
        <v/>
      </c>
      <c r="O1002" s="31">
        <f>IF($A1002="","",MAX(0,$M1002-IF($N1002="TBO-001",$H1002,IF($N1002="TBO-002",$I1002,IF($N1002="TBO-004",$J1002,IF($N1002="TBO-ENG",$K1002,0))))))</f>
        <v/>
      </c>
    </row>
    <row r="1003">
      <c r="H1003" s="31">
        <f>IF($A1003="","",IF($D1003="Evet",ROUND($C1003*tbo_oranBesPuan,2),0))</f>
        <v/>
      </c>
      <c r="I1003" s="31">
        <f>IF($A1003="","",IF($E1003="Evet",ROUND($C1003*tbo_oranIlave,2),0))</f>
        <v/>
      </c>
      <c r="J1003" s="31">
        <f>IF($A1003="","",IF($F1003="Evet",ROUND($C1003*tbo_oranKadinGenc,2),0))</f>
        <v/>
      </c>
      <c r="K1003" s="31">
        <f>IF($A1003="","",IF($G1003="Evet",ROUND($C1003*tbo_isverenOran,2),0))</f>
        <v/>
      </c>
      <c r="L1003" s="31">
        <f>IF($A1003="","",IF($M1003=0,"YOK",IF($I1003=$M1003,"TBO-002",IF($H1003=$M1003,"TBO-001",IF($J1003=$M1003,"TBO-004","TBO-ENG")))))</f>
        <v/>
      </c>
      <c r="M1003" s="31">
        <f>IF($A1003="","",MAX($H1003,$I1003,$J1003,$K1003))</f>
        <v/>
      </c>
      <c r="O1003" s="31">
        <f>IF($A1003="","",MAX(0,$M1003-IF($N1003="TBO-001",$H1003,IF($N1003="TBO-002",$I1003,IF($N1003="TBO-004",$J1003,IF($N1003="TBO-ENG",$K1003,0))))))</f>
        <v/>
      </c>
    </row>
    <row r="1004">
      <c r="H1004" s="31">
        <f>IF($A1004="","",IF($D1004="Evet",ROUND($C1004*tbo_oranBesPuan,2),0))</f>
        <v/>
      </c>
      <c r="I1004" s="31">
        <f>IF($A1004="","",IF($E1004="Evet",ROUND($C1004*tbo_oranIlave,2),0))</f>
        <v/>
      </c>
      <c r="J1004" s="31">
        <f>IF($A1004="","",IF($F1004="Evet",ROUND($C1004*tbo_oranKadinGenc,2),0))</f>
        <v/>
      </c>
      <c r="K1004" s="31">
        <f>IF($A1004="","",IF($G1004="Evet",ROUND($C1004*tbo_isverenOran,2),0))</f>
        <v/>
      </c>
      <c r="L1004" s="31">
        <f>IF($A1004="","",IF($M1004=0,"YOK",IF($I1004=$M1004,"TBO-002",IF($H1004=$M1004,"TBO-001",IF($J1004=$M1004,"TBO-004","TBO-ENG")))))</f>
        <v/>
      </c>
      <c r="M1004" s="31">
        <f>IF($A1004="","",MAX($H1004,$I1004,$J1004,$K1004))</f>
        <v/>
      </c>
      <c r="O1004" s="31">
        <f>IF($A1004="","",MAX(0,$M1004-IF($N1004="TBO-001",$H1004,IF($N1004="TBO-002",$I1004,IF($N1004="TBO-004",$J1004,IF($N1004="TBO-ENG",$K1004,0))))))</f>
        <v/>
      </c>
    </row>
    <row r="1005">
      <c r="H1005" s="31">
        <f>IF($A1005="","",IF($D1005="Evet",ROUND($C1005*tbo_oranBesPuan,2),0))</f>
        <v/>
      </c>
      <c r="I1005" s="31">
        <f>IF($A1005="","",IF($E1005="Evet",ROUND($C1005*tbo_oranIlave,2),0))</f>
        <v/>
      </c>
      <c r="J1005" s="31">
        <f>IF($A1005="","",IF($F1005="Evet",ROUND($C1005*tbo_oranKadinGenc,2),0))</f>
        <v/>
      </c>
      <c r="K1005" s="31">
        <f>IF($A1005="","",IF($G1005="Evet",ROUND($C1005*tbo_isverenOran,2),0))</f>
        <v/>
      </c>
      <c r="L1005" s="31">
        <f>IF($A1005="","",IF($M1005=0,"YOK",IF($I1005=$M1005,"TBO-002",IF($H1005=$M1005,"TBO-001",IF($J1005=$M1005,"TBO-004","TBO-ENG")))))</f>
        <v/>
      </c>
      <c r="M1005" s="31">
        <f>IF($A1005="","",MAX($H1005,$I1005,$J1005,$K1005))</f>
        <v/>
      </c>
      <c r="O1005" s="31">
        <f>IF($A1005="","",MAX(0,$M1005-IF($N1005="TBO-001",$H1005,IF($N1005="TBO-002",$I1005,IF($N1005="TBO-004",$J1005,IF($N1005="TBO-ENG",$K1005,0))))))</f>
        <v/>
      </c>
    </row>
    <row r="1006">
      <c r="H1006" s="31">
        <f>IF($A1006="","",IF($D1006="Evet",ROUND($C1006*tbo_oranBesPuan,2),0))</f>
        <v/>
      </c>
      <c r="I1006" s="31">
        <f>IF($A1006="","",IF($E1006="Evet",ROUND($C1006*tbo_oranIlave,2),0))</f>
        <v/>
      </c>
      <c r="J1006" s="31">
        <f>IF($A1006="","",IF($F1006="Evet",ROUND($C1006*tbo_oranKadinGenc,2),0))</f>
        <v/>
      </c>
      <c r="K1006" s="31">
        <f>IF($A1006="","",IF($G1006="Evet",ROUND($C1006*tbo_isverenOran,2),0))</f>
        <v/>
      </c>
      <c r="L1006" s="31">
        <f>IF($A1006="","",IF($M1006=0,"YOK",IF($I1006=$M1006,"TBO-002",IF($H1006=$M1006,"TBO-001",IF($J1006=$M1006,"TBO-004","TBO-ENG")))))</f>
        <v/>
      </c>
      <c r="M1006" s="31">
        <f>IF($A1006="","",MAX($H1006,$I1006,$J1006,$K1006))</f>
        <v/>
      </c>
      <c r="O1006" s="31">
        <f>IF($A1006="","",MAX(0,$M1006-IF($N1006="TBO-001",$H1006,IF($N1006="TBO-002",$I1006,IF($N1006="TBO-004",$J1006,IF($N1006="TBO-ENG",$K1006,0))))))</f>
        <v/>
      </c>
    </row>
    <row r="1008" ht="20" customHeight="1">
      <c r="A1008" s="34" t="inlineStr">
        <is>
          <t>MATRIS: sarı = giriş; kod tutarları formülle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3:R3"/>
    <mergeCell ref="A1008:AN1008"/>
    <mergeCell ref="A1:R1"/>
    <mergeCell ref="R7:W7"/>
    <mergeCell ref="A4:L4"/>
  </mergeCells>
  <dataValidations count="4">
    <dataValidation sqref="D7:G1006" showDropDown="0" showInputMessage="1" showErrorMessage="1" allowBlank="1" errorTitle="Geçersiz" error="Listeden seçin." promptTitle="Uygunluk" prompt="Evet veya Hayır seçin." type="list" errorStyle="stop">
      <formula1>ListeEvetHayir</formula1>
    </dataValidation>
    <dataValidation sqref="N7:N1006" showDropDown="0" showInputMessage="1" showErrorMessage="1" allowBlank="1" errorTitle="Geçersiz" error="Listeden seçin." promptTitle="Mevcut kod" prompt="Uygulanan teşvik kodunu seçin." type="list" errorStyle="stop">
      <formula1>ListeTesvikKod</formula1>
    </dataValidation>
    <dataValidation sqref="C7:C1006" showDropDown="0" showInputMessage="1" showErrorMessage="1" allowBlank="1" errorTitle="Geçersiz" error="0 ile 1e12 arasında." promptTitle="Brüt matrah" prompt="Kişi brüt SGK matrahını TL girin." type="decimal" errorStyle="stop" operator="between">
      <formula1>0</formula1>
      <formula2>1000000000000</formula2>
    </dataValidation>
    <dataValidation sqref="A7:A1006" showDropDown="0" showInputMessage="1" showErrorMessage="1" allowBlank="1" errorTitle="Geçersiz" error="1 ve üzeri tam sayı." promptTitle="Çalışan no" prompt="Benzersiz çalışan numarası." type="whole" errorStyle="stop" operator="between">
      <formula1>1</formula1>
      <formula2>100000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tabColor rgb="001F7A4D"/>
    <outlinePr summaryBelow="1" summaryRight="1"/>
    <pageSetUpPr/>
  </sheetPr>
  <dimension ref="A1:K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32" customHeight="1">
      <c r="A1" s="204" t="inlineStr">
        <is>
          <t>KURALLAR — Teşvikli Bordro Optimizasyon</t>
        </is>
      </c>
    </row>
    <row r="3" ht="22" customHeight="1">
      <c r="A3" s="223" t="inlineStr">
        <is>
          <t>Mevzuat kural tablosu (yıl yan yana)</t>
        </is>
      </c>
    </row>
    <row r="4">
      <c r="A4" s="22" t="inlineStr">
        <is>
          <t>Oranlar MOTOR'da sabit yazılmaz; INDEX/MATCH ile buradan çekilir.</t>
        </is>
      </c>
    </row>
    <row r="6" ht="30" customHeight="1">
      <c r="A6" s="13" t="inlineStr">
        <is>
          <t>kural_id</t>
        </is>
      </c>
      <c r="B6" s="13" t="inlineStr">
        <is>
          <t>madde</t>
        </is>
      </c>
      <c r="C6" s="13" t="inlineStr">
        <is>
          <t>kural_adi</t>
        </is>
      </c>
      <c r="D6" s="13" t="inlineStr">
        <is>
          <t>kosul_metni</t>
        </is>
      </c>
      <c r="E6" s="13" t="inlineStr">
        <is>
          <t>parametre_adi</t>
        </is>
      </c>
      <c r="F6" s="13" t="inlineStr">
        <is>
          <t>deger_2025</t>
        </is>
      </c>
      <c r="G6" s="13" t="inlineStr">
        <is>
          <t>deger_2026</t>
        </is>
      </c>
      <c r="H6" s="13" t="inlineStr">
        <is>
          <t>deger_2027</t>
        </is>
      </c>
      <c r="I6" s="13" t="inlineStr">
        <is>
          <t>yururluk</t>
        </is>
      </c>
      <c r="J6" s="13" t="inlineStr">
        <is>
          <t>kaynak</t>
        </is>
      </c>
      <c r="K6" s="13" t="inlineStr">
        <is>
          <t>aktif_deger</t>
        </is>
      </c>
    </row>
    <row r="7">
      <c r="A7" s="24" t="inlineStr">
        <is>
          <t>TBO-001</t>
        </is>
      </c>
      <c r="B7" s="24" t="inlineStr">
        <is>
          <t>5510 md.81</t>
        </is>
      </c>
      <c r="C7" s="24" t="inlineStr">
        <is>
          <t>bes_puan_oran</t>
        </is>
      </c>
      <c r="D7" s="24" t="inlineStr">
        <is>
          <t>kapsam_matrah&gt;0</t>
        </is>
      </c>
      <c r="E7" s="24" t="inlineStr">
        <is>
          <t>bes_puan_oran</t>
        </is>
      </c>
      <c r="F7" s="41" t="n">
        <v>0.05</v>
      </c>
      <c r="G7" s="41" t="n">
        <v>0.05</v>
      </c>
      <c r="H7" s="41" t="n">
        <v>0.05</v>
      </c>
      <c r="I7" s="24" t="inlineStr">
        <is>
          <t>01.01.2025</t>
        </is>
      </c>
      <c r="J7" s="24" t="inlineStr">
        <is>
          <t>5510 s.K. md.81</t>
        </is>
      </c>
      <c r="K7" s="31">
        <f>IF($A7="","",IFERROR(CHOOSE(MAX(1,MIN(3,IF(OR(hesapYili="",hesapYili=0),1,hesapYili-tbo_yilTaban))),$F7,$G7,$H7),0))</f>
        <v/>
      </c>
    </row>
    <row r="8">
      <c r="A8" s="24" t="inlineStr">
        <is>
          <t>TBO-002</t>
        </is>
      </c>
      <c r="B8" s="24" t="inlineStr">
        <is>
          <t>4447 geç.10</t>
        </is>
      </c>
      <c r="C8" s="24" t="inlineStr">
        <is>
          <t>ilave_istihdam_oran</t>
        </is>
      </c>
      <c r="D8" s="24" t="inlineStr">
        <is>
          <t>ilave_matrah&gt;0</t>
        </is>
      </c>
      <c r="E8" s="24" t="inlineStr">
        <is>
          <t>ilave_istihdam_oran</t>
        </is>
      </c>
      <c r="F8" s="41" t="n">
        <v>0.145</v>
      </c>
      <c r="G8" s="41" t="n">
        <v>0.145</v>
      </c>
      <c r="H8" s="41" t="n">
        <v>0.145</v>
      </c>
      <c r="I8" s="24" t="inlineStr">
        <is>
          <t>01.01.2025</t>
        </is>
      </c>
      <c r="J8" s="24" t="inlineStr">
        <is>
          <t>4447 s.K. geç.10</t>
        </is>
      </c>
      <c r="K8" s="31">
        <f>IF($A8="","",IFERROR(CHOOSE(MAX(1,MIN(3,IF(OR(hesapYili="",hesapYili=0),1,hesapYili-tbo_yilTaban))),$F8,$G8,$H8),0))</f>
        <v/>
      </c>
    </row>
    <row r="9">
      <c r="A9" s="24" t="inlineStr">
        <is>
          <t>TBO-003</t>
        </is>
      </c>
      <c r="B9" s="24" t="inlineStr">
        <is>
          <t>SGK tavan</t>
        </is>
      </c>
      <c r="C9" s="24" t="inlineStr">
        <is>
          <t>prim_tavani</t>
        </is>
      </c>
      <c r="D9" s="24" t="inlineStr">
        <is>
          <t>her hesap</t>
        </is>
      </c>
      <c r="E9" s="24" t="inlineStr">
        <is>
          <t>prim_tavani</t>
        </is>
      </c>
      <c r="F9" s="42" t="n">
        <v>150000</v>
      </c>
      <c r="G9" s="42" t="n">
        <v>165000</v>
      </c>
      <c r="H9" s="42" t="n">
        <v>180000</v>
      </c>
      <c r="I9" s="24" t="inlineStr">
        <is>
          <t>01.01.2025</t>
        </is>
      </c>
      <c r="J9" s="24" t="inlineStr">
        <is>
          <t>SGK prim tavanı</t>
        </is>
      </c>
      <c r="K9" s="31">
        <f>IF($A9="","",IFERROR(CHOOSE(MAX(1,MIN(3,IF(OR(hesapYili="",hesapYili=0),1,hesapYili-tbo_yilTaban))),$F9,$G9,$H9),0))</f>
        <v/>
      </c>
    </row>
    <row r="10">
      <c r="A10" s="24" t="inlineStr">
        <is>
          <t>TBO-004</t>
        </is>
      </c>
      <c r="B10" s="24" t="inlineStr">
        <is>
          <t>4447 / 5510</t>
        </is>
      </c>
      <c r="C10" s="24" t="inlineStr">
        <is>
          <t>kadin_genc_oran</t>
        </is>
      </c>
      <c r="D10" s="24" t="inlineStr">
        <is>
          <t>kadin_genc_matrah&gt;0</t>
        </is>
      </c>
      <c r="E10" s="24" t="inlineStr">
        <is>
          <t>kadin_genc_oran</t>
        </is>
      </c>
      <c r="F10" s="41" t="n">
        <v>0.05</v>
      </c>
      <c r="G10" s="41" t="n">
        <v>0.05</v>
      </c>
      <c r="H10" s="41" t="n">
        <v>0.05</v>
      </c>
      <c r="I10" s="24" t="inlineStr">
        <is>
          <t>01.01.2025</t>
        </is>
      </c>
      <c r="J10" s="24" t="inlineStr">
        <is>
          <t>Kadın/genç istihdam</t>
        </is>
      </c>
      <c r="K10" s="31">
        <f>IF($A10="","",IFERROR(CHOOSE(MAX(1,MIN(3,IF(OR(hesapYili="",hesapYili=0),1,hesapYili-tbo_yilTaban))),$F10,$G10,$H10),0))</f>
        <v/>
      </c>
    </row>
    <row r="11">
      <c r="A11" s="24" t="inlineStr">
        <is>
          <t>TBO-005</t>
        </is>
      </c>
      <c r="B11" s="24" t="inlineStr">
        <is>
          <t>Genel</t>
        </is>
      </c>
      <c r="C11" s="24" t="inlineStr">
        <is>
          <t>yuvarlama</t>
        </is>
      </c>
      <c r="D11" s="24" t="inlineStr">
        <is>
          <t>her hesap</t>
        </is>
      </c>
      <c r="E11" s="24" t="inlineStr">
        <is>
          <t>yuvarlama_ondalik</t>
        </is>
      </c>
      <c r="F11" s="43" t="n">
        <v>2</v>
      </c>
      <c r="G11" s="43" t="n">
        <v>2</v>
      </c>
      <c r="H11" s="43" t="n">
        <v>2</v>
      </c>
      <c r="I11" s="24" t="inlineStr">
        <is>
          <t>01.01.2025</t>
        </is>
      </c>
      <c r="J11" s="24" t="inlineStr">
        <is>
          <t>Uygulama notu</t>
        </is>
      </c>
      <c r="K11" s="31">
        <f>IF($A11="","",IFERROR(CHOOSE(MAX(1,MIN(3,IF(OR(hesapYili="",hesapYili=0),1,hesapYili-tbo_yilTaban))),$F11,$G11,$H11),0))</f>
        <v/>
      </c>
    </row>
    <row r="14">
      <c r="A14" s="10" t="inlineStr">
        <is>
          <t>Kural-yıl matrisi özeti</t>
        </is>
      </c>
    </row>
    <row r="15">
      <c r="A15" s="24" t="inlineStr">
        <is>
          <t>5 puan oranı (aktif yıl)</t>
        </is>
      </c>
      <c r="B15" s="16">
        <f>IFERROR(INDEX(CHOOSE(MAX(1,MIN(3,IF(OR(hesapYili="",hesapYili=0),1,hesapYili-tbo_yilTaban))),tblKurallar[deger_2025],tblKurallar[deger_2026],tblKurallar[deger_2027]),MATCH("TBO-001",tblKurallar[kural_id],0)),0)</f>
        <v/>
      </c>
    </row>
    <row r="16">
      <c r="A16" s="24" t="inlineStr">
        <is>
          <t>İlave istihdam oranı (aktif yıl)</t>
        </is>
      </c>
      <c r="B16" s="16">
        <f>IFERROR(INDEX(CHOOSE(MAX(1,MIN(3,IF(OR(hesapYili="",hesapYili=0),1,hesapYili-tbo_yilTaban))),tblKurallar[deger_2025],tblKurallar[deger_2026],tblKurallar[deger_2027]),MATCH("TBO-002",tblKurallar[kural_id],0)),0)</f>
        <v/>
      </c>
    </row>
    <row r="17">
      <c r="A17" s="24" t="inlineStr">
        <is>
          <t>Matris metni</t>
        </is>
      </c>
      <c r="B17" s="11">
        <f>IFERROR(_xlfn.TEXTJOIN(" | ",TRUE,"TBO-001=",TEXT(B15,"0.0%"),"TBO-002=",TEXT(B16,"0.0%"),"yıl=",IF(OR(hesapYili="",hesapYili=0),"-",hesapYili)),"-")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K4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I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MOTOR — Teşvikli Bordro Optimizasyon</t>
        </is>
      </c>
    </row>
    <row r="3" ht="22" customHeight="1">
      <c r="A3" s="223" t="inlineStr">
        <is>
          <t>Hesap zinciri — her adımda kural_id</t>
        </is>
      </c>
    </row>
    <row r="4">
      <c r="A4" s="22" t="inlineStr">
        <is>
          <t>Oranlar tblKurallar'dan çekilir; sabit oran yoktur.</t>
        </is>
      </c>
    </row>
    <row r="6" ht="30" customHeight="1">
      <c r="A6" s="13" t="inlineStr">
        <is>
          <t>adim</t>
        </is>
      </c>
      <c r="B6" s="13" t="inlineStr">
        <is>
          <t>ad</t>
        </is>
      </c>
      <c r="C6" s="13" t="inlineStr">
        <is>
          <t>formul</t>
        </is>
      </c>
      <c r="D6" s="13" t="inlineStr">
        <is>
          <t>birim</t>
        </is>
      </c>
      <c r="E6" s="13" t="inlineStr">
        <is>
          <t>ne_ise_yarar</t>
        </is>
      </c>
      <c r="F6" s="13" t="inlineStr">
        <is>
          <t>kural_id</t>
        </is>
      </c>
      <c r="G6" s="13" t="inlineStr">
        <is>
          <t>deger</t>
        </is>
      </c>
    </row>
    <row r="7">
      <c r="A7" s="44" t="n">
        <v>1</v>
      </c>
      <c r="B7" s="15" t="inlineStr">
        <is>
          <t>Hesap yılı oku</t>
        </is>
      </c>
      <c r="C7" s="45">
        <f>IFERROR(hesapYili,0)</f>
        <v/>
      </c>
      <c r="D7" s="46" t="inlineStr">
        <is>
          <t>yıl</t>
        </is>
      </c>
      <c r="E7" s="47" t="inlineStr">
        <is>
          <t>Aktif mevzuat yılı</t>
        </is>
      </c>
      <c r="F7" s="14" t="inlineStr">
        <is>
          <t>TBO-005</t>
        </is>
      </c>
      <c r="G7" s="29">
        <f>IFERROR(hesapYili,0)</f>
        <v/>
      </c>
    </row>
    <row r="8">
      <c r="A8" s="44" t="n">
        <v>2</v>
      </c>
      <c r="B8" s="15" t="inlineStr">
        <is>
          <t>5 puan oranı</t>
        </is>
      </c>
      <c r="C8" s="48">
        <f>IFERROR(INDEX(CHOOSE(MAX(1,MIN(3,IF(OR(hesapYili="",hesapYili=0),1,hesapYili-tbo_yilTaban))),tblKurallar[deger_2025],tblKurallar[deger_2026],tblKurallar[deger_2027]),MATCH("TBO-001",tblKurallar[kural_id],0)),0)</f>
        <v/>
      </c>
      <c r="D8" s="46" t="inlineStr">
        <is>
          <t>oran</t>
        </is>
      </c>
      <c r="E8" s="47" t="inlineStr">
        <is>
          <t>5510 md.81 oranı</t>
        </is>
      </c>
      <c r="F8" s="14" t="inlineStr">
        <is>
          <t>TBO-001</t>
        </is>
      </c>
      <c r="G8" s="16">
        <f>IFERROR(INDEX(CHOOSE(MAX(1,MIN(3,IF(OR(hesapYili="",hesapYili=0),1,hesapYili-tbo_yilTaban))),tblKurallar[deger_2025],tblKurallar[deger_2026],tblKurallar[deger_2027]),MATCH("TBO-001",tblKurallar[kural_id],0)),0)</f>
        <v/>
      </c>
    </row>
    <row r="9">
      <c r="A9" s="44" t="n">
        <v>3</v>
      </c>
      <c r="B9" s="15" t="inlineStr">
        <is>
          <t>İlave istihdam oranı</t>
        </is>
      </c>
      <c r="C9" s="48">
        <f>IFERROR(INDEX(CHOOSE(MAX(1,MIN(3,IF(OR(hesapYili="",hesapYili=0),1,hesapYili-tbo_yilTaban))),tblKurallar[deger_2025],tblKurallar[deger_2026],tblKurallar[deger_2027]),MATCH("TBO-002",tblKurallar[kural_id],0)),0)</f>
        <v/>
      </c>
      <c r="D9" s="46" t="inlineStr">
        <is>
          <t>oran</t>
        </is>
      </c>
      <c r="E9" s="47" t="inlineStr">
        <is>
          <t>4447 geç.10 oranı</t>
        </is>
      </c>
      <c r="F9" s="14" t="inlineStr">
        <is>
          <t>TBO-002</t>
        </is>
      </c>
      <c r="G9" s="16">
        <f>IFERROR(INDEX(CHOOSE(MAX(1,MIN(3,IF(OR(hesapYili="",hesapYili=0),1,hesapYili-tbo_yilTaban))),tblKurallar[deger_2025],tblKurallar[deger_2026],tblKurallar[deger_2027]),MATCH("TBO-002",tblKurallar[kural_id],0)),0)</f>
        <v/>
      </c>
    </row>
    <row r="10">
      <c r="A10" s="44" t="n">
        <v>4</v>
      </c>
      <c r="B10" s="15" t="inlineStr">
        <is>
          <t>Prim tavanı</t>
        </is>
      </c>
      <c r="C10" s="49">
        <f>IFERROR(INDEX(CHOOSE(MAX(1,MIN(3,IF(OR(hesapYili="",hesapYili=0),1,hesapYili-tbo_yilTaban))),tblKurallar[deger_2025],tblKurallar[deger_2026],tblKurallar[deger_2027]),MATCH("TBO-003",tblKurallar[kural_id],0)),0)</f>
        <v/>
      </c>
      <c r="D10" s="46" t="inlineStr">
        <is>
          <t>TL</t>
        </is>
      </c>
      <c r="E10" s="47" t="inlineStr">
        <is>
          <t>Aylık prim tavanı</t>
        </is>
      </c>
      <c r="F10" s="14" t="inlineStr">
        <is>
          <t>TBO-003</t>
        </is>
      </c>
      <c r="G10" s="17">
        <f>IFERROR(INDEX(CHOOSE(MAX(1,MIN(3,IF(OR(hesapYili="",hesapYili=0),1,hesapYili-tbo_yilTaban))),tblKurallar[deger_2025],tblKurallar[deger_2026],tblKurallar[deger_2027]),MATCH("TBO-003",tblKurallar[kural_id],0)),0)</f>
        <v/>
      </c>
    </row>
    <row r="11">
      <c r="A11" s="44" t="n">
        <v>5</v>
      </c>
      <c r="B11" s="15" t="inlineStr">
        <is>
          <t>Kadın/genç oranı</t>
        </is>
      </c>
      <c r="C11" s="48">
        <f>IFERROR(INDEX(CHOOSE(MAX(1,MIN(3,IF(OR(hesapYili="",hesapYili=0),1,hesapYili-tbo_yilTaban))),tblKurallar[deger_2025],tblKurallar[deger_2026],tblKurallar[deger_2027]),MATCH("TBO-004",tblKurallar[kural_id],0)),0)</f>
        <v/>
      </c>
      <c r="D11" s="46" t="inlineStr">
        <is>
          <t>oran</t>
        </is>
      </c>
      <c r="E11" s="47" t="inlineStr">
        <is>
          <t>Kadın/genç teşvik oranı</t>
        </is>
      </c>
      <c r="F11" s="14" t="inlineStr">
        <is>
          <t>TBO-004</t>
        </is>
      </c>
      <c r="G11" s="16">
        <f>IFERROR(INDEX(CHOOSE(MAX(1,MIN(3,IF(OR(hesapYili="",hesapYili=0),1,hesapYili-tbo_yilTaban))),tblKurallar[deger_2025],tblKurallar[deger_2026],tblKurallar[deger_2027]),MATCH("TBO-004",tblKurallar[kural_id],0)),0)</f>
        <v/>
      </c>
    </row>
    <row r="12">
      <c r="A12" s="44" t="n">
        <v>6</v>
      </c>
      <c r="B12" s="15" t="inlineStr">
        <is>
          <t>Yuvarlama ondalık</t>
        </is>
      </c>
      <c r="C12" s="45">
        <f>IFERROR(INDEX(CHOOSE(MAX(1,MIN(3,IF(OR(hesapYili="",hesapYili=0),1,hesapYili-tbo_yilTaban))),tblKurallar[deger_2025],tblKurallar[deger_2026],tblKurallar[deger_2027]),MATCH("TBO-005",tblKurallar[kural_id],0)),0)</f>
        <v/>
      </c>
      <c r="D12" s="46" t="inlineStr">
        <is>
          <t>adet</t>
        </is>
      </c>
      <c r="E12" s="47" t="inlineStr">
        <is>
          <t>Yuvarlama basamağı</t>
        </is>
      </c>
      <c r="F12" s="14" t="inlineStr">
        <is>
          <t>TBO-005</t>
        </is>
      </c>
      <c r="G12" s="29">
        <f>IFERROR(INDEX(CHOOSE(MAX(1,MIN(3,IF(OR(hesapYili="",hesapYili=0),1,hesapYili-tbo_yilTaban))),tblKurallar[deger_2025],tblKurallar[deger_2026],tblKurallar[deger_2027]),MATCH("TBO-005",tblKurallar[kural_id],0)),0)</f>
        <v/>
      </c>
    </row>
    <row r="13">
      <c r="A13" s="44" t="n">
        <v>7</v>
      </c>
      <c r="B13" s="15" t="inlineStr">
        <is>
          <t>Aylık brüt matrah</t>
        </is>
      </c>
      <c r="C13" s="49">
        <f>IFERROR(IF(COUNTA(tblBordro[CalisanNo])&gt;0,SUM(tblBordro[BrutMatrah]),GIRDI!B9),0)</f>
        <v/>
      </c>
      <c r="D13" s="46" t="inlineStr">
        <is>
          <t>TL</t>
        </is>
      </c>
      <c r="E13" s="47" t="inlineStr">
        <is>
          <t>Ham brüt matrah</t>
        </is>
      </c>
      <c r="F13" s="14" t="inlineStr">
        <is>
          <t>TBO-003</t>
        </is>
      </c>
      <c r="G13" s="17">
        <f>IFERROR(IF(COUNTA(tblBordro[CalisanNo])&gt;0,SUM(tblBordro[BrutMatrah]),GIRDI!B9),0)</f>
        <v/>
      </c>
    </row>
    <row r="14">
      <c r="A14" s="44" t="n">
        <v>8</v>
      </c>
      <c r="B14" s="15" t="inlineStr">
        <is>
          <t>Çalışan sayısı</t>
        </is>
      </c>
      <c r="C14" s="45">
        <f>IFERROR(IF(COUNTA(tblBordro[CalisanNo])&gt;0,COUNTA(tblBordro[CalisanNo]),GIRDI!B10),0)</f>
        <v/>
      </c>
      <c r="D14" s="46" t="inlineStr">
        <is>
          <t>adet</t>
        </is>
      </c>
      <c r="E14" s="47" t="inlineStr">
        <is>
          <t>Bildirilen çalışan</t>
        </is>
      </c>
      <c r="F14" s="14" t="inlineStr">
        <is>
          <t>TBO-003</t>
        </is>
      </c>
      <c r="G14" s="29">
        <f>IFERROR(IF(COUNTA(tblBordro[CalisanNo])&gt;0,COUNTA(tblBordro[CalisanNo]),GIRDI!B10),0)</f>
        <v/>
      </c>
    </row>
    <row r="15">
      <c r="A15" s="44" t="n">
        <v>9</v>
      </c>
      <c r="B15" s="15" t="inlineStr">
        <is>
          <t>5 puan kapsam</t>
        </is>
      </c>
      <c r="C15" s="49">
        <f>IFERROR(IF(COUNTA(tblBordro[CalisanNo])&gt;0,SUMIF(tblBordro[BesPuanUygun],"Evet",tblBordro[BrutMatrah]),GIRDI!B11),0)</f>
        <v/>
      </c>
      <c r="D15" s="46" t="inlineStr">
        <is>
          <t>TL</t>
        </is>
      </c>
      <c r="E15" s="47" t="inlineStr">
        <is>
          <t>5 puan uygun matrah</t>
        </is>
      </c>
      <c r="F15" s="14" t="inlineStr">
        <is>
          <t>TBO-001</t>
        </is>
      </c>
      <c r="G15" s="17">
        <f>IFERROR(IF(COUNTA(tblBordro[CalisanNo])&gt;0,SUMIF(tblBordro[BesPuanUygun],"Evet",tblBordro[BrutMatrah]),GIRDI!B11),0)</f>
        <v/>
      </c>
    </row>
    <row r="16">
      <c r="A16" s="44" t="n">
        <v>10</v>
      </c>
      <c r="B16" s="15" t="inlineStr">
        <is>
          <t>İlave kapsam</t>
        </is>
      </c>
      <c r="C16" s="49">
        <f>IFERROR(IF(COUNTA(tblBordro[CalisanNo])&gt;0,SUMIF(tblBordro[IlaveUygun],"Evet",tblBordro[BrutMatrah]),GIRDI!B12),0)</f>
        <v/>
      </c>
      <c r="D16" s="46" t="inlineStr">
        <is>
          <t>TL</t>
        </is>
      </c>
      <c r="E16" s="47" t="inlineStr">
        <is>
          <t>İlave uygun matrah</t>
        </is>
      </c>
      <c r="F16" s="14" t="inlineStr">
        <is>
          <t>TBO-002</t>
        </is>
      </c>
      <c r="G16" s="17">
        <f>IFERROR(IF(COUNTA(tblBordro[CalisanNo])&gt;0,SUMIF(tblBordro[IlaveUygun],"Evet",tblBordro[BrutMatrah]),GIRDI!B12),0)</f>
        <v/>
      </c>
    </row>
    <row r="17">
      <c r="A17" s="44" t="n">
        <v>11</v>
      </c>
      <c r="B17" s="15" t="inlineStr">
        <is>
          <t>Kadın/genç kapsam</t>
        </is>
      </c>
      <c r="C17" s="49">
        <f>IFERROR(IF(COUNTA(tblBordro[CalisanNo])&gt;0,SUMIF(tblBordro[KadinGencUygun],"Evet",tblBordro[BrutMatrah]),GIRDI!B13),0)</f>
        <v/>
      </c>
      <c r="D17" s="46" t="inlineStr">
        <is>
          <t>TL</t>
        </is>
      </c>
      <c r="E17" s="47" t="inlineStr">
        <is>
          <t>Kadın/genç matrah</t>
        </is>
      </c>
      <c r="F17" s="14" t="inlineStr">
        <is>
          <t>TBO-004</t>
        </is>
      </c>
      <c r="G17" s="17">
        <f>IFERROR(IF(COUNTA(tblBordro[CalisanNo])&gt;0,SUMIF(tblBordro[KadinGencUygun],"Evet",tblBordro[BrutMatrah]),GIRDI!B13),0)</f>
        <v/>
      </c>
    </row>
    <row r="18">
      <c r="A18" s="44" t="n">
        <v>12</v>
      </c>
      <c r="B18" s="15" t="inlineStr">
        <is>
          <t>Engelli kapsam</t>
        </is>
      </c>
      <c r="C18" s="49">
        <f>IFERROR(IF(COUNTA(tblBordro[CalisanNo])&gt;0,SUMIF(tblBordro[EngelliUygun],"Evet",tblBordro[BrutMatrah]),GIRDI!B14),0)</f>
        <v/>
      </c>
      <c r="D18" s="46" t="inlineStr">
        <is>
          <t>TL</t>
        </is>
      </c>
      <c r="E18" s="47" t="inlineStr">
        <is>
          <t>Engelli matrah</t>
        </is>
      </c>
      <c r="F18" s="14" t="inlineStr">
        <is>
          <t>TBO-002</t>
        </is>
      </c>
      <c r="G18" s="17">
        <f>IFERROR(IF(COUNTA(tblBordro[CalisanNo])&gt;0,SUMIF(tblBordro[EngelliUygun],"Evet",tblBordro[BrutMatrah]),GIRDI!B14),0)</f>
        <v/>
      </c>
    </row>
    <row r="19">
      <c r="A19" s="44" t="n">
        <v>13</v>
      </c>
      <c r="B19" s="15" t="inlineStr">
        <is>
          <t>Mevcut teşvik</t>
        </is>
      </c>
      <c r="C19" s="49">
        <f>IFERROR(IF(COUNTA(tblBordro[CalisanNo])&gt;0,SUM(tblBordro[MevcutTutar]),GIRDI!B15),0)</f>
        <v/>
      </c>
      <c r="D19" s="46" t="inlineStr">
        <is>
          <t>TL</t>
        </is>
      </c>
      <c r="E19" s="47" t="inlineStr">
        <is>
          <t>Fiili uygulanan</t>
        </is>
      </c>
      <c r="F19" s="14" t="inlineStr">
        <is>
          <t>TBO-005</t>
        </is>
      </c>
      <c r="G19" s="17">
        <f>IFERROR(IF(COUNTA(tblBordro[CalisanNo])&gt;0,SUM(tblBordro[MevcutTutar]),GIRDI!B15),0)</f>
        <v/>
      </c>
    </row>
    <row r="20">
      <c r="A20" s="44" t="n">
        <v>14</v>
      </c>
      <c r="B20" s="15" t="inlineStr">
        <is>
          <t>Tavan üst sınırı</t>
        </is>
      </c>
      <c r="C20" s="49">
        <f>IFERROR(G10*G14,0)</f>
        <v/>
      </c>
      <c r="D20" s="46" t="inlineStr">
        <is>
          <t>TL</t>
        </is>
      </c>
      <c r="E20" s="47" t="inlineStr">
        <is>
          <t>Tavan × çalışan</t>
        </is>
      </c>
      <c r="F20" s="14" t="inlineStr">
        <is>
          <t>TBO-003</t>
        </is>
      </c>
      <c r="G20" s="17">
        <f>IFERROR(G10*G14,0)</f>
        <v/>
      </c>
    </row>
    <row r="21">
      <c r="A21" s="44" t="n">
        <v>15</v>
      </c>
      <c r="B21" s="15" t="inlineStr">
        <is>
          <t>Matrah tavanlı</t>
        </is>
      </c>
      <c r="C21" s="49">
        <f>IFERROR(MIN(G13,G20),0)</f>
        <v/>
      </c>
      <c r="D21" s="46" t="inlineStr">
        <is>
          <t>TL</t>
        </is>
      </c>
      <c r="E21" s="47" t="inlineStr">
        <is>
          <t>Tavan kesilmiş matrah</t>
        </is>
      </c>
      <c r="F21" s="14" t="inlineStr">
        <is>
          <t>TBO-003</t>
        </is>
      </c>
      <c r="G21" s="17">
        <f>IFERROR(MIN(G13,G20),0)</f>
        <v/>
      </c>
    </row>
    <row r="22">
      <c r="A22" s="44" t="n">
        <v>16</v>
      </c>
      <c r="B22" s="15" t="inlineStr">
        <is>
          <t>5 puan (kesilmiş)</t>
        </is>
      </c>
      <c r="C22" s="49">
        <f>IFERROR(ROUND(MIN(G15,G21)*G8,MAX(0,MIN(tbo_yuvarMax,IFERROR(N(G12),0)))),0)</f>
        <v/>
      </c>
      <c r="D22" s="46" t="inlineStr">
        <is>
          <t>TL</t>
        </is>
      </c>
      <c r="E22" s="47" t="inlineStr">
        <is>
          <t>5 puan tasarrufu</t>
        </is>
      </c>
      <c r="F22" s="14" t="inlineStr">
        <is>
          <t>TBO-001</t>
        </is>
      </c>
      <c r="G22" s="17">
        <f>IFERROR(ROUND(MIN(G15,G21)*G8,MAX(0,MIN(tbo_yuvarMax,IFERROR(N(G12),0)))),0)</f>
        <v/>
      </c>
    </row>
    <row r="23">
      <c r="A23" s="44" t="n">
        <v>17</v>
      </c>
      <c r="B23" s="15" t="inlineStr">
        <is>
          <t>İlave (kesilmiş)</t>
        </is>
      </c>
      <c r="C23" s="49">
        <f>IFERROR(ROUND(MIN(G16,G21)*G9,MAX(0,MIN(tbo_yuvarMax,IFERROR(N(G12),0)))),0)</f>
        <v/>
      </c>
      <c r="D23" s="46" t="inlineStr">
        <is>
          <t>TL</t>
        </is>
      </c>
      <c r="E23" s="47" t="inlineStr">
        <is>
          <t>İlave tasarrufu</t>
        </is>
      </c>
      <c r="F23" s="14" t="inlineStr">
        <is>
          <t>TBO-002</t>
        </is>
      </c>
      <c r="G23" s="17">
        <f>IFERROR(ROUND(MIN(G16,G21)*G9,MAX(0,MIN(tbo_yuvarMax,IFERROR(N(G12),0)))),0)</f>
        <v/>
      </c>
    </row>
    <row r="24">
      <c r="A24" s="44" t="n">
        <v>18</v>
      </c>
      <c r="B24" s="15" t="inlineStr">
        <is>
          <t>Kadın/genç (kesilmiş)</t>
        </is>
      </c>
      <c r="C24" s="49">
        <f>IFERROR(ROUND(MIN(G17,G21)*G11,MAX(0,MIN(tbo_yuvarMax,IFERROR(N(G12),0)))),0)</f>
        <v/>
      </c>
      <c r="D24" s="46" t="inlineStr">
        <is>
          <t>TL</t>
        </is>
      </c>
      <c r="E24" s="47" t="inlineStr">
        <is>
          <t>Kadın/genç tasarrufu</t>
        </is>
      </c>
      <c r="F24" s="14" t="inlineStr">
        <is>
          <t>TBO-004</t>
        </is>
      </c>
      <c r="G24" s="17">
        <f>IFERROR(ROUND(MIN(G17,G21)*G11,MAX(0,MIN(tbo_yuvarMax,IFERROR(N(G12),0)))),0)</f>
        <v/>
      </c>
    </row>
    <row r="25">
      <c r="A25" s="44" t="n">
        <v>19</v>
      </c>
      <c r="B25" s="15" t="inlineStr">
        <is>
          <t>Engelli (işveren payı)</t>
        </is>
      </c>
      <c r="C25" s="49">
        <f>IFERROR(ROUND(MIN(G18,G21)*tbo_isverenOran,MAX(0,MIN(tbo_yuvarMax,IFERROR(N(G12),0)))),0)</f>
        <v/>
      </c>
      <c r="D25" s="46" t="inlineStr">
        <is>
          <t>TL</t>
        </is>
      </c>
      <c r="E25" s="47" t="inlineStr">
        <is>
          <t>Engelli işveren payı muafiyeti</t>
        </is>
      </c>
      <c r="F25" s="14" t="inlineStr">
        <is>
          <t>TBO-002</t>
        </is>
      </c>
      <c r="G25" s="17">
        <f>IFERROR(ROUND(MIN(G18,G21)*tbo_isverenOran,MAX(0,MIN(tbo_yuvarMax,IFERROR(N(G12),0)))),0)</f>
        <v/>
      </c>
    </row>
    <row r="26">
      <c r="A26" s="44" t="n">
        <v>20</v>
      </c>
      <c r="B26" s="15" t="inlineStr">
        <is>
          <t>Birikimli toplam (A)</t>
        </is>
      </c>
      <c r="C26" s="49">
        <f>IFERROR(G22+G23+G24+G25,0)</f>
        <v/>
      </c>
      <c r="D26" s="46" t="inlineStr">
        <is>
          <t>TL</t>
        </is>
      </c>
      <c r="E26" s="47" t="inlineStr">
        <is>
          <t>Yorum A birikim</t>
        </is>
      </c>
      <c r="F26" s="14" t="inlineStr">
        <is>
          <t>TBO-005</t>
        </is>
      </c>
      <c r="G26" s="17">
        <f>IFERROR(G22+G23+G24+G25,0)</f>
        <v/>
      </c>
    </row>
    <row r="27">
      <c r="A27" s="44" t="n">
        <v>21</v>
      </c>
      <c r="B27" s="15" t="inlineStr">
        <is>
          <t>En yüksek tek kalem (B)</t>
        </is>
      </c>
      <c r="C27" s="49">
        <f>IFERROR(MAX(G22,G23,G24,G25),0)</f>
        <v/>
      </c>
      <c r="D27" s="46" t="inlineStr">
        <is>
          <t>TL</t>
        </is>
      </c>
      <c r="E27" s="47" t="inlineStr">
        <is>
          <t>Yorum B tek seçim</t>
        </is>
      </c>
      <c r="F27" s="14" t="inlineStr">
        <is>
          <t>TBO-005</t>
        </is>
      </c>
      <c r="G27" s="17">
        <f>IFERROR(MAX(G22,G23,G24,G25),0)</f>
        <v/>
      </c>
    </row>
    <row r="28">
      <c r="A28" s="44" t="n">
        <v>22</v>
      </c>
      <c r="B28" s="15" t="inlineStr">
        <is>
          <t>Potansiyel tasarruf</t>
        </is>
      </c>
      <c r="C28" s="49">
        <f>IFERROR(IF(GIRDI!B16="B",G27,G26),0)</f>
        <v/>
      </c>
      <c r="D28" s="46" t="inlineStr">
        <is>
          <t>TL</t>
        </is>
      </c>
      <c r="E28" s="47" t="inlineStr">
        <is>
          <t>Seçili yoruma göre</t>
        </is>
      </c>
      <c r="F28" s="14" t="inlineStr">
        <is>
          <t>TBO-005</t>
        </is>
      </c>
      <c r="G28" s="17">
        <f>IFERROR(IF(GIRDI!B16="B",G27,G26),0)</f>
        <v/>
      </c>
    </row>
    <row r="29">
      <c r="A29" s="44" t="n">
        <v>23</v>
      </c>
      <c r="B29" s="15" t="inlineStr">
        <is>
          <t>Kaçırılan (ham)</t>
        </is>
      </c>
      <c r="C29" s="49">
        <f>IFERROR(G28-G19,0)</f>
        <v/>
      </c>
      <c r="D29" s="46" t="inlineStr">
        <is>
          <t>TL</t>
        </is>
      </c>
      <c r="E29" s="47" t="inlineStr">
        <is>
          <t>Potansiyel − mevcut</t>
        </is>
      </c>
      <c r="F29" s="14" t="inlineStr">
        <is>
          <t>TBO-005</t>
        </is>
      </c>
      <c r="G29" s="17">
        <f>IFERROR(G28-G19,0)</f>
        <v/>
      </c>
    </row>
    <row r="30">
      <c r="A30" s="44" t="n">
        <v>24</v>
      </c>
      <c r="B30" s="15" t="inlineStr">
        <is>
          <t>Kaçırılan (sıfır altı yok)</t>
        </is>
      </c>
      <c r="C30" s="49">
        <f>IFERROR(MAX(0,G29),0)</f>
        <v/>
      </c>
      <c r="D30" s="46" t="inlineStr">
        <is>
          <t>TL</t>
        </is>
      </c>
      <c r="E30" s="47" t="inlineStr">
        <is>
          <t>Optimizasyon fırsatı</t>
        </is>
      </c>
      <c r="F30" s="14" t="inlineStr">
        <is>
          <t>TBO-005</t>
        </is>
      </c>
      <c r="G30" s="17">
        <f>IFERROR(MAX(0,G29),0)</f>
        <v/>
      </c>
    </row>
    <row r="31">
      <c r="A31" s="44" t="n">
        <v>25</v>
      </c>
      <c r="B31" s="15" t="inlineStr">
        <is>
          <t>Yıllık potansiyel</t>
        </is>
      </c>
      <c r="C31" s="49">
        <f>IFERROR(G28*12,0)</f>
        <v/>
      </c>
      <c r="D31" s="46" t="inlineStr">
        <is>
          <t>TL</t>
        </is>
      </c>
      <c r="E31" s="47" t="inlineStr">
        <is>
          <t>12 ay projeksiyon</t>
        </is>
      </c>
      <c r="F31" s="14" t="inlineStr">
        <is>
          <t>TBO-005</t>
        </is>
      </c>
      <c r="G31" s="17">
        <f>IFERROR(G28*12,0)</f>
        <v/>
      </c>
    </row>
    <row r="32">
      <c r="A32" s="44" t="n">
        <v>26</v>
      </c>
      <c r="B32" s="15" t="inlineStr">
        <is>
          <t>Yıllık kaçırılan</t>
        </is>
      </c>
      <c r="C32" s="49">
        <f>IFERROR(G30*12,0)</f>
        <v/>
      </c>
      <c r="D32" s="46" t="inlineStr">
        <is>
          <t>TL</t>
        </is>
      </c>
      <c r="E32" s="47" t="inlineStr">
        <is>
          <t>12 ay kaçırılan</t>
        </is>
      </c>
      <c r="F32" s="14" t="inlineStr">
        <is>
          <t>TBO-005</t>
        </is>
      </c>
      <c r="G32" s="17">
        <f>IFERROR(G30*12,0)</f>
        <v/>
      </c>
    </row>
    <row r="33">
      <c r="A33" s="44" t="n">
        <v>27</v>
      </c>
      <c r="B33" s="15" t="inlineStr">
        <is>
          <t>Karar kodu</t>
        </is>
      </c>
      <c r="C33" s="11">
        <f>IFERROR(IF(COUNTA(tblBordro[CalisanNo])=0,"VERI_YOK",IF(OR(MIN(tblBordro[BrutMatrah])&lt;0,MAX(tblBordro[BrutMatrah])&gt;tbo_azamiMatrahEsik),"UC",IF(G30=0,"TAM","FIRSAT"))),"")</f>
        <v/>
      </c>
      <c r="D33" s="46" t="inlineStr">
        <is>
          <t>kod</t>
        </is>
      </c>
      <c r="E33" s="47" t="inlineStr">
        <is>
          <t>Karar kodu</t>
        </is>
      </c>
      <c r="F33" s="14" t="inlineStr">
        <is>
          <t>TBO-005</t>
        </is>
      </c>
      <c r="G33" s="18">
        <f>IFERROR(IF(COUNTA(tblBordro[CalisanNo])=0,"VERI_YOK",IF(OR(MIN(tblBordro[BrutMatrah])&lt;0,MAX(tblBordro[BrutMatrah])&gt;tbo_azamiMatrahEsik),"UC",IF(G30=0,"TAM","FIRSAT"))),"")</f>
        <v/>
      </c>
    </row>
    <row r="34">
      <c r="A34" s="44" t="n">
        <v>28</v>
      </c>
      <c r="B34" s="15" t="inlineStr">
        <is>
          <t>Karar metni</t>
        </is>
      </c>
      <c r="C34" s="11">
        <f>IFERROR(IF(G33="VERI_YOK","VERİ YOK",IF(G33="UC","İNCELE",IF(G33="TAM","UYGUN",IF(G30&gt;=tbo_kacirilanEsik,"UYGULA","İNCELE")))),"")</f>
        <v/>
      </c>
      <c r="D34" s="46" t="inlineStr">
        <is>
          <t>metin</t>
        </is>
      </c>
      <c r="E34" s="47" t="inlineStr">
        <is>
          <t>Kullanıcıya karar</t>
        </is>
      </c>
      <c r="F34" s="14" t="inlineStr">
        <is>
          <t>TBO-005</t>
        </is>
      </c>
      <c r="G34" s="18">
        <f>IFERROR(IF(G33="VERI_YOK","VERİ YOK",IF(G33="UC","İNCELE",IF(G33="TAM","UYGUN",IF(G30&gt;=tbo_kacirilanEsik,"UYGULA","İNCELE")))),"")</f>
        <v/>
      </c>
    </row>
    <row r="35">
      <c r="A35" s="44" t="n">
        <v>29</v>
      </c>
      <c r="B35" s="15" t="inlineStr">
        <is>
          <t>Gerekçe</t>
        </is>
      </c>
      <c r="C35" s="11">
        <f>IFERROR(IF(G33="VERI_YOK","Bordro satırı yok — hesap yapılamaz.",IF(G33="UC","Uç değer (negatif veya aşırı matrah) — satırları inceleyin.",IF(G33="TAM","Mevcut teşvik potansiyeli karşılıyor; ek fırsat yok.","Kaçırılan tasarruf var; en avantajlı teşvik kodunu uygulayın veya inceleyin."))),"")</f>
        <v/>
      </c>
      <c r="D35" s="46" t="inlineStr">
        <is>
          <t>metin</t>
        </is>
      </c>
      <c r="E35" s="47" t="inlineStr">
        <is>
          <t>Gerekçe cümlesi</t>
        </is>
      </c>
      <c r="F35" s="14" t="inlineStr">
        <is>
          <t>TBO-005</t>
        </is>
      </c>
      <c r="G35" s="18">
        <f>IFERROR(IF(G33="VERI_YOK","Bordro satırı yok — hesap yapılamaz.",IF(G33="UC","Uç değer (negatif veya aşırı matrah) — satırları inceleyin.",IF(G33="TAM","Mevcut teşvik potansiyeli karşılıyor; ek fırsat yok.","Kaçırılan tasarruf var; en avantajlı teşvik kodunu uygulayın veya inceleyin."))),"")</f>
        <v/>
      </c>
    </row>
    <row r="36">
      <c r="A36" s="44" t="n">
        <v>30</v>
      </c>
      <c r="B36" s="15" t="inlineStr">
        <is>
          <t>Kapsam / matrah oranı</t>
        </is>
      </c>
      <c r="C36" s="48">
        <f>IFERROR(IF(G21=0,0,(G15+G16+G17+G18)/G21),0)</f>
        <v/>
      </c>
      <c r="D36" s="46" t="inlineStr">
        <is>
          <t>oran</t>
        </is>
      </c>
      <c r="E36" s="47" t="inlineStr">
        <is>
          <t>Kapsam yoğunluğu</t>
        </is>
      </c>
      <c r="F36" s="14" t="inlineStr">
        <is>
          <t>TBO-003</t>
        </is>
      </c>
      <c r="G36" s="16">
        <f>IFERROR(IF(G21=0,0,(G15+G16+G17+G18)/G21),0)</f>
        <v/>
      </c>
    </row>
    <row r="37">
      <c r="A37" s="44" t="n">
        <v>31</v>
      </c>
      <c r="B37" s="15" t="inlineStr">
        <is>
          <t>Mevcut / potansiyel</t>
        </is>
      </c>
      <c r="C37" s="48">
        <f>IFERROR(IF(G28=0,0,G19/G28),0)</f>
        <v/>
      </c>
      <c r="D37" s="46" t="inlineStr">
        <is>
          <t>oran</t>
        </is>
      </c>
      <c r="E37" s="47" t="inlineStr">
        <is>
          <t>Karşılama oranı</t>
        </is>
      </c>
      <c r="F37" s="14" t="inlineStr">
        <is>
          <t>TBO-005</t>
        </is>
      </c>
      <c r="G37" s="16">
        <f>IFERROR(IF(G28=0,0,G19/G28),0)</f>
        <v/>
      </c>
    </row>
    <row r="38">
      <c r="A38" s="44" t="n">
        <v>32</v>
      </c>
      <c r="B38" s="15" t="inlineStr">
        <is>
          <t>Güven skoru</t>
        </is>
      </c>
      <c r="C38" s="45">
        <f>IFERROR(ROUND(IF(OR(COUNTA(GIRDI!B6:B16)=0,tbo_girisBeklenen=0),0,COUNTA(GIRDI!B6:B16)/tbo_girisBeklenen*100),0),0)</f>
        <v/>
      </c>
      <c r="D38" s="46" t="inlineStr">
        <is>
          <t>puan</t>
        </is>
      </c>
      <c r="E38" s="47" t="inlineStr">
        <is>
          <t>Giriş bütünlüğü</t>
        </is>
      </c>
      <c r="F38" s="14" t="inlineStr">
        <is>
          <t>TBO-005</t>
        </is>
      </c>
      <c r="G38" s="29">
        <f>IFERROR(ROUND(IF(OR(COUNTA(GIRDI!B6:B16)=0,tbo_girisBeklenen=0),0,COUNTA(GIRDI!B6:B16)/tbo_girisBeklenen*100),0),0)</f>
        <v/>
      </c>
    </row>
    <row r="39">
      <c r="A39" s="44" t="n">
        <v>33</v>
      </c>
      <c r="B39" s="15" t="inlineStr">
        <is>
          <t>Risk skoru</t>
        </is>
      </c>
      <c r="C39" s="45">
        <f>IFERROR(IF(G33="VERI_YOK",0,IF(G30=0,tbo_riskDusuk,IF(G30/MAX(G28,1)&gt;tbo_riskEsikOran,tbo_riskYuksek,tbo_riskOrta))),0)</f>
        <v/>
      </c>
      <c r="D39" s="46" t="inlineStr">
        <is>
          <t>puan</t>
        </is>
      </c>
      <c r="E39" s="47" t="inlineStr">
        <is>
          <t>Kaçırılan riski</t>
        </is>
      </c>
      <c r="F39" s="14" t="inlineStr">
        <is>
          <t>TBO-005</t>
        </is>
      </c>
      <c r="G39" s="29">
        <f>IFERROR(IF(G33="VERI_YOK",0,IF(G30=0,tbo_riskDusuk,IF(G30/MAX(G28,1)&gt;tbo_riskEsikOran,tbo_riskYuksek,tbo_riskOrta))),0)</f>
        <v/>
      </c>
    </row>
    <row r="40">
      <c r="A40" s="44" t="n">
        <v>34</v>
      </c>
      <c r="B40" s="15" t="inlineStr">
        <is>
          <t>Senaryo iyimser matrah</t>
        </is>
      </c>
      <c r="C40" s="49">
        <f>IFERROR(G21*tbo_senaryoIyi,0)</f>
        <v/>
      </c>
      <c r="D40" s="46" t="inlineStr">
        <is>
          <t>TL</t>
        </is>
      </c>
      <c r="E40" s="47" t="inlineStr">
        <is>
          <t>İyimser matrah</t>
        </is>
      </c>
      <c r="F40" s="14" t="inlineStr">
        <is>
          <t>TBO-003</t>
        </is>
      </c>
      <c r="G40" s="17">
        <f>IFERROR(G21*tbo_senaryoIyi,0)</f>
        <v/>
      </c>
    </row>
    <row r="41">
      <c r="A41" s="44" t="n">
        <v>35</v>
      </c>
      <c r="B41" s="15" t="inlineStr">
        <is>
          <t>Senaryo kötümser matrah</t>
        </is>
      </c>
      <c r="C41" s="49">
        <f>IFERROR(G21*tbo_senaryoKotu,0)</f>
        <v/>
      </c>
      <c r="D41" s="46" t="inlineStr">
        <is>
          <t>TL</t>
        </is>
      </c>
      <c r="E41" s="47" t="inlineStr">
        <is>
          <t>Kötümser matrah</t>
        </is>
      </c>
      <c r="F41" s="14" t="inlineStr">
        <is>
          <t>TBO-003</t>
        </is>
      </c>
      <c r="G41" s="17">
        <f>IFERROR(G21*tbo_senaryoKotu,0)</f>
        <v/>
      </c>
    </row>
    <row r="42">
      <c r="A42" s="44" t="n">
        <v>36</v>
      </c>
      <c r="B42" s="15" t="inlineStr">
        <is>
          <t>İyimser potansiyel</t>
        </is>
      </c>
      <c r="C42" s="49">
        <f>IFERROR(ROUND(MIN(G15,G40)*G8+MIN(G16,G40)*G9+MIN(G17,G40)*G11+MIN(G18,G40)*tbo_isverenOran,MAX(0,MIN(tbo_yuvarMax,IFERROR(N(G12),0)))),0)</f>
        <v/>
      </c>
      <c r="D42" s="46" t="inlineStr">
        <is>
          <t>TL</t>
        </is>
      </c>
      <c r="E42" s="47" t="inlineStr">
        <is>
          <t>İyimser birikim</t>
        </is>
      </c>
      <c r="F42" s="14" t="inlineStr">
        <is>
          <t>TBO-001</t>
        </is>
      </c>
      <c r="G42" s="17">
        <f>IFERROR(ROUND(MIN(G15,G40)*G8+MIN(G16,G40)*G9+MIN(G17,G40)*G11+MIN(G18,G40)*tbo_isverenOran,MAX(0,MIN(tbo_yuvarMax,IFERROR(N(G12),0)))),0)</f>
        <v/>
      </c>
    </row>
    <row r="43">
      <c r="A43" s="44" t="n">
        <v>37</v>
      </c>
      <c r="B43" s="15" t="inlineStr">
        <is>
          <t>Kötümser potansiyel</t>
        </is>
      </c>
      <c r="C43" s="49">
        <f>IFERROR(ROUND(MIN(G15,G41)*G8+MIN(G16,G41)*G9+MIN(G17,G41)*G11+MIN(G18,G41)*tbo_isverenOran,MAX(0,MIN(tbo_yuvarMax,IFERROR(N(G12),0)))),0)</f>
        <v/>
      </c>
      <c r="D43" s="46" t="inlineStr">
        <is>
          <t>TL</t>
        </is>
      </c>
      <c r="E43" s="47" t="inlineStr">
        <is>
          <t>Kötümser birikim</t>
        </is>
      </c>
      <c r="F43" s="14" t="inlineStr">
        <is>
          <t>TBO-001</t>
        </is>
      </c>
      <c r="G43" s="17">
        <f>IFERROR(ROUND(MIN(G15,G41)*G8+MIN(G16,G41)*G9+MIN(G17,G41)*G11+MIN(G18,G41)*tbo_isverenOran,MAX(0,MIN(tbo_yuvarMax,IFERROR(N(G12),0)))),0)</f>
        <v/>
      </c>
    </row>
    <row r="44">
      <c r="A44" s="44" t="n">
        <v>38</v>
      </c>
      <c r="B44" s="15" t="inlineStr">
        <is>
          <t>Kural+1 puan 5 puan</t>
        </is>
      </c>
      <c r="C44" s="49">
        <f>IFERROR(ROUND(MIN(G15,G21)*(G8+tbo_oranArtisPuan),MAX(0,MIN(tbo_yuvarMax,IFERROR(N(G12),0)))),0)</f>
        <v/>
      </c>
      <c r="D44" s="46" t="inlineStr">
        <is>
          <t>TL</t>
        </is>
      </c>
      <c r="E44" s="47" t="inlineStr">
        <is>
          <t>M-SEN +1 puan</t>
        </is>
      </c>
      <c r="F44" s="14" t="inlineStr">
        <is>
          <t>TBO-001</t>
        </is>
      </c>
      <c r="G44" s="17">
        <f>IFERROR(ROUND(MIN(G15,G21)*(G8+tbo_oranArtisPuan),MAX(0,MIN(tbo_yuvarMax,IFERROR(N(G12),0)))),0)</f>
        <v/>
      </c>
    </row>
    <row r="45">
      <c r="A45" s="44" t="n">
        <v>39</v>
      </c>
      <c r="B45" s="15" t="inlineStr">
        <is>
          <t>M-SEN potansiyel</t>
        </is>
      </c>
      <c r="C45" s="49">
        <f>IFERROR(G44+G23+G24+G25,0)</f>
        <v/>
      </c>
      <c r="D45" s="46" t="inlineStr">
        <is>
          <t>TL</t>
        </is>
      </c>
      <c r="E45" s="47" t="inlineStr">
        <is>
          <t>Kural değişimi toplam</t>
        </is>
      </c>
      <c r="F45" s="14" t="inlineStr">
        <is>
          <t>TBO-001</t>
        </is>
      </c>
      <c r="G45" s="17">
        <f>IFERROR(G44+G23+G24+G25,0)</f>
        <v/>
      </c>
    </row>
    <row r="46">
      <c r="A46" s="44" t="n">
        <v>40</v>
      </c>
      <c r="B46" s="15" t="inlineStr">
        <is>
          <t>M-SEN kaçırılan</t>
        </is>
      </c>
      <c r="C46" s="49">
        <f>IFERROR(MAX(0,G45-G19),0)</f>
        <v/>
      </c>
      <c r="D46" s="46" t="inlineStr">
        <is>
          <t>TL</t>
        </is>
      </c>
      <c r="E46" s="47" t="inlineStr">
        <is>
          <t>M-SEN farkı</t>
        </is>
      </c>
      <c r="F46" s="14" t="inlineStr">
        <is>
          <t>TBO-005</t>
        </is>
      </c>
      <c r="G46" s="17">
        <f>IFERROR(MAX(0,G45-G19),0)</f>
        <v/>
      </c>
    </row>
    <row r="47">
      <c r="A47" s="44" t="n">
        <v>41</v>
      </c>
      <c r="B47" s="15" t="inlineStr">
        <is>
          <t>Tahmin üst</t>
        </is>
      </c>
      <c r="C47" s="49">
        <f>IFERROR(G30*tbo_tahminUst,0)</f>
        <v/>
      </c>
      <c r="D47" s="46" t="inlineStr">
        <is>
          <t>TL</t>
        </is>
      </c>
      <c r="E47" s="47" t="inlineStr">
        <is>
          <t>Tahmin üst bant</t>
        </is>
      </c>
      <c r="F47" s="14" t="inlineStr">
        <is>
          <t>TBO-005</t>
        </is>
      </c>
      <c r="G47" s="17">
        <f>IFERROR(G30*tbo_tahminUst,0)</f>
        <v/>
      </c>
    </row>
    <row r="48">
      <c r="A48" s="44" t="n">
        <v>42</v>
      </c>
      <c r="B48" s="15" t="inlineStr">
        <is>
          <t>Tahmin alt</t>
        </is>
      </c>
      <c r="C48" s="49">
        <f>IFERROR(G30*tbo_tahminAlt,0)</f>
        <v/>
      </c>
      <c r="D48" s="46" t="inlineStr">
        <is>
          <t>TL</t>
        </is>
      </c>
      <c r="E48" s="47" t="inlineStr">
        <is>
          <t>Tahmin alt bant</t>
        </is>
      </c>
      <c r="F48" s="14" t="inlineStr">
        <is>
          <t>TBO-005</t>
        </is>
      </c>
      <c r="G48" s="17">
        <f>IFERROR(G30*tbo_tahminAlt,0)</f>
        <v/>
      </c>
    </row>
    <row r="49">
      <c r="A49" s="44" t="n">
        <v>43</v>
      </c>
      <c r="B49" s="15" t="inlineStr">
        <is>
          <t>Tornado: matrah etkisi</t>
        </is>
      </c>
      <c r="C49" s="49">
        <f>IFERROR(ABS(ROUND(MIN(G15,G21*tbo_tornadoMatrah)*G8+MIN(G16,G21*tbo_tornadoMatrah)*G9+MIN(G17,G21*tbo_tornadoMatrah)*G11+MIN(G18,G21*tbo_tornadoMatrah)*tbo_isverenOran,MAX(0,MIN(tbo_yuvarMax,IFERROR(N(G12),0))))-G28),0)</f>
        <v/>
      </c>
      <c r="D49" s="46" t="inlineStr">
        <is>
          <t>TL</t>
        </is>
      </c>
      <c r="E49" s="47" t="inlineStr">
        <is>
          <t>Matrah ± etki</t>
        </is>
      </c>
      <c r="F49" s="14" t="inlineStr">
        <is>
          <t>TBO-003</t>
        </is>
      </c>
      <c r="G49" s="17">
        <f>IFERROR(ABS(ROUND(MIN(G15,G21*tbo_tornadoMatrah)*G8+MIN(G16,G21*tbo_tornadoMatrah)*G9+MIN(G17,G21*tbo_tornadoMatrah)*G11+MIN(G18,G21*tbo_tornadoMatrah)*tbo_isverenOran,MAX(0,MIN(tbo_yuvarMax,IFERROR(N(G12),0))))-G28),0)</f>
        <v/>
      </c>
    </row>
    <row r="50">
      <c r="A50" s="44" t="n">
        <v>44</v>
      </c>
      <c r="B50" s="15" t="inlineStr">
        <is>
          <t>Tornado: mevcut etkisi</t>
        </is>
      </c>
      <c r="C50" s="49">
        <f>IFERROR(ABS(MAX(0,G28-G19*tbo_tornadoMevcut)-G30),0)</f>
        <v/>
      </c>
      <c r="D50" s="46" t="inlineStr">
        <is>
          <t>TL</t>
        </is>
      </c>
      <c r="E50" s="47" t="inlineStr">
        <is>
          <t>Mevcut ± etki</t>
        </is>
      </c>
      <c r="F50" s="14" t="inlineStr">
        <is>
          <t>TBO-005</t>
        </is>
      </c>
      <c r="G50" s="17">
        <f>IFERROR(ABS(MAX(0,G28-G19*tbo_tornadoMevcut)-G30),0)</f>
        <v/>
      </c>
    </row>
    <row r="51">
      <c r="A51" s="44" t="n">
        <v>45</v>
      </c>
      <c r="B51" s="15" t="inlineStr">
        <is>
          <t>Tornado: oran etkisi</t>
        </is>
      </c>
      <c r="C51" s="49">
        <f>IFERROR(ABS(ROUND(MIN(G15,G21)*(G8+tbo_oranArtisPuan)+G23+G24+G25,MAX(0,MIN(tbo_yuvarMax,IFERROR(N(G12),0))))-G28),0)</f>
        <v/>
      </c>
      <c r="D51" s="46" t="inlineStr">
        <is>
          <t>TL</t>
        </is>
      </c>
      <c r="E51" s="47" t="inlineStr">
        <is>
          <t>Oran ± etki</t>
        </is>
      </c>
      <c r="F51" s="14" t="inlineStr">
        <is>
          <t>TBO-001</t>
        </is>
      </c>
      <c r="G51" s="17">
        <f>IFERROR(ABS(ROUND(MIN(G15,G21)*(G8+tbo_oranArtisPuan)+G23+G24+G25,MAX(0,MIN(tbo_yuvarMax,IFERROR(N(G12),0))))-G28),0)</f>
        <v/>
      </c>
    </row>
    <row r="52">
      <c r="A52" s="44" t="n">
        <v>46</v>
      </c>
      <c r="B52" s="15" t="inlineStr">
        <is>
          <t>Madde atıf özeti</t>
        </is>
      </c>
      <c r="C52" s="11">
        <f>IFERROR(_xlfn.TEXTJOIN(" | ",TRUE,"TBO-001→5510 md.81","TBO-002→4447 geç.10","TBO-003→prim tavanı"),"")</f>
        <v/>
      </c>
      <c r="D52" s="46" t="inlineStr">
        <is>
          <t>metin</t>
        </is>
      </c>
      <c r="E52" s="47" t="inlineStr">
        <is>
          <t>Kanıt atıfları</t>
        </is>
      </c>
      <c r="F52" s="14" t="inlineStr">
        <is>
          <t>TBO-001</t>
        </is>
      </c>
      <c r="G52" s="18">
        <f>IFERROR(_xlfn.TEXTJOIN(" | ",TRUE,"TBO-001→5510 md.81","TBO-002→4447 geç.10","TBO-003→prim tavanı"),"")</f>
        <v/>
      </c>
    </row>
    <row r="53">
      <c r="A53" s="44" t="n">
        <v>47</v>
      </c>
      <c r="B53" s="15" t="inlineStr">
        <is>
          <t>Kanıt satır özeti</t>
        </is>
      </c>
      <c r="C53" s="11">
        <f>IFERROR(_xlfn.TEXTJOIN(" · ",TRUE,"Matrah=",TEXT(G21,"₺ #,##0"),"Potansiyel=",TEXT(G28,"₺ #,##0"),"Kaçırılan=",TEXT(G30,"₺ #,##0")),"")</f>
        <v/>
      </c>
      <c r="D53" s="46" t="inlineStr">
        <is>
          <t>metin</t>
        </is>
      </c>
      <c r="E53" s="47" t="inlineStr">
        <is>
          <t>Rapor özeti</t>
        </is>
      </c>
      <c r="F53" s="14" t="inlineStr">
        <is>
          <t>TBO-005</t>
        </is>
      </c>
      <c r="G53" s="18">
        <f>IFERROR(_xlfn.TEXTJOIN(" · ",TRUE,"Matrah=",TEXT(G21,"₺ #,##0"),"Potansiyel=",TEXT(G28,"₺ #,##0"),"Kaçırılan=",TEXT(G30,"₺ #,##0")),"")</f>
        <v/>
      </c>
    </row>
    <row r="55">
      <c r="I55" s="22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7:G53">
    <cfRule type="cellIs" priority="1" operator="lessThan" dxfId="3">
      <formula>0</formula>
    </cfRule>
  </conditionalFormatting>
  <conditionalFormatting sqref="F7:F53">
    <cfRule type="expression" priority="2" dxfId="7">
      <formula>F7="TBO-001"</formula>
    </cfRule>
    <cfRule type="expression" priority="3" dxfId="3">
      <formula>F7="TBO-005"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55.5" customWidth="1" min="1" max="1"/>
    <col width="18.5" customWidth="1" min="2" max="2"/>
    <col width="18" customWidth="1" min="3" max="3"/>
    <col width="18" customWidth="1" min="4" max="4"/>
    <col width="22" customWidth="1" min="5" max="5"/>
    <col width="13" customWidth="1" min="6" max="6"/>
    <col width="17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SENARYO — Teşvikli Bordro Optimizasyon</t>
        </is>
      </c>
    </row>
    <row r="3" ht="22" customHeight="1">
      <c r="A3" s="223" t="inlineStr">
        <is>
          <t>Senaryo ve duyarlılık</t>
        </is>
      </c>
    </row>
    <row r="5">
      <c r="A5" s="39" t="inlineStr">
        <is>
          <t>Senaryo</t>
        </is>
      </c>
      <c r="B5" s="39" t="inlineStr">
        <is>
          <t>Matrah Çarpanı</t>
        </is>
      </c>
      <c r="C5" s="39" t="inlineStr">
        <is>
          <t>Potansiyel</t>
        </is>
      </c>
      <c r="D5" s="39" t="inlineStr">
        <is>
          <t>Kaçırılan</t>
        </is>
      </c>
      <c r="E5" s="39" t="inlineStr">
        <is>
          <t>Karar</t>
        </is>
      </c>
      <c r="G5" s="39" t="inlineStr">
        <is>
          <t>KacirilanDemo</t>
        </is>
      </c>
    </row>
    <row r="6">
      <c r="A6" s="24" t="inlineStr">
        <is>
          <t>İyimser</t>
        </is>
      </c>
      <c r="B6" s="16">
        <f>IFERROR(tbo_senaryoIyi+N(GIRDI!B9)*0,0)</f>
        <v/>
      </c>
      <c r="C6" s="17">
        <f>IFERROR(ROUND((IFERROR(tbo_potansiyelTasarruf,0))*B6,2),0)</f>
        <v/>
      </c>
      <c r="D6" s="17">
        <f>IFERROR(MAX(0,C6-(IFERROR(tbo_mevcutTesvik,0))),0)</f>
        <v/>
      </c>
      <c r="E6" s="18">
        <f>IF(COUNTA(tblBordro[CalisanNo])=0,"VERİ YOK",IF(D6=0,"UYGUN",IF(D6&gt;=tbo_kacirilanEsik,"UYGULA","İNCELE")))</f>
        <v/>
      </c>
      <c r="G6" s="20" t="n">
        <v>18800</v>
      </c>
    </row>
    <row r="7">
      <c r="A7" s="24" t="inlineStr">
        <is>
          <t>Baz</t>
        </is>
      </c>
      <c r="B7" s="16">
        <f>IFERROR(1+N(GIRDI!B9)*0,1)</f>
        <v/>
      </c>
      <c r="C7" s="17">
        <f>IFERROR(ROUND((IFERROR(tbo_potansiyelTasarruf,0))*B7,2),0)</f>
        <v/>
      </c>
      <c r="D7" s="17">
        <f>IFERROR(MAX(0,C7-(IFERROR(tbo_mevcutTesvik,0))),0)</f>
        <v/>
      </c>
      <c r="E7" s="18">
        <f>IF(COUNTA(tblBordro[CalisanNo])=0,"VERİ YOK",IF(D7=0,"UYGUN",IF(D7&gt;=tbo_kacirilanEsik,"UYGULA","İNCELE")))</f>
        <v/>
      </c>
      <c r="G7" s="20" t="n">
        <v>22000</v>
      </c>
    </row>
    <row r="8">
      <c r="A8" s="24" t="inlineStr">
        <is>
          <t>Kötümser</t>
        </is>
      </c>
      <c r="B8" s="16">
        <f>IFERROR(tbo_senaryoKotu+N(GIRDI!B9)*0,0)</f>
        <v/>
      </c>
      <c r="C8" s="17">
        <f>IFERROR(ROUND((IFERROR(tbo_potansiyelTasarruf,0))*B8,2),0)</f>
        <v/>
      </c>
      <c r="D8" s="17">
        <f>IFERROR(MAX(0,C8-(IFERROR(tbo_mevcutTesvik,0))),0)</f>
        <v/>
      </c>
      <c r="E8" s="18">
        <f>IF(COUNTA(tblBordro[CalisanNo])=0,"VERİ YOK",IF(D8=0,"UYGUN",IF(D8&gt;=tbo_kacirilanEsik,"UYGULA","İNCELE")))</f>
        <v/>
      </c>
      <c r="G8" s="20" t="n">
        <v>26400</v>
      </c>
    </row>
    <row r="9">
      <c r="A9" s="24" t="inlineStr">
        <is>
          <t>M-SEN +1 puan</t>
        </is>
      </c>
      <c r="B9" s="16">
        <f>IFERROR(1+N(GIRDI!B9)*0,1)</f>
        <v/>
      </c>
      <c r="C9" s="17">
        <f>IFERROR(MOTOR!G45,0)</f>
        <v/>
      </c>
      <c r="D9" s="17">
        <f>IFERROR(MOTOR!G46,0)</f>
        <v/>
      </c>
      <c r="E9" s="18">
        <f>IF(COUNTA(tblBordro[CalisanNo])=0,"VERİ YOK",IF(D9=0,"UYGUN",IF(D9&gt;=tbo_kacirilanEsik,"UYGULA","İNCELE")))</f>
        <v/>
      </c>
      <c r="G9" s="20" t="n">
        <v>23500</v>
      </c>
    </row>
    <row r="10">
      <c r="A10" s="24" t="inlineStr">
        <is>
          <t>Agresif matrah</t>
        </is>
      </c>
      <c r="B10" s="16">
        <f>IFERROR(tbo_senaryoIyi*0.95+N(GIRDI!B9)*0,0)</f>
        <v/>
      </c>
      <c r="C10" s="17">
        <f>IFERROR(ROUND((IFERROR(tbo_potansiyelTasarruf,0))*B10,2),0)</f>
        <v/>
      </c>
      <c r="D10" s="17">
        <f>IFERROR(MAX(0,C10-(IFERROR(tbo_mevcutTesvik,0))),0)</f>
        <v/>
      </c>
      <c r="E10" s="18">
        <f>IF(COUNTA(tblBordro[CalisanNo])=0,"VERİ YOK",IF(D10=0,"UYGUN",IF(D10&gt;=tbo_kacirilanEsik,"UYGULA","İNCELE")))</f>
        <v/>
      </c>
      <c r="G10" s="20" t="n">
        <v>20000</v>
      </c>
    </row>
    <row r="11">
      <c r="A11" s="24" t="inlineStr">
        <is>
          <t>Muhafazakar</t>
        </is>
      </c>
      <c r="B11" s="16">
        <f>IFERROR(tbo_senaryoKotu*1.05+N(GIRDI!B9)*0,0)</f>
        <v/>
      </c>
      <c r="C11" s="17">
        <f>IFERROR(ROUND((IFERROR(tbo_potansiyelTasarruf,0))*B11,2),0)</f>
        <v/>
      </c>
      <c r="D11" s="17">
        <f>IFERROR(MAX(0,C11-(IFERROR(tbo_mevcutTesvik,0))),0)</f>
        <v/>
      </c>
      <c r="E11" s="18">
        <f>IF(COUNTA(tblBordro[CalisanNo])=0,"VERİ YOK",IF(D11=0,"UYGUN",IF(D11&gt;=tbo_kacirilanEsik,"UYGULA","İNCELE")))</f>
        <v/>
      </c>
      <c r="G11" s="20" t="n">
        <v>25000</v>
      </c>
    </row>
    <row r="12">
      <c r="A12" s="24" t="inlineStr">
        <is>
          <t>Matris seti</t>
        </is>
      </c>
      <c r="B12" s="16">
        <f>IFERROR(1+N(GIRDI!B9)*0,1)</f>
        <v/>
      </c>
      <c r="C12" s="17">
        <f>IFERROR(MATRIS!R5,0)</f>
        <v/>
      </c>
      <c r="D12" s="17">
        <f>IFERROR(MATRIS!R6,0)</f>
        <v/>
      </c>
      <c r="E12" s="18">
        <f>IF(COUNTA(tblBordro[CalisanNo])=0,"VERİ YOK",IF(D12=0,"UYGUN",IF(D12&gt;=tbo_kacirilanEsik,"UYGULA","İNCELE")))</f>
        <v/>
      </c>
      <c r="G12" s="20" t="n">
        <v>21000</v>
      </c>
    </row>
    <row r="14">
      <c r="A14" s="10" t="inlineStr">
        <is>
          <t>Senaryo bant genişliği (iyimser−kötümser kaçırılan)</t>
        </is>
      </c>
      <c r="B14" s="17">
        <f>IFERROR(D6-D8,0)</f>
        <v/>
      </c>
    </row>
    <row r="15">
      <c r="A15" s="10" t="inlineStr">
        <is>
          <t>Senaryo yorumu</t>
        </is>
      </c>
      <c r="B15" s="11">
        <f>IFERROR(_xlfn.TEXTJOIN("; ",TRUE,"İyimser ",TEXT(D6,"₺ #,##0")," · Baz ",TEXT(D7,"₺ #,##0")," · Kötümser ",TEXT(D8,"₺ #,##0")," · M-SEN ",TEXT(D9,"₺ #,##0")," · Matris ",TEXT(D12,"₺ #,##0")," · Bant ",TEXT(B14,"₺ #,##0")),"-")</f>
        <v/>
      </c>
    </row>
    <row r="17">
      <c r="A17" s="12" t="inlineStr">
        <is>
          <t>Duyarlılık (tornado)</t>
        </is>
      </c>
    </row>
    <row r="18">
      <c r="A18" s="39" t="inlineStr">
        <is>
          <t>Değişken</t>
        </is>
      </c>
      <c r="B18" s="39" t="inlineStr">
        <is>
          <t>Etki [₺]</t>
        </is>
      </c>
      <c r="C18" s="39" t="inlineStr">
        <is>
          <t>Sıra</t>
        </is>
      </c>
      <c r="E18" s="39" t="inlineStr">
        <is>
          <t>EtkiDemo</t>
        </is>
      </c>
    </row>
    <row r="19">
      <c r="A19" s="24" t="inlineStr">
        <is>
          <t>Tornado matrah etkisi</t>
        </is>
      </c>
      <c r="B19" s="17">
        <f>IFERROR(MOTOR!G49,0)</f>
        <v/>
      </c>
      <c r="C19" s="29">
        <f>IFERROR(IF(B19&gt;=MAX(B19:B22),1,IF(B19&gt;=MEDIAN(B19:B22),2,IF(B19&gt;=MIN(B19:B22),3,4))),4)</f>
        <v/>
      </c>
      <c r="E19" s="20" t="n">
        <v>1600</v>
      </c>
    </row>
    <row r="20">
      <c r="A20" s="24" t="inlineStr">
        <is>
          <t>Tornado mevcut etkisi</t>
        </is>
      </c>
      <c r="B20" s="17">
        <f>IFERROR(MOTOR!G50,0)</f>
        <v/>
      </c>
      <c r="C20" s="29">
        <f>IFERROR(IF(B20&gt;=MAX(B19:B22),1,IF(B20&gt;=MEDIAN(B19:B22),2,IF(B20&gt;=MIN(B19:B22),3,4))),4)</f>
        <v/>
      </c>
      <c r="E20" s="20" t="n">
        <v>1100</v>
      </c>
    </row>
    <row r="21">
      <c r="A21" s="24" t="inlineStr">
        <is>
          <t>Tornado oran etkisi</t>
        </is>
      </c>
      <c r="B21" s="17">
        <f>IFERROR(MOTOR!G51,0)</f>
        <v/>
      </c>
      <c r="C21" s="29">
        <f>IFERROR(IF(B21&gt;=MAX(B19:B22),1,IF(B21&gt;=MEDIAN(B19:B22),2,IF(B21&gt;=MIN(B19:B22),3,4))),4)</f>
        <v/>
      </c>
      <c r="E21" s="20" t="n">
        <v>1500</v>
      </c>
    </row>
    <row r="22">
      <c r="A22" s="24" t="inlineStr">
        <is>
          <t>Tornado matris seti</t>
        </is>
      </c>
      <c r="B22" s="17">
        <f>IFERROR(ABS(MATRIS!R6-tbo_kacirilan),0)</f>
        <v/>
      </c>
      <c r="C22" s="29">
        <f>IFERROR(IF(B22&gt;=MAX(B19:B22),1,IF(B22&gt;=MEDIAN(B19:B22),2,IF(B22&gt;=MIN(B19:B22),3,4))),4)</f>
        <v/>
      </c>
      <c r="E22" s="20" t="n">
        <v>900</v>
      </c>
    </row>
    <row r="23">
      <c r="A23" s="10" t="inlineStr">
        <is>
          <t>Duyarlılık sıra özeti</t>
        </is>
      </c>
      <c r="B23" s="18">
        <f>IFERROR(CONCATENATE("1)",INDEX(A19:A22,MATCH(1,C19:C22,0))," 2)",INDEX(A19:A22,MATCH(2,C19:C22,0))),"-")</f>
        <v/>
      </c>
    </row>
    <row r="24">
      <c r="A24" s="10" t="inlineStr">
        <is>
          <t>Duyarlılık yorumu</t>
        </is>
      </c>
      <c r="B24" s="11">
        <f>_xlfn.TEXTJOIN("; ",TRUE,"En yüksek etki ",TEXT(MAX(B19:B22),"₺ #,##0")," TL — öncelik bu değişkende")</f>
        <v/>
      </c>
    </row>
    <row r="26">
      <c r="A26" s="10" t="inlineStr">
        <is>
          <t>M-SEN kural değişimi kaçırılan</t>
        </is>
      </c>
      <c r="B26" s="17">
        <f>D9</f>
        <v/>
      </c>
    </row>
    <row r="27">
      <c r="A27" s="10" t="inlineStr">
        <is>
          <t>M-SEN yorumu</t>
        </is>
      </c>
      <c r="B27" s="11">
        <f>_xlfn.TEXTJOIN("; ",TRUE,"5 puan oranı +1 puan senaryosunda kaçırılan ",TEXT(D9,"₺ #,##0")," TL · Matris seti kaçırılan ",TEXT(D12,"₺ #,##0"))</f>
        <v/>
      </c>
    </row>
    <row r="29">
      <c r="A29" s="10" t="inlineStr">
        <is>
          <t>Tahmin aralığı (kaçırılan)</t>
        </is>
      </c>
      <c r="B29" s="17">
        <f>MOTOR!G48</f>
        <v/>
      </c>
      <c r="C29" s="17">
        <f>tbo_kacirilan</f>
        <v/>
      </c>
      <c r="D29" s="17">
        <f>MOTOR!G47</f>
        <v/>
      </c>
    </row>
    <row r="30">
      <c r="A30" s="10" t="inlineStr">
        <is>
          <t>Tahmin (FORECAST)</t>
        </is>
      </c>
    </row>
    <row r="31">
      <c r="A31" s="19" t="inlineStr">
        <is>
          <t>Seri nokta</t>
        </is>
      </c>
      <c r="D31" s="10" t="inlineStr">
        <is>
          <t>TrendDemo</t>
        </is>
      </c>
    </row>
    <row r="32">
      <c r="A32" s="50" t="n">
        <v>1</v>
      </c>
      <c r="B32" s="17">
        <f>D6</f>
        <v/>
      </c>
      <c r="D32" s="20" t="n">
        <v>18800</v>
      </c>
    </row>
    <row r="33">
      <c r="A33" s="50" t="n">
        <v>2</v>
      </c>
      <c r="B33" s="17">
        <f>D7</f>
        <v/>
      </c>
      <c r="D33" s="20" t="n">
        <v>22000</v>
      </c>
    </row>
    <row r="34">
      <c r="A34" s="50" t="n">
        <v>3</v>
      </c>
      <c r="B34" s="17">
        <f>D8</f>
        <v/>
      </c>
      <c r="D34" s="20" t="n">
        <v>26400</v>
      </c>
    </row>
    <row r="35">
      <c r="A35" s="50" t="n">
        <v>4</v>
      </c>
      <c r="B35" s="17">
        <f>D9</f>
        <v/>
      </c>
      <c r="D35" s="20" t="n">
        <v>23500</v>
      </c>
    </row>
    <row r="36">
      <c r="A36" s="50" t="n">
        <v>5</v>
      </c>
      <c r="B36" s="17">
        <f>D10</f>
        <v/>
      </c>
      <c r="D36" s="20" t="n">
        <v>20000</v>
      </c>
    </row>
    <row r="37">
      <c r="A37" s="50" t="n">
        <v>6</v>
      </c>
      <c r="B37" s="17">
        <f>D11</f>
        <v/>
      </c>
      <c r="D37" s="20" t="n">
        <v>25000</v>
      </c>
    </row>
    <row r="38">
      <c r="A38" s="50" t="n">
        <v>7</v>
      </c>
      <c r="B38" s="17">
        <f>D12</f>
        <v/>
      </c>
      <c r="D38" s="20" t="n">
        <v>21000</v>
      </c>
    </row>
    <row r="40">
      <c r="A40" s="24" t="inlineStr">
        <is>
          <t>Tahmin sonraki</t>
        </is>
      </c>
      <c r="B40" s="17">
        <f>IFERROR(FORECAST.LINEAR(8,B32:B38,A32:A38),0)</f>
        <v/>
      </c>
    </row>
    <row r="41">
      <c r="A41" s="10" t="inlineStr">
        <is>
          <t>Tahmin yorumu</t>
        </is>
      </c>
      <c r="B41" s="11">
        <f>_xlfn.TEXTJOIN("; ",TRUE,"Tahmin ",TEXT(B40,"₺ #,##0")," · Alt ",TEXT(B29,"₺ #,##0")," · Üst ",TEXT(D29,"₺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5:H15"/>
  </mergeCells>
  <conditionalFormatting sqref="D6:D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5">
      <formula>OR(ISNUMBER(SEARCH("UYGULA",E6)),ISNUMBER(SEARCH("İNCELE",E6)))</formula>
    </cfRule>
  </conditionalFormatting>
  <conditionalFormatting sqref="B16:B18">
    <cfRule type="cellIs" priority="4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35.5" customWidth="1" min="2" max="2"/>
    <col width="40" customWidth="1" min="3" max="3"/>
    <col width="18.5" customWidth="1" min="4" max="4"/>
    <col width="14.5" customWidth="1" min="5" max="5"/>
    <col width="12" customWidth="1" min="6" max="6"/>
    <col width="12" customWidth="1" min="7" max="7"/>
    <col width="28" customWidth="1" min="8" max="8"/>
    <col width="13" customWidth="1" min="9" max="9"/>
    <col width="16.5" customWidth="1" min="10" max="10"/>
    <col width="13.5" customWidth="1" min="11" max="11"/>
    <col width="13" customWidth="1" min="12" max="12"/>
  </cols>
  <sheetData>
    <row r="1" ht="32" customHeight="1">
      <c r="A1" s="204" t="inlineStr">
        <is>
          <t>VAKALAR — Teşvikli Bordro Optimizasyon</t>
        </is>
      </c>
    </row>
    <row r="3" ht="22" customHeight="1">
      <c r="A3" s="223" t="inlineStr">
        <is>
          <t>Tebliğ tarzı altın vakalar</t>
        </is>
      </c>
    </row>
    <row r="5" ht="30" customHeight="1">
      <c r="A5" s="13" t="inlineStr">
        <is>
          <t>vaka_id</t>
        </is>
      </c>
      <c r="B5" s="13" t="inlineStr">
        <is>
          <t>aciklama</t>
        </is>
      </c>
      <c r="C5" s="13" t="inlineStr">
        <is>
          <t>girdi_ozeti</t>
        </is>
      </c>
      <c r="D5" s="13" t="inlineStr">
        <is>
          <t>beklenen_sonuc</t>
        </is>
      </c>
      <c r="E5" s="13" t="inlineStr">
        <is>
          <t>hesaplanan</t>
        </is>
      </c>
      <c r="F5" s="13" t="inlineStr">
        <is>
          <t>fark</t>
        </is>
      </c>
      <c r="G5" s="13" t="inlineStr">
        <is>
          <t>durum</t>
        </is>
      </c>
      <c r="H5" s="13" t="inlineStr">
        <is>
          <t>kaynak</t>
        </is>
      </c>
      <c r="J5" s="39" t="inlineStr">
        <is>
          <t>BeklenenDemo</t>
        </is>
      </c>
      <c r="K5" s="39" t="inlineStr">
        <is>
          <t>HesapDemo</t>
        </is>
      </c>
    </row>
    <row r="6">
      <c r="A6" s="24" t="inlineStr">
        <is>
          <t>V-001</t>
        </is>
      </c>
      <c r="B6" s="24" t="inlineStr">
        <is>
          <t>Tebliğ örnek 1 — 5 puan</t>
        </is>
      </c>
      <c r="C6" s="24" t="inlineStr">
        <is>
          <t>bes_puan_matrah=vaka_matrah_1</t>
        </is>
      </c>
      <c r="D6" s="51" t="n">
        <v>15000</v>
      </c>
      <c r="E6" s="17">
        <f>IFERROR(ROUND(vaka_matrah_1*INDEX(tblKurallar[deger_2025],MATCH("TBO-001",tblKurallar[kural_id],0)),2),0)</f>
        <v/>
      </c>
      <c r="F6" s="52">
        <f>IF($A6="","",IFERROR($D6-$E6,0))</f>
        <v/>
      </c>
      <c r="G6" s="53">
        <f>IF($A6="","",IFERROR(IF(ABS($F6)&lt;=tbo_tolerans,"TUTARLI","KIRIK"),"KIRIK"))</f>
        <v/>
      </c>
      <c r="H6" s="24" t="inlineStr">
        <is>
          <t>5510 md.81 örnek</t>
        </is>
      </c>
      <c r="J6" s="20" t="n">
        <v>15000</v>
      </c>
      <c r="K6" s="20" t="n">
        <v>15000</v>
      </c>
    </row>
    <row r="7">
      <c r="A7" s="24" t="inlineStr">
        <is>
          <t>V-002</t>
        </is>
      </c>
      <c r="B7" s="24" t="inlineStr">
        <is>
          <t>Tebliğ örnek 2 — ilave istihdam</t>
        </is>
      </c>
      <c r="C7" s="24" t="inlineStr">
        <is>
          <t>ilave_matrah=vaka_matrah_2</t>
        </is>
      </c>
      <c r="D7" s="51" t="n">
        <v>14500</v>
      </c>
      <c r="E7" s="17">
        <f>IFERROR(ROUND(vaka_matrah_2*INDEX(tblKurallar[deger_2025],MATCH("TBO-002",tblKurallar[kural_id],0)),2),0)</f>
        <v/>
      </c>
      <c r="F7" s="52">
        <f>IF($A7="","",IFERROR($D7-$E7,0))</f>
        <v/>
      </c>
      <c r="G7" s="53">
        <f>IF($A7="","",IFERROR(IF(ABS($F7)&lt;=tbo_tolerans,"TUTARLI","KIRIK"),"KIRIK"))</f>
        <v/>
      </c>
      <c r="H7" s="24" t="inlineStr">
        <is>
          <t>4447 geç.10 örnek</t>
        </is>
      </c>
      <c r="J7" s="20" t="n">
        <v>14500</v>
      </c>
      <c r="K7" s="20" t="n">
        <v>14500</v>
      </c>
    </row>
    <row r="8">
      <c r="A8" s="24" t="inlineStr">
        <is>
          <t>V-003</t>
        </is>
      </c>
      <c r="B8" s="24" t="inlineStr">
        <is>
          <t>Tebliğ örnek 3 — birikimli A</t>
        </is>
      </c>
      <c r="C8" s="24" t="inlineStr">
        <is>
          <t>5 puan + ilave</t>
        </is>
      </c>
      <c r="D8" s="51" t="n">
        <v>29500</v>
      </c>
      <c r="E8" s="17">
        <f>IFERROR(ROUND(vaka_matrah_1*INDEX(tblKurallar[deger_2025],MATCH("TBO-001",tblKurallar[kural_id],0))+vaka_matrah_2*INDEX(tblKurallar[deger_2025],MATCH("TBO-002",tblKurallar[kural_id],0)),2),0)</f>
        <v/>
      </c>
      <c r="F8" s="52">
        <f>IF($A8="","",IFERROR($D8-$E8,0))</f>
        <v/>
      </c>
      <c r="G8" s="53">
        <f>IF($A8="","",IFERROR(IF(ABS($F8)&lt;=tbo_tolerans,"TUTARLI","KIRIK"),"KIRIK"))</f>
        <v/>
      </c>
      <c r="H8" s="24" t="inlineStr">
        <is>
          <t>Birikim yorum A</t>
        </is>
      </c>
      <c r="J8" s="20" t="n">
        <v>29500</v>
      </c>
      <c r="K8" s="20" t="n">
        <v>29500</v>
      </c>
    </row>
    <row r="9">
      <c r="A9" s="24" t="inlineStr">
        <is>
          <t>V-004</t>
        </is>
      </c>
      <c r="B9" s="24" t="inlineStr">
        <is>
          <t>Tavan × 5 puan kontrol</t>
        </is>
      </c>
      <c r="C9" s="24" t="inlineStr">
        <is>
          <t>tavan=vaka_tavan; oran TBO-001</t>
        </is>
      </c>
      <c r="D9" s="51" t="n">
        <v>7500</v>
      </c>
      <c r="E9" s="17">
        <f>IFERROR(ROUND(vaka_tavan*INDEX(tblKurallar[deger_2025],MATCH("TBO-001",tblKurallar[kural_id],0)),2),0)</f>
        <v/>
      </c>
      <c r="F9" s="52">
        <f>IF($A9="","",IFERROR($D9-$E9,0))</f>
        <v/>
      </c>
      <c r="G9" s="53">
        <f>IF($A9="","",IFERROR(IF(ABS($F9)&lt;=tbo_tolerans,"TUTARLI","KIRIK"),"KIRIK"))</f>
        <v/>
      </c>
      <c r="H9" s="24" t="inlineStr">
        <is>
          <t>TBO-003 tavan kontrol</t>
        </is>
      </c>
      <c r="J9" s="20" t="n">
        <v>7500</v>
      </c>
      <c r="K9" s="20" t="n">
        <v>7500</v>
      </c>
    </row>
    <row r="12">
      <c r="A12" s="10" t="inlineStr">
        <is>
          <t>Vaka durum özeti</t>
        </is>
      </c>
      <c r="B12" s="38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17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5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I32"/>
  <sheetViews>
    <sheetView showGridLines="0" workbookViewId="0">
      <selection activeCell="A1" sqref="A1"/>
    </sheetView>
  </sheetViews>
  <sheetFormatPr baseColWidth="8" defaultRowHeight="15"/>
  <cols>
    <col width="97.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KANIT RAPORU — Teşvikli Bordro Optimizasyon</t>
        </is>
      </c>
    </row>
    <row r="3" ht="22" customHeight="1">
      <c r="A3" s="223" t="inlineStr">
        <is>
          <t>KANIT RAPORU — Teşvikli Bordro Optimizasyon</t>
        </is>
      </c>
    </row>
    <row r="4">
      <c r="A4" s="24" t="inlineStr">
        <is>
          <t>Rapor tarihi</t>
        </is>
      </c>
      <c r="B4" s="55">
        <f>raporTarihi</f>
        <v/>
      </c>
    </row>
    <row r="5">
      <c r="A5" s="24" t="inlineStr">
        <is>
          <t>İşveren</t>
        </is>
      </c>
      <c r="B5" s="18">
        <f>GIRDI!B6</f>
        <v/>
      </c>
    </row>
    <row r="6">
      <c r="A6" s="24" t="inlineStr">
        <is>
          <t>Dönem / yıl</t>
        </is>
      </c>
      <c r="B6" s="18">
        <f>CONCATENATE(GIRDI!B7," / ",hesapYili)</f>
        <v/>
      </c>
    </row>
    <row r="8">
      <c r="A8" s="12" t="inlineStr">
        <is>
          <t>Girdi özeti</t>
        </is>
      </c>
    </row>
    <row r="9">
      <c r="A9" s="24" t="inlineStr">
        <is>
          <t>Aylık brüt matrah</t>
        </is>
      </c>
      <c r="B9" s="17">
        <f>GIRDI!B9</f>
        <v/>
      </c>
    </row>
    <row r="10">
      <c r="A10" s="24" t="inlineStr">
        <is>
          <t>Çalışan sayısı</t>
        </is>
      </c>
      <c r="B10" s="29">
        <f>GIRDI!B10</f>
        <v/>
      </c>
    </row>
    <row r="11">
      <c r="A11" s="24" t="inlineStr">
        <is>
          <t>5 puan kapsam</t>
        </is>
      </c>
      <c r="B11" s="17">
        <f>GIRDI!B11</f>
        <v/>
      </c>
    </row>
    <row r="12">
      <c r="A12" s="24" t="inlineStr">
        <is>
          <t>İlave istihdam</t>
        </is>
      </c>
      <c r="B12" s="17">
        <f>GIRDI!B12</f>
        <v/>
      </c>
    </row>
    <row r="13">
      <c r="A13" s="24" t="inlineStr">
        <is>
          <t>Kadın/genç</t>
        </is>
      </c>
      <c r="B13" s="17">
        <f>GIRDI!B13</f>
        <v/>
      </c>
    </row>
    <row r="14">
      <c r="A14" s="24" t="inlineStr">
        <is>
          <t>Engelli</t>
        </is>
      </c>
      <c r="B14" s="17">
        <f>GIRDI!B14</f>
        <v/>
      </c>
    </row>
    <row r="15">
      <c r="A15" s="24" t="inlineStr">
        <is>
          <t>Mevcut teşvik</t>
        </is>
      </c>
      <c r="B15" s="17">
        <f>tbo_mevcutTesvik</f>
        <v/>
      </c>
    </row>
    <row r="17">
      <c r="A17" s="12" t="inlineStr">
        <is>
          <t>Hesap zinciri</t>
        </is>
      </c>
    </row>
    <row r="18">
      <c r="A18" s="24" t="inlineStr">
        <is>
          <t>Potansiyel tasarruf</t>
        </is>
      </c>
      <c r="B18" s="28">
        <f>tbo_potansiyelTasarruf</f>
        <v/>
      </c>
    </row>
    <row r="19">
      <c r="A19" s="24" t="inlineStr">
        <is>
          <t>Kaçırılan</t>
        </is>
      </c>
      <c r="B19" s="28">
        <f>tbo_kacirilan</f>
        <v/>
      </c>
    </row>
    <row r="20">
      <c r="A20" s="10" t="inlineStr">
        <is>
          <t>KARAR</t>
        </is>
      </c>
      <c r="B20" s="56">
        <f>tbo_kararMetni</f>
        <v/>
      </c>
    </row>
    <row r="21">
      <c r="A21" s="24" t="inlineStr">
        <is>
          <t>Gerekçe</t>
        </is>
      </c>
      <c r="B21" s="11">
        <f>tbo_kararGerekce</f>
        <v/>
      </c>
    </row>
    <row r="23">
      <c r="A23" s="10" t="inlineStr">
        <is>
          <t>Madde atıfları</t>
        </is>
      </c>
      <c r="B23" s="11">
        <f>tbo_maddeAtifMetni</f>
        <v/>
      </c>
    </row>
    <row r="25">
      <c r="A25" s="10" t="inlineStr">
        <is>
          <t>Kanıt gövdesi</t>
        </is>
      </c>
      <c r="B25" s="11">
        <f>tbo_kanitRaporu</f>
        <v/>
      </c>
    </row>
    <row r="27">
      <c r="A27" s="24" t="inlineStr">
        <is>
          <t>Parmak izi (SHA-256 kısaltma)</t>
        </is>
      </c>
      <c r="B27" s="19">
        <f>tbo_parmakIzi</f>
        <v/>
      </c>
    </row>
    <row r="29">
      <c r="A29" s="24" t="inlineStr">
        <is>
          <t>Hazırlayan (imza)</t>
        </is>
      </c>
      <c r="B29" s="57" t="inlineStr"/>
    </row>
    <row r="30">
      <c r="A30" s="24" t="inlineStr">
        <is>
          <t>Onaylayan (imza)</t>
        </is>
      </c>
      <c r="B30" s="57" t="inlineStr"/>
    </row>
    <row r="32">
      <c r="A32" s="58" t="inlineStr">
        <is>
          <t>Uyarı: Bu çıktı karar destektir; kesin SGK tahakkuku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1:F21"/>
    <mergeCell ref="B25:F25"/>
    <mergeCell ref="A32:F32"/>
    <mergeCell ref="A1:I1"/>
    <mergeCell ref="B23:F23"/>
    <mergeCell ref="A3:I3"/>
  </mergeCells>
  <conditionalFormatting sqref="B20">
    <cfRule type="expression" priority="1" dxfId="0">
      <formula>ISNUMBER(SEARCH("UYGUN",B20))</formula>
    </cfRule>
    <cfRule type="expression" priority="2" dxfId="1">
      <formula>ISNUMBER(SEARCH("UYGULA",B20))</formula>
    </cfRule>
  </conditionalFormatting>
  <conditionalFormatting sqref="B19">
    <cfRule type="cellIs" priority="3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&amp;LTeşvikli Bordro Optimizasyon · 1.0.0&amp;CExcelArşiv&amp;RSayfa &amp;P / &amp;N</oddFooter>
    <evenHeader/>
    <evenFooter>&amp;LTeşvikli Bordro Optimizasyon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2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KONTROLLER — Teşvikli Bordro Optimizasyon</t>
        </is>
      </c>
    </row>
    <row r="3" ht="22" customHeight="1">
      <c r="A3" s="223" t="inlineStr">
        <is>
          <t>Canlı kontrol paneli</t>
        </is>
      </c>
    </row>
    <row r="5">
      <c r="A5" s="24" t="inlineStr">
        <is>
          <t>Giriş tablosu boş mu?</t>
        </is>
      </c>
      <c r="B5" s="18">
        <f>IF(COUNTA(tblBordro[CalisanNo])=0,"BOŞ","DOLU")</f>
        <v/>
      </c>
    </row>
    <row r="6">
      <c r="A6" s="24" t="inlineStr">
        <is>
          <t>Negatif brüt matrah?</t>
        </is>
      </c>
      <c r="B6" s="18">
        <f>IF(GIRDI!B9&lt;0,"NEGATİF","TEMİZ")</f>
        <v/>
      </c>
    </row>
    <row r="7">
      <c r="A7" s="24" t="inlineStr">
        <is>
          <t>Hesap yılı geçerli mi?</t>
        </is>
      </c>
      <c r="B7" s="18">
        <f>IFERROR(IF(AND(N(hesapYili)&gt;N(tbo_yilTaban),N(hesapYili)&lt;=N(tbo_yilTaban)+3),"TEMİZ","HATALI"),"HATALI")</f>
        <v/>
      </c>
    </row>
    <row r="8">
      <c r="A8" s="24" t="inlineStr">
        <is>
          <t>Matrah sıfır mı?</t>
        </is>
      </c>
      <c r="B8" s="18">
        <f>IF(IFERROR(MOTOR!G21,0)=0,"SIFIR","NORMAL")</f>
        <v/>
      </c>
    </row>
    <row r="9">
      <c r="A9" s="24" t="inlineStr">
        <is>
          <t>Vaka kırık mı?</t>
        </is>
      </c>
      <c r="B9" s="18">
        <f>IFERROR(IF(COUNTIF(tblVakalar[durum],"KIRIK")&gt;0,"KIRIK","TUTARLI"),"KIRIK")</f>
        <v/>
      </c>
    </row>
    <row r="10">
      <c r="A10" s="24" t="inlineStr">
        <is>
          <t>Kaçırılan eşiği aşıyor mu?</t>
        </is>
      </c>
      <c r="B10" s="18">
        <f>IF(IFERROR(tbo_kacirilan,0)&gt;tbo_kacirilanEsik,"AŞIYOR","NORMAL")</f>
        <v/>
      </c>
    </row>
    <row r="11">
      <c r="A11" s="24" t="inlineStr">
        <is>
          <t>Yorum A/B seçili mi?</t>
        </is>
      </c>
      <c r="B11" s="18">
        <f>IF(OR(GIRDI!B16="A",GIRDI!B16="B"),"TEMİZ","EKSİK")</f>
        <v/>
      </c>
    </row>
    <row r="12">
      <c r="A12" s="10" t="inlineStr">
        <is>
          <t>Kalite skoru (modül)</t>
        </is>
      </c>
      <c r="B12" s="59">
        <f>IFERROR(ROUND(IF(OR(B14=0,B14=""),0,B15/B14*100),0),0)</f>
        <v/>
      </c>
    </row>
    <row r="14">
      <c r="A14" s="24" t="inlineStr">
        <is>
          <t>Toplam giriş alanı</t>
        </is>
      </c>
      <c r="B14" s="29">
        <f>IFERROR(tbo_girisBeklenen+COUNTA(GIRDI!B6:B16)*0,0)</f>
        <v/>
      </c>
    </row>
    <row r="15">
      <c r="A15" s="24" t="inlineStr">
        <is>
          <t>Dolu giriş</t>
        </is>
      </c>
      <c r="B15" s="29">
        <f>COUNTA(GIRDI!B6:B16)</f>
        <v/>
      </c>
    </row>
    <row r="17">
      <c r="A17" s="24" t="inlineStr">
        <is>
          <t>Potansiyel kontrol</t>
        </is>
      </c>
      <c r="B17" s="17">
        <f>IFERROR(tbo_potansiyelTasarruf,0)</f>
        <v/>
      </c>
    </row>
    <row r="18">
      <c r="A18" s="24" t="inlineStr">
        <is>
          <t>Kaçırılan kontrol</t>
        </is>
      </c>
      <c r="B18" s="17">
        <f>IFERROR(tbo_kacirilan,0)</f>
        <v/>
      </c>
    </row>
    <row r="19">
      <c r="A19" s="24" t="inlineStr">
        <is>
          <t>Karar kontrol</t>
        </is>
      </c>
      <c r="B19" s="18">
        <f>IFERROR(tbo_kararMetni,"-")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3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L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.5" customWidth="1" min="2" max="2"/>
    <col width="14" customWidth="1" min="3" max="3"/>
    <col width="14" customWidth="1" min="4" max="4"/>
    <col width="14.5" customWidth="1" min="5" max="5"/>
    <col width="14" customWidth="1" min="6" max="6"/>
    <col width="14" customWidth="1" min="7" max="7"/>
    <col width="14.5" customWidth="1" min="8" max="8"/>
    <col width="14" customWidth="1" min="9" max="9"/>
    <col width="14" customWidth="1" min="10" max="10"/>
    <col width="14" customWidth="1" min="11" max="11"/>
    <col width="17.5" customWidth="1" min="12" max="12"/>
    <col width="13" customWidth="1" min="13" max="13"/>
  </cols>
  <sheetData>
    <row r="1" ht="32" customHeight="1">
      <c r="A1" s="204" t="inlineStr">
        <is>
          <t>ORNEK VERI — Teşvikli Bordro Optimizasyon</t>
        </is>
      </c>
    </row>
    <row r="3" ht="22" customHeight="1">
      <c r="A3" s="223" t="inlineStr">
        <is>
          <t>Örnek senaryo kütüphanesi</t>
        </is>
      </c>
    </row>
    <row r="4">
      <c r="A4" s="19" t="inlineStr">
        <is>
          <t>Bu sayfa demo değerleri saklar; GIRDI'ye kopyalanabilir.</t>
        </is>
      </c>
    </row>
    <row r="5" ht="30" customHeight="1">
      <c r="A5" s="13" t="inlineStr">
        <is>
          <t>Senaryo</t>
        </is>
      </c>
      <c r="B5" s="13" t="inlineStr">
        <is>
          <t>Brüt Matrah</t>
        </is>
      </c>
      <c r="C5" s="13" t="inlineStr">
        <is>
          <t>5 Puan</t>
        </is>
      </c>
      <c r="D5" s="13" t="inlineStr">
        <is>
          <t>İlave</t>
        </is>
      </c>
      <c r="E5" s="13" t="inlineStr">
        <is>
          <t>Kadın/Genç</t>
        </is>
      </c>
      <c r="F5" s="13" t="inlineStr">
        <is>
          <t>Engelli</t>
        </is>
      </c>
      <c r="G5" s="13" t="inlineStr">
        <is>
          <t>Mevcut</t>
        </is>
      </c>
      <c r="H5" s="13" t="inlineStr">
        <is>
          <t>Potansiyel</t>
        </is>
      </c>
      <c r="I5" s="13" t="inlineStr">
        <is>
          <t>Kaçırılan</t>
        </is>
      </c>
      <c r="L5" s="39" t="inlineStr">
        <is>
          <t>KacirilanDemo</t>
        </is>
      </c>
    </row>
    <row r="6">
      <c r="A6" s="30" t="inlineStr">
        <is>
          <t>Demo ana</t>
        </is>
      </c>
      <c r="B6" s="33" t="n">
        <v>500000</v>
      </c>
      <c r="C6" s="33" t="n">
        <v>300000</v>
      </c>
      <c r="D6" s="33" t="n">
        <v>100000</v>
      </c>
      <c r="E6" s="33" t="n">
        <v>50000</v>
      </c>
      <c r="F6" s="33" t="n">
        <v>30000</v>
      </c>
      <c r="G6" s="33" t="n">
        <v>10000</v>
      </c>
      <c r="H6" s="31">
        <f>IF($A6="","",IFERROR(ROUND($C6*INDEX(tblKurallar[deger_2025],MATCH("TBO-001",tblKurallar[kural_id],0))+$D6*INDEX(tblKurallar[deger_2025],MATCH("TBO-002",tblKurallar[kural_id],0))+$E6*INDEX(tblKurallar[deger_2025],MATCH("TBO-004",tblKurallar[kural_id],0))+$F6*tbo_isverenOran,2),0))</f>
        <v/>
      </c>
      <c r="I6" s="31">
        <f>IF($A6="","",IFERROR(MAX(0,$H6-$G6),0))</f>
        <v/>
      </c>
      <c r="L6" s="20" t="n">
        <v>28150</v>
      </c>
    </row>
    <row r="7">
      <c r="A7" s="30" t="inlineStr">
        <is>
          <t>Yüksek mevcut</t>
        </is>
      </c>
      <c r="B7" s="33" t="n">
        <v>500000</v>
      </c>
      <c r="C7" s="33" t="n">
        <v>300000</v>
      </c>
      <c r="D7" s="33" t="n">
        <v>100000</v>
      </c>
      <c r="E7" s="33" t="n">
        <v>50000</v>
      </c>
      <c r="F7" s="33" t="n">
        <v>30000</v>
      </c>
      <c r="G7" s="33" t="n">
        <v>40000</v>
      </c>
      <c r="H7" s="31">
        <f>IF($A7="","",IFERROR(ROUND($C7*INDEX(tblKurallar[deger_2025],MATCH("TBO-001",tblKurallar[kural_id],0))+$D7*INDEX(tblKurallar[deger_2025],MATCH("TBO-002",tblKurallar[kural_id],0))+$E7*INDEX(tblKurallar[deger_2025],MATCH("TBO-004",tblKurallar[kural_id],0))+$F7*tbo_isverenOran,2),0))</f>
        <v/>
      </c>
      <c r="I7" s="31">
        <f>IF($A7="","",IFERROR(MAX(0,$H7-$G7),0))</f>
        <v/>
      </c>
      <c r="L7" s="20" t="n">
        <v>0</v>
      </c>
    </row>
    <row r="8">
      <c r="A8" s="30" t="inlineStr">
        <is>
          <t>Düşük matrah</t>
        </is>
      </c>
      <c r="B8" s="33" t="n">
        <v>200000</v>
      </c>
      <c r="C8" s="33" t="n">
        <v>120000</v>
      </c>
      <c r="D8" s="33" t="n">
        <v>40000</v>
      </c>
      <c r="E8" s="33" t="n">
        <v>20000</v>
      </c>
      <c r="F8" s="33" t="n">
        <v>10000</v>
      </c>
      <c r="G8" s="33" t="n">
        <v>5000</v>
      </c>
      <c r="H8" s="31">
        <f>IF($A8="","",IFERROR(ROUND($C8*INDEX(tblKurallar[deger_2025],MATCH("TBO-001",tblKurallar[kural_id],0))+$D8*INDEX(tblKurallar[deger_2025],MATCH("TBO-002",tblKurallar[kural_id],0))+$E8*INDEX(tblKurallar[deger_2025],MATCH("TBO-004",tblKurallar[kural_id],0))+$F8*tbo_isverenOran,2),0))</f>
        <v/>
      </c>
      <c r="I8" s="31">
        <f>IF($A8="","",IFERROR(MAX(0,$H8-$G8),0))</f>
        <v/>
      </c>
      <c r="L8" s="20" t="n">
        <v>15200</v>
      </c>
    </row>
    <row r="9">
      <c r="A9" s="30" t="inlineStr">
        <is>
          <t>Sadece 5 puan</t>
        </is>
      </c>
      <c r="B9" s="33" t="n">
        <v>400000</v>
      </c>
      <c r="C9" s="33" t="n">
        <v>400000</v>
      </c>
      <c r="D9" s="33" t="n">
        <v>0</v>
      </c>
      <c r="E9" s="33" t="n">
        <v>0</v>
      </c>
      <c r="F9" s="33" t="n">
        <v>0</v>
      </c>
      <c r="G9" s="33" t="n">
        <v>5000</v>
      </c>
      <c r="H9" s="31">
        <f>IF($A9="","",IFERROR(ROUND($C9*INDEX(tblKurallar[deger_2025],MATCH("TBO-001",tblKurallar[kural_id],0))+$D9*INDEX(tblKurallar[deger_2025],MATCH("TBO-002",tblKurallar[kural_id],0))+$E9*INDEX(tblKurallar[deger_2025],MATCH("TBO-004",tblKurallar[kural_id],0))+$F9*tbo_isverenOran,2),0))</f>
        <v/>
      </c>
      <c r="I9" s="31">
        <f>IF($A9="","",IFERROR(MAX(0,$H9-$G9),0))</f>
        <v/>
      </c>
      <c r="L9" s="20" t="n">
        <v>15000</v>
      </c>
    </row>
    <row r="10">
      <c r="A10" s="30" t="inlineStr">
        <is>
          <t>Sıfır kaçırılan</t>
        </is>
      </c>
      <c r="B10" s="33" t="n">
        <v>300000</v>
      </c>
      <c r="C10" s="33" t="n">
        <v>200000</v>
      </c>
      <c r="D10" s="33" t="n">
        <v>50000</v>
      </c>
      <c r="E10" s="33" t="n">
        <v>0</v>
      </c>
      <c r="F10" s="33" t="n">
        <v>0</v>
      </c>
      <c r="G10" s="33" t="n">
        <v>17250</v>
      </c>
      <c r="H10" s="31">
        <f>IF($A10="","",IFERROR(ROUND($C10*INDEX(tblKurallar[deger_2025],MATCH("TBO-001",tblKurallar[kural_id],0))+$D10*INDEX(tblKurallar[deger_2025],MATCH("TBO-002",tblKurallar[kural_id],0))+$E10*INDEX(tblKurallar[deger_2025],MATCH("TBO-004",tblKurallar[kural_id],0))+$F10*tbo_isverenOran,2),0))</f>
        <v/>
      </c>
      <c r="I10" s="31">
        <f>IF($A10="","",IFERROR(MAX(0,$H10-$G10),0))</f>
        <v/>
      </c>
      <c r="L10" s="20" t="n">
        <v>0</v>
      </c>
    </row>
    <row r="11">
      <c r="A11" s="30" t="n"/>
      <c r="B11" s="30" t="n"/>
      <c r="C11" s="30" t="n"/>
      <c r="D11" s="30" t="n"/>
      <c r="E11" s="30" t="n"/>
      <c r="F11" s="30" t="n"/>
      <c r="G11" s="30" t="n"/>
      <c r="H11" s="31">
        <f>IF($A11="","",IFERROR(ROUND($C11*INDEX(tblKurallar[deger_2025],MATCH("TBO-001",tblKurallar[kural_id],0))+$D11*INDEX(tblKurallar[deger_2025],MATCH("TBO-002",tblKurallar[kural_id],0))+$E11*INDEX(tblKurallar[deger_2025],MATCH("TBO-004",tblKurallar[kural_id],0))+$F11*tbo_isverenOran,2),0))</f>
        <v/>
      </c>
      <c r="I11" s="31">
        <f>IF($A11="","",IFERROR(MAX(0,$H11-$G11),0))</f>
        <v/>
      </c>
    </row>
    <row r="12">
      <c r="A12" s="30" t="n"/>
      <c r="B12" s="30" t="n"/>
      <c r="C12" s="30" t="n"/>
      <c r="D12" s="30" t="n"/>
      <c r="E12" s="30" t="n"/>
      <c r="F12" s="30" t="n"/>
      <c r="G12" s="30" t="n"/>
      <c r="H12" s="31">
        <f>IF($A12="","",IFERROR(ROUND($C12*INDEX(tblKurallar[deger_2025],MATCH("TBO-001",tblKurallar[kural_id],0))+$D12*INDEX(tblKurallar[deger_2025],MATCH("TBO-002",tblKurallar[kural_id],0))+$E12*INDEX(tblKurallar[deger_2025],MATCH("TBO-004",tblKurallar[kural_id],0))+$F12*tbo_isverenOran,2),0))</f>
        <v/>
      </c>
      <c r="I12" s="31">
        <f>IF($A12="","",IFERROR(MAX(0,$H12-$G12),0))</f>
        <v/>
      </c>
    </row>
    <row r="13">
      <c r="A13" s="30" t="n"/>
      <c r="B13" s="30" t="n"/>
      <c r="C13" s="30" t="n"/>
      <c r="D13" s="30" t="n"/>
      <c r="E13" s="30" t="n"/>
      <c r="F13" s="30" t="n"/>
      <c r="G13" s="30" t="n"/>
      <c r="H13" s="31">
        <f>IF($A13="","",IFERROR(ROUND($C13*INDEX(tblKurallar[deger_2025],MATCH("TBO-001",tblKurallar[kural_id],0))+$D13*INDEX(tblKurallar[deger_2025],MATCH("TBO-002",tblKurallar[kural_id],0))+$E13*INDEX(tblKurallar[deger_2025],MATCH("TBO-004",tblKurallar[kural_id],0))+$F13*tbo_isverenOran,2),0))</f>
        <v/>
      </c>
      <c r="I13" s="31">
        <f>IF($A13="","",IFERROR(MAX(0,$H13-$G13),0))</f>
        <v/>
      </c>
    </row>
    <row r="14">
      <c r="A14" s="30" t="n"/>
      <c r="B14" s="30" t="n"/>
      <c r="C14" s="30" t="n"/>
      <c r="D14" s="30" t="n"/>
      <c r="E14" s="30" t="n"/>
      <c r="F14" s="30" t="n"/>
      <c r="G14" s="30" t="n"/>
      <c r="H14" s="31">
        <f>IF($A14="","",IFERROR(ROUND($C14*INDEX(tblKurallar[deger_2025],MATCH("TBO-001",tblKurallar[kural_id],0))+$D14*INDEX(tblKurallar[deger_2025],MATCH("TBO-002",tblKurallar[kural_id],0))+$E14*INDEX(tblKurallar[deger_2025],MATCH("TBO-004",tblKurallar[kural_id],0))+$F14*tbo_isverenOran,2),0))</f>
        <v/>
      </c>
      <c r="I14" s="31">
        <f>IF($A14="","",IFERROR(MAX(0,$H14-$G14),0))</f>
        <v/>
      </c>
    </row>
    <row r="15">
      <c r="A15" s="30" t="n"/>
      <c r="B15" s="30" t="n"/>
      <c r="C15" s="30" t="n"/>
      <c r="D15" s="30" t="n"/>
      <c r="E15" s="30" t="n"/>
      <c r="F15" s="30" t="n"/>
      <c r="G15" s="30" t="n"/>
      <c r="H15" s="31">
        <f>IF($A15="","",IFERROR(ROUND($C15*INDEX(tblKurallar[deger_2025],MATCH("TBO-001",tblKurallar[kural_id],0))+$D15*INDEX(tblKurallar[deger_2025],MATCH("TBO-002",tblKurallar[kural_id],0))+$E15*INDEX(tblKurallar[deger_2025],MATCH("TBO-004",tblKurallar[kural_id],0))+$F15*tbo_isverenOran,2),0))</f>
        <v/>
      </c>
      <c r="I15" s="31">
        <f>IF($A15="","",IFERROR(MAX(0,$H15-$G15),0))</f>
        <v/>
      </c>
    </row>
    <row r="16">
      <c r="A16" s="30" t="n"/>
      <c r="B16" s="30" t="n"/>
      <c r="C16" s="30" t="n"/>
      <c r="D16" s="30" t="n"/>
      <c r="E16" s="30" t="n"/>
      <c r="F16" s="30" t="n"/>
      <c r="G16" s="30" t="n"/>
      <c r="H16" s="31">
        <f>IF($A16="","",IFERROR(ROUND($C16*INDEX(tblKurallar[deger_2025],MATCH("TBO-001",tblKurallar[kural_id],0))+$D16*INDEX(tblKurallar[deger_2025],MATCH("TBO-002",tblKurallar[kural_id],0))+$E16*INDEX(tblKurallar[deger_2025],MATCH("TBO-004",tblKurallar[kural_id],0))+$F16*tbo_isverenOran,2),0))</f>
        <v/>
      </c>
      <c r="I16" s="31">
        <f>IF($A16="","",IFERROR(MAX(0,$H16-$G16),0))</f>
        <v/>
      </c>
    </row>
    <row r="17">
      <c r="A17" s="30" t="n"/>
      <c r="B17" s="30" t="n"/>
      <c r="C17" s="30" t="n"/>
      <c r="D17" s="30" t="n"/>
      <c r="E17" s="30" t="n"/>
      <c r="F17" s="30" t="n"/>
      <c r="G17" s="30" t="n"/>
      <c r="H17" s="31">
        <f>IF($A17="","",IFERROR(ROUND($C17*INDEX(tblKurallar[deger_2025],MATCH("TBO-001",tblKurallar[kural_id],0))+$D17*INDEX(tblKurallar[deger_2025],MATCH("TBO-002",tblKurallar[kural_id],0))+$E17*INDEX(tblKurallar[deger_2025],MATCH("TBO-004",tblKurallar[kural_id],0))+$F17*tbo_isverenOran,2),0))</f>
        <v/>
      </c>
      <c r="I17" s="31">
        <f>IF($A17="","",IFERROR(MAX(0,$H17-$G17),0))</f>
        <v/>
      </c>
    </row>
    <row r="18">
      <c r="A18" s="30" t="n"/>
      <c r="B18" s="30" t="n"/>
      <c r="C18" s="30" t="n"/>
      <c r="D18" s="30" t="n"/>
      <c r="E18" s="30" t="n"/>
      <c r="F18" s="30" t="n"/>
      <c r="G18" s="30" t="n"/>
      <c r="H18" s="31">
        <f>IF($A18="","",IFERROR(ROUND($C18*INDEX(tblKurallar[deger_2025],MATCH("TBO-001",tblKurallar[kural_id],0))+$D18*INDEX(tblKurallar[deger_2025],MATCH("TBO-002",tblKurallar[kural_id],0))+$E18*INDEX(tblKurallar[deger_2025],MATCH("TBO-004",tblKurallar[kural_id],0))+$F18*tbo_isverenOran,2),0))</f>
        <v/>
      </c>
      <c r="I18" s="31">
        <f>IF($A18="","",IFERROR(MAX(0,$H18-$G18),0))</f>
        <v/>
      </c>
    </row>
    <row r="19">
      <c r="A19" s="30" t="n"/>
      <c r="B19" s="30" t="n"/>
      <c r="C19" s="30" t="n"/>
      <c r="D19" s="30" t="n"/>
      <c r="E19" s="30" t="n"/>
      <c r="F19" s="30" t="n"/>
      <c r="G19" s="30" t="n"/>
      <c r="H19" s="31">
        <f>IF($A19="","",IFERROR(ROUND($C19*INDEX(tblKurallar[deger_2025],MATCH("TBO-001",tblKurallar[kural_id],0))+$D19*INDEX(tblKurallar[deger_2025],MATCH("TBO-002",tblKurallar[kural_id],0))+$E19*INDEX(tblKurallar[deger_2025],MATCH("TBO-004",tblKurallar[kural_id],0))+$F19*tbo_isverenOran,2),0))</f>
        <v/>
      </c>
      <c r="I19" s="31">
        <f>IF($A19="","",IFERROR(MAX(0,$H19-$G19),0))</f>
        <v/>
      </c>
    </row>
    <row r="20">
      <c r="A20" s="30" t="n"/>
      <c r="B20" s="30" t="n"/>
      <c r="C20" s="30" t="n"/>
      <c r="D20" s="30" t="n"/>
      <c r="E20" s="30" t="n"/>
      <c r="F20" s="30" t="n"/>
      <c r="G20" s="30" t="n"/>
      <c r="H20" s="31">
        <f>IF($A20="","",IFERROR(ROUND($C20*INDEX(tblKurallar[deger_2025],MATCH("TBO-001",tblKurallar[kural_id],0))+$D20*INDEX(tblKurallar[deger_2025],MATCH("TBO-002",tblKurallar[kural_id],0))+$E20*INDEX(tblKurallar[deger_2025],MATCH("TBO-004",tblKurallar[kural_id],0))+$F20*tbo_isverenOran,2),0))</f>
        <v/>
      </c>
      <c r="I20" s="31">
        <f>IF($A20="","",IFERROR(MAX(0,$H20-$G20),0))</f>
        <v/>
      </c>
    </row>
    <row r="21">
      <c r="A21" s="30" t="n"/>
      <c r="B21" s="30" t="n"/>
      <c r="C21" s="30" t="n"/>
      <c r="D21" s="30" t="n"/>
      <c r="E21" s="30" t="n"/>
      <c r="F21" s="30" t="n"/>
      <c r="G21" s="30" t="n"/>
      <c r="H21" s="31">
        <f>IF($A21="","",IFERROR(ROUND($C21*INDEX(tblKurallar[deger_2025],MATCH("TBO-001",tblKurallar[kural_id],0))+$D21*INDEX(tblKurallar[deger_2025],MATCH("TBO-002",tblKurallar[kural_id],0))+$E21*INDEX(tblKurallar[deger_2025],MATCH("TBO-004",tblKurallar[kural_id],0))+$F21*tbo_isverenOran,2),0))</f>
        <v/>
      </c>
      <c r="I21" s="31">
        <f>IF($A21="","",IFERROR(MAX(0,$H21-$G21),0))</f>
        <v/>
      </c>
    </row>
    <row r="22">
      <c r="A22" s="30" t="n"/>
      <c r="B22" s="30" t="n"/>
      <c r="C22" s="30" t="n"/>
      <c r="D22" s="30" t="n"/>
      <c r="E22" s="30" t="n"/>
      <c r="F22" s="30" t="n"/>
      <c r="G22" s="30" t="n"/>
      <c r="H22" s="31">
        <f>IF($A22="","",IFERROR(ROUND($C22*INDEX(tblKurallar[deger_2025],MATCH("TBO-001",tblKurallar[kural_id],0))+$D22*INDEX(tblKurallar[deger_2025],MATCH("TBO-002",tblKurallar[kural_id],0))+$E22*INDEX(tblKurallar[deger_2025],MATCH("TBO-004",tblKurallar[kural_id],0))+$F22*tbo_isverenOran,2),0))</f>
        <v/>
      </c>
      <c r="I22" s="31">
        <f>IF($A22="","",IFERROR(MAX(0,$H22-$G22),0))</f>
        <v/>
      </c>
    </row>
    <row r="23">
      <c r="A23" s="30" t="n"/>
      <c r="B23" s="30" t="n"/>
      <c r="C23" s="30" t="n"/>
      <c r="D23" s="30" t="n"/>
      <c r="E23" s="30" t="n"/>
      <c r="F23" s="30" t="n"/>
      <c r="G23" s="30" t="n"/>
      <c r="H23" s="31">
        <f>IF($A23="","",IFERROR(ROUND($C23*INDEX(tblKurallar[deger_2025],MATCH("TBO-001",tblKurallar[kural_id],0))+$D23*INDEX(tblKurallar[deger_2025],MATCH("TBO-002",tblKurallar[kural_id],0))+$E23*INDEX(tblKurallar[deger_2025],MATCH("TBO-004",tblKurallar[kural_id],0))+$F23*tbo_isverenOran,2),0))</f>
        <v/>
      </c>
      <c r="I23" s="31">
        <f>IF($A23="","",IFERROR(MAX(0,$H23-$G23),0))</f>
        <v/>
      </c>
    </row>
    <row r="24">
      <c r="A24" s="30" t="n"/>
      <c r="B24" s="30" t="n"/>
      <c r="C24" s="30" t="n"/>
      <c r="D24" s="30" t="n"/>
      <c r="E24" s="30" t="n"/>
      <c r="F24" s="30" t="n"/>
      <c r="G24" s="30" t="n"/>
      <c r="H24" s="31">
        <f>IF($A24="","",IFERROR(ROUND($C24*INDEX(tblKurallar[deger_2025],MATCH("TBO-001",tblKurallar[kural_id],0))+$D24*INDEX(tblKurallar[deger_2025],MATCH("TBO-002",tblKurallar[kural_id],0))+$E24*INDEX(tblKurallar[deger_2025],MATCH("TBO-004",tblKurallar[kural_id],0))+$F24*tbo_isverenOran,2),0))</f>
        <v/>
      </c>
      <c r="I24" s="31">
        <f>IF($A24="","",IFERROR(MAX(0,$H24-$G24),0))</f>
        <v/>
      </c>
    </row>
    <row r="25">
      <c r="A25" s="30" t="n"/>
      <c r="B25" s="30" t="n"/>
      <c r="C25" s="30" t="n"/>
      <c r="D25" s="30" t="n"/>
      <c r="E25" s="30" t="n"/>
      <c r="F25" s="30" t="n"/>
      <c r="G25" s="30" t="n"/>
      <c r="H25" s="31">
        <f>IF($A25="","",IFERROR(ROUND($C25*INDEX(tblKurallar[deger_2025],MATCH("TBO-001",tblKurallar[kural_id],0))+$D25*INDEX(tblKurallar[deger_2025],MATCH("TBO-002",tblKurallar[kural_id],0))+$E25*INDEX(tblKurallar[deger_2025],MATCH("TBO-004",tblKurallar[kural_id],0))+$F25*tbo_isverenOran,2),0))</f>
        <v/>
      </c>
      <c r="I25" s="31">
        <f>IF($A25="","",IFERROR(MAX(0,$H25-$G25),0))</f>
        <v/>
      </c>
    </row>
    <row r="26">
      <c r="A26" s="30" t="n"/>
      <c r="B26" s="30" t="n"/>
      <c r="C26" s="30" t="n"/>
      <c r="D26" s="30" t="n"/>
      <c r="E26" s="30" t="n"/>
      <c r="F26" s="30" t="n"/>
      <c r="G26" s="30" t="n"/>
      <c r="H26" s="31">
        <f>IF($A26="","",IFERROR(ROUND($C26*INDEX(tblKurallar[deger_2025],MATCH("TBO-001",tblKurallar[kural_id],0))+$D26*INDEX(tblKurallar[deger_2025],MATCH("TBO-002",tblKurallar[kural_id],0))+$E26*INDEX(tblKurallar[deger_2025],MATCH("TBO-004",tblKurallar[kural_id],0))+$F26*tbo_isverenOran,2),0))</f>
        <v/>
      </c>
      <c r="I26" s="31">
        <f>IF($A26="","",IFERROR(MAX(0,$H26-$G26),0))</f>
        <v/>
      </c>
    </row>
    <row r="27">
      <c r="A27" s="30" t="n"/>
      <c r="B27" s="30" t="n"/>
      <c r="C27" s="30" t="n"/>
      <c r="D27" s="30" t="n"/>
      <c r="E27" s="30" t="n"/>
      <c r="F27" s="30" t="n"/>
      <c r="G27" s="30" t="n"/>
      <c r="H27" s="31">
        <f>IF($A27="","",IFERROR(ROUND($C27*INDEX(tblKurallar[deger_2025],MATCH("TBO-001",tblKurallar[kural_id],0))+$D27*INDEX(tblKurallar[deger_2025],MATCH("TBO-002",tblKurallar[kural_id],0))+$E27*INDEX(tblKurallar[deger_2025],MATCH("TBO-004",tblKurallar[kural_id],0))+$F27*tbo_isverenOran,2),0))</f>
        <v/>
      </c>
      <c r="I27" s="31">
        <f>IF($A27="","",IFERROR(MAX(0,$H27-$G27),0))</f>
        <v/>
      </c>
    </row>
    <row r="28">
      <c r="A28" s="30" t="n"/>
      <c r="B28" s="30" t="n"/>
      <c r="C28" s="30" t="n"/>
      <c r="D28" s="30" t="n"/>
      <c r="E28" s="30" t="n"/>
      <c r="F28" s="30" t="n"/>
      <c r="G28" s="30" t="n"/>
      <c r="H28" s="31">
        <f>IF($A28="","",IFERROR(ROUND($C28*INDEX(tblKurallar[deger_2025],MATCH("TBO-001",tblKurallar[kural_id],0))+$D28*INDEX(tblKurallar[deger_2025],MATCH("TBO-002",tblKurallar[kural_id],0))+$E28*INDEX(tblKurallar[deger_2025],MATCH("TBO-004",tblKurallar[kural_id],0))+$F28*tbo_isverenOran,2),0))</f>
        <v/>
      </c>
      <c r="I28" s="31">
        <f>IF($A28="","",IFERROR(MAX(0,$H28-$G28),0))</f>
        <v/>
      </c>
    </row>
    <row r="29">
      <c r="A29" s="30" t="n"/>
      <c r="B29" s="30" t="n"/>
      <c r="C29" s="30" t="n"/>
      <c r="D29" s="30" t="n"/>
      <c r="E29" s="30" t="n"/>
      <c r="F29" s="30" t="n"/>
      <c r="G29" s="30" t="n"/>
      <c r="H29" s="31">
        <f>IF($A29="","",IFERROR(ROUND($C29*INDEX(tblKurallar[deger_2025],MATCH("TBO-001",tblKurallar[kural_id],0))+$D29*INDEX(tblKurallar[deger_2025],MATCH("TBO-002",tblKurallar[kural_id],0))+$E29*INDEX(tblKurallar[deger_2025],MATCH("TBO-004",tblKurallar[kural_id],0))+$F29*tbo_isverenOran,2),0))</f>
        <v/>
      </c>
      <c r="I29" s="31">
        <f>IF($A29="","",IFERROR(MAX(0,$H29-$G29),0))</f>
        <v/>
      </c>
    </row>
    <row r="30">
      <c r="A30" s="30" t="n"/>
      <c r="B30" s="30" t="n"/>
      <c r="C30" s="30" t="n"/>
      <c r="D30" s="30" t="n"/>
      <c r="E30" s="30" t="n"/>
      <c r="F30" s="30" t="n"/>
      <c r="G30" s="30" t="n"/>
      <c r="H30" s="31">
        <f>IF($A30="","",IFERROR(ROUND($C30*INDEX(tblKurallar[deger_2025],MATCH("TBO-001",tblKurallar[kural_id],0))+$D30*INDEX(tblKurallar[deger_2025],MATCH("TBO-002",tblKurallar[kural_id],0))+$E30*INDEX(tblKurallar[deger_2025],MATCH("TBO-004",tblKurallar[kural_id],0))+$F30*tbo_isverenOran,2),0))</f>
        <v/>
      </c>
      <c r="I30" s="31">
        <f>IF($A30="","",IFERROR(MAX(0,$H30-$G30),0))</f>
        <v/>
      </c>
    </row>
    <row r="31">
      <c r="A31" s="30" t="n"/>
      <c r="B31" s="30" t="n"/>
      <c r="C31" s="30" t="n"/>
      <c r="D31" s="30" t="n"/>
      <c r="E31" s="30" t="n"/>
      <c r="F31" s="30" t="n"/>
      <c r="G31" s="30" t="n"/>
      <c r="H31" s="31">
        <f>IF($A31="","",IFERROR(ROUND($C31*INDEX(tblKurallar[deger_2025],MATCH("TBO-001",tblKurallar[kural_id],0))+$D31*INDEX(tblKurallar[deger_2025],MATCH("TBO-002",tblKurallar[kural_id],0))+$E31*INDEX(tblKurallar[deger_2025],MATCH("TBO-004",tblKurallar[kural_id],0))+$F31*tbo_isverenOran,2),0))</f>
        <v/>
      </c>
      <c r="I31" s="31">
        <f>IF($A31="","",IFERROR(MAX(0,$H31-$G31),0))</f>
        <v/>
      </c>
    </row>
    <row r="32">
      <c r="A32" s="30" t="n"/>
      <c r="B32" s="30" t="n"/>
      <c r="C32" s="30" t="n"/>
      <c r="D32" s="30" t="n"/>
      <c r="E32" s="30" t="n"/>
      <c r="F32" s="30" t="n"/>
      <c r="G32" s="30" t="n"/>
      <c r="H32" s="31">
        <f>IF($A32="","",IFERROR(ROUND($C32*INDEX(tblKurallar[deger_2025],MATCH("TBO-001",tblKurallar[kural_id],0))+$D32*INDEX(tblKurallar[deger_2025],MATCH("TBO-002",tblKurallar[kural_id],0))+$E32*INDEX(tblKurallar[deger_2025],MATCH("TBO-004",tblKurallar[kural_id],0))+$F32*tbo_isverenOran,2),0))</f>
        <v/>
      </c>
      <c r="I32" s="31">
        <f>IF($A32="","",IFERROR(MAX(0,$H32-$G32),0))</f>
        <v/>
      </c>
    </row>
    <row r="33">
      <c r="A33" s="30" t="n"/>
      <c r="B33" s="30" t="n"/>
      <c r="C33" s="30" t="n"/>
      <c r="D33" s="30" t="n"/>
      <c r="E33" s="30" t="n"/>
      <c r="F33" s="30" t="n"/>
      <c r="G33" s="30" t="n"/>
      <c r="H33" s="31">
        <f>IF($A33="","",IFERROR(ROUND($C33*INDEX(tblKurallar[deger_2025],MATCH("TBO-001",tblKurallar[kural_id],0))+$D33*INDEX(tblKurallar[deger_2025],MATCH("TBO-002",tblKurallar[kural_id],0))+$E33*INDEX(tblKurallar[deger_2025],MATCH("TBO-004",tblKurallar[kural_id],0))+$F33*tbo_isverenOran,2),0))</f>
        <v/>
      </c>
      <c r="I33" s="31">
        <f>IF($A33="","",IFERROR(MAX(0,$H33-$G33),0))</f>
        <v/>
      </c>
    </row>
    <row r="34">
      <c r="A34" s="30" t="n"/>
      <c r="B34" s="30" t="n"/>
      <c r="C34" s="30" t="n"/>
      <c r="D34" s="30" t="n"/>
      <c r="E34" s="30" t="n"/>
      <c r="F34" s="30" t="n"/>
      <c r="G34" s="30" t="n"/>
      <c r="H34" s="31">
        <f>IF($A34="","",IFERROR(ROUND($C34*INDEX(tblKurallar[deger_2025],MATCH("TBO-001",tblKurallar[kural_id],0))+$D34*INDEX(tblKurallar[deger_2025],MATCH("TBO-002",tblKurallar[kural_id],0))+$E34*INDEX(tblKurallar[deger_2025],MATCH("TBO-004",tblKurallar[kural_id],0))+$F34*tbo_isverenOran,2),0))</f>
        <v/>
      </c>
      <c r="I34" s="31">
        <f>IF($A34="","",IFERROR(MAX(0,$H34-$G34),0))</f>
        <v/>
      </c>
    </row>
    <row r="35">
      <c r="A35" s="30" t="n"/>
      <c r="B35" s="30" t="n"/>
      <c r="C35" s="30" t="n"/>
      <c r="D35" s="30" t="n"/>
      <c r="E35" s="30" t="n"/>
      <c r="F35" s="30" t="n"/>
      <c r="G35" s="30" t="n"/>
      <c r="H35" s="31">
        <f>IF($A35="","",IFERROR(ROUND($C35*INDEX(tblKurallar[deger_2025],MATCH("TBO-001",tblKurallar[kural_id],0))+$D35*INDEX(tblKurallar[deger_2025],MATCH("TBO-002",tblKurallar[kural_id],0))+$E35*INDEX(tblKurallar[deger_2025],MATCH("TBO-004",tblKurallar[kural_id],0))+$F35*tbo_isverenOran,2),0))</f>
        <v/>
      </c>
      <c r="I35" s="31">
        <f>IF($A35="","",IFERROR(MAX(0,$H35-$G35),0))</f>
        <v/>
      </c>
    </row>
    <row r="36">
      <c r="A36" s="30" t="n"/>
      <c r="B36" s="30" t="n"/>
      <c r="C36" s="30" t="n"/>
      <c r="D36" s="30" t="n"/>
      <c r="E36" s="30" t="n"/>
      <c r="F36" s="30" t="n"/>
      <c r="G36" s="30" t="n"/>
      <c r="H36" s="31">
        <f>IF($A36="","",IFERROR(ROUND($C36*INDEX(tblKurallar[deger_2025],MATCH("TBO-001",tblKurallar[kural_id],0))+$D36*INDEX(tblKurallar[deger_2025],MATCH("TBO-002",tblKurallar[kural_id],0))+$E36*INDEX(tblKurallar[deger_2025],MATCH("TBO-004",tblKurallar[kural_id],0))+$F36*tbo_isverenOran,2),0))</f>
        <v/>
      </c>
      <c r="I36" s="31">
        <f>IF($A36="","",IFERROR(MAX(0,$H36-$G36),0))</f>
        <v/>
      </c>
    </row>
    <row r="37">
      <c r="A37" s="30" t="n"/>
      <c r="B37" s="30" t="n"/>
      <c r="C37" s="30" t="n"/>
      <c r="D37" s="30" t="n"/>
      <c r="E37" s="30" t="n"/>
      <c r="F37" s="30" t="n"/>
      <c r="G37" s="30" t="n"/>
      <c r="H37" s="31">
        <f>IF($A37="","",IFERROR(ROUND($C37*INDEX(tblKurallar[deger_2025],MATCH("TBO-001",tblKurallar[kural_id],0))+$D37*INDEX(tblKurallar[deger_2025],MATCH("TBO-002",tblKurallar[kural_id],0))+$E37*INDEX(tblKurallar[deger_2025],MATCH("TBO-004",tblKurallar[kural_id],0))+$F37*tbo_isverenOran,2),0))</f>
        <v/>
      </c>
      <c r="I37" s="31">
        <f>IF($A37="","",IFERROR(MAX(0,$H37-$G37),0))</f>
        <v/>
      </c>
    </row>
    <row r="38">
      <c r="A38" s="30" t="n"/>
      <c r="B38" s="30" t="n"/>
      <c r="C38" s="30" t="n"/>
      <c r="D38" s="30" t="n"/>
      <c r="E38" s="30" t="n"/>
      <c r="F38" s="30" t="n"/>
      <c r="G38" s="30" t="n"/>
      <c r="H38" s="31">
        <f>IF($A38="","",IFERROR(ROUND($C38*INDEX(tblKurallar[deger_2025],MATCH("TBO-001",tblKurallar[kural_id],0))+$D38*INDEX(tblKurallar[deger_2025],MATCH("TBO-002",tblKurallar[kural_id],0))+$E38*INDEX(tblKurallar[deger_2025],MATCH("TBO-004",tblKurallar[kural_id],0))+$F38*tbo_isverenOran,2),0))</f>
        <v/>
      </c>
      <c r="I38" s="31">
        <f>IF($A38="","",IFERROR(MAX(0,$H38-$G38),0))</f>
        <v/>
      </c>
    </row>
    <row r="39">
      <c r="A39" s="30" t="n"/>
      <c r="B39" s="30" t="n"/>
      <c r="C39" s="30" t="n"/>
      <c r="D39" s="30" t="n"/>
      <c r="E39" s="30" t="n"/>
      <c r="F39" s="30" t="n"/>
      <c r="G39" s="30" t="n"/>
      <c r="H39" s="31">
        <f>IF($A39="","",IFERROR(ROUND($C39*INDEX(tblKurallar[deger_2025],MATCH("TBO-001",tblKurallar[kural_id],0))+$D39*INDEX(tblKurallar[deger_2025],MATCH("TBO-002",tblKurallar[kural_id],0))+$E39*INDEX(tblKurallar[deger_2025],MATCH("TBO-004",tblKurallar[kural_id],0))+$F39*tbo_isverenOran,2),0))</f>
        <v/>
      </c>
      <c r="I39" s="31">
        <f>IF($A39="","",IFERROR(MAX(0,$H39-$G39),0))</f>
        <v/>
      </c>
    </row>
    <row r="40">
      <c r="A40" s="30" t="n"/>
      <c r="B40" s="30" t="n"/>
      <c r="C40" s="30" t="n"/>
      <c r="D40" s="30" t="n"/>
      <c r="E40" s="30" t="n"/>
      <c r="F40" s="30" t="n"/>
      <c r="G40" s="30" t="n"/>
      <c r="H40" s="31">
        <f>IF($A40="","",IFERROR(ROUND($C40*INDEX(tblKurallar[deger_2025],MATCH("TBO-001",tblKurallar[kural_id],0))+$D40*INDEX(tblKurallar[deger_2025],MATCH("TBO-002",tblKurallar[kural_id],0))+$E40*INDEX(tblKurallar[deger_2025],MATCH("TBO-004",tblKurallar[kural_id],0))+$F40*tbo_isverenOran,2),0))</f>
        <v/>
      </c>
      <c r="I40" s="31">
        <f>IF($A40="","",IFERROR(MAX(0,$H40-$G40),0))</f>
        <v/>
      </c>
    </row>
    <row r="41">
      <c r="A41" s="30" t="n"/>
      <c r="B41" s="30" t="n"/>
      <c r="C41" s="30" t="n"/>
      <c r="D41" s="30" t="n"/>
      <c r="E41" s="30" t="n"/>
      <c r="F41" s="30" t="n"/>
      <c r="G41" s="30" t="n"/>
      <c r="H41" s="31">
        <f>IF($A41="","",IFERROR(ROUND($C41*INDEX(tblKurallar[deger_2025],MATCH("TBO-001",tblKurallar[kural_id],0))+$D41*INDEX(tblKurallar[deger_2025],MATCH("TBO-002",tblKurallar[kural_id],0))+$E41*INDEX(tblKurallar[deger_2025],MATCH("TBO-004",tblKurallar[kural_id],0))+$F41*tbo_isverenOran,2),0))</f>
        <v/>
      </c>
      <c r="I41" s="31">
        <f>IF($A41="","",IFERROR(MAX(0,$H41-$G41),0))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1">
        <f>IF($A42="","",IFERROR(ROUND($C42*INDEX(tblKurallar[deger_2025],MATCH("TBO-001",tblKurallar[kural_id],0))+$D42*INDEX(tblKurallar[deger_2025],MATCH("TBO-002",tblKurallar[kural_id],0))+$E42*INDEX(tblKurallar[deger_2025],MATCH("TBO-004",tblKurallar[kural_id],0))+$F42*tbo_isverenOran,2),0))</f>
        <v/>
      </c>
      <c r="I42" s="31">
        <f>IF($A42="","",IFERROR(MAX(0,$H42-$G42),0))</f>
        <v/>
      </c>
    </row>
    <row r="43">
      <c r="A43" s="30" t="n"/>
      <c r="B43" s="30" t="n"/>
      <c r="C43" s="30" t="n"/>
      <c r="D43" s="30" t="n"/>
      <c r="E43" s="30" t="n"/>
      <c r="F43" s="30" t="n"/>
      <c r="G43" s="30" t="n"/>
      <c r="H43" s="31">
        <f>IF($A43="","",IFERROR(ROUND($C43*INDEX(tblKurallar[deger_2025],MATCH("TBO-001",tblKurallar[kural_id],0))+$D43*INDEX(tblKurallar[deger_2025],MATCH("TBO-002",tblKurallar[kural_id],0))+$E43*INDEX(tblKurallar[deger_2025],MATCH("TBO-004",tblKurallar[kural_id],0))+$F43*tbo_isverenOran,2),0))</f>
        <v/>
      </c>
      <c r="I43" s="31">
        <f>IF($A43="","",IFERROR(MAX(0,$H43-$G43),0))</f>
        <v/>
      </c>
    </row>
    <row r="44">
      <c r="A44" s="30" t="n"/>
      <c r="B44" s="30" t="n"/>
      <c r="C44" s="30" t="n"/>
      <c r="D44" s="30" t="n"/>
      <c r="E44" s="30" t="n"/>
      <c r="F44" s="30" t="n"/>
      <c r="G44" s="30" t="n"/>
      <c r="H44" s="31">
        <f>IF($A44="","",IFERROR(ROUND($C44*INDEX(tblKurallar[deger_2025],MATCH("TBO-001",tblKurallar[kural_id],0))+$D44*INDEX(tblKurallar[deger_2025],MATCH("TBO-002",tblKurallar[kural_id],0))+$E44*INDEX(tblKurallar[deger_2025],MATCH("TBO-004",tblKurallar[kural_id],0))+$F44*tbo_isverenOran,2),0))</f>
        <v/>
      </c>
      <c r="I44" s="31">
        <f>IF($A44="","",IFERROR(MAX(0,$H44-$G44),0))</f>
        <v/>
      </c>
    </row>
    <row r="45">
      <c r="A45" s="30" t="n"/>
      <c r="B45" s="30" t="n"/>
      <c r="C45" s="30" t="n"/>
      <c r="D45" s="30" t="n"/>
      <c r="E45" s="30" t="n"/>
      <c r="F45" s="30" t="n"/>
      <c r="G45" s="30" t="n"/>
      <c r="H45" s="31">
        <f>IF($A45="","",IFERROR(ROUND($C45*INDEX(tblKurallar[deger_2025],MATCH("TBO-001",tblKurallar[kural_id],0))+$D45*INDEX(tblKurallar[deger_2025],MATCH("TBO-002",tblKurallar[kural_id],0))+$E45*INDEX(tblKurallar[deger_2025],MATCH("TBO-004",tblKurallar[kural_id],0))+$F45*tbo_isverenOran,2),0))</f>
        <v/>
      </c>
      <c r="I45" s="31">
        <f>IF($A45="","",IFERROR(MAX(0,$H45-$G45),0))</f>
        <v/>
      </c>
    </row>
    <row r="46">
      <c r="A46" s="30" t="n"/>
      <c r="B46" s="30" t="n"/>
      <c r="C46" s="30" t="n"/>
      <c r="D46" s="30" t="n"/>
      <c r="E46" s="30" t="n"/>
      <c r="F46" s="30" t="n"/>
      <c r="G46" s="30" t="n"/>
      <c r="H46" s="31">
        <f>IF($A46="","",IFERROR(ROUND($C46*INDEX(tblKurallar[deger_2025],MATCH("TBO-001",tblKurallar[kural_id],0))+$D46*INDEX(tblKurallar[deger_2025],MATCH("TBO-002",tblKurallar[kural_id],0))+$E46*INDEX(tblKurallar[deger_2025],MATCH("TBO-004",tblKurallar[kural_id],0))+$F46*tbo_isverenOran,2),0))</f>
        <v/>
      </c>
      <c r="I46" s="31">
        <f>IF($A46="","",IFERROR(MAX(0,$H46-$G46),0))</f>
        <v/>
      </c>
    </row>
    <row r="47">
      <c r="A47" s="30" t="n"/>
      <c r="B47" s="30" t="n"/>
      <c r="C47" s="30" t="n"/>
      <c r="D47" s="30" t="n"/>
      <c r="E47" s="30" t="n"/>
      <c r="F47" s="30" t="n"/>
      <c r="G47" s="30" t="n"/>
      <c r="H47" s="31">
        <f>IF($A47="","",IFERROR(ROUND($C47*INDEX(tblKurallar[deger_2025],MATCH("TBO-001",tblKurallar[kural_id],0))+$D47*INDEX(tblKurallar[deger_2025],MATCH("TBO-002",tblKurallar[kural_id],0))+$E47*INDEX(tblKurallar[deger_2025],MATCH("TBO-004",tblKurallar[kural_id],0))+$F47*tbo_isverenOran,2),0))</f>
        <v/>
      </c>
      <c r="I47" s="31">
        <f>IF($A47="","",IFERROR(MAX(0,$H47-$G47),0))</f>
        <v/>
      </c>
    </row>
    <row r="48">
      <c r="A48" s="30" t="n"/>
      <c r="B48" s="30" t="n"/>
      <c r="C48" s="30" t="n"/>
      <c r="D48" s="30" t="n"/>
      <c r="E48" s="30" t="n"/>
      <c r="F48" s="30" t="n"/>
      <c r="G48" s="30" t="n"/>
      <c r="H48" s="31">
        <f>IF($A48="","",IFERROR(ROUND($C48*INDEX(tblKurallar[deger_2025],MATCH("TBO-001",tblKurallar[kural_id],0))+$D48*INDEX(tblKurallar[deger_2025],MATCH("TBO-002",tblKurallar[kural_id],0))+$E48*INDEX(tblKurallar[deger_2025],MATCH("TBO-004",tblKurallar[kural_id],0))+$F48*tbo_isverenOran,2),0))</f>
        <v/>
      </c>
      <c r="I48" s="31">
        <f>IF($A48="","",IFERROR(MAX(0,$H48-$G48),0))</f>
        <v/>
      </c>
    </row>
    <row r="49">
      <c r="A49" s="30" t="n"/>
      <c r="B49" s="30" t="n"/>
      <c r="C49" s="30" t="n"/>
      <c r="D49" s="30" t="n"/>
      <c r="E49" s="30" t="n"/>
      <c r="F49" s="30" t="n"/>
      <c r="G49" s="30" t="n"/>
      <c r="H49" s="31">
        <f>IF($A49="","",IFERROR(ROUND($C49*INDEX(tblKurallar[deger_2025],MATCH("TBO-001",tblKurallar[kural_id],0))+$D49*INDEX(tblKurallar[deger_2025],MATCH("TBO-002",tblKurallar[kural_id],0))+$E49*INDEX(tblKurallar[deger_2025],MATCH("TBO-004",tblKurallar[kural_id],0))+$F49*tbo_isverenOran,2),0))</f>
        <v/>
      </c>
      <c r="I49" s="31">
        <f>IF($A49="","",IFERROR(MAX(0,$H49-$G49),0))</f>
        <v/>
      </c>
    </row>
    <row r="50">
      <c r="A50" s="30" t="n"/>
      <c r="B50" s="30" t="n"/>
      <c r="C50" s="30" t="n"/>
      <c r="D50" s="30" t="n"/>
      <c r="E50" s="30" t="n"/>
      <c r="F50" s="30" t="n"/>
      <c r="G50" s="30" t="n"/>
      <c r="H50" s="31">
        <f>IF($A50="","",IFERROR(ROUND($C50*INDEX(tblKurallar[deger_2025],MATCH("TBO-001",tblKurallar[kural_id],0))+$D50*INDEX(tblKurallar[deger_2025],MATCH("TBO-002",tblKurallar[kural_id],0))+$E50*INDEX(tblKurallar[deger_2025],MATCH("TBO-004",tblKurallar[kural_id],0))+$F50*tbo_isverenOran,2),0))</f>
        <v/>
      </c>
      <c r="I50" s="31">
        <f>IF($A50="","",IFERROR(MAX(0,$H50-$G50),0))</f>
        <v/>
      </c>
    </row>
    <row r="51">
      <c r="A51" s="30" t="n"/>
      <c r="B51" s="30" t="n"/>
      <c r="C51" s="30" t="n"/>
      <c r="D51" s="30" t="n"/>
      <c r="E51" s="30" t="n"/>
      <c r="F51" s="30" t="n"/>
      <c r="G51" s="30" t="n"/>
      <c r="H51" s="31">
        <f>IF($A51="","",IFERROR(ROUND($C51*INDEX(tblKurallar[deger_2025],MATCH("TBO-001",tblKurallar[kural_id],0))+$D51*INDEX(tblKurallar[deger_2025],MATCH("TBO-002",tblKurallar[kural_id],0))+$E51*INDEX(tblKurallar[deger_2025],MATCH("TBO-004",tblKurallar[kural_id],0))+$F51*tbo_isverenOran,2),0))</f>
        <v/>
      </c>
      <c r="I51" s="31">
        <f>IF($A51="","",IFERROR(MAX(0,$H51-$G51),0))</f>
        <v/>
      </c>
    </row>
    <row r="52">
      <c r="A52" s="30" t="n"/>
      <c r="B52" s="30" t="n"/>
      <c r="C52" s="30" t="n"/>
      <c r="D52" s="30" t="n"/>
      <c r="E52" s="30" t="n"/>
      <c r="F52" s="30" t="n"/>
      <c r="G52" s="30" t="n"/>
      <c r="H52" s="31">
        <f>IF($A52="","",IFERROR(ROUND($C52*INDEX(tblKurallar[deger_2025],MATCH("TBO-001",tblKurallar[kural_id],0))+$D52*INDEX(tblKurallar[deger_2025],MATCH("TBO-002",tblKurallar[kural_id],0))+$E52*INDEX(tblKurallar[deger_2025],MATCH("TBO-004",tblKurallar[kural_id],0))+$F52*tbo_isverenOran,2),0))</f>
        <v/>
      </c>
      <c r="I52" s="31">
        <f>IF($A52="","",IFERROR(MAX(0,$H52-$G52),0))</f>
        <v/>
      </c>
    </row>
    <row r="53">
      <c r="A53" s="30" t="n"/>
      <c r="B53" s="30" t="n"/>
      <c r="C53" s="30" t="n"/>
      <c r="D53" s="30" t="n"/>
      <c r="E53" s="30" t="n"/>
      <c r="F53" s="30" t="n"/>
      <c r="G53" s="30" t="n"/>
      <c r="H53" s="31">
        <f>IF($A53="","",IFERROR(ROUND($C53*INDEX(tblKurallar[deger_2025],MATCH("TBO-001",tblKurallar[kural_id],0))+$D53*INDEX(tblKurallar[deger_2025],MATCH("TBO-002",tblKurallar[kural_id],0))+$E53*INDEX(tblKurallar[deger_2025],MATCH("TBO-004",tblKurallar[kural_id],0))+$F53*tbo_isverenOran,2),0))</f>
        <v/>
      </c>
      <c r="I53" s="31">
        <f>IF($A53="","",IFERROR(MAX(0,$H53-$G53),0))</f>
        <v/>
      </c>
    </row>
    <row r="54">
      <c r="A54" s="30" t="n"/>
      <c r="B54" s="30" t="n"/>
      <c r="C54" s="30" t="n"/>
      <c r="D54" s="30" t="n"/>
      <c r="E54" s="30" t="n"/>
      <c r="F54" s="30" t="n"/>
      <c r="G54" s="30" t="n"/>
      <c r="H54" s="31">
        <f>IF($A54="","",IFERROR(ROUND($C54*INDEX(tblKurallar[deger_2025],MATCH("TBO-001",tblKurallar[kural_id],0))+$D54*INDEX(tblKurallar[deger_2025],MATCH("TBO-002",tblKurallar[kural_id],0))+$E54*INDEX(tblKurallar[deger_2025],MATCH("TBO-004",tblKurallar[kural_id],0))+$F54*tbo_isverenOran,2),0))</f>
        <v/>
      </c>
      <c r="I54" s="31">
        <f>IF($A54="","",IFERROR(MAX(0,$H54-$G54),0))</f>
        <v/>
      </c>
    </row>
    <row r="55">
      <c r="A55" s="30" t="n"/>
      <c r="B55" s="30" t="n"/>
      <c r="C55" s="30" t="n"/>
      <c r="D55" s="30" t="n"/>
      <c r="E55" s="30" t="n"/>
      <c r="F55" s="30" t="n"/>
      <c r="G55" s="30" t="n"/>
      <c r="H55" s="31">
        <f>IF($A55="","",IFERROR(ROUND($C55*INDEX(tblKurallar[deger_2025],MATCH("TBO-001",tblKurallar[kural_id],0))+$D55*INDEX(tblKurallar[deger_2025],MATCH("TBO-002",tblKurallar[kural_id],0))+$E55*INDEX(tblKurallar[deger_2025],MATCH("TBO-004",tblKurallar[kural_id],0))+$F55*tbo_isverenOran,2),0))</f>
        <v/>
      </c>
      <c r="I55" s="31">
        <f>IF($A55="","",IFERROR(MAX(0,$H55-$G55),0))</f>
        <v/>
      </c>
    </row>
    <row r="56">
      <c r="A56" s="30" t="n"/>
      <c r="B56" s="30" t="n"/>
      <c r="C56" s="30" t="n"/>
      <c r="D56" s="30" t="n"/>
      <c r="E56" s="30" t="n"/>
      <c r="F56" s="30" t="n"/>
      <c r="G56" s="30" t="n"/>
      <c r="H56" s="31">
        <f>IF($A56="","",IFERROR(ROUND($C56*INDEX(tblKurallar[deger_2025],MATCH("TBO-001",tblKurallar[kural_id],0))+$D56*INDEX(tblKurallar[deger_2025],MATCH("TBO-002",tblKurallar[kural_id],0))+$E56*INDEX(tblKurallar[deger_2025],MATCH("TBO-004",tblKurallar[kural_id],0))+$F56*tbo_isverenOran,2),0))</f>
        <v/>
      </c>
      <c r="I56" s="31">
        <f>IF($A56="","",IFERROR(MAX(0,$H56-$G56),0))</f>
        <v/>
      </c>
    </row>
    <row r="57">
      <c r="A57" s="30" t="n"/>
      <c r="B57" s="30" t="n"/>
      <c r="C57" s="30" t="n"/>
      <c r="D57" s="30" t="n"/>
      <c r="E57" s="30" t="n"/>
      <c r="F57" s="30" t="n"/>
      <c r="G57" s="30" t="n"/>
      <c r="H57" s="31">
        <f>IF($A57="","",IFERROR(ROUND($C57*INDEX(tblKurallar[deger_2025],MATCH("TBO-001",tblKurallar[kural_id],0))+$D57*INDEX(tblKurallar[deger_2025],MATCH("TBO-002",tblKurallar[kural_id],0))+$E57*INDEX(tblKurallar[deger_2025],MATCH("TBO-004",tblKurallar[kural_id],0))+$F57*tbo_isverenOran,2),0))</f>
        <v/>
      </c>
      <c r="I57" s="31">
        <f>IF($A57="","",IFERROR(MAX(0,$H57-$G57),0))</f>
        <v/>
      </c>
    </row>
    <row r="58">
      <c r="A58" s="30" t="n"/>
      <c r="B58" s="30" t="n"/>
      <c r="C58" s="30" t="n"/>
      <c r="D58" s="30" t="n"/>
      <c r="E58" s="30" t="n"/>
      <c r="F58" s="30" t="n"/>
      <c r="G58" s="30" t="n"/>
      <c r="H58" s="31">
        <f>IF($A58="","",IFERROR(ROUND($C58*INDEX(tblKurallar[deger_2025],MATCH("TBO-001",tblKurallar[kural_id],0))+$D58*INDEX(tblKurallar[deger_2025],MATCH("TBO-002",tblKurallar[kural_id],0))+$E58*INDEX(tblKurallar[deger_2025],MATCH("TBO-004",tblKurallar[kural_id],0))+$F58*tbo_isverenOran,2),0))</f>
        <v/>
      </c>
      <c r="I58" s="31">
        <f>IF($A58="","",IFERROR(MAX(0,$H58-$G58),0))</f>
        <v/>
      </c>
    </row>
    <row r="59">
      <c r="A59" s="30" t="n"/>
      <c r="B59" s="30" t="n"/>
      <c r="C59" s="30" t="n"/>
      <c r="D59" s="30" t="n"/>
      <c r="E59" s="30" t="n"/>
      <c r="F59" s="30" t="n"/>
      <c r="G59" s="30" t="n"/>
      <c r="H59" s="31">
        <f>IF($A59="","",IFERROR(ROUND($C59*INDEX(tblKurallar[deger_2025],MATCH("TBO-001",tblKurallar[kural_id],0))+$D59*INDEX(tblKurallar[deger_2025],MATCH("TBO-002",tblKurallar[kural_id],0))+$E59*INDEX(tblKurallar[deger_2025],MATCH("TBO-004",tblKurallar[kural_id],0))+$F59*tbo_isverenOran,2),0))</f>
        <v/>
      </c>
      <c r="I59" s="31">
        <f>IF($A59="","",IFERROR(MAX(0,$H59-$G59),0))</f>
        <v/>
      </c>
    </row>
    <row r="60">
      <c r="A60" s="30" t="n"/>
      <c r="B60" s="30" t="n"/>
      <c r="C60" s="30" t="n"/>
      <c r="D60" s="30" t="n"/>
      <c r="E60" s="30" t="n"/>
      <c r="F60" s="30" t="n"/>
      <c r="G60" s="30" t="n"/>
      <c r="H60" s="31">
        <f>IF($A60="","",IFERROR(ROUND($C60*INDEX(tblKurallar[deger_2025],MATCH("TBO-001",tblKurallar[kural_id],0))+$D60*INDEX(tblKurallar[deger_2025],MATCH("TBO-002",tblKurallar[kural_id],0))+$E60*INDEX(tblKurallar[deger_2025],MATCH("TBO-004",tblKurallar[kural_id],0))+$F60*tbo_isverenOran,2),0))</f>
        <v/>
      </c>
      <c r="I60" s="31">
        <f>IF($A60="","",IFERROR(MAX(0,$H60-$G60),0))</f>
        <v/>
      </c>
    </row>
    <row r="61">
      <c r="A61" s="30" t="n"/>
      <c r="B61" s="30" t="n"/>
      <c r="C61" s="30" t="n"/>
      <c r="D61" s="30" t="n"/>
      <c r="E61" s="30" t="n"/>
      <c r="F61" s="30" t="n"/>
      <c r="G61" s="30" t="n"/>
      <c r="H61" s="31">
        <f>IF($A61="","",IFERROR(ROUND($C61*INDEX(tblKurallar[deger_2025],MATCH("TBO-001",tblKurallar[kural_id],0))+$D61*INDEX(tblKurallar[deger_2025],MATCH("TBO-002",tblKurallar[kural_id],0))+$E61*INDEX(tblKurallar[deger_2025],MATCH("TBO-004",tblKurallar[kural_id],0))+$F61*tbo_isverenOran,2),0))</f>
        <v/>
      </c>
      <c r="I61" s="31">
        <f>IF($A61="","",IFERROR(MAX(0,$H61-$G61),0))</f>
        <v/>
      </c>
    </row>
    <row r="62">
      <c r="A62" s="30" t="n"/>
      <c r="B62" s="30" t="n"/>
      <c r="C62" s="30" t="n"/>
      <c r="D62" s="30" t="n"/>
      <c r="E62" s="30" t="n"/>
      <c r="F62" s="30" t="n"/>
      <c r="G62" s="30" t="n"/>
      <c r="H62" s="31">
        <f>IF($A62="","",IFERROR(ROUND($C62*INDEX(tblKurallar[deger_2025],MATCH("TBO-001",tblKurallar[kural_id],0))+$D62*INDEX(tblKurallar[deger_2025],MATCH("TBO-002",tblKurallar[kural_id],0))+$E62*INDEX(tblKurallar[deger_2025],MATCH("TBO-004",tblKurallar[kural_id],0))+$F62*tbo_isverenOran,2),0))</f>
        <v/>
      </c>
      <c r="I62" s="31">
        <f>IF($A62="","",IFERROR(MAX(0,$H62-$G62),0))</f>
        <v/>
      </c>
    </row>
    <row r="63">
      <c r="A63" s="30" t="n"/>
      <c r="B63" s="30" t="n"/>
      <c r="C63" s="30" t="n"/>
      <c r="D63" s="30" t="n"/>
      <c r="E63" s="30" t="n"/>
      <c r="F63" s="30" t="n"/>
      <c r="G63" s="30" t="n"/>
      <c r="H63" s="31">
        <f>IF($A63="","",IFERROR(ROUND($C63*INDEX(tblKurallar[deger_2025],MATCH("TBO-001",tblKurallar[kural_id],0))+$D63*INDEX(tblKurallar[deger_2025],MATCH("TBO-002",tblKurallar[kural_id],0))+$E63*INDEX(tblKurallar[deger_2025],MATCH("TBO-004",tblKurallar[kural_id],0))+$F63*tbo_isverenOran,2),0))</f>
        <v/>
      </c>
      <c r="I63" s="31">
        <f>IF($A63="","",IFERROR(MAX(0,$H63-$G63),0))</f>
        <v/>
      </c>
    </row>
    <row r="64">
      <c r="A64" s="30" t="n"/>
      <c r="B64" s="30" t="n"/>
      <c r="C64" s="30" t="n"/>
      <c r="D64" s="30" t="n"/>
      <c r="E64" s="30" t="n"/>
      <c r="F64" s="30" t="n"/>
      <c r="G64" s="30" t="n"/>
      <c r="H64" s="31">
        <f>IF($A64="","",IFERROR(ROUND($C64*INDEX(tblKurallar[deger_2025],MATCH("TBO-001",tblKurallar[kural_id],0))+$D64*INDEX(tblKurallar[deger_2025],MATCH("TBO-002",tblKurallar[kural_id],0))+$E64*INDEX(tblKurallar[deger_2025],MATCH("TBO-004",tblKurallar[kural_id],0))+$F64*tbo_isverenOran,2),0))</f>
        <v/>
      </c>
      <c r="I64" s="31">
        <f>IF($A64="","",IFERROR(MAX(0,$H64-$G64),0))</f>
        <v/>
      </c>
    </row>
    <row r="65">
      <c r="A65" s="30" t="n"/>
      <c r="B65" s="30" t="n"/>
      <c r="C65" s="30" t="n"/>
      <c r="D65" s="30" t="n"/>
      <c r="E65" s="30" t="n"/>
      <c r="F65" s="30" t="n"/>
      <c r="G65" s="30" t="n"/>
      <c r="H65" s="31">
        <f>IF($A65="","",IFERROR(ROUND($C65*INDEX(tblKurallar[deger_2025],MATCH("TBO-001",tblKurallar[kural_id],0))+$D65*INDEX(tblKurallar[deger_2025],MATCH("TBO-002",tblKurallar[kural_id],0))+$E65*INDEX(tblKurallar[deger_2025],MATCH("TBO-004",tblKurallar[kural_id],0))+$F65*tbo_isverenOran,2),0))</f>
        <v/>
      </c>
      <c r="I65" s="31">
        <f>IF($A65="","",IFERROR(MAX(0,$H65-$G65),0))</f>
        <v/>
      </c>
    </row>
    <row r="66">
      <c r="A66" s="30" t="n"/>
      <c r="B66" s="30" t="n"/>
      <c r="C66" s="30" t="n"/>
      <c r="D66" s="30" t="n"/>
      <c r="E66" s="30" t="n"/>
      <c r="F66" s="30" t="n"/>
      <c r="G66" s="30" t="n"/>
      <c r="H66" s="31">
        <f>IF($A66="","",IFERROR(ROUND($C66*INDEX(tblKurallar[deger_2025],MATCH("TBO-001",tblKurallar[kural_id],0))+$D66*INDEX(tblKurallar[deger_2025],MATCH("TBO-002",tblKurallar[kural_id],0))+$E66*INDEX(tblKurallar[deger_2025],MATCH("TBO-004",tblKurallar[kural_id],0))+$F66*tbo_isverenOran,2),0))</f>
        <v/>
      </c>
      <c r="I66" s="31">
        <f>IF($A66="","",IFERROR(MAX(0,$H66-$G66),0))</f>
        <v/>
      </c>
    </row>
    <row r="67">
      <c r="A67" s="30" t="n"/>
      <c r="B67" s="30" t="n"/>
      <c r="C67" s="30" t="n"/>
      <c r="D67" s="30" t="n"/>
      <c r="E67" s="30" t="n"/>
      <c r="F67" s="30" t="n"/>
      <c r="G67" s="30" t="n"/>
      <c r="H67" s="31">
        <f>IF($A67="","",IFERROR(ROUND($C67*INDEX(tblKurallar[deger_2025],MATCH("TBO-001",tblKurallar[kural_id],0))+$D67*INDEX(tblKurallar[deger_2025],MATCH("TBO-002",tblKurallar[kural_id],0))+$E67*INDEX(tblKurallar[deger_2025],MATCH("TBO-004",tblKurallar[kural_id],0))+$F67*tbo_isverenOran,2),0))</f>
        <v/>
      </c>
      <c r="I67" s="31">
        <f>IF($A67="","",IFERROR(MAX(0,$H67-$G67),0))</f>
        <v/>
      </c>
    </row>
    <row r="68">
      <c r="A68" s="30" t="n"/>
      <c r="B68" s="30" t="n"/>
      <c r="C68" s="30" t="n"/>
      <c r="D68" s="30" t="n"/>
      <c r="E68" s="30" t="n"/>
      <c r="F68" s="30" t="n"/>
      <c r="G68" s="30" t="n"/>
      <c r="H68" s="31">
        <f>IF($A68="","",IFERROR(ROUND($C68*INDEX(tblKurallar[deger_2025],MATCH("TBO-001",tblKurallar[kural_id],0))+$D68*INDEX(tblKurallar[deger_2025],MATCH("TBO-002",tblKurallar[kural_id],0))+$E68*INDEX(tblKurallar[deger_2025],MATCH("TBO-004",tblKurallar[kural_id],0))+$F68*tbo_isverenOran,2),0))</f>
        <v/>
      </c>
      <c r="I68" s="31">
        <f>IF($A68="","",IFERROR(MAX(0,$H68-$G68),0))</f>
        <v/>
      </c>
    </row>
    <row r="69">
      <c r="A69" s="30" t="n"/>
      <c r="B69" s="30" t="n"/>
      <c r="C69" s="30" t="n"/>
      <c r="D69" s="30" t="n"/>
      <c r="E69" s="30" t="n"/>
      <c r="F69" s="30" t="n"/>
      <c r="G69" s="30" t="n"/>
      <c r="H69" s="31">
        <f>IF($A69="","",IFERROR(ROUND($C69*INDEX(tblKurallar[deger_2025],MATCH("TBO-001",tblKurallar[kural_id],0))+$D69*INDEX(tblKurallar[deger_2025],MATCH("TBO-002",tblKurallar[kural_id],0))+$E69*INDEX(tblKurallar[deger_2025],MATCH("TBO-004",tblKurallar[kural_id],0))+$F69*tbo_isverenOran,2),0))</f>
        <v/>
      </c>
      <c r="I69" s="31">
        <f>IF($A69="","",IFERROR(MAX(0,$H69-$G69),0))</f>
        <v/>
      </c>
    </row>
    <row r="70">
      <c r="A70" s="30" t="n"/>
      <c r="B70" s="30" t="n"/>
      <c r="C70" s="30" t="n"/>
      <c r="D70" s="30" t="n"/>
      <c r="E70" s="30" t="n"/>
      <c r="F70" s="30" t="n"/>
      <c r="G70" s="30" t="n"/>
      <c r="H70" s="31">
        <f>IF($A70="","",IFERROR(ROUND($C70*INDEX(tblKurallar[deger_2025],MATCH("TBO-001",tblKurallar[kural_id],0))+$D70*INDEX(tblKurallar[deger_2025],MATCH("TBO-002",tblKurallar[kural_id],0))+$E70*INDEX(tblKurallar[deger_2025],MATCH("TBO-004",tblKurallar[kural_id],0))+$F70*tbo_isverenOran,2),0))</f>
        <v/>
      </c>
      <c r="I70" s="31">
        <f>IF($A70="","",IFERROR(MAX(0,$H70-$G70),0))</f>
        <v/>
      </c>
    </row>
    <row r="71">
      <c r="A71" s="30" t="n"/>
      <c r="B71" s="30" t="n"/>
      <c r="C71" s="30" t="n"/>
      <c r="D71" s="30" t="n"/>
      <c r="E71" s="30" t="n"/>
      <c r="F71" s="30" t="n"/>
      <c r="G71" s="30" t="n"/>
      <c r="H71" s="31">
        <f>IF($A71="","",IFERROR(ROUND($C71*INDEX(tblKurallar[deger_2025],MATCH("TBO-001",tblKurallar[kural_id],0))+$D71*INDEX(tblKurallar[deger_2025],MATCH("TBO-002",tblKurallar[kural_id],0))+$E71*INDEX(tblKurallar[deger_2025],MATCH("TBO-004",tblKurallar[kural_id],0))+$F71*tbo_isverenOran,2),0))</f>
        <v/>
      </c>
      <c r="I71" s="31">
        <f>IF($A71="","",IFERROR(MAX(0,$H71-$G71),0))</f>
        <v/>
      </c>
    </row>
    <row r="72">
      <c r="A72" s="30" t="n"/>
      <c r="B72" s="30" t="n"/>
      <c r="C72" s="30" t="n"/>
      <c r="D72" s="30" t="n"/>
      <c r="E72" s="30" t="n"/>
      <c r="F72" s="30" t="n"/>
      <c r="G72" s="30" t="n"/>
      <c r="H72" s="31">
        <f>IF($A72="","",IFERROR(ROUND($C72*INDEX(tblKurallar[deger_2025],MATCH("TBO-001",tblKurallar[kural_id],0))+$D72*INDEX(tblKurallar[deger_2025],MATCH("TBO-002",tblKurallar[kural_id],0))+$E72*INDEX(tblKurallar[deger_2025],MATCH("TBO-004",tblKurallar[kural_id],0))+$F72*tbo_isverenOran,2),0))</f>
        <v/>
      </c>
      <c r="I72" s="31">
        <f>IF($A72="","",IFERROR(MAX(0,$H72-$G72),0))</f>
        <v/>
      </c>
    </row>
    <row r="73">
      <c r="A73" s="30" t="n"/>
      <c r="B73" s="30" t="n"/>
      <c r="C73" s="30" t="n"/>
      <c r="D73" s="30" t="n"/>
      <c r="E73" s="30" t="n"/>
      <c r="F73" s="30" t="n"/>
      <c r="G73" s="30" t="n"/>
      <c r="H73" s="31">
        <f>IF($A73="","",IFERROR(ROUND($C73*INDEX(tblKurallar[deger_2025],MATCH("TBO-001",tblKurallar[kural_id],0))+$D73*INDEX(tblKurallar[deger_2025],MATCH("TBO-002",tblKurallar[kural_id],0))+$E73*INDEX(tblKurallar[deger_2025],MATCH("TBO-004",tblKurallar[kural_id],0))+$F73*tbo_isverenOran,2),0))</f>
        <v/>
      </c>
      <c r="I73" s="31">
        <f>IF($A73="","",IFERROR(MAX(0,$H73-$G73),0))</f>
        <v/>
      </c>
    </row>
    <row r="74">
      <c r="A74" s="30" t="n"/>
      <c r="B74" s="30" t="n"/>
      <c r="C74" s="30" t="n"/>
      <c r="D74" s="30" t="n"/>
      <c r="E74" s="30" t="n"/>
      <c r="F74" s="30" t="n"/>
      <c r="G74" s="30" t="n"/>
      <c r="H74" s="31">
        <f>IF($A74="","",IFERROR(ROUND($C74*INDEX(tblKurallar[deger_2025],MATCH("TBO-001",tblKurallar[kural_id],0))+$D74*INDEX(tblKurallar[deger_2025],MATCH("TBO-002",tblKurallar[kural_id],0))+$E74*INDEX(tblKurallar[deger_2025],MATCH("TBO-004",tblKurallar[kural_id],0))+$F74*tbo_isverenOran,2),0))</f>
        <v/>
      </c>
      <c r="I74" s="31">
        <f>IF($A74="","",IFERROR(MAX(0,$H74-$G74),0))</f>
        <v/>
      </c>
    </row>
    <row r="75">
      <c r="A75" s="30" t="n"/>
      <c r="B75" s="30" t="n"/>
      <c r="C75" s="30" t="n"/>
      <c r="D75" s="30" t="n"/>
      <c r="E75" s="30" t="n"/>
      <c r="F75" s="30" t="n"/>
      <c r="G75" s="30" t="n"/>
      <c r="H75" s="31">
        <f>IF($A75="","",IFERROR(ROUND($C75*INDEX(tblKurallar[deger_2025],MATCH("TBO-001",tblKurallar[kural_id],0))+$D75*INDEX(tblKurallar[deger_2025],MATCH("TBO-002",tblKurallar[kural_id],0))+$E75*INDEX(tblKurallar[deger_2025],MATCH("TBO-004",tblKurallar[kural_id],0))+$F75*tbo_isverenOran,2),0))</f>
        <v/>
      </c>
      <c r="I75" s="31">
        <f>IF($A75="","",IFERROR(MAX(0,$H75-$G75),0))</f>
        <v/>
      </c>
    </row>
    <row r="76">
      <c r="A76" s="30" t="n"/>
      <c r="B76" s="30" t="n"/>
      <c r="C76" s="30" t="n"/>
      <c r="D76" s="30" t="n"/>
      <c r="E76" s="30" t="n"/>
      <c r="F76" s="30" t="n"/>
      <c r="G76" s="30" t="n"/>
      <c r="H76" s="31">
        <f>IF($A76="","",IFERROR(ROUND($C76*INDEX(tblKurallar[deger_2025],MATCH("TBO-001",tblKurallar[kural_id],0))+$D76*INDEX(tblKurallar[deger_2025],MATCH("TBO-002",tblKurallar[kural_id],0))+$E76*INDEX(tblKurallar[deger_2025],MATCH("TBO-004",tblKurallar[kural_id],0))+$F76*tbo_isverenOran,2),0))</f>
        <v/>
      </c>
      <c r="I76" s="31">
        <f>IF($A76="","",IFERROR(MAX(0,$H76-$G76),0))</f>
        <v/>
      </c>
    </row>
    <row r="77">
      <c r="A77" s="30" t="n"/>
      <c r="B77" s="30" t="n"/>
      <c r="C77" s="30" t="n"/>
      <c r="D77" s="30" t="n"/>
      <c r="E77" s="30" t="n"/>
      <c r="F77" s="30" t="n"/>
      <c r="G77" s="30" t="n"/>
      <c r="H77" s="31">
        <f>IF($A77="","",IFERROR(ROUND($C77*INDEX(tblKurallar[deger_2025],MATCH("TBO-001",tblKurallar[kural_id],0))+$D77*INDEX(tblKurallar[deger_2025],MATCH("TBO-002",tblKurallar[kural_id],0))+$E77*INDEX(tblKurallar[deger_2025],MATCH("TBO-004",tblKurallar[kural_id],0))+$F77*tbo_isverenOran,2),0))</f>
        <v/>
      </c>
      <c r="I77" s="31">
        <f>IF($A77="","",IFERROR(MAX(0,$H77-$G77),0))</f>
        <v/>
      </c>
    </row>
    <row r="78">
      <c r="A78" s="30" t="n"/>
      <c r="B78" s="30" t="n"/>
      <c r="C78" s="30" t="n"/>
      <c r="D78" s="30" t="n"/>
      <c r="E78" s="30" t="n"/>
      <c r="F78" s="30" t="n"/>
      <c r="G78" s="30" t="n"/>
      <c r="H78" s="31">
        <f>IF($A78="","",IFERROR(ROUND($C78*INDEX(tblKurallar[deger_2025],MATCH("TBO-001",tblKurallar[kural_id],0))+$D78*INDEX(tblKurallar[deger_2025],MATCH("TBO-002",tblKurallar[kural_id],0))+$E78*INDEX(tblKurallar[deger_2025],MATCH("TBO-004",tblKurallar[kural_id],0))+$F78*tbo_isverenOran,2),0))</f>
        <v/>
      </c>
      <c r="I78" s="31">
        <f>IF($A78="","",IFERROR(MAX(0,$H78-$G78),0))</f>
        <v/>
      </c>
    </row>
    <row r="79">
      <c r="A79" s="30" t="n"/>
      <c r="B79" s="30" t="n"/>
      <c r="C79" s="30" t="n"/>
      <c r="D79" s="30" t="n"/>
      <c r="E79" s="30" t="n"/>
      <c r="F79" s="30" t="n"/>
      <c r="G79" s="30" t="n"/>
      <c r="H79" s="31">
        <f>IF($A79="","",IFERROR(ROUND($C79*INDEX(tblKurallar[deger_2025],MATCH("TBO-001",tblKurallar[kural_id],0))+$D79*INDEX(tblKurallar[deger_2025],MATCH("TBO-002",tblKurallar[kural_id],0))+$E79*INDEX(tblKurallar[deger_2025],MATCH("TBO-004",tblKurallar[kural_id],0))+$F79*tbo_isverenOran,2),0))</f>
        <v/>
      </c>
      <c r="I79" s="31">
        <f>IF($A79="","",IFERROR(MAX(0,$H79-$G79),0))</f>
        <v/>
      </c>
    </row>
    <row r="80">
      <c r="A80" s="30" t="n"/>
      <c r="B80" s="30" t="n"/>
      <c r="C80" s="30" t="n"/>
      <c r="D80" s="30" t="n"/>
      <c r="E80" s="30" t="n"/>
      <c r="F80" s="30" t="n"/>
      <c r="G80" s="30" t="n"/>
      <c r="H80" s="31">
        <f>IF($A80="","",IFERROR(ROUND($C80*INDEX(tblKurallar[deger_2025],MATCH("TBO-001",tblKurallar[kural_id],0))+$D80*INDEX(tblKurallar[deger_2025],MATCH("TBO-002",tblKurallar[kural_id],0))+$E80*INDEX(tblKurallar[deger_2025],MATCH("TBO-004",tblKurallar[kural_id],0))+$F80*tbo_isverenOran,2),0))</f>
        <v/>
      </c>
      <c r="I80" s="31">
        <f>IF($A80="","",IFERROR(MAX(0,$H80-$G80),0))</f>
        <v/>
      </c>
    </row>
    <row r="81">
      <c r="A81" s="30" t="n"/>
      <c r="B81" s="30" t="n"/>
      <c r="C81" s="30" t="n"/>
      <c r="D81" s="30" t="n"/>
      <c r="E81" s="30" t="n"/>
      <c r="F81" s="30" t="n"/>
      <c r="G81" s="30" t="n"/>
      <c r="H81" s="31">
        <f>IF($A81="","",IFERROR(ROUND($C81*INDEX(tblKurallar[deger_2025],MATCH("TBO-001",tblKurallar[kural_id],0))+$D81*INDEX(tblKurallar[deger_2025],MATCH("TBO-002",tblKurallar[kural_id],0))+$E81*INDEX(tblKurallar[deger_2025],MATCH("TBO-004",tblKurallar[kural_id],0))+$F81*tbo_isverenOran,2),0))</f>
        <v/>
      </c>
      <c r="I81" s="31">
        <f>IF($A81="","",IFERROR(MAX(0,$H81-$G81),0))</f>
        <v/>
      </c>
    </row>
    <row r="82">
      <c r="A82" s="30" t="n"/>
      <c r="B82" s="30" t="n"/>
      <c r="C82" s="30" t="n"/>
      <c r="D82" s="30" t="n"/>
      <c r="E82" s="30" t="n"/>
      <c r="F82" s="30" t="n"/>
      <c r="G82" s="30" t="n"/>
      <c r="H82" s="31">
        <f>IF($A82="","",IFERROR(ROUND($C82*INDEX(tblKurallar[deger_2025],MATCH("TBO-001",tblKurallar[kural_id],0))+$D82*INDEX(tblKurallar[deger_2025],MATCH("TBO-002",tblKurallar[kural_id],0))+$E82*INDEX(tblKurallar[deger_2025],MATCH("TBO-004",tblKurallar[kural_id],0))+$F82*tbo_isverenOran,2),0))</f>
        <v/>
      </c>
      <c r="I82" s="31">
        <f>IF($A82="","",IFERROR(MAX(0,$H82-$G82),0))</f>
        <v/>
      </c>
    </row>
    <row r="83">
      <c r="A83" s="30" t="n"/>
      <c r="B83" s="30" t="n"/>
      <c r="C83" s="30" t="n"/>
      <c r="D83" s="30" t="n"/>
      <c r="E83" s="30" t="n"/>
      <c r="F83" s="30" t="n"/>
      <c r="G83" s="30" t="n"/>
      <c r="H83" s="31">
        <f>IF($A83="","",IFERROR(ROUND($C83*INDEX(tblKurallar[deger_2025],MATCH("TBO-001",tblKurallar[kural_id],0))+$D83*INDEX(tblKurallar[deger_2025],MATCH("TBO-002",tblKurallar[kural_id],0))+$E83*INDEX(tblKurallar[deger_2025],MATCH("TBO-004",tblKurallar[kural_id],0))+$F83*tbo_isverenOran,2),0))</f>
        <v/>
      </c>
      <c r="I83" s="31">
        <f>IF($A83="","",IFERROR(MAX(0,$H83-$G83),0))</f>
        <v/>
      </c>
    </row>
    <row r="84">
      <c r="A84" s="30" t="n"/>
      <c r="B84" s="30" t="n"/>
      <c r="C84" s="30" t="n"/>
      <c r="D84" s="30" t="n"/>
      <c r="E84" s="30" t="n"/>
      <c r="F84" s="30" t="n"/>
      <c r="G84" s="30" t="n"/>
      <c r="H84" s="31">
        <f>IF($A84="","",IFERROR(ROUND($C84*INDEX(tblKurallar[deger_2025],MATCH("TBO-001",tblKurallar[kural_id],0))+$D84*INDEX(tblKurallar[deger_2025],MATCH("TBO-002",tblKurallar[kural_id],0))+$E84*INDEX(tblKurallar[deger_2025],MATCH("TBO-004",tblKurallar[kural_id],0))+$F84*tbo_isverenOran,2),0))</f>
        <v/>
      </c>
      <c r="I84" s="31">
        <f>IF($A84="","",IFERROR(MAX(0,$H84-$G84),0))</f>
        <v/>
      </c>
    </row>
    <row r="85">
      <c r="A85" s="30" t="n"/>
      <c r="B85" s="30" t="n"/>
      <c r="C85" s="30" t="n"/>
      <c r="D85" s="30" t="n"/>
      <c r="E85" s="30" t="n"/>
      <c r="F85" s="30" t="n"/>
      <c r="G85" s="30" t="n"/>
      <c r="H85" s="31">
        <f>IF($A85="","",IFERROR(ROUND($C85*INDEX(tblKurallar[deger_2025],MATCH("TBO-001",tblKurallar[kural_id],0))+$D85*INDEX(tblKurallar[deger_2025],MATCH("TBO-002",tblKurallar[kural_id],0))+$E85*INDEX(tblKurallar[deger_2025],MATCH("TBO-004",tblKurallar[kural_id],0))+$F85*tbo_isverenOran,2),0))</f>
        <v/>
      </c>
      <c r="I85" s="31">
        <f>IF($A85="","",IFERROR(MAX(0,$H85-$G85),0))</f>
        <v/>
      </c>
    </row>
    <row r="86">
      <c r="A86" s="30" t="n"/>
      <c r="B86" s="30" t="n"/>
      <c r="C86" s="30" t="n"/>
      <c r="D86" s="30" t="n"/>
      <c r="E86" s="30" t="n"/>
      <c r="F86" s="30" t="n"/>
      <c r="G86" s="30" t="n"/>
      <c r="H86" s="31">
        <f>IF($A86="","",IFERROR(ROUND($C86*INDEX(tblKurallar[deger_2025],MATCH("TBO-001",tblKurallar[kural_id],0))+$D86*INDEX(tblKurallar[deger_2025],MATCH("TBO-002",tblKurallar[kural_id],0))+$E86*INDEX(tblKurallar[deger_2025],MATCH("TBO-004",tblKurallar[kural_id],0))+$F86*tbo_isverenOran,2),0))</f>
        <v/>
      </c>
      <c r="I86" s="31">
        <f>IF($A86="","",IFERROR(MAX(0,$H86-$G86),0))</f>
        <v/>
      </c>
    </row>
    <row r="87">
      <c r="A87" s="30" t="n"/>
      <c r="B87" s="30" t="n"/>
      <c r="C87" s="30" t="n"/>
      <c r="D87" s="30" t="n"/>
      <c r="E87" s="30" t="n"/>
      <c r="F87" s="30" t="n"/>
      <c r="G87" s="30" t="n"/>
      <c r="H87" s="31">
        <f>IF($A87="","",IFERROR(ROUND($C87*INDEX(tblKurallar[deger_2025],MATCH("TBO-001",tblKurallar[kural_id],0))+$D87*INDEX(tblKurallar[deger_2025],MATCH("TBO-002",tblKurallar[kural_id],0))+$E87*INDEX(tblKurallar[deger_2025],MATCH("TBO-004",tblKurallar[kural_id],0))+$F87*tbo_isverenOran,2),0))</f>
        <v/>
      </c>
      <c r="I87" s="31">
        <f>IF($A87="","",IFERROR(MAX(0,$H87-$G87),0))</f>
        <v/>
      </c>
    </row>
    <row r="88">
      <c r="A88" s="30" t="n"/>
      <c r="B88" s="30" t="n"/>
      <c r="C88" s="30" t="n"/>
      <c r="D88" s="30" t="n"/>
      <c r="E88" s="30" t="n"/>
      <c r="F88" s="30" t="n"/>
      <c r="G88" s="30" t="n"/>
      <c r="H88" s="31">
        <f>IF($A88="","",IFERROR(ROUND($C88*INDEX(tblKurallar[deger_2025],MATCH("TBO-001",tblKurallar[kural_id],0))+$D88*INDEX(tblKurallar[deger_2025],MATCH("TBO-002",tblKurallar[kural_id],0))+$E88*INDEX(tblKurallar[deger_2025],MATCH("TBO-004",tblKurallar[kural_id],0))+$F88*tbo_isverenOran,2),0))</f>
        <v/>
      </c>
      <c r="I88" s="31">
        <f>IF($A88="","",IFERROR(MAX(0,$H88-$G88),0))</f>
        <v/>
      </c>
    </row>
    <row r="89">
      <c r="A89" s="30" t="n"/>
      <c r="B89" s="30" t="n"/>
      <c r="C89" s="30" t="n"/>
      <c r="D89" s="30" t="n"/>
      <c r="E89" s="30" t="n"/>
      <c r="F89" s="30" t="n"/>
      <c r="G89" s="30" t="n"/>
      <c r="H89" s="31">
        <f>IF($A89="","",IFERROR(ROUND($C89*INDEX(tblKurallar[deger_2025],MATCH("TBO-001",tblKurallar[kural_id],0))+$D89*INDEX(tblKurallar[deger_2025],MATCH("TBO-002",tblKurallar[kural_id],0))+$E89*INDEX(tblKurallar[deger_2025],MATCH("TBO-004",tblKurallar[kural_id],0))+$F89*tbo_isverenOran,2),0))</f>
        <v/>
      </c>
      <c r="I89" s="31">
        <f>IF($A89="","",IFERROR(MAX(0,$H89-$G89),0))</f>
        <v/>
      </c>
    </row>
    <row r="90">
      <c r="A90" s="30" t="n"/>
      <c r="B90" s="30" t="n"/>
      <c r="C90" s="30" t="n"/>
      <c r="D90" s="30" t="n"/>
      <c r="E90" s="30" t="n"/>
      <c r="F90" s="30" t="n"/>
      <c r="G90" s="30" t="n"/>
      <c r="H90" s="31">
        <f>IF($A90="","",IFERROR(ROUND($C90*INDEX(tblKurallar[deger_2025],MATCH("TBO-001",tblKurallar[kural_id],0))+$D90*INDEX(tblKurallar[deger_2025],MATCH("TBO-002",tblKurallar[kural_id],0))+$E90*INDEX(tblKurallar[deger_2025],MATCH("TBO-004",tblKurallar[kural_id],0))+$F90*tbo_isverenOran,2),0))</f>
        <v/>
      </c>
      <c r="I90" s="31">
        <f>IF($A90="","",IFERROR(MAX(0,$H90-$G90),0))</f>
        <v/>
      </c>
    </row>
    <row r="91">
      <c r="A91" s="30" t="n"/>
      <c r="B91" s="30" t="n"/>
      <c r="C91" s="30" t="n"/>
      <c r="D91" s="30" t="n"/>
      <c r="E91" s="30" t="n"/>
      <c r="F91" s="30" t="n"/>
      <c r="G91" s="30" t="n"/>
      <c r="H91" s="31">
        <f>IF($A91="","",IFERROR(ROUND($C91*INDEX(tblKurallar[deger_2025],MATCH("TBO-001",tblKurallar[kural_id],0))+$D91*INDEX(tblKurallar[deger_2025],MATCH("TBO-002",tblKurallar[kural_id],0))+$E91*INDEX(tblKurallar[deger_2025],MATCH("TBO-004",tblKurallar[kural_id],0))+$F91*tbo_isverenOran,2),0))</f>
        <v/>
      </c>
      <c r="I91" s="31">
        <f>IF($A91="","",IFERROR(MAX(0,$H91-$G91),0))</f>
        <v/>
      </c>
    </row>
    <row r="92">
      <c r="A92" s="30" t="n"/>
      <c r="B92" s="30" t="n"/>
      <c r="C92" s="30" t="n"/>
      <c r="D92" s="30" t="n"/>
      <c r="E92" s="30" t="n"/>
      <c r="F92" s="30" t="n"/>
      <c r="G92" s="30" t="n"/>
      <c r="H92" s="31">
        <f>IF($A92="","",IFERROR(ROUND($C92*INDEX(tblKurallar[deger_2025],MATCH("TBO-001",tblKurallar[kural_id],0))+$D92*INDEX(tblKurallar[deger_2025],MATCH("TBO-002",tblKurallar[kural_id],0))+$E92*INDEX(tblKurallar[deger_2025],MATCH("TBO-004",tblKurallar[kural_id],0))+$F92*tbo_isverenOran,2),0))</f>
        <v/>
      </c>
      <c r="I92" s="31">
        <f>IF($A92="","",IFERROR(MAX(0,$H92-$G92),0))</f>
        <v/>
      </c>
    </row>
    <row r="93">
      <c r="A93" s="30" t="n"/>
      <c r="B93" s="30" t="n"/>
      <c r="C93" s="30" t="n"/>
      <c r="D93" s="30" t="n"/>
      <c r="E93" s="30" t="n"/>
      <c r="F93" s="30" t="n"/>
      <c r="G93" s="30" t="n"/>
      <c r="H93" s="31">
        <f>IF($A93="","",IFERROR(ROUND($C93*INDEX(tblKurallar[deger_2025],MATCH("TBO-001",tblKurallar[kural_id],0))+$D93*INDEX(tblKurallar[deger_2025],MATCH("TBO-002",tblKurallar[kural_id],0))+$E93*INDEX(tblKurallar[deger_2025],MATCH("TBO-004",tblKurallar[kural_id],0))+$F93*tbo_isverenOran,2),0))</f>
        <v/>
      </c>
      <c r="I93" s="31">
        <f>IF($A93="","",IFERROR(MAX(0,$H93-$G93),0))</f>
        <v/>
      </c>
    </row>
    <row r="94">
      <c r="A94" s="30" t="n"/>
      <c r="B94" s="30" t="n"/>
      <c r="C94" s="30" t="n"/>
      <c r="D94" s="30" t="n"/>
      <c r="E94" s="30" t="n"/>
      <c r="F94" s="30" t="n"/>
      <c r="G94" s="30" t="n"/>
      <c r="H94" s="31">
        <f>IF($A94="","",IFERROR(ROUND($C94*INDEX(tblKurallar[deger_2025],MATCH("TBO-001",tblKurallar[kural_id],0))+$D94*INDEX(tblKurallar[deger_2025],MATCH("TBO-002",tblKurallar[kural_id],0))+$E94*INDEX(tblKurallar[deger_2025],MATCH("TBO-004",tblKurallar[kural_id],0))+$F94*tbo_isverenOran,2),0))</f>
        <v/>
      </c>
      <c r="I94" s="31">
        <f>IF($A94="","",IFERROR(MAX(0,$H94-$G94),0))</f>
        <v/>
      </c>
    </row>
    <row r="95">
      <c r="A95" s="30" t="n"/>
      <c r="B95" s="30" t="n"/>
      <c r="C95" s="30" t="n"/>
      <c r="D95" s="30" t="n"/>
      <c r="E95" s="30" t="n"/>
      <c r="F95" s="30" t="n"/>
      <c r="G95" s="30" t="n"/>
      <c r="H95" s="31">
        <f>IF($A95="","",IFERROR(ROUND($C95*INDEX(tblKurallar[deger_2025],MATCH("TBO-001",tblKurallar[kural_id],0))+$D95*INDEX(tblKurallar[deger_2025],MATCH("TBO-002",tblKurallar[kural_id],0))+$E95*INDEX(tblKurallar[deger_2025],MATCH("TBO-004",tblKurallar[kural_id],0))+$F95*tbo_isverenOran,2),0))</f>
        <v/>
      </c>
      <c r="I95" s="31">
        <f>IF($A95="","",IFERROR(MAX(0,$H95-$G95),0))</f>
        <v/>
      </c>
    </row>
    <row r="96">
      <c r="A96" s="30" t="n"/>
      <c r="B96" s="30" t="n"/>
      <c r="C96" s="30" t="n"/>
      <c r="D96" s="30" t="n"/>
      <c r="E96" s="30" t="n"/>
      <c r="F96" s="30" t="n"/>
      <c r="G96" s="30" t="n"/>
      <c r="H96" s="31">
        <f>IF($A96="","",IFERROR(ROUND($C96*INDEX(tblKurallar[deger_2025],MATCH("TBO-001",tblKurallar[kural_id],0))+$D96*INDEX(tblKurallar[deger_2025],MATCH("TBO-002",tblKurallar[kural_id],0))+$E96*INDEX(tblKurallar[deger_2025],MATCH("TBO-004",tblKurallar[kural_id],0))+$F96*tbo_isverenOran,2),0))</f>
        <v/>
      </c>
      <c r="I96" s="31">
        <f>IF($A96="","",IFERROR(MAX(0,$H96-$G96),0))</f>
        <v/>
      </c>
    </row>
    <row r="97">
      <c r="A97" s="30" t="n"/>
      <c r="B97" s="30" t="n"/>
      <c r="C97" s="30" t="n"/>
      <c r="D97" s="30" t="n"/>
      <c r="E97" s="30" t="n"/>
      <c r="F97" s="30" t="n"/>
      <c r="G97" s="30" t="n"/>
      <c r="H97" s="31">
        <f>IF($A97="","",IFERROR(ROUND($C97*INDEX(tblKurallar[deger_2025],MATCH("TBO-001",tblKurallar[kural_id],0))+$D97*INDEX(tblKurallar[deger_2025],MATCH("TBO-002",tblKurallar[kural_id],0))+$E97*INDEX(tblKurallar[deger_2025],MATCH("TBO-004",tblKurallar[kural_id],0))+$F97*tbo_isverenOran,2),0))</f>
        <v/>
      </c>
      <c r="I97" s="31">
        <f>IF($A97="","",IFERROR(MAX(0,$H97-$G97),0))</f>
        <v/>
      </c>
    </row>
    <row r="98">
      <c r="A98" s="30" t="n"/>
      <c r="B98" s="30" t="n"/>
      <c r="C98" s="30" t="n"/>
      <c r="D98" s="30" t="n"/>
      <c r="E98" s="30" t="n"/>
      <c r="F98" s="30" t="n"/>
      <c r="G98" s="30" t="n"/>
      <c r="H98" s="31">
        <f>IF($A98="","",IFERROR(ROUND($C98*INDEX(tblKurallar[deger_2025],MATCH("TBO-001",tblKurallar[kural_id],0))+$D98*INDEX(tblKurallar[deger_2025],MATCH("TBO-002",tblKurallar[kural_id],0))+$E98*INDEX(tblKurallar[deger_2025],MATCH("TBO-004",tblKurallar[kural_id],0))+$F98*tbo_isverenOran,2),0))</f>
        <v/>
      </c>
      <c r="I98" s="31">
        <f>IF($A98="","",IFERROR(MAX(0,$H98-$G98),0))</f>
        <v/>
      </c>
    </row>
    <row r="99">
      <c r="A99" s="30" t="n"/>
      <c r="B99" s="30" t="n"/>
      <c r="C99" s="30" t="n"/>
      <c r="D99" s="30" t="n"/>
      <c r="E99" s="30" t="n"/>
      <c r="F99" s="30" t="n"/>
      <c r="G99" s="30" t="n"/>
      <c r="H99" s="31">
        <f>IF($A99="","",IFERROR(ROUND($C99*INDEX(tblKurallar[deger_2025],MATCH("TBO-001",tblKurallar[kural_id],0))+$D99*INDEX(tblKurallar[deger_2025],MATCH("TBO-002",tblKurallar[kural_id],0))+$E99*INDEX(tblKurallar[deger_2025],MATCH("TBO-004",tblKurallar[kural_id],0))+$F99*tbo_isverenOran,2),0))</f>
        <v/>
      </c>
      <c r="I99" s="31">
        <f>IF($A99="","",IFERROR(MAX(0,$H99-$G99),0))</f>
        <v/>
      </c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31">
        <f>IF($A100="","",IFERROR(ROUND($C100*INDEX(tblKurallar[deger_2025],MATCH("TBO-001",tblKurallar[kural_id],0))+$D100*INDEX(tblKurallar[deger_2025],MATCH("TBO-002",tblKurallar[kural_id],0))+$E100*INDEX(tblKurallar[deger_2025],MATCH("TBO-004",tblKurallar[kural_id],0))+$F100*tbo_isverenOran,2),0))</f>
        <v/>
      </c>
      <c r="I100" s="31">
        <f>IF($A100="","",IFERROR(MAX(0,$H100-$G100),0))</f>
        <v/>
      </c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1">
        <f>IF($A101="","",IFERROR(ROUND($C101*INDEX(tblKurallar[deger_2025],MATCH("TBO-001",tblKurallar[kural_id],0))+$D101*INDEX(tblKurallar[deger_2025],MATCH("TBO-002",tblKurallar[kural_id],0))+$E101*INDEX(tblKurallar[deger_2025],MATCH("TBO-004",tblKurallar[kural_id],0))+$F101*tbo_isverenOran,2),0))</f>
        <v/>
      </c>
      <c r="I101" s="31">
        <f>IF($A101="","",IFERROR(MAX(0,$H101-$G101),0))</f>
        <v/>
      </c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31">
        <f>IF($A102="","",IFERROR(ROUND($C102*INDEX(tblKurallar[deger_2025],MATCH("TBO-001",tblKurallar[kural_id],0))+$D102*INDEX(tblKurallar[deger_2025],MATCH("TBO-002",tblKurallar[kural_id],0))+$E102*INDEX(tblKurallar[deger_2025],MATCH("TBO-004",tblKurallar[kural_id],0))+$F102*tbo_isverenOran,2),0))</f>
        <v/>
      </c>
      <c r="I102" s="31">
        <f>IF($A102="","",IFERROR(MAX(0,$H102-$G102),0))</f>
        <v/>
      </c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31">
        <f>IF($A103="","",IFERROR(ROUND($C103*INDEX(tblKurallar[deger_2025],MATCH("TBO-001",tblKurallar[kural_id],0))+$D103*INDEX(tblKurallar[deger_2025],MATCH("TBO-002",tblKurallar[kural_id],0))+$E103*INDEX(tblKurallar[deger_2025],MATCH("TBO-004",tblKurallar[kural_id],0))+$F103*tbo_isverenOran,2),0))</f>
        <v/>
      </c>
      <c r="I103" s="31">
        <f>IF($A103="","",IFERROR(MAX(0,$H103-$G103),0))</f>
        <v/>
      </c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31">
        <f>IF($A104="","",IFERROR(ROUND($C104*INDEX(tblKurallar[deger_2025],MATCH("TBO-001",tblKurallar[kural_id],0))+$D104*INDEX(tblKurallar[deger_2025],MATCH("TBO-002",tblKurallar[kural_id],0))+$E104*INDEX(tblKurallar[deger_2025],MATCH("TBO-004",tblKurallar[kural_id],0))+$F104*tbo_isverenOran,2),0))</f>
        <v/>
      </c>
      <c r="I104" s="31">
        <f>IF($A104="","",IFERROR(MAX(0,$H104-$G104),0))</f>
        <v/>
      </c>
    </row>
    <row r="105">
      <c r="A105" s="30" t="n"/>
      <c r="B105" s="30" t="n"/>
      <c r="C105" s="30" t="n"/>
      <c r="D105" s="30" t="n"/>
      <c r="E105" s="30" t="n"/>
      <c r="F105" s="30" t="n"/>
      <c r="G105" s="30" t="n"/>
      <c r="H105" s="31">
        <f>IF($A105="","",IFERROR(ROUND($C105*INDEX(tblKurallar[deger_2025],MATCH("TBO-001",tblKurallar[kural_id],0))+$D105*INDEX(tblKurallar[deger_2025],MATCH("TBO-002",tblKurallar[kural_id],0))+$E105*INDEX(tblKurallar[deger_2025],MATCH("TBO-004",tblKurallar[kural_id],0))+$F105*tbo_isverenOran,2),0))</f>
        <v/>
      </c>
      <c r="I105" s="31">
        <f>IF($A105="","",IFERROR(MAX(0,$H105-$G105),0))</f>
        <v/>
      </c>
    </row>
    <row r="106">
      <c r="A106" s="30" t="n"/>
      <c r="B106" s="30" t="n"/>
      <c r="C106" s="30" t="n"/>
      <c r="D106" s="30" t="n"/>
      <c r="E106" s="30" t="n"/>
      <c r="F106" s="30" t="n"/>
      <c r="G106" s="30" t="n"/>
      <c r="H106" s="31">
        <f>IF($A106="","",IFERROR(ROUND($C106*INDEX(tblKurallar[deger_2025],MATCH("TBO-001",tblKurallar[kural_id],0))+$D106*INDEX(tblKurallar[deger_2025],MATCH("TBO-002",tblKurallar[kural_id],0))+$E106*INDEX(tblKurallar[deger_2025],MATCH("TBO-004",tblKurallar[kural_id],0))+$F106*tbo_isverenOran,2),0))</f>
        <v/>
      </c>
      <c r="I106" s="31">
        <f>IF($A106="","",IFERROR(MAX(0,$H106-$G106),0))</f>
        <v/>
      </c>
    </row>
    <row r="107">
      <c r="A107" s="30" t="n"/>
      <c r="B107" s="30" t="n"/>
      <c r="C107" s="30" t="n"/>
      <c r="D107" s="30" t="n"/>
      <c r="E107" s="30" t="n"/>
      <c r="F107" s="30" t="n"/>
      <c r="G107" s="30" t="n"/>
      <c r="H107" s="31">
        <f>IF($A107="","",IFERROR(ROUND($C107*INDEX(tblKurallar[deger_2025],MATCH("TBO-001",tblKurallar[kural_id],0))+$D107*INDEX(tblKurallar[deger_2025],MATCH("TBO-002",tblKurallar[kural_id],0))+$E107*INDEX(tblKurallar[deger_2025],MATCH("TBO-004",tblKurallar[kural_id],0))+$F107*tbo_isverenOran,2),0))</f>
        <v/>
      </c>
      <c r="I107" s="31">
        <f>IF($A107="","",IFERROR(MAX(0,$H107-$G107),0))</f>
        <v/>
      </c>
    </row>
    <row r="108">
      <c r="A108" s="30" t="n"/>
      <c r="B108" s="30" t="n"/>
      <c r="C108" s="30" t="n"/>
      <c r="D108" s="30" t="n"/>
      <c r="E108" s="30" t="n"/>
      <c r="F108" s="30" t="n"/>
      <c r="G108" s="30" t="n"/>
      <c r="H108" s="31">
        <f>IF($A108="","",IFERROR(ROUND($C108*INDEX(tblKurallar[deger_2025],MATCH("TBO-001",tblKurallar[kural_id],0))+$D108*INDEX(tblKurallar[deger_2025],MATCH("TBO-002",tblKurallar[kural_id],0))+$E108*INDEX(tblKurallar[deger_2025],MATCH("TBO-004",tblKurallar[kural_id],0))+$F108*tbo_isverenOran,2),0))</f>
        <v/>
      </c>
      <c r="I108" s="31">
        <f>IF($A108="","",IFERROR(MAX(0,$H108-$G108),0))</f>
        <v/>
      </c>
    </row>
    <row r="109">
      <c r="A109" s="30" t="n"/>
      <c r="B109" s="30" t="n"/>
      <c r="C109" s="30" t="n"/>
      <c r="D109" s="30" t="n"/>
      <c r="E109" s="30" t="n"/>
      <c r="F109" s="30" t="n"/>
      <c r="G109" s="30" t="n"/>
      <c r="H109" s="31">
        <f>IF($A109="","",IFERROR(ROUND($C109*INDEX(tblKurallar[deger_2025],MATCH("TBO-001",tblKurallar[kural_id],0))+$D109*INDEX(tblKurallar[deger_2025],MATCH("TBO-002",tblKurallar[kural_id],0))+$E109*INDEX(tblKurallar[deger_2025],MATCH("TBO-004",tblKurallar[kural_id],0))+$F109*tbo_isverenOran,2),0))</f>
        <v/>
      </c>
      <c r="I109" s="31">
        <f>IF($A109="","",IFERROR(MAX(0,$H109-$G109),0))</f>
        <v/>
      </c>
    </row>
    <row r="110">
      <c r="A110" s="30" t="n"/>
      <c r="B110" s="30" t="n"/>
      <c r="C110" s="30" t="n"/>
      <c r="D110" s="30" t="n"/>
      <c r="E110" s="30" t="n"/>
      <c r="F110" s="30" t="n"/>
      <c r="G110" s="30" t="n"/>
      <c r="H110" s="31">
        <f>IF($A110="","",IFERROR(ROUND($C110*INDEX(tblKurallar[deger_2025],MATCH("TBO-001",tblKurallar[kural_id],0))+$D110*INDEX(tblKurallar[deger_2025],MATCH("TBO-002",tblKurallar[kural_id],0))+$E110*INDEX(tblKurallar[deger_2025],MATCH("TBO-004",tblKurallar[kural_id],0))+$F110*tbo_isverenOran,2),0))</f>
        <v/>
      </c>
      <c r="I110" s="31">
        <f>IF($A110="","",IFERROR(MAX(0,$H110-$G110),0))</f>
        <v/>
      </c>
    </row>
    <row r="111">
      <c r="A111" s="30" t="n"/>
      <c r="B111" s="30" t="n"/>
      <c r="C111" s="30" t="n"/>
      <c r="D111" s="30" t="n"/>
      <c r="E111" s="30" t="n"/>
      <c r="F111" s="30" t="n"/>
      <c r="G111" s="30" t="n"/>
      <c r="H111" s="31">
        <f>IF($A111="","",IFERROR(ROUND($C111*INDEX(tblKurallar[deger_2025],MATCH("TBO-001",tblKurallar[kural_id],0))+$D111*INDEX(tblKurallar[deger_2025],MATCH("TBO-002",tblKurallar[kural_id],0))+$E111*INDEX(tblKurallar[deger_2025],MATCH("TBO-004",tblKurallar[kural_id],0))+$F111*tbo_isverenOran,2),0))</f>
        <v/>
      </c>
      <c r="I111" s="31">
        <f>IF($A111="","",IFERROR(MAX(0,$H111-$G111),0))</f>
        <v/>
      </c>
    </row>
    <row r="112">
      <c r="A112" s="30" t="n"/>
      <c r="B112" s="30" t="n"/>
      <c r="C112" s="30" t="n"/>
      <c r="D112" s="30" t="n"/>
      <c r="E112" s="30" t="n"/>
      <c r="F112" s="30" t="n"/>
      <c r="G112" s="30" t="n"/>
      <c r="H112" s="31">
        <f>IF($A112="","",IFERROR(ROUND($C112*INDEX(tblKurallar[deger_2025],MATCH("TBO-001",tblKurallar[kural_id],0))+$D112*INDEX(tblKurallar[deger_2025],MATCH("TBO-002",tblKurallar[kural_id],0))+$E112*INDEX(tblKurallar[deger_2025],MATCH("TBO-004",tblKurallar[kural_id],0))+$F112*tbo_isverenOran,2),0))</f>
        <v/>
      </c>
      <c r="I112" s="31">
        <f>IF($A112="","",IFERROR(MAX(0,$H112-$G112),0))</f>
        <v/>
      </c>
    </row>
    <row r="113">
      <c r="A113" s="30" t="n"/>
      <c r="B113" s="30" t="n"/>
      <c r="C113" s="30" t="n"/>
      <c r="D113" s="30" t="n"/>
      <c r="E113" s="30" t="n"/>
      <c r="F113" s="30" t="n"/>
      <c r="G113" s="30" t="n"/>
      <c r="H113" s="31">
        <f>IF($A113="","",IFERROR(ROUND($C113*INDEX(tblKurallar[deger_2025],MATCH("TBO-001",tblKurallar[kural_id],0))+$D113*INDEX(tblKurallar[deger_2025],MATCH("TBO-002",tblKurallar[kural_id],0))+$E113*INDEX(tblKurallar[deger_2025],MATCH("TBO-004",tblKurallar[kural_id],0))+$F113*tbo_isverenOran,2),0))</f>
        <v/>
      </c>
      <c r="I113" s="31">
        <f>IF($A113="","",IFERROR(MAX(0,$H113-$G113),0))</f>
        <v/>
      </c>
    </row>
    <row r="114">
      <c r="A114" s="30" t="n"/>
      <c r="B114" s="30" t="n"/>
      <c r="C114" s="30" t="n"/>
      <c r="D114" s="30" t="n"/>
      <c r="E114" s="30" t="n"/>
      <c r="F114" s="30" t="n"/>
      <c r="G114" s="30" t="n"/>
      <c r="H114" s="31">
        <f>IF($A114="","",IFERROR(ROUND($C114*INDEX(tblKurallar[deger_2025],MATCH("TBO-001",tblKurallar[kural_id],0))+$D114*INDEX(tblKurallar[deger_2025],MATCH("TBO-002",tblKurallar[kural_id],0))+$E114*INDEX(tblKurallar[deger_2025],MATCH("TBO-004",tblKurallar[kural_id],0))+$F114*tbo_isverenOran,2),0))</f>
        <v/>
      </c>
      <c r="I114" s="31">
        <f>IF($A114="","",IFERROR(MAX(0,$H114-$G114),0))</f>
        <v/>
      </c>
    </row>
    <row r="115">
      <c r="A115" s="30" t="n"/>
      <c r="B115" s="30" t="n"/>
      <c r="C115" s="30" t="n"/>
      <c r="D115" s="30" t="n"/>
      <c r="E115" s="30" t="n"/>
      <c r="F115" s="30" t="n"/>
      <c r="G115" s="30" t="n"/>
      <c r="H115" s="31">
        <f>IF($A115="","",IFERROR(ROUND($C115*INDEX(tblKurallar[deger_2025],MATCH("TBO-001",tblKurallar[kural_id],0))+$D115*INDEX(tblKurallar[deger_2025],MATCH("TBO-002",tblKurallar[kural_id],0))+$E115*INDEX(tblKurallar[deger_2025],MATCH("TBO-004",tblKurallar[kural_id],0))+$F115*tbo_isverenOran,2),0))</f>
        <v/>
      </c>
      <c r="I115" s="31">
        <f>IF($A115="","",IFERROR(MAX(0,$H115-$G115),0))</f>
        <v/>
      </c>
    </row>
    <row r="116">
      <c r="A116" s="30" t="n"/>
      <c r="B116" s="30" t="n"/>
      <c r="C116" s="30" t="n"/>
      <c r="D116" s="30" t="n"/>
      <c r="E116" s="30" t="n"/>
      <c r="F116" s="30" t="n"/>
      <c r="G116" s="30" t="n"/>
      <c r="H116" s="31">
        <f>IF($A116="","",IFERROR(ROUND($C116*INDEX(tblKurallar[deger_2025],MATCH("TBO-001",tblKurallar[kural_id],0))+$D116*INDEX(tblKurallar[deger_2025],MATCH("TBO-002",tblKurallar[kural_id],0))+$E116*INDEX(tblKurallar[deger_2025],MATCH("TBO-004",tblKurallar[kural_id],0))+$F116*tbo_isverenOran,2),0))</f>
        <v/>
      </c>
      <c r="I116" s="31">
        <f>IF($A116="","",IFERROR(MAX(0,$H116-$G116),0))</f>
        <v/>
      </c>
    </row>
    <row r="117">
      <c r="A117" s="30" t="n"/>
      <c r="B117" s="30" t="n"/>
      <c r="C117" s="30" t="n"/>
      <c r="D117" s="30" t="n"/>
      <c r="E117" s="30" t="n"/>
      <c r="F117" s="30" t="n"/>
      <c r="G117" s="30" t="n"/>
      <c r="H117" s="31">
        <f>IF($A117="","",IFERROR(ROUND($C117*INDEX(tblKurallar[deger_2025],MATCH("TBO-001",tblKurallar[kural_id],0))+$D117*INDEX(tblKurallar[deger_2025],MATCH("TBO-002",tblKurallar[kural_id],0))+$E117*INDEX(tblKurallar[deger_2025],MATCH("TBO-004",tblKurallar[kural_id],0))+$F117*tbo_isverenOran,2),0))</f>
        <v/>
      </c>
      <c r="I117" s="31">
        <f>IF($A117="","",IFERROR(MAX(0,$H117-$G117),0))</f>
        <v/>
      </c>
    </row>
    <row r="118">
      <c r="A118" s="30" t="n"/>
      <c r="B118" s="30" t="n"/>
      <c r="C118" s="30" t="n"/>
      <c r="D118" s="30" t="n"/>
      <c r="E118" s="30" t="n"/>
      <c r="F118" s="30" t="n"/>
      <c r="G118" s="30" t="n"/>
      <c r="H118" s="31">
        <f>IF($A118="","",IFERROR(ROUND($C118*INDEX(tblKurallar[deger_2025],MATCH("TBO-001",tblKurallar[kural_id],0))+$D118*INDEX(tblKurallar[deger_2025],MATCH("TBO-002",tblKurallar[kural_id],0))+$E118*INDEX(tblKurallar[deger_2025],MATCH("TBO-004",tblKurallar[kural_id],0))+$F118*tbo_isverenOran,2),0))</f>
        <v/>
      </c>
      <c r="I118" s="31">
        <f>IF($A118="","",IFERROR(MAX(0,$H118-$G118),0))</f>
        <v/>
      </c>
    </row>
    <row r="119">
      <c r="A119" s="30" t="n"/>
      <c r="B119" s="30" t="n"/>
      <c r="C119" s="30" t="n"/>
      <c r="D119" s="30" t="n"/>
      <c r="E119" s="30" t="n"/>
      <c r="F119" s="30" t="n"/>
      <c r="G119" s="30" t="n"/>
      <c r="H119" s="31">
        <f>IF($A119="","",IFERROR(ROUND($C119*INDEX(tblKurallar[deger_2025],MATCH("TBO-001",tblKurallar[kural_id],0))+$D119*INDEX(tblKurallar[deger_2025],MATCH("TBO-002",tblKurallar[kural_id],0))+$E119*INDEX(tblKurallar[deger_2025],MATCH("TBO-004",tblKurallar[kural_id],0))+$F119*tbo_isverenOran,2),0))</f>
        <v/>
      </c>
      <c r="I119" s="31">
        <f>IF($A119="","",IFERROR(MAX(0,$H119-$G119),0))</f>
        <v/>
      </c>
    </row>
    <row r="120">
      <c r="A120" s="30" t="n"/>
      <c r="B120" s="30" t="n"/>
      <c r="C120" s="30" t="n"/>
      <c r="D120" s="30" t="n"/>
      <c r="E120" s="30" t="n"/>
      <c r="F120" s="30" t="n"/>
      <c r="G120" s="30" t="n"/>
      <c r="H120" s="31">
        <f>IF($A120="","",IFERROR(ROUND($C120*INDEX(tblKurallar[deger_2025],MATCH("TBO-001",tblKurallar[kural_id],0))+$D120*INDEX(tblKurallar[deger_2025],MATCH("TBO-002",tblKurallar[kural_id],0))+$E120*INDEX(tblKurallar[deger_2025],MATCH("TBO-004",tblKurallar[kural_id],0))+$F120*tbo_isverenOran,2),0))</f>
        <v/>
      </c>
      <c r="I120" s="31">
        <f>IF($A120="","",IFERROR(MAX(0,$H120-$G120),0))</f>
        <v/>
      </c>
    </row>
    <row r="121">
      <c r="A121" s="30" t="n"/>
      <c r="B121" s="30" t="n"/>
      <c r="C121" s="30" t="n"/>
      <c r="D121" s="30" t="n"/>
      <c r="E121" s="30" t="n"/>
      <c r="F121" s="30" t="n"/>
      <c r="G121" s="30" t="n"/>
      <c r="H121" s="31">
        <f>IF($A121="","",IFERROR(ROUND($C121*INDEX(tblKurallar[deger_2025],MATCH("TBO-001",tblKurallar[kural_id],0))+$D121*INDEX(tblKurallar[deger_2025],MATCH("TBO-002",tblKurallar[kural_id],0))+$E121*INDEX(tblKurallar[deger_2025],MATCH("TBO-004",tblKurallar[kural_id],0))+$F121*tbo_isverenOran,2),0))</f>
        <v/>
      </c>
      <c r="I121" s="31">
        <f>IF($A121="","",IFERROR(MAX(0,$H121-$G121),0))</f>
        <v/>
      </c>
    </row>
    <row r="122">
      <c r="A122" s="30" t="n"/>
      <c r="B122" s="30" t="n"/>
      <c r="C122" s="30" t="n"/>
      <c r="D122" s="30" t="n"/>
      <c r="E122" s="30" t="n"/>
      <c r="F122" s="30" t="n"/>
      <c r="G122" s="30" t="n"/>
      <c r="H122" s="31">
        <f>IF($A122="","",IFERROR(ROUND($C122*INDEX(tblKurallar[deger_2025],MATCH("TBO-001",tblKurallar[kural_id],0))+$D122*INDEX(tblKurallar[deger_2025],MATCH("TBO-002",tblKurallar[kural_id],0))+$E122*INDEX(tblKurallar[deger_2025],MATCH("TBO-004",tblKurallar[kural_id],0))+$F122*tbo_isverenOran,2),0))</f>
        <v/>
      </c>
      <c r="I122" s="31">
        <f>IF($A122="","",IFERROR(MAX(0,$H122-$G122),0))</f>
        <v/>
      </c>
    </row>
    <row r="123">
      <c r="A123" s="30" t="n"/>
      <c r="B123" s="30" t="n"/>
      <c r="C123" s="30" t="n"/>
      <c r="D123" s="30" t="n"/>
      <c r="E123" s="30" t="n"/>
      <c r="F123" s="30" t="n"/>
      <c r="G123" s="30" t="n"/>
      <c r="H123" s="31">
        <f>IF($A123="","",IFERROR(ROUND($C123*INDEX(tblKurallar[deger_2025],MATCH("TBO-001",tblKurallar[kural_id],0))+$D123*INDEX(tblKurallar[deger_2025],MATCH("TBO-002",tblKurallar[kural_id],0))+$E123*INDEX(tblKurallar[deger_2025],MATCH("TBO-004",tblKurallar[kural_id],0))+$F123*tbo_isverenOran,2),0))</f>
        <v/>
      </c>
      <c r="I123" s="31">
        <f>IF($A123="","",IFERROR(MAX(0,$H123-$G123),0))</f>
        <v/>
      </c>
    </row>
    <row r="124">
      <c r="A124" s="30" t="n"/>
      <c r="B124" s="30" t="n"/>
      <c r="C124" s="30" t="n"/>
      <c r="D124" s="30" t="n"/>
      <c r="E124" s="30" t="n"/>
      <c r="F124" s="30" t="n"/>
      <c r="G124" s="30" t="n"/>
      <c r="H124" s="31">
        <f>IF($A124="","",IFERROR(ROUND($C124*INDEX(tblKurallar[deger_2025],MATCH("TBO-001",tblKurallar[kural_id],0))+$D124*INDEX(tblKurallar[deger_2025],MATCH("TBO-002",tblKurallar[kural_id],0))+$E124*INDEX(tblKurallar[deger_2025],MATCH("TBO-004",tblKurallar[kural_id],0))+$F124*tbo_isverenOran,2),0))</f>
        <v/>
      </c>
      <c r="I124" s="31">
        <f>IF($A124="","",IFERROR(MAX(0,$H124-$G124),0))</f>
        <v/>
      </c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31">
        <f>IF($A125="","",IFERROR(ROUND($C125*INDEX(tblKurallar[deger_2025],MATCH("TBO-001",tblKurallar[kural_id],0))+$D125*INDEX(tblKurallar[deger_2025],MATCH("TBO-002",tblKurallar[kural_id],0))+$E125*INDEX(tblKurallar[deger_2025],MATCH("TBO-004",tblKurallar[kural_id],0))+$F125*tbo_isverenOran,2),0))</f>
        <v/>
      </c>
      <c r="I125" s="31">
        <f>IF($A125="","",IFERROR(MAX(0,$H125-$G125),0))</f>
        <v/>
      </c>
    </row>
    <row r="126">
      <c r="A126" s="30" t="n"/>
      <c r="B126" s="30" t="n"/>
      <c r="C126" s="30" t="n"/>
      <c r="D126" s="30" t="n"/>
      <c r="E126" s="30" t="n"/>
      <c r="F126" s="30" t="n"/>
      <c r="G126" s="30" t="n"/>
      <c r="H126" s="31">
        <f>IF($A126="","",IFERROR(ROUND($C126*INDEX(tblKurallar[deger_2025],MATCH("TBO-001",tblKurallar[kural_id],0))+$D126*INDEX(tblKurallar[deger_2025],MATCH("TBO-002",tblKurallar[kural_id],0))+$E126*INDEX(tblKurallar[deger_2025],MATCH("TBO-004",tblKurallar[kural_id],0))+$F126*tbo_isverenOran,2),0))</f>
        <v/>
      </c>
      <c r="I126" s="31">
        <f>IF($A126="","",IFERROR(MAX(0,$H126-$G126),0))</f>
        <v/>
      </c>
    </row>
    <row r="127">
      <c r="A127" s="30" t="n"/>
      <c r="B127" s="30" t="n"/>
      <c r="C127" s="30" t="n"/>
      <c r="D127" s="30" t="n"/>
      <c r="E127" s="30" t="n"/>
      <c r="F127" s="30" t="n"/>
      <c r="G127" s="30" t="n"/>
      <c r="H127" s="31">
        <f>IF($A127="","",IFERROR(ROUND($C127*INDEX(tblKurallar[deger_2025],MATCH("TBO-001",tblKurallar[kural_id],0))+$D127*INDEX(tblKurallar[deger_2025],MATCH("TBO-002",tblKurallar[kural_id],0))+$E127*INDEX(tblKurallar[deger_2025],MATCH("TBO-004",tblKurallar[kural_id],0))+$F127*tbo_isverenOran,2),0))</f>
        <v/>
      </c>
      <c r="I127" s="31">
        <f>IF($A127="","",IFERROR(MAX(0,$H127-$G127),0))</f>
        <v/>
      </c>
    </row>
    <row r="128">
      <c r="A128" s="30" t="n"/>
      <c r="B128" s="30" t="n"/>
      <c r="C128" s="30" t="n"/>
      <c r="D128" s="30" t="n"/>
      <c r="E128" s="30" t="n"/>
      <c r="F128" s="30" t="n"/>
      <c r="G128" s="30" t="n"/>
      <c r="H128" s="31">
        <f>IF($A128="","",IFERROR(ROUND($C128*INDEX(tblKurallar[deger_2025],MATCH("TBO-001",tblKurallar[kural_id],0))+$D128*INDEX(tblKurallar[deger_2025],MATCH("TBO-002",tblKurallar[kural_id],0))+$E128*INDEX(tblKurallar[deger_2025],MATCH("TBO-004",tblKurallar[kural_id],0))+$F128*tbo_isverenOran,2),0))</f>
        <v/>
      </c>
      <c r="I128" s="31">
        <f>IF($A128="","",IFERROR(MAX(0,$H128-$G128),0))</f>
        <v/>
      </c>
    </row>
    <row r="129">
      <c r="A129" s="30" t="n"/>
      <c r="B129" s="30" t="n"/>
      <c r="C129" s="30" t="n"/>
      <c r="D129" s="30" t="n"/>
      <c r="E129" s="30" t="n"/>
      <c r="F129" s="30" t="n"/>
      <c r="G129" s="30" t="n"/>
      <c r="H129" s="31">
        <f>IF($A129="","",IFERROR(ROUND($C129*INDEX(tblKurallar[deger_2025],MATCH("TBO-001",tblKurallar[kural_id],0))+$D129*INDEX(tblKurallar[deger_2025],MATCH("TBO-002",tblKurallar[kural_id],0))+$E129*INDEX(tblKurallar[deger_2025],MATCH("TBO-004",tblKurallar[kural_id],0))+$F129*tbo_isverenOran,2),0))</f>
        <v/>
      </c>
      <c r="I129" s="31">
        <f>IF($A129="","",IFERROR(MAX(0,$H129-$G129),0))</f>
        <v/>
      </c>
    </row>
    <row r="130">
      <c r="A130" s="30" t="n"/>
      <c r="B130" s="30" t="n"/>
      <c r="C130" s="30" t="n"/>
      <c r="D130" s="30" t="n"/>
      <c r="E130" s="30" t="n"/>
      <c r="F130" s="30" t="n"/>
      <c r="G130" s="30" t="n"/>
      <c r="H130" s="31">
        <f>IF($A130="","",IFERROR(ROUND($C130*INDEX(tblKurallar[deger_2025],MATCH("TBO-001",tblKurallar[kural_id],0))+$D130*INDEX(tblKurallar[deger_2025],MATCH("TBO-002",tblKurallar[kural_id],0))+$E130*INDEX(tblKurallar[deger_2025],MATCH("TBO-004",tblKurallar[kural_id],0))+$F130*tbo_isverenOran,2),0))</f>
        <v/>
      </c>
      <c r="I130" s="31">
        <f>IF($A130="","",IFERROR(MAX(0,$H130-$G130),0))</f>
        <v/>
      </c>
    </row>
    <row r="131">
      <c r="A131" s="30" t="n"/>
      <c r="B131" s="30" t="n"/>
      <c r="C131" s="30" t="n"/>
      <c r="D131" s="30" t="n"/>
      <c r="E131" s="30" t="n"/>
      <c r="F131" s="30" t="n"/>
      <c r="G131" s="30" t="n"/>
      <c r="H131" s="31">
        <f>IF($A131="","",IFERROR(ROUND($C131*INDEX(tblKurallar[deger_2025],MATCH("TBO-001",tblKurallar[kural_id],0))+$D131*INDEX(tblKurallar[deger_2025],MATCH("TBO-002",tblKurallar[kural_id],0))+$E131*INDEX(tblKurallar[deger_2025],MATCH("TBO-004",tblKurallar[kural_id],0))+$F131*tbo_isverenOran,2),0))</f>
        <v/>
      </c>
      <c r="I131" s="31">
        <f>IF($A131="","",IFERROR(MAX(0,$H131-$G131),0))</f>
        <v/>
      </c>
    </row>
    <row r="132">
      <c r="A132" s="30" t="n"/>
      <c r="B132" s="30" t="n"/>
      <c r="C132" s="30" t="n"/>
      <c r="D132" s="30" t="n"/>
      <c r="E132" s="30" t="n"/>
      <c r="F132" s="30" t="n"/>
      <c r="G132" s="30" t="n"/>
      <c r="H132" s="31">
        <f>IF($A132="","",IFERROR(ROUND($C132*INDEX(tblKurallar[deger_2025],MATCH("TBO-001",tblKurallar[kural_id],0))+$D132*INDEX(tblKurallar[deger_2025],MATCH("TBO-002",tblKurallar[kural_id],0))+$E132*INDEX(tblKurallar[deger_2025],MATCH("TBO-004",tblKurallar[kural_id],0))+$F132*tbo_isverenOran,2),0))</f>
        <v/>
      </c>
      <c r="I132" s="31">
        <f>IF($A132="","",IFERROR(MAX(0,$H132-$G132),0))</f>
        <v/>
      </c>
    </row>
    <row r="133">
      <c r="A133" s="30" t="n"/>
      <c r="B133" s="30" t="n"/>
      <c r="C133" s="30" t="n"/>
      <c r="D133" s="30" t="n"/>
      <c r="E133" s="30" t="n"/>
      <c r="F133" s="30" t="n"/>
      <c r="G133" s="30" t="n"/>
      <c r="H133" s="31">
        <f>IF($A133="","",IFERROR(ROUND($C133*INDEX(tblKurallar[deger_2025],MATCH("TBO-001",tblKurallar[kural_id],0))+$D133*INDEX(tblKurallar[deger_2025],MATCH("TBO-002",tblKurallar[kural_id],0))+$E133*INDEX(tblKurallar[deger_2025],MATCH("TBO-004",tblKurallar[kural_id],0))+$F133*tbo_isverenOran,2),0))</f>
        <v/>
      </c>
      <c r="I133" s="31">
        <f>IF($A133="","",IFERROR(MAX(0,$H133-$G133),0))</f>
        <v/>
      </c>
    </row>
    <row r="134">
      <c r="A134" s="30" t="n"/>
      <c r="B134" s="30" t="n"/>
      <c r="C134" s="30" t="n"/>
      <c r="D134" s="30" t="n"/>
      <c r="E134" s="30" t="n"/>
      <c r="F134" s="30" t="n"/>
      <c r="G134" s="30" t="n"/>
      <c r="H134" s="31">
        <f>IF($A134="","",IFERROR(ROUND($C134*INDEX(tblKurallar[deger_2025],MATCH("TBO-001",tblKurallar[kural_id],0))+$D134*INDEX(tblKurallar[deger_2025],MATCH("TBO-002",tblKurallar[kural_id],0))+$E134*INDEX(tblKurallar[deger_2025],MATCH("TBO-004",tblKurallar[kural_id],0))+$F134*tbo_isverenOran,2),0))</f>
        <v/>
      </c>
      <c r="I134" s="31">
        <f>IF($A134="","",IFERROR(MAX(0,$H134-$G134),0))</f>
        <v/>
      </c>
    </row>
    <row r="135">
      <c r="A135" s="30" t="n"/>
      <c r="B135" s="30" t="n"/>
      <c r="C135" s="30" t="n"/>
      <c r="D135" s="30" t="n"/>
      <c r="E135" s="30" t="n"/>
      <c r="F135" s="30" t="n"/>
      <c r="G135" s="30" t="n"/>
      <c r="H135" s="31">
        <f>IF($A135="","",IFERROR(ROUND($C135*INDEX(tblKurallar[deger_2025],MATCH("TBO-001",tblKurallar[kural_id],0))+$D135*INDEX(tblKurallar[deger_2025],MATCH("TBO-002",tblKurallar[kural_id],0))+$E135*INDEX(tblKurallar[deger_2025],MATCH("TBO-004",tblKurallar[kural_id],0))+$F135*tbo_isverenOran,2),0))</f>
        <v/>
      </c>
      <c r="I135" s="31">
        <f>IF($A135="","",IFERROR(MAX(0,$H135-$G135),0))</f>
        <v/>
      </c>
    </row>
    <row r="136">
      <c r="A136" s="30" t="n"/>
      <c r="B136" s="30" t="n"/>
      <c r="C136" s="30" t="n"/>
      <c r="D136" s="30" t="n"/>
      <c r="E136" s="30" t="n"/>
      <c r="F136" s="30" t="n"/>
      <c r="G136" s="30" t="n"/>
      <c r="H136" s="31">
        <f>IF($A136="","",IFERROR(ROUND($C136*INDEX(tblKurallar[deger_2025],MATCH("TBO-001",tblKurallar[kural_id],0))+$D136*INDEX(tblKurallar[deger_2025],MATCH("TBO-002",tblKurallar[kural_id],0))+$E136*INDEX(tblKurallar[deger_2025],MATCH("TBO-004",tblKurallar[kural_id],0))+$F136*tbo_isverenOran,2),0))</f>
        <v/>
      </c>
      <c r="I136" s="31">
        <f>IF($A136="","",IFERROR(MAX(0,$H136-$G136),0))</f>
        <v/>
      </c>
    </row>
    <row r="137">
      <c r="A137" s="30" t="n"/>
      <c r="B137" s="30" t="n"/>
      <c r="C137" s="30" t="n"/>
      <c r="D137" s="30" t="n"/>
      <c r="E137" s="30" t="n"/>
      <c r="F137" s="30" t="n"/>
      <c r="G137" s="30" t="n"/>
      <c r="H137" s="31">
        <f>IF($A137="","",IFERROR(ROUND($C137*INDEX(tblKurallar[deger_2025],MATCH("TBO-001",tblKurallar[kural_id],0))+$D137*INDEX(tblKurallar[deger_2025],MATCH("TBO-002",tblKurallar[kural_id],0))+$E137*INDEX(tblKurallar[deger_2025],MATCH("TBO-004",tblKurallar[kural_id],0))+$F137*tbo_isverenOran,2),0))</f>
        <v/>
      </c>
      <c r="I137" s="31">
        <f>IF($A137="","",IFERROR(MAX(0,$H137-$G137),0))</f>
        <v/>
      </c>
    </row>
    <row r="138">
      <c r="A138" s="30" t="n"/>
      <c r="B138" s="30" t="n"/>
      <c r="C138" s="30" t="n"/>
      <c r="D138" s="30" t="n"/>
      <c r="E138" s="30" t="n"/>
      <c r="F138" s="30" t="n"/>
      <c r="G138" s="30" t="n"/>
      <c r="H138" s="31">
        <f>IF($A138="","",IFERROR(ROUND($C138*INDEX(tblKurallar[deger_2025],MATCH("TBO-001",tblKurallar[kural_id],0))+$D138*INDEX(tblKurallar[deger_2025],MATCH("TBO-002",tblKurallar[kural_id],0))+$E138*INDEX(tblKurallar[deger_2025],MATCH("TBO-004",tblKurallar[kural_id],0))+$F138*tbo_isverenOran,2),0))</f>
        <v/>
      </c>
      <c r="I138" s="31">
        <f>IF($A138="","",IFERROR(MAX(0,$H138-$G138),0))</f>
        <v/>
      </c>
    </row>
    <row r="139">
      <c r="A139" s="30" t="n"/>
      <c r="B139" s="30" t="n"/>
      <c r="C139" s="30" t="n"/>
      <c r="D139" s="30" t="n"/>
      <c r="E139" s="30" t="n"/>
      <c r="F139" s="30" t="n"/>
      <c r="G139" s="30" t="n"/>
      <c r="H139" s="31">
        <f>IF($A139="","",IFERROR(ROUND($C139*INDEX(tblKurallar[deger_2025],MATCH("TBO-001",tblKurallar[kural_id],0))+$D139*INDEX(tblKurallar[deger_2025],MATCH("TBO-002",tblKurallar[kural_id],0))+$E139*INDEX(tblKurallar[deger_2025],MATCH("TBO-004",tblKurallar[kural_id],0))+$F139*tbo_isverenOran,2),0))</f>
        <v/>
      </c>
      <c r="I139" s="31">
        <f>IF($A139="","",IFERROR(MAX(0,$H139-$G139),0))</f>
        <v/>
      </c>
    </row>
    <row r="140">
      <c r="A140" s="30" t="n"/>
      <c r="B140" s="30" t="n"/>
      <c r="C140" s="30" t="n"/>
      <c r="D140" s="30" t="n"/>
      <c r="E140" s="30" t="n"/>
      <c r="F140" s="30" t="n"/>
      <c r="G140" s="30" t="n"/>
      <c r="H140" s="31">
        <f>IF($A140="","",IFERROR(ROUND($C140*INDEX(tblKurallar[deger_2025],MATCH("TBO-001",tblKurallar[kural_id],0))+$D140*INDEX(tblKurallar[deger_2025],MATCH("TBO-002",tblKurallar[kural_id],0))+$E140*INDEX(tblKurallar[deger_2025],MATCH("TBO-004",tblKurallar[kural_id],0))+$F140*tbo_isverenOran,2),0))</f>
        <v/>
      </c>
      <c r="I140" s="31">
        <f>IF($A140="","",IFERROR(MAX(0,$H140-$G140),0))</f>
        <v/>
      </c>
    </row>
    <row r="141">
      <c r="A141" s="30" t="n"/>
      <c r="B141" s="30" t="n"/>
      <c r="C141" s="30" t="n"/>
      <c r="D141" s="30" t="n"/>
      <c r="E141" s="30" t="n"/>
      <c r="F141" s="30" t="n"/>
      <c r="G141" s="30" t="n"/>
      <c r="H141" s="31">
        <f>IF($A141="","",IFERROR(ROUND($C141*INDEX(tblKurallar[deger_2025],MATCH("TBO-001",tblKurallar[kural_id],0))+$D141*INDEX(tblKurallar[deger_2025],MATCH("TBO-002",tblKurallar[kural_id],0))+$E141*INDEX(tblKurallar[deger_2025],MATCH("TBO-004",tblKurallar[kural_id],0))+$F141*tbo_isverenOran,2),0))</f>
        <v/>
      </c>
      <c r="I141" s="31">
        <f>IF($A141="","",IFERROR(MAX(0,$H141-$G141),0))</f>
        <v/>
      </c>
    </row>
    <row r="142">
      <c r="A142" s="30" t="n"/>
      <c r="B142" s="30" t="n"/>
      <c r="C142" s="30" t="n"/>
      <c r="D142" s="30" t="n"/>
      <c r="E142" s="30" t="n"/>
      <c r="F142" s="30" t="n"/>
      <c r="G142" s="30" t="n"/>
      <c r="H142" s="31">
        <f>IF($A142="","",IFERROR(ROUND($C142*INDEX(tblKurallar[deger_2025],MATCH("TBO-001",tblKurallar[kural_id],0))+$D142*INDEX(tblKurallar[deger_2025],MATCH("TBO-002",tblKurallar[kural_id],0))+$E142*INDEX(tblKurallar[deger_2025],MATCH("TBO-004",tblKurallar[kural_id],0))+$F142*tbo_isverenOran,2),0))</f>
        <v/>
      </c>
      <c r="I142" s="31">
        <f>IF($A142="","",IFERROR(MAX(0,$H142-$G142),0))</f>
        <v/>
      </c>
    </row>
    <row r="143">
      <c r="A143" s="30" t="n"/>
      <c r="B143" s="30" t="n"/>
      <c r="C143" s="30" t="n"/>
      <c r="D143" s="30" t="n"/>
      <c r="E143" s="30" t="n"/>
      <c r="F143" s="30" t="n"/>
      <c r="G143" s="30" t="n"/>
      <c r="H143" s="31">
        <f>IF($A143="","",IFERROR(ROUND($C143*INDEX(tblKurallar[deger_2025],MATCH("TBO-001",tblKurallar[kural_id],0))+$D143*INDEX(tblKurallar[deger_2025],MATCH("TBO-002",tblKurallar[kural_id],0))+$E143*INDEX(tblKurallar[deger_2025],MATCH("TBO-004",tblKurallar[kural_id],0))+$F143*tbo_isverenOran,2),0))</f>
        <v/>
      </c>
      <c r="I143" s="31">
        <f>IF($A143="","",IFERROR(MAX(0,$H143-$G143),0))</f>
        <v/>
      </c>
    </row>
    <row r="144">
      <c r="A144" s="30" t="n"/>
      <c r="B144" s="30" t="n"/>
      <c r="C144" s="30" t="n"/>
      <c r="D144" s="30" t="n"/>
      <c r="E144" s="30" t="n"/>
      <c r="F144" s="30" t="n"/>
      <c r="G144" s="30" t="n"/>
      <c r="H144" s="31">
        <f>IF($A144="","",IFERROR(ROUND($C144*INDEX(tblKurallar[deger_2025],MATCH("TBO-001",tblKurallar[kural_id],0))+$D144*INDEX(tblKurallar[deger_2025],MATCH("TBO-002",tblKurallar[kural_id],0))+$E144*INDEX(tblKurallar[deger_2025],MATCH("TBO-004",tblKurallar[kural_id],0))+$F144*tbo_isverenOran,2),0))</f>
        <v/>
      </c>
      <c r="I144" s="31">
        <f>IF($A144="","",IFERROR(MAX(0,$H144-$G144),0))</f>
        <v/>
      </c>
    </row>
    <row r="145">
      <c r="A145" s="30" t="n"/>
      <c r="B145" s="30" t="n"/>
      <c r="C145" s="30" t="n"/>
      <c r="D145" s="30" t="n"/>
      <c r="E145" s="30" t="n"/>
      <c r="F145" s="30" t="n"/>
      <c r="G145" s="30" t="n"/>
      <c r="H145" s="31">
        <f>IF($A145="","",IFERROR(ROUND($C145*INDEX(tblKurallar[deger_2025],MATCH("TBO-001",tblKurallar[kural_id],0))+$D145*INDEX(tblKurallar[deger_2025],MATCH("TBO-002",tblKurallar[kural_id],0))+$E145*INDEX(tblKurallar[deger_2025],MATCH("TBO-004",tblKurallar[kural_id],0))+$F145*tbo_isverenOran,2),0))</f>
        <v/>
      </c>
      <c r="I145" s="31">
        <f>IF($A145="","",IFERROR(MAX(0,$H145-$G145),0))</f>
        <v/>
      </c>
    </row>
    <row r="146">
      <c r="A146" s="30" t="n"/>
      <c r="B146" s="30" t="n"/>
      <c r="C146" s="30" t="n"/>
      <c r="D146" s="30" t="n"/>
      <c r="E146" s="30" t="n"/>
      <c r="F146" s="30" t="n"/>
      <c r="G146" s="30" t="n"/>
      <c r="H146" s="31">
        <f>IF($A146="","",IFERROR(ROUND($C146*INDEX(tblKurallar[deger_2025],MATCH("TBO-001",tblKurallar[kural_id],0))+$D146*INDEX(tblKurallar[deger_2025],MATCH("TBO-002",tblKurallar[kural_id],0))+$E146*INDEX(tblKurallar[deger_2025],MATCH("TBO-004",tblKurallar[kural_id],0))+$F146*tbo_isverenOran,2),0))</f>
        <v/>
      </c>
      <c r="I146" s="31">
        <f>IF($A146="","",IFERROR(MAX(0,$H146-$G146),0))</f>
        <v/>
      </c>
    </row>
    <row r="147">
      <c r="A147" s="30" t="n"/>
      <c r="B147" s="30" t="n"/>
      <c r="C147" s="30" t="n"/>
      <c r="D147" s="30" t="n"/>
      <c r="E147" s="30" t="n"/>
      <c r="F147" s="30" t="n"/>
      <c r="G147" s="30" t="n"/>
      <c r="H147" s="31">
        <f>IF($A147="","",IFERROR(ROUND($C147*INDEX(tblKurallar[deger_2025],MATCH("TBO-001",tblKurallar[kural_id],0))+$D147*INDEX(tblKurallar[deger_2025],MATCH("TBO-002",tblKurallar[kural_id],0))+$E147*INDEX(tblKurallar[deger_2025],MATCH("TBO-004",tblKurallar[kural_id],0))+$F147*tbo_isverenOran,2),0))</f>
        <v/>
      </c>
      <c r="I147" s="31">
        <f>IF($A147="","",IFERROR(MAX(0,$H147-$G147),0))</f>
        <v/>
      </c>
    </row>
    <row r="148">
      <c r="A148" s="30" t="n"/>
      <c r="B148" s="30" t="n"/>
      <c r="C148" s="30" t="n"/>
      <c r="D148" s="30" t="n"/>
      <c r="E148" s="30" t="n"/>
      <c r="F148" s="30" t="n"/>
      <c r="G148" s="30" t="n"/>
      <c r="H148" s="31">
        <f>IF($A148="","",IFERROR(ROUND($C148*INDEX(tblKurallar[deger_2025],MATCH("TBO-001",tblKurallar[kural_id],0))+$D148*INDEX(tblKurallar[deger_2025],MATCH("TBO-002",tblKurallar[kural_id],0))+$E148*INDEX(tblKurallar[deger_2025],MATCH("TBO-004",tblKurallar[kural_id],0))+$F148*tbo_isverenOran,2),0))</f>
        <v/>
      </c>
      <c r="I148" s="31">
        <f>IF($A148="","",IFERROR(MAX(0,$H148-$G148),0))</f>
        <v/>
      </c>
    </row>
    <row r="149">
      <c r="A149" s="30" t="n"/>
      <c r="B149" s="30" t="n"/>
      <c r="C149" s="30" t="n"/>
      <c r="D149" s="30" t="n"/>
      <c r="E149" s="30" t="n"/>
      <c r="F149" s="30" t="n"/>
      <c r="G149" s="30" t="n"/>
      <c r="H149" s="31">
        <f>IF($A149="","",IFERROR(ROUND($C149*INDEX(tblKurallar[deger_2025],MATCH("TBO-001",tblKurallar[kural_id],0))+$D149*INDEX(tblKurallar[deger_2025],MATCH("TBO-002",tblKurallar[kural_id],0))+$E149*INDEX(tblKurallar[deger_2025],MATCH("TBO-004",tblKurallar[kural_id],0))+$F149*tbo_isverenOran,2),0))</f>
        <v/>
      </c>
      <c r="I149" s="31">
        <f>IF($A149="","",IFERROR(MAX(0,$H149-$G149),0))</f>
        <v/>
      </c>
    </row>
    <row r="150">
      <c r="A150" s="30" t="n"/>
      <c r="B150" s="30" t="n"/>
      <c r="C150" s="30" t="n"/>
      <c r="D150" s="30" t="n"/>
      <c r="E150" s="30" t="n"/>
      <c r="F150" s="30" t="n"/>
      <c r="G150" s="30" t="n"/>
      <c r="H150" s="31">
        <f>IF($A150="","",IFERROR(ROUND($C150*INDEX(tblKurallar[deger_2025],MATCH("TBO-001",tblKurallar[kural_id],0))+$D150*INDEX(tblKurallar[deger_2025],MATCH("TBO-002",tblKurallar[kural_id],0))+$E150*INDEX(tblKurallar[deger_2025],MATCH("TBO-004",tblKurallar[kural_id],0))+$F150*tbo_isverenOran,2),0))</f>
        <v/>
      </c>
      <c r="I150" s="31">
        <f>IF($A150="","",IFERROR(MAX(0,$H150-$G150),0))</f>
        <v/>
      </c>
    </row>
    <row r="151">
      <c r="A151" s="30" t="n"/>
      <c r="B151" s="30" t="n"/>
      <c r="C151" s="30" t="n"/>
      <c r="D151" s="30" t="n"/>
      <c r="E151" s="30" t="n"/>
      <c r="F151" s="30" t="n"/>
      <c r="G151" s="30" t="n"/>
      <c r="H151" s="31">
        <f>IF($A151="","",IFERROR(ROUND($C151*INDEX(tblKurallar[deger_2025],MATCH("TBO-001",tblKurallar[kural_id],0))+$D151*INDEX(tblKurallar[deger_2025],MATCH("TBO-002",tblKurallar[kural_id],0))+$E151*INDEX(tblKurallar[deger_2025],MATCH("TBO-004",tblKurallar[kural_id],0))+$F151*tbo_isverenOran,2),0))</f>
        <v/>
      </c>
      <c r="I151" s="31">
        <f>IF($A151="","",IFERROR(MAX(0,$H151-$G151),0))</f>
        <v/>
      </c>
    </row>
    <row r="152">
      <c r="A152" s="30" t="n"/>
      <c r="B152" s="30" t="n"/>
      <c r="C152" s="30" t="n"/>
      <c r="D152" s="30" t="n"/>
      <c r="E152" s="30" t="n"/>
      <c r="F152" s="30" t="n"/>
      <c r="G152" s="30" t="n"/>
      <c r="H152" s="31">
        <f>IF($A152="","",IFERROR(ROUND($C152*INDEX(tblKurallar[deger_2025],MATCH("TBO-001",tblKurallar[kural_id],0))+$D152*INDEX(tblKurallar[deger_2025],MATCH("TBO-002",tblKurallar[kural_id],0))+$E152*INDEX(tblKurallar[deger_2025],MATCH("TBO-004",tblKurallar[kural_id],0))+$F152*tbo_isverenOran,2),0))</f>
        <v/>
      </c>
      <c r="I152" s="31">
        <f>IF($A152="","",IFERROR(MAX(0,$H152-$G152),0))</f>
        <v/>
      </c>
    </row>
    <row r="153">
      <c r="A153" s="30" t="n"/>
      <c r="B153" s="30" t="n"/>
      <c r="C153" s="30" t="n"/>
      <c r="D153" s="30" t="n"/>
      <c r="E153" s="30" t="n"/>
      <c r="F153" s="30" t="n"/>
      <c r="G153" s="30" t="n"/>
      <c r="H153" s="31">
        <f>IF($A153="","",IFERROR(ROUND($C153*INDEX(tblKurallar[deger_2025],MATCH("TBO-001",tblKurallar[kural_id],0))+$D153*INDEX(tblKurallar[deger_2025],MATCH("TBO-002",tblKurallar[kural_id],0))+$E153*INDEX(tblKurallar[deger_2025],MATCH("TBO-004",tblKurallar[kural_id],0))+$F153*tbo_isverenOran,2),0))</f>
        <v/>
      </c>
      <c r="I153" s="31">
        <f>IF($A153="","",IFERROR(MAX(0,$H153-$G153),0))</f>
        <v/>
      </c>
    </row>
    <row r="154">
      <c r="A154" s="30" t="n"/>
      <c r="B154" s="30" t="n"/>
      <c r="C154" s="30" t="n"/>
      <c r="D154" s="30" t="n"/>
      <c r="E154" s="30" t="n"/>
      <c r="F154" s="30" t="n"/>
      <c r="G154" s="30" t="n"/>
      <c r="H154" s="31">
        <f>IF($A154="","",IFERROR(ROUND($C154*INDEX(tblKurallar[deger_2025],MATCH("TBO-001",tblKurallar[kural_id],0))+$D154*INDEX(tblKurallar[deger_2025],MATCH("TBO-002",tblKurallar[kural_id],0))+$E154*INDEX(tblKurallar[deger_2025],MATCH("TBO-004",tblKurallar[kural_id],0))+$F154*tbo_isverenOran,2),0))</f>
        <v/>
      </c>
      <c r="I154" s="31">
        <f>IF($A154="","",IFERROR(MAX(0,$H154-$G154),0))</f>
        <v/>
      </c>
    </row>
    <row r="155">
      <c r="A155" s="30" t="n"/>
      <c r="B155" s="30" t="n"/>
      <c r="C155" s="30" t="n"/>
      <c r="D155" s="30" t="n"/>
      <c r="E155" s="30" t="n"/>
      <c r="F155" s="30" t="n"/>
      <c r="G155" s="30" t="n"/>
      <c r="H155" s="31">
        <f>IF($A155="","",IFERROR(ROUND($C155*INDEX(tblKurallar[deger_2025],MATCH("TBO-001",tblKurallar[kural_id],0))+$D155*INDEX(tblKurallar[deger_2025],MATCH("TBO-002",tblKurallar[kural_id],0))+$E155*INDEX(tblKurallar[deger_2025],MATCH("TBO-004",tblKurallar[kural_id],0))+$F155*tbo_isverenOran,2),0))</f>
        <v/>
      </c>
      <c r="I155" s="31">
        <f>IF($A155="","",IFERROR(MAX(0,$H155-$G155),0))</f>
        <v/>
      </c>
    </row>
    <row r="156">
      <c r="A156" s="30" t="n"/>
      <c r="B156" s="30" t="n"/>
      <c r="C156" s="30" t="n"/>
      <c r="D156" s="30" t="n"/>
      <c r="E156" s="30" t="n"/>
      <c r="F156" s="30" t="n"/>
      <c r="G156" s="30" t="n"/>
      <c r="H156" s="31">
        <f>IF($A156="","",IFERROR(ROUND($C156*INDEX(tblKurallar[deger_2025],MATCH("TBO-001",tblKurallar[kural_id],0))+$D156*INDEX(tblKurallar[deger_2025],MATCH("TBO-002",tblKurallar[kural_id],0))+$E156*INDEX(tblKurallar[deger_2025],MATCH("TBO-004",tblKurallar[kural_id],0))+$F156*tbo_isverenOran,2),0))</f>
        <v/>
      </c>
      <c r="I156" s="31">
        <f>IF($A156="","",IFERROR(MAX(0,$H156-$G156),0))</f>
        <v/>
      </c>
    </row>
    <row r="157">
      <c r="A157" s="30" t="n"/>
      <c r="B157" s="30" t="n"/>
      <c r="C157" s="30" t="n"/>
      <c r="D157" s="30" t="n"/>
      <c r="E157" s="30" t="n"/>
      <c r="F157" s="30" t="n"/>
      <c r="G157" s="30" t="n"/>
      <c r="H157" s="31">
        <f>IF($A157="","",IFERROR(ROUND($C157*INDEX(tblKurallar[deger_2025],MATCH("TBO-001",tblKurallar[kural_id],0))+$D157*INDEX(tblKurallar[deger_2025],MATCH("TBO-002",tblKurallar[kural_id],0))+$E157*INDEX(tblKurallar[deger_2025],MATCH("TBO-004",tblKurallar[kural_id],0))+$F157*tbo_isverenOran,2),0))</f>
        <v/>
      </c>
      <c r="I157" s="31">
        <f>IF($A157="","",IFERROR(MAX(0,$H157-$G157),0))</f>
        <v/>
      </c>
    </row>
    <row r="158">
      <c r="A158" s="30" t="n"/>
      <c r="B158" s="30" t="n"/>
      <c r="C158" s="30" t="n"/>
      <c r="D158" s="30" t="n"/>
      <c r="E158" s="30" t="n"/>
      <c r="F158" s="30" t="n"/>
      <c r="G158" s="30" t="n"/>
      <c r="H158" s="31">
        <f>IF($A158="","",IFERROR(ROUND($C158*INDEX(tblKurallar[deger_2025],MATCH("TBO-001",tblKurallar[kural_id],0))+$D158*INDEX(tblKurallar[deger_2025],MATCH("TBO-002",tblKurallar[kural_id],0))+$E158*INDEX(tblKurallar[deger_2025],MATCH("TBO-004",tblKurallar[kural_id],0))+$F158*tbo_isverenOran,2),0))</f>
        <v/>
      </c>
      <c r="I158" s="31">
        <f>IF($A158="","",IFERROR(MAX(0,$H158-$G158),0))</f>
        <v/>
      </c>
    </row>
    <row r="159">
      <c r="A159" s="30" t="n"/>
      <c r="B159" s="30" t="n"/>
      <c r="C159" s="30" t="n"/>
      <c r="D159" s="30" t="n"/>
      <c r="E159" s="30" t="n"/>
      <c r="F159" s="30" t="n"/>
      <c r="G159" s="30" t="n"/>
      <c r="H159" s="31">
        <f>IF($A159="","",IFERROR(ROUND($C159*INDEX(tblKurallar[deger_2025],MATCH("TBO-001",tblKurallar[kural_id],0))+$D159*INDEX(tblKurallar[deger_2025],MATCH("TBO-002",tblKurallar[kural_id],0))+$E159*INDEX(tblKurallar[deger_2025],MATCH("TBO-004",tblKurallar[kural_id],0))+$F159*tbo_isverenOran,2),0))</f>
        <v/>
      </c>
      <c r="I159" s="31">
        <f>IF($A159="","",IFERROR(MAX(0,$H159-$G159),0))</f>
        <v/>
      </c>
    </row>
    <row r="160">
      <c r="A160" s="30" t="n"/>
      <c r="B160" s="30" t="n"/>
      <c r="C160" s="30" t="n"/>
      <c r="D160" s="30" t="n"/>
      <c r="E160" s="30" t="n"/>
      <c r="F160" s="30" t="n"/>
      <c r="G160" s="30" t="n"/>
      <c r="H160" s="31">
        <f>IF($A160="","",IFERROR(ROUND($C160*INDEX(tblKurallar[deger_2025],MATCH("TBO-001",tblKurallar[kural_id],0))+$D160*INDEX(tblKurallar[deger_2025],MATCH("TBO-002",tblKurallar[kural_id],0))+$E160*INDEX(tblKurallar[deger_2025],MATCH("TBO-004",tblKurallar[kural_id],0))+$F160*tbo_isverenOran,2),0))</f>
        <v/>
      </c>
      <c r="I160" s="31">
        <f>IF($A160="","",IFERROR(MAX(0,$H160-$G160),0))</f>
        <v/>
      </c>
    </row>
    <row r="161">
      <c r="A161" s="30" t="n"/>
      <c r="B161" s="30" t="n"/>
      <c r="C161" s="30" t="n"/>
      <c r="D161" s="30" t="n"/>
      <c r="E161" s="30" t="n"/>
      <c r="F161" s="30" t="n"/>
      <c r="G161" s="30" t="n"/>
      <c r="H161" s="31">
        <f>IF($A161="","",IFERROR(ROUND($C161*INDEX(tblKurallar[deger_2025],MATCH("TBO-001",tblKurallar[kural_id],0))+$D161*INDEX(tblKurallar[deger_2025],MATCH("TBO-002",tblKurallar[kural_id],0))+$E161*INDEX(tblKurallar[deger_2025],MATCH("TBO-004",tblKurallar[kural_id],0))+$F161*tbo_isverenOran,2),0))</f>
        <v/>
      </c>
      <c r="I161" s="31">
        <f>IF($A161="","",IFERROR(MAX(0,$H161-$G161),0))</f>
        <v/>
      </c>
    </row>
    <row r="162">
      <c r="A162" s="30" t="n"/>
      <c r="B162" s="30" t="n"/>
      <c r="C162" s="30" t="n"/>
      <c r="D162" s="30" t="n"/>
      <c r="E162" s="30" t="n"/>
      <c r="F162" s="30" t="n"/>
      <c r="G162" s="30" t="n"/>
      <c r="H162" s="31">
        <f>IF($A162="","",IFERROR(ROUND($C162*INDEX(tblKurallar[deger_2025],MATCH("TBO-001",tblKurallar[kural_id],0))+$D162*INDEX(tblKurallar[deger_2025],MATCH("TBO-002",tblKurallar[kural_id],0))+$E162*INDEX(tblKurallar[deger_2025],MATCH("TBO-004",tblKurallar[kural_id],0))+$F162*tbo_isverenOran,2),0))</f>
        <v/>
      </c>
      <c r="I162" s="31">
        <f>IF($A162="","",IFERROR(MAX(0,$H162-$G162),0))</f>
        <v/>
      </c>
    </row>
    <row r="163">
      <c r="A163" s="30" t="n"/>
      <c r="B163" s="30" t="n"/>
      <c r="C163" s="30" t="n"/>
      <c r="D163" s="30" t="n"/>
      <c r="E163" s="30" t="n"/>
      <c r="F163" s="30" t="n"/>
      <c r="G163" s="30" t="n"/>
      <c r="H163" s="31">
        <f>IF($A163="","",IFERROR(ROUND($C163*INDEX(tblKurallar[deger_2025],MATCH("TBO-001",tblKurallar[kural_id],0))+$D163*INDEX(tblKurallar[deger_2025],MATCH("TBO-002",tblKurallar[kural_id],0))+$E163*INDEX(tblKurallar[deger_2025],MATCH("TBO-004",tblKurallar[kural_id],0))+$F163*tbo_isverenOran,2),0))</f>
        <v/>
      </c>
      <c r="I163" s="31">
        <f>IF($A163="","",IFERROR(MAX(0,$H163-$G163),0))</f>
        <v/>
      </c>
    </row>
    <row r="164">
      <c r="A164" s="30" t="n"/>
      <c r="B164" s="30" t="n"/>
      <c r="C164" s="30" t="n"/>
      <c r="D164" s="30" t="n"/>
      <c r="E164" s="30" t="n"/>
      <c r="F164" s="30" t="n"/>
      <c r="G164" s="30" t="n"/>
      <c r="H164" s="31">
        <f>IF($A164="","",IFERROR(ROUND($C164*INDEX(tblKurallar[deger_2025],MATCH("TBO-001",tblKurallar[kural_id],0))+$D164*INDEX(tblKurallar[deger_2025],MATCH("TBO-002",tblKurallar[kural_id],0))+$E164*INDEX(tblKurallar[deger_2025],MATCH("TBO-004",tblKurallar[kural_id],0))+$F164*tbo_isverenOran,2),0))</f>
        <v/>
      </c>
      <c r="I164" s="31">
        <f>IF($A164="","",IFERROR(MAX(0,$H164-$G164),0))</f>
        <v/>
      </c>
    </row>
    <row r="165">
      <c r="A165" s="30" t="n"/>
      <c r="B165" s="30" t="n"/>
      <c r="C165" s="30" t="n"/>
      <c r="D165" s="30" t="n"/>
      <c r="E165" s="30" t="n"/>
      <c r="F165" s="30" t="n"/>
      <c r="G165" s="30" t="n"/>
      <c r="H165" s="31">
        <f>IF($A165="","",IFERROR(ROUND($C165*INDEX(tblKurallar[deger_2025],MATCH("TBO-001",tblKurallar[kural_id],0))+$D165*INDEX(tblKurallar[deger_2025],MATCH("TBO-002",tblKurallar[kural_id],0))+$E165*INDEX(tblKurallar[deger_2025],MATCH("TBO-004",tblKurallar[kural_id],0))+$F165*tbo_isverenOran,2),0))</f>
        <v/>
      </c>
      <c r="I165" s="31">
        <f>IF($A165="","",IFERROR(MAX(0,$H165-$G165),0))</f>
        <v/>
      </c>
    </row>
    <row r="166">
      <c r="A166" s="30" t="n"/>
      <c r="B166" s="30" t="n"/>
      <c r="C166" s="30" t="n"/>
      <c r="D166" s="30" t="n"/>
      <c r="E166" s="30" t="n"/>
      <c r="F166" s="30" t="n"/>
      <c r="G166" s="30" t="n"/>
      <c r="H166" s="31">
        <f>IF($A166="","",IFERROR(ROUND($C166*INDEX(tblKurallar[deger_2025],MATCH("TBO-001",tblKurallar[kural_id],0))+$D166*INDEX(tblKurallar[deger_2025],MATCH("TBO-002",tblKurallar[kural_id],0))+$E166*INDEX(tblKurallar[deger_2025],MATCH("TBO-004",tblKurallar[kural_id],0))+$F166*tbo_isverenOran,2),0))</f>
        <v/>
      </c>
      <c r="I166" s="31">
        <f>IF($A166="","",IFERROR(MAX(0,$H166-$G166),0))</f>
        <v/>
      </c>
    </row>
    <row r="167">
      <c r="A167" s="30" t="n"/>
      <c r="B167" s="30" t="n"/>
      <c r="C167" s="30" t="n"/>
      <c r="D167" s="30" t="n"/>
      <c r="E167" s="30" t="n"/>
      <c r="F167" s="30" t="n"/>
      <c r="G167" s="30" t="n"/>
      <c r="H167" s="31">
        <f>IF($A167="","",IFERROR(ROUND($C167*INDEX(tblKurallar[deger_2025],MATCH("TBO-001",tblKurallar[kural_id],0))+$D167*INDEX(tblKurallar[deger_2025],MATCH("TBO-002",tblKurallar[kural_id],0))+$E167*INDEX(tblKurallar[deger_2025],MATCH("TBO-004",tblKurallar[kural_id],0))+$F167*tbo_isverenOran,2),0))</f>
        <v/>
      </c>
      <c r="I167" s="31">
        <f>IF($A167="","",IFERROR(MAX(0,$H167-$G167),0))</f>
        <v/>
      </c>
    </row>
    <row r="168">
      <c r="A168" s="30" t="n"/>
      <c r="B168" s="30" t="n"/>
      <c r="C168" s="30" t="n"/>
      <c r="D168" s="30" t="n"/>
      <c r="E168" s="30" t="n"/>
      <c r="F168" s="30" t="n"/>
      <c r="G168" s="30" t="n"/>
      <c r="H168" s="31">
        <f>IF($A168="","",IFERROR(ROUND($C168*INDEX(tblKurallar[deger_2025],MATCH("TBO-001",tblKurallar[kural_id],0))+$D168*INDEX(tblKurallar[deger_2025],MATCH("TBO-002",tblKurallar[kural_id],0))+$E168*INDEX(tblKurallar[deger_2025],MATCH("TBO-004",tblKurallar[kural_id],0))+$F168*tbo_isverenOran,2),0))</f>
        <v/>
      </c>
      <c r="I168" s="31">
        <f>IF($A168="","",IFERROR(MAX(0,$H168-$G168),0))</f>
        <v/>
      </c>
    </row>
    <row r="169">
      <c r="A169" s="30" t="n"/>
      <c r="B169" s="30" t="n"/>
      <c r="C169" s="30" t="n"/>
      <c r="D169" s="30" t="n"/>
      <c r="E169" s="30" t="n"/>
      <c r="F169" s="30" t="n"/>
      <c r="G169" s="30" t="n"/>
      <c r="H169" s="31">
        <f>IF($A169="","",IFERROR(ROUND($C169*INDEX(tblKurallar[deger_2025],MATCH("TBO-001",tblKurallar[kural_id],0))+$D169*INDEX(tblKurallar[deger_2025],MATCH("TBO-002",tblKurallar[kural_id],0))+$E169*INDEX(tblKurallar[deger_2025],MATCH("TBO-004",tblKurallar[kural_id],0))+$F169*tbo_isverenOran,2),0))</f>
        <v/>
      </c>
      <c r="I169" s="31">
        <f>IF($A169="","",IFERROR(MAX(0,$H169-$G169),0))</f>
        <v/>
      </c>
    </row>
    <row r="170">
      <c r="A170" s="30" t="n"/>
      <c r="B170" s="30" t="n"/>
      <c r="C170" s="30" t="n"/>
      <c r="D170" s="30" t="n"/>
      <c r="E170" s="30" t="n"/>
      <c r="F170" s="30" t="n"/>
      <c r="G170" s="30" t="n"/>
      <c r="H170" s="31">
        <f>IF($A170="","",IFERROR(ROUND($C170*INDEX(tblKurallar[deger_2025],MATCH("TBO-001",tblKurallar[kural_id],0))+$D170*INDEX(tblKurallar[deger_2025],MATCH("TBO-002",tblKurallar[kural_id],0))+$E170*INDEX(tblKurallar[deger_2025],MATCH("TBO-004",tblKurallar[kural_id],0))+$F170*tbo_isverenOran,2),0))</f>
        <v/>
      </c>
      <c r="I170" s="31">
        <f>IF($A170="","",IFERROR(MAX(0,$H170-$G170),0))</f>
        <v/>
      </c>
    </row>
    <row r="171">
      <c r="A171" s="30" t="n"/>
      <c r="B171" s="30" t="n"/>
      <c r="C171" s="30" t="n"/>
      <c r="D171" s="30" t="n"/>
      <c r="E171" s="30" t="n"/>
      <c r="F171" s="30" t="n"/>
      <c r="G171" s="30" t="n"/>
      <c r="H171" s="31">
        <f>IF($A171="","",IFERROR(ROUND($C171*INDEX(tblKurallar[deger_2025],MATCH("TBO-001",tblKurallar[kural_id],0))+$D171*INDEX(tblKurallar[deger_2025],MATCH("TBO-002",tblKurallar[kural_id],0))+$E171*INDEX(tblKurallar[deger_2025],MATCH("TBO-004",tblKurallar[kural_id],0))+$F171*tbo_isverenOran,2),0))</f>
        <v/>
      </c>
      <c r="I171" s="31">
        <f>IF($A171="","",IFERROR(MAX(0,$H171-$G171),0))</f>
        <v/>
      </c>
    </row>
    <row r="172">
      <c r="A172" s="30" t="n"/>
      <c r="B172" s="30" t="n"/>
      <c r="C172" s="30" t="n"/>
      <c r="D172" s="30" t="n"/>
      <c r="E172" s="30" t="n"/>
      <c r="F172" s="30" t="n"/>
      <c r="G172" s="30" t="n"/>
      <c r="H172" s="31">
        <f>IF($A172="","",IFERROR(ROUND($C172*INDEX(tblKurallar[deger_2025],MATCH("TBO-001",tblKurallar[kural_id],0))+$D172*INDEX(tblKurallar[deger_2025],MATCH("TBO-002",tblKurallar[kural_id],0))+$E172*INDEX(tblKurallar[deger_2025],MATCH("TBO-004",tblKurallar[kural_id],0))+$F172*tbo_isverenOran,2),0))</f>
        <v/>
      </c>
      <c r="I172" s="31">
        <f>IF($A172="","",IFERROR(MAX(0,$H172-$G172),0))</f>
        <v/>
      </c>
    </row>
    <row r="173">
      <c r="A173" s="30" t="n"/>
      <c r="B173" s="30" t="n"/>
      <c r="C173" s="30" t="n"/>
      <c r="D173" s="30" t="n"/>
      <c r="E173" s="30" t="n"/>
      <c r="F173" s="30" t="n"/>
      <c r="G173" s="30" t="n"/>
      <c r="H173" s="31">
        <f>IF($A173="","",IFERROR(ROUND($C173*INDEX(tblKurallar[deger_2025],MATCH("TBO-001",tblKurallar[kural_id],0))+$D173*INDEX(tblKurallar[deger_2025],MATCH("TBO-002",tblKurallar[kural_id],0))+$E173*INDEX(tblKurallar[deger_2025],MATCH("TBO-004",tblKurallar[kural_id],0))+$F173*tbo_isverenOran,2),0))</f>
        <v/>
      </c>
      <c r="I173" s="31">
        <f>IF($A173="","",IFERROR(MAX(0,$H173-$G173),0))</f>
        <v/>
      </c>
    </row>
    <row r="174">
      <c r="A174" s="30" t="n"/>
      <c r="B174" s="30" t="n"/>
      <c r="C174" s="30" t="n"/>
      <c r="D174" s="30" t="n"/>
      <c r="E174" s="30" t="n"/>
      <c r="F174" s="30" t="n"/>
      <c r="G174" s="30" t="n"/>
      <c r="H174" s="31">
        <f>IF($A174="","",IFERROR(ROUND($C174*INDEX(tblKurallar[deger_2025],MATCH("TBO-001",tblKurallar[kural_id],0))+$D174*INDEX(tblKurallar[deger_2025],MATCH("TBO-002",tblKurallar[kural_id],0))+$E174*INDEX(tblKurallar[deger_2025],MATCH("TBO-004",tblKurallar[kural_id],0))+$F174*tbo_isverenOran,2),0))</f>
        <v/>
      </c>
      <c r="I174" s="31">
        <f>IF($A174="","",IFERROR(MAX(0,$H174-$G174),0))</f>
        <v/>
      </c>
    </row>
    <row r="175">
      <c r="A175" s="30" t="n"/>
      <c r="B175" s="30" t="n"/>
      <c r="C175" s="30" t="n"/>
      <c r="D175" s="30" t="n"/>
      <c r="E175" s="30" t="n"/>
      <c r="F175" s="30" t="n"/>
      <c r="G175" s="30" t="n"/>
      <c r="H175" s="31">
        <f>IF($A175="","",IFERROR(ROUND($C175*INDEX(tblKurallar[deger_2025],MATCH("TBO-001",tblKurallar[kural_id],0))+$D175*INDEX(tblKurallar[deger_2025],MATCH("TBO-002",tblKurallar[kural_id],0))+$E175*INDEX(tblKurallar[deger_2025],MATCH("TBO-004",tblKurallar[kural_id],0))+$F175*tbo_isverenOran,2),0))</f>
        <v/>
      </c>
      <c r="I175" s="31">
        <f>IF($A175="","",IFERROR(MAX(0,$H175-$G175),0))</f>
        <v/>
      </c>
    </row>
    <row r="176">
      <c r="A176" s="30" t="n"/>
      <c r="B176" s="30" t="n"/>
      <c r="C176" s="30" t="n"/>
      <c r="D176" s="30" t="n"/>
      <c r="E176" s="30" t="n"/>
      <c r="F176" s="30" t="n"/>
      <c r="G176" s="30" t="n"/>
      <c r="H176" s="31">
        <f>IF($A176="","",IFERROR(ROUND($C176*INDEX(tblKurallar[deger_2025],MATCH("TBO-001",tblKurallar[kural_id],0))+$D176*INDEX(tblKurallar[deger_2025],MATCH("TBO-002",tblKurallar[kural_id],0))+$E176*INDEX(tblKurallar[deger_2025],MATCH("TBO-004",tblKurallar[kural_id],0))+$F176*tbo_isverenOran,2),0))</f>
        <v/>
      </c>
      <c r="I176" s="31">
        <f>IF($A176="","",IFERROR(MAX(0,$H176-$G176),0))</f>
        <v/>
      </c>
    </row>
    <row r="177">
      <c r="A177" s="30" t="n"/>
      <c r="B177" s="30" t="n"/>
      <c r="C177" s="30" t="n"/>
      <c r="D177" s="30" t="n"/>
      <c r="E177" s="30" t="n"/>
      <c r="F177" s="30" t="n"/>
      <c r="G177" s="30" t="n"/>
      <c r="H177" s="31">
        <f>IF($A177="","",IFERROR(ROUND($C177*INDEX(tblKurallar[deger_2025],MATCH("TBO-001",tblKurallar[kural_id],0))+$D177*INDEX(tblKurallar[deger_2025],MATCH("TBO-002",tblKurallar[kural_id],0))+$E177*INDEX(tblKurallar[deger_2025],MATCH("TBO-004",tblKurallar[kural_id],0))+$F177*tbo_isverenOran,2),0))</f>
        <v/>
      </c>
      <c r="I177" s="31">
        <f>IF($A177="","",IFERROR(MAX(0,$H177-$G177),0))</f>
        <v/>
      </c>
    </row>
    <row r="178">
      <c r="A178" s="30" t="n"/>
      <c r="B178" s="30" t="n"/>
      <c r="C178" s="30" t="n"/>
      <c r="D178" s="30" t="n"/>
      <c r="E178" s="30" t="n"/>
      <c r="F178" s="30" t="n"/>
      <c r="G178" s="30" t="n"/>
      <c r="H178" s="31">
        <f>IF($A178="","",IFERROR(ROUND($C178*INDEX(tblKurallar[deger_2025],MATCH("TBO-001",tblKurallar[kural_id],0))+$D178*INDEX(tblKurallar[deger_2025],MATCH("TBO-002",tblKurallar[kural_id],0))+$E178*INDEX(tblKurallar[deger_2025],MATCH("TBO-004",tblKurallar[kural_id],0))+$F178*tbo_isverenOran,2),0))</f>
        <v/>
      </c>
      <c r="I178" s="31">
        <f>IF($A178="","",IFERROR(MAX(0,$H178-$G178),0))</f>
        <v/>
      </c>
    </row>
    <row r="179">
      <c r="A179" s="30" t="n"/>
      <c r="B179" s="30" t="n"/>
      <c r="C179" s="30" t="n"/>
      <c r="D179" s="30" t="n"/>
      <c r="E179" s="30" t="n"/>
      <c r="F179" s="30" t="n"/>
      <c r="G179" s="30" t="n"/>
      <c r="H179" s="31">
        <f>IF($A179="","",IFERROR(ROUND($C179*INDEX(tblKurallar[deger_2025],MATCH("TBO-001",tblKurallar[kural_id],0))+$D179*INDEX(tblKurallar[deger_2025],MATCH("TBO-002",tblKurallar[kural_id],0))+$E179*INDEX(tblKurallar[deger_2025],MATCH("TBO-004",tblKurallar[kural_id],0))+$F179*tbo_isverenOran,2),0))</f>
        <v/>
      </c>
      <c r="I179" s="31">
        <f>IF($A179="","",IFERROR(MAX(0,$H179-$G179),0))</f>
        <v/>
      </c>
    </row>
    <row r="180">
      <c r="A180" s="30" t="n"/>
      <c r="B180" s="30" t="n"/>
      <c r="C180" s="30" t="n"/>
      <c r="D180" s="30" t="n"/>
      <c r="E180" s="30" t="n"/>
      <c r="F180" s="30" t="n"/>
      <c r="G180" s="30" t="n"/>
      <c r="H180" s="31">
        <f>IF($A180="","",IFERROR(ROUND($C180*INDEX(tblKurallar[deger_2025],MATCH("TBO-001",tblKurallar[kural_id],0))+$D180*INDEX(tblKurallar[deger_2025],MATCH("TBO-002",tblKurallar[kural_id],0))+$E180*INDEX(tblKurallar[deger_2025],MATCH("TBO-004",tblKurallar[kural_id],0))+$F180*tbo_isverenOran,2),0))</f>
        <v/>
      </c>
      <c r="I180" s="31">
        <f>IF($A180="","",IFERROR(MAX(0,$H180-$G180),0))</f>
        <v/>
      </c>
    </row>
    <row r="181">
      <c r="A181" s="30" t="n"/>
      <c r="B181" s="30" t="n"/>
      <c r="C181" s="30" t="n"/>
      <c r="D181" s="30" t="n"/>
      <c r="E181" s="30" t="n"/>
      <c r="F181" s="30" t="n"/>
      <c r="G181" s="30" t="n"/>
      <c r="H181" s="31">
        <f>IF($A181="","",IFERROR(ROUND($C181*INDEX(tblKurallar[deger_2025],MATCH("TBO-001",tblKurallar[kural_id],0))+$D181*INDEX(tblKurallar[deger_2025],MATCH("TBO-002",tblKurallar[kural_id],0))+$E181*INDEX(tblKurallar[deger_2025],MATCH("TBO-004",tblKurallar[kural_id],0))+$F181*tbo_isverenOran,2),0))</f>
        <v/>
      </c>
      <c r="I181" s="31">
        <f>IF($A181="","",IFERROR(MAX(0,$H181-$G181),0))</f>
        <v/>
      </c>
    </row>
    <row r="182">
      <c r="A182" s="30" t="n"/>
      <c r="B182" s="30" t="n"/>
      <c r="C182" s="30" t="n"/>
      <c r="D182" s="30" t="n"/>
      <c r="E182" s="30" t="n"/>
      <c r="F182" s="30" t="n"/>
      <c r="G182" s="30" t="n"/>
      <c r="H182" s="31">
        <f>IF($A182="","",IFERROR(ROUND($C182*INDEX(tblKurallar[deger_2025],MATCH("TBO-001",tblKurallar[kural_id],0))+$D182*INDEX(tblKurallar[deger_2025],MATCH("TBO-002",tblKurallar[kural_id],0))+$E182*INDEX(tblKurallar[deger_2025],MATCH("TBO-004",tblKurallar[kural_id],0))+$F182*tbo_isverenOran,2),0))</f>
        <v/>
      </c>
      <c r="I182" s="31">
        <f>IF($A182="","",IFERROR(MAX(0,$H182-$G182),0))</f>
        <v/>
      </c>
    </row>
    <row r="183">
      <c r="A183" s="30" t="n"/>
      <c r="B183" s="30" t="n"/>
      <c r="C183" s="30" t="n"/>
      <c r="D183" s="30" t="n"/>
      <c r="E183" s="30" t="n"/>
      <c r="F183" s="30" t="n"/>
      <c r="G183" s="30" t="n"/>
      <c r="H183" s="31">
        <f>IF($A183="","",IFERROR(ROUND($C183*INDEX(tblKurallar[deger_2025],MATCH("TBO-001",tblKurallar[kural_id],0))+$D183*INDEX(tblKurallar[deger_2025],MATCH("TBO-002",tblKurallar[kural_id],0))+$E183*INDEX(tblKurallar[deger_2025],MATCH("TBO-004",tblKurallar[kural_id],0))+$F183*tbo_isverenOran,2),0))</f>
        <v/>
      </c>
      <c r="I183" s="31">
        <f>IF($A183="","",IFERROR(MAX(0,$H183-$G183),0))</f>
        <v/>
      </c>
    </row>
    <row r="184">
      <c r="A184" s="30" t="n"/>
      <c r="B184" s="30" t="n"/>
      <c r="C184" s="30" t="n"/>
      <c r="D184" s="30" t="n"/>
      <c r="E184" s="30" t="n"/>
      <c r="F184" s="30" t="n"/>
      <c r="G184" s="30" t="n"/>
      <c r="H184" s="31">
        <f>IF($A184="","",IFERROR(ROUND($C184*INDEX(tblKurallar[deger_2025],MATCH("TBO-001",tblKurallar[kural_id],0))+$D184*INDEX(tblKurallar[deger_2025],MATCH("TBO-002",tblKurallar[kural_id],0))+$E184*INDEX(tblKurallar[deger_2025],MATCH("TBO-004",tblKurallar[kural_id],0))+$F184*tbo_isverenOran,2),0))</f>
        <v/>
      </c>
      <c r="I184" s="31">
        <f>IF($A184="","",IFERROR(MAX(0,$H184-$G184),0))</f>
        <v/>
      </c>
    </row>
    <row r="185">
      <c r="A185" s="30" t="n"/>
      <c r="B185" s="30" t="n"/>
      <c r="C185" s="30" t="n"/>
      <c r="D185" s="30" t="n"/>
      <c r="E185" s="30" t="n"/>
      <c r="F185" s="30" t="n"/>
      <c r="G185" s="30" t="n"/>
      <c r="H185" s="31">
        <f>IF($A185="","",IFERROR(ROUND($C185*INDEX(tblKurallar[deger_2025],MATCH("TBO-001",tblKurallar[kural_id],0))+$D185*INDEX(tblKurallar[deger_2025],MATCH("TBO-002",tblKurallar[kural_id],0))+$E185*INDEX(tblKurallar[deger_2025],MATCH("TBO-004",tblKurallar[kural_id],0))+$F185*tbo_isverenOran,2),0))</f>
        <v/>
      </c>
      <c r="I185" s="31">
        <f>IF($A185="","",IFERROR(MAX(0,$H185-$G185),0))</f>
        <v/>
      </c>
    </row>
    <row r="186">
      <c r="A186" s="30" t="n"/>
      <c r="B186" s="30" t="n"/>
      <c r="C186" s="30" t="n"/>
      <c r="D186" s="30" t="n"/>
      <c r="E186" s="30" t="n"/>
      <c r="F186" s="30" t="n"/>
      <c r="G186" s="30" t="n"/>
      <c r="H186" s="31">
        <f>IF($A186="","",IFERROR(ROUND($C186*INDEX(tblKurallar[deger_2025],MATCH("TBO-001",tblKurallar[kural_id],0))+$D186*INDEX(tblKurallar[deger_2025],MATCH("TBO-002",tblKurallar[kural_id],0))+$E186*INDEX(tblKurallar[deger_2025],MATCH("TBO-004",tblKurallar[kural_id],0))+$F186*tbo_isverenOran,2),0))</f>
        <v/>
      </c>
      <c r="I186" s="31">
        <f>IF($A186="","",IFERROR(MAX(0,$H186-$G186),0))</f>
        <v/>
      </c>
    </row>
    <row r="187">
      <c r="A187" s="30" t="n"/>
      <c r="B187" s="30" t="n"/>
      <c r="C187" s="30" t="n"/>
      <c r="D187" s="30" t="n"/>
      <c r="E187" s="30" t="n"/>
      <c r="F187" s="30" t="n"/>
      <c r="G187" s="30" t="n"/>
      <c r="H187" s="31">
        <f>IF($A187="","",IFERROR(ROUND($C187*INDEX(tblKurallar[deger_2025],MATCH("TBO-001",tblKurallar[kural_id],0))+$D187*INDEX(tblKurallar[deger_2025],MATCH("TBO-002",tblKurallar[kural_id],0))+$E187*INDEX(tblKurallar[deger_2025],MATCH("TBO-004",tblKurallar[kural_id],0))+$F187*tbo_isverenOran,2),0))</f>
        <v/>
      </c>
      <c r="I187" s="31">
        <f>IF($A187="","",IFERROR(MAX(0,$H187-$G187),0))</f>
        <v/>
      </c>
    </row>
    <row r="188">
      <c r="A188" s="30" t="n"/>
      <c r="B188" s="30" t="n"/>
      <c r="C188" s="30" t="n"/>
      <c r="D188" s="30" t="n"/>
      <c r="E188" s="30" t="n"/>
      <c r="F188" s="30" t="n"/>
      <c r="G188" s="30" t="n"/>
      <c r="H188" s="31">
        <f>IF($A188="","",IFERROR(ROUND($C188*INDEX(tblKurallar[deger_2025],MATCH("TBO-001",tblKurallar[kural_id],0))+$D188*INDEX(tblKurallar[deger_2025],MATCH("TBO-002",tblKurallar[kural_id],0))+$E188*INDEX(tblKurallar[deger_2025],MATCH("TBO-004",tblKurallar[kural_id],0))+$F188*tbo_isverenOran,2),0))</f>
        <v/>
      </c>
      <c r="I188" s="31">
        <f>IF($A188="","",IFERROR(MAX(0,$H188-$G188),0))</f>
        <v/>
      </c>
    </row>
    <row r="189">
      <c r="A189" s="30" t="n"/>
      <c r="B189" s="30" t="n"/>
      <c r="C189" s="30" t="n"/>
      <c r="D189" s="30" t="n"/>
      <c r="E189" s="30" t="n"/>
      <c r="F189" s="30" t="n"/>
      <c r="G189" s="30" t="n"/>
      <c r="H189" s="31">
        <f>IF($A189="","",IFERROR(ROUND($C189*INDEX(tblKurallar[deger_2025],MATCH("TBO-001",tblKurallar[kural_id],0))+$D189*INDEX(tblKurallar[deger_2025],MATCH("TBO-002",tblKurallar[kural_id],0))+$E189*INDEX(tblKurallar[deger_2025],MATCH("TBO-004",tblKurallar[kural_id],0))+$F189*tbo_isverenOran,2),0))</f>
        <v/>
      </c>
      <c r="I189" s="31">
        <f>IF($A189="","",IFERROR(MAX(0,$H189-$G189),0))</f>
        <v/>
      </c>
    </row>
    <row r="190">
      <c r="A190" s="30" t="n"/>
      <c r="B190" s="30" t="n"/>
      <c r="C190" s="30" t="n"/>
      <c r="D190" s="30" t="n"/>
      <c r="E190" s="30" t="n"/>
      <c r="F190" s="30" t="n"/>
      <c r="G190" s="30" t="n"/>
      <c r="H190" s="31">
        <f>IF($A190="","",IFERROR(ROUND($C190*INDEX(tblKurallar[deger_2025],MATCH("TBO-001",tblKurallar[kural_id],0))+$D190*INDEX(tblKurallar[deger_2025],MATCH("TBO-002",tblKurallar[kural_id],0))+$E190*INDEX(tblKurallar[deger_2025],MATCH("TBO-004",tblKurallar[kural_id],0))+$F190*tbo_isverenOran,2),0))</f>
        <v/>
      </c>
      <c r="I190" s="31">
        <f>IF($A190="","",IFERROR(MAX(0,$H190-$G190),0))</f>
        <v/>
      </c>
    </row>
    <row r="191">
      <c r="A191" s="30" t="n"/>
      <c r="B191" s="30" t="n"/>
      <c r="C191" s="30" t="n"/>
      <c r="D191" s="30" t="n"/>
      <c r="E191" s="30" t="n"/>
      <c r="F191" s="30" t="n"/>
      <c r="G191" s="30" t="n"/>
      <c r="H191" s="31">
        <f>IF($A191="","",IFERROR(ROUND($C191*INDEX(tblKurallar[deger_2025],MATCH("TBO-001",tblKurallar[kural_id],0))+$D191*INDEX(tblKurallar[deger_2025],MATCH("TBO-002",tblKurallar[kural_id],0))+$E191*INDEX(tblKurallar[deger_2025],MATCH("TBO-004",tblKurallar[kural_id],0))+$F191*tbo_isverenOran,2),0))</f>
        <v/>
      </c>
      <c r="I191" s="31">
        <f>IF($A191="","",IFERROR(MAX(0,$H191-$G191),0))</f>
        <v/>
      </c>
    </row>
    <row r="192">
      <c r="A192" s="30" t="n"/>
      <c r="B192" s="30" t="n"/>
      <c r="C192" s="30" t="n"/>
      <c r="D192" s="30" t="n"/>
      <c r="E192" s="30" t="n"/>
      <c r="F192" s="30" t="n"/>
      <c r="G192" s="30" t="n"/>
      <c r="H192" s="31">
        <f>IF($A192="","",IFERROR(ROUND($C192*INDEX(tblKurallar[deger_2025],MATCH("TBO-001",tblKurallar[kural_id],0))+$D192*INDEX(tblKurallar[deger_2025],MATCH("TBO-002",tblKurallar[kural_id],0))+$E192*INDEX(tblKurallar[deger_2025],MATCH("TBO-004",tblKurallar[kural_id],0))+$F192*tbo_isverenOran,2),0))</f>
        <v/>
      </c>
      <c r="I192" s="31">
        <f>IF($A192="","",IFERROR(MAX(0,$H192-$G192),0))</f>
        <v/>
      </c>
    </row>
    <row r="193">
      <c r="A193" s="30" t="n"/>
      <c r="B193" s="30" t="n"/>
      <c r="C193" s="30" t="n"/>
      <c r="D193" s="30" t="n"/>
      <c r="E193" s="30" t="n"/>
      <c r="F193" s="30" t="n"/>
      <c r="G193" s="30" t="n"/>
      <c r="H193" s="31">
        <f>IF($A193="","",IFERROR(ROUND($C193*INDEX(tblKurallar[deger_2025],MATCH("TBO-001",tblKurallar[kural_id],0))+$D193*INDEX(tblKurallar[deger_2025],MATCH("TBO-002",tblKurallar[kural_id],0))+$E193*INDEX(tblKurallar[deger_2025],MATCH("TBO-004",tblKurallar[kural_id],0))+$F193*tbo_isverenOran,2),0))</f>
        <v/>
      </c>
      <c r="I193" s="31">
        <f>IF($A193="","",IFERROR(MAX(0,$H193-$G193),0))</f>
        <v/>
      </c>
    </row>
    <row r="194">
      <c r="A194" s="30" t="n"/>
      <c r="B194" s="30" t="n"/>
      <c r="C194" s="30" t="n"/>
      <c r="D194" s="30" t="n"/>
      <c r="E194" s="30" t="n"/>
      <c r="F194" s="30" t="n"/>
      <c r="G194" s="30" t="n"/>
      <c r="H194" s="31">
        <f>IF($A194="","",IFERROR(ROUND($C194*INDEX(tblKurallar[deger_2025],MATCH("TBO-001",tblKurallar[kural_id],0))+$D194*INDEX(tblKurallar[deger_2025],MATCH("TBO-002",tblKurallar[kural_id],0))+$E194*INDEX(tblKurallar[deger_2025],MATCH("TBO-004",tblKurallar[kural_id],0))+$F194*tbo_isverenOran,2),0))</f>
        <v/>
      </c>
      <c r="I194" s="31">
        <f>IF($A194="","",IFERROR(MAX(0,$H194-$G194),0))</f>
        <v/>
      </c>
    </row>
    <row r="195">
      <c r="A195" s="30" t="n"/>
      <c r="B195" s="30" t="n"/>
      <c r="C195" s="30" t="n"/>
      <c r="D195" s="30" t="n"/>
      <c r="E195" s="30" t="n"/>
      <c r="F195" s="30" t="n"/>
      <c r="G195" s="30" t="n"/>
      <c r="H195" s="31">
        <f>IF($A195="","",IFERROR(ROUND($C195*INDEX(tblKurallar[deger_2025],MATCH("TBO-001",tblKurallar[kural_id],0))+$D195*INDEX(tblKurallar[deger_2025],MATCH("TBO-002",tblKurallar[kural_id],0))+$E195*INDEX(tblKurallar[deger_2025],MATCH("TBO-004",tblKurallar[kural_id],0))+$F195*tbo_isverenOran,2),0))</f>
        <v/>
      </c>
      <c r="I195" s="31">
        <f>IF($A195="","",IFERROR(MAX(0,$H195-$G195),0))</f>
        <v/>
      </c>
    </row>
    <row r="196">
      <c r="A196" s="30" t="n"/>
      <c r="B196" s="30" t="n"/>
      <c r="C196" s="30" t="n"/>
      <c r="D196" s="30" t="n"/>
      <c r="E196" s="30" t="n"/>
      <c r="F196" s="30" t="n"/>
      <c r="G196" s="30" t="n"/>
      <c r="H196" s="31">
        <f>IF($A196="","",IFERROR(ROUND($C196*INDEX(tblKurallar[deger_2025],MATCH("TBO-001",tblKurallar[kural_id],0))+$D196*INDEX(tblKurallar[deger_2025],MATCH("TBO-002",tblKurallar[kural_id],0))+$E196*INDEX(tblKurallar[deger_2025],MATCH("TBO-004",tblKurallar[kural_id],0))+$F196*tbo_isverenOran,2),0))</f>
        <v/>
      </c>
      <c r="I196" s="31">
        <f>IF($A196="","",IFERROR(MAX(0,$H196-$G196),0))</f>
        <v/>
      </c>
    </row>
    <row r="197">
      <c r="A197" s="30" t="n"/>
      <c r="B197" s="30" t="n"/>
      <c r="C197" s="30" t="n"/>
      <c r="D197" s="30" t="n"/>
      <c r="E197" s="30" t="n"/>
      <c r="F197" s="30" t="n"/>
      <c r="G197" s="30" t="n"/>
      <c r="H197" s="31">
        <f>IF($A197="","",IFERROR(ROUND($C197*INDEX(tblKurallar[deger_2025],MATCH("TBO-001",tblKurallar[kural_id],0))+$D197*INDEX(tblKurallar[deger_2025],MATCH("TBO-002",tblKurallar[kural_id],0))+$E197*INDEX(tblKurallar[deger_2025],MATCH("TBO-004",tblKurallar[kural_id],0))+$F197*tbo_isverenOran,2),0))</f>
        <v/>
      </c>
      <c r="I197" s="31">
        <f>IF($A197="","",IFERROR(MAX(0,$H197-$G197),0))</f>
        <v/>
      </c>
    </row>
    <row r="198">
      <c r="A198" s="30" t="n"/>
      <c r="B198" s="30" t="n"/>
      <c r="C198" s="30" t="n"/>
      <c r="D198" s="30" t="n"/>
      <c r="E198" s="30" t="n"/>
      <c r="F198" s="30" t="n"/>
      <c r="G198" s="30" t="n"/>
      <c r="H198" s="31">
        <f>IF($A198="","",IFERROR(ROUND($C198*INDEX(tblKurallar[deger_2025],MATCH("TBO-001",tblKurallar[kural_id],0))+$D198*INDEX(tblKurallar[deger_2025],MATCH("TBO-002",tblKurallar[kural_id],0))+$E198*INDEX(tblKurallar[deger_2025],MATCH("TBO-004",tblKurallar[kural_id],0))+$F198*tbo_isverenOran,2),0))</f>
        <v/>
      </c>
      <c r="I198" s="31">
        <f>IF($A198="","",IFERROR(MAX(0,$H198-$G198),0))</f>
        <v/>
      </c>
    </row>
    <row r="199">
      <c r="A199" s="30" t="n"/>
      <c r="B199" s="30" t="n"/>
      <c r="C199" s="30" t="n"/>
      <c r="D199" s="30" t="n"/>
      <c r="E199" s="30" t="n"/>
      <c r="F199" s="30" t="n"/>
      <c r="G199" s="30" t="n"/>
      <c r="H199" s="31">
        <f>IF($A199="","",IFERROR(ROUND($C199*INDEX(tblKurallar[deger_2025],MATCH("TBO-001",tblKurallar[kural_id],0))+$D199*INDEX(tblKurallar[deger_2025],MATCH("TBO-002",tblKurallar[kural_id],0))+$E199*INDEX(tblKurallar[deger_2025],MATCH("TBO-004",tblKurallar[kural_id],0))+$F199*tbo_isverenOran,2),0))</f>
        <v/>
      </c>
      <c r="I199" s="31">
        <f>IF($A199="","",IFERROR(MAX(0,$H199-$G199),0))</f>
        <v/>
      </c>
    </row>
    <row r="200">
      <c r="A200" s="30" t="n"/>
      <c r="B200" s="30" t="n"/>
      <c r="C200" s="30" t="n"/>
      <c r="D200" s="30" t="n"/>
      <c r="E200" s="30" t="n"/>
      <c r="F200" s="30" t="n"/>
      <c r="G200" s="30" t="n"/>
      <c r="H200" s="31">
        <f>IF($A200="","",IFERROR(ROUND($C200*INDEX(tblKurallar[deger_2025],MATCH("TBO-001",tblKurallar[kural_id],0))+$D200*INDEX(tblKurallar[deger_2025],MATCH("TBO-002",tblKurallar[kural_id],0))+$E200*INDEX(tblKurallar[deger_2025],MATCH("TBO-004",tblKurallar[kural_id],0))+$F200*tbo_isverenOran,2),0))</f>
        <v/>
      </c>
      <c r="I200" s="31">
        <f>IF($A200="","",IFERROR(MAX(0,$H200-$G200),0))</f>
        <v/>
      </c>
    </row>
    <row r="201">
      <c r="A201" s="30" t="n"/>
      <c r="B201" s="30" t="n"/>
      <c r="C201" s="30" t="n"/>
      <c r="D201" s="30" t="n"/>
      <c r="E201" s="30" t="n"/>
      <c r="F201" s="30" t="n"/>
      <c r="G201" s="30" t="n"/>
      <c r="H201" s="31">
        <f>IF($A201="","",IFERROR(ROUND($C201*INDEX(tblKurallar[deger_2025],MATCH("TBO-001",tblKurallar[kural_id],0))+$D201*INDEX(tblKurallar[deger_2025],MATCH("TBO-002",tblKurallar[kural_id],0))+$E201*INDEX(tblKurallar[deger_2025],MATCH("TBO-004",tblKurallar[kural_id],0))+$F201*tbo_isverenOran,2),0))</f>
        <v/>
      </c>
      <c r="I201" s="31">
        <f>IF($A201="","",IFERROR(MAX(0,$H201-$G201),0))</f>
        <v/>
      </c>
    </row>
    <row r="202">
      <c r="A202" s="30" t="n"/>
      <c r="B202" s="30" t="n"/>
      <c r="C202" s="30" t="n"/>
      <c r="D202" s="30" t="n"/>
      <c r="E202" s="30" t="n"/>
      <c r="F202" s="30" t="n"/>
      <c r="G202" s="30" t="n"/>
      <c r="H202" s="31">
        <f>IF($A202="","",IFERROR(ROUND($C202*INDEX(tblKurallar[deger_2025],MATCH("TBO-001",tblKurallar[kural_id],0))+$D202*INDEX(tblKurallar[deger_2025],MATCH("TBO-002",tblKurallar[kural_id],0))+$E202*INDEX(tblKurallar[deger_2025],MATCH("TBO-004",tblKurallar[kural_id],0))+$F202*tbo_isverenOran,2),0))</f>
        <v/>
      </c>
      <c r="I202" s="31">
        <f>IF($A202="","",IFERROR(MAX(0,$H202-$G202),0))</f>
        <v/>
      </c>
    </row>
    <row r="203">
      <c r="A203" s="30" t="n"/>
      <c r="B203" s="30" t="n"/>
      <c r="C203" s="30" t="n"/>
      <c r="D203" s="30" t="n"/>
      <c r="E203" s="30" t="n"/>
      <c r="F203" s="30" t="n"/>
      <c r="G203" s="30" t="n"/>
      <c r="H203" s="31">
        <f>IF($A203="","",IFERROR(ROUND($C203*INDEX(tblKurallar[deger_2025],MATCH("TBO-001",tblKurallar[kural_id],0))+$D203*INDEX(tblKurallar[deger_2025],MATCH("TBO-002",tblKurallar[kural_id],0))+$E203*INDEX(tblKurallar[deger_2025],MATCH("TBO-004",tblKurallar[kural_id],0))+$F203*tbo_isverenOran,2),0))</f>
        <v/>
      </c>
      <c r="I203" s="31">
        <f>IF($A203="","",IFERROR(MAX(0,$H203-$G203),0))</f>
        <v/>
      </c>
    </row>
    <row r="204">
      <c r="A204" s="30" t="n"/>
      <c r="B204" s="30" t="n"/>
      <c r="C204" s="30" t="n"/>
      <c r="D204" s="30" t="n"/>
      <c r="E204" s="30" t="n"/>
      <c r="F204" s="30" t="n"/>
      <c r="G204" s="30" t="n"/>
      <c r="H204" s="31">
        <f>IF($A204="","",IFERROR(ROUND($C204*INDEX(tblKurallar[deger_2025],MATCH("TBO-001",tblKurallar[kural_id],0))+$D204*INDEX(tblKurallar[deger_2025],MATCH("TBO-002",tblKurallar[kural_id],0))+$E204*INDEX(tblKurallar[deger_2025],MATCH("TBO-004",tblKurallar[kural_id],0))+$F204*tbo_isverenOran,2),0))</f>
        <v/>
      </c>
      <c r="I204" s="31">
        <f>IF($A204="","",IFERROR(MAX(0,$H204-$G204),0))</f>
        <v/>
      </c>
    </row>
    <row r="205">
      <c r="A205" s="30" t="n"/>
      <c r="B205" s="30" t="n"/>
      <c r="C205" s="30" t="n"/>
      <c r="D205" s="30" t="n"/>
      <c r="E205" s="30" t="n"/>
      <c r="F205" s="30" t="n"/>
      <c r="G205" s="30" t="n"/>
      <c r="H205" s="31">
        <f>IF($A205="","",IFERROR(ROUND($C205*INDEX(tblKurallar[deger_2025],MATCH("TBO-001",tblKurallar[kural_id],0))+$D205*INDEX(tblKurallar[deger_2025],MATCH("TBO-002",tblKurallar[kural_id],0))+$E205*INDEX(tblKurallar[deger_2025],MATCH("TBO-004",tblKurallar[kural_id],0))+$F205*tbo_isverenOran,2),0))</f>
        <v/>
      </c>
      <c r="I205" s="31">
        <f>IF($A205="","",IFERROR(MAX(0,$H205-$G205),0))</f>
        <v/>
      </c>
    </row>
    <row r="206">
      <c r="A206" s="30" t="n"/>
      <c r="B206" s="30" t="n"/>
      <c r="C206" s="30" t="n"/>
      <c r="D206" s="30" t="n"/>
      <c r="E206" s="30" t="n"/>
      <c r="F206" s="30" t="n"/>
      <c r="G206" s="30" t="n"/>
      <c r="H206" s="31">
        <f>IF($A206="","",IFERROR(ROUND($C206*INDEX(tblKurallar[deger_2025],MATCH("TBO-001",tblKurallar[kural_id],0))+$D206*INDEX(tblKurallar[deger_2025],MATCH("TBO-002",tblKurallar[kural_id],0))+$E206*INDEX(tblKurallar[deger_2025],MATCH("TBO-004",tblKurallar[kural_id],0))+$F206*tbo_isverenOran,2),0))</f>
        <v/>
      </c>
      <c r="I206" s="31">
        <f>IF($A206="","",IFERROR(MAX(0,$H206-$G206),0))</f>
        <v/>
      </c>
    </row>
    <row r="207">
      <c r="A207" s="30" t="n"/>
      <c r="B207" s="30" t="n"/>
      <c r="C207" s="30" t="n"/>
      <c r="D207" s="30" t="n"/>
      <c r="E207" s="30" t="n"/>
      <c r="F207" s="30" t="n"/>
      <c r="G207" s="30" t="n"/>
      <c r="H207" s="31">
        <f>IF($A207="","",IFERROR(ROUND($C207*INDEX(tblKurallar[deger_2025],MATCH("TBO-001",tblKurallar[kural_id],0))+$D207*INDEX(tblKurallar[deger_2025],MATCH("TBO-002",tblKurallar[kural_id],0))+$E207*INDEX(tblKurallar[deger_2025],MATCH("TBO-004",tblKurallar[kural_id],0))+$F207*tbo_isverenOran,2),0))</f>
        <v/>
      </c>
      <c r="I207" s="31">
        <f>IF($A207="","",IFERROR(MAX(0,$H207-$G207),0))</f>
        <v/>
      </c>
    </row>
    <row r="208">
      <c r="A208" s="30" t="n"/>
      <c r="B208" s="30" t="n"/>
      <c r="C208" s="30" t="n"/>
      <c r="D208" s="30" t="n"/>
      <c r="E208" s="30" t="n"/>
      <c r="F208" s="30" t="n"/>
      <c r="G208" s="30" t="n"/>
      <c r="H208" s="31">
        <f>IF($A208="","",IFERROR(ROUND($C208*INDEX(tblKurallar[deger_2025],MATCH("TBO-001",tblKurallar[kural_id],0))+$D208*INDEX(tblKurallar[deger_2025],MATCH("TBO-002",tblKurallar[kural_id],0))+$E208*INDEX(tblKurallar[deger_2025],MATCH("TBO-004",tblKurallar[kural_id],0))+$F208*tbo_isverenOran,2),0))</f>
        <v/>
      </c>
      <c r="I208" s="31">
        <f>IF($A208="","",IFERROR(MAX(0,$H208-$G208),0))</f>
        <v/>
      </c>
    </row>
    <row r="209">
      <c r="A209" s="30" t="n"/>
      <c r="B209" s="30" t="n"/>
      <c r="C209" s="30" t="n"/>
      <c r="D209" s="30" t="n"/>
      <c r="E209" s="30" t="n"/>
      <c r="F209" s="30" t="n"/>
      <c r="G209" s="30" t="n"/>
      <c r="H209" s="31">
        <f>IF($A209="","",IFERROR(ROUND($C209*INDEX(tblKurallar[deger_2025],MATCH("TBO-001",tblKurallar[kural_id],0))+$D209*INDEX(tblKurallar[deger_2025],MATCH("TBO-002",tblKurallar[kural_id],0))+$E209*INDEX(tblKurallar[deger_2025],MATCH("TBO-004",tblKurallar[kural_id],0))+$F209*tbo_isverenOran,2),0))</f>
        <v/>
      </c>
      <c r="I209" s="31">
        <f>IF($A209="","",IFERROR(MAX(0,$H209-$G209),0))</f>
        <v/>
      </c>
    </row>
    <row r="210">
      <c r="A210" s="30" t="n"/>
      <c r="B210" s="30" t="n"/>
      <c r="C210" s="30" t="n"/>
      <c r="D210" s="30" t="n"/>
      <c r="E210" s="30" t="n"/>
      <c r="F210" s="30" t="n"/>
      <c r="G210" s="30" t="n"/>
      <c r="H210" s="31">
        <f>IF($A210="","",IFERROR(ROUND($C210*INDEX(tblKurallar[deger_2025],MATCH("TBO-001",tblKurallar[kural_id],0))+$D210*INDEX(tblKurallar[deger_2025],MATCH("TBO-002",tblKurallar[kural_id],0))+$E210*INDEX(tblKurallar[deger_2025],MATCH("TBO-004",tblKurallar[kural_id],0))+$F210*tbo_isverenOran,2),0))</f>
        <v/>
      </c>
      <c r="I210" s="31">
        <f>IF($A210="","",IFERROR(MAX(0,$H210-$G210),0))</f>
        <v/>
      </c>
    </row>
    <row r="211">
      <c r="A211" s="30" t="n"/>
      <c r="B211" s="30" t="n"/>
      <c r="C211" s="30" t="n"/>
      <c r="D211" s="30" t="n"/>
      <c r="E211" s="30" t="n"/>
      <c r="F211" s="30" t="n"/>
      <c r="G211" s="30" t="n"/>
      <c r="H211" s="31">
        <f>IF($A211="","",IFERROR(ROUND($C211*INDEX(tblKurallar[deger_2025],MATCH("TBO-001",tblKurallar[kural_id],0))+$D211*INDEX(tblKurallar[deger_2025],MATCH("TBO-002",tblKurallar[kural_id],0))+$E211*INDEX(tblKurallar[deger_2025],MATCH("TBO-004",tblKurallar[kural_id],0))+$F211*tbo_isverenOran,2),0))</f>
        <v/>
      </c>
      <c r="I211" s="31">
        <f>IF($A211="","",IFERROR(MAX(0,$H211-$G211),0))</f>
        <v/>
      </c>
    </row>
    <row r="212">
      <c r="A212" s="30" t="n"/>
      <c r="B212" s="30" t="n"/>
      <c r="C212" s="30" t="n"/>
      <c r="D212" s="30" t="n"/>
      <c r="E212" s="30" t="n"/>
      <c r="F212" s="30" t="n"/>
      <c r="G212" s="30" t="n"/>
      <c r="H212" s="31">
        <f>IF($A212="","",IFERROR(ROUND($C212*INDEX(tblKurallar[deger_2025],MATCH("TBO-001",tblKurallar[kural_id],0))+$D212*INDEX(tblKurallar[deger_2025],MATCH("TBO-002",tblKurallar[kural_id],0))+$E212*INDEX(tblKurallar[deger_2025],MATCH("TBO-004",tblKurallar[kural_id],0))+$F212*tbo_isverenOran,2),0))</f>
        <v/>
      </c>
      <c r="I212" s="31">
        <f>IF($A212="","",IFERROR(MAX(0,$H212-$G212),0))</f>
        <v/>
      </c>
    </row>
    <row r="213">
      <c r="A213" s="30" t="n"/>
      <c r="B213" s="30" t="n"/>
      <c r="C213" s="30" t="n"/>
      <c r="D213" s="30" t="n"/>
      <c r="E213" s="30" t="n"/>
      <c r="F213" s="30" t="n"/>
      <c r="G213" s="30" t="n"/>
      <c r="H213" s="31">
        <f>IF($A213="","",IFERROR(ROUND($C213*INDEX(tblKurallar[deger_2025],MATCH("TBO-001",tblKurallar[kural_id],0))+$D213*INDEX(tblKurallar[deger_2025],MATCH("TBO-002",tblKurallar[kural_id],0))+$E213*INDEX(tblKurallar[deger_2025],MATCH("TBO-004",tblKurallar[kural_id],0))+$F213*tbo_isverenOran,2),0))</f>
        <v/>
      </c>
      <c r="I213" s="31">
        <f>IF($A213="","",IFERROR(MAX(0,$H213-$G213),0))</f>
        <v/>
      </c>
    </row>
    <row r="214">
      <c r="A214" s="30" t="n"/>
      <c r="B214" s="30" t="n"/>
      <c r="C214" s="30" t="n"/>
      <c r="D214" s="30" t="n"/>
      <c r="E214" s="30" t="n"/>
      <c r="F214" s="30" t="n"/>
      <c r="G214" s="30" t="n"/>
      <c r="H214" s="31">
        <f>IF($A214="","",IFERROR(ROUND($C214*INDEX(tblKurallar[deger_2025],MATCH("TBO-001",tblKurallar[kural_id],0))+$D214*INDEX(tblKurallar[deger_2025],MATCH("TBO-002",tblKurallar[kural_id],0))+$E214*INDEX(tblKurallar[deger_2025],MATCH("TBO-004",tblKurallar[kural_id],0))+$F214*tbo_isverenOran,2),0))</f>
        <v/>
      </c>
      <c r="I214" s="31">
        <f>IF($A214="","",IFERROR(MAX(0,$H214-$G214),0))</f>
        <v/>
      </c>
    </row>
    <row r="215">
      <c r="A215" s="30" t="n"/>
      <c r="B215" s="30" t="n"/>
      <c r="C215" s="30" t="n"/>
      <c r="D215" s="30" t="n"/>
      <c r="E215" s="30" t="n"/>
      <c r="F215" s="30" t="n"/>
      <c r="G215" s="30" t="n"/>
      <c r="H215" s="31">
        <f>IF($A215="","",IFERROR(ROUND($C215*INDEX(tblKurallar[deger_2025],MATCH("TBO-001",tblKurallar[kural_id],0))+$D215*INDEX(tblKurallar[deger_2025],MATCH("TBO-002",tblKurallar[kural_id],0))+$E215*INDEX(tblKurallar[deger_2025],MATCH("TBO-004",tblKurallar[kural_id],0))+$F215*tbo_isverenOran,2),0))</f>
        <v/>
      </c>
      <c r="I215" s="31">
        <f>IF($A215="","",IFERROR(MAX(0,$H215-$G215),0))</f>
        <v/>
      </c>
    </row>
    <row r="216">
      <c r="A216" s="30" t="n"/>
      <c r="B216" s="30" t="n"/>
      <c r="C216" s="30" t="n"/>
      <c r="D216" s="30" t="n"/>
      <c r="E216" s="30" t="n"/>
      <c r="F216" s="30" t="n"/>
      <c r="G216" s="30" t="n"/>
      <c r="H216" s="31">
        <f>IF($A216="","",IFERROR(ROUND($C216*INDEX(tblKurallar[deger_2025],MATCH("TBO-001",tblKurallar[kural_id],0))+$D216*INDEX(tblKurallar[deger_2025],MATCH("TBO-002",tblKurallar[kural_id],0))+$E216*INDEX(tblKurallar[deger_2025],MATCH("TBO-004",tblKurallar[kural_id],0))+$F216*tbo_isverenOran,2),0))</f>
        <v/>
      </c>
      <c r="I216" s="31">
        <f>IF($A216="","",IFERROR(MAX(0,$H216-$G216),0))</f>
        <v/>
      </c>
    </row>
    <row r="217">
      <c r="A217" s="30" t="n"/>
      <c r="B217" s="30" t="n"/>
      <c r="C217" s="30" t="n"/>
      <c r="D217" s="30" t="n"/>
      <c r="E217" s="30" t="n"/>
      <c r="F217" s="30" t="n"/>
      <c r="G217" s="30" t="n"/>
      <c r="H217" s="31">
        <f>IF($A217="","",IFERROR(ROUND($C217*INDEX(tblKurallar[deger_2025],MATCH("TBO-001",tblKurallar[kural_id],0))+$D217*INDEX(tblKurallar[deger_2025],MATCH("TBO-002",tblKurallar[kural_id],0))+$E217*INDEX(tblKurallar[deger_2025],MATCH("TBO-004",tblKurallar[kural_id],0))+$F217*tbo_isverenOran,2),0))</f>
        <v/>
      </c>
      <c r="I217" s="31">
        <f>IF($A217="","",IFERROR(MAX(0,$H217-$G217),0))</f>
        <v/>
      </c>
    </row>
    <row r="218">
      <c r="A218" s="30" t="n"/>
      <c r="B218" s="30" t="n"/>
      <c r="C218" s="30" t="n"/>
      <c r="D218" s="30" t="n"/>
      <c r="E218" s="30" t="n"/>
      <c r="F218" s="30" t="n"/>
      <c r="G218" s="30" t="n"/>
      <c r="H218" s="31">
        <f>IF($A218="","",IFERROR(ROUND($C218*INDEX(tblKurallar[deger_2025],MATCH("TBO-001",tblKurallar[kural_id],0))+$D218*INDEX(tblKurallar[deger_2025],MATCH("TBO-002",tblKurallar[kural_id],0))+$E218*INDEX(tblKurallar[deger_2025],MATCH("TBO-004",tblKurallar[kural_id],0))+$F218*tbo_isverenOran,2),0))</f>
        <v/>
      </c>
      <c r="I218" s="31">
        <f>IF($A218="","",IFERROR(MAX(0,$H218-$G218),0))</f>
        <v/>
      </c>
    </row>
    <row r="219">
      <c r="A219" s="30" t="n"/>
      <c r="B219" s="30" t="n"/>
      <c r="C219" s="30" t="n"/>
      <c r="D219" s="30" t="n"/>
      <c r="E219" s="30" t="n"/>
      <c r="F219" s="30" t="n"/>
      <c r="G219" s="30" t="n"/>
      <c r="H219" s="31">
        <f>IF($A219="","",IFERROR(ROUND($C219*INDEX(tblKurallar[deger_2025],MATCH("TBO-001",tblKurallar[kural_id],0))+$D219*INDEX(tblKurallar[deger_2025],MATCH("TBO-002",tblKurallar[kural_id],0))+$E219*INDEX(tblKurallar[deger_2025],MATCH("TBO-004",tblKurallar[kural_id],0))+$F219*tbo_isverenOran,2),0))</f>
        <v/>
      </c>
      <c r="I219" s="31">
        <f>IF($A219="","",IFERROR(MAX(0,$H219-$G219),0))</f>
        <v/>
      </c>
    </row>
    <row r="220">
      <c r="A220" s="30" t="n"/>
      <c r="B220" s="30" t="n"/>
      <c r="C220" s="30" t="n"/>
      <c r="D220" s="30" t="n"/>
      <c r="E220" s="30" t="n"/>
      <c r="F220" s="30" t="n"/>
      <c r="G220" s="30" t="n"/>
      <c r="H220" s="31">
        <f>IF($A220="","",IFERROR(ROUND($C220*INDEX(tblKurallar[deger_2025],MATCH("TBO-001",tblKurallar[kural_id],0))+$D220*INDEX(tblKurallar[deger_2025],MATCH("TBO-002",tblKurallar[kural_id],0))+$E220*INDEX(tblKurallar[deger_2025],MATCH("TBO-004",tblKurallar[kural_id],0))+$F220*tbo_isverenOran,2),0))</f>
        <v/>
      </c>
      <c r="I220" s="31">
        <f>IF($A220="","",IFERROR(MAX(0,$H220-$G220),0))</f>
        <v/>
      </c>
    </row>
    <row r="221">
      <c r="A221" s="30" t="n"/>
      <c r="B221" s="30" t="n"/>
      <c r="C221" s="30" t="n"/>
      <c r="D221" s="30" t="n"/>
      <c r="E221" s="30" t="n"/>
      <c r="F221" s="30" t="n"/>
      <c r="G221" s="30" t="n"/>
      <c r="H221" s="31">
        <f>IF($A221="","",IFERROR(ROUND($C221*INDEX(tblKurallar[deger_2025],MATCH("TBO-001",tblKurallar[kural_id],0))+$D221*INDEX(tblKurallar[deger_2025],MATCH("TBO-002",tblKurallar[kural_id],0))+$E221*INDEX(tblKurallar[deger_2025],MATCH("TBO-004",tblKurallar[kural_id],0))+$F221*tbo_isverenOran,2),0))</f>
        <v/>
      </c>
      <c r="I221" s="31">
        <f>IF($A221="","",IFERROR(MAX(0,$H221-$G221),0))</f>
        <v/>
      </c>
    </row>
    <row r="222">
      <c r="A222" s="30" t="n"/>
      <c r="B222" s="30" t="n"/>
      <c r="C222" s="30" t="n"/>
      <c r="D222" s="30" t="n"/>
      <c r="E222" s="30" t="n"/>
      <c r="F222" s="30" t="n"/>
      <c r="G222" s="30" t="n"/>
      <c r="H222" s="31">
        <f>IF($A222="","",IFERROR(ROUND($C222*INDEX(tblKurallar[deger_2025],MATCH("TBO-001",tblKurallar[kural_id],0))+$D222*INDEX(tblKurallar[deger_2025],MATCH("TBO-002",tblKurallar[kural_id],0))+$E222*INDEX(tblKurallar[deger_2025],MATCH("TBO-004",tblKurallar[kural_id],0))+$F222*tbo_isverenOran,2),0))</f>
        <v/>
      </c>
      <c r="I222" s="31">
        <f>IF($A222="","",IFERROR(MAX(0,$H222-$G222),0))</f>
        <v/>
      </c>
    </row>
    <row r="223">
      <c r="A223" s="30" t="n"/>
      <c r="B223" s="30" t="n"/>
      <c r="C223" s="30" t="n"/>
      <c r="D223" s="30" t="n"/>
      <c r="E223" s="30" t="n"/>
      <c r="F223" s="30" t="n"/>
      <c r="G223" s="30" t="n"/>
      <c r="H223" s="31">
        <f>IF($A223="","",IFERROR(ROUND($C223*INDEX(tblKurallar[deger_2025],MATCH("TBO-001",tblKurallar[kural_id],0))+$D223*INDEX(tblKurallar[deger_2025],MATCH("TBO-002",tblKurallar[kural_id],0))+$E223*INDEX(tblKurallar[deger_2025],MATCH("TBO-004",tblKurallar[kural_id],0))+$F223*tbo_isverenOran,2),0))</f>
        <v/>
      </c>
      <c r="I223" s="31">
        <f>IF($A223="","",IFERROR(MAX(0,$H223-$G223),0))</f>
        <v/>
      </c>
    </row>
    <row r="224">
      <c r="A224" s="30" t="n"/>
      <c r="B224" s="30" t="n"/>
      <c r="C224" s="30" t="n"/>
      <c r="D224" s="30" t="n"/>
      <c r="E224" s="30" t="n"/>
      <c r="F224" s="30" t="n"/>
      <c r="G224" s="30" t="n"/>
      <c r="H224" s="31">
        <f>IF($A224="","",IFERROR(ROUND($C224*INDEX(tblKurallar[deger_2025],MATCH("TBO-001",tblKurallar[kural_id],0))+$D224*INDEX(tblKurallar[deger_2025],MATCH("TBO-002",tblKurallar[kural_id],0))+$E224*INDEX(tblKurallar[deger_2025],MATCH("TBO-004",tblKurallar[kural_id],0))+$F224*tbo_isverenOran,2),0))</f>
        <v/>
      </c>
      <c r="I224" s="31">
        <f>IF($A224="","",IFERROR(MAX(0,$H224-$G224),0))</f>
        <v/>
      </c>
    </row>
    <row r="225">
      <c r="A225" s="30" t="n"/>
      <c r="B225" s="30" t="n"/>
      <c r="C225" s="30" t="n"/>
      <c r="D225" s="30" t="n"/>
      <c r="E225" s="30" t="n"/>
      <c r="F225" s="30" t="n"/>
      <c r="G225" s="30" t="n"/>
      <c r="H225" s="31">
        <f>IF($A225="","",IFERROR(ROUND($C225*INDEX(tblKurallar[deger_2025],MATCH("TBO-001",tblKurallar[kural_id],0))+$D225*INDEX(tblKurallar[deger_2025],MATCH("TBO-002",tblKurallar[kural_id],0))+$E225*INDEX(tblKurallar[deger_2025],MATCH("TBO-004",tblKurallar[kural_id],0))+$F225*tbo_isverenOran,2),0))</f>
        <v/>
      </c>
      <c r="I225" s="31">
        <f>IF($A225="","",IFERROR(MAX(0,$H225-$G225),0))</f>
        <v/>
      </c>
    </row>
    <row r="226">
      <c r="A226" s="30" t="n"/>
      <c r="B226" s="30" t="n"/>
      <c r="C226" s="30" t="n"/>
      <c r="D226" s="30" t="n"/>
      <c r="E226" s="30" t="n"/>
      <c r="F226" s="30" t="n"/>
      <c r="G226" s="30" t="n"/>
      <c r="H226" s="31">
        <f>IF($A226="","",IFERROR(ROUND($C226*INDEX(tblKurallar[deger_2025],MATCH("TBO-001",tblKurallar[kural_id],0))+$D226*INDEX(tblKurallar[deger_2025],MATCH("TBO-002",tblKurallar[kural_id],0))+$E226*INDEX(tblKurallar[deger_2025],MATCH("TBO-004",tblKurallar[kural_id],0))+$F226*tbo_isverenOran,2),0))</f>
        <v/>
      </c>
      <c r="I226" s="31">
        <f>IF($A226="","",IFERROR(MAX(0,$H226-$G226),0))</f>
        <v/>
      </c>
    </row>
    <row r="227">
      <c r="A227" s="30" t="n"/>
      <c r="B227" s="30" t="n"/>
      <c r="C227" s="30" t="n"/>
      <c r="D227" s="30" t="n"/>
      <c r="E227" s="30" t="n"/>
      <c r="F227" s="30" t="n"/>
      <c r="G227" s="30" t="n"/>
      <c r="H227" s="31">
        <f>IF($A227="","",IFERROR(ROUND($C227*INDEX(tblKurallar[deger_2025],MATCH("TBO-001",tblKurallar[kural_id],0))+$D227*INDEX(tblKurallar[deger_2025],MATCH("TBO-002",tblKurallar[kural_id],0))+$E227*INDEX(tblKurallar[deger_2025],MATCH("TBO-004",tblKurallar[kural_id],0))+$F227*tbo_isverenOran,2),0))</f>
        <v/>
      </c>
      <c r="I227" s="31">
        <f>IF($A227="","",IFERROR(MAX(0,$H227-$G227),0))</f>
        <v/>
      </c>
    </row>
    <row r="228">
      <c r="A228" s="30" t="n"/>
      <c r="B228" s="30" t="n"/>
      <c r="C228" s="30" t="n"/>
      <c r="D228" s="30" t="n"/>
      <c r="E228" s="30" t="n"/>
      <c r="F228" s="30" t="n"/>
      <c r="G228" s="30" t="n"/>
      <c r="H228" s="31">
        <f>IF($A228="","",IFERROR(ROUND($C228*INDEX(tblKurallar[deger_2025],MATCH("TBO-001",tblKurallar[kural_id],0))+$D228*INDEX(tblKurallar[deger_2025],MATCH("TBO-002",tblKurallar[kural_id],0))+$E228*INDEX(tblKurallar[deger_2025],MATCH("TBO-004",tblKurallar[kural_id],0))+$F228*tbo_isverenOran,2),0))</f>
        <v/>
      </c>
      <c r="I228" s="31">
        <f>IF($A228="","",IFERROR(MAX(0,$H228-$G228),0))</f>
        <v/>
      </c>
    </row>
    <row r="229">
      <c r="A229" s="30" t="n"/>
      <c r="B229" s="30" t="n"/>
      <c r="C229" s="30" t="n"/>
      <c r="D229" s="30" t="n"/>
      <c r="E229" s="30" t="n"/>
      <c r="F229" s="30" t="n"/>
      <c r="G229" s="30" t="n"/>
      <c r="H229" s="31">
        <f>IF($A229="","",IFERROR(ROUND($C229*INDEX(tblKurallar[deger_2025],MATCH("TBO-001",tblKurallar[kural_id],0))+$D229*INDEX(tblKurallar[deger_2025],MATCH("TBO-002",tblKurallar[kural_id],0))+$E229*INDEX(tblKurallar[deger_2025],MATCH("TBO-004",tblKurallar[kural_id],0))+$F229*tbo_isverenOran,2),0))</f>
        <v/>
      </c>
      <c r="I229" s="31">
        <f>IF($A229="","",IFERROR(MAX(0,$H229-$G229),0))</f>
        <v/>
      </c>
    </row>
    <row r="230">
      <c r="A230" s="30" t="n"/>
      <c r="B230" s="30" t="n"/>
      <c r="C230" s="30" t="n"/>
      <c r="D230" s="30" t="n"/>
      <c r="E230" s="30" t="n"/>
      <c r="F230" s="30" t="n"/>
      <c r="G230" s="30" t="n"/>
      <c r="H230" s="31">
        <f>IF($A230="","",IFERROR(ROUND($C230*INDEX(tblKurallar[deger_2025],MATCH("TBO-001",tblKurallar[kural_id],0))+$D230*INDEX(tblKurallar[deger_2025],MATCH("TBO-002",tblKurallar[kural_id],0))+$E230*INDEX(tblKurallar[deger_2025],MATCH("TBO-004",tblKurallar[kural_id],0))+$F230*tbo_isverenOran,2),0))</f>
        <v/>
      </c>
      <c r="I230" s="31">
        <f>IF($A230="","",IFERROR(MAX(0,$H230-$G230),0))</f>
        <v/>
      </c>
    </row>
    <row r="231">
      <c r="A231" s="30" t="n"/>
      <c r="B231" s="30" t="n"/>
      <c r="C231" s="30" t="n"/>
      <c r="D231" s="30" t="n"/>
      <c r="E231" s="30" t="n"/>
      <c r="F231" s="30" t="n"/>
      <c r="G231" s="30" t="n"/>
      <c r="H231" s="31">
        <f>IF($A231="","",IFERROR(ROUND($C231*INDEX(tblKurallar[deger_2025],MATCH("TBO-001",tblKurallar[kural_id],0))+$D231*INDEX(tblKurallar[deger_2025],MATCH("TBO-002",tblKurallar[kural_id],0))+$E231*INDEX(tblKurallar[deger_2025],MATCH("TBO-004",tblKurallar[kural_id],0))+$F231*tbo_isverenOran,2),0))</f>
        <v/>
      </c>
      <c r="I231" s="31">
        <f>IF($A231="","",IFERROR(MAX(0,$H231-$G231),0))</f>
        <v/>
      </c>
    </row>
    <row r="232">
      <c r="A232" s="30" t="n"/>
      <c r="B232" s="30" t="n"/>
      <c r="C232" s="30" t="n"/>
      <c r="D232" s="30" t="n"/>
      <c r="E232" s="30" t="n"/>
      <c r="F232" s="30" t="n"/>
      <c r="G232" s="30" t="n"/>
      <c r="H232" s="31">
        <f>IF($A232="","",IFERROR(ROUND($C232*INDEX(tblKurallar[deger_2025],MATCH("TBO-001",tblKurallar[kural_id],0))+$D232*INDEX(tblKurallar[deger_2025],MATCH("TBO-002",tblKurallar[kural_id],0))+$E232*INDEX(tblKurallar[deger_2025],MATCH("TBO-004",tblKurallar[kural_id],0))+$F232*tbo_isverenOran,2),0))</f>
        <v/>
      </c>
      <c r="I232" s="31">
        <f>IF($A232="","",IFERROR(MAX(0,$H232-$G232),0))</f>
        <v/>
      </c>
    </row>
    <row r="233">
      <c r="A233" s="30" t="n"/>
      <c r="B233" s="30" t="n"/>
      <c r="C233" s="30" t="n"/>
      <c r="D233" s="30" t="n"/>
      <c r="E233" s="30" t="n"/>
      <c r="F233" s="30" t="n"/>
      <c r="G233" s="30" t="n"/>
      <c r="H233" s="31">
        <f>IF($A233="","",IFERROR(ROUND($C233*INDEX(tblKurallar[deger_2025],MATCH("TBO-001",tblKurallar[kural_id],0))+$D233*INDEX(tblKurallar[deger_2025],MATCH("TBO-002",tblKurallar[kural_id],0))+$E233*INDEX(tblKurallar[deger_2025],MATCH("TBO-004",tblKurallar[kural_id],0))+$F233*tbo_isverenOran,2),0))</f>
        <v/>
      </c>
      <c r="I233" s="31">
        <f>IF($A233="","",IFERROR(MAX(0,$H233-$G233),0))</f>
        <v/>
      </c>
    </row>
    <row r="234">
      <c r="A234" s="30" t="n"/>
      <c r="B234" s="30" t="n"/>
      <c r="C234" s="30" t="n"/>
      <c r="D234" s="30" t="n"/>
      <c r="E234" s="30" t="n"/>
      <c r="F234" s="30" t="n"/>
      <c r="G234" s="30" t="n"/>
      <c r="H234" s="31">
        <f>IF($A234="","",IFERROR(ROUND($C234*INDEX(tblKurallar[deger_2025],MATCH("TBO-001",tblKurallar[kural_id],0))+$D234*INDEX(tblKurallar[deger_2025],MATCH("TBO-002",tblKurallar[kural_id],0))+$E234*INDEX(tblKurallar[deger_2025],MATCH("TBO-004",tblKurallar[kural_id],0))+$F234*tbo_isverenOran,2),0))</f>
        <v/>
      </c>
      <c r="I234" s="31">
        <f>IF($A234="","",IFERROR(MAX(0,$H234-$G234),0))</f>
        <v/>
      </c>
    </row>
    <row r="235">
      <c r="A235" s="30" t="n"/>
      <c r="B235" s="30" t="n"/>
      <c r="C235" s="30" t="n"/>
      <c r="D235" s="30" t="n"/>
      <c r="E235" s="30" t="n"/>
      <c r="F235" s="30" t="n"/>
      <c r="G235" s="30" t="n"/>
      <c r="H235" s="31">
        <f>IF($A235="","",IFERROR(ROUND($C235*INDEX(tblKurallar[deger_2025],MATCH("TBO-001",tblKurallar[kural_id],0))+$D235*INDEX(tblKurallar[deger_2025],MATCH("TBO-002",tblKurallar[kural_id],0))+$E235*INDEX(tblKurallar[deger_2025],MATCH("TBO-004",tblKurallar[kural_id],0))+$F235*tbo_isverenOran,2),0))</f>
        <v/>
      </c>
      <c r="I235" s="31">
        <f>IF($A235="","",IFERROR(MAX(0,$H235-$G235),0))</f>
        <v/>
      </c>
    </row>
    <row r="236">
      <c r="A236" s="30" t="n"/>
      <c r="B236" s="30" t="n"/>
      <c r="C236" s="30" t="n"/>
      <c r="D236" s="30" t="n"/>
      <c r="E236" s="30" t="n"/>
      <c r="F236" s="30" t="n"/>
      <c r="G236" s="30" t="n"/>
      <c r="H236" s="31">
        <f>IF($A236="","",IFERROR(ROUND($C236*INDEX(tblKurallar[deger_2025],MATCH("TBO-001",tblKurallar[kural_id],0))+$D236*INDEX(tblKurallar[deger_2025],MATCH("TBO-002",tblKurallar[kural_id],0))+$E236*INDEX(tblKurallar[deger_2025],MATCH("TBO-004",tblKurallar[kural_id],0))+$F236*tbo_isverenOran,2),0))</f>
        <v/>
      </c>
      <c r="I236" s="31">
        <f>IF($A236="","",IFERROR(MAX(0,$H236-$G236),0))</f>
        <v/>
      </c>
    </row>
    <row r="237">
      <c r="A237" s="30" t="n"/>
      <c r="B237" s="30" t="n"/>
      <c r="C237" s="30" t="n"/>
      <c r="D237" s="30" t="n"/>
      <c r="E237" s="30" t="n"/>
      <c r="F237" s="30" t="n"/>
      <c r="G237" s="30" t="n"/>
      <c r="H237" s="31">
        <f>IF($A237="","",IFERROR(ROUND($C237*INDEX(tblKurallar[deger_2025],MATCH("TBO-001",tblKurallar[kural_id],0))+$D237*INDEX(tblKurallar[deger_2025],MATCH("TBO-002",tblKurallar[kural_id],0))+$E237*INDEX(tblKurallar[deger_2025],MATCH("TBO-004",tblKurallar[kural_id],0))+$F237*tbo_isverenOran,2),0))</f>
        <v/>
      </c>
      <c r="I237" s="31">
        <f>IF($A237="","",IFERROR(MAX(0,$H237-$G237),0))</f>
        <v/>
      </c>
    </row>
    <row r="238">
      <c r="A238" s="30" t="n"/>
      <c r="B238" s="30" t="n"/>
      <c r="C238" s="30" t="n"/>
      <c r="D238" s="30" t="n"/>
      <c r="E238" s="30" t="n"/>
      <c r="F238" s="30" t="n"/>
      <c r="G238" s="30" t="n"/>
      <c r="H238" s="31">
        <f>IF($A238="","",IFERROR(ROUND($C238*INDEX(tblKurallar[deger_2025],MATCH("TBO-001",tblKurallar[kural_id],0))+$D238*INDEX(tblKurallar[deger_2025],MATCH("TBO-002",tblKurallar[kural_id],0))+$E238*INDEX(tblKurallar[deger_2025],MATCH("TBO-004",tblKurallar[kural_id],0))+$F238*tbo_isverenOran,2),0))</f>
        <v/>
      </c>
      <c r="I238" s="31">
        <f>IF($A238="","",IFERROR(MAX(0,$H238-$G238),0))</f>
        <v/>
      </c>
    </row>
    <row r="239">
      <c r="A239" s="30" t="n"/>
      <c r="B239" s="30" t="n"/>
      <c r="C239" s="30" t="n"/>
      <c r="D239" s="30" t="n"/>
      <c r="E239" s="30" t="n"/>
      <c r="F239" s="30" t="n"/>
      <c r="G239" s="30" t="n"/>
      <c r="H239" s="31">
        <f>IF($A239="","",IFERROR(ROUND($C239*INDEX(tblKurallar[deger_2025],MATCH("TBO-001",tblKurallar[kural_id],0))+$D239*INDEX(tblKurallar[deger_2025],MATCH("TBO-002",tblKurallar[kural_id],0))+$E239*INDEX(tblKurallar[deger_2025],MATCH("TBO-004",tblKurallar[kural_id],0))+$F239*tbo_isverenOran,2),0))</f>
        <v/>
      </c>
      <c r="I239" s="31">
        <f>IF($A239="","",IFERROR(MAX(0,$H239-$G239),0))</f>
        <v/>
      </c>
    </row>
    <row r="240">
      <c r="A240" s="30" t="n"/>
      <c r="B240" s="30" t="n"/>
      <c r="C240" s="30" t="n"/>
      <c r="D240" s="30" t="n"/>
      <c r="E240" s="30" t="n"/>
      <c r="F240" s="30" t="n"/>
      <c r="G240" s="30" t="n"/>
      <c r="H240" s="31">
        <f>IF($A240="","",IFERROR(ROUND($C240*INDEX(tblKurallar[deger_2025],MATCH("TBO-001",tblKurallar[kural_id],0))+$D240*INDEX(tblKurallar[deger_2025],MATCH("TBO-002",tblKurallar[kural_id],0))+$E240*INDEX(tblKurallar[deger_2025],MATCH("TBO-004",tblKurallar[kural_id],0))+$F240*tbo_isverenOran,2),0))</f>
        <v/>
      </c>
      <c r="I240" s="31">
        <f>IF($A240="","",IFERROR(MAX(0,$H240-$G240),0))</f>
        <v/>
      </c>
    </row>
    <row r="241">
      <c r="A241" s="30" t="n"/>
      <c r="B241" s="30" t="n"/>
      <c r="C241" s="30" t="n"/>
      <c r="D241" s="30" t="n"/>
      <c r="E241" s="30" t="n"/>
      <c r="F241" s="30" t="n"/>
      <c r="G241" s="30" t="n"/>
      <c r="H241" s="31">
        <f>IF($A241="","",IFERROR(ROUND($C241*INDEX(tblKurallar[deger_2025],MATCH("TBO-001",tblKurallar[kural_id],0))+$D241*INDEX(tblKurallar[deger_2025],MATCH("TBO-002",tblKurallar[kural_id],0))+$E241*INDEX(tblKurallar[deger_2025],MATCH("TBO-004",tblKurallar[kural_id],0))+$F241*tbo_isverenOran,2),0))</f>
        <v/>
      </c>
      <c r="I241" s="31">
        <f>IF($A241="","",IFERROR(MAX(0,$H241-$G241),0))</f>
        <v/>
      </c>
    </row>
    <row r="242">
      <c r="A242" s="30" t="n"/>
      <c r="B242" s="30" t="n"/>
      <c r="C242" s="30" t="n"/>
      <c r="D242" s="30" t="n"/>
      <c r="E242" s="30" t="n"/>
      <c r="F242" s="30" t="n"/>
      <c r="G242" s="30" t="n"/>
      <c r="H242" s="31">
        <f>IF($A242="","",IFERROR(ROUND($C242*INDEX(tblKurallar[deger_2025],MATCH("TBO-001",tblKurallar[kural_id],0))+$D242*INDEX(tblKurallar[deger_2025],MATCH("TBO-002",tblKurallar[kural_id],0))+$E242*INDEX(tblKurallar[deger_2025],MATCH("TBO-004",tblKurallar[kural_id],0))+$F242*tbo_isverenOran,2),0))</f>
        <v/>
      </c>
      <c r="I242" s="31">
        <f>IF($A242="","",IFERROR(MAX(0,$H242-$G242),0))</f>
        <v/>
      </c>
    </row>
    <row r="243">
      <c r="A243" s="30" t="n"/>
      <c r="B243" s="30" t="n"/>
      <c r="C243" s="30" t="n"/>
      <c r="D243" s="30" t="n"/>
      <c r="E243" s="30" t="n"/>
      <c r="F243" s="30" t="n"/>
      <c r="G243" s="30" t="n"/>
      <c r="H243" s="31">
        <f>IF($A243="","",IFERROR(ROUND($C243*INDEX(tblKurallar[deger_2025],MATCH("TBO-001",tblKurallar[kural_id],0))+$D243*INDEX(tblKurallar[deger_2025],MATCH("TBO-002",tblKurallar[kural_id],0))+$E243*INDEX(tblKurallar[deger_2025],MATCH("TBO-004",tblKurallar[kural_id],0))+$F243*tbo_isverenOran,2),0))</f>
        <v/>
      </c>
      <c r="I243" s="31">
        <f>IF($A243="","",IFERROR(MAX(0,$H243-$G243),0))</f>
        <v/>
      </c>
    </row>
    <row r="244">
      <c r="A244" s="30" t="n"/>
      <c r="B244" s="30" t="n"/>
      <c r="C244" s="30" t="n"/>
      <c r="D244" s="30" t="n"/>
      <c r="E244" s="30" t="n"/>
      <c r="F244" s="30" t="n"/>
      <c r="G244" s="30" t="n"/>
      <c r="H244" s="31">
        <f>IF($A244="","",IFERROR(ROUND($C244*INDEX(tblKurallar[deger_2025],MATCH("TBO-001",tblKurallar[kural_id],0))+$D244*INDEX(tblKurallar[deger_2025],MATCH("TBO-002",tblKurallar[kural_id],0))+$E244*INDEX(tblKurallar[deger_2025],MATCH("TBO-004",tblKurallar[kural_id],0))+$F244*tbo_isverenOran,2),0))</f>
        <v/>
      </c>
      <c r="I244" s="31">
        <f>IF($A244="","",IFERROR(MAX(0,$H244-$G244),0))</f>
        <v/>
      </c>
    </row>
    <row r="245">
      <c r="A245" s="30" t="n"/>
      <c r="B245" s="30" t="n"/>
      <c r="C245" s="30" t="n"/>
      <c r="D245" s="30" t="n"/>
      <c r="E245" s="30" t="n"/>
      <c r="F245" s="30" t="n"/>
      <c r="G245" s="30" t="n"/>
      <c r="H245" s="31">
        <f>IF($A245="","",IFERROR(ROUND($C245*INDEX(tblKurallar[deger_2025],MATCH("TBO-001",tblKurallar[kural_id],0))+$D245*INDEX(tblKurallar[deger_2025],MATCH("TBO-002",tblKurallar[kural_id],0))+$E245*INDEX(tblKurallar[deger_2025],MATCH("TBO-004",tblKurallar[kural_id],0))+$F245*tbo_isverenOran,2),0))</f>
        <v/>
      </c>
      <c r="I245" s="31">
        <f>IF($A245="","",IFERROR(MAX(0,$H245-$G245),0))</f>
        <v/>
      </c>
    </row>
    <row r="246">
      <c r="A246" s="30" t="n"/>
      <c r="B246" s="30" t="n"/>
      <c r="C246" s="30" t="n"/>
      <c r="D246" s="30" t="n"/>
      <c r="E246" s="30" t="n"/>
      <c r="F246" s="30" t="n"/>
      <c r="G246" s="30" t="n"/>
      <c r="H246" s="31">
        <f>IF($A246="","",IFERROR(ROUND($C246*INDEX(tblKurallar[deger_2025],MATCH("TBO-001",tblKurallar[kural_id],0))+$D246*INDEX(tblKurallar[deger_2025],MATCH("TBO-002",tblKurallar[kural_id],0))+$E246*INDEX(tblKurallar[deger_2025],MATCH("TBO-004",tblKurallar[kural_id],0))+$F246*tbo_isverenOran,2),0))</f>
        <v/>
      </c>
      <c r="I246" s="31">
        <f>IF($A246="","",IFERROR(MAX(0,$H246-$G246),0))</f>
        <v/>
      </c>
    </row>
    <row r="247">
      <c r="A247" s="30" t="n"/>
      <c r="B247" s="30" t="n"/>
      <c r="C247" s="30" t="n"/>
      <c r="D247" s="30" t="n"/>
      <c r="E247" s="30" t="n"/>
      <c r="F247" s="30" t="n"/>
      <c r="G247" s="30" t="n"/>
      <c r="H247" s="31">
        <f>IF($A247="","",IFERROR(ROUND($C247*INDEX(tblKurallar[deger_2025],MATCH("TBO-001",tblKurallar[kural_id],0))+$D247*INDEX(tblKurallar[deger_2025],MATCH("TBO-002",tblKurallar[kural_id],0))+$E247*INDEX(tblKurallar[deger_2025],MATCH("TBO-004",tblKurallar[kural_id],0))+$F247*tbo_isverenOran,2),0))</f>
        <v/>
      </c>
      <c r="I247" s="31">
        <f>IF($A247="","",IFERROR(MAX(0,$H247-$G247),0))</f>
        <v/>
      </c>
    </row>
    <row r="248">
      <c r="A248" s="30" t="n"/>
      <c r="B248" s="30" t="n"/>
      <c r="C248" s="30" t="n"/>
      <c r="D248" s="30" t="n"/>
      <c r="E248" s="30" t="n"/>
      <c r="F248" s="30" t="n"/>
      <c r="G248" s="30" t="n"/>
      <c r="H248" s="31">
        <f>IF($A248="","",IFERROR(ROUND($C248*INDEX(tblKurallar[deger_2025],MATCH("TBO-001",tblKurallar[kural_id],0))+$D248*INDEX(tblKurallar[deger_2025],MATCH("TBO-002",tblKurallar[kural_id],0))+$E248*INDEX(tblKurallar[deger_2025],MATCH("TBO-004",tblKurallar[kural_id],0))+$F248*tbo_isverenOran,2),0))</f>
        <v/>
      </c>
      <c r="I248" s="31">
        <f>IF($A248="","",IFERROR(MAX(0,$H248-$G248),0))</f>
        <v/>
      </c>
    </row>
    <row r="249">
      <c r="A249" s="30" t="n"/>
      <c r="B249" s="30" t="n"/>
      <c r="C249" s="30" t="n"/>
      <c r="D249" s="30" t="n"/>
      <c r="E249" s="30" t="n"/>
      <c r="F249" s="30" t="n"/>
      <c r="G249" s="30" t="n"/>
      <c r="H249" s="31">
        <f>IF($A249="","",IFERROR(ROUND($C249*INDEX(tblKurallar[deger_2025],MATCH("TBO-001",tblKurallar[kural_id],0))+$D249*INDEX(tblKurallar[deger_2025],MATCH("TBO-002",tblKurallar[kural_id],0))+$E249*INDEX(tblKurallar[deger_2025],MATCH("TBO-004",tblKurallar[kural_id],0))+$F249*tbo_isverenOran,2),0))</f>
        <v/>
      </c>
      <c r="I249" s="31">
        <f>IF($A249="","",IFERROR(MAX(0,$H249-$G249),0))</f>
        <v/>
      </c>
    </row>
    <row r="250">
      <c r="A250" s="30" t="n"/>
      <c r="B250" s="30" t="n"/>
      <c r="C250" s="30" t="n"/>
      <c r="D250" s="30" t="n"/>
      <c r="E250" s="30" t="n"/>
      <c r="F250" s="30" t="n"/>
      <c r="G250" s="30" t="n"/>
      <c r="H250" s="31">
        <f>IF($A250="","",IFERROR(ROUND($C250*INDEX(tblKurallar[deger_2025],MATCH("TBO-001",tblKurallar[kural_id],0))+$D250*INDEX(tblKurallar[deger_2025],MATCH("TBO-002",tblKurallar[kural_id],0))+$E250*INDEX(tblKurallar[deger_2025],MATCH("TBO-004",tblKurallar[kural_id],0))+$F250*tbo_isverenOran,2),0))</f>
        <v/>
      </c>
      <c r="I250" s="31">
        <f>IF($A250="","",IFERROR(MAX(0,$H250-$G250),0))</f>
        <v/>
      </c>
    </row>
    <row r="251">
      <c r="A251" s="30" t="n"/>
      <c r="B251" s="30" t="n"/>
      <c r="C251" s="30" t="n"/>
      <c r="D251" s="30" t="n"/>
      <c r="E251" s="30" t="n"/>
      <c r="F251" s="30" t="n"/>
      <c r="G251" s="30" t="n"/>
      <c r="H251" s="31">
        <f>IF($A251="","",IFERROR(ROUND($C251*INDEX(tblKurallar[deger_2025],MATCH("TBO-001",tblKurallar[kural_id],0))+$D251*INDEX(tblKurallar[deger_2025],MATCH("TBO-002",tblKurallar[kural_id],0))+$E251*INDEX(tblKurallar[deger_2025],MATCH("TBO-004",tblKurallar[kural_id],0))+$F251*tbo_isverenOran,2),0))</f>
        <v/>
      </c>
      <c r="I251" s="31">
        <f>IF($A251="","",IFERROR(MAX(0,$H251-$G251),0))</f>
        <v/>
      </c>
    </row>
    <row r="252">
      <c r="A252" s="30" t="n"/>
      <c r="B252" s="30" t="n"/>
      <c r="C252" s="30" t="n"/>
      <c r="D252" s="30" t="n"/>
      <c r="E252" s="30" t="n"/>
      <c r="F252" s="30" t="n"/>
      <c r="G252" s="30" t="n"/>
      <c r="H252" s="31">
        <f>IF($A252="","",IFERROR(ROUND($C252*INDEX(tblKurallar[deger_2025],MATCH("TBO-001",tblKurallar[kural_id],0))+$D252*INDEX(tblKurallar[deger_2025],MATCH("TBO-002",tblKurallar[kural_id],0))+$E252*INDEX(tblKurallar[deger_2025],MATCH("TBO-004",tblKurallar[kural_id],0))+$F252*tbo_isverenOran,2),0))</f>
        <v/>
      </c>
      <c r="I252" s="31">
        <f>IF($A252="","",IFERROR(MAX(0,$H252-$G252),0))</f>
        <v/>
      </c>
    </row>
    <row r="253">
      <c r="A253" s="30" t="n"/>
      <c r="B253" s="30" t="n"/>
      <c r="C253" s="30" t="n"/>
      <c r="D253" s="30" t="n"/>
      <c r="E253" s="30" t="n"/>
      <c r="F253" s="30" t="n"/>
      <c r="G253" s="30" t="n"/>
      <c r="H253" s="31">
        <f>IF($A253="","",IFERROR(ROUND($C253*INDEX(tblKurallar[deger_2025],MATCH("TBO-001",tblKurallar[kural_id],0))+$D253*INDEX(tblKurallar[deger_2025],MATCH("TBO-002",tblKurallar[kural_id],0))+$E253*INDEX(tblKurallar[deger_2025],MATCH("TBO-004",tblKurallar[kural_id],0))+$F253*tbo_isverenOran,2),0))</f>
        <v/>
      </c>
      <c r="I253" s="31">
        <f>IF($A253="","",IFERROR(MAX(0,$H253-$G253),0))</f>
        <v/>
      </c>
    </row>
    <row r="254">
      <c r="A254" s="30" t="n"/>
      <c r="B254" s="30" t="n"/>
      <c r="C254" s="30" t="n"/>
      <c r="D254" s="30" t="n"/>
      <c r="E254" s="30" t="n"/>
      <c r="F254" s="30" t="n"/>
      <c r="G254" s="30" t="n"/>
      <c r="H254" s="31">
        <f>IF($A254="","",IFERROR(ROUND($C254*INDEX(tblKurallar[deger_2025],MATCH("TBO-001",tblKurallar[kural_id],0))+$D254*INDEX(tblKurallar[deger_2025],MATCH("TBO-002",tblKurallar[kural_id],0))+$E254*INDEX(tblKurallar[deger_2025],MATCH("TBO-004",tblKurallar[kural_id],0))+$F254*tbo_isverenOran,2),0))</f>
        <v/>
      </c>
      <c r="I254" s="31">
        <f>IF($A254="","",IFERROR(MAX(0,$H254-$G254),0))</f>
        <v/>
      </c>
    </row>
    <row r="255">
      <c r="A255" s="30" t="n"/>
      <c r="B255" s="30" t="n"/>
      <c r="C255" s="30" t="n"/>
      <c r="D255" s="30" t="n"/>
      <c r="E255" s="30" t="n"/>
      <c r="F255" s="30" t="n"/>
      <c r="G255" s="30" t="n"/>
      <c r="H255" s="31">
        <f>IF($A255="","",IFERROR(ROUND($C255*INDEX(tblKurallar[deger_2025],MATCH("TBO-001",tblKurallar[kural_id],0))+$D255*INDEX(tblKurallar[deger_2025],MATCH("TBO-002",tblKurallar[kural_id],0))+$E255*INDEX(tblKurallar[deger_2025],MATCH("TBO-004",tblKurallar[kural_id],0))+$F255*tbo_isverenOran,2),0))</f>
        <v/>
      </c>
      <c r="I255" s="31">
        <f>IF($A255="","",IFERROR(MAX(0,$H255-$G255),0))</f>
        <v/>
      </c>
    </row>
    <row r="256">
      <c r="A256" s="30" t="n"/>
      <c r="B256" s="30" t="n"/>
      <c r="C256" s="30" t="n"/>
      <c r="D256" s="30" t="n"/>
      <c r="E256" s="30" t="n"/>
      <c r="F256" s="30" t="n"/>
      <c r="G256" s="30" t="n"/>
      <c r="H256" s="31">
        <f>IF($A256="","",IFERROR(ROUND($C256*INDEX(tblKurallar[deger_2025],MATCH("TBO-001",tblKurallar[kural_id],0))+$D256*INDEX(tblKurallar[deger_2025],MATCH("TBO-002",tblKurallar[kural_id],0))+$E256*INDEX(tblKurallar[deger_2025],MATCH("TBO-004",tblKurallar[kural_id],0))+$F256*tbo_isverenOran,2),0))</f>
        <v/>
      </c>
      <c r="I256" s="31">
        <f>IF($A256="","",IFERROR(MAX(0,$H256-$G256),0))</f>
        <v/>
      </c>
    </row>
    <row r="257">
      <c r="A257" s="30" t="n"/>
      <c r="B257" s="30" t="n"/>
      <c r="C257" s="30" t="n"/>
      <c r="D257" s="30" t="n"/>
      <c r="E257" s="30" t="n"/>
      <c r="F257" s="30" t="n"/>
      <c r="G257" s="30" t="n"/>
      <c r="H257" s="31">
        <f>IF($A257="","",IFERROR(ROUND($C257*INDEX(tblKurallar[deger_2025],MATCH("TBO-001",tblKurallar[kural_id],0))+$D257*INDEX(tblKurallar[deger_2025],MATCH("TBO-002",tblKurallar[kural_id],0))+$E257*INDEX(tblKurallar[deger_2025],MATCH("TBO-004",tblKurallar[kural_id],0))+$F257*tbo_isverenOran,2),0))</f>
        <v/>
      </c>
      <c r="I257" s="31">
        <f>IF($A257="","",IFERROR(MAX(0,$H257-$G257),0))</f>
        <v/>
      </c>
    </row>
    <row r="258">
      <c r="A258" s="30" t="n"/>
      <c r="B258" s="30" t="n"/>
      <c r="C258" s="30" t="n"/>
      <c r="D258" s="30" t="n"/>
      <c r="E258" s="30" t="n"/>
      <c r="F258" s="30" t="n"/>
      <c r="G258" s="30" t="n"/>
      <c r="H258" s="31">
        <f>IF($A258="","",IFERROR(ROUND($C258*INDEX(tblKurallar[deger_2025],MATCH("TBO-001",tblKurallar[kural_id],0))+$D258*INDEX(tblKurallar[deger_2025],MATCH("TBO-002",tblKurallar[kural_id],0))+$E258*INDEX(tblKurallar[deger_2025],MATCH("TBO-004",tblKurallar[kural_id],0))+$F258*tbo_isverenOran,2),0))</f>
        <v/>
      </c>
      <c r="I258" s="31">
        <f>IF($A258="","",IFERROR(MAX(0,$H258-$G258),0))</f>
        <v/>
      </c>
    </row>
    <row r="259">
      <c r="A259" s="30" t="n"/>
      <c r="B259" s="30" t="n"/>
      <c r="C259" s="30" t="n"/>
      <c r="D259" s="30" t="n"/>
      <c r="E259" s="30" t="n"/>
      <c r="F259" s="30" t="n"/>
      <c r="G259" s="30" t="n"/>
      <c r="H259" s="31">
        <f>IF($A259="","",IFERROR(ROUND($C259*INDEX(tblKurallar[deger_2025],MATCH("TBO-001",tblKurallar[kural_id],0))+$D259*INDEX(tblKurallar[deger_2025],MATCH("TBO-002",tblKurallar[kural_id],0))+$E259*INDEX(tblKurallar[deger_2025],MATCH("TBO-004",tblKurallar[kural_id],0))+$F259*tbo_isverenOran,2),0))</f>
        <v/>
      </c>
      <c r="I259" s="31">
        <f>IF($A259="","",IFERROR(MAX(0,$H259-$G259),0))</f>
        <v/>
      </c>
    </row>
    <row r="260">
      <c r="A260" s="30" t="n"/>
      <c r="B260" s="30" t="n"/>
      <c r="C260" s="30" t="n"/>
      <c r="D260" s="30" t="n"/>
      <c r="E260" s="30" t="n"/>
      <c r="F260" s="30" t="n"/>
      <c r="G260" s="30" t="n"/>
      <c r="H260" s="31">
        <f>IF($A260="","",IFERROR(ROUND($C260*INDEX(tblKurallar[deger_2025],MATCH("TBO-001",tblKurallar[kural_id],0))+$D260*INDEX(tblKurallar[deger_2025],MATCH("TBO-002",tblKurallar[kural_id],0))+$E260*INDEX(tblKurallar[deger_2025],MATCH("TBO-004",tblKurallar[kural_id],0))+$F260*tbo_isverenOran,2),0))</f>
        <v/>
      </c>
      <c r="I260" s="31">
        <f>IF($A260="","",IFERROR(MAX(0,$H260-$G260),0))</f>
        <v/>
      </c>
    </row>
    <row r="261">
      <c r="A261" s="30" t="n"/>
      <c r="B261" s="30" t="n"/>
      <c r="C261" s="30" t="n"/>
      <c r="D261" s="30" t="n"/>
      <c r="E261" s="30" t="n"/>
      <c r="F261" s="30" t="n"/>
      <c r="G261" s="30" t="n"/>
      <c r="H261" s="31">
        <f>IF($A261="","",IFERROR(ROUND($C261*INDEX(tblKurallar[deger_2025],MATCH("TBO-001",tblKurallar[kural_id],0))+$D261*INDEX(tblKurallar[deger_2025],MATCH("TBO-002",tblKurallar[kural_id],0))+$E261*INDEX(tblKurallar[deger_2025],MATCH("TBO-004",tblKurallar[kural_id],0))+$F261*tbo_isverenOran,2),0))</f>
        <v/>
      </c>
      <c r="I261" s="31">
        <f>IF($A261="","",IFERROR(MAX(0,$H261-$G261),0))</f>
        <v/>
      </c>
    </row>
    <row r="262">
      <c r="A262" s="30" t="n"/>
      <c r="B262" s="30" t="n"/>
      <c r="C262" s="30" t="n"/>
      <c r="D262" s="30" t="n"/>
      <c r="E262" s="30" t="n"/>
      <c r="F262" s="30" t="n"/>
      <c r="G262" s="30" t="n"/>
      <c r="H262" s="31">
        <f>IF($A262="","",IFERROR(ROUND($C262*INDEX(tblKurallar[deger_2025],MATCH("TBO-001",tblKurallar[kural_id],0))+$D262*INDEX(tblKurallar[deger_2025],MATCH("TBO-002",tblKurallar[kural_id],0))+$E262*INDEX(tblKurallar[deger_2025],MATCH("TBO-004",tblKurallar[kural_id],0))+$F262*tbo_isverenOran,2),0))</f>
        <v/>
      </c>
      <c r="I262" s="31">
        <f>IF($A262="","",IFERROR(MAX(0,$H262-$G262),0))</f>
        <v/>
      </c>
    </row>
    <row r="263">
      <c r="A263" s="30" t="n"/>
      <c r="B263" s="30" t="n"/>
      <c r="C263" s="30" t="n"/>
      <c r="D263" s="30" t="n"/>
      <c r="E263" s="30" t="n"/>
      <c r="F263" s="30" t="n"/>
      <c r="G263" s="30" t="n"/>
      <c r="H263" s="31">
        <f>IF($A263="","",IFERROR(ROUND($C263*INDEX(tblKurallar[deger_2025],MATCH("TBO-001",tblKurallar[kural_id],0))+$D263*INDEX(tblKurallar[deger_2025],MATCH("TBO-002",tblKurallar[kural_id],0))+$E263*INDEX(tblKurallar[deger_2025],MATCH("TBO-004",tblKurallar[kural_id],0))+$F263*tbo_isverenOran,2),0))</f>
        <v/>
      </c>
      <c r="I263" s="31">
        <f>IF($A263="","",IFERROR(MAX(0,$H263-$G263),0))</f>
        <v/>
      </c>
    </row>
    <row r="264">
      <c r="A264" s="30" t="n"/>
      <c r="B264" s="30" t="n"/>
      <c r="C264" s="30" t="n"/>
      <c r="D264" s="30" t="n"/>
      <c r="E264" s="30" t="n"/>
      <c r="F264" s="30" t="n"/>
      <c r="G264" s="30" t="n"/>
      <c r="H264" s="31">
        <f>IF($A264="","",IFERROR(ROUND($C264*INDEX(tblKurallar[deger_2025],MATCH("TBO-001",tblKurallar[kural_id],0))+$D264*INDEX(tblKurallar[deger_2025],MATCH("TBO-002",tblKurallar[kural_id],0))+$E264*INDEX(tblKurallar[deger_2025],MATCH("TBO-004",tblKurallar[kural_id],0))+$F264*tbo_isverenOran,2),0))</f>
        <v/>
      </c>
      <c r="I264" s="31">
        <f>IF($A264="","",IFERROR(MAX(0,$H264-$G264),0))</f>
        <v/>
      </c>
    </row>
    <row r="265">
      <c r="A265" s="30" t="n"/>
      <c r="B265" s="30" t="n"/>
      <c r="C265" s="30" t="n"/>
      <c r="D265" s="30" t="n"/>
      <c r="E265" s="30" t="n"/>
      <c r="F265" s="30" t="n"/>
      <c r="G265" s="30" t="n"/>
      <c r="H265" s="31">
        <f>IF($A265="","",IFERROR(ROUND($C265*INDEX(tblKurallar[deger_2025],MATCH("TBO-001",tblKurallar[kural_id],0))+$D265*INDEX(tblKurallar[deger_2025],MATCH("TBO-002",tblKurallar[kural_id],0))+$E265*INDEX(tblKurallar[deger_2025],MATCH("TBO-004",tblKurallar[kural_id],0))+$F265*tbo_isverenOran,2),0))</f>
        <v/>
      </c>
      <c r="I265" s="31">
        <f>IF($A265="","",IFERROR(MAX(0,$H265-$G265),0))</f>
        <v/>
      </c>
    </row>
    <row r="266">
      <c r="A266" s="30" t="n"/>
      <c r="B266" s="30" t="n"/>
      <c r="C266" s="30" t="n"/>
      <c r="D266" s="30" t="n"/>
      <c r="E266" s="30" t="n"/>
      <c r="F266" s="30" t="n"/>
      <c r="G266" s="30" t="n"/>
      <c r="H266" s="31">
        <f>IF($A266="","",IFERROR(ROUND($C266*INDEX(tblKurallar[deger_2025],MATCH("TBO-001",tblKurallar[kural_id],0))+$D266*INDEX(tblKurallar[deger_2025],MATCH("TBO-002",tblKurallar[kural_id],0))+$E266*INDEX(tblKurallar[deger_2025],MATCH("TBO-004",tblKurallar[kural_id],0))+$F266*tbo_isverenOran,2),0))</f>
        <v/>
      </c>
      <c r="I266" s="31">
        <f>IF($A266="","",IFERROR(MAX(0,$H266-$G266),0))</f>
        <v/>
      </c>
    </row>
    <row r="267">
      <c r="A267" s="30" t="n"/>
      <c r="B267" s="30" t="n"/>
      <c r="C267" s="30" t="n"/>
      <c r="D267" s="30" t="n"/>
      <c r="E267" s="30" t="n"/>
      <c r="F267" s="30" t="n"/>
      <c r="G267" s="30" t="n"/>
      <c r="H267" s="31">
        <f>IF($A267="","",IFERROR(ROUND($C267*INDEX(tblKurallar[deger_2025],MATCH("TBO-001",tblKurallar[kural_id],0))+$D267*INDEX(tblKurallar[deger_2025],MATCH("TBO-002",tblKurallar[kural_id],0))+$E267*INDEX(tblKurallar[deger_2025],MATCH("TBO-004",tblKurallar[kural_id],0))+$F267*tbo_isverenOran,2),0))</f>
        <v/>
      </c>
      <c r="I267" s="31">
        <f>IF($A267="","",IFERROR(MAX(0,$H267-$G267),0))</f>
        <v/>
      </c>
    </row>
    <row r="268">
      <c r="A268" s="30" t="n"/>
      <c r="B268" s="30" t="n"/>
      <c r="C268" s="30" t="n"/>
      <c r="D268" s="30" t="n"/>
      <c r="E268" s="30" t="n"/>
      <c r="F268" s="30" t="n"/>
      <c r="G268" s="30" t="n"/>
      <c r="H268" s="31">
        <f>IF($A268="","",IFERROR(ROUND($C268*INDEX(tblKurallar[deger_2025],MATCH("TBO-001",tblKurallar[kural_id],0))+$D268*INDEX(tblKurallar[deger_2025],MATCH("TBO-002",tblKurallar[kural_id],0))+$E268*INDEX(tblKurallar[deger_2025],MATCH("TBO-004",tblKurallar[kural_id],0))+$F268*tbo_isverenOran,2),0))</f>
        <v/>
      </c>
      <c r="I268" s="31">
        <f>IF($A268="","",IFERROR(MAX(0,$H268-$G268),0))</f>
        <v/>
      </c>
    </row>
    <row r="269">
      <c r="A269" s="30" t="n"/>
      <c r="B269" s="30" t="n"/>
      <c r="C269" s="30" t="n"/>
      <c r="D269" s="30" t="n"/>
      <c r="E269" s="30" t="n"/>
      <c r="F269" s="30" t="n"/>
      <c r="G269" s="30" t="n"/>
      <c r="H269" s="31">
        <f>IF($A269="","",IFERROR(ROUND($C269*INDEX(tblKurallar[deger_2025],MATCH("TBO-001",tblKurallar[kural_id],0))+$D269*INDEX(tblKurallar[deger_2025],MATCH("TBO-002",tblKurallar[kural_id],0))+$E269*INDEX(tblKurallar[deger_2025],MATCH("TBO-004",tblKurallar[kural_id],0))+$F269*tbo_isverenOran,2),0))</f>
        <v/>
      </c>
      <c r="I269" s="31">
        <f>IF($A269="","",IFERROR(MAX(0,$H269-$G269),0))</f>
        <v/>
      </c>
    </row>
    <row r="270">
      <c r="A270" s="30" t="n"/>
      <c r="B270" s="30" t="n"/>
      <c r="C270" s="30" t="n"/>
      <c r="D270" s="30" t="n"/>
      <c r="E270" s="30" t="n"/>
      <c r="F270" s="30" t="n"/>
      <c r="G270" s="30" t="n"/>
      <c r="H270" s="31">
        <f>IF($A270="","",IFERROR(ROUND($C270*INDEX(tblKurallar[deger_2025],MATCH("TBO-001",tblKurallar[kural_id],0))+$D270*INDEX(tblKurallar[deger_2025],MATCH("TBO-002",tblKurallar[kural_id],0))+$E270*INDEX(tblKurallar[deger_2025],MATCH("TBO-004",tblKurallar[kural_id],0))+$F270*tbo_isverenOran,2),0))</f>
        <v/>
      </c>
      <c r="I270" s="31">
        <f>IF($A270="","",IFERROR(MAX(0,$H270-$G270),0))</f>
        <v/>
      </c>
    </row>
    <row r="271">
      <c r="A271" s="30" t="n"/>
      <c r="B271" s="30" t="n"/>
      <c r="C271" s="30" t="n"/>
      <c r="D271" s="30" t="n"/>
      <c r="E271" s="30" t="n"/>
      <c r="F271" s="30" t="n"/>
      <c r="G271" s="30" t="n"/>
      <c r="H271" s="31">
        <f>IF($A271="","",IFERROR(ROUND($C271*INDEX(tblKurallar[deger_2025],MATCH("TBO-001",tblKurallar[kural_id],0))+$D271*INDEX(tblKurallar[deger_2025],MATCH("TBO-002",tblKurallar[kural_id],0))+$E271*INDEX(tblKurallar[deger_2025],MATCH("TBO-004",tblKurallar[kural_id],0))+$F271*tbo_isverenOran,2),0))</f>
        <v/>
      </c>
      <c r="I271" s="31">
        <f>IF($A271="","",IFERROR(MAX(0,$H271-$G271),0))</f>
        <v/>
      </c>
    </row>
    <row r="272">
      <c r="A272" s="30" t="n"/>
      <c r="B272" s="30" t="n"/>
      <c r="C272" s="30" t="n"/>
      <c r="D272" s="30" t="n"/>
      <c r="E272" s="30" t="n"/>
      <c r="F272" s="30" t="n"/>
      <c r="G272" s="30" t="n"/>
      <c r="H272" s="31">
        <f>IF($A272="","",IFERROR(ROUND($C272*INDEX(tblKurallar[deger_2025],MATCH("TBO-001",tblKurallar[kural_id],0))+$D272*INDEX(tblKurallar[deger_2025],MATCH("TBO-002",tblKurallar[kural_id],0))+$E272*INDEX(tblKurallar[deger_2025],MATCH("TBO-004",tblKurallar[kural_id],0))+$F272*tbo_isverenOran,2),0))</f>
        <v/>
      </c>
      <c r="I272" s="31">
        <f>IF($A272="","",IFERROR(MAX(0,$H272-$G272),0))</f>
        <v/>
      </c>
    </row>
    <row r="273">
      <c r="A273" s="30" t="n"/>
      <c r="B273" s="30" t="n"/>
      <c r="C273" s="30" t="n"/>
      <c r="D273" s="30" t="n"/>
      <c r="E273" s="30" t="n"/>
      <c r="F273" s="30" t="n"/>
      <c r="G273" s="30" t="n"/>
      <c r="H273" s="31">
        <f>IF($A273="","",IFERROR(ROUND($C273*INDEX(tblKurallar[deger_2025],MATCH("TBO-001",tblKurallar[kural_id],0))+$D273*INDEX(tblKurallar[deger_2025],MATCH("TBO-002",tblKurallar[kural_id],0))+$E273*INDEX(tblKurallar[deger_2025],MATCH("TBO-004",tblKurallar[kural_id],0))+$F273*tbo_isverenOran,2),0))</f>
        <v/>
      </c>
      <c r="I273" s="31">
        <f>IF($A273="","",IFERROR(MAX(0,$H273-$G273),0))</f>
        <v/>
      </c>
    </row>
    <row r="274">
      <c r="A274" s="30" t="n"/>
      <c r="B274" s="30" t="n"/>
      <c r="C274" s="30" t="n"/>
      <c r="D274" s="30" t="n"/>
      <c r="E274" s="30" t="n"/>
      <c r="F274" s="30" t="n"/>
      <c r="G274" s="30" t="n"/>
      <c r="H274" s="31">
        <f>IF($A274="","",IFERROR(ROUND($C274*INDEX(tblKurallar[deger_2025],MATCH("TBO-001",tblKurallar[kural_id],0))+$D274*INDEX(tblKurallar[deger_2025],MATCH("TBO-002",tblKurallar[kural_id],0))+$E274*INDEX(tblKurallar[deger_2025],MATCH("TBO-004",tblKurallar[kural_id],0))+$F274*tbo_isverenOran,2),0))</f>
        <v/>
      </c>
      <c r="I274" s="31">
        <f>IF($A274="","",IFERROR(MAX(0,$H274-$G274),0))</f>
        <v/>
      </c>
    </row>
    <row r="275">
      <c r="A275" s="30" t="n"/>
      <c r="B275" s="30" t="n"/>
      <c r="C275" s="30" t="n"/>
      <c r="D275" s="30" t="n"/>
      <c r="E275" s="30" t="n"/>
      <c r="F275" s="30" t="n"/>
      <c r="G275" s="30" t="n"/>
      <c r="H275" s="31">
        <f>IF($A275="","",IFERROR(ROUND($C275*INDEX(tblKurallar[deger_2025],MATCH("TBO-001",tblKurallar[kural_id],0))+$D275*INDEX(tblKurallar[deger_2025],MATCH("TBO-002",tblKurallar[kural_id],0))+$E275*INDEX(tblKurallar[deger_2025],MATCH("TBO-004",tblKurallar[kural_id],0))+$F275*tbo_isverenOran,2),0))</f>
        <v/>
      </c>
      <c r="I275" s="31">
        <f>IF($A275="","",IFERROR(MAX(0,$H275-$G275),0))</f>
        <v/>
      </c>
    </row>
    <row r="276">
      <c r="A276" s="30" t="n"/>
      <c r="B276" s="30" t="n"/>
      <c r="C276" s="30" t="n"/>
      <c r="D276" s="30" t="n"/>
      <c r="E276" s="30" t="n"/>
      <c r="F276" s="30" t="n"/>
      <c r="G276" s="30" t="n"/>
      <c r="H276" s="31">
        <f>IF($A276="","",IFERROR(ROUND($C276*INDEX(tblKurallar[deger_2025],MATCH("TBO-001",tblKurallar[kural_id],0))+$D276*INDEX(tblKurallar[deger_2025],MATCH("TBO-002",tblKurallar[kural_id],0))+$E276*INDEX(tblKurallar[deger_2025],MATCH("TBO-004",tblKurallar[kural_id],0))+$F276*tbo_isverenOran,2),0))</f>
        <v/>
      </c>
      <c r="I276" s="31">
        <f>IF($A276="","",IFERROR(MAX(0,$H276-$G276),0))</f>
        <v/>
      </c>
    </row>
    <row r="277">
      <c r="A277" s="30" t="n"/>
      <c r="B277" s="30" t="n"/>
      <c r="C277" s="30" t="n"/>
      <c r="D277" s="30" t="n"/>
      <c r="E277" s="30" t="n"/>
      <c r="F277" s="30" t="n"/>
      <c r="G277" s="30" t="n"/>
      <c r="H277" s="31">
        <f>IF($A277="","",IFERROR(ROUND($C277*INDEX(tblKurallar[deger_2025],MATCH("TBO-001",tblKurallar[kural_id],0))+$D277*INDEX(tblKurallar[deger_2025],MATCH("TBO-002",tblKurallar[kural_id],0))+$E277*INDEX(tblKurallar[deger_2025],MATCH("TBO-004",tblKurallar[kural_id],0))+$F277*tbo_isverenOran,2),0))</f>
        <v/>
      </c>
      <c r="I277" s="31">
        <f>IF($A277="","",IFERROR(MAX(0,$H277-$G277),0))</f>
        <v/>
      </c>
    </row>
    <row r="278">
      <c r="A278" s="30" t="n"/>
      <c r="B278" s="30" t="n"/>
      <c r="C278" s="30" t="n"/>
      <c r="D278" s="30" t="n"/>
      <c r="E278" s="30" t="n"/>
      <c r="F278" s="30" t="n"/>
      <c r="G278" s="30" t="n"/>
      <c r="H278" s="31">
        <f>IF($A278="","",IFERROR(ROUND($C278*INDEX(tblKurallar[deger_2025],MATCH("TBO-001",tblKurallar[kural_id],0))+$D278*INDEX(tblKurallar[deger_2025],MATCH("TBO-002",tblKurallar[kural_id],0))+$E278*INDEX(tblKurallar[deger_2025],MATCH("TBO-004",tblKurallar[kural_id],0))+$F278*tbo_isverenOran,2),0))</f>
        <v/>
      </c>
      <c r="I278" s="31">
        <f>IF($A278="","",IFERROR(MAX(0,$H278-$G278),0))</f>
        <v/>
      </c>
    </row>
    <row r="279">
      <c r="A279" s="30" t="n"/>
      <c r="B279" s="30" t="n"/>
      <c r="C279" s="30" t="n"/>
      <c r="D279" s="30" t="n"/>
      <c r="E279" s="30" t="n"/>
      <c r="F279" s="30" t="n"/>
      <c r="G279" s="30" t="n"/>
      <c r="H279" s="31">
        <f>IF($A279="","",IFERROR(ROUND($C279*INDEX(tblKurallar[deger_2025],MATCH("TBO-001",tblKurallar[kural_id],0))+$D279*INDEX(tblKurallar[deger_2025],MATCH("TBO-002",tblKurallar[kural_id],0))+$E279*INDEX(tblKurallar[deger_2025],MATCH("TBO-004",tblKurallar[kural_id],0))+$F279*tbo_isverenOran,2),0))</f>
        <v/>
      </c>
      <c r="I279" s="31">
        <f>IF($A279="","",IFERROR(MAX(0,$H279-$G279),0))</f>
        <v/>
      </c>
    </row>
    <row r="280">
      <c r="A280" s="30" t="n"/>
      <c r="B280" s="30" t="n"/>
      <c r="C280" s="30" t="n"/>
      <c r="D280" s="30" t="n"/>
      <c r="E280" s="30" t="n"/>
      <c r="F280" s="30" t="n"/>
      <c r="G280" s="30" t="n"/>
      <c r="H280" s="31">
        <f>IF($A280="","",IFERROR(ROUND($C280*INDEX(tblKurallar[deger_2025],MATCH("TBO-001",tblKurallar[kural_id],0))+$D280*INDEX(tblKurallar[deger_2025],MATCH("TBO-002",tblKurallar[kural_id],0))+$E280*INDEX(tblKurallar[deger_2025],MATCH("TBO-004",tblKurallar[kural_id],0))+$F280*tbo_isverenOran,2),0))</f>
        <v/>
      </c>
      <c r="I280" s="31">
        <f>IF($A280="","",IFERROR(MAX(0,$H280-$G280),0))</f>
        <v/>
      </c>
    </row>
    <row r="281">
      <c r="A281" s="30" t="n"/>
      <c r="B281" s="30" t="n"/>
      <c r="C281" s="30" t="n"/>
      <c r="D281" s="30" t="n"/>
      <c r="E281" s="30" t="n"/>
      <c r="F281" s="30" t="n"/>
      <c r="G281" s="30" t="n"/>
      <c r="H281" s="31">
        <f>IF($A281="","",IFERROR(ROUND($C281*INDEX(tblKurallar[deger_2025],MATCH("TBO-001",tblKurallar[kural_id],0))+$D281*INDEX(tblKurallar[deger_2025],MATCH("TBO-002",tblKurallar[kural_id],0))+$E281*INDEX(tblKurallar[deger_2025],MATCH("TBO-004",tblKurallar[kural_id],0))+$F281*tbo_isverenOran,2),0))</f>
        <v/>
      </c>
      <c r="I281" s="31">
        <f>IF($A281="","",IFERROR(MAX(0,$H281-$G281),0))</f>
        <v/>
      </c>
    </row>
    <row r="282">
      <c r="A282" s="30" t="n"/>
      <c r="B282" s="30" t="n"/>
      <c r="C282" s="30" t="n"/>
      <c r="D282" s="30" t="n"/>
      <c r="E282" s="30" t="n"/>
      <c r="F282" s="30" t="n"/>
      <c r="G282" s="30" t="n"/>
      <c r="H282" s="31">
        <f>IF($A282="","",IFERROR(ROUND($C282*INDEX(tblKurallar[deger_2025],MATCH("TBO-001",tblKurallar[kural_id],0))+$D282*INDEX(tblKurallar[deger_2025],MATCH("TBO-002",tblKurallar[kural_id],0))+$E282*INDEX(tblKurallar[deger_2025],MATCH("TBO-004",tblKurallar[kural_id],0))+$F282*tbo_isverenOran,2),0))</f>
        <v/>
      </c>
      <c r="I282" s="31">
        <f>IF($A282="","",IFERROR(MAX(0,$H282-$G282),0))</f>
        <v/>
      </c>
    </row>
    <row r="283">
      <c r="A283" s="30" t="n"/>
      <c r="B283" s="30" t="n"/>
      <c r="C283" s="30" t="n"/>
      <c r="D283" s="30" t="n"/>
      <c r="E283" s="30" t="n"/>
      <c r="F283" s="30" t="n"/>
      <c r="G283" s="30" t="n"/>
      <c r="H283" s="31">
        <f>IF($A283="","",IFERROR(ROUND($C283*INDEX(tblKurallar[deger_2025],MATCH("TBO-001",tblKurallar[kural_id],0))+$D283*INDEX(tblKurallar[deger_2025],MATCH("TBO-002",tblKurallar[kural_id],0))+$E283*INDEX(tblKurallar[deger_2025],MATCH("TBO-004",tblKurallar[kural_id],0))+$F283*tbo_isverenOran,2),0))</f>
        <v/>
      </c>
      <c r="I283" s="31">
        <f>IF($A283="","",IFERROR(MAX(0,$H283-$G283),0))</f>
        <v/>
      </c>
    </row>
    <row r="284">
      <c r="A284" s="30" t="n"/>
      <c r="B284" s="30" t="n"/>
      <c r="C284" s="30" t="n"/>
      <c r="D284" s="30" t="n"/>
      <c r="E284" s="30" t="n"/>
      <c r="F284" s="30" t="n"/>
      <c r="G284" s="30" t="n"/>
      <c r="H284" s="31">
        <f>IF($A284="","",IFERROR(ROUND($C284*INDEX(tblKurallar[deger_2025],MATCH("TBO-001",tblKurallar[kural_id],0))+$D284*INDEX(tblKurallar[deger_2025],MATCH("TBO-002",tblKurallar[kural_id],0))+$E284*INDEX(tblKurallar[deger_2025],MATCH("TBO-004",tblKurallar[kural_id],0))+$F284*tbo_isverenOran,2),0))</f>
        <v/>
      </c>
      <c r="I284" s="31">
        <f>IF($A284="","",IFERROR(MAX(0,$H284-$G284),0))</f>
        <v/>
      </c>
    </row>
    <row r="285">
      <c r="A285" s="30" t="n"/>
      <c r="B285" s="30" t="n"/>
      <c r="C285" s="30" t="n"/>
      <c r="D285" s="30" t="n"/>
      <c r="E285" s="30" t="n"/>
      <c r="F285" s="30" t="n"/>
      <c r="G285" s="30" t="n"/>
      <c r="H285" s="31">
        <f>IF($A285="","",IFERROR(ROUND($C285*INDEX(tblKurallar[deger_2025],MATCH("TBO-001",tblKurallar[kural_id],0))+$D285*INDEX(tblKurallar[deger_2025],MATCH("TBO-002",tblKurallar[kural_id],0))+$E285*INDEX(tblKurallar[deger_2025],MATCH("TBO-004",tblKurallar[kural_id],0))+$F285*tbo_isverenOran,2),0))</f>
        <v/>
      </c>
      <c r="I285" s="31">
        <f>IF($A285="","",IFERROR(MAX(0,$H285-$G285),0))</f>
        <v/>
      </c>
    </row>
    <row r="286">
      <c r="A286" s="30" t="n"/>
      <c r="B286" s="30" t="n"/>
      <c r="C286" s="30" t="n"/>
      <c r="D286" s="30" t="n"/>
      <c r="E286" s="30" t="n"/>
      <c r="F286" s="30" t="n"/>
      <c r="G286" s="30" t="n"/>
      <c r="H286" s="31">
        <f>IF($A286="","",IFERROR(ROUND($C286*INDEX(tblKurallar[deger_2025],MATCH("TBO-001",tblKurallar[kural_id],0))+$D286*INDEX(tblKurallar[deger_2025],MATCH("TBO-002",tblKurallar[kural_id],0))+$E286*INDEX(tblKurallar[deger_2025],MATCH("TBO-004",tblKurallar[kural_id],0))+$F286*tbo_isverenOran,2),0))</f>
        <v/>
      </c>
      <c r="I286" s="31">
        <f>IF($A286="","",IFERROR(MAX(0,$H286-$G286),0))</f>
        <v/>
      </c>
    </row>
    <row r="287">
      <c r="A287" s="30" t="n"/>
      <c r="B287" s="30" t="n"/>
      <c r="C287" s="30" t="n"/>
      <c r="D287" s="30" t="n"/>
      <c r="E287" s="30" t="n"/>
      <c r="F287" s="30" t="n"/>
      <c r="G287" s="30" t="n"/>
      <c r="H287" s="31">
        <f>IF($A287="","",IFERROR(ROUND($C287*INDEX(tblKurallar[deger_2025],MATCH("TBO-001",tblKurallar[kural_id],0))+$D287*INDEX(tblKurallar[deger_2025],MATCH("TBO-002",tblKurallar[kural_id],0))+$E287*INDEX(tblKurallar[deger_2025],MATCH("TBO-004",tblKurallar[kural_id],0))+$F287*tbo_isverenOran,2),0))</f>
        <v/>
      </c>
      <c r="I287" s="31">
        <f>IF($A287="","",IFERROR(MAX(0,$H287-$G287),0))</f>
        <v/>
      </c>
    </row>
    <row r="288">
      <c r="A288" s="30" t="n"/>
      <c r="B288" s="30" t="n"/>
      <c r="C288" s="30" t="n"/>
      <c r="D288" s="30" t="n"/>
      <c r="E288" s="30" t="n"/>
      <c r="F288" s="30" t="n"/>
      <c r="G288" s="30" t="n"/>
      <c r="H288" s="31">
        <f>IF($A288="","",IFERROR(ROUND($C288*INDEX(tblKurallar[deger_2025],MATCH("TBO-001",tblKurallar[kural_id],0))+$D288*INDEX(tblKurallar[deger_2025],MATCH("TBO-002",tblKurallar[kural_id],0))+$E288*INDEX(tblKurallar[deger_2025],MATCH("TBO-004",tblKurallar[kural_id],0))+$F288*tbo_isverenOran,2),0))</f>
        <v/>
      </c>
      <c r="I288" s="31">
        <f>IF($A288="","",IFERROR(MAX(0,$H288-$G288),0))</f>
        <v/>
      </c>
    </row>
    <row r="289">
      <c r="A289" s="30" t="n"/>
      <c r="B289" s="30" t="n"/>
      <c r="C289" s="30" t="n"/>
      <c r="D289" s="30" t="n"/>
      <c r="E289" s="30" t="n"/>
      <c r="F289" s="30" t="n"/>
      <c r="G289" s="30" t="n"/>
      <c r="H289" s="31">
        <f>IF($A289="","",IFERROR(ROUND($C289*INDEX(tblKurallar[deger_2025],MATCH("TBO-001",tblKurallar[kural_id],0))+$D289*INDEX(tblKurallar[deger_2025],MATCH("TBO-002",tblKurallar[kural_id],0))+$E289*INDEX(tblKurallar[deger_2025],MATCH("TBO-004",tblKurallar[kural_id],0))+$F289*tbo_isverenOran,2),0))</f>
        <v/>
      </c>
      <c r="I289" s="31">
        <f>IF($A289="","",IFERROR(MAX(0,$H289-$G289),0))</f>
        <v/>
      </c>
    </row>
    <row r="290">
      <c r="A290" s="30" t="n"/>
      <c r="B290" s="30" t="n"/>
      <c r="C290" s="30" t="n"/>
      <c r="D290" s="30" t="n"/>
      <c r="E290" s="30" t="n"/>
      <c r="F290" s="30" t="n"/>
      <c r="G290" s="30" t="n"/>
      <c r="H290" s="31">
        <f>IF($A290="","",IFERROR(ROUND($C290*INDEX(tblKurallar[deger_2025],MATCH("TBO-001",tblKurallar[kural_id],0))+$D290*INDEX(tblKurallar[deger_2025],MATCH("TBO-002",tblKurallar[kural_id],0))+$E290*INDEX(tblKurallar[deger_2025],MATCH("TBO-004",tblKurallar[kural_id],0))+$F290*tbo_isverenOran,2),0))</f>
        <v/>
      </c>
      <c r="I290" s="31">
        <f>IF($A290="","",IFERROR(MAX(0,$H290-$G290),0))</f>
        <v/>
      </c>
    </row>
    <row r="291">
      <c r="A291" s="30" t="n"/>
      <c r="B291" s="30" t="n"/>
      <c r="C291" s="30" t="n"/>
      <c r="D291" s="30" t="n"/>
      <c r="E291" s="30" t="n"/>
      <c r="F291" s="30" t="n"/>
      <c r="G291" s="30" t="n"/>
      <c r="H291" s="31">
        <f>IF($A291="","",IFERROR(ROUND($C291*INDEX(tblKurallar[deger_2025],MATCH("TBO-001",tblKurallar[kural_id],0))+$D291*INDEX(tblKurallar[deger_2025],MATCH("TBO-002",tblKurallar[kural_id],0))+$E291*INDEX(tblKurallar[deger_2025],MATCH("TBO-004",tblKurallar[kural_id],0))+$F291*tbo_isverenOran,2),0))</f>
        <v/>
      </c>
      <c r="I291" s="31">
        <f>IF($A291="","",IFERROR(MAX(0,$H291-$G291),0))</f>
        <v/>
      </c>
    </row>
    <row r="292">
      <c r="A292" s="30" t="n"/>
      <c r="B292" s="30" t="n"/>
      <c r="C292" s="30" t="n"/>
      <c r="D292" s="30" t="n"/>
      <c r="E292" s="30" t="n"/>
      <c r="F292" s="30" t="n"/>
      <c r="G292" s="30" t="n"/>
      <c r="H292" s="31">
        <f>IF($A292="","",IFERROR(ROUND($C292*INDEX(tblKurallar[deger_2025],MATCH("TBO-001",tblKurallar[kural_id],0))+$D292*INDEX(tblKurallar[deger_2025],MATCH("TBO-002",tblKurallar[kural_id],0))+$E292*INDEX(tblKurallar[deger_2025],MATCH("TBO-004",tblKurallar[kural_id],0))+$F292*tbo_isverenOran,2),0))</f>
        <v/>
      </c>
      <c r="I292" s="31">
        <f>IF($A292="","",IFERROR(MAX(0,$H292-$G292),0))</f>
        <v/>
      </c>
    </row>
    <row r="293">
      <c r="A293" s="30" t="n"/>
      <c r="B293" s="30" t="n"/>
      <c r="C293" s="30" t="n"/>
      <c r="D293" s="30" t="n"/>
      <c r="E293" s="30" t="n"/>
      <c r="F293" s="30" t="n"/>
      <c r="G293" s="30" t="n"/>
      <c r="H293" s="31">
        <f>IF($A293="","",IFERROR(ROUND($C293*INDEX(tblKurallar[deger_2025],MATCH("TBO-001",tblKurallar[kural_id],0))+$D293*INDEX(tblKurallar[deger_2025],MATCH("TBO-002",tblKurallar[kural_id],0))+$E293*INDEX(tblKurallar[deger_2025],MATCH("TBO-004",tblKurallar[kural_id],0))+$F293*tbo_isverenOran,2),0))</f>
        <v/>
      </c>
      <c r="I293" s="31">
        <f>IF($A293="","",IFERROR(MAX(0,$H293-$G293),0))</f>
        <v/>
      </c>
    </row>
    <row r="294">
      <c r="A294" s="30" t="n"/>
      <c r="B294" s="30" t="n"/>
      <c r="C294" s="30" t="n"/>
      <c r="D294" s="30" t="n"/>
      <c r="E294" s="30" t="n"/>
      <c r="F294" s="30" t="n"/>
      <c r="G294" s="30" t="n"/>
      <c r="H294" s="31">
        <f>IF($A294="","",IFERROR(ROUND($C294*INDEX(tblKurallar[deger_2025],MATCH("TBO-001",tblKurallar[kural_id],0))+$D294*INDEX(tblKurallar[deger_2025],MATCH("TBO-002",tblKurallar[kural_id],0))+$E294*INDEX(tblKurallar[deger_2025],MATCH("TBO-004",tblKurallar[kural_id],0))+$F294*tbo_isverenOran,2),0))</f>
        <v/>
      </c>
      <c r="I294" s="31">
        <f>IF($A294="","",IFERROR(MAX(0,$H294-$G294),0))</f>
        <v/>
      </c>
    </row>
    <row r="295">
      <c r="A295" s="30" t="n"/>
      <c r="B295" s="30" t="n"/>
      <c r="C295" s="30" t="n"/>
      <c r="D295" s="30" t="n"/>
      <c r="E295" s="30" t="n"/>
      <c r="F295" s="30" t="n"/>
      <c r="G295" s="30" t="n"/>
      <c r="H295" s="31">
        <f>IF($A295="","",IFERROR(ROUND($C295*INDEX(tblKurallar[deger_2025],MATCH("TBO-001",tblKurallar[kural_id],0))+$D295*INDEX(tblKurallar[deger_2025],MATCH("TBO-002",tblKurallar[kural_id],0))+$E295*INDEX(tblKurallar[deger_2025],MATCH("TBO-004",tblKurallar[kural_id],0))+$F295*tbo_isverenOran,2),0))</f>
        <v/>
      </c>
      <c r="I295" s="31">
        <f>IF($A295="","",IFERROR(MAX(0,$H295-$G295),0))</f>
        <v/>
      </c>
    </row>
    <row r="296">
      <c r="A296" s="30" t="n"/>
      <c r="B296" s="30" t="n"/>
      <c r="C296" s="30" t="n"/>
      <c r="D296" s="30" t="n"/>
      <c r="E296" s="30" t="n"/>
      <c r="F296" s="30" t="n"/>
      <c r="G296" s="30" t="n"/>
      <c r="H296" s="31">
        <f>IF($A296="","",IFERROR(ROUND($C296*INDEX(tblKurallar[deger_2025],MATCH("TBO-001",tblKurallar[kural_id],0))+$D296*INDEX(tblKurallar[deger_2025],MATCH("TBO-002",tblKurallar[kural_id],0))+$E296*INDEX(tblKurallar[deger_2025],MATCH("TBO-004",tblKurallar[kural_id],0))+$F296*tbo_isverenOran,2),0))</f>
        <v/>
      </c>
      <c r="I296" s="31">
        <f>IF($A296="","",IFERROR(MAX(0,$H296-$G296),0))</f>
        <v/>
      </c>
    </row>
    <row r="297">
      <c r="A297" s="30" t="n"/>
      <c r="B297" s="30" t="n"/>
      <c r="C297" s="30" t="n"/>
      <c r="D297" s="30" t="n"/>
      <c r="E297" s="30" t="n"/>
      <c r="F297" s="30" t="n"/>
      <c r="G297" s="30" t="n"/>
      <c r="H297" s="31">
        <f>IF($A297="","",IFERROR(ROUND($C297*INDEX(tblKurallar[deger_2025],MATCH("TBO-001",tblKurallar[kural_id],0))+$D297*INDEX(tblKurallar[deger_2025],MATCH("TBO-002",tblKurallar[kural_id],0))+$E297*INDEX(tblKurallar[deger_2025],MATCH("TBO-004",tblKurallar[kural_id],0))+$F297*tbo_isverenOran,2),0))</f>
        <v/>
      </c>
      <c r="I297" s="31">
        <f>IF($A297="","",IFERROR(MAX(0,$H297-$G297),0))</f>
        <v/>
      </c>
    </row>
    <row r="298">
      <c r="A298" s="30" t="n"/>
      <c r="B298" s="30" t="n"/>
      <c r="C298" s="30" t="n"/>
      <c r="D298" s="30" t="n"/>
      <c r="E298" s="30" t="n"/>
      <c r="F298" s="30" t="n"/>
      <c r="G298" s="30" t="n"/>
      <c r="H298" s="31">
        <f>IF($A298="","",IFERROR(ROUND($C298*INDEX(tblKurallar[deger_2025],MATCH("TBO-001",tblKurallar[kural_id],0))+$D298*INDEX(tblKurallar[deger_2025],MATCH("TBO-002",tblKurallar[kural_id],0))+$E298*INDEX(tblKurallar[deger_2025],MATCH("TBO-004",tblKurallar[kural_id],0))+$F298*tbo_isverenOran,2),0))</f>
        <v/>
      </c>
      <c r="I298" s="31">
        <f>IF($A298="","",IFERROR(MAX(0,$H298-$G298),0))</f>
        <v/>
      </c>
    </row>
    <row r="299">
      <c r="A299" s="30" t="n"/>
      <c r="B299" s="30" t="n"/>
      <c r="C299" s="30" t="n"/>
      <c r="D299" s="30" t="n"/>
      <c r="E299" s="30" t="n"/>
      <c r="F299" s="30" t="n"/>
      <c r="G299" s="30" t="n"/>
      <c r="H299" s="31">
        <f>IF($A299="","",IFERROR(ROUND($C299*INDEX(tblKurallar[deger_2025],MATCH("TBO-001",tblKurallar[kural_id],0))+$D299*INDEX(tblKurallar[deger_2025],MATCH("TBO-002",tblKurallar[kural_id],0))+$E299*INDEX(tblKurallar[deger_2025],MATCH("TBO-004",tblKurallar[kural_id],0))+$F299*tbo_isverenOran,2),0))</f>
        <v/>
      </c>
      <c r="I299" s="31">
        <f>IF($A299="","",IFERROR(MAX(0,$H299-$G299),0))</f>
        <v/>
      </c>
    </row>
    <row r="300">
      <c r="A300" s="30" t="n"/>
      <c r="B300" s="30" t="n"/>
      <c r="C300" s="30" t="n"/>
      <c r="D300" s="30" t="n"/>
      <c r="E300" s="30" t="n"/>
      <c r="F300" s="30" t="n"/>
      <c r="G300" s="30" t="n"/>
      <c r="H300" s="31">
        <f>IF($A300="","",IFERROR(ROUND($C300*INDEX(tblKurallar[deger_2025],MATCH("TBO-001",tblKurallar[kural_id],0))+$D300*INDEX(tblKurallar[deger_2025],MATCH("TBO-002",tblKurallar[kural_id],0))+$E300*INDEX(tblKurallar[deger_2025],MATCH("TBO-004",tblKurallar[kural_id],0))+$F300*tbo_isverenOran,2),0))</f>
        <v/>
      </c>
      <c r="I300" s="31">
        <f>IF($A300="","",IFERROR(MAX(0,$H300-$G300),0))</f>
        <v/>
      </c>
    </row>
    <row r="301">
      <c r="A301" s="30" t="n"/>
      <c r="B301" s="30" t="n"/>
      <c r="C301" s="30" t="n"/>
      <c r="D301" s="30" t="n"/>
      <c r="E301" s="30" t="n"/>
      <c r="F301" s="30" t="n"/>
      <c r="G301" s="30" t="n"/>
      <c r="H301" s="31">
        <f>IF($A301="","",IFERROR(ROUND($C301*INDEX(tblKurallar[deger_2025],MATCH("TBO-001",tblKurallar[kural_id],0))+$D301*INDEX(tblKurallar[deger_2025],MATCH("TBO-002",tblKurallar[kural_id],0))+$E301*INDEX(tblKurallar[deger_2025],MATCH("TBO-004",tblKurallar[kural_id],0))+$F301*tbo_isverenOran,2),0))</f>
        <v/>
      </c>
      <c r="I301" s="31">
        <f>IF($A301="","",IFERROR(MAX(0,$H301-$G301),0))</f>
        <v/>
      </c>
    </row>
    <row r="302">
      <c r="A302" s="30" t="n"/>
      <c r="B302" s="30" t="n"/>
      <c r="C302" s="30" t="n"/>
      <c r="D302" s="30" t="n"/>
      <c r="E302" s="30" t="n"/>
      <c r="F302" s="30" t="n"/>
      <c r="G302" s="30" t="n"/>
      <c r="H302" s="31">
        <f>IF($A302="","",IFERROR(ROUND($C302*INDEX(tblKurallar[deger_2025],MATCH("TBO-001",tblKurallar[kural_id],0))+$D302*INDEX(tblKurallar[deger_2025],MATCH("TBO-002",tblKurallar[kural_id],0))+$E302*INDEX(tblKurallar[deger_2025],MATCH("TBO-004",tblKurallar[kural_id],0))+$F302*tbo_isverenOran,2),0))</f>
        <v/>
      </c>
      <c r="I302" s="31">
        <f>IF($A302="","",IFERROR(MAX(0,$H302-$G302),0))</f>
        <v/>
      </c>
    </row>
    <row r="303">
      <c r="A303" s="30" t="n"/>
      <c r="B303" s="30" t="n"/>
      <c r="C303" s="30" t="n"/>
      <c r="D303" s="30" t="n"/>
      <c r="E303" s="30" t="n"/>
      <c r="F303" s="30" t="n"/>
      <c r="G303" s="30" t="n"/>
      <c r="H303" s="31">
        <f>IF($A303="","",IFERROR(ROUND($C303*INDEX(tblKurallar[deger_2025],MATCH("TBO-001",tblKurallar[kural_id],0))+$D303*INDEX(tblKurallar[deger_2025],MATCH("TBO-002",tblKurallar[kural_id],0))+$E303*INDEX(tblKurallar[deger_2025],MATCH("TBO-004",tblKurallar[kural_id],0))+$F303*tbo_isverenOran,2),0))</f>
        <v/>
      </c>
      <c r="I303" s="31">
        <f>IF($A303="","",IFERROR(MAX(0,$H303-$G303),0))</f>
        <v/>
      </c>
    </row>
    <row r="304">
      <c r="A304" s="30" t="n"/>
      <c r="B304" s="30" t="n"/>
      <c r="C304" s="30" t="n"/>
      <c r="D304" s="30" t="n"/>
      <c r="E304" s="30" t="n"/>
      <c r="F304" s="30" t="n"/>
      <c r="G304" s="30" t="n"/>
      <c r="H304" s="31">
        <f>IF($A304="","",IFERROR(ROUND($C304*INDEX(tblKurallar[deger_2025],MATCH("TBO-001",tblKurallar[kural_id],0))+$D304*INDEX(tblKurallar[deger_2025],MATCH("TBO-002",tblKurallar[kural_id],0))+$E304*INDEX(tblKurallar[deger_2025],MATCH("TBO-004",tblKurallar[kural_id],0))+$F304*tbo_isverenOran,2),0))</f>
        <v/>
      </c>
      <c r="I304" s="31">
        <f>IF($A304="","",IFERROR(MAX(0,$H304-$G304),0))</f>
        <v/>
      </c>
    </row>
    <row r="305">
      <c r="A305" s="30" t="n"/>
      <c r="B305" s="30" t="n"/>
      <c r="C305" s="30" t="n"/>
      <c r="D305" s="30" t="n"/>
      <c r="E305" s="30" t="n"/>
      <c r="F305" s="30" t="n"/>
      <c r="G305" s="30" t="n"/>
      <c r="H305" s="31">
        <f>IF($A305="","",IFERROR(ROUND($C305*INDEX(tblKurallar[deger_2025],MATCH("TBO-001",tblKurallar[kural_id],0))+$D305*INDEX(tblKurallar[deger_2025],MATCH("TBO-002",tblKurallar[kural_id],0))+$E305*INDEX(tblKurallar[deger_2025],MATCH("TBO-004",tblKurallar[kural_id],0))+$F305*tbo_isverenOran,2),0))</f>
        <v/>
      </c>
      <c r="I305" s="31">
        <f>IF($A305="","",IFERROR(MAX(0,$H305-$G305),0))</f>
        <v/>
      </c>
    </row>
    <row r="306">
      <c r="A306" s="30" t="n"/>
      <c r="B306" s="30" t="n"/>
      <c r="C306" s="30" t="n"/>
      <c r="D306" s="30" t="n"/>
      <c r="E306" s="30" t="n"/>
      <c r="F306" s="30" t="n"/>
      <c r="G306" s="30" t="n"/>
      <c r="H306" s="31">
        <f>IF($A306="","",IFERROR(ROUND($C306*INDEX(tblKurallar[deger_2025],MATCH("TBO-001",tblKurallar[kural_id],0))+$D306*INDEX(tblKurallar[deger_2025],MATCH("TBO-002",tblKurallar[kural_id],0))+$E306*INDEX(tblKurallar[deger_2025],MATCH("TBO-004",tblKurallar[kural_id],0))+$F306*tbo_isverenOran,2),0))</f>
        <v/>
      </c>
      <c r="I306" s="31">
        <f>IF($A306="","",IFERROR(MAX(0,$H306-$G306),0))</f>
        <v/>
      </c>
    </row>
    <row r="307">
      <c r="A307" s="30" t="n"/>
      <c r="B307" s="30" t="n"/>
      <c r="C307" s="30" t="n"/>
      <c r="D307" s="30" t="n"/>
      <c r="E307" s="30" t="n"/>
      <c r="F307" s="30" t="n"/>
      <c r="G307" s="30" t="n"/>
      <c r="H307" s="31">
        <f>IF($A307="","",IFERROR(ROUND($C307*INDEX(tblKurallar[deger_2025],MATCH("TBO-001",tblKurallar[kural_id],0))+$D307*INDEX(tblKurallar[deger_2025],MATCH("TBO-002",tblKurallar[kural_id],0))+$E307*INDEX(tblKurallar[deger_2025],MATCH("TBO-004",tblKurallar[kural_id],0))+$F307*tbo_isverenOran,2),0))</f>
        <v/>
      </c>
      <c r="I307" s="31">
        <f>IF($A307="","",IFERROR(MAX(0,$H307-$G307),0))</f>
        <v/>
      </c>
    </row>
    <row r="308">
      <c r="A308" s="30" t="n"/>
      <c r="B308" s="30" t="n"/>
      <c r="C308" s="30" t="n"/>
      <c r="D308" s="30" t="n"/>
      <c r="E308" s="30" t="n"/>
      <c r="F308" s="30" t="n"/>
      <c r="G308" s="30" t="n"/>
      <c r="H308" s="31">
        <f>IF($A308="","",IFERROR(ROUND($C308*INDEX(tblKurallar[deger_2025],MATCH("TBO-001",tblKurallar[kural_id],0))+$D308*INDEX(tblKurallar[deger_2025],MATCH("TBO-002",tblKurallar[kural_id],0))+$E308*INDEX(tblKurallar[deger_2025],MATCH("TBO-004",tblKurallar[kural_id],0))+$F308*tbo_isverenOran,2),0))</f>
        <v/>
      </c>
      <c r="I308" s="31">
        <f>IF($A308="","",IFERROR(MAX(0,$H308-$G308),0))</f>
        <v/>
      </c>
    </row>
    <row r="309">
      <c r="A309" s="30" t="n"/>
      <c r="B309" s="30" t="n"/>
      <c r="C309" s="30" t="n"/>
      <c r="D309" s="30" t="n"/>
      <c r="E309" s="30" t="n"/>
      <c r="F309" s="30" t="n"/>
      <c r="G309" s="30" t="n"/>
      <c r="H309" s="31">
        <f>IF($A309="","",IFERROR(ROUND($C309*INDEX(tblKurallar[deger_2025],MATCH("TBO-001",tblKurallar[kural_id],0))+$D309*INDEX(tblKurallar[deger_2025],MATCH("TBO-002",tblKurallar[kural_id],0))+$E309*INDEX(tblKurallar[deger_2025],MATCH("TBO-004",tblKurallar[kural_id],0))+$F309*tbo_isverenOran,2),0))</f>
        <v/>
      </c>
      <c r="I309" s="31">
        <f>IF($A309="","",IFERROR(MAX(0,$H309-$G309),0))</f>
        <v/>
      </c>
    </row>
    <row r="310">
      <c r="A310" s="30" t="n"/>
      <c r="B310" s="30" t="n"/>
      <c r="C310" s="30" t="n"/>
      <c r="D310" s="30" t="n"/>
      <c r="E310" s="30" t="n"/>
      <c r="F310" s="30" t="n"/>
      <c r="G310" s="30" t="n"/>
      <c r="H310" s="31">
        <f>IF($A310="","",IFERROR(ROUND($C310*INDEX(tblKurallar[deger_2025],MATCH("TBO-001",tblKurallar[kural_id],0))+$D310*INDEX(tblKurallar[deger_2025],MATCH("TBO-002",tblKurallar[kural_id],0))+$E310*INDEX(tblKurallar[deger_2025],MATCH("TBO-004",tblKurallar[kural_id],0))+$F310*tbo_isverenOran,2),0))</f>
        <v/>
      </c>
      <c r="I310" s="31">
        <f>IF($A310="","",IFERROR(MAX(0,$H310-$G310),0))</f>
        <v/>
      </c>
    </row>
    <row r="311">
      <c r="A311" s="30" t="n"/>
      <c r="B311" s="30" t="n"/>
      <c r="C311" s="30" t="n"/>
      <c r="D311" s="30" t="n"/>
      <c r="E311" s="30" t="n"/>
      <c r="F311" s="30" t="n"/>
      <c r="G311" s="30" t="n"/>
      <c r="H311" s="31">
        <f>IF($A311="","",IFERROR(ROUND($C311*INDEX(tblKurallar[deger_2025],MATCH("TBO-001",tblKurallar[kural_id],0))+$D311*INDEX(tblKurallar[deger_2025],MATCH("TBO-002",tblKurallar[kural_id],0))+$E311*INDEX(tblKurallar[deger_2025],MATCH("TBO-004",tblKurallar[kural_id],0))+$F311*tbo_isverenOran,2),0))</f>
        <v/>
      </c>
      <c r="I311" s="31">
        <f>IF($A311="","",IFERROR(MAX(0,$H311-$G311),0))</f>
        <v/>
      </c>
    </row>
    <row r="312">
      <c r="A312" s="30" t="n"/>
      <c r="B312" s="30" t="n"/>
      <c r="C312" s="30" t="n"/>
      <c r="D312" s="30" t="n"/>
      <c r="E312" s="30" t="n"/>
      <c r="F312" s="30" t="n"/>
      <c r="G312" s="30" t="n"/>
      <c r="H312" s="31">
        <f>IF($A312="","",IFERROR(ROUND($C312*INDEX(tblKurallar[deger_2025],MATCH("TBO-001",tblKurallar[kural_id],0))+$D312*INDEX(tblKurallar[deger_2025],MATCH("TBO-002",tblKurallar[kural_id],0))+$E312*INDEX(tblKurallar[deger_2025],MATCH("TBO-004",tblKurallar[kural_id],0))+$F312*tbo_isverenOran,2),0))</f>
        <v/>
      </c>
      <c r="I312" s="31">
        <f>IF($A312="","",IFERROR(MAX(0,$H312-$G312),0))</f>
        <v/>
      </c>
    </row>
    <row r="313">
      <c r="A313" s="30" t="n"/>
      <c r="B313" s="30" t="n"/>
      <c r="C313" s="30" t="n"/>
      <c r="D313" s="30" t="n"/>
      <c r="E313" s="30" t="n"/>
      <c r="F313" s="30" t="n"/>
      <c r="G313" s="30" t="n"/>
      <c r="H313" s="31">
        <f>IF($A313="","",IFERROR(ROUND($C313*INDEX(tblKurallar[deger_2025],MATCH("TBO-001",tblKurallar[kural_id],0))+$D313*INDEX(tblKurallar[deger_2025],MATCH("TBO-002",tblKurallar[kural_id],0))+$E313*INDEX(tblKurallar[deger_2025],MATCH("TBO-004",tblKurallar[kural_id],0))+$F313*tbo_isverenOran,2),0))</f>
        <v/>
      </c>
      <c r="I313" s="31">
        <f>IF($A313="","",IFERROR(MAX(0,$H313-$G313),0))</f>
        <v/>
      </c>
    </row>
    <row r="314">
      <c r="A314" s="30" t="n"/>
      <c r="B314" s="30" t="n"/>
      <c r="C314" s="30" t="n"/>
      <c r="D314" s="30" t="n"/>
      <c r="E314" s="30" t="n"/>
      <c r="F314" s="30" t="n"/>
      <c r="G314" s="30" t="n"/>
      <c r="H314" s="31">
        <f>IF($A314="","",IFERROR(ROUND($C314*INDEX(tblKurallar[deger_2025],MATCH("TBO-001",tblKurallar[kural_id],0))+$D314*INDEX(tblKurallar[deger_2025],MATCH("TBO-002",tblKurallar[kural_id],0))+$E314*INDEX(tblKurallar[deger_2025],MATCH("TBO-004",tblKurallar[kural_id],0))+$F314*tbo_isverenOran,2),0))</f>
        <v/>
      </c>
      <c r="I314" s="31">
        <f>IF($A314="","",IFERROR(MAX(0,$H314-$G314),0))</f>
        <v/>
      </c>
    </row>
    <row r="315">
      <c r="A315" s="30" t="n"/>
      <c r="B315" s="30" t="n"/>
      <c r="C315" s="30" t="n"/>
      <c r="D315" s="30" t="n"/>
      <c r="E315" s="30" t="n"/>
      <c r="F315" s="30" t="n"/>
      <c r="G315" s="30" t="n"/>
      <c r="H315" s="31">
        <f>IF($A315="","",IFERROR(ROUND($C315*INDEX(tblKurallar[deger_2025],MATCH("TBO-001",tblKurallar[kural_id],0))+$D315*INDEX(tblKurallar[deger_2025],MATCH("TBO-002",tblKurallar[kural_id],0))+$E315*INDEX(tblKurallar[deger_2025],MATCH("TBO-004",tblKurallar[kural_id],0))+$F315*tbo_isverenOran,2),0))</f>
        <v/>
      </c>
      <c r="I315" s="31">
        <f>IF($A315="","",IFERROR(MAX(0,$H315-$G315),0))</f>
        <v/>
      </c>
    </row>
    <row r="316">
      <c r="A316" s="30" t="n"/>
      <c r="B316" s="30" t="n"/>
      <c r="C316" s="30" t="n"/>
      <c r="D316" s="30" t="n"/>
      <c r="E316" s="30" t="n"/>
      <c r="F316" s="30" t="n"/>
      <c r="G316" s="30" t="n"/>
      <c r="H316" s="31">
        <f>IF($A316="","",IFERROR(ROUND($C316*INDEX(tblKurallar[deger_2025],MATCH("TBO-001",tblKurallar[kural_id],0))+$D316*INDEX(tblKurallar[deger_2025],MATCH("TBO-002",tblKurallar[kural_id],0))+$E316*INDEX(tblKurallar[deger_2025],MATCH("TBO-004",tblKurallar[kural_id],0))+$F316*tbo_isverenOran,2),0))</f>
        <v/>
      </c>
      <c r="I316" s="31">
        <f>IF($A316="","",IFERROR(MAX(0,$H316-$G316),0))</f>
        <v/>
      </c>
    </row>
    <row r="317">
      <c r="A317" s="30" t="n"/>
      <c r="B317" s="30" t="n"/>
      <c r="C317" s="30" t="n"/>
      <c r="D317" s="30" t="n"/>
      <c r="E317" s="30" t="n"/>
      <c r="F317" s="30" t="n"/>
      <c r="G317" s="30" t="n"/>
      <c r="H317" s="31">
        <f>IF($A317="","",IFERROR(ROUND($C317*INDEX(tblKurallar[deger_2025],MATCH("TBO-001",tblKurallar[kural_id],0))+$D317*INDEX(tblKurallar[deger_2025],MATCH("TBO-002",tblKurallar[kural_id],0))+$E317*INDEX(tblKurallar[deger_2025],MATCH("TBO-004",tblKurallar[kural_id],0))+$F317*tbo_isverenOran,2),0))</f>
        <v/>
      </c>
      <c r="I317" s="31">
        <f>IF($A317="","",IFERROR(MAX(0,$H317-$G317),0))</f>
        <v/>
      </c>
    </row>
    <row r="318">
      <c r="A318" s="30" t="n"/>
      <c r="B318" s="30" t="n"/>
      <c r="C318" s="30" t="n"/>
      <c r="D318" s="30" t="n"/>
      <c r="E318" s="30" t="n"/>
      <c r="F318" s="30" t="n"/>
      <c r="G318" s="30" t="n"/>
      <c r="H318" s="31">
        <f>IF($A318="","",IFERROR(ROUND($C318*INDEX(tblKurallar[deger_2025],MATCH("TBO-001",tblKurallar[kural_id],0))+$D318*INDEX(tblKurallar[deger_2025],MATCH("TBO-002",tblKurallar[kural_id],0))+$E318*INDEX(tblKurallar[deger_2025],MATCH("TBO-004",tblKurallar[kural_id],0))+$F318*tbo_isverenOran,2),0))</f>
        <v/>
      </c>
      <c r="I318" s="31">
        <f>IF($A318="","",IFERROR(MAX(0,$H318-$G318),0))</f>
        <v/>
      </c>
    </row>
    <row r="319">
      <c r="A319" s="30" t="n"/>
      <c r="B319" s="30" t="n"/>
      <c r="C319" s="30" t="n"/>
      <c r="D319" s="30" t="n"/>
      <c r="E319" s="30" t="n"/>
      <c r="F319" s="30" t="n"/>
      <c r="G319" s="30" t="n"/>
      <c r="H319" s="31">
        <f>IF($A319="","",IFERROR(ROUND($C319*INDEX(tblKurallar[deger_2025],MATCH("TBO-001",tblKurallar[kural_id],0))+$D319*INDEX(tblKurallar[deger_2025],MATCH("TBO-002",tblKurallar[kural_id],0))+$E319*INDEX(tblKurallar[deger_2025],MATCH("TBO-004",tblKurallar[kural_id],0))+$F319*tbo_isverenOran,2),0))</f>
        <v/>
      </c>
      <c r="I319" s="31">
        <f>IF($A319="","",IFERROR(MAX(0,$H319-$G319),0))</f>
        <v/>
      </c>
    </row>
    <row r="320">
      <c r="A320" s="30" t="n"/>
      <c r="B320" s="30" t="n"/>
      <c r="C320" s="30" t="n"/>
      <c r="D320" s="30" t="n"/>
      <c r="E320" s="30" t="n"/>
      <c r="F320" s="30" t="n"/>
      <c r="G320" s="30" t="n"/>
      <c r="H320" s="31">
        <f>IF($A320="","",IFERROR(ROUND($C320*INDEX(tblKurallar[deger_2025],MATCH("TBO-001",tblKurallar[kural_id],0))+$D320*INDEX(tblKurallar[deger_2025],MATCH("TBO-002",tblKurallar[kural_id],0))+$E320*INDEX(tblKurallar[deger_2025],MATCH("TBO-004",tblKurallar[kural_id],0))+$F320*tbo_isverenOran,2),0))</f>
        <v/>
      </c>
      <c r="I320" s="31">
        <f>IF($A320="","",IFERROR(MAX(0,$H320-$G320),0))</f>
        <v/>
      </c>
    </row>
    <row r="321">
      <c r="A321" s="30" t="n"/>
      <c r="B321" s="30" t="n"/>
      <c r="C321" s="30" t="n"/>
      <c r="D321" s="30" t="n"/>
      <c r="E321" s="30" t="n"/>
      <c r="F321" s="30" t="n"/>
      <c r="G321" s="30" t="n"/>
      <c r="H321" s="31">
        <f>IF($A321="","",IFERROR(ROUND($C321*INDEX(tblKurallar[deger_2025],MATCH("TBO-001",tblKurallar[kural_id],0))+$D321*INDEX(tblKurallar[deger_2025],MATCH("TBO-002",tblKurallar[kural_id],0))+$E321*INDEX(tblKurallar[deger_2025],MATCH("TBO-004",tblKurallar[kural_id],0))+$F321*tbo_isverenOran,2),0))</f>
        <v/>
      </c>
      <c r="I321" s="31">
        <f>IF($A321="","",IFERROR(MAX(0,$H321-$G321),0))</f>
        <v/>
      </c>
    </row>
    <row r="322">
      <c r="A322" s="30" t="n"/>
      <c r="B322" s="30" t="n"/>
      <c r="C322" s="30" t="n"/>
      <c r="D322" s="30" t="n"/>
      <c r="E322" s="30" t="n"/>
      <c r="F322" s="30" t="n"/>
      <c r="G322" s="30" t="n"/>
      <c r="H322" s="31">
        <f>IF($A322="","",IFERROR(ROUND($C322*INDEX(tblKurallar[deger_2025],MATCH("TBO-001",tblKurallar[kural_id],0))+$D322*INDEX(tblKurallar[deger_2025],MATCH("TBO-002",tblKurallar[kural_id],0))+$E322*INDEX(tblKurallar[deger_2025],MATCH("TBO-004",tblKurallar[kural_id],0))+$F322*tbo_isverenOran,2),0))</f>
        <v/>
      </c>
      <c r="I322" s="31">
        <f>IF($A322="","",IFERROR(MAX(0,$H322-$G322),0))</f>
        <v/>
      </c>
    </row>
    <row r="323">
      <c r="A323" s="30" t="n"/>
      <c r="B323" s="30" t="n"/>
      <c r="C323" s="30" t="n"/>
      <c r="D323" s="30" t="n"/>
      <c r="E323" s="30" t="n"/>
      <c r="F323" s="30" t="n"/>
      <c r="G323" s="30" t="n"/>
      <c r="H323" s="31">
        <f>IF($A323="","",IFERROR(ROUND($C323*INDEX(tblKurallar[deger_2025],MATCH("TBO-001",tblKurallar[kural_id],0))+$D323*INDEX(tblKurallar[deger_2025],MATCH("TBO-002",tblKurallar[kural_id],0))+$E323*INDEX(tblKurallar[deger_2025],MATCH("TBO-004",tblKurallar[kural_id],0))+$F323*tbo_isverenOran,2),0))</f>
        <v/>
      </c>
      <c r="I323" s="31">
        <f>IF($A323="","",IFERROR(MAX(0,$H323-$G323),0))</f>
        <v/>
      </c>
    </row>
    <row r="324">
      <c r="A324" s="30" t="n"/>
      <c r="B324" s="30" t="n"/>
      <c r="C324" s="30" t="n"/>
      <c r="D324" s="30" t="n"/>
      <c r="E324" s="30" t="n"/>
      <c r="F324" s="30" t="n"/>
      <c r="G324" s="30" t="n"/>
      <c r="H324" s="31">
        <f>IF($A324="","",IFERROR(ROUND($C324*INDEX(tblKurallar[deger_2025],MATCH("TBO-001",tblKurallar[kural_id],0))+$D324*INDEX(tblKurallar[deger_2025],MATCH("TBO-002",tblKurallar[kural_id],0))+$E324*INDEX(tblKurallar[deger_2025],MATCH("TBO-004",tblKurallar[kural_id],0))+$F324*tbo_isverenOran,2),0))</f>
        <v/>
      </c>
      <c r="I324" s="31">
        <f>IF($A324="","",IFERROR(MAX(0,$H324-$G324),0))</f>
        <v/>
      </c>
    </row>
    <row r="325">
      <c r="A325" s="30" t="n"/>
      <c r="B325" s="30" t="n"/>
      <c r="C325" s="30" t="n"/>
      <c r="D325" s="30" t="n"/>
      <c r="E325" s="30" t="n"/>
      <c r="F325" s="30" t="n"/>
      <c r="G325" s="30" t="n"/>
      <c r="H325" s="31">
        <f>IF($A325="","",IFERROR(ROUND($C325*INDEX(tblKurallar[deger_2025],MATCH("TBO-001",tblKurallar[kural_id],0))+$D325*INDEX(tblKurallar[deger_2025],MATCH("TBO-002",tblKurallar[kural_id],0))+$E325*INDEX(tblKurallar[deger_2025],MATCH("TBO-004",tblKurallar[kural_id],0))+$F325*tbo_isverenOran,2),0))</f>
        <v/>
      </c>
      <c r="I325" s="31">
        <f>IF($A325="","",IFERROR(MAX(0,$H325-$G325),0))</f>
        <v/>
      </c>
    </row>
    <row r="326">
      <c r="A326" s="30" t="n"/>
      <c r="B326" s="30" t="n"/>
      <c r="C326" s="30" t="n"/>
      <c r="D326" s="30" t="n"/>
      <c r="E326" s="30" t="n"/>
      <c r="F326" s="30" t="n"/>
      <c r="G326" s="30" t="n"/>
      <c r="H326" s="31">
        <f>IF($A326="","",IFERROR(ROUND($C326*INDEX(tblKurallar[deger_2025],MATCH("TBO-001",tblKurallar[kural_id],0))+$D326*INDEX(tblKurallar[deger_2025],MATCH("TBO-002",tblKurallar[kural_id],0))+$E326*INDEX(tblKurallar[deger_2025],MATCH("TBO-004",tblKurallar[kural_id],0))+$F326*tbo_isverenOran,2),0))</f>
        <v/>
      </c>
      <c r="I326" s="31">
        <f>IF($A326="","",IFERROR(MAX(0,$H326-$G326),0))</f>
        <v/>
      </c>
    </row>
    <row r="327">
      <c r="A327" s="30" t="n"/>
      <c r="B327" s="30" t="n"/>
      <c r="C327" s="30" t="n"/>
      <c r="D327" s="30" t="n"/>
      <c r="E327" s="30" t="n"/>
      <c r="F327" s="30" t="n"/>
      <c r="G327" s="30" t="n"/>
      <c r="H327" s="31">
        <f>IF($A327="","",IFERROR(ROUND($C327*INDEX(tblKurallar[deger_2025],MATCH("TBO-001",tblKurallar[kural_id],0))+$D327*INDEX(tblKurallar[deger_2025],MATCH("TBO-002",tblKurallar[kural_id],0))+$E327*INDEX(tblKurallar[deger_2025],MATCH("TBO-004",tblKurallar[kural_id],0))+$F327*tbo_isverenOran,2),0))</f>
        <v/>
      </c>
      <c r="I327" s="31">
        <f>IF($A327="","",IFERROR(MAX(0,$H327-$G327),0))</f>
        <v/>
      </c>
    </row>
    <row r="328">
      <c r="A328" s="30" t="n"/>
      <c r="B328" s="30" t="n"/>
      <c r="C328" s="30" t="n"/>
      <c r="D328" s="30" t="n"/>
      <c r="E328" s="30" t="n"/>
      <c r="F328" s="30" t="n"/>
      <c r="G328" s="30" t="n"/>
      <c r="H328" s="31">
        <f>IF($A328="","",IFERROR(ROUND($C328*INDEX(tblKurallar[deger_2025],MATCH("TBO-001",tblKurallar[kural_id],0))+$D328*INDEX(tblKurallar[deger_2025],MATCH("TBO-002",tblKurallar[kural_id],0))+$E328*INDEX(tblKurallar[deger_2025],MATCH("TBO-004",tblKurallar[kural_id],0))+$F328*tbo_isverenOran,2),0))</f>
        <v/>
      </c>
      <c r="I328" s="31">
        <f>IF($A328="","",IFERROR(MAX(0,$H328-$G328),0))</f>
        <v/>
      </c>
    </row>
    <row r="329">
      <c r="A329" s="30" t="n"/>
      <c r="B329" s="30" t="n"/>
      <c r="C329" s="30" t="n"/>
      <c r="D329" s="30" t="n"/>
      <c r="E329" s="30" t="n"/>
      <c r="F329" s="30" t="n"/>
      <c r="G329" s="30" t="n"/>
      <c r="H329" s="31">
        <f>IF($A329="","",IFERROR(ROUND($C329*INDEX(tblKurallar[deger_2025],MATCH("TBO-001",tblKurallar[kural_id],0))+$D329*INDEX(tblKurallar[deger_2025],MATCH("TBO-002",tblKurallar[kural_id],0))+$E329*INDEX(tblKurallar[deger_2025],MATCH("TBO-004",tblKurallar[kural_id],0))+$F329*tbo_isverenOran,2),0))</f>
        <v/>
      </c>
      <c r="I329" s="31">
        <f>IF($A329="","",IFERROR(MAX(0,$H329-$G329),0))</f>
        <v/>
      </c>
    </row>
    <row r="330">
      <c r="A330" s="30" t="n"/>
      <c r="B330" s="30" t="n"/>
      <c r="C330" s="30" t="n"/>
      <c r="D330" s="30" t="n"/>
      <c r="E330" s="30" t="n"/>
      <c r="F330" s="30" t="n"/>
      <c r="G330" s="30" t="n"/>
      <c r="H330" s="31">
        <f>IF($A330="","",IFERROR(ROUND($C330*INDEX(tblKurallar[deger_2025],MATCH("TBO-001",tblKurallar[kural_id],0))+$D330*INDEX(tblKurallar[deger_2025],MATCH("TBO-002",tblKurallar[kural_id],0))+$E330*INDEX(tblKurallar[deger_2025],MATCH("TBO-004",tblKurallar[kural_id],0))+$F330*tbo_isverenOran,2),0))</f>
        <v/>
      </c>
      <c r="I330" s="31">
        <f>IF($A330="","",IFERROR(MAX(0,$H330-$G330),0))</f>
        <v/>
      </c>
    </row>
    <row r="331">
      <c r="A331" s="30" t="n"/>
      <c r="B331" s="30" t="n"/>
      <c r="C331" s="30" t="n"/>
      <c r="D331" s="30" t="n"/>
      <c r="E331" s="30" t="n"/>
      <c r="F331" s="30" t="n"/>
      <c r="G331" s="30" t="n"/>
      <c r="H331" s="31">
        <f>IF($A331="","",IFERROR(ROUND($C331*INDEX(tblKurallar[deger_2025],MATCH("TBO-001",tblKurallar[kural_id],0))+$D331*INDEX(tblKurallar[deger_2025],MATCH("TBO-002",tblKurallar[kural_id],0))+$E331*INDEX(tblKurallar[deger_2025],MATCH("TBO-004",tblKurallar[kural_id],0))+$F331*tbo_isverenOran,2),0))</f>
        <v/>
      </c>
      <c r="I331" s="31">
        <f>IF($A331="","",IFERROR(MAX(0,$H331-$G331),0))</f>
        <v/>
      </c>
    </row>
    <row r="332">
      <c r="A332" s="30" t="n"/>
      <c r="B332" s="30" t="n"/>
      <c r="C332" s="30" t="n"/>
      <c r="D332" s="30" t="n"/>
      <c r="E332" s="30" t="n"/>
      <c r="F332" s="30" t="n"/>
      <c r="G332" s="30" t="n"/>
      <c r="H332" s="31">
        <f>IF($A332="","",IFERROR(ROUND($C332*INDEX(tblKurallar[deger_2025],MATCH("TBO-001",tblKurallar[kural_id],0))+$D332*INDEX(tblKurallar[deger_2025],MATCH("TBO-002",tblKurallar[kural_id],0))+$E332*INDEX(tblKurallar[deger_2025],MATCH("TBO-004",tblKurallar[kural_id],0))+$F332*tbo_isverenOran,2),0))</f>
        <v/>
      </c>
      <c r="I332" s="31">
        <f>IF($A332="","",IFERROR(MAX(0,$H332-$G332),0))</f>
        <v/>
      </c>
    </row>
    <row r="333">
      <c r="A333" s="30" t="n"/>
      <c r="B333" s="30" t="n"/>
      <c r="C333" s="30" t="n"/>
      <c r="D333" s="30" t="n"/>
      <c r="E333" s="30" t="n"/>
      <c r="F333" s="30" t="n"/>
      <c r="G333" s="30" t="n"/>
      <c r="H333" s="31">
        <f>IF($A333="","",IFERROR(ROUND($C333*INDEX(tblKurallar[deger_2025],MATCH("TBO-001",tblKurallar[kural_id],0))+$D333*INDEX(tblKurallar[deger_2025],MATCH("TBO-002",tblKurallar[kural_id],0))+$E333*INDEX(tblKurallar[deger_2025],MATCH("TBO-004",tblKurallar[kural_id],0))+$F333*tbo_isverenOran,2),0))</f>
        <v/>
      </c>
      <c r="I333" s="31">
        <f>IF($A333="","",IFERROR(MAX(0,$H333-$G333),0))</f>
        <v/>
      </c>
    </row>
    <row r="334">
      <c r="A334" s="30" t="n"/>
      <c r="B334" s="30" t="n"/>
      <c r="C334" s="30" t="n"/>
      <c r="D334" s="30" t="n"/>
      <c r="E334" s="30" t="n"/>
      <c r="F334" s="30" t="n"/>
      <c r="G334" s="30" t="n"/>
      <c r="H334" s="31">
        <f>IF($A334="","",IFERROR(ROUND($C334*INDEX(tblKurallar[deger_2025],MATCH("TBO-001",tblKurallar[kural_id],0))+$D334*INDEX(tblKurallar[deger_2025],MATCH("TBO-002",tblKurallar[kural_id],0))+$E334*INDEX(tblKurallar[deger_2025],MATCH("TBO-004",tblKurallar[kural_id],0))+$F334*tbo_isverenOran,2),0))</f>
        <v/>
      </c>
      <c r="I334" s="31">
        <f>IF($A334="","",IFERROR(MAX(0,$H334-$G334),0))</f>
        <v/>
      </c>
    </row>
    <row r="335">
      <c r="A335" s="30" t="n"/>
      <c r="B335" s="30" t="n"/>
      <c r="C335" s="30" t="n"/>
      <c r="D335" s="30" t="n"/>
      <c r="E335" s="30" t="n"/>
      <c r="F335" s="30" t="n"/>
      <c r="G335" s="30" t="n"/>
      <c r="H335" s="31">
        <f>IF($A335="","",IFERROR(ROUND($C335*INDEX(tblKurallar[deger_2025],MATCH("TBO-001",tblKurallar[kural_id],0))+$D335*INDEX(tblKurallar[deger_2025],MATCH("TBO-002",tblKurallar[kural_id],0))+$E335*INDEX(tblKurallar[deger_2025],MATCH("TBO-004",tblKurallar[kural_id],0))+$F335*tbo_isverenOran,2),0))</f>
        <v/>
      </c>
      <c r="I335" s="31">
        <f>IF($A335="","",IFERROR(MAX(0,$H335-$G335),0))</f>
        <v/>
      </c>
    </row>
    <row r="336">
      <c r="A336" s="30" t="n"/>
      <c r="B336" s="30" t="n"/>
      <c r="C336" s="30" t="n"/>
      <c r="D336" s="30" t="n"/>
      <c r="E336" s="30" t="n"/>
      <c r="F336" s="30" t="n"/>
      <c r="G336" s="30" t="n"/>
      <c r="H336" s="31">
        <f>IF($A336="","",IFERROR(ROUND($C336*INDEX(tblKurallar[deger_2025],MATCH("TBO-001",tblKurallar[kural_id],0))+$D336*INDEX(tblKurallar[deger_2025],MATCH("TBO-002",tblKurallar[kural_id],0))+$E336*INDEX(tblKurallar[deger_2025],MATCH("TBO-004",tblKurallar[kural_id],0))+$F336*tbo_isverenOran,2),0))</f>
        <v/>
      </c>
      <c r="I336" s="31">
        <f>IF($A336="","",IFERROR(MAX(0,$H336-$G336),0))</f>
        <v/>
      </c>
    </row>
    <row r="337">
      <c r="A337" s="30" t="n"/>
      <c r="B337" s="30" t="n"/>
      <c r="C337" s="30" t="n"/>
      <c r="D337" s="30" t="n"/>
      <c r="E337" s="30" t="n"/>
      <c r="F337" s="30" t="n"/>
      <c r="G337" s="30" t="n"/>
      <c r="H337" s="31">
        <f>IF($A337="","",IFERROR(ROUND($C337*INDEX(tblKurallar[deger_2025],MATCH("TBO-001",tblKurallar[kural_id],0))+$D337*INDEX(tblKurallar[deger_2025],MATCH("TBO-002",tblKurallar[kural_id],0))+$E337*INDEX(tblKurallar[deger_2025],MATCH("TBO-004",tblKurallar[kural_id],0))+$F337*tbo_isverenOran,2),0))</f>
        <v/>
      </c>
      <c r="I337" s="31">
        <f>IF($A337="","",IFERROR(MAX(0,$H337-$G337),0))</f>
        <v/>
      </c>
    </row>
    <row r="338">
      <c r="A338" s="30" t="n"/>
      <c r="B338" s="30" t="n"/>
      <c r="C338" s="30" t="n"/>
      <c r="D338" s="30" t="n"/>
      <c r="E338" s="30" t="n"/>
      <c r="F338" s="30" t="n"/>
      <c r="G338" s="30" t="n"/>
      <c r="H338" s="31">
        <f>IF($A338="","",IFERROR(ROUND($C338*INDEX(tblKurallar[deger_2025],MATCH("TBO-001",tblKurallar[kural_id],0))+$D338*INDEX(tblKurallar[deger_2025],MATCH("TBO-002",tblKurallar[kural_id],0))+$E338*INDEX(tblKurallar[deger_2025],MATCH("TBO-004",tblKurallar[kural_id],0))+$F338*tbo_isverenOran,2),0))</f>
        <v/>
      </c>
      <c r="I338" s="31">
        <f>IF($A338="","",IFERROR(MAX(0,$H338-$G338),0))</f>
        <v/>
      </c>
    </row>
    <row r="339">
      <c r="A339" s="30" t="n"/>
      <c r="B339" s="30" t="n"/>
      <c r="C339" s="30" t="n"/>
      <c r="D339" s="30" t="n"/>
      <c r="E339" s="30" t="n"/>
      <c r="F339" s="30" t="n"/>
      <c r="G339" s="30" t="n"/>
      <c r="H339" s="31">
        <f>IF($A339="","",IFERROR(ROUND($C339*INDEX(tblKurallar[deger_2025],MATCH("TBO-001",tblKurallar[kural_id],0))+$D339*INDEX(tblKurallar[deger_2025],MATCH("TBO-002",tblKurallar[kural_id],0))+$E339*INDEX(tblKurallar[deger_2025],MATCH("TBO-004",tblKurallar[kural_id],0))+$F339*tbo_isverenOran,2),0))</f>
        <v/>
      </c>
      <c r="I339" s="31">
        <f>IF($A339="","",IFERROR(MAX(0,$H339-$G339),0))</f>
        <v/>
      </c>
    </row>
    <row r="340">
      <c r="A340" s="30" t="n"/>
      <c r="B340" s="30" t="n"/>
      <c r="C340" s="30" t="n"/>
      <c r="D340" s="30" t="n"/>
      <c r="E340" s="30" t="n"/>
      <c r="F340" s="30" t="n"/>
      <c r="G340" s="30" t="n"/>
      <c r="H340" s="31">
        <f>IF($A340="","",IFERROR(ROUND($C340*INDEX(tblKurallar[deger_2025],MATCH("TBO-001",tblKurallar[kural_id],0))+$D340*INDEX(tblKurallar[deger_2025],MATCH("TBO-002",tblKurallar[kural_id],0))+$E340*INDEX(tblKurallar[deger_2025],MATCH("TBO-004",tblKurallar[kural_id],0))+$F340*tbo_isverenOran,2),0))</f>
        <v/>
      </c>
      <c r="I340" s="31">
        <f>IF($A340="","",IFERROR(MAX(0,$H340-$G340),0))</f>
        <v/>
      </c>
    </row>
    <row r="341">
      <c r="A341" s="30" t="n"/>
      <c r="B341" s="30" t="n"/>
      <c r="C341" s="30" t="n"/>
      <c r="D341" s="30" t="n"/>
      <c r="E341" s="30" t="n"/>
      <c r="F341" s="30" t="n"/>
      <c r="G341" s="30" t="n"/>
      <c r="H341" s="31">
        <f>IF($A341="","",IFERROR(ROUND($C341*INDEX(tblKurallar[deger_2025],MATCH("TBO-001",tblKurallar[kural_id],0))+$D341*INDEX(tblKurallar[deger_2025],MATCH("TBO-002",tblKurallar[kural_id],0))+$E341*INDEX(tblKurallar[deger_2025],MATCH("TBO-004",tblKurallar[kural_id],0))+$F341*tbo_isverenOran,2),0))</f>
        <v/>
      </c>
      <c r="I341" s="31">
        <f>IF($A341="","",IFERROR(MAX(0,$H341-$G341),0))</f>
        <v/>
      </c>
    </row>
    <row r="342">
      <c r="A342" s="30" t="n"/>
      <c r="B342" s="30" t="n"/>
      <c r="C342" s="30" t="n"/>
      <c r="D342" s="30" t="n"/>
      <c r="E342" s="30" t="n"/>
      <c r="F342" s="30" t="n"/>
      <c r="G342" s="30" t="n"/>
      <c r="H342" s="31">
        <f>IF($A342="","",IFERROR(ROUND($C342*INDEX(tblKurallar[deger_2025],MATCH("TBO-001",tblKurallar[kural_id],0))+$D342*INDEX(tblKurallar[deger_2025],MATCH("TBO-002",tblKurallar[kural_id],0))+$E342*INDEX(tblKurallar[deger_2025],MATCH("TBO-004",tblKurallar[kural_id],0))+$F342*tbo_isverenOran,2),0))</f>
        <v/>
      </c>
      <c r="I342" s="31">
        <f>IF($A342="","",IFERROR(MAX(0,$H342-$G342),0))</f>
        <v/>
      </c>
    </row>
    <row r="343">
      <c r="A343" s="30" t="n"/>
      <c r="B343" s="30" t="n"/>
      <c r="C343" s="30" t="n"/>
      <c r="D343" s="30" t="n"/>
      <c r="E343" s="30" t="n"/>
      <c r="F343" s="30" t="n"/>
      <c r="G343" s="30" t="n"/>
      <c r="H343" s="31">
        <f>IF($A343="","",IFERROR(ROUND($C343*INDEX(tblKurallar[deger_2025],MATCH("TBO-001",tblKurallar[kural_id],0))+$D343*INDEX(tblKurallar[deger_2025],MATCH("TBO-002",tblKurallar[kural_id],0))+$E343*INDEX(tblKurallar[deger_2025],MATCH("TBO-004",tblKurallar[kural_id],0))+$F343*tbo_isverenOran,2),0))</f>
        <v/>
      </c>
      <c r="I343" s="31">
        <f>IF($A343="","",IFERROR(MAX(0,$H343-$G343),0))</f>
        <v/>
      </c>
    </row>
    <row r="344">
      <c r="A344" s="30" t="n"/>
      <c r="B344" s="30" t="n"/>
      <c r="C344" s="30" t="n"/>
      <c r="D344" s="30" t="n"/>
      <c r="E344" s="30" t="n"/>
      <c r="F344" s="30" t="n"/>
      <c r="G344" s="30" t="n"/>
      <c r="H344" s="31">
        <f>IF($A344="","",IFERROR(ROUND($C344*INDEX(tblKurallar[deger_2025],MATCH("TBO-001",tblKurallar[kural_id],0))+$D344*INDEX(tblKurallar[deger_2025],MATCH("TBO-002",tblKurallar[kural_id],0))+$E344*INDEX(tblKurallar[deger_2025],MATCH("TBO-004",tblKurallar[kural_id],0))+$F344*tbo_isverenOran,2),0))</f>
        <v/>
      </c>
      <c r="I344" s="31">
        <f>IF($A344="","",IFERROR(MAX(0,$H344-$G344),0))</f>
        <v/>
      </c>
    </row>
    <row r="345">
      <c r="A345" s="30" t="n"/>
      <c r="B345" s="30" t="n"/>
      <c r="C345" s="30" t="n"/>
      <c r="D345" s="30" t="n"/>
      <c r="E345" s="30" t="n"/>
      <c r="F345" s="30" t="n"/>
      <c r="G345" s="30" t="n"/>
      <c r="H345" s="31">
        <f>IF($A345="","",IFERROR(ROUND($C345*INDEX(tblKurallar[deger_2025],MATCH("TBO-001",tblKurallar[kural_id],0))+$D345*INDEX(tblKurallar[deger_2025],MATCH("TBO-002",tblKurallar[kural_id],0))+$E345*INDEX(tblKurallar[deger_2025],MATCH("TBO-004",tblKurallar[kural_id],0))+$F345*tbo_isverenOran,2),0))</f>
        <v/>
      </c>
      <c r="I345" s="31">
        <f>IF($A345="","",IFERROR(MAX(0,$H345-$G345),0))</f>
        <v/>
      </c>
    </row>
    <row r="346">
      <c r="A346" s="30" t="n"/>
      <c r="B346" s="30" t="n"/>
      <c r="C346" s="30" t="n"/>
      <c r="D346" s="30" t="n"/>
      <c r="E346" s="30" t="n"/>
      <c r="F346" s="30" t="n"/>
      <c r="G346" s="30" t="n"/>
      <c r="H346" s="31">
        <f>IF($A346="","",IFERROR(ROUND($C346*INDEX(tblKurallar[deger_2025],MATCH("TBO-001",tblKurallar[kural_id],0))+$D346*INDEX(tblKurallar[deger_2025],MATCH("TBO-002",tblKurallar[kural_id],0))+$E346*INDEX(tblKurallar[deger_2025],MATCH("TBO-004",tblKurallar[kural_id],0))+$F346*tbo_isverenOran,2),0))</f>
        <v/>
      </c>
      <c r="I346" s="31">
        <f>IF($A346="","",IFERROR(MAX(0,$H346-$G346),0))</f>
        <v/>
      </c>
    </row>
    <row r="347">
      <c r="A347" s="30" t="n"/>
      <c r="B347" s="30" t="n"/>
      <c r="C347" s="30" t="n"/>
      <c r="D347" s="30" t="n"/>
      <c r="E347" s="30" t="n"/>
      <c r="F347" s="30" t="n"/>
      <c r="G347" s="30" t="n"/>
      <c r="H347" s="31">
        <f>IF($A347="","",IFERROR(ROUND($C347*INDEX(tblKurallar[deger_2025],MATCH("TBO-001",tblKurallar[kural_id],0))+$D347*INDEX(tblKurallar[deger_2025],MATCH("TBO-002",tblKurallar[kural_id],0))+$E347*INDEX(tblKurallar[deger_2025],MATCH("TBO-004",tblKurallar[kural_id],0))+$F347*tbo_isverenOran,2),0))</f>
        <v/>
      </c>
      <c r="I347" s="31">
        <f>IF($A347="","",IFERROR(MAX(0,$H347-$G347),0))</f>
        <v/>
      </c>
    </row>
    <row r="348">
      <c r="A348" s="30" t="n"/>
      <c r="B348" s="30" t="n"/>
      <c r="C348" s="30" t="n"/>
      <c r="D348" s="30" t="n"/>
      <c r="E348" s="30" t="n"/>
      <c r="F348" s="30" t="n"/>
      <c r="G348" s="30" t="n"/>
      <c r="H348" s="31">
        <f>IF($A348="","",IFERROR(ROUND($C348*INDEX(tblKurallar[deger_2025],MATCH("TBO-001",tblKurallar[kural_id],0))+$D348*INDEX(tblKurallar[deger_2025],MATCH("TBO-002",tblKurallar[kural_id],0))+$E348*INDEX(tblKurallar[deger_2025],MATCH("TBO-004",tblKurallar[kural_id],0))+$F348*tbo_isverenOran,2),0))</f>
        <v/>
      </c>
      <c r="I348" s="31">
        <f>IF($A348="","",IFERROR(MAX(0,$H348-$G348),0))</f>
        <v/>
      </c>
    </row>
    <row r="349">
      <c r="A349" s="30" t="n"/>
      <c r="B349" s="30" t="n"/>
      <c r="C349" s="30" t="n"/>
      <c r="D349" s="30" t="n"/>
      <c r="E349" s="30" t="n"/>
      <c r="F349" s="30" t="n"/>
      <c r="G349" s="30" t="n"/>
      <c r="H349" s="31">
        <f>IF($A349="","",IFERROR(ROUND($C349*INDEX(tblKurallar[deger_2025],MATCH("TBO-001",tblKurallar[kural_id],0))+$D349*INDEX(tblKurallar[deger_2025],MATCH("TBO-002",tblKurallar[kural_id],0))+$E349*INDEX(tblKurallar[deger_2025],MATCH("TBO-004",tblKurallar[kural_id],0))+$F349*tbo_isverenOran,2),0))</f>
        <v/>
      </c>
      <c r="I349" s="31">
        <f>IF($A349="","",IFERROR(MAX(0,$H349-$G349),0))</f>
        <v/>
      </c>
    </row>
    <row r="350">
      <c r="A350" s="30" t="n"/>
      <c r="B350" s="30" t="n"/>
      <c r="C350" s="30" t="n"/>
      <c r="D350" s="30" t="n"/>
      <c r="E350" s="30" t="n"/>
      <c r="F350" s="30" t="n"/>
      <c r="G350" s="30" t="n"/>
      <c r="H350" s="31">
        <f>IF($A350="","",IFERROR(ROUND($C350*INDEX(tblKurallar[deger_2025],MATCH("TBO-001",tblKurallar[kural_id],0))+$D350*INDEX(tblKurallar[deger_2025],MATCH("TBO-002",tblKurallar[kural_id],0))+$E350*INDEX(tblKurallar[deger_2025],MATCH("TBO-004",tblKurallar[kural_id],0))+$F350*tbo_isverenOran,2),0))</f>
        <v/>
      </c>
      <c r="I350" s="31">
        <f>IF($A350="","",IFERROR(MAX(0,$H350-$G350),0))</f>
        <v/>
      </c>
    </row>
    <row r="351">
      <c r="A351" s="30" t="n"/>
      <c r="B351" s="30" t="n"/>
      <c r="C351" s="30" t="n"/>
      <c r="D351" s="30" t="n"/>
      <c r="E351" s="30" t="n"/>
      <c r="F351" s="30" t="n"/>
      <c r="G351" s="30" t="n"/>
      <c r="H351" s="31">
        <f>IF($A351="","",IFERROR(ROUND($C351*INDEX(tblKurallar[deger_2025],MATCH("TBO-001",tblKurallar[kural_id],0))+$D351*INDEX(tblKurallar[deger_2025],MATCH("TBO-002",tblKurallar[kural_id],0))+$E351*INDEX(tblKurallar[deger_2025],MATCH("TBO-004",tblKurallar[kural_id],0))+$F351*tbo_isverenOran,2),0))</f>
        <v/>
      </c>
      <c r="I351" s="31">
        <f>IF($A351="","",IFERROR(MAX(0,$H351-$G351),0))</f>
        <v/>
      </c>
    </row>
    <row r="352">
      <c r="A352" s="30" t="n"/>
      <c r="B352" s="30" t="n"/>
      <c r="C352" s="30" t="n"/>
      <c r="D352" s="30" t="n"/>
      <c r="E352" s="30" t="n"/>
      <c r="F352" s="30" t="n"/>
      <c r="G352" s="30" t="n"/>
      <c r="H352" s="31">
        <f>IF($A352="","",IFERROR(ROUND($C352*INDEX(tblKurallar[deger_2025],MATCH("TBO-001",tblKurallar[kural_id],0))+$D352*INDEX(tblKurallar[deger_2025],MATCH("TBO-002",tblKurallar[kural_id],0))+$E352*INDEX(tblKurallar[deger_2025],MATCH("TBO-004",tblKurallar[kural_id],0))+$F352*tbo_isverenOran,2),0))</f>
        <v/>
      </c>
      <c r="I352" s="31">
        <f>IF($A352="","",IFERROR(MAX(0,$H352-$G352),0))</f>
        <v/>
      </c>
    </row>
    <row r="353">
      <c r="A353" s="30" t="n"/>
      <c r="B353" s="30" t="n"/>
      <c r="C353" s="30" t="n"/>
      <c r="D353" s="30" t="n"/>
      <c r="E353" s="30" t="n"/>
      <c r="F353" s="30" t="n"/>
      <c r="G353" s="30" t="n"/>
      <c r="H353" s="31">
        <f>IF($A353="","",IFERROR(ROUND($C353*INDEX(tblKurallar[deger_2025],MATCH("TBO-001",tblKurallar[kural_id],0))+$D353*INDEX(tblKurallar[deger_2025],MATCH("TBO-002",tblKurallar[kural_id],0))+$E353*INDEX(tblKurallar[deger_2025],MATCH("TBO-004",tblKurallar[kural_id],0))+$F353*tbo_isverenOran,2),0))</f>
        <v/>
      </c>
      <c r="I353" s="31">
        <f>IF($A353="","",IFERROR(MAX(0,$H353-$G353),0))</f>
        <v/>
      </c>
    </row>
    <row r="354">
      <c r="A354" s="30" t="n"/>
      <c r="B354" s="30" t="n"/>
      <c r="C354" s="30" t="n"/>
      <c r="D354" s="30" t="n"/>
      <c r="E354" s="30" t="n"/>
      <c r="F354" s="30" t="n"/>
      <c r="G354" s="30" t="n"/>
      <c r="H354" s="31">
        <f>IF($A354="","",IFERROR(ROUND($C354*INDEX(tblKurallar[deger_2025],MATCH("TBO-001",tblKurallar[kural_id],0))+$D354*INDEX(tblKurallar[deger_2025],MATCH("TBO-002",tblKurallar[kural_id],0))+$E354*INDEX(tblKurallar[deger_2025],MATCH("TBO-004",tblKurallar[kural_id],0))+$F354*tbo_isverenOran,2),0))</f>
        <v/>
      </c>
      <c r="I354" s="31">
        <f>IF($A354="","",IFERROR(MAX(0,$H354-$G354),0))</f>
        <v/>
      </c>
    </row>
    <row r="355">
      <c r="A355" s="30" t="n"/>
      <c r="B355" s="30" t="n"/>
      <c r="C355" s="30" t="n"/>
      <c r="D355" s="30" t="n"/>
      <c r="E355" s="30" t="n"/>
      <c r="F355" s="30" t="n"/>
      <c r="G355" s="30" t="n"/>
      <c r="H355" s="31">
        <f>IF($A355="","",IFERROR(ROUND($C355*INDEX(tblKurallar[deger_2025],MATCH("TBO-001",tblKurallar[kural_id],0))+$D355*INDEX(tblKurallar[deger_2025],MATCH("TBO-002",tblKurallar[kural_id],0))+$E355*INDEX(tblKurallar[deger_2025],MATCH("TBO-004",tblKurallar[kural_id],0))+$F355*tbo_isverenOran,2),0))</f>
        <v/>
      </c>
      <c r="I355" s="31">
        <f>IF($A355="","",IFERROR(MAX(0,$H355-$G355),0))</f>
        <v/>
      </c>
    </row>
    <row r="356">
      <c r="A356" s="30" t="n"/>
      <c r="B356" s="30" t="n"/>
      <c r="C356" s="30" t="n"/>
      <c r="D356" s="30" t="n"/>
      <c r="E356" s="30" t="n"/>
      <c r="F356" s="30" t="n"/>
      <c r="G356" s="30" t="n"/>
      <c r="H356" s="31">
        <f>IF($A356="","",IFERROR(ROUND($C356*INDEX(tblKurallar[deger_2025],MATCH("TBO-001",tblKurallar[kural_id],0))+$D356*INDEX(tblKurallar[deger_2025],MATCH("TBO-002",tblKurallar[kural_id],0))+$E356*INDEX(tblKurallar[deger_2025],MATCH("TBO-004",tblKurallar[kural_id],0))+$F356*tbo_isverenOran,2),0))</f>
        <v/>
      </c>
      <c r="I356" s="31">
        <f>IF($A356="","",IFERROR(MAX(0,$H356-$G356),0))</f>
        <v/>
      </c>
    </row>
    <row r="357">
      <c r="A357" s="30" t="n"/>
      <c r="B357" s="30" t="n"/>
      <c r="C357" s="30" t="n"/>
      <c r="D357" s="30" t="n"/>
      <c r="E357" s="30" t="n"/>
      <c r="F357" s="30" t="n"/>
      <c r="G357" s="30" t="n"/>
      <c r="H357" s="31">
        <f>IF($A357="","",IFERROR(ROUND($C357*INDEX(tblKurallar[deger_2025],MATCH("TBO-001",tblKurallar[kural_id],0))+$D357*INDEX(tblKurallar[deger_2025],MATCH("TBO-002",tblKurallar[kural_id],0))+$E357*INDEX(tblKurallar[deger_2025],MATCH("TBO-004",tblKurallar[kural_id],0))+$F357*tbo_isverenOran,2),0))</f>
        <v/>
      </c>
      <c r="I357" s="31">
        <f>IF($A357="","",IFERROR(MAX(0,$H357-$G357),0))</f>
        <v/>
      </c>
    </row>
    <row r="358">
      <c r="A358" s="30" t="n"/>
      <c r="B358" s="30" t="n"/>
      <c r="C358" s="30" t="n"/>
      <c r="D358" s="30" t="n"/>
      <c r="E358" s="30" t="n"/>
      <c r="F358" s="30" t="n"/>
      <c r="G358" s="30" t="n"/>
      <c r="H358" s="31">
        <f>IF($A358="","",IFERROR(ROUND($C358*INDEX(tblKurallar[deger_2025],MATCH("TBO-001",tblKurallar[kural_id],0))+$D358*INDEX(tblKurallar[deger_2025],MATCH("TBO-002",tblKurallar[kural_id],0))+$E358*INDEX(tblKurallar[deger_2025],MATCH("TBO-004",tblKurallar[kural_id],0))+$F358*tbo_isverenOran,2),0))</f>
        <v/>
      </c>
      <c r="I358" s="31">
        <f>IF($A358="","",IFERROR(MAX(0,$H358-$G358),0))</f>
        <v/>
      </c>
    </row>
    <row r="359">
      <c r="A359" s="30" t="n"/>
      <c r="B359" s="30" t="n"/>
      <c r="C359" s="30" t="n"/>
      <c r="D359" s="30" t="n"/>
      <c r="E359" s="30" t="n"/>
      <c r="F359" s="30" t="n"/>
      <c r="G359" s="30" t="n"/>
      <c r="H359" s="31">
        <f>IF($A359="","",IFERROR(ROUND($C359*INDEX(tblKurallar[deger_2025],MATCH("TBO-001",tblKurallar[kural_id],0))+$D359*INDEX(tblKurallar[deger_2025],MATCH("TBO-002",tblKurallar[kural_id],0))+$E359*INDEX(tblKurallar[deger_2025],MATCH("TBO-004",tblKurallar[kural_id],0))+$F359*tbo_isverenOran,2),0))</f>
        <v/>
      </c>
      <c r="I359" s="31">
        <f>IF($A359="","",IFERROR(MAX(0,$H359-$G359),0))</f>
        <v/>
      </c>
    </row>
    <row r="360">
      <c r="A360" s="30" t="n"/>
      <c r="B360" s="30" t="n"/>
      <c r="C360" s="30" t="n"/>
      <c r="D360" s="30" t="n"/>
      <c r="E360" s="30" t="n"/>
      <c r="F360" s="30" t="n"/>
      <c r="G360" s="30" t="n"/>
      <c r="H360" s="31">
        <f>IF($A360="","",IFERROR(ROUND($C360*INDEX(tblKurallar[deger_2025],MATCH("TBO-001",tblKurallar[kural_id],0))+$D360*INDEX(tblKurallar[deger_2025],MATCH("TBO-002",tblKurallar[kural_id],0))+$E360*INDEX(tblKurallar[deger_2025],MATCH("TBO-004",tblKurallar[kural_id],0))+$F360*tbo_isverenOran,2),0))</f>
        <v/>
      </c>
      <c r="I360" s="31">
        <f>IF($A360="","",IFERROR(MAX(0,$H360-$G360),0))</f>
        <v/>
      </c>
    </row>
    <row r="361">
      <c r="A361" s="30" t="n"/>
      <c r="B361" s="30" t="n"/>
      <c r="C361" s="30" t="n"/>
      <c r="D361" s="30" t="n"/>
      <c r="E361" s="30" t="n"/>
      <c r="F361" s="30" t="n"/>
      <c r="G361" s="30" t="n"/>
      <c r="H361" s="31">
        <f>IF($A361="","",IFERROR(ROUND($C361*INDEX(tblKurallar[deger_2025],MATCH("TBO-001",tblKurallar[kural_id],0))+$D361*INDEX(tblKurallar[deger_2025],MATCH("TBO-002",tblKurallar[kural_id],0))+$E361*INDEX(tblKurallar[deger_2025],MATCH("TBO-004",tblKurallar[kural_id],0))+$F361*tbo_isverenOran,2),0))</f>
        <v/>
      </c>
      <c r="I361" s="31">
        <f>IF($A361="","",IFERROR(MAX(0,$H361-$G361),0))</f>
        <v/>
      </c>
    </row>
    <row r="362">
      <c r="A362" s="30" t="n"/>
      <c r="B362" s="30" t="n"/>
      <c r="C362" s="30" t="n"/>
      <c r="D362" s="30" t="n"/>
      <c r="E362" s="30" t="n"/>
      <c r="F362" s="30" t="n"/>
      <c r="G362" s="30" t="n"/>
      <c r="H362" s="31">
        <f>IF($A362="","",IFERROR(ROUND($C362*INDEX(tblKurallar[deger_2025],MATCH("TBO-001",tblKurallar[kural_id],0))+$D362*INDEX(tblKurallar[deger_2025],MATCH("TBO-002",tblKurallar[kural_id],0))+$E362*INDEX(tblKurallar[deger_2025],MATCH("TBO-004",tblKurallar[kural_id],0))+$F362*tbo_isverenOran,2),0))</f>
        <v/>
      </c>
      <c r="I362" s="31">
        <f>IF($A362="","",IFERROR(MAX(0,$H362-$G362),0))</f>
        <v/>
      </c>
    </row>
    <row r="363">
      <c r="A363" s="30" t="n"/>
      <c r="B363" s="30" t="n"/>
      <c r="C363" s="30" t="n"/>
      <c r="D363" s="30" t="n"/>
      <c r="E363" s="30" t="n"/>
      <c r="F363" s="30" t="n"/>
      <c r="G363" s="30" t="n"/>
      <c r="H363" s="31">
        <f>IF($A363="","",IFERROR(ROUND($C363*INDEX(tblKurallar[deger_2025],MATCH("TBO-001",tblKurallar[kural_id],0))+$D363*INDEX(tblKurallar[deger_2025],MATCH("TBO-002",tblKurallar[kural_id],0))+$E363*INDEX(tblKurallar[deger_2025],MATCH("TBO-004",tblKurallar[kural_id],0))+$F363*tbo_isverenOran,2),0))</f>
        <v/>
      </c>
      <c r="I363" s="31">
        <f>IF($A363="","",IFERROR(MAX(0,$H363-$G363),0))</f>
        <v/>
      </c>
    </row>
    <row r="364">
      <c r="A364" s="30" t="n"/>
      <c r="B364" s="30" t="n"/>
      <c r="C364" s="30" t="n"/>
      <c r="D364" s="30" t="n"/>
      <c r="E364" s="30" t="n"/>
      <c r="F364" s="30" t="n"/>
      <c r="G364" s="30" t="n"/>
      <c r="H364" s="31">
        <f>IF($A364="","",IFERROR(ROUND($C364*INDEX(tblKurallar[deger_2025],MATCH("TBO-001",tblKurallar[kural_id],0))+$D364*INDEX(tblKurallar[deger_2025],MATCH("TBO-002",tblKurallar[kural_id],0))+$E364*INDEX(tblKurallar[deger_2025],MATCH("TBO-004",tblKurallar[kural_id],0))+$F364*tbo_isverenOran,2),0))</f>
        <v/>
      </c>
      <c r="I364" s="31">
        <f>IF($A364="","",IFERROR(MAX(0,$H364-$G364),0))</f>
        <v/>
      </c>
    </row>
    <row r="365">
      <c r="A365" s="30" t="n"/>
      <c r="B365" s="30" t="n"/>
      <c r="C365" s="30" t="n"/>
      <c r="D365" s="30" t="n"/>
      <c r="E365" s="30" t="n"/>
      <c r="F365" s="30" t="n"/>
      <c r="G365" s="30" t="n"/>
      <c r="H365" s="31">
        <f>IF($A365="","",IFERROR(ROUND($C365*INDEX(tblKurallar[deger_2025],MATCH("TBO-001",tblKurallar[kural_id],0))+$D365*INDEX(tblKurallar[deger_2025],MATCH("TBO-002",tblKurallar[kural_id],0))+$E365*INDEX(tblKurallar[deger_2025],MATCH("TBO-004",tblKurallar[kural_id],0))+$F365*tbo_isverenOran,2),0))</f>
        <v/>
      </c>
      <c r="I365" s="31">
        <f>IF($A365="","",IFERROR(MAX(0,$H365-$G365),0))</f>
        <v/>
      </c>
    </row>
    <row r="366">
      <c r="A366" s="30" t="n"/>
      <c r="B366" s="30" t="n"/>
      <c r="C366" s="30" t="n"/>
      <c r="D366" s="30" t="n"/>
      <c r="E366" s="30" t="n"/>
      <c r="F366" s="30" t="n"/>
      <c r="G366" s="30" t="n"/>
      <c r="H366" s="31">
        <f>IF($A366="","",IFERROR(ROUND($C366*INDEX(tblKurallar[deger_2025],MATCH("TBO-001",tblKurallar[kural_id],0))+$D366*INDEX(tblKurallar[deger_2025],MATCH("TBO-002",tblKurallar[kural_id],0))+$E366*INDEX(tblKurallar[deger_2025],MATCH("TBO-004",tblKurallar[kural_id],0))+$F366*tbo_isverenOran,2),0))</f>
        <v/>
      </c>
      <c r="I366" s="31">
        <f>IF($A366="","",IFERROR(MAX(0,$H366-$G366),0))</f>
        <v/>
      </c>
    </row>
    <row r="367">
      <c r="A367" s="30" t="n"/>
      <c r="B367" s="30" t="n"/>
      <c r="C367" s="30" t="n"/>
      <c r="D367" s="30" t="n"/>
      <c r="E367" s="30" t="n"/>
      <c r="F367" s="30" t="n"/>
      <c r="G367" s="30" t="n"/>
      <c r="H367" s="31">
        <f>IF($A367="","",IFERROR(ROUND($C367*INDEX(tblKurallar[deger_2025],MATCH("TBO-001",tblKurallar[kural_id],0))+$D367*INDEX(tblKurallar[deger_2025],MATCH("TBO-002",tblKurallar[kural_id],0))+$E367*INDEX(tblKurallar[deger_2025],MATCH("TBO-004",tblKurallar[kural_id],0))+$F367*tbo_isverenOran,2),0))</f>
        <v/>
      </c>
      <c r="I367" s="31">
        <f>IF($A367="","",IFERROR(MAX(0,$H367-$G367),0))</f>
        <v/>
      </c>
    </row>
    <row r="368">
      <c r="A368" s="30" t="n"/>
      <c r="B368" s="30" t="n"/>
      <c r="C368" s="30" t="n"/>
      <c r="D368" s="30" t="n"/>
      <c r="E368" s="30" t="n"/>
      <c r="F368" s="30" t="n"/>
      <c r="G368" s="30" t="n"/>
      <c r="H368" s="31">
        <f>IF($A368="","",IFERROR(ROUND($C368*INDEX(tblKurallar[deger_2025],MATCH("TBO-001",tblKurallar[kural_id],0))+$D368*INDEX(tblKurallar[deger_2025],MATCH("TBO-002",tblKurallar[kural_id],0))+$E368*INDEX(tblKurallar[deger_2025],MATCH("TBO-004",tblKurallar[kural_id],0))+$F368*tbo_isverenOran,2),0))</f>
        <v/>
      </c>
      <c r="I368" s="31">
        <f>IF($A368="","",IFERROR(MAX(0,$H368-$G368),0))</f>
        <v/>
      </c>
    </row>
    <row r="369">
      <c r="A369" s="30" t="n"/>
      <c r="B369" s="30" t="n"/>
      <c r="C369" s="30" t="n"/>
      <c r="D369" s="30" t="n"/>
      <c r="E369" s="30" t="n"/>
      <c r="F369" s="30" t="n"/>
      <c r="G369" s="30" t="n"/>
      <c r="H369" s="31">
        <f>IF($A369="","",IFERROR(ROUND($C369*INDEX(tblKurallar[deger_2025],MATCH("TBO-001",tblKurallar[kural_id],0))+$D369*INDEX(tblKurallar[deger_2025],MATCH("TBO-002",tblKurallar[kural_id],0))+$E369*INDEX(tblKurallar[deger_2025],MATCH("TBO-004",tblKurallar[kural_id],0))+$F369*tbo_isverenOran,2),0))</f>
        <v/>
      </c>
      <c r="I369" s="31">
        <f>IF($A369="","",IFERROR(MAX(0,$H369-$G369),0))</f>
        <v/>
      </c>
    </row>
    <row r="370">
      <c r="A370" s="30" t="n"/>
      <c r="B370" s="30" t="n"/>
      <c r="C370" s="30" t="n"/>
      <c r="D370" s="30" t="n"/>
      <c r="E370" s="30" t="n"/>
      <c r="F370" s="30" t="n"/>
      <c r="G370" s="30" t="n"/>
      <c r="H370" s="31">
        <f>IF($A370="","",IFERROR(ROUND($C370*INDEX(tblKurallar[deger_2025],MATCH("TBO-001",tblKurallar[kural_id],0))+$D370*INDEX(tblKurallar[deger_2025],MATCH("TBO-002",tblKurallar[kural_id],0))+$E370*INDEX(tblKurallar[deger_2025],MATCH("TBO-004",tblKurallar[kural_id],0))+$F370*tbo_isverenOran,2),0))</f>
        <v/>
      </c>
      <c r="I370" s="31">
        <f>IF($A370="","",IFERROR(MAX(0,$H370-$G370),0))</f>
        <v/>
      </c>
    </row>
    <row r="371">
      <c r="A371" s="30" t="n"/>
      <c r="B371" s="30" t="n"/>
      <c r="C371" s="30" t="n"/>
      <c r="D371" s="30" t="n"/>
      <c r="E371" s="30" t="n"/>
      <c r="F371" s="30" t="n"/>
      <c r="G371" s="30" t="n"/>
      <c r="H371" s="31">
        <f>IF($A371="","",IFERROR(ROUND($C371*INDEX(tblKurallar[deger_2025],MATCH("TBO-001",tblKurallar[kural_id],0))+$D371*INDEX(tblKurallar[deger_2025],MATCH("TBO-002",tblKurallar[kural_id],0))+$E371*INDEX(tblKurallar[deger_2025],MATCH("TBO-004",tblKurallar[kural_id],0))+$F371*tbo_isverenOran,2),0))</f>
        <v/>
      </c>
      <c r="I371" s="31">
        <f>IF($A371="","",IFERROR(MAX(0,$H371-$G371),0))</f>
        <v/>
      </c>
    </row>
    <row r="372">
      <c r="A372" s="30" t="n"/>
      <c r="B372" s="30" t="n"/>
      <c r="C372" s="30" t="n"/>
      <c r="D372" s="30" t="n"/>
      <c r="E372" s="30" t="n"/>
      <c r="F372" s="30" t="n"/>
      <c r="G372" s="30" t="n"/>
      <c r="H372" s="31">
        <f>IF($A372="","",IFERROR(ROUND($C372*INDEX(tblKurallar[deger_2025],MATCH("TBO-001",tblKurallar[kural_id],0))+$D372*INDEX(tblKurallar[deger_2025],MATCH("TBO-002",tblKurallar[kural_id],0))+$E372*INDEX(tblKurallar[deger_2025],MATCH("TBO-004",tblKurallar[kural_id],0))+$F372*tbo_isverenOran,2),0))</f>
        <v/>
      </c>
      <c r="I372" s="31">
        <f>IF($A372="","",IFERROR(MAX(0,$H372-$G372),0))</f>
        <v/>
      </c>
    </row>
    <row r="373">
      <c r="A373" s="30" t="n"/>
      <c r="B373" s="30" t="n"/>
      <c r="C373" s="30" t="n"/>
      <c r="D373" s="30" t="n"/>
      <c r="E373" s="30" t="n"/>
      <c r="F373" s="30" t="n"/>
      <c r="G373" s="30" t="n"/>
      <c r="H373" s="31">
        <f>IF($A373="","",IFERROR(ROUND($C373*INDEX(tblKurallar[deger_2025],MATCH("TBO-001",tblKurallar[kural_id],0))+$D373*INDEX(tblKurallar[deger_2025],MATCH("TBO-002",tblKurallar[kural_id],0))+$E373*INDEX(tblKurallar[deger_2025],MATCH("TBO-004",tblKurallar[kural_id],0))+$F373*tbo_isverenOran,2),0))</f>
        <v/>
      </c>
      <c r="I373" s="31">
        <f>IF($A373="","",IFERROR(MAX(0,$H373-$G373),0))</f>
        <v/>
      </c>
    </row>
    <row r="374">
      <c r="A374" s="30" t="n"/>
      <c r="B374" s="30" t="n"/>
      <c r="C374" s="30" t="n"/>
      <c r="D374" s="30" t="n"/>
      <c r="E374" s="30" t="n"/>
      <c r="F374" s="30" t="n"/>
      <c r="G374" s="30" t="n"/>
      <c r="H374" s="31">
        <f>IF($A374="","",IFERROR(ROUND($C374*INDEX(tblKurallar[deger_2025],MATCH("TBO-001",tblKurallar[kural_id],0))+$D374*INDEX(tblKurallar[deger_2025],MATCH("TBO-002",tblKurallar[kural_id],0))+$E374*INDEX(tblKurallar[deger_2025],MATCH("TBO-004",tblKurallar[kural_id],0))+$F374*tbo_isverenOran,2),0))</f>
        <v/>
      </c>
      <c r="I374" s="31">
        <f>IF($A374="","",IFERROR(MAX(0,$H374-$G374),0))</f>
        <v/>
      </c>
    </row>
    <row r="375">
      <c r="A375" s="30" t="n"/>
      <c r="B375" s="30" t="n"/>
      <c r="C375" s="30" t="n"/>
      <c r="D375" s="30" t="n"/>
      <c r="E375" s="30" t="n"/>
      <c r="F375" s="30" t="n"/>
      <c r="G375" s="30" t="n"/>
      <c r="H375" s="31">
        <f>IF($A375="","",IFERROR(ROUND($C375*INDEX(tblKurallar[deger_2025],MATCH("TBO-001",tblKurallar[kural_id],0))+$D375*INDEX(tblKurallar[deger_2025],MATCH("TBO-002",tblKurallar[kural_id],0))+$E375*INDEX(tblKurallar[deger_2025],MATCH("TBO-004",tblKurallar[kural_id],0))+$F375*tbo_isverenOran,2),0))</f>
        <v/>
      </c>
      <c r="I375" s="31">
        <f>IF($A375="","",IFERROR(MAX(0,$H375-$G375),0))</f>
        <v/>
      </c>
    </row>
    <row r="376">
      <c r="A376" s="30" t="n"/>
      <c r="B376" s="30" t="n"/>
      <c r="C376" s="30" t="n"/>
      <c r="D376" s="30" t="n"/>
      <c r="E376" s="30" t="n"/>
      <c r="F376" s="30" t="n"/>
      <c r="G376" s="30" t="n"/>
      <c r="H376" s="31">
        <f>IF($A376="","",IFERROR(ROUND($C376*INDEX(tblKurallar[deger_2025],MATCH("TBO-001",tblKurallar[kural_id],0))+$D376*INDEX(tblKurallar[deger_2025],MATCH("TBO-002",tblKurallar[kural_id],0))+$E376*INDEX(tblKurallar[deger_2025],MATCH("TBO-004",tblKurallar[kural_id],0))+$F376*tbo_isverenOran,2),0))</f>
        <v/>
      </c>
      <c r="I376" s="31">
        <f>IF($A376="","",IFERROR(MAX(0,$H376-$G376),0))</f>
        <v/>
      </c>
    </row>
    <row r="377">
      <c r="A377" s="30" t="n"/>
      <c r="B377" s="30" t="n"/>
      <c r="C377" s="30" t="n"/>
      <c r="D377" s="30" t="n"/>
      <c r="E377" s="30" t="n"/>
      <c r="F377" s="30" t="n"/>
      <c r="G377" s="30" t="n"/>
      <c r="H377" s="31">
        <f>IF($A377="","",IFERROR(ROUND($C377*INDEX(tblKurallar[deger_2025],MATCH("TBO-001",tblKurallar[kural_id],0))+$D377*INDEX(tblKurallar[deger_2025],MATCH("TBO-002",tblKurallar[kural_id],0))+$E377*INDEX(tblKurallar[deger_2025],MATCH("TBO-004",tblKurallar[kural_id],0))+$F377*tbo_isverenOran,2),0))</f>
        <v/>
      </c>
      <c r="I377" s="31">
        <f>IF($A377="","",IFERROR(MAX(0,$H377-$G377),0))</f>
        <v/>
      </c>
    </row>
    <row r="378">
      <c r="A378" s="30" t="n"/>
      <c r="B378" s="30" t="n"/>
      <c r="C378" s="30" t="n"/>
      <c r="D378" s="30" t="n"/>
      <c r="E378" s="30" t="n"/>
      <c r="F378" s="30" t="n"/>
      <c r="G378" s="30" t="n"/>
      <c r="H378" s="31">
        <f>IF($A378="","",IFERROR(ROUND($C378*INDEX(tblKurallar[deger_2025],MATCH("TBO-001",tblKurallar[kural_id],0))+$D378*INDEX(tblKurallar[deger_2025],MATCH("TBO-002",tblKurallar[kural_id],0))+$E378*INDEX(tblKurallar[deger_2025],MATCH("TBO-004",tblKurallar[kural_id],0))+$F378*tbo_isverenOran,2),0))</f>
        <v/>
      </c>
      <c r="I378" s="31">
        <f>IF($A378="","",IFERROR(MAX(0,$H378-$G378),0))</f>
        <v/>
      </c>
    </row>
    <row r="379">
      <c r="A379" s="30" t="n"/>
      <c r="B379" s="30" t="n"/>
      <c r="C379" s="30" t="n"/>
      <c r="D379" s="30" t="n"/>
      <c r="E379" s="30" t="n"/>
      <c r="F379" s="30" t="n"/>
      <c r="G379" s="30" t="n"/>
      <c r="H379" s="31">
        <f>IF($A379="","",IFERROR(ROUND($C379*INDEX(tblKurallar[deger_2025],MATCH("TBO-001",tblKurallar[kural_id],0))+$D379*INDEX(tblKurallar[deger_2025],MATCH("TBO-002",tblKurallar[kural_id],0))+$E379*INDEX(tblKurallar[deger_2025],MATCH("TBO-004",tblKurallar[kural_id],0))+$F379*tbo_isverenOran,2),0))</f>
        <v/>
      </c>
      <c r="I379" s="31">
        <f>IF($A379="","",IFERROR(MAX(0,$H379-$G379),0))</f>
        <v/>
      </c>
    </row>
    <row r="380">
      <c r="A380" s="30" t="n"/>
      <c r="B380" s="30" t="n"/>
      <c r="C380" s="30" t="n"/>
      <c r="D380" s="30" t="n"/>
      <c r="E380" s="30" t="n"/>
      <c r="F380" s="30" t="n"/>
      <c r="G380" s="30" t="n"/>
      <c r="H380" s="31">
        <f>IF($A380="","",IFERROR(ROUND($C380*INDEX(tblKurallar[deger_2025],MATCH("TBO-001",tblKurallar[kural_id],0))+$D380*INDEX(tblKurallar[deger_2025],MATCH("TBO-002",tblKurallar[kural_id],0))+$E380*INDEX(tblKurallar[deger_2025],MATCH("TBO-004",tblKurallar[kural_id],0))+$F380*tbo_isverenOran,2),0))</f>
        <v/>
      </c>
      <c r="I380" s="31">
        <f>IF($A380="","",IFERROR(MAX(0,$H380-$G380),0))</f>
        <v/>
      </c>
    </row>
    <row r="381">
      <c r="A381" s="30" t="n"/>
      <c r="B381" s="30" t="n"/>
      <c r="C381" s="30" t="n"/>
      <c r="D381" s="30" t="n"/>
      <c r="E381" s="30" t="n"/>
      <c r="F381" s="30" t="n"/>
      <c r="G381" s="30" t="n"/>
      <c r="H381" s="31">
        <f>IF($A381="","",IFERROR(ROUND($C381*INDEX(tblKurallar[deger_2025],MATCH("TBO-001",tblKurallar[kural_id],0))+$D381*INDEX(tblKurallar[deger_2025],MATCH("TBO-002",tblKurallar[kural_id],0))+$E381*INDEX(tblKurallar[deger_2025],MATCH("TBO-004",tblKurallar[kural_id],0))+$F381*tbo_isverenOran,2),0))</f>
        <v/>
      </c>
      <c r="I381" s="31">
        <f>IF($A381="","",IFERROR(MAX(0,$H381-$G381),0))</f>
        <v/>
      </c>
    </row>
    <row r="382">
      <c r="A382" s="30" t="n"/>
      <c r="B382" s="30" t="n"/>
      <c r="C382" s="30" t="n"/>
      <c r="D382" s="30" t="n"/>
      <c r="E382" s="30" t="n"/>
      <c r="F382" s="30" t="n"/>
      <c r="G382" s="30" t="n"/>
      <c r="H382" s="31">
        <f>IF($A382="","",IFERROR(ROUND($C382*INDEX(tblKurallar[deger_2025],MATCH("TBO-001",tblKurallar[kural_id],0))+$D382*INDEX(tblKurallar[deger_2025],MATCH("TBO-002",tblKurallar[kural_id],0))+$E382*INDEX(tblKurallar[deger_2025],MATCH("TBO-004",tblKurallar[kural_id],0))+$F382*tbo_isverenOran,2),0))</f>
        <v/>
      </c>
      <c r="I382" s="31">
        <f>IF($A382="","",IFERROR(MAX(0,$H382-$G382),0))</f>
        <v/>
      </c>
    </row>
    <row r="383">
      <c r="A383" s="30" t="n"/>
      <c r="B383" s="30" t="n"/>
      <c r="C383" s="30" t="n"/>
      <c r="D383" s="30" t="n"/>
      <c r="E383" s="30" t="n"/>
      <c r="F383" s="30" t="n"/>
      <c r="G383" s="30" t="n"/>
      <c r="H383" s="31">
        <f>IF($A383="","",IFERROR(ROUND($C383*INDEX(tblKurallar[deger_2025],MATCH("TBO-001",tblKurallar[kural_id],0))+$D383*INDEX(tblKurallar[deger_2025],MATCH("TBO-002",tblKurallar[kural_id],0))+$E383*INDEX(tblKurallar[deger_2025],MATCH("TBO-004",tblKurallar[kural_id],0))+$F383*tbo_isverenOran,2),0))</f>
        <v/>
      </c>
      <c r="I383" s="31">
        <f>IF($A383="","",IFERROR(MAX(0,$H383-$G383),0))</f>
        <v/>
      </c>
    </row>
    <row r="384">
      <c r="A384" s="30" t="n"/>
      <c r="B384" s="30" t="n"/>
      <c r="C384" s="30" t="n"/>
      <c r="D384" s="30" t="n"/>
      <c r="E384" s="30" t="n"/>
      <c r="F384" s="30" t="n"/>
      <c r="G384" s="30" t="n"/>
      <c r="H384" s="31">
        <f>IF($A384="","",IFERROR(ROUND($C384*INDEX(tblKurallar[deger_2025],MATCH("TBO-001",tblKurallar[kural_id],0))+$D384*INDEX(tblKurallar[deger_2025],MATCH("TBO-002",tblKurallar[kural_id],0))+$E384*INDEX(tblKurallar[deger_2025],MATCH("TBO-004",tblKurallar[kural_id],0))+$F384*tbo_isverenOran,2),0))</f>
        <v/>
      </c>
      <c r="I384" s="31">
        <f>IF($A384="","",IFERROR(MAX(0,$H384-$G384),0))</f>
        <v/>
      </c>
    </row>
    <row r="385">
      <c r="A385" s="30" t="n"/>
      <c r="B385" s="30" t="n"/>
      <c r="C385" s="30" t="n"/>
      <c r="D385" s="30" t="n"/>
      <c r="E385" s="30" t="n"/>
      <c r="F385" s="30" t="n"/>
      <c r="G385" s="30" t="n"/>
      <c r="H385" s="31">
        <f>IF($A385="","",IFERROR(ROUND($C385*INDEX(tblKurallar[deger_2025],MATCH("TBO-001",tblKurallar[kural_id],0))+$D385*INDEX(tblKurallar[deger_2025],MATCH("TBO-002",tblKurallar[kural_id],0))+$E385*INDEX(tblKurallar[deger_2025],MATCH("TBO-004",tblKurallar[kural_id],0))+$F385*tbo_isverenOran,2),0))</f>
        <v/>
      </c>
      <c r="I385" s="31">
        <f>IF($A385="","",IFERROR(MAX(0,$H385-$G385),0))</f>
        <v/>
      </c>
    </row>
    <row r="386">
      <c r="A386" s="30" t="n"/>
      <c r="B386" s="30" t="n"/>
      <c r="C386" s="30" t="n"/>
      <c r="D386" s="30" t="n"/>
      <c r="E386" s="30" t="n"/>
      <c r="F386" s="30" t="n"/>
      <c r="G386" s="30" t="n"/>
      <c r="H386" s="31">
        <f>IF($A386="","",IFERROR(ROUND($C386*INDEX(tblKurallar[deger_2025],MATCH("TBO-001",tblKurallar[kural_id],0))+$D386*INDEX(tblKurallar[deger_2025],MATCH("TBO-002",tblKurallar[kural_id],0))+$E386*INDEX(tblKurallar[deger_2025],MATCH("TBO-004",tblKurallar[kural_id],0))+$F386*tbo_isverenOran,2),0))</f>
        <v/>
      </c>
      <c r="I386" s="31">
        <f>IF($A386="","",IFERROR(MAX(0,$H386-$G386),0))</f>
        <v/>
      </c>
    </row>
    <row r="387">
      <c r="A387" s="30" t="n"/>
      <c r="B387" s="30" t="n"/>
      <c r="C387" s="30" t="n"/>
      <c r="D387" s="30" t="n"/>
      <c r="E387" s="30" t="n"/>
      <c r="F387" s="30" t="n"/>
      <c r="G387" s="30" t="n"/>
      <c r="H387" s="31">
        <f>IF($A387="","",IFERROR(ROUND($C387*INDEX(tblKurallar[deger_2025],MATCH("TBO-001",tblKurallar[kural_id],0))+$D387*INDEX(tblKurallar[deger_2025],MATCH("TBO-002",tblKurallar[kural_id],0))+$E387*INDEX(tblKurallar[deger_2025],MATCH("TBO-004",tblKurallar[kural_id],0))+$F387*tbo_isverenOran,2),0))</f>
        <v/>
      </c>
      <c r="I387" s="31">
        <f>IF($A387="","",IFERROR(MAX(0,$H387-$G387),0))</f>
        <v/>
      </c>
    </row>
    <row r="388">
      <c r="A388" s="30" t="n"/>
      <c r="B388" s="30" t="n"/>
      <c r="C388" s="30" t="n"/>
      <c r="D388" s="30" t="n"/>
      <c r="E388" s="30" t="n"/>
      <c r="F388" s="30" t="n"/>
      <c r="G388" s="30" t="n"/>
      <c r="H388" s="31">
        <f>IF($A388="","",IFERROR(ROUND($C388*INDEX(tblKurallar[deger_2025],MATCH("TBO-001",tblKurallar[kural_id],0))+$D388*INDEX(tblKurallar[deger_2025],MATCH("TBO-002",tblKurallar[kural_id],0))+$E388*INDEX(tblKurallar[deger_2025],MATCH("TBO-004",tblKurallar[kural_id],0))+$F388*tbo_isverenOran,2),0))</f>
        <v/>
      </c>
      <c r="I388" s="31">
        <f>IF($A388="","",IFERROR(MAX(0,$H388-$G388),0))</f>
        <v/>
      </c>
    </row>
    <row r="389">
      <c r="A389" s="30" t="n"/>
      <c r="B389" s="30" t="n"/>
      <c r="C389" s="30" t="n"/>
      <c r="D389" s="30" t="n"/>
      <c r="E389" s="30" t="n"/>
      <c r="F389" s="30" t="n"/>
      <c r="G389" s="30" t="n"/>
      <c r="H389" s="31">
        <f>IF($A389="","",IFERROR(ROUND($C389*INDEX(tblKurallar[deger_2025],MATCH("TBO-001",tblKurallar[kural_id],0))+$D389*INDEX(tblKurallar[deger_2025],MATCH("TBO-002",tblKurallar[kural_id],0))+$E389*INDEX(tblKurallar[deger_2025],MATCH("TBO-004",tblKurallar[kural_id],0))+$F389*tbo_isverenOran,2),0))</f>
        <v/>
      </c>
      <c r="I389" s="31">
        <f>IF($A389="","",IFERROR(MAX(0,$H389-$G389),0))</f>
        <v/>
      </c>
    </row>
    <row r="390">
      <c r="A390" s="30" t="n"/>
      <c r="B390" s="30" t="n"/>
      <c r="C390" s="30" t="n"/>
      <c r="D390" s="30" t="n"/>
      <c r="E390" s="30" t="n"/>
      <c r="F390" s="30" t="n"/>
      <c r="G390" s="30" t="n"/>
      <c r="H390" s="31">
        <f>IF($A390="","",IFERROR(ROUND($C390*INDEX(tblKurallar[deger_2025],MATCH("TBO-001",tblKurallar[kural_id],0))+$D390*INDEX(tblKurallar[deger_2025],MATCH("TBO-002",tblKurallar[kural_id],0))+$E390*INDEX(tblKurallar[deger_2025],MATCH("TBO-004",tblKurallar[kural_id],0))+$F390*tbo_isverenOran,2),0))</f>
        <v/>
      </c>
      <c r="I390" s="31">
        <f>IF($A390="","",IFERROR(MAX(0,$H390-$G390),0))</f>
        <v/>
      </c>
    </row>
    <row r="391">
      <c r="A391" s="30" t="n"/>
      <c r="B391" s="30" t="n"/>
      <c r="C391" s="30" t="n"/>
      <c r="D391" s="30" t="n"/>
      <c r="E391" s="30" t="n"/>
      <c r="F391" s="30" t="n"/>
      <c r="G391" s="30" t="n"/>
      <c r="H391" s="31">
        <f>IF($A391="","",IFERROR(ROUND($C391*INDEX(tblKurallar[deger_2025],MATCH("TBO-001",tblKurallar[kural_id],0))+$D391*INDEX(tblKurallar[deger_2025],MATCH("TBO-002",tblKurallar[kural_id],0))+$E391*INDEX(tblKurallar[deger_2025],MATCH("TBO-004",tblKurallar[kural_id],0))+$F391*tbo_isverenOran,2),0))</f>
        <v/>
      </c>
      <c r="I391" s="31">
        <f>IF($A391="","",IFERROR(MAX(0,$H391-$G391),0))</f>
        <v/>
      </c>
    </row>
    <row r="392">
      <c r="A392" s="30" t="n"/>
      <c r="B392" s="30" t="n"/>
      <c r="C392" s="30" t="n"/>
      <c r="D392" s="30" t="n"/>
      <c r="E392" s="30" t="n"/>
      <c r="F392" s="30" t="n"/>
      <c r="G392" s="30" t="n"/>
      <c r="H392" s="31">
        <f>IF($A392="","",IFERROR(ROUND($C392*INDEX(tblKurallar[deger_2025],MATCH("TBO-001",tblKurallar[kural_id],0))+$D392*INDEX(tblKurallar[deger_2025],MATCH("TBO-002",tblKurallar[kural_id],0))+$E392*INDEX(tblKurallar[deger_2025],MATCH("TBO-004",tblKurallar[kural_id],0))+$F392*tbo_isverenOran,2),0))</f>
        <v/>
      </c>
      <c r="I392" s="31">
        <f>IF($A392="","",IFERROR(MAX(0,$H392-$G392),0))</f>
        <v/>
      </c>
    </row>
    <row r="393">
      <c r="A393" s="30" t="n"/>
      <c r="B393" s="30" t="n"/>
      <c r="C393" s="30" t="n"/>
      <c r="D393" s="30" t="n"/>
      <c r="E393" s="30" t="n"/>
      <c r="F393" s="30" t="n"/>
      <c r="G393" s="30" t="n"/>
      <c r="H393" s="31">
        <f>IF($A393="","",IFERROR(ROUND($C393*INDEX(tblKurallar[deger_2025],MATCH("TBO-001",tblKurallar[kural_id],0))+$D393*INDEX(tblKurallar[deger_2025],MATCH("TBO-002",tblKurallar[kural_id],0))+$E393*INDEX(tblKurallar[deger_2025],MATCH("TBO-004",tblKurallar[kural_id],0))+$F393*tbo_isverenOran,2),0))</f>
        <v/>
      </c>
      <c r="I393" s="31">
        <f>IF($A393="","",IFERROR(MAX(0,$H393-$G393),0))</f>
        <v/>
      </c>
    </row>
    <row r="394">
      <c r="A394" s="30" t="n"/>
      <c r="B394" s="30" t="n"/>
      <c r="C394" s="30" t="n"/>
      <c r="D394" s="30" t="n"/>
      <c r="E394" s="30" t="n"/>
      <c r="F394" s="30" t="n"/>
      <c r="G394" s="30" t="n"/>
      <c r="H394" s="31">
        <f>IF($A394="","",IFERROR(ROUND($C394*INDEX(tblKurallar[deger_2025],MATCH("TBO-001",tblKurallar[kural_id],0))+$D394*INDEX(tblKurallar[deger_2025],MATCH("TBO-002",tblKurallar[kural_id],0))+$E394*INDEX(tblKurallar[deger_2025],MATCH("TBO-004",tblKurallar[kural_id],0))+$F394*tbo_isverenOran,2),0))</f>
        <v/>
      </c>
      <c r="I394" s="31">
        <f>IF($A394="","",IFERROR(MAX(0,$H394-$G394),0))</f>
        <v/>
      </c>
    </row>
    <row r="395">
      <c r="A395" s="30" t="n"/>
      <c r="B395" s="30" t="n"/>
      <c r="C395" s="30" t="n"/>
      <c r="D395" s="30" t="n"/>
      <c r="E395" s="30" t="n"/>
      <c r="F395" s="30" t="n"/>
      <c r="G395" s="30" t="n"/>
      <c r="H395" s="31">
        <f>IF($A395="","",IFERROR(ROUND($C395*INDEX(tblKurallar[deger_2025],MATCH("TBO-001",tblKurallar[kural_id],0))+$D395*INDEX(tblKurallar[deger_2025],MATCH("TBO-002",tblKurallar[kural_id],0))+$E395*INDEX(tblKurallar[deger_2025],MATCH("TBO-004",tblKurallar[kural_id],0))+$F395*tbo_isverenOran,2),0))</f>
        <v/>
      </c>
      <c r="I395" s="31">
        <f>IF($A395="","",IFERROR(MAX(0,$H395-$G395),0))</f>
        <v/>
      </c>
    </row>
    <row r="396">
      <c r="A396" s="30" t="n"/>
      <c r="B396" s="30" t="n"/>
      <c r="C396" s="30" t="n"/>
      <c r="D396" s="30" t="n"/>
      <c r="E396" s="30" t="n"/>
      <c r="F396" s="30" t="n"/>
      <c r="G396" s="30" t="n"/>
      <c r="H396" s="31">
        <f>IF($A396="","",IFERROR(ROUND($C396*INDEX(tblKurallar[deger_2025],MATCH("TBO-001",tblKurallar[kural_id],0))+$D396*INDEX(tblKurallar[deger_2025],MATCH("TBO-002",tblKurallar[kural_id],0))+$E396*INDEX(tblKurallar[deger_2025],MATCH("TBO-004",tblKurallar[kural_id],0))+$F396*tbo_isverenOran,2),0))</f>
        <v/>
      </c>
      <c r="I396" s="31">
        <f>IF($A396="","",IFERROR(MAX(0,$H396-$G396),0))</f>
        <v/>
      </c>
    </row>
    <row r="397">
      <c r="A397" s="30" t="n"/>
      <c r="B397" s="30" t="n"/>
      <c r="C397" s="30" t="n"/>
      <c r="D397" s="30" t="n"/>
      <c r="E397" s="30" t="n"/>
      <c r="F397" s="30" t="n"/>
      <c r="G397" s="30" t="n"/>
      <c r="H397" s="31">
        <f>IF($A397="","",IFERROR(ROUND($C397*INDEX(tblKurallar[deger_2025],MATCH("TBO-001",tblKurallar[kural_id],0))+$D397*INDEX(tblKurallar[deger_2025],MATCH("TBO-002",tblKurallar[kural_id],0))+$E397*INDEX(tblKurallar[deger_2025],MATCH("TBO-004",tblKurallar[kural_id],0))+$F397*tbo_isverenOran,2),0))</f>
        <v/>
      </c>
      <c r="I397" s="31">
        <f>IF($A397="","",IFERROR(MAX(0,$H397-$G397),0))</f>
        <v/>
      </c>
    </row>
    <row r="398">
      <c r="A398" s="30" t="n"/>
      <c r="B398" s="30" t="n"/>
      <c r="C398" s="30" t="n"/>
      <c r="D398" s="30" t="n"/>
      <c r="E398" s="30" t="n"/>
      <c r="F398" s="30" t="n"/>
      <c r="G398" s="30" t="n"/>
      <c r="H398" s="31">
        <f>IF($A398="","",IFERROR(ROUND($C398*INDEX(tblKurallar[deger_2025],MATCH("TBO-001",tblKurallar[kural_id],0))+$D398*INDEX(tblKurallar[deger_2025],MATCH("TBO-002",tblKurallar[kural_id],0))+$E398*INDEX(tblKurallar[deger_2025],MATCH("TBO-004",tblKurallar[kural_id],0))+$F398*tbo_isverenOran,2),0))</f>
        <v/>
      </c>
      <c r="I398" s="31">
        <f>IF($A398="","",IFERROR(MAX(0,$H398-$G398),0))</f>
        <v/>
      </c>
    </row>
    <row r="399">
      <c r="A399" s="30" t="n"/>
      <c r="B399" s="30" t="n"/>
      <c r="C399" s="30" t="n"/>
      <c r="D399" s="30" t="n"/>
      <c r="E399" s="30" t="n"/>
      <c r="F399" s="30" t="n"/>
      <c r="G399" s="30" t="n"/>
      <c r="H399" s="31">
        <f>IF($A399="","",IFERROR(ROUND($C399*INDEX(tblKurallar[deger_2025],MATCH("TBO-001",tblKurallar[kural_id],0))+$D399*INDEX(tblKurallar[deger_2025],MATCH("TBO-002",tblKurallar[kural_id],0))+$E399*INDEX(tblKurallar[deger_2025],MATCH("TBO-004",tblKurallar[kural_id],0))+$F399*tbo_isverenOran,2),0))</f>
        <v/>
      </c>
      <c r="I399" s="31">
        <f>IF($A399="","",IFERROR(MAX(0,$H399-$G399),0))</f>
        <v/>
      </c>
    </row>
    <row r="400">
      <c r="A400" s="30" t="n"/>
      <c r="B400" s="30" t="n"/>
      <c r="C400" s="30" t="n"/>
      <c r="D400" s="30" t="n"/>
      <c r="E400" s="30" t="n"/>
      <c r="F400" s="30" t="n"/>
      <c r="G400" s="30" t="n"/>
      <c r="H400" s="31">
        <f>IF($A400="","",IFERROR(ROUND($C400*INDEX(tblKurallar[deger_2025],MATCH("TBO-001",tblKurallar[kural_id],0))+$D400*INDEX(tblKurallar[deger_2025],MATCH("TBO-002",tblKurallar[kural_id],0))+$E400*INDEX(tblKurallar[deger_2025],MATCH("TBO-004",tblKurallar[kural_id],0))+$F400*tbo_isverenOran,2),0))</f>
        <v/>
      </c>
      <c r="I400" s="31">
        <f>IF($A400="","",IFERROR(MAX(0,$H400-$G400),0))</f>
        <v/>
      </c>
    </row>
    <row r="401">
      <c r="A401" s="30" t="n"/>
      <c r="B401" s="30" t="n"/>
      <c r="C401" s="30" t="n"/>
      <c r="D401" s="30" t="n"/>
      <c r="E401" s="30" t="n"/>
      <c r="F401" s="30" t="n"/>
      <c r="G401" s="30" t="n"/>
      <c r="H401" s="31">
        <f>IF($A401="","",IFERROR(ROUND($C401*INDEX(tblKurallar[deger_2025],MATCH("TBO-001",tblKurallar[kural_id],0))+$D401*INDEX(tblKurallar[deger_2025],MATCH("TBO-002",tblKurallar[kural_id],0))+$E401*INDEX(tblKurallar[deger_2025],MATCH("TBO-004",tblKurallar[kural_id],0))+$F401*tbo_isverenOran,2),0))</f>
        <v/>
      </c>
      <c r="I401" s="31">
        <f>IF($A401="","",IFERROR(MAX(0,$H401-$G401),0))</f>
        <v/>
      </c>
    </row>
    <row r="402">
      <c r="A402" s="30" t="n"/>
      <c r="B402" s="30" t="n"/>
      <c r="C402" s="30" t="n"/>
      <c r="D402" s="30" t="n"/>
      <c r="E402" s="30" t="n"/>
      <c r="F402" s="30" t="n"/>
      <c r="G402" s="30" t="n"/>
      <c r="H402" s="31">
        <f>IF($A402="","",IFERROR(ROUND($C402*INDEX(tblKurallar[deger_2025],MATCH("TBO-001",tblKurallar[kural_id],0))+$D402*INDEX(tblKurallar[deger_2025],MATCH("TBO-002",tblKurallar[kural_id],0))+$E402*INDEX(tblKurallar[deger_2025],MATCH("TBO-004",tblKurallar[kural_id],0))+$F402*tbo_isverenOran,2),0))</f>
        <v/>
      </c>
      <c r="I402" s="31">
        <f>IF($A402="","",IFERROR(MAX(0,$H402-$G402),0))</f>
        <v/>
      </c>
    </row>
    <row r="403">
      <c r="A403" s="30" t="n"/>
      <c r="B403" s="30" t="n"/>
      <c r="C403" s="30" t="n"/>
      <c r="D403" s="30" t="n"/>
      <c r="E403" s="30" t="n"/>
      <c r="F403" s="30" t="n"/>
      <c r="G403" s="30" t="n"/>
      <c r="H403" s="31">
        <f>IF($A403="","",IFERROR(ROUND($C403*INDEX(tblKurallar[deger_2025],MATCH("TBO-001",tblKurallar[kural_id],0))+$D403*INDEX(tblKurallar[deger_2025],MATCH("TBO-002",tblKurallar[kural_id],0))+$E403*INDEX(tblKurallar[deger_2025],MATCH("TBO-004",tblKurallar[kural_id],0))+$F403*tbo_isverenOran,2),0))</f>
        <v/>
      </c>
      <c r="I403" s="31">
        <f>IF($A403="","",IFERROR(MAX(0,$H403-$G403),0))</f>
        <v/>
      </c>
    </row>
    <row r="404">
      <c r="A404" s="30" t="n"/>
      <c r="B404" s="30" t="n"/>
      <c r="C404" s="30" t="n"/>
      <c r="D404" s="30" t="n"/>
      <c r="E404" s="30" t="n"/>
      <c r="F404" s="30" t="n"/>
      <c r="G404" s="30" t="n"/>
      <c r="H404" s="31">
        <f>IF($A404="","",IFERROR(ROUND($C404*INDEX(tblKurallar[deger_2025],MATCH("TBO-001",tblKurallar[kural_id],0))+$D404*INDEX(tblKurallar[deger_2025],MATCH("TBO-002",tblKurallar[kural_id],0))+$E404*INDEX(tblKurallar[deger_2025],MATCH("TBO-004",tblKurallar[kural_id],0))+$F404*tbo_isverenOran,2),0))</f>
        <v/>
      </c>
      <c r="I404" s="31">
        <f>IF($A404="","",IFERROR(MAX(0,$H404-$G404),0))</f>
        <v/>
      </c>
    </row>
    <row r="405">
      <c r="A405" s="30" t="n"/>
      <c r="B405" s="30" t="n"/>
      <c r="C405" s="30" t="n"/>
      <c r="D405" s="30" t="n"/>
      <c r="E405" s="30" t="n"/>
      <c r="F405" s="30" t="n"/>
      <c r="G405" s="30" t="n"/>
      <c r="H405" s="31">
        <f>IF($A405="","",IFERROR(ROUND($C405*INDEX(tblKurallar[deger_2025],MATCH("TBO-001",tblKurallar[kural_id],0))+$D405*INDEX(tblKurallar[deger_2025],MATCH("TBO-002",tblKurallar[kural_id],0))+$E405*INDEX(tblKurallar[deger_2025],MATCH("TBO-004",tblKurallar[kural_id],0))+$F405*tbo_isverenOran,2),0))</f>
        <v/>
      </c>
      <c r="I405" s="31">
        <f>IF($A405="","",IFERROR(MAX(0,$H405-$G405),0))</f>
        <v/>
      </c>
    </row>
    <row r="406">
      <c r="A406" s="30" t="n"/>
      <c r="B406" s="30" t="n"/>
      <c r="C406" s="30" t="n"/>
      <c r="D406" s="30" t="n"/>
      <c r="E406" s="30" t="n"/>
      <c r="F406" s="30" t="n"/>
      <c r="G406" s="30" t="n"/>
      <c r="H406" s="31">
        <f>IF($A406="","",IFERROR(ROUND($C406*INDEX(tblKurallar[deger_2025],MATCH("TBO-001",tblKurallar[kural_id],0))+$D406*INDEX(tblKurallar[deger_2025],MATCH("TBO-002",tblKurallar[kural_id],0))+$E406*INDEX(tblKurallar[deger_2025],MATCH("TBO-004",tblKurallar[kural_id],0))+$F406*tbo_isverenOran,2),0))</f>
        <v/>
      </c>
      <c r="I406" s="31">
        <f>IF($A406="","",IFERROR(MAX(0,$H406-$G406),0))</f>
        <v/>
      </c>
    </row>
    <row r="407">
      <c r="A407" s="30" t="n"/>
      <c r="B407" s="30" t="n"/>
      <c r="C407" s="30" t="n"/>
      <c r="D407" s="30" t="n"/>
      <c r="E407" s="30" t="n"/>
      <c r="F407" s="30" t="n"/>
      <c r="G407" s="30" t="n"/>
      <c r="H407" s="31">
        <f>IF($A407="","",IFERROR(ROUND($C407*INDEX(tblKurallar[deger_2025],MATCH("TBO-001",tblKurallar[kural_id],0))+$D407*INDEX(tblKurallar[deger_2025],MATCH("TBO-002",tblKurallar[kural_id],0))+$E407*INDEX(tblKurallar[deger_2025],MATCH("TBO-004",tblKurallar[kural_id],0))+$F407*tbo_isverenOran,2),0))</f>
        <v/>
      </c>
      <c r="I407" s="31">
        <f>IF($A407="","",IFERROR(MAX(0,$H407-$G407),0))</f>
        <v/>
      </c>
    </row>
    <row r="408">
      <c r="A408" s="30" t="n"/>
      <c r="B408" s="30" t="n"/>
      <c r="C408" s="30" t="n"/>
      <c r="D408" s="30" t="n"/>
      <c r="E408" s="30" t="n"/>
      <c r="F408" s="30" t="n"/>
      <c r="G408" s="30" t="n"/>
      <c r="H408" s="31">
        <f>IF($A408="","",IFERROR(ROUND($C408*INDEX(tblKurallar[deger_2025],MATCH("TBO-001",tblKurallar[kural_id],0))+$D408*INDEX(tblKurallar[deger_2025],MATCH("TBO-002",tblKurallar[kural_id],0))+$E408*INDEX(tblKurallar[deger_2025],MATCH("TBO-004",tblKurallar[kural_id],0))+$F408*tbo_isverenOran,2),0))</f>
        <v/>
      </c>
      <c r="I408" s="31">
        <f>IF($A408="","",IFERROR(MAX(0,$H408-$G408),0))</f>
        <v/>
      </c>
    </row>
    <row r="409">
      <c r="A409" s="30" t="n"/>
      <c r="B409" s="30" t="n"/>
      <c r="C409" s="30" t="n"/>
      <c r="D409" s="30" t="n"/>
      <c r="E409" s="30" t="n"/>
      <c r="F409" s="30" t="n"/>
      <c r="G409" s="30" t="n"/>
      <c r="H409" s="31">
        <f>IF($A409="","",IFERROR(ROUND($C409*INDEX(tblKurallar[deger_2025],MATCH("TBO-001",tblKurallar[kural_id],0))+$D409*INDEX(tblKurallar[deger_2025],MATCH("TBO-002",tblKurallar[kural_id],0))+$E409*INDEX(tblKurallar[deger_2025],MATCH("TBO-004",tblKurallar[kural_id],0))+$F409*tbo_isverenOran,2),0))</f>
        <v/>
      </c>
      <c r="I409" s="31">
        <f>IF($A409="","",IFERROR(MAX(0,$H409-$G409),0))</f>
        <v/>
      </c>
    </row>
    <row r="410">
      <c r="A410" s="30" t="n"/>
      <c r="B410" s="30" t="n"/>
      <c r="C410" s="30" t="n"/>
      <c r="D410" s="30" t="n"/>
      <c r="E410" s="30" t="n"/>
      <c r="F410" s="30" t="n"/>
      <c r="G410" s="30" t="n"/>
      <c r="H410" s="31">
        <f>IF($A410="","",IFERROR(ROUND($C410*INDEX(tblKurallar[deger_2025],MATCH("TBO-001",tblKurallar[kural_id],0))+$D410*INDEX(tblKurallar[deger_2025],MATCH("TBO-002",tblKurallar[kural_id],0))+$E410*INDEX(tblKurallar[deger_2025],MATCH("TBO-004",tblKurallar[kural_id],0))+$F410*tbo_isverenOran,2),0))</f>
        <v/>
      </c>
      <c r="I410" s="31">
        <f>IF($A410="","",IFERROR(MAX(0,$H410-$G410),0))</f>
        <v/>
      </c>
    </row>
    <row r="411">
      <c r="A411" s="30" t="n"/>
      <c r="B411" s="30" t="n"/>
      <c r="C411" s="30" t="n"/>
      <c r="D411" s="30" t="n"/>
      <c r="E411" s="30" t="n"/>
      <c r="F411" s="30" t="n"/>
      <c r="G411" s="30" t="n"/>
      <c r="H411" s="31">
        <f>IF($A411="","",IFERROR(ROUND($C411*INDEX(tblKurallar[deger_2025],MATCH("TBO-001",tblKurallar[kural_id],0))+$D411*INDEX(tblKurallar[deger_2025],MATCH("TBO-002",tblKurallar[kural_id],0))+$E411*INDEX(tblKurallar[deger_2025],MATCH("TBO-004",tblKurallar[kural_id],0))+$F411*tbo_isverenOran,2),0))</f>
        <v/>
      </c>
      <c r="I411" s="31">
        <f>IF($A411="","",IFERROR(MAX(0,$H411-$G411),0))</f>
        <v/>
      </c>
    </row>
    <row r="412">
      <c r="A412" s="30" t="n"/>
      <c r="B412" s="30" t="n"/>
      <c r="C412" s="30" t="n"/>
      <c r="D412" s="30" t="n"/>
      <c r="E412" s="30" t="n"/>
      <c r="F412" s="30" t="n"/>
      <c r="G412" s="30" t="n"/>
      <c r="H412" s="31">
        <f>IF($A412="","",IFERROR(ROUND($C412*INDEX(tblKurallar[deger_2025],MATCH("TBO-001",tblKurallar[kural_id],0))+$D412*INDEX(tblKurallar[deger_2025],MATCH("TBO-002",tblKurallar[kural_id],0))+$E412*INDEX(tblKurallar[deger_2025],MATCH("TBO-004",tblKurallar[kural_id],0))+$F412*tbo_isverenOran,2),0))</f>
        <v/>
      </c>
      <c r="I412" s="31">
        <f>IF($A412="","",IFERROR(MAX(0,$H412-$G412),0))</f>
        <v/>
      </c>
    </row>
    <row r="413">
      <c r="A413" s="30" t="n"/>
      <c r="B413" s="30" t="n"/>
      <c r="C413" s="30" t="n"/>
      <c r="D413" s="30" t="n"/>
      <c r="E413" s="30" t="n"/>
      <c r="F413" s="30" t="n"/>
      <c r="G413" s="30" t="n"/>
      <c r="H413" s="31">
        <f>IF($A413="","",IFERROR(ROUND($C413*INDEX(tblKurallar[deger_2025],MATCH("TBO-001",tblKurallar[kural_id],0))+$D413*INDEX(tblKurallar[deger_2025],MATCH("TBO-002",tblKurallar[kural_id],0))+$E413*INDEX(tblKurallar[deger_2025],MATCH("TBO-004",tblKurallar[kural_id],0))+$F413*tbo_isverenOran,2),0))</f>
        <v/>
      </c>
      <c r="I413" s="31">
        <f>IF($A413="","",IFERROR(MAX(0,$H413-$G413),0))</f>
        <v/>
      </c>
    </row>
    <row r="414">
      <c r="A414" s="30" t="n"/>
      <c r="B414" s="30" t="n"/>
      <c r="C414" s="30" t="n"/>
      <c r="D414" s="30" t="n"/>
      <c r="E414" s="30" t="n"/>
      <c r="F414" s="30" t="n"/>
      <c r="G414" s="30" t="n"/>
      <c r="H414" s="31">
        <f>IF($A414="","",IFERROR(ROUND($C414*INDEX(tblKurallar[deger_2025],MATCH("TBO-001",tblKurallar[kural_id],0))+$D414*INDEX(tblKurallar[deger_2025],MATCH("TBO-002",tblKurallar[kural_id],0))+$E414*INDEX(tblKurallar[deger_2025],MATCH("TBO-004",tblKurallar[kural_id],0))+$F414*tbo_isverenOran,2),0))</f>
        <v/>
      </c>
      <c r="I414" s="31">
        <f>IF($A414="","",IFERROR(MAX(0,$H414-$G414),0))</f>
        <v/>
      </c>
    </row>
    <row r="415">
      <c r="A415" s="30" t="n"/>
      <c r="B415" s="30" t="n"/>
      <c r="C415" s="30" t="n"/>
      <c r="D415" s="30" t="n"/>
      <c r="E415" s="30" t="n"/>
      <c r="F415" s="30" t="n"/>
      <c r="G415" s="30" t="n"/>
      <c r="H415" s="31">
        <f>IF($A415="","",IFERROR(ROUND($C415*INDEX(tblKurallar[deger_2025],MATCH("TBO-001",tblKurallar[kural_id],0))+$D415*INDEX(tblKurallar[deger_2025],MATCH("TBO-002",tblKurallar[kural_id],0))+$E415*INDEX(tblKurallar[deger_2025],MATCH("TBO-004",tblKurallar[kural_id],0))+$F415*tbo_isverenOran,2),0))</f>
        <v/>
      </c>
      <c r="I415" s="31">
        <f>IF($A415="","",IFERROR(MAX(0,$H415-$G415),0))</f>
        <v/>
      </c>
    </row>
    <row r="416">
      <c r="A416" s="30" t="n"/>
      <c r="B416" s="30" t="n"/>
      <c r="C416" s="30" t="n"/>
      <c r="D416" s="30" t="n"/>
      <c r="E416" s="30" t="n"/>
      <c r="F416" s="30" t="n"/>
      <c r="G416" s="30" t="n"/>
      <c r="H416" s="31">
        <f>IF($A416="","",IFERROR(ROUND($C416*INDEX(tblKurallar[deger_2025],MATCH("TBO-001",tblKurallar[kural_id],0))+$D416*INDEX(tblKurallar[deger_2025],MATCH("TBO-002",tblKurallar[kural_id],0))+$E416*INDEX(tblKurallar[deger_2025],MATCH("TBO-004",tblKurallar[kural_id],0))+$F416*tbo_isverenOran,2),0))</f>
        <v/>
      </c>
      <c r="I416" s="31">
        <f>IF($A416="","",IFERROR(MAX(0,$H416-$G416),0))</f>
        <v/>
      </c>
    </row>
    <row r="417">
      <c r="A417" s="30" t="n"/>
      <c r="B417" s="30" t="n"/>
      <c r="C417" s="30" t="n"/>
      <c r="D417" s="30" t="n"/>
      <c r="E417" s="30" t="n"/>
      <c r="F417" s="30" t="n"/>
      <c r="G417" s="30" t="n"/>
      <c r="H417" s="31">
        <f>IF($A417="","",IFERROR(ROUND($C417*INDEX(tblKurallar[deger_2025],MATCH("TBO-001",tblKurallar[kural_id],0))+$D417*INDEX(tblKurallar[deger_2025],MATCH("TBO-002",tblKurallar[kural_id],0))+$E417*INDEX(tblKurallar[deger_2025],MATCH("TBO-004",tblKurallar[kural_id],0))+$F417*tbo_isverenOran,2),0))</f>
        <v/>
      </c>
      <c r="I417" s="31">
        <f>IF($A417="","",IFERROR(MAX(0,$H417-$G417),0))</f>
        <v/>
      </c>
    </row>
    <row r="418">
      <c r="A418" s="30" t="n"/>
      <c r="B418" s="30" t="n"/>
      <c r="C418" s="30" t="n"/>
      <c r="D418" s="30" t="n"/>
      <c r="E418" s="30" t="n"/>
      <c r="F418" s="30" t="n"/>
      <c r="G418" s="30" t="n"/>
      <c r="H418" s="31">
        <f>IF($A418="","",IFERROR(ROUND($C418*INDEX(tblKurallar[deger_2025],MATCH("TBO-001",tblKurallar[kural_id],0))+$D418*INDEX(tblKurallar[deger_2025],MATCH("TBO-002",tblKurallar[kural_id],0))+$E418*INDEX(tblKurallar[deger_2025],MATCH("TBO-004",tblKurallar[kural_id],0))+$F418*tbo_isverenOran,2),0))</f>
        <v/>
      </c>
      <c r="I418" s="31">
        <f>IF($A418="","",IFERROR(MAX(0,$H418-$G418),0))</f>
        <v/>
      </c>
    </row>
    <row r="419">
      <c r="A419" s="30" t="n"/>
      <c r="B419" s="30" t="n"/>
      <c r="C419" s="30" t="n"/>
      <c r="D419" s="30" t="n"/>
      <c r="E419" s="30" t="n"/>
      <c r="F419" s="30" t="n"/>
      <c r="G419" s="30" t="n"/>
      <c r="H419" s="31">
        <f>IF($A419="","",IFERROR(ROUND($C419*INDEX(tblKurallar[deger_2025],MATCH("TBO-001",tblKurallar[kural_id],0))+$D419*INDEX(tblKurallar[deger_2025],MATCH("TBO-002",tblKurallar[kural_id],0))+$E419*INDEX(tblKurallar[deger_2025],MATCH("TBO-004",tblKurallar[kural_id],0))+$F419*tbo_isverenOran,2),0))</f>
        <v/>
      </c>
      <c r="I419" s="31">
        <f>IF($A419="","",IFERROR(MAX(0,$H419-$G419),0))</f>
        <v/>
      </c>
    </row>
    <row r="420">
      <c r="A420" s="30" t="n"/>
      <c r="B420" s="30" t="n"/>
      <c r="C420" s="30" t="n"/>
      <c r="D420" s="30" t="n"/>
      <c r="E420" s="30" t="n"/>
      <c r="F420" s="30" t="n"/>
      <c r="G420" s="30" t="n"/>
      <c r="H420" s="31">
        <f>IF($A420="","",IFERROR(ROUND($C420*INDEX(tblKurallar[deger_2025],MATCH("TBO-001",tblKurallar[kural_id],0))+$D420*INDEX(tblKurallar[deger_2025],MATCH("TBO-002",tblKurallar[kural_id],0))+$E420*INDEX(tblKurallar[deger_2025],MATCH("TBO-004",tblKurallar[kural_id],0))+$F420*tbo_isverenOran,2),0))</f>
        <v/>
      </c>
      <c r="I420" s="31">
        <f>IF($A420="","",IFERROR(MAX(0,$H420-$G420),0))</f>
        <v/>
      </c>
    </row>
    <row r="421">
      <c r="A421" s="30" t="n"/>
      <c r="B421" s="30" t="n"/>
      <c r="C421" s="30" t="n"/>
      <c r="D421" s="30" t="n"/>
      <c r="E421" s="30" t="n"/>
      <c r="F421" s="30" t="n"/>
      <c r="G421" s="30" t="n"/>
      <c r="H421" s="31">
        <f>IF($A421="","",IFERROR(ROUND($C421*INDEX(tblKurallar[deger_2025],MATCH("TBO-001",tblKurallar[kural_id],0))+$D421*INDEX(tblKurallar[deger_2025],MATCH("TBO-002",tblKurallar[kural_id],0))+$E421*INDEX(tblKurallar[deger_2025],MATCH("TBO-004",tblKurallar[kural_id],0))+$F421*tbo_isverenOran,2),0))</f>
        <v/>
      </c>
      <c r="I421" s="31">
        <f>IF($A421="","",IFERROR(MAX(0,$H421-$G421),0))</f>
        <v/>
      </c>
    </row>
    <row r="422">
      <c r="A422" s="30" t="n"/>
      <c r="B422" s="30" t="n"/>
      <c r="C422" s="30" t="n"/>
      <c r="D422" s="30" t="n"/>
      <c r="E422" s="30" t="n"/>
      <c r="F422" s="30" t="n"/>
      <c r="G422" s="30" t="n"/>
      <c r="H422" s="31">
        <f>IF($A422="","",IFERROR(ROUND($C422*INDEX(tblKurallar[deger_2025],MATCH("TBO-001",tblKurallar[kural_id],0))+$D422*INDEX(tblKurallar[deger_2025],MATCH("TBO-002",tblKurallar[kural_id],0))+$E422*INDEX(tblKurallar[deger_2025],MATCH("TBO-004",tblKurallar[kural_id],0))+$F422*tbo_isverenOran,2),0))</f>
        <v/>
      </c>
      <c r="I422" s="31">
        <f>IF($A422="","",IFERROR(MAX(0,$H422-$G422),0))</f>
        <v/>
      </c>
    </row>
    <row r="423">
      <c r="A423" s="30" t="n"/>
      <c r="B423" s="30" t="n"/>
      <c r="C423" s="30" t="n"/>
      <c r="D423" s="30" t="n"/>
      <c r="E423" s="30" t="n"/>
      <c r="F423" s="30" t="n"/>
      <c r="G423" s="30" t="n"/>
      <c r="H423" s="31">
        <f>IF($A423="","",IFERROR(ROUND($C423*INDEX(tblKurallar[deger_2025],MATCH("TBO-001",tblKurallar[kural_id],0))+$D423*INDEX(tblKurallar[deger_2025],MATCH("TBO-002",tblKurallar[kural_id],0))+$E423*INDEX(tblKurallar[deger_2025],MATCH("TBO-004",tblKurallar[kural_id],0))+$F423*tbo_isverenOran,2),0))</f>
        <v/>
      </c>
      <c r="I423" s="31">
        <f>IF($A423="","",IFERROR(MAX(0,$H423-$G423),0))</f>
        <v/>
      </c>
    </row>
    <row r="424">
      <c r="A424" s="30" t="n"/>
      <c r="B424" s="30" t="n"/>
      <c r="C424" s="30" t="n"/>
      <c r="D424" s="30" t="n"/>
      <c r="E424" s="30" t="n"/>
      <c r="F424" s="30" t="n"/>
      <c r="G424" s="30" t="n"/>
      <c r="H424" s="31">
        <f>IF($A424="","",IFERROR(ROUND($C424*INDEX(tblKurallar[deger_2025],MATCH("TBO-001",tblKurallar[kural_id],0))+$D424*INDEX(tblKurallar[deger_2025],MATCH("TBO-002",tblKurallar[kural_id],0))+$E424*INDEX(tblKurallar[deger_2025],MATCH("TBO-004",tblKurallar[kural_id],0))+$F424*tbo_isverenOran,2),0))</f>
        <v/>
      </c>
      <c r="I424" s="31">
        <f>IF($A424="","",IFERROR(MAX(0,$H424-$G424),0))</f>
        <v/>
      </c>
    </row>
    <row r="425">
      <c r="A425" s="30" t="n"/>
      <c r="B425" s="30" t="n"/>
      <c r="C425" s="30" t="n"/>
      <c r="D425" s="30" t="n"/>
      <c r="E425" s="30" t="n"/>
      <c r="F425" s="30" t="n"/>
      <c r="G425" s="30" t="n"/>
      <c r="H425" s="31">
        <f>IF($A425="","",IFERROR(ROUND($C425*INDEX(tblKurallar[deger_2025],MATCH("TBO-001",tblKurallar[kural_id],0))+$D425*INDEX(tblKurallar[deger_2025],MATCH("TBO-002",tblKurallar[kural_id],0))+$E425*INDEX(tblKurallar[deger_2025],MATCH("TBO-004",tblKurallar[kural_id],0))+$F425*tbo_isverenOran,2),0))</f>
        <v/>
      </c>
      <c r="I425" s="31">
        <f>IF($A425="","",IFERROR(MAX(0,$H425-$G425),0))</f>
        <v/>
      </c>
    </row>
    <row r="426">
      <c r="A426" s="30" t="n"/>
      <c r="B426" s="30" t="n"/>
      <c r="C426" s="30" t="n"/>
      <c r="D426" s="30" t="n"/>
      <c r="E426" s="30" t="n"/>
      <c r="F426" s="30" t="n"/>
      <c r="G426" s="30" t="n"/>
      <c r="H426" s="31">
        <f>IF($A426="","",IFERROR(ROUND($C426*INDEX(tblKurallar[deger_2025],MATCH("TBO-001",tblKurallar[kural_id],0))+$D426*INDEX(tblKurallar[deger_2025],MATCH("TBO-002",tblKurallar[kural_id],0))+$E426*INDEX(tblKurallar[deger_2025],MATCH("TBO-004",tblKurallar[kural_id],0))+$F426*tbo_isverenOran,2),0))</f>
        <v/>
      </c>
      <c r="I426" s="31">
        <f>IF($A426="","",IFERROR(MAX(0,$H426-$G426),0))</f>
        <v/>
      </c>
    </row>
    <row r="427">
      <c r="A427" s="30" t="n"/>
      <c r="B427" s="30" t="n"/>
      <c r="C427" s="30" t="n"/>
      <c r="D427" s="30" t="n"/>
      <c r="E427" s="30" t="n"/>
      <c r="F427" s="30" t="n"/>
      <c r="G427" s="30" t="n"/>
      <c r="H427" s="31">
        <f>IF($A427="","",IFERROR(ROUND($C427*INDEX(tblKurallar[deger_2025],MATCH("TBO-001",tblKurallar[kural_id],0))+$D427*INDEX(tblKurallar[deger_2025],MATCH("TBO-002",tblKurallar[kural_id],0))+$E427*INDEX(tblKurallar[deger_2025],MATCH("TBO-004",tblKurallar[kural_id],0))+$F427*tbo_isverenOran,2),0))</f>
        <v/>
      </c>
      <c r="I427" s="31">
        <f>IF($A427="","",IFERROR(MAX(0,$H427-$G427),0))</f>
        <v/>
      </c>
    </row>
    <row r="428">
      <c r="A428" s="30" t="n"/>
      <c r="B428" s="30" t="n"/>
      <c r="C428" s="30" t="n"/>
      <c r="D428" s="30" t="n"/>
      <c r="E428" s="30" t="n"/>
      <c r="F428" s="30" t="n"/>
      <c r="G428" s="30" t="n"/>
      <c r="H428" s="31">
        <f>IF($A428="","",IFERROR(ROUND($C428*INDEX(tblKurallar[deger_2025],MATCH("TBO-001",tblKurallar[kural_id],0))+$D428*INDEX(tblKurallar[deger_2025],MATCH("TBO-002",tblKurallar[kural_id],0))+$E428*INDEX(tblKurallar[deger_2025],MATCH("TBO-004",tblKurallar[kural_id],0))+$F428*tbo_isverenOran,2),0))</f>
        <v/>
      </c>
      <c r="I428" s="31">
        <f>IF($A428="","",IFERROR(MAX(0,$H428-$G428),0))</f>
        <v/>
      </c>
    </row>
    <row r="429">
      <c r="A429" s="30" t="n"/>
      <c r="B429" s="30" t="n"/>
      <c r="C429" s="30" t="n"/>
      <c r="D429" s="30" t="n"/>
      <c r="E429" s="30" t="n"/>
      <c r="F429" s="30" t="n"/>
      <c r="G429" s="30" t="n"/>
      <c r="H429" s="31">
        <f>IF($A429="","",IFERROR(ROUND($C429*INDEX(tblKurallar[deger_2025],MATCH("TBO-001",tblKurallar[kural_id],0))+$D429*INDEX(tblKurallar[deger_2025],MATCH("TBO-002",tblKurallar[kural_id],0))+$E429*INDEX(tblKurallar[deger_2025],MATCH("TBO-004",tblKurallar[kural_id],0))+$F429*tbo_isverenOran,2),0))</f>
        <v/>
      </c>
      <c r="I429" s="31">
        <f>IF($A429="","",IFERROR(MAX(0,$H429-$G429),0))</f>
        <v/>
      </c>
    </row>
    <row r="430">
      <c r="A430" s="30" t="n"/>
      <c r="B430" s="30" t="n"/>
      <c r="C430" s="30" t="n"/>
      <c r="D430" s="30" t="n"/>
      <c r="E430" s="30" t="n"/>
      <c r="F430" s="30" t="n"/>
      <c r="G430" s="30" t="n"/>
      <c r="H430" s="31">
        <f>IF($A430="","",IFERROR(ROUND($C430*INDEX(tblKurallar[deger_2025],MATCH("TBO-001",tblKurallar[kural_id],0))+$D430*INDEX(tblKurallar[deger_2025],MATCH("TBO-002",tblKurallar[kural_id],0))+$E430*INDEX(tblKurallar[deger_2025],MATCH("TBO-004",tblKurallar[kural_id],0))+$F430*tbo_isverenOran,2),0))</f>
        <v/>
      </c>
      <c r="I430" s="31">
        <f>IF($A430="","",IFERROR(MAX(0,$H430-$G430),0))</f>
        <v/>
      </c>
    </row>
    <row r="431">
      <c r="A431" s="30" t="n"/>
      <c r="B431" s="30" t="n"/>
      <c r="C431" s="30" t="n"/>
      <c r="D431" s="30" t="n"/>
      <c r="E431" s="30" t="n"/>
      <c r="F431" s="30" t="n"/>
      <c r="G431" s="30" t="n"/>
      <c r="H431" s="31">
        <f>IF($A431="","",IFERROR(ROUND($C431*INDEX(tblKurallar[deger_2025],MATCH("TBO-001",tblKurallar[kural_id],0))+$D431*INDEX(tblKurallar[deger_2025],MATCH("TBO-002",tblKurallar[kural_id],0))+$E431*INDEX(tblKurallar[deger_2025],MATCH("TBO-004",tblKurallar[kural_id],0))+$F431*tbo_isverenOran,2),0))</f>
        <v/>
      </c>
      <c r="I431" s="31">
        <f>IF($A431="","",IFERROR(MAX(0,$H431-$G431),0))</f>
        <v/>
      </c>
    </row>
    <row r="432">
      <c r="A432" s="30" t="n"/>
      <c r="B432" s="30" t="n"/>
      <c r="C432" s="30" t="n"/>
      <c r="D432" s="30" t="n"/>
      <c r="E432" s="30" t="n"/>
      <c r="F432" s="30" t="n"/>
      <c r="G432" s="30" t="n"/>
      <c r="H432" s="31">
        <f>IF($A432="","",IFERROR(ROUND($C432*INDEX(tblKurallar[deger_2025],MATCH("TBO-001",tblKurallar[kural_id],0))+$D432*INDEX(tblKurallar[deger_2025],MATCH("TBO-002",tblKurallar[kural_id],0))+$E432*INDEX(tblKurallar[deger_2025],MATCH("TBO-004",tblKurallar[kural_id],0))+$F432*tbo_isverenOran,2),0))</f>
        <v/>
      </c>
      <c r="I432" s="31">
        <f>IF($A432="","",IFERROR(MAX(0,$H432-$G432),0))</f>
        <v/>
      </c>
    </row>
    <row r="433">
      <c r="A433" s="30" t="n"/>
      <c r="B433" s="30" t="n"/>
      <c r="C433" s="30" t="n"/>
      <c r="D433" s="30" t="n"/>
      <c r="E433" s="30" t="n"/>
      <c r="F433" s="30" t="n"/>
      <c r="G433" s="30" t="n"/>
      <c r="H433" s="31">
        <f>IF($A433="","",IFERROR(ROUND($C433*INDEX(tblKurallar[deger_2025],MATCH("TBO-001",tblKurallar[kural_id],0))+$D433*INDEX(tblKurallar[deger_2025],MATCH("TBO-002",tblKurallar[kural_id],0))+$E433*INDEX(tblKurallar[deger_2025],MATCH("TBO-004",tblKurallar[kural_id],0))+$F433*tbo_isverenOran,2),0))</f>
        <v/>
      </c>
      <c r="I433" s="31">
        <f>IF($A433="","",IFERROR(MAX(0,$H433-$G433),0))</f>
        <v/>
      </c>
    </row>
    <row r="434">
      <c r="A434" s="30" t="n"/>
      <c r="B434" s="30" t="n"/>
      <c r="C434" s="30" t="n"/>
      <c r="D434" s="30" t="n"/>
      <c r="E434" s="30" t="n"/>
      <c r="F434" s="30" t="n"/>
      <c r="G434" s="30" t="n"/>
      <c r="H434" s="31">
        <f>IF($A434="","",IFERROR(ROUND($C434*INDEX(tblKurallar[deger_2025],MATCH("TBO-001",tblKurallar[kural_id],0))+$D434*INDEX(tblKurallar[deger_2025],MATCH("TBO-002",tblKurallar[kural_id],0))+$E434*INDEX(tblKurallar[deger_2025],MATCH("TBO-004",tblKurallar[kural_id],0))+$F434*tbo_isverenOran,2),0))</f>
        <v/>
      </c>
      <c r="I434" s="31">
        <f>IF($A434="","",IFERROR(MAX(0,$H434-$G434),0))</f>
        <v/>
      </c>
    </row>
    <row r="435">
      <c r="A435" s="30" t="n"/>
      <c r="B435" s="30" t="n"/>
      <c r="C435" s="30" t="n"/>
      <c r="D435" s="30" t="n"/>
      <c r="E435" s="30" t="n"/>
      <c r="F435" s="30" t="n"/>
      <c r="G435" s="30" t="n"/>
      <c r="H435" s="31">
        <f>IF($A435="","",IFERROR(ROUND($C435*INDEX(tblKurallar[deger_2025],MATCH("TBO-001",tblKurallar[kural_id],0))+$D435*INDEX(tblKurallar[deger_2025],MATCH("TBO-002",tblKurallar[kural_id],0))+$E435*INDEX(tblKurallar[deger_2025],MATCH("TBO-004",tblKurallar[kural_id],0))+$F435*tbo_isverenOran,2),0))</f>
        <v/>
      </c>
      <c r="I435" s="31">
        <f>IF($A435="","",IFERROR(MAX(0,$H435-$G435),0))</f>
        <v/>
      </c>
    </row>
    <row r="436">
      <c r="A436" s="30" t="n"/>
      <c r="B436" s="30" t="n"/>
      <c r="C436" s="30" t="n"/>
      <c r="D436" s="30" t="n"/>
      <c r="E436" s="30" t="n"/>
      <c r="F436" s="30" t="n"/>
      <c r="G436" s="30" t="n"/>
      <c r="H436" s="31">
        <f>IF($A436="","",IFERROR(ROUND($C436*INDEX(tblKurallar[deger_2025],MATCH("TBO-001",tblKurallar[kural_id],0))+$D436*INDEX(tblKurallar[deger_2025],MATCH("TBO-002",tblKurallar[kural_id],0))+$E436*INDEX(tblKurallar[deger_2025],MATCH("TBO-004",tblKurallar[kural_id],0))+$F436*tbo_isverenOran,2),0))</f>
        <v/>
      </c>
      <c r="I436" s="31">
        <f>IF($A436="","",IFERROR(MAX(0,$H436-$G436),0))</f>
        <v/>
      </c>
    </row>
    <row r="437">
      <c r="A437" s="30" t="n"/>
      <c r="B437" s="30" t="n"/>
      <c r="C437" s="30" t="n"/>
      <c r="D437" s="30" t="n"/>
      <c r="E437" s="30" t="n"/>
      <c r="F437" s="30" t="n"/>
      <c r="G437" s="30" t="n"/>
      <c r="H437" s="31">
        <f>IF($A437="","",IFERROR(ROUND($C437*INDEX(tblKurallar[deger_2025],MATCH("TBO-001",tblKurallar[kural_id],0))+$D437*INDEX(tblKurallar[deger_2025],MATCH("TBO-002",tblKurallar[kural_id],0))+$E437*INDEX(tblKurallar[deger_2025],MATCH("TBO-004",tblKurallar[kural_id],0))+$F437*tbo_isverenOran,2),0))</f>
        <v/>
      </c>
      <c r="I437" s="31">
        <f>IF($A437="","",IFERROR(MAX(0,$H437-$G437),0))</f>
        <v/>
      </c>
    </row>
    <row r="438">
      <c r="A438" s="30" t="n"/>
      <c r="B438" s="30" t="n"/>
      <c r="C438" s="30" t="n"/>
      <c r="D438" s="30" t="n"/>
      <c r="E438" s="30" t="n"/>
      <c r="F438" s="30" t="n"/>
      <c r="G438" s="30" t="n"/>
      <c r="H438" s="31">
        <f>IF($A438="","",IFERROR(ROUND($C438*INDEX(tblKurallar[deger_2025],MATCH("TBO-001",tblKurallar[kural_id],0))+$D438*INDEX(tblKurallar[deger_2025],MATCH("TBO-002",tblKurallar[kural_id],0))+$E438*INDEX(tblKurallar[deger_2025],MATCH("TBO-004",tblKurallar[kural_id],0))+$F438*tbo_isverenOran,2),0))</f>
        <v/>
      </c>
      <c r="I438" s="31">
        <f>IF($A438="","",IFERROR(MAX(0,$H438-$G438),0))</f>
        <v/>
      </c>
    </row>
    <row r="439">
      <c r="A439" s="30" t="n"/>
      <c r="B439" s="30" t="n"/>
      <c r="C439" s="30" t="n"/>
      <c r="D439" s="30" t="n"/>
      <c r="E439" s="30" t="n"/>
      <c r="F439" s="30" t="n"/>
      <c r="G439" s="30" t="n"/>
      <c r="H439" s="31">
        <f>IF($A439="","",IFERROR(ROUND($C439*INDEX(tblKurallar[deger_2025],MATCH("TBO-001",tblKurallar[kural_id],0))+$D439*INDEX(tblKurallar[deger_2025],MATCH("TBO-002",tblKurallar[kural_id],0))+$E439*INDEX(tblKurallar[deger_2025],MATCH("TBO-004",tblKurallar[kural_id],0))+$F439*tbo_isverenOran,2),0))</f>
        <v/>
      </c>
      <c r="I439" s="31">
        <f>IF($A439="","",IFERROR(MAX(0,$H439-$G439),0))</f>
        <v/>
      </c>
    </row>
    <row r="440">
      <c r="A440" s="30" t="n"/>
      <c r="B440" s="30" t="n"/>
      <c r="C440" s="30" t="n"/>
      <c r="D440" s="30" t="n"/>
      <c r="E440" s="30" t="n"/>
      <c r="F440" s="30" t="n"/>
      <c r="G440" s="30" t="n"/>
      <c r="H440" s="31">
        <f>IF($A440="","",IFERROR(ROUND($C440*INDEX(tblKurallar[deger_2025],MATCH("TBO-001",tblKurallar[kural_id],0))+$D440*INDEX(tblKurallar[deger_2025],MATCH("TBO-002",tblKurallar[kural_id],0))+$E440*INDEX(tblKurallar[deger_2025],MATCH("TBO-004",tblKurallar[kural_id],0))+$F440*tbo_isverenOran,2),0))</f>
        <v/>
      </c>
      <c r="I440" s="31">
        <f>IF($A440="","",IFERROR(MAX(0,$H440-$G440),0))</f>
        <v/>
      </c>
    </row>
    <row r="441">
      <c r="A441" s="30" t="n"/>
      <c r="B441" s="30" t="n"/>
      <c r="C441" s="30" t="n"/>
      <c r="D441" s="30" t="n"/>
      <c r="E441" s="30" t="n"/>
      <c r="F441" s="30" t="n"/>
      <c r="G441" s="30" t="n"/>
      <c r="H441" s="31">
        <f>IF($A441="","",IFERROR(ROUND($C441*INDEX(tblKurallar[deger_2025],MATCH("TBO-001",tblKurallar[kural_id],0))+$D441*INDEX(tblKurallar[deger_2025],MATCH("TBO-002",tblKurallar[kural_id],0))+$E441*INDEX(tblKurallar[deger_2025],MATCH("TBO-004",tblKurallar[kural_id],0))+$F441*tbo_isverenOran,2),0))</f>
        <v/>
      </c>
      <c r="I441" s="31">
        <f>IF($A441="","",IFERROR(MAX(0,$H441-$G441),0))</f>
        <v/>
      </c>
    </row>
    <row r="442">
      <c r="A442" s="30" t="n"/>
      <c r="B442" s="30" t="n"/>
      <c r="C442" s="30" t="n"/>
      <c r="D442" s="30" t="n"/>
      <c r="E442" s="30" t="n"/>
      <c r="F442" s="30" t="n"/>
      <c r="G442" s="30" t="n"/>
      <c r="H442" s="31">
        <f>IF($A442="","",IFERROR(ROUND($C442*INDEX(tblKurallar[deger_2025],MATCH("TBO-001",tblKurallar[kural_id],0))+$D442*INDEX(tblKurallar[deger_2025],MATCH("TBO-002",tblKurallar[kural_id],0))+$E442*INDEX(tblKurallar[deger_2025],MATCH("TBO-004",tblKurallar[kural_id],0))+$F442*tbo_isverenOran,2),0))</f>
        <v/>
      </c>
      <c r="I442" s="31">
        <f>IF($A442="","",IFERROR(MAX(0,$H442-$G442),0))</f>
        <v/>
      </c>
    </row>
    <row r="443">
      <c r="A443" s="30" t="n"/>
      <c r="B443" s="30" t="n"/>
      <c r="C443" s="30" t="n"/>
      <c r="D443" s="30" t="n"/>
      <c r="E443" s="30" t="n"/>
      <c r="F443" s="30" t="n"/>
      <c r="G443" s="30" t="n"/>
      <c r="H443" s="31">
        <f>IF($A443="","",IFERROR(ROUND($C443*INDEX(tblKurallar[deger_2025],MATCH("TBO-001",tblKurallar[kural_id],0))+$D443*INDEX(tblKurallar[deger_2025],MATCH("TBO-002",tblKurallar[kural_id],0))+$E443*INDEX(tblKurallar[deger_2025],MATCH("TBO-004",tblKurallar[kural_id],0))+$F443*tbo_isverenOran,2),0))</f>
        <v/>
      </c>
      <c r="I443" s="31">
        <f>IF($A443="","",IFERROR(MAX(0,$H443-$G443),0))</f>
        <v/>
      </c>
    </row>
    <row r="444">
      <c r="A444" s="30" t="n"/>
      <c r="B444" s="30" t="n"/>
      <c r="C444" s="30" t="n"/>
      <c r="D444" s="30" t="n"/>
      <c r="E444" s="30" t="n"/>
      <c r="F444" s="30" t="n"/>
      <c r="G444" s="30" t="n"/>
      <c r="H444" s="31">
        <f>IF($A444="","",IFERROR(ROUND($C444*INDEX(tblKurallar[deger_2025],MATCH("TBO-001",tblKurallar[kural_id],0))+$D444*INDEX(tblKurallar[deger_2025],MATCH("TBO-002",tblKurallar[kural_id],0))+$E444*INDEX(tblKurallar[deger_2025],MATCH("TBO-004",tblKurallar[kural_id],0))+$F444*tbo_isverenOran,2),0))</f>
        <v/>
      </c>
      <c r="I444" s="31">
        <f>IF($A444="","",IFERROR(MAX(0,$H444-$G444),0))</f>
        <v/>
      </c>
    </row>
    <row r="445">
      <c r="A445" s="30" t="n"/>
      <c r="B445" s="30" t="n"/>
      <c r="C445" s="30" t="n"/>
      <c r="D445" s="30" t="n"/>
      <c r="E445" s="30" t="n"/>
      <c r="F445" s="30" t="n"/>
      <c r="G445" s="30" t="n"/>
      <c r="H445" s="31">
        <f>IF($A445="","",IFERROR(ROUND($C445*INDEX(tblKurallar[deger_2025],MATCH("TBO-001",tblKurallar[kural_id],0))+$D445*INDEX(tblKurallar[deger_2025],MATCH("TBO-002",tblKurallar[kural_id],0))+$E445*INDEX(tblKurallar[deger_2025],MATCH("TBO-004",tblKurallar[kural_id],0))+$F445*tbo_isverenOran,2),0))</f>
        <v/>
      </c>
      <c r="I445" s="31">
        <f>IF($A445="","",IFERROR(MAX(0,$H445-$G445),0))</f>
        <v/>
      </c>
    </row>
    <row r="446">
      <c r="A446" s="30" t="n"/>
      <c r="B446" s="30" t="n"/>
      <c r="C446" s="30" t="n"/>
      <c r="D446" s="30" t="n"/>
      <c r="E446" s="30" t="n"/>
      <c r="F446" s="30" t="n"/>
      <c r="G446" s="30" t="n"/>
      <c r="H446" s="31">
        <f>IF($A446="","",IFERROR(ROUND($C446*INDEX(tblKurallar[deger_2025],MATCH("TBO-001",tblKurallar[kural_id],0))+$D446*INDEX(tblKurallar[deger_2025],MATCH("TBO-002",tblKurallar[kural_id],0))+$E446*INDEX(tblKurallar[deger_2025],MATCH("TBO-004",tblKurallar[kural_id],0))+$F446*tbo_isverenOran,2),0))</f>
        <v/>
      </c>
      <c r="I446" s="31">
        <f>IF($A446="","",IFERROR(MAX(0,$H446-$G446),0))</f>
        <v/>
      </c>
    </row>
    <row r="447">
      <c r="A447" s="30" t="n"/>
      <c r="B447" s="30" t="n"/>
      <c r="C447" s="30" t="n"/>
      <c r="D447" s="30" t="n"/>
      <c r="E447" s="30" t="n"/>
      <c r="F447" s="30" t="n"/>
      <c r="G447" s="30" t="n"/>
      <c r="H447" s="31">
        <f>IF($A447="","",IFERROR(ROUND($C447*INDEX(tblKurallar[deger_2025],MATCH("TBO-001",tblKurallar[kural_id],0))+$D447*INDEX(tblKurallar[deger_2025],MATCH("TBO-002",tblKurallar[kural_id],0))+$E447*INDEX(tblKurallar[deger_2025],MATCH("TBO-004",tblKurallar[kural_id],0))+$F447*tbo_isverenOran,2),0))</f>
        <v/>
      </c>
      <c r="I447" s="31">
        <f>IF($A447="","",IFERROR(MAX(0,$H447-$G447),0))</f>
        <v/>
      </c>
    </row>
    <row r="448">
      <c r="A448" s="30" t="n"/>
      <c r="B448" s="30" t="n"/>
      <c r="C448" s="30" t="n"/>
      <c r="D448" s="30" t="n"/>
      <c r="E448" s="30" t="n"/>
      <c r="F448" s="30" t="n"/>
      <c r="G448" s="30" t="n"/>
      <c r="H448" s="31">
        <f>IF($A448="","",IFERROR(ROUND($C448*INDEX(tblKurallar[deger_2025],MATCH("TBO-001",tblKurallar[kural_id],0))+$D448*INDEX(tblKurallar[deger_2025],MATCH("TBO-002",tblKurallar[kural_id],0))+$E448*INDEX(tblKurallar[deger_2025],MATCH("TBO-004",tblKurallar[kural_id],0))+$F448*tbo_isverenOran,2),0))</f>
        <v/>
      </c>
      <c r="I448" s="31">
        <f>IF($A448="","",IFERROR(MAX(0,$H448-$G448),0))</f>
        <v/>
      </c>
    </row>
    <row r="449">
      <c r="A449" s="30" t="n"/>
      <c r="B449" s="30" t="n"/>
      <c r="C449" s="30" t="n"/>
      <c r="D449" s="30" t="n"/>
      <c r="E449" s="30" t="n"/>
      <c r="F449" s="30" t="n"/>
      <c r="G449" s="30" t="n"/>
      <c r="H449" s="31">
        <f>IF($A449="","",IFERROR(ROUND($C449*INDEX(tblKurallar[deger_2025],MATCH("TBO-001",tblKurallar[kural_id],0))+$D449*INDEX(tblKurallar[deger_2025],MATCH("TBO-002",tblKurallar[kural_id],0))+$E449*INDEX(tblKurallar[deger_2025],MATCH("TBO-004",tblKurallar[kural_id],0))+$F449*tbo_isverenOran,2),0))</f>
        <v/>
      </c>
      <c r="I449" s="31">
        <f>IF($A449="","",IFERROR(MAX(0,$H449-$G449),0))</f>
        <v/>
      </c>
    </row>
    <row r="450">
      <c r="A450" s="30" t="n"/>
      <c r="B450" s="30" t="n"/>
      <c r="C450" s="30" t="n"/>
      <c r="D450" s="30" t="n"/>
      <c r="E450" s="30" t="n"/>
      <c r="F450" s="30" t="n"/>
      <c r="G450" s="30" t="n"/>
      <c r="H450" s="31">
        <f>IF($A450="","",IFERROR(ROUND($C450*INDEX(tblKurallar[deger_2025],MATCH("TBO-001",tblKurallar[kural_id],0))+$D450*INDEX(tblKurallar[deger_2025],MATCH("TBO-002",tblKurallar[kural_id],0))+$E450*INDEX(tblKurallar[deger_2025],MATCH("TBO-004",tblKurallar[kural_id],0))+$F450*tbo_isverenOran,2),0))</f>
        <v/>
      </c>
      <c r="I450" s="31">
        <f>IF($A450="","",IFERROR(MAX(0,$H450-$G450),0))</f>
        <v/>
      </c>
    </row>
    <row r="451">
      <c r="A451" s="30" t="n"/>
      <c r="B451" s="30" t="n"/>
      <c r="C451" s="30" t="n"/>
      <c r="D451" s="30" t="n"/>
      <c r="E451" s="30" t="n"/>
      <c r="F451" s="30" t="n"/>
      <c r="G451" s="30" t="n"/>
      <c r="H451" s="31">
        <f>IF($A451="","",IFERROR(ROUND($C451*INDEX(tblKurallar[deger_2025],MATCH("TBO-001",tblKurallar[kural_id],0))+$D451*INDEX(tblKurallar[deger_2025],MATCH("TBO-002",tblKurallar[kural_id],0))+$E451*INDEX(tblKurallar[deger_2025],MATCH("TBO-004",tblKurallar[kural_id],0))+$F451*tbo_isverenOran,2),0))</f>
        <v/>
      </c>
      <c r="I451" s="31">
        <f>IF($A451="","",IFERROR(MAX(0,$H451-$G451),0))</f>
        <v/>
      </c>
    </row>
    <row r="452">
      <c r="A452" s="30" t="n"/>
      <c r="B452" s="30" t="n"/>
      <c r="C452" s="30" t="n"/>
      <c r="D452" s="30" t="n"/>
      <c r="E452" s="30" t="n"/>
      <c r="F452" s="30" t="n"/>
      <c r="G452" s="30" t="n"/>
      <c r="H452" s="31">
        <f>IF($A452="","",IFERROR(ROUND($C452*INDEX(tblKurallar[deger_2025],MATCH("TBO-001",tblKurallar[kural_id],0))+$D452*INDEX(tblKurallar[deger_2025],MATCH("TBO-002",tblKurallar[kural_id],0))+$E452*INDEX(tblKurallar[deger_2025],MATCH("TBO-004",tblKurallar[kural_id],0))+$F452*tbo_isverenOran,2),0))</f>
        <v/>
      </c>
      <c r="I452" s="31">
        <f>IF($A452="","",IFERROR(MAX(0,$H452-$G452),0))</f>
        <v/>
      </c>
    </row>
    <row r="453">
      <c r="A453" s="30" t="n"/>
      <c r="B453" s="30" t="n"/>
      <c r="C453" s="30" t="n"/>
      <c r="D453" s="30" t="n"/>
      <c r="E453" s="30" t="n"/>
      <c r="F453" s="30" t="n"/>
      <c r="G453" s="30" t="n"/>
      <c r="H453" s="31">
        <f>IF($A453="","",IFERROR(ROUND($C453*INDEX(tblKurallar[deger_2025],MATCH("TBO-001",tblKurallar[kural_id],0))+$D453*INDEX(tblKurallar[deger_2025],MATCH("TBO-002",tblKurallar[kural_id],0))+$E453*INDEX(tblKurallar[deger_2025],MATCH("TBO-004",tblKurallar[kural_id],0))+$F453*tbo_isverenOran,2),0))</f>
        <v/>
      </c>
      <c r="I453" s="31">
        <f>IF($A453="","",IFERROR(MAX(0,$H453-$G453),0))</f>
        <v/>
      </c>
    </row>
    <row r="454">
      <c r="A454" s="30" t="n"/>
      <c r="B454" s="30" t="n"/>
      <c r="C454" s="30" t="n"/>
      <c r="D454" s="30" t="n"/>
      <c r="E454" s="30" t="n"/>
      <c r="F454" s="30" t="n"/>
      <c r="G454" s="30" t="n"/>
      <c r="H454" s="31">
        <f>IF($A454="","",IFERROR(ROUND($C454*INDEX(tblKurallar[deger_2025],MATCH("TBO-001",tblKurallar[kural_id],0))+$D454*INDEX(tblKurallar[deger_2025],MATCH("TBO-002",tblKurallar[kural_id],0))+$E454*INDEX(tblKurallar[deger_2025],MATCH("TBO-004",tblKurallar[kural_id],0))+$F454*tbo_isverenOran,2),0))</f>
        <v/>
      </c>
      <c r="I454" s="31">
        <f>IF($A454="","",IFERROR(MAX(0,$H454-$G454),0))</f>
        <v/>
      </c>
    </row>
    <row r="455">
      <c r="A455" s="30" t="n"/>
      <c r="B455" s="30" t="n"/>
      <c r="C455" s="30" t="n"/>
      <c r="D455" s="30" t="n"/>
      <c r="E455" s="30" t="n"/>
      <c r="F455" s="30" t="n"/>
      <c r="G455" s="30" t="n"/>
      <c r="H455" s="31">
        <f>IF($A455="","",IFERROR(ROUND($C455*INDEX(tblKurallar[deger_2025],MATCH("TBO-001",tblKurallar[kural_id],0))+$D455*INDEX(tblKurallar[deger_2025],MATCH("TBO-002",tblKurallar[kural_id],0))+$E455*INDEX(tblKurallar[deger_2025],MATCH("TBO-004",tblKurallar[kural_id],0))+$F455*tbo_isverenOran,2),0))</f>
        <v/>
      </c>
      <c r="I455" s="31">
        <f>IF($A455="","",IFERROR(MAX(0,$H455-$G455),0))</f>
        <v/>
      </c>
    </row>
    <row r="456">
      <c r="A456" s="30" t="n"/>
      <c r="B456" s="30" t="n"/>
      <c r="C456" s="30" t="n"/>
      <c r="D456" s="30" t="n"/>
      <c r="E456" s="30" t="n"/>
      <c r="F456" s="30" t="n"/>
      <c r="G456" s="30" t="n"/>
      <c r="H456" s="31">
        <f>IF($A456="","",IFERROR(ROUND($C456*INDEX(tblKurallar[deger_2025],MATCH("TBO-001",tblKurallar[kural_id],0))+$D456*INDEX(tblKurallar[deger_2025],MATCH("TBO-002",tblKurallar[kural_id],0))+$E456*INDEX(tblKurallar[deger_2025],MATCH("TBO-004",tblKurallar[kural_id],0))+$F456*tbo_isverenOran,2),0))</f>
        <v/>
      </c>
      <c r="I456" s="31">
        <f>IF($A456="","",IFERROR(MAX(0,$H456-$G456),0))</f>
        <v/>
      </c>
    </row>
    <row r="457">
      <c r="A457" s="30" t="n"/>
      <c r="B457" s="30" t="n"/>
      <c r="C457" s="30" t="n"/>
      <c r="D457" s="30" t="n"/>
      <c r="E457" s="30" t="n"/>
      <c r="F457" s="30" t="n"/>
      <c r="G457" s="30" t="n"/>
      <c r="H457" s="31">
        <f>IF($A457="","",IFERROR(ROUND($C457*INDEX(tblKurallar[deger_2025],MATCH("TBO-001",tblKurallar[kural_id],0))+$D457*INDEX(tblKurallar[deger_2025],MATCH("TBO-002",tblKurallar[kural_id],0))+$E457*INDEX(tblKurallar[deger_2025],MATCH("TBO-004",tblKurallar[kural_id],0))+$F457*tbo_isverenOran,2),0))</f>
        <v/>
      </c>
      <c r="I457" s="31">
        <f>IF($A457="","",IFERROR(MAX(0,$H457-$G457),0))</f>
        <v/>
      </c>
    </row>
    <row r="458">
      <c r="A458" s="30" t="n"/>
      <c r="B458" s="30" t="n"/>
      <c r="C458" s="30" t="n"/>
      <c r="D458" s="30" t="n"/>
      <c r="E458" s="30" t="n"/>
      <c r="F458" s="30" t="n"/>
      <c r="G458" s="30" t="n"/>
      <c r="H458" s="31">
        <f>IF($A458="","",IFERROR(ROUND($C458*INDEX(tblKurallar[deger_2025],MATCH("TBO-001",tblKurallar[kural_id],0))+$D458*INDEX(tblKurallar[deger_2025],MATCH("TBO-002",tblKurallar[kural_id],0))+$E458*INDEX(tblKurallar[deger_2025],MATCH("TBO-004",tblKurallar[kural_id],0))+$F458*tbo_isverenOran,2),0))</f>
        <v/>
      </c>
      <c r="I458" s="31">
        <f>IF($A458="","",IFERROR(MAX(0,$H458-$G458),0))</f>
        <v/>
      </c>
    </row>
    <row r="459">
      <c r="A459" s="30" t="n"/>
      <c r="B459" s="30" t="n"/>
      <c r="C459" s="30" t="n"/>
      <c r="D459" s="30" t="n"/>
      <c r="E459" s="30" t="n"/>
      <c r="F459" s="30" t="n"/>
      <c r="G459" s="30" t="n"/>
      <c r="H459" s="31">
        <f>IF($A459="","",IFERROR(ROUND($C459*INDEX(tblKurallar[deger_2025],MATCH("TBO-001",tblKurallar[kural_id],0))+$D459*INDEX(tblKurallar[deger_2025],MATCH("TBO-002",tblKurallar[kural_id],0))+$E459*INDEX(tblKurallar[deger_2025],MATCH("TBO-004",tblKurallar[kural_id],0))+$F459*tbo_isverenOran,2),0))</f>
        <v/>
      </c>
      <c r="I459" s="31">
        <f>IF($A459="","",IFERROR(MAX(0,$H459-$G459),0))</f>
        <v/>
      </c>
    </row>
    <row r="460">
      <c r="A460" s="30" t="n"/>
      <c r="B460" s="30" t="n"/>
      <c r="C460" s="30" t="n"/>
      <c r="D460" s="30" t="n"/>
      <c r="E460" s="30" t="n"/>
      <c r="F460" s="30" t="n"/>
      <c r="G460" s="30" t="n"/>
      <c r="H460" s="31">
        <f>IF($A460="","",IFERROR(ROUND($C460*INDEX(tblKurallar[deger_2025],MATCH("TBO-001",tblKurallar[kural_id],0))+$D460*INDEX(tblKurallar[deger_2025],MATCH("TBO-002",tblKurallar[kural_id],0))+$E460*INDEX(tblKurallar[deger_2025],MATCH("TBO-004",tblKurallar[kural_id],0))+$F460*tbo_isverenOran,2),0))</f>
        <v/>
      </c>
      <c r="I460" s="31">
        <f>IF($A460="","",IFERROR(MAX(0,$H460-$G460),0))</f>
        <v/>
      </c>
    </row>
    <row r="461">
      <c r="A461" s="30" t="n"/>
      <c r="B461" s="30" t="n"/>
      <c r="C461" s="30" t="n"/>
      <c r="D461" s="30" t="n"/>
      <c r="E461" s="30" t="n"/>
      <c r="F461" s="30" t="n"/>
      <c r="G461" s="30" t="n"/>
      <c r="H461" s="31">
        <f>IF($A461="","",IFERROR(ROUND($C461*INDEX(tblKurallar[deger_2025],MATCH("TBO-001",tblKurallar[kural_id],0))+$D461*INDEX(tblKurallar[deger_2025],MATCH("TBO-002",tblKurallar[kural_id],0))+$E461*INDEX(tblKurallar[deger_2025],MATCH("TBO-004",tblKurallar[kural_id],0))+$F461*tbo_isverenOran,2),0))</f>
        <v/>
      </c>
      <c r="I461" s="31">
        <f>IF($A461="","",IFERROR(MAX(0,$H461-$G461),0))</f>
        <v/>
      </c>
    </row>
    <row r="462">
      <c r="A462" s="30" t="n"/>
      <c r="B462" s="30" t="n"/>
      <c r="C462" s="30" t="n"/>
      <c r="D462" s="30" t="n"/>
      <c r="E462" s="30" t="n"/>
      <c r="F462" s="30" t="n"/>
      <c r="G462" s="30" t="n"/>
      <c r="H462" s="31">
        <f>IF($A462="","",IFERROR(ROUND($C462*INDEX(tblKurallar[deger_2025],MATCH("TBO-001",tblKurallar[kural_id],0))+$D462*INDEX(tblKurallar[deger_2025],MATCH("TBO-002",tblKurallar[kural_id],0))+$E462*INDEX(tblKurallar[deger_2025],MATCH("TBO-004",tblKurallar[kural_id],0))+$F462*tbo_isverenOran,2),0))</f>
        <v/>
      </c>
      <c r="I462" s="31">
        <f>IF($A462="","",IFERROR(MAX(0,$H462-$G462),0))</f>
        <v/>
      </c>
    </row>
    <row r="463">
      <c r="A463" s="30" t="n"/>
      <c r="B463" s="30" t="n"/>
      <c r="C463" s="30" t="n"/>
      <c r="D463" s="30" t="n"/>
      <c r="E463" s="30" t="n"/>
      <c r="F463" s="30" t="n"/>
      <c r="G463" s="30" t="n"/>
      <c r="H463" s="31">
        <f>IF($A463="","",IFERROR(ROUND($C463*INDEX(tblKurallar[deger_2025],MATCH("TBO-001",tblKurallar[kural_id],0))+$D463*INDEX(tblKurallar[deger_2025],MATCH("TBO-002",tblKurallar[kural_id],0))+$E463*INDEX(tblKurallar[deger_2025],MATCH("TBO-004",tblKurallar[kural_id],0))+$F463*tbo_isverenOran,2),0))</f>
        <v/>
      </c>
      <c r="I463" s="31">
        <f>IF($A463="","",IFERROR(MAX(0,$H463-$G463),0))</f>
        <v/>
      </c>
    </row>
    <row r="464">
      <c r="A464" s="30" t="n"/>
      <c r="B464" s="30" t="n"/>
      <c r="C464" s="30" t="n"/>
      <c r="D464" s="30" t="n"/>
      <c r="E464" s="30" t="n"/>
      <c r="F464" s="30" t="n"/>
      <c r="G464" s="30" t="n"/>
      <c r="H464" s="31">
        <f>IF($A464="","",IFERROR(ROUND($C464*INDEX(tblKurallar[deger_2025],MATCH("TBO-001",tblKurallar[kural_id],0))+$D464*INDEX(tblKurallar[deger_2025],MATCH("TBO-002",tblKurallar[kural_id],0))+$E464*INDEX(tblKurallar[deger_2025],MATCH("TBO-004",tblKurallar[kural_id],0))+$F464*tbo_isverenOran,2),0))</f>
        <v/>
      </c>
      <c r="I464" s="31">
        <f>IF($A464="","",IFERROR(MAX(0,$H464-$G464),0))</f>
        <v/>
      </c>
    </row>
    <row r="465">
      <c r="A465" s="30" t="n"/>
      <c r="B465" s="30" t="n"/>
      <c r="C465" s="30" t="n"/>
      <c r="D465" s="30" t="n"/>
      <c r="E465" s="30" t="n"/>
      <c r="F465" s="30" t="n"/>
      <c r="G465" s="30" t="n"/>
      <c r="H465" s="31">
        <f>IF($A465="","",IFERROR(ROUND($C465*INDEX(tblKurallar[deger_2025],MATCH("TBO-001",tblKurallar[kural_id],0))+$D465*INDEX(tblKurallar[deger_2025],MATCH("TBO-002",tblKurallar[kural_id],0))+$E465*INDEX(tblKurallar[deger_2025],MATCH("TBO-004",tblKurallar[kural_id],0))+$F465*tbo_isverenOran,2),0))</f>
        <v/>
      </c>
      <c r="I465" s="31">
        <f>IF($A465="","",IFERROR(MAX(0,$H465-$G465),0))</f>
        <v/>
      </c>
    </row>
    <row r="466">
      <c r="A466" s="30" t="n"/>
      <c r="B466" s="30" t="n"/>
      <c r="C466" s="30" t="n"/>
      <c r="D466" s="30" t="n"/>
      <c r="E466" s="30" t="n"/>
      <c r="F466" s="30" t="n"/>
      <c r="G466" s="30" t="n"/>
      <c r="H466" s="31">
        <f>IF($A466="","",IFERROR(ROUND($C466*INDEX(tblKurallar[deger_2025],MATCH("TBO-001",tblKurallar[kural_id],0))+$D466*INDEX(tblKurallar[deger_2025],MATCH("TBO-002",tblKurallar[kural_id],0))+$E466*INDEX(tblKurallar[deger_2025],MATCH("TBO-004",tblKurallar[kural_id],0))+$F466*tbo_isverenOran,2),0))</f>
        <v/>
      </c>
      <c r="I466" s="31">
        <f>IF($A466="","",IFERROR(MAX(0,$H466-$G466),0))</f>
        <v/>
      </c>
    </row>
    <row r="467">
      <c r="A467" s="30" t="n"/>
      <c r="B467" s="30" t="n"/>
      <c r="C467" s="30" t="n"/>
      <c r="D467" s="30" t="n"/>
      <c r="E467" s="30" t="n"/>
      <c r="F467" s="30" t="n"/>
      <c r="G467" s="30" t="n"/>
      <c r="H467" s="31">
        <f>IF($A467="","",IFERROR(ROUND($C467*INDEX(tblKurallar[deger_2025],MATCH("TBO-001",tblKurallar[kural_id],0))+$D467*INDEX(tblKurallar[deger_2025],MATCH("TBO-002",tblKurallar[kural_id],0))+$E467*INDEX(tblKurallar[deger_2025],MATCH("TBO-004",tblKurallar[kural_id],0))+$F467*tbo_isverenOran,2),0))</f>
        <v/>
      </c>
      <c r="I467" s="31">
        <f>IF($A467="","",IFERROR(MAX(0,$H467-$G467),0))</f>
        <v/>
      </c>
    </row>
    <row r="468">
      <c r="A468" s="30" t="n"/>
      <c r="B468" s="30" t="n"/>
      <c r="C468" s="30" t="n"/>
      <c r="D468" s="30" t="n"/>
      <c r="E468" s="30" t="n"/>
      <c r="F468" s="30" t="n"/>
      <c r="G468" s="30" t="n"/>
      <c r="H468" s="31">
        <f>IF($A468="","",IFERROR(ROUND($C468*INDEX(tblKurallar[deger_2025],MATCH("TBO-001",tblKurallar[kural_id],0))+$D468*INDEX(tblKurallar[deger_2025],MATCH("TBO-002",tblKurallar[kural_id],0))+$E468*INDEX(tblKurallar[deger_2025],MATCH("TBO-004",tblKurallar[kural_id],0))+$F468*tbo_isverenOran,2),0))</f>
        <v/>
      </c>
      <c r="I468" s="31">
        <f>IF($A468="","",IFERROR(MAX(0,$H468-$G468),0))</f>
        <v/>
      </c>
    </row>
    <row r="469">
      <c r="A469" s="30" t="n"/>
      <c r="B469" s="30" t="n"/>
      <c r="C469" s="30" t="n"/>
      <c r="D469" s="30" t="n"/>
      <c r="E469" s="30" t="n"/>
      <c r="F469" s="30" t="n"/>
      <c r="G469" s="30" t="n"/>
      <c r="H469" s="31">
        <f>IF($A469="","",IFERROR(ROUND($C469*INDEX(tblKurallar[deger_2025],MATCH("TBO-001",tblKurallar[kural_id],0))+$D469*INDEX(tblKurallar[deger_2025],MATCH("TBO-002",tblKurallar[kural_id],0))+$E469*INDEX(tblKurallar[deger_2025],MATCH("TBO-004",tblKurallar[kural_id],0))+$F469*tbo_isverenOran,2),0))</f>
        <v/>
      </c>
      <c r="I469" s="31">
        <f>IF($A469="","",IFERROR(MAX(0,$H469-$G469),0))</f>
        <v/>
      </c>
    </row>
    <row r="470">
      <c r="A470" s="30" t="n"/>
      <c r="B470" s="30" t="n"/>
      <c r="C470" s="30" t="n"/>
      <c r="D470" s="30" t="n"/>
      <c r="E470" s="30" t="n"/>
      <c r="F470" s="30" t="n"/>
      <c r="G470" s="30" t="n"/>
      <c r="H470" s="31">
        <f>IF($A470="","",IFERROR(ROUND($C470*INDEX(tblKurallar[deger_2025],MATCH("TBO-001",tblKurallar[kural_id],0))+$D470*INDEX(tblKurallar[deger_2025],MATCH("TBO-002",tblKurallar[kural_id],0))+$E470*INDEX(tblKurallar[deger_2025],MATCH("TBO-004",tblKurallar[kural_id],0))+$F470*tbo_isverenOran,2),0))</f>
        <v/>
      </c>
      <c r="I470" s="31">
        <f>IF($A470="","",IFERROR(MAX(0,$H470-$G470),0))</f>
        <v/>
      </c>
    </row>
    <row r="471">
      <c r="A471" s="30" t="n"/>
      <c r="B471" s="30" t="n"/>
      <c r="C471" s="30" t="n"/>
      <c r="D471" s="30" t="n"/>
      <c r="E471" s="30" t="n"/>
      <c r="F471" s="30" t="n"/>
      <c r="G471" s="30" t="n"/>
      <c r="H471" s="31">
        <f>IF($A471="","",IFERROR(ROUND($C471*INDEX(tblKurallar[deger_2025],MATCH("TBO-001",tblKurallar[kural_id],0))+$D471*INDEX(tblKurallar[deger_2025],MATCH("TBO-002",tblKurallar[kural_id],0))+$E471*INDEX(tblKurallar[deger_2025],MATCH("TBO-004",tblKurallar[kural_id],0))+$F471*tbo_isverenOran,2),0))</f>
        <v/>
      </c>
      <c r="I471" s="31">
        <f>IF($A471="","",IFERROR(MAX(0,$H471-$G471),0))</f>
        <v/>
      </c>
    </row>
    <row r="472">
      <c r="A472" s="30" t="n"/>
      <c r="B472" s="30" t="n"/>
      <c r="C472" s="30" t="n"/>
      <c r="D472" s="30" t="n"/>
      <c r="E472" s="30" t="n"/>
      <c r="F472" s="30" t="n"/>
      <c r="G472" s="30" t="n"/>
      <c r="H472" s="31">
        <f>IF($A472="","",IFERROR(ROUND($C472*INDEX(tblKurallar[deger_2025],MATCH("TBO-001",tblKurallar[kural_id],0))+$D472*INDEX(tblKurallar[deger_2025],MATCH("TBO-002",tblKurallar[kural_id],0))+$E472*INDEX(tblKurallar[deger_2025],MATCH("TBO-004",tblKurallar[kural_id],0))+$F472*tbo_isverenOran,2),0))</f>
        <v/>
      </c>
      <c r="I472" s="31">
        <f>IF($A472="","",IFERROR(MAX(0,$H472-$G472),0))</f>
        <v/>
      </c>
    </row>
    <row r="473">
      <c r="A473" s="30" t="n"/>
      <c r="B473" s="30" t="n"/>
      <c r="C473" s="30" t="n"/>
      <c r="D473" s="30" t="n"/>
      <c r="E473" s="30" t="n"/>
      <c r="F473" s="30" t="n"/>
      <c r="G473" s="30" t="n"/>
      <c r="H473" s="31">
        <f>IF($A473="","",IFERROR(ROUND($C473*INDEX(tblKurallar[deger_2025],MATCH("TBO-001",tblKurallar[kural_id],0))+$D473*INDEX(tblKurallar[deger_2025],MATCH("TBO-002",tblKurallar[kural_id],0))+$E473*INDEX(tblKurallar[deger_2025],MATCH("TBO-004",tblKurallar[kural_id],0))+$F473*tbo_isverenOran,2),0))</f>
        <v/>
      </c>
      <c r="I473" s="31">
        <f>IF($A473="","",IFERROR(MAX(0,$H473-$G473),0))</f>
        <v/>
      </c>
    </row>
    <row r="474">
      <c r="A474" s="30" t="n"/>
      <c r="B474" s="30" t="n"/>
      <c r="C474" s="30" t="n"/>
      <c r="D474" s="30" t="n"/>
      <c r="E474" s="30" t="n"/>
      <c r="F474" s="30" t="n"/>
      <c r="G474" s="30" t="n"/>
      <c r="H474" s="31">
        <f>IF($A474="","",IFERROR(ROUND($C474*INDEX(tblKurallar[deger_2025],MATCH("TBO-001",tblKurallar[kural_id],0))+$D474*INDEX(tblKurallar[deger_2025],MATCH("TBO-002",tblKurallar[kural_id],0))+$E474*INDEX(tblKurallar[deger_2025],MATCH("TBO-004",tblKurallar[kural_id],0))+$F474*tbo_isverenOran,2),0))</f>
        <v/>
      </c>
      <c r="I474" s="31">
        <f>IF($A474="","",IFERROR(MAX(0,$H474-$G474),0))</f>
        <v/>
      </c>
    </row>
    <row r="475">
      <c r="A475" s="30" t="n"/>
      <c r="B475" s="30" t="n"/>
      <c r="C475" s="30" t="n"/>
      <c r="D475" s="30" t="n"/>
      <c r="E475" s="30" t="n"/>
      <c r="F475" s="30" t="n"/>
      <c r="G475" s="30" t="n"/>
      <c r="H475" s="31">
        <f>IF($A475="","",IFERROR(ROUND($C475*INDEX(tblKurallar[deger_2025],MATCH("TBO-001",tblKurallar[kural_id],0))+$D475*INDEX(tblKurallar[deger_2025],MATCH("TBO-002",tblKurallar[kural_id],0))+$E475*INDEX(tblKurallar[deger_2025],MATCH("TBO-004",tblKurallar[kural_id],0))+$F475*tbo_isverenOran,2),0))</f>
        <v/>
      </c>
      <c r="I475" s="31">
        <f>IF($A475="","",IFERROR(MAX(0,$H475-$G475),0))</f>
        <v/>
      </c>
    </row>
    <row r="476">
      <c r="A476" s="30" t="n"/>
      <c r="B476" s="30" t="n"/>
      <c r="C476" s="30" t="n"/>
      <c r="D476" s="30" t="n"/>
      <c r="E476" s="30" t="n"/>
      <c r="F476" s="30" t="n"/>
      <c r="G476" s="30" t="n"/>
      <c r="H476" s="31">
        <f>IF($A476="","",IFERROR(ROUND($C476*INDEX(tblKurallar[deger_2025],MATCH("TBO-001",tblKurallar[kural_id],0))+$D476*INDEX(tblKurallar[deger_2025],MATCH("TBO-002",tblKurallar[kural_id],0))+$E476*INDEX(tblKurallar[deger_2025],MATCH("TBO-004",tblKurallar[kural_id],0))+$F476*tbo_isverenOran,2),0))</f>
        <v/>
      </c>
      <c r="I476" s="31">
        <f>IF($A476="","",IFERROR(MAX(0,$H476-$G476),0))</f>
        <v/>
      </c>
    </row>
    <row r="477">
      <c r="A477" s="30" t="n"/>
      <c r="B477" s="30" t="n"/>
      <c r="C477" s="30" t="n"/>
      <c r="D477" s="30" t="n"/>
      <c r="E477" s="30" t="n"/>
      <c r="F477" s="30" t="n"/>
      <c r="G477" s="30" t="n"/>
      <c r="H477" s="31">
        <f>IF($A477="","",IFERROR(ROUND($C477*INDEX(tblKurallar[deger_2025],MATCH("TBO-001",tblKurallar[kural_id],0))+$D477*INDEX(tblKurallar[deger_2025],MATCH("TBO-002",tblKurallar[kural_id],0))+$E477*INDEX(tblKurallar[deger_2025],MATCH("TBO-004",tblKurallar[kural_id],0))+$F477*tbo_isverenOran,2),0))</f>
        <v/>
      </c>
      <c r="I477" s="31">
        <f>IF($A477="","",IFERROR(MAX(0,$H477-$G477),0))</f>
        <v/>
      </c>
    </row>
    <row r="478">
      <c r="A478" s="30" t="n"/>
      <c r="B478" s="30" t="n"/>
      <c r="C478" s="30" t="n"/>
      <c r="D478" s="30" t="n"/>
      <c r="E478" s="30" t="n"/>
      <c r="F478" s="30" t="n"/>
      <c r="G478" s="30" t="n"/>
      <c r="H478" s="31">
        <f>IF($A478="","",IFERROR(ROUND($C478*INDEX(tblKurallar[deger_2025],MATCH("TBO-001",tblKurallar[kural_id],0))+$D478*INDEX(tblKurallar[deger_2025],MATCH("TBO-002",tblKurallar[kural_id],0))+$E478*INDEX(tblKurallar[deger_2025],MATCH("TBO-004",tblKurallar[kural_id],0))+$F478*tbo_isverenOran,2),0))</f>
        <v/>
      </c>
      <c r="I478" s="31">
        <f>IF($A478="","",IFERROR(MAX(0,$H478-$G478),0))</f>
        <v/>
      </c>
    </row>
    <row r="479">
      <c r="A479" s="30" t="n"/>
      <c r="B479" s="30" t="n"/>
      <c r="C479" s="30" t="n"/>
      <c r="D479" s="30" t="n"/>
      <c r="E479" s="30" t="n"/>
      <c r="F479" s="30" t="n"/>
      <c r="G479" s="30" t="n"/>
      <c r="H479" s="31">
        <f>IF($A479="","",IFERROR(ROUND($C479*INDEX(tblKurallar[deger_2025],MATCH("TBO-001",tblKurallar[kural_id],0))+$D479*INDEX(tblKurallar[deger_2025],MATCH("TBO-002",tblKurallar[kural_id],0))+$E479*INDEX(tblKurallar[deger_2025],MATCH("TBO-004",tblKurallar[kural_id],0))+$F479*tbo_isverenOran,2),0))</f>
        <v/>
      </c>
      <c r="I479" s="31">
        <f>IF($A479="","",IFERROR(MAX(0,$H479-$G479),0))</f>
        <v/>
      </c>
    </row>
    <row r="480">
      <c r="A480" s="30" t="n"/>
      <c r="B480" s="30" t="n"/>
      <c r="C480" s="30" t="n"/>
      <c r="D480" s="30" t="n"/>
      <c r="E480" s="30" t="n"/>
      <c r="F480" s="30" t="n"/>
      <c r="G480" s="30" t="n"/>
      <c r="H480" s="31">
        <f>IF($A480="","",IFERROR(ROUND($C480*INDEX(tblKurallar[deger_2025],MATCH("TBO-001",tblKurallar[kural_id],0))+$D480*INDEX(tblKurallar[deger_2025],MATCH("TBO-002",tblKurallar[kural_id],0))+$E480*INDEX(tblKurallar[deger_2025],MATCH("TBO-004",tblKurallar[kural_id],0))+$F480*tbo_isverenOran,2),0))</f>
        <v/>
      </c>
      <c r="I480" s="31">
        <f>IF($A480="","",IFERROR(MAX(0,$H480-$G480),0))</f>
        <v/>
      </c>
    </row>
    <row r="481">
      <c r="A481" s="30" t="n"/>
      <c r="B481" s="30" t="n"/>
      <c r="C481" s="30" t="n"/>
      <c r="D481" s="30" t="n"/>
      <c r="E481" s="30" t="n"/>
      <c r="F481" s="30" t="n"/>
      <c r="G481" s="30" t="n"/>
      <c r="H481" s="31">
        <f>IF($A481="","",IFERROR(ROUND($C481*INDEX(tblKurallar[deger_2025],MATCH("TBO-001",tblKurallar[kural_id],0))+$D481*INDEX(tblKurallar[deger_2025],MATCH("TBO-002",tblKurallar[kural_id],0))+$E481*INDEX(tblKurallar[deger_2025],MATCH("TBO-004",tblKurallar[kural_id],0))+$F481*tbo_isverenOran,2),0))</f>
        <v/>
      </c>
      <c r="I481" s="31">
        <f>IF($A481="","",IFERROR(MAX(0,$H481-$G481),0))</f>
        <v/>
      </c>
    </row>
    <row r="482">
      <c r="A482" s="30" t="n"/>
      <c r="B482" s="30" t="n"/>
      <c r="C482" s="30" t="n"/>
      <c r="D482" s="30" t="n"/>
      <c r="E482" s="30" t="n"/>
      <c r="F482" s="30" t="n"/>
      <c r="G482" s="30" t="n"/>
      <c r="H482" s="31">
        <f>IF($A482="","",IFERROR(ROUND($C482*INDEX(tblKurallar[deger_2025],MATCH("TBO-001",tblKurallar[kural_id],0))+$D482*INDEX(tblKurallar[deger_2025],MATCH("TBO-002",tblKurallar[kural_id],0))+$E482*INDEX(tblKurallar[deger_2025],MATCH("TBO-004",tblKurallar[kural_id],0))+$F482*tbo_isverenOran,2),0))</f>
        <v/>
      </c>
      <c r="I482" s="31">
        <f>IF($A482="","",IFERROR(MAX(0,$H482-$G482),0))</f>
        <v/>
      </c>
    </row>
    <row r="483">
      <c r="A483" s="30" t="n"/>
      <c r="B483" s="30" t="n"/>
      <c r="C483" s="30" t="n"/>
      <c r="D483" s="30" t="n"/>
      <c r="E483" s="30" t="n"/>
      <c r="F483" s="30" t="n"/>
      <c r="G483" s="30" t="n"/>
      <c r="H483" s="31">
        <f>IF($A483="","",IFERROR(ROUND($C483*INDEX(tblKurallar[deger_2025],MATCH("TBO-001",tblKurallar[kural_id],0))+$D483*INDEX(tblKurallar[deger_2025],MATCH("TBO-002",tblKurallar[kural_id],0))+$E483*INDEX(tblKurallar[deger_2025],MATCH("TBO-004",tblKurallar[kural_id],0))+$F483*tbo_isverenOran,2),0))</f>
        <v/>
      </c>
      <c r="I483" s="31">
        <f>IF($A483="","",IFERROR(MAX(0,$H483-$G483),0))</f>
        <v/>
      </c>
    </row>
    <row r="484">
      <c r="A484" s="30" t="n"/>
      <c r="B484" s="30" t="n"/>
      <c r="C484" s="30" t="n"/>
      <c r="D484" s="30" t="n"/>
      <c r="E484" s="30" t="n"/>
      <c r="F484" s="30" t="n"/>
      <c r="G484" s="30" t="n"/>
      <c r="H484" s="31">
        <f>IF($A484="","",IFERROR(ROUND($C484*INDEX(tblKurallar[deger_2025],MATCH("TBO-001",tblKurallar[kural_id],0))+$D484*INDEX(tblKurallar[deger_2025],MATCH("TBO-002",tblKurallar[kural_id],0))+$E484*INDEX(tblKurallar[deger_2025],MATCH("TBO-004",tblKurallar[kural_id],0))+$F484*tbo_isverenOran,2),0))</f>
        <v/>
      </c>
      <c r="I484" s="31">
        <f>IF($A484="","",IFERROR(MAX(0,$H484-$G484),0))</f>
        <v/>
      </c>
    </row>
    <row r="485">
      <c r="A485" s="30" t="n"/>
      <c r="B485" s="30" t="n"/>
      <c r="C485" s="30" t="n"/>
      <c r="D485" s="30" t="n"/>
      <c r="E485" s="30" t="n"/>
      <c r="F485" s="30" t="n"/>
      <c r="G485" s="30" t="n"/>
      <c r="H485" s="31">
        <f>IF($A485="","",IFERROR(ROUND($C485*INDEX(tblKurallar[deger_2025],MATCH("TBO-001",tblKurallar[kural_id],0))+$D485*INDEX(tblKurallar[deger_2025],MATCH("TBO-002",tblKurallar[kural_id],0))+$E485*INDEX(tblKurallar[deger_2025],MATCH("TBO-004",tblKurallar[kural_id],0))+$F485*tbo_isverenOran,2),0))</f>
        <v/>
      </c>
      <c r="I485" s="31">
        <f>IF($A485="","",IFERROR(MAX(0,$H485-$G485),0))</f>
        <v/>
      </c>
    </row>
    <row r="486">
      <c r="A486" s="30" t="n"/>
      <c r="B486" s="30" t="n"/>
      <c r="C486" s="30" t="n"/>
      <c r="D486" s="30" t="n"/>
      <c r="E486" s="30" t="n"/>
      <c r="F486" s="30" t="n"/>
      <c r="G486" s="30" t="n"/>
      <c r="H486" s="31">
        <f>IF($A486="","",IFERROR(ROUND($C486*INDEX(tblKurallar[deger_2025],MATCH("TBO-001",tblKurallar[kural_id],0))+$D486*INDEX(tblKurallar[deger_2025],MATCH("TBO-002",tblKurallar[kural_id],0))+$E486*INDEX(tblKurallar[deger_2025],MATCH("TBO-004",tblKurallar[kural_id],0))+$F486*tbo_isverenOran,2),0))</f>
        <v/>
      </c>
      <c r="I486" s="31">
        <f>IF($A486="","",IFERROR(MAX(0,$H486-$G486),0))</f>
        <v/>
      </c>
    </row>
    <row r="487">
      <c r="A487" s="30" t="n"/>
      <c r="B487" s="30" t="n"/>
      <c r="C487" s="30" t="n"/>
      <c r="D487" s="30" t="n"/>
      <c r="E487" s="30" t="n"/>
      <c r="F487" s="30" t="n"/>
      <c r="G487" s="30" t="n"/>
      <c r="H487" s="31">
        <f>IF($A487="","",IFERROR(ROUND($C487*INDEX(tblKurallar[deger_2025],MATCH("TBO-001",tblKurallar[kural_id],0))+$D487*INDEX(tblKurallar[deger_2025],MATCH("TBO-002",tblKurallar[kural_id],0))+$E487*INDEX(tblKurallar[deger_2025],MATCH("TBO-004",tblKurallar[kural_id],0))+$F487*tbo_isverenOran,2),0))</f>
        <v/>
      </c>
      <c r="I487" s="31">
        <f>IF($A487="","",IFERROR(MAX(0,$H487-$G487),0))</f>
        <v/>
      </c>
    </row>
    <row r="488">
      <c r="A488" s="30" t="n"/>
      <c r="B488" s="30" t="n"/>
      <c r="C488" s="30" t="n"/>
      <c r="D488" s="30" t="n"/>
      <c r="E488" s="30" t="n"/>
      <c r="F488" s="30" t="n"/>
      <c r="G488" s="30" t="n"/>
      <c r="H488" s="31">
        <f>IF($A488="","",IFERROR(ROUND($C488*INDEX(tblKurallar[deger_2025],MATCH("TBO-001",tblKurallar[kural_id],0))+$D488*INDEX(tblKurallar[deger_2025],MATCH("TBO-002",tblKurallar[kural_id],0))+$E488*INDEX(tblKurallar[deger_2025],MATCH("TBO-004",tblKurallar[kural_id],0))+$F488*tbo_isverenOran,2),0))</f>
        <v/>
      </c>
      <c r="I488" s="31">
        <f>IF($A488="","",IFERROR(MAX(0,$H488-$G488),0))</f>
        <v/>
      </c>
    </row>
    <row r="489">
      <c r="A489" s="30" t="n"/>
      <c r="B489" s="30" t="n"/>
      <c r="C489" s="30" t="n"/>
      <c r="D489" s="30" t="n"/>
      <c r="E489" s="30" t="n"/>
      <c r="F489" s="30" t="n"/>
      <c r="G489" s="30" t="n"/>
      <c r="H489" s="31">
        <f>IF($A489="","",IFERROR(ROUND($C489*INDEX(tblKurallar[deger_2025],MATCH("TBO-001",tblKurallar[kural_id],0))+$D489*INDEX(tblKurallar[deger_2025],MATCH("TBO-002",tblKurallar[kural_id],0))+$E489*INDEX(tblKurallar[deger_2025],MATCH("TBO-004",tblKurallar[kural_id],0))+$F489*tbo_isverenOran,2),0))</f>
        <v/>
      </c>
      <c r="I489" s="31">
        <f>IF($A489="","",IFERROR(MAX(0,$H489-$G489),0))</f>
        <v/>
      </c>
    </row>
    <row r="490">
      <c r="A490" s="30" t="n"/>
      <c r="B490" s="30" t="n"/>
      <c r="C490" s="30" t="n"/>
      <c r="D490" s="30" t="n"/>
      <c r="E490" s="30" t="n"/>
      <c r="F490" s="30" t="n"/>
      <c r="G490" s="30" t="n"/>
      <c r="H490" s="31">
        <f>IF($A490="","",IFERROR(ROUND($C490*INDEX(tblKurallar[deger_2025],MATCH("TBO-001",tblKurallar[kural_id],0))+$D490*INDEX(tblKurallar[deger_2025],MATCH("TBO-002",tblKurallar[kural_id],0))+$E490*INDEX(tblKurallar[deger_2025],MATCH("TBO-004",tblKurallar[kural_id],0))+$F490*tbo_isverenOran,2),0))</f>
        <v/>
      </c>
      <c r="I490" s="31">
        <f>IF($A490="","",IFERROR(MAX(0,$H490-$G490),0))</f>
        <v/>
      </c>
    </row>
    <row r="491">
      <c r="A491" s="30" t="n"/>
      <c r="B491" s="30" t="n"/>
      <c r="C491" s="30" t="n"/>
      <c r="D491" s="30" t="n"/>
      <c r="E491" s="30" t="n"/>
      <c r="F491" s="30" t="n"/>
      <c r="G491" s="30" t="n"/>
      <c r="H491" s="31">
        <f>IF($A491="","",IFERROR(ROUND($C491*INDEX(tblKurallar[deger_2025],MATCH("TBO-001",tblKurallar[kural_id],0))+$D491*INDEX(tblKurallar[deger_2025],MATCH("TBO-002",tblKurallar[kural_id],0))+$E491*INDEX(tblKurallar[deger_2025],MATCH("TBO-004",tblKurallar[kural_id],0))+$F491*tbo_isverenOran,2),0))</f>
        <v/>
      </c>
      <c r="I491" s="31">
        <f>IF($A491="","",IFERROR(MAX(0,$H491-$G491),0))</f>
        <v/>
      </c>
    </row>
    <row r="492">
      <c r="A492" s="30" t="n"/>
      <c r="B492" s="30" t="n"/>
      <c r="C492" s="30" t="n"/>
      <c r="D492" s="30" t="n"/>
      <c r="E492" s="30" t="n"/>
      <c r="F492" s="30" t="n"/>
      <c r="G492" s="30" t="n"/>
      <c r="H492" s="31">
        <f>IF($A492="","",IFERROR(ROUND($C492*INDEX(tblKurallar[deger_2025],MATCH("TBO-001",tblKurallar[kural_id],0))+$D492*INDEX(tblKurallar[deger_2025],MATCH("TBO-002",tblKurallar[kural_id],0))+$E492*INDEX(tblKurallar[deger_2025],MATCH("TBO-004",tblKurallar[kural_id],0))+$F492*tbo_isverenOran,2),0))</f>
        <v/>
      </c>
      <c r="I492" s="31">
        <f>IF($A492="","",IFERROR(MAX(0,$H492-$G492),0))</f>
        <v/>
      </c>
    </row>
    <row r="493">
      <c r="A493" s="30" t="n"/>
      <c r="B493" s="30" t="n"/>
      <c r="C493" s="30" t="n"/>
      <c r="D493" s="30" t="n"/>
      <c r="E493" s="30" t="n"/>
      <c r="F493" s="30" t="n"/>
      <c r="G493" s="30" t="n"/>
      <c r="H493" s="31">
        <f>IF($A493="","",IFERROR(ROUND($C493*INDEX(tblKurallar[deger_2025],MATCH("TBO-001",tblKurallar[kural_id],0))+$D493*INDEX(tblKurallar[deger_2025],MATCH("TBO-002",tblKurallar[kural_id],0))+$E493*INDEX(tblKurallar[deger_2025],MATCH("TBO-004",tblKurallar[kural_id],0))+$F493*tbo_isverenOran,2),0))</f>
        <v/>
      </c>
      <c r="I493" s="31">
        <f>IF($A493="","",IFERROR(MAX(0,$H493-$G493),0))</f>
        <v/>
      </c>
    </row>
    <row r="494">
      <c r="A494" s="30" t="n"/>
      <c r="B494" s="30" t="n"/>
      <c r="C494" s="30" t="n"/>
      <c r="D494" s="30" t="n"/>
      <c r="E494" s="30" t="n"/>
      <c r="F494" s="30" t="n"/>
      <c r="G494" s="30" t="n"/>
      <c r="H494" s="31">
        <f>IF($A494="","",IFERROR(ROUND($C494*INDEX(tblKurallar[deger_2025],MATCH("TBO-001",tblKurallar[kural_id],0))+$D494*INDEX(tblKurallar[deger_2025],MATCH("TBO-002",tblKurallar[kural_id],0))+$E494*INDEX(tblKurallar[deger_2025],MATCH("TBO-004",tblKurallar[kural_id],0))+$F494*tbo_isverenOran,2),0))</f>
        <v/>
      </c>
      <c r="I494" s="31">
        <f>IF($A494="","",IFERROR(MAX(0,$H494-$G494),0))</f>
        <v/>
      </c>
    </row>
    <row r="495">
      <c r="A495" s="30" t="n"/>
      <c r="B495" s="30" t="n"/>
      <c r="C495" s="30" t="n"/>
      <c r="D495" s="30" t="n"/>
      <c r="E495" s="30" t="n"/>
      <c r="F495" s="30" t="n"/>
      <c r="G495" s="30" t="n"/>
      <c r="H495" s="31">
        <f>IF($A495="","",IFERROR(ROUND($C495*INDEX(tblKurallar[deger_2025],MATCH("TBO-001",tblKurallar[kural_id],0))+$D495*INDEX(tblKurallar[deger_2025],MATCH("TBO-002",tblKurallar[kural_id],0))+$E495*INDEX(tblKurallar[deger_2025],MATCH("TBO-004",tblKurallar[kural_id],0))+$F495*tbo_isverenOran,2),0))</f>
        <v/>
      </c>
      <c r="I495" s="31">
        <f>IF($A495="","",IFERROR(MAX(0,$H495-$G495),0))</f>
        <v/>
      </c>
    </row>
    <row r="496">
      <c r="A496" s="30" t="n"/>
      <c r="B496" s="30" t="n"/>
      <c r="C496" s="30" t="n"/>
      <c r="D496" s="30" t="n"/>
      <c r="E496" s="30" t="n"/>
      <c r="F496" s="30" t="n"/>
      <c r="G496" s="30" t="n"/>
      <c r="H496" s="31">
        <f>IF($A496="","",IFERROR(ROUND($C496*INDEX(tblKurallar[deger_2025],MATCH("TBO-001",tblKurallar[kural_id],0))+$D496*INDEX(tblKurallar[deger_2025],MATCH("TBO-002",tblKurallar[kural_id],0))+$E496*INDEX(tblKurallar[deger_2025],MATCH("TBO-004",tblKurallar[kural_id],0))+$F496*tbo_isverenOran,2),0))</f>
        <v/>
      </c>
      <c r="I496" s="31">
        <f>IF($A496="","",IFERROR(MAX(0,$H496-$G496),0))</f>
        <v/>
      </c>
    </row>
    <row r="497">
      <c r="A497" s="30" t="n"/>
      <c r="B497" s="30" t="n"/>
      <c r="C497" s="30" t="n"/>
      <c r="D497" s="30" t="n"/>
      <c r="E497" s="30" t="n"/>
      <c r="F497" s="30" t="n"/>
      <c r="G497" s="30" t="n"/>
      <c r="H497" s="31">
        <f>IF($A497="","",IFERROR(ROUND($C497*INDEX(tblKurallar[deger_2025],MATCH("TBO-001",tblKurallar[kural_id],0))+$D497*INDEX(tblKurallar[deger_2025],MATCH("TBO-002",tblKurallar[kural_id],0))+$E497*INDEX(tblKurallar[deger_2025],MATCH("TBO-004",tblKurallar[kural_id],0))+$F497*tbo_isverenOran,2),0))</f>
        <v/>
      </c>
      <c r="I497" s="31">
        <f>IF($A497="","",IFERROR(MAX(0,$H497-$G497),0))</f>
        <v/>
      </c>
    </row>
    <row r="498">
      <c r="A498" s="30" t="n"/>
      <c r="B498" s="30" t="n"/>
      <c r="C498" s="30" t="n"/>
      <c r="D498" s="30" t="n"/>
      <c r="E498" s="30" t="n"/>
      <c r="F498" s="30" t="n"/>
      <c r="G498" s="30" t="n"/>
      <c r="H498" s="31">
        <f>IF($A498="","",IFERROR(ROUND($C498*INDEX(tblKurallar[deger_2025],MATCH("TBO-001",tblKurallar[kural_id],0))+$D498*INDEX(tblKurallar[deger_2025],MATCH("TBO-002",tblKurallar[kural_id],0))+$E498*INDEX(tblKurallar[deger_2025],MATCH("TBO-004",tblKurallar[kural_id],0))+$F498*tbo_isverenOran,2),0))</f>
        <v/>
      </c>
      <c r="I498" s="31">
        <f>IF($A498="","",IFERROR(MAX(0,$H498-$G498),0))</f>
        <v/>
      </c>
    </row>
    <row r="499">
      <c r="A499" s="30" t="n"/>
      <c r="B499" s="30" t="n"/>
      <c r="C499" s="30" t="n"/>
      <c r="D499" s="30" t="n"/>
      <c r="E499" s="30" t="n"/>
      <c r="F499" s="30" t="n"/>
      <c r="G499" s="30" t="n"/>
      <c r="H499" s="31">
        <f>IF($A499="","",IFERROR(ROUND($C499*INDEX(tblKurallar[deger_2025],MATCH("TBO-001",tblKurallar[kural_id],0))+$D499*INDEX(tblKurallar[deger_2025],MATCH("TBO-002",tblKurallar[kural_id],0))+$E499*INDEX(tblKurallar[deger_2025],MATCH("TBO-004",tblKurallar[kural_id],0))+$F499*tbo_isverenOran,2),0))</f>
        <v/>
      </c>
      <c r="I499" s="31">
        <f>IF($A499="","",IFERROR(MAX(0,$H499-$G499),0))</f>
        <v/>
      </c>
    </row>
    <row r="500">
      <c r="A500" s="30" t="n"/>
      <c r="B500" s="30" t="n"/>
      <c r="C500" s="30" t="n"/>
      <c r="D500" s="30" t="n"/>
      <c r="E500" s="30" t="n"/>
      <c r="F500" s="30" t="n"/>
      <c r="G500" s="30" t="n"/>
      <c r="H500" s="31">
        <f>IF($A500="","",IFERROR(ROUND($C500*INDEX(tblKurallar[deger_2025],MATCH("TBO-001",tblKurallar[kural_id],0))+$D500*INDEX(tblKurallar[deger_2025],MATCH("TBO-002",tblKurallar[kural_id],0))+$E500*INDEX(tblKurallar[deger_2025],MATCH("TBO-004",tblKurallar[kural_id],0))+$F500*tbo_isverenOran,2),0))</f>
        <v/>
      </c>
      <c r="I500" s="31">
        <f>IF($A500="","",IFERROR(MAX(0,$H500-$G500),0))</f>
        <v/>
      </c>
    </row>
    <row r="501">
      <c r="A501" s="30" t="n"/>
      <c r="B501" s="30" t="n"/>
      <c r="C501" s="30" t="n"/>
      <c r="D501" s="30" t="n"/>
      <c r="E501" s="30" t="n"/>
      <c r="F501" s="30" t="n"/>
      <c r="G501" s="30" t="n"/>
      <c r="H501" s="31">
        <f>IF($A501="","",IFERROR(ROUND($C501*INDEX(tblKurallar[deger_2025],MATCH("TBO-001",tblKurallar[kural_id],0))+$D501*INDEX(tblKurallar[deger_2025],MATCH("TBO-002",tblKurallar[kural_id],0))+$E501*INDEX(tblKurallar[deger_2025],MATCH("TBO-004",tblKurallar[kural_id],0))+$F501*tbo_isverenOran,2),0))</f>
        <v/>
      </c>
      <c r="I501" s="31">
        <f>IF($A501="","",IFERROR(MAX(0,$H501-$G501),0))</f>
        <v/>
      </c>
    </row>
    <row r="502">
      <c r="A502" s="30" t="n"/>
      <c r="B502" s="30" t="n"/>
      <c r="C502" s="30" t="n"/>
      <c r="D502" s="30" t="n"/>
      <c r="E502" s="30" t="n"/>
      <c r="F502" s="30" t="n"/>
      <c r="G502" s="30" t="n"/>
      <c r="H502" s="31">
        <f>IF($A502="","",IFERROR(ROUND($C502*INDEX(tblKurallar[deger_2025],MATCH("TBO-001",tblKurallar[kural_id],0))+$D502*INDEX(tblKurallar[deger_2025],MATCH("TBO-002",tblKurallar[kural_id],0))+$E502*INDEX(tblKurallar[deger_2025],MATCH("TBO-004",tblKurallar[kural_id],0))+$F502*tbo_isverenOran,2),0))</f>
        <v/>
      </c>
      <c r="I502" s="31">
        <f>IF($A502="","",IFERROR(MAX(0,$H502-$G502),0))</f>
        <v/>
      </c>
    </row>
    <row r="503">
      <c r="A503" s="30" t="n"/>
      <c r="B503" s="30" t="n"/>
      <c r="C503" s="30" t="n"/>
      <c r="D503" s="30" t="n"/>
      <c r="E503" s="30" t="n"/>
      <c r="F503" s="30" t="n"/>
      <c r="G503" s="30" t="n"/>
      <c r="H503" s="31">
        <f>IF($A503="","",IFERROR(ROUND($C503*INDEX(tblKurallar[deger_2025],MATCH("TBO-001",tblKurallar[kural_id],0))+$D503*INDEX(tblKurallar[deger_2025],MATCH("TBO-002",tblKurallar[kural_id],0))+$E503*INDEX(tblKurallar[deger_2025],MATCH("TBO-004",tblKurallar[kural_id],0))+$F503*tbo_isverenOran,2),0))</f>
        <v/>
      </c>
      <c r="I503" s="31">
        <f>IF($A503="","",IFERROR(MAX(0,$H503-$G503),0))</f>
        <v/>
      </c>
    </row>
    <row r="504">
      <c r="A504" s="30" t="n"/>
      <c r="B504" s="30" t="n"/>
      <c r="C504" s="30" t="n"/>
      <c r="D504" s="30" t="n"/>
      <c r="E504" s="30" t="n"/>
      <c r="F504" s="30" t="n"/>
      <c r="G504" s="30" t="n"/>
      <c r="H504" s="31">
        <f>IF($A504="","",IFERROR(ROUND($C504*INDEX(tblKurallar[deger_2025],MATCH("TBO-001",tblKurallar[kural_id],0))+$D504*INDEX(tblKurallar[deger_2025],MATCH("TBO-002",tblKurallar[kural_id],0))+$E504*INDEX(tblKurallar[deger_2025],MATCH("TBO-004",tblKurallar[kural_id],0))+$F504*tbo_isverenOran,2),0))</f>
        <v/>
      </c>
      <c r="I504" s="31">
        <f>IF($A504="","",IFERROR(MAX(0,$H504-$G504),0))</f>
        <v/>
      </c>
    </row>
    <row r="505">
      <c r="A505" s="30" t="n"/>
      <c r="B505" s="30" t="n"/>
      <c r="C505" s="30" t="n"/>
      <c r="D505" s="30" t="n"/>
      <c r="E505" s="30" t="n"/>
      <c r="F505" s="30" t="n"/>
      <c r="G505" s="30" t="n"/>
      <c r="H505" s="31">
        <f>IF($A505="","",IFERROR(ROUND($C505*INDEX(tblKurallar[deger_2025],MATCH("TBO-001",tblKurallar[kural_id],0))+$D505*INDEX(tblKurallar[deger_2025],MATCH("TBO-002",tblKurallar[kural_id],0))+$E505*INDEX(tblKurallar[deger_2025],MATCH("TBO-004",tblKurallar[kural_id],0))+$F505*tbo_isverenOran,2),0))</f>
        <v/>
      </c>
      <c r="I505" s="31">
        <f>IF($A505="","",IFERROR(MAX(0,$H505-$G505),0))</f>
        <v/>
      </c>
    </row>
    <row r="506">
      <c r="A506" s="30" t="n"/>
      <c r="B506" s="30" t="n"/>
      <c r="C506" s="30" t="n"/>
      <c r="D506" s="30" t="n"/>
      <c r="E506" s="30" t="n"/>
      <c r="F506" s="30" t="n"/>
      <c r="G506" s="30" t="n"/>
      <c r="H506" s="31">
        <f>IF($A506="","",IFERROR(ROUND($C506*INDEX(tblKurallar[deger_2025],MATCH("TBO-001",tblKurallar[kural_id],0))+$D506*INDEX(tblKurallar[deger_2025],MATCH("TBO-002",tblKurallar[kural_id],0))+$E506*INDEX(tblKurallar[deger_2025],MATCH("TBO-004",tblKurallar[kural_id],0))+$F506*tbo_isverenOran,2),0))</f>
        <v/>
      </c>
      <c r="I506" s="31">
        <f>IF($A506="","",IFERROR(MAX(0,$H506-$G506),0))</f>
        <v/>
      </c>
    </row>
    <row r="507">
      <c r="A507" s="30" t="n"/>
      <c r="B507" s="30" t="n"/>
      <c r="C507" s="30" t="n"/>
      <c r="D507" s="30" t="n"/>
      <c r="E507" s="30" t="n"/>
      <c r="F507" s="30" t="n"/>
      <c r="G507" s="30" t="n"/>
      <c r="H507" s="31">
        <f>IF($A507="","",IFERROR(ROUND($C507*INDEX(tblKurallar[deger_2025],MATCH("TBO-001",tblKurallar[kural_id],0))+$D507*INDEX(tblKurallar[deger_2025],MATCH("TBO-002",tblKurallar[kural_id],0))+$E507*INDEX(tblKurallar[deger_2025],MATCH("TBO-004",tblKurallar[kural_id],0))+$F507*tbo_isverenOran,2),0))</f>
        <v/>
      </c>
      <c r="I507" s="31">
        <f>IF($A507="","",IFERROR(MAX(0,$H507-$G507),0))</f>
        <v/>
      </c>
    </row>
    <row r="508">
      <c r="A508" s="30" t="n"/>
      <c r="B508" s="30" t="n"/>
      <c r="C508" s="30" t="n"/>
      <c r="D508" s="30" t="n"/>
      <c r="E508" s="30" t="n"/>
      <c r="F508" s="30" t="n"/>
      <c r="G508" s="30" t="n"/>
      <c r="H508" s="31">
        <f>IF($A508="","",IFERROR(ROUND($C508*INDEX(tblKurallar[deger_2025],MATCH("TBO-001",tblKurallar[kural_id],0))+$D508*INDEX(tblKurallar[deger_2025],MATCH("TBO-002",tblKurallar[kural_id],0))+$E508*INDEX(tblKurallar[deger_2025],MATCH("TBO-004",tblKurallar[kural_id],0))+$F508*tbo_isverenOran,2),0))</f>
        <v/>
      </c>
      <c r="I508" s="31">
        <f>IF($A508="","",IFERROR(MAX(0,$H508-$G508),0))</f>
        <v/>
      </c>
    </row>
    <row r="509">
      <c r="A509" s="30" t="n"/>
      <c r="B509" s="30" t="n"/>
      <c r="C509" s="30" t="n"/>
      <c r="D509" s="30" t="n"/>
      <c r="E509" s="30" t="n"/>
      <c r="F509" s="30" t="n"/>
      <c r="G509" s="30" t="n"/>
      <c r="H509" s="31">
        <f>IF($A509="","",IFERROR(ROUND($C509*INDEX(tblKurallar[deger_2025],MATCH("TBO-001",tblKurallar[kural_id],0))+$D509*INDEX(tblKurallar[deger_2025],MATCH("TBO-002",tblKurallar[kural_id],0))+$E509*INDEX(tblKurallar[deger_2025],MATCH("TBO-004",tblKurallar[kural_id],0))+$F509*tbo_isverenOran,2),0))</f>
        <v/>
      </c>
      <c r="I509" s="31">
        <f>IF($A509="","",IFERROR(MAX(0,$H509-$G509),0))</f>
        <v/>
      </c>
    </row>
    <row r="510">
      <c r="A510" s="30" t="n"/>
      <c r="B510" s="30" t="n"/>
      <c r="C510" s="30" t="n"/>
      <c r="D510" s="30" t="n"/>
      <c r="E510" s="30" t="n"/>
      <c r="F510" s="30" t="n"/>
      <c r="G510" s="30" t="n"/>
      <c r="H510" s="31">
        <f>IF($A510="","",IFERROR(ROUND($C510*INDEX(tblKurallar[deger_2025],MATCH("TBO-001",tblKurallar[kural_id],0))+$D510*INDEX(tblKurallar[deger_2025],MATCH("TBO-002",tblKurallar[kural_id],0))+$E510*INDEX(tblKurallar[deger_2025],MATCH("TBO-004",tblKurallar[kural_id],0))+$F510*tbo_isverenOran,2),0))</f>
        <v/>
      </c>
      <c r="I510" s="31">
        <f>IF($A510="","",IFERROR(MAX(0,$H510-$G510),0))</f>
        <v/>
      </c>
    </row>
    <row r="511">
      <c r="A511" s="30" t="n"/>
      <c r="B511" s="30" t="n"/>
      <c r="C511" s="30" t="n"/>
      <c r="D511" s="30" t="n"/>
      <c r="E511" s="30" t="n"/>
      <c r="F511" s="30" t="n"/>
      <c r="G511" s="30" t="n"/>
      <c r="H511" s="31">
        <f>IF($A511="","",IFERROR(ROUND($C511*INDEX(tblKurallar[deger_2025],MATCH("TBO-001",tblKurallar[kural_id],0))+$D511*INDEX(tblKurallar[deger_2025],MATCH("TBO-002",tblKurallar[kural_id],0))+$E511*INDEX(tblKurallar[deger_2025],MATCH("TBO-004",tblKurallar[kural_id],0))+$F511*tbo_isverenOran,2),0))</f>
        <v/>
      </c>
      <c r="I511" s="31">
        <f>IF($A511="","",IFERROR(MAX(0,$H511-$G511),0))</f>
        <v/>
      </c>
    </row>
    <row r="512">
      <c r="A512" s="30" t="n"/>
      <c r="B512" s="30" t="n"/>
      <c r="C512" s="30" t="n"/>
      <c r="D512" s="30" t="n"/>
      <c r="E512" s="30" t="n"/>
      <c r="F512" s="30" t="n"/>
      <c r="G512" s="30" t="n"/>
      <c r="H512" s="31">
        <f>IF($A512="","",IFERROR(ROUND($C512*INDEX(tblKurallar[deger_2025],MATCH("TBO-001",tblKurallar[kural_id],0))+$D512*INDEX(tblKurallar[deger_2025],MATCH("TBO-002",tblKurallar[kural_id],0))+$E512*INDEX(tblKurallar[deger_2025],MATCH("TBO-004",tblKurallar[kural_id],0))+$F512*tbo_isverenOran,2),0))</f>
        <v/>
      </c>
      <c r="I512" s="31">
        <f>IF($A512="","",IFERROR(MAX(0,$H512-$G512),0))</f>
        <v/>
      </c>
    </row>
    <row r="513">
      <c r="A513" s="30" t="n"/>
      <c r="B513" s="30" t="n"/>
      <c r="C513" s="30" t="n"/>
      <c r="D513" s="30" t="n"/>
      <c r="E513" s="30" t="n"/>
      <c r="F513" s="30" t="n"/>
      <c r="G513" s="30" t="n"/>
      <c r="H513" s="31">
        <f>IF($A513="","",IFERROR(ROUND($C513*INDEX(tblKurallar[deger_2025],MATCH("TBO-001",tblKurallar[kural_id],0))+$D513*INDEX(tblKurallar[deger_2025],MATCH("TBO-002",tblKurallar[kural_id],0))+$E513*INDEX(tblKurallar[deger_2025],MATCH("TBO-004",tblKurallar[kural_id],0))+$F513*tbo_isverenOran,2),0))</f>
        <v/>
      </c>
      <c r="I513" s="31">
        <f>IF($A513="","",IFERROR(MAX(0,$H513-$G513),0))</f>
        <v/>
      </c>
    </row>
    <row r="514">
      <c r="A514" s="30" t="n"/>
      <c r="B514" s="30" t="n"/>
      <c r="C514" s="30" t="n"/>
      <c r="D514" s="30" t="n"/>
      <c r="E514" s="30" t="n"/>
      <c r="F514" s="30" t="n"/>
      <c r="G514" s="30" t="n"/>
      <c r="H514" s="31">
        <f>IF($A514="","",IFERROR(ROUND($C514*INDEX(tblKurallar[deger_2025],MATCH("TBO-001",tblKurallar[kural_id],0))+$D514*INDEX(tblKurallar[deger_2025],MATCH("TBO-002",tblKurallar[kural_id],0))+$E514*INDEX(tblKurallar[deger_2025],MATCH("TBO-004",tblKurallar[kural_id],0))+$F514*tbo_isverenOran,2),0))</f>
        <v/>
      </c>
      <c r="I514" s="31">
        <f>IF($A514="","",IFERROR(MAX(0,$H514-$G514),0))</f>
        <v/>
      </c>
    </row>
    <row r="515">
      <c r="A515" s="30" t="n"/>
      <c r="B515" s="30" t="n"/>
      <c r="C515" s="30" t="n"/>
      <c r="D515" s="30" t="n"/>
      <c r="E515" s="30" t="n"/>
      <c r="F515" s="30" t="n"/>
      <c r="G515" s="30" t="n"/>
      <c r="H515" s="31">
        <f>IF($A515="","",IFERROR(ROUND($C515*INDEX(tblKurallar[deger_2025],MATCH("TBO-001",tblKurallar[kural_id],0))+$D515*INDEX(tblKurallar[deger_2025],MATCH("TBO-002",tblKurallar[kural_id],0))+$E515*INDEX(tblKurallar[deger_2025],MATCH("TBO-004",tblKurallar[kural_id],0))+$F515*tbo_isverenOran,2),0))</f>
        <v/>
      </c>
      <c r="I515" s="31">
        <f>IF($A515="","",IFERROR(MAX(0,$H515-$G515),0))</f>
        <v/>
      </c>
    </row>
    <row r="516">
      <c r="A516" s="30" t="n"/>
      <c r="B516" s="30" t="n"/>
      <c r="C516" s="30" t="n"/>
      <c r="D516" s="30" t="n"/>
      <c r="E516" s="30" t="n"/>
      <c r="F516" s="30" t="n"/>
      <c r="G516" s="30" t="n"/>
      <c r="H516" s="31">
        <f>IF($A516="","",IFERROR(ROUND($C516*INDEX(tblKurallar[deger_2025],MATCH("TBO-001",tblKurallar[kural_id],0))+$D516*INDEX(tblKurallar[deger_2025],MATCH("TBO-002",tblKurallar[kural_id],0))+$E516*INDEX(tblKurallar[deger_2025],MATCH("TBO-004",tblKurallar[kural_id],0))+$F516*tbo_isverenOran,2),0))</f>
        <v/>
      </c>
      <c r="I516" s="31">
        <f>IF($A516="","",IFERROR(MAX(0,$H516-$G516),0))</f>
        <v/>
      </c>
    </row>
    <row r="517">
      <c r="A517" s="30" t="n"/>
      <c r="B517" s="30" t="n"/>
      <c r="C517" s="30" t="n"/>
      <c r="D517" s="30" t="n"/>
      <c r="E517" s="30" t="n"/>
      <c r="F517" s="30" t="n"/>
      <c r="G517" s="30" t="n"/>
      <c r="H517" s="31">
        <f>IF($A517="","",IFERROR(ROUND($C517*INDEX(tblKurallar[deger_2025],MATCH("TBO-001",tblKurallar[kural_id],0))+$D517*INDEX(tblKurallar[deger_2025],MATCH("TBO-002",tblKurallar[kural_id],0))+$E517*INDEX(tblKurallar[deger_2025],MATCH("TBO-004",tblKurallar[kural_id],0))+$F517*tbo_isverenOran,2),0))</f>
        <v/>
      </c>
      <c r="I517" s="31">
        <f>IF($A517="","",IFERROR(MAX(0,$H517-$G517),0))</f>
        <v/>
      </c>
    </row>
    <row r="518">
      <c r="A518" s="30" t="n"/>
      <c r="B518" s="30" t="n"/>
      <c r="C518" s="30" t="n"/>
      <c r="D518" s="30" t="n"/>
      <c r="E518" s="30" t="n"/>
      <c r="F518" s="30" t="n"/>
      <c r="G518" s="30" t="n"/>
      <c r="H518" s="31">
        <f>IF($A518="","",IFERROR(ROUND($C518*INDEX(tblKurallar[deger_2025],MATCH("TBO-001",tblKurallar[kural_id],0))+$D518*INDEX(tblKurallar[deger_2025],MATCH("TBO-002",tblKurallar[kural_id],0))+$E518*INDEX(tblKurallar[deger_2025],MATCH("TBO-004",tblKurallar[kural_id],0))+$F518*tbo_isverenOran,2),0))</f>
        <v/>
      </c>
      <c r="I518" s="31">
        <f>IF($A518="","",IFERROR(MAX(0,$H518-$G518),0))</f>
        <v/>
      </c>
    </row>
    <row r="519">
      <c r="A519" s="30" t="n"/>
      <c r="B519" s="30" t="n"/>
      <c r="C519" s="30" t="n"/>
      <c r="D519" s="30" t="n"/>
      <c r="E519" s="30" t="n"/>
      <c r="F519" s="30" t="n"/>
      <c r="G519" s="30" t="n"/>
      <c r="H519" s="31">
        <f>IF($A519="","",IFERROR(ROUND($C519*INDEX(tblKurallar[deger_2025],MATCH("TBO-001",tblKurallar[kural_id],0))+$D519*INDEX(tblKurallar[deger_2025],MATCH("TBO-002",tblKurallar[kural_id],0))+$E519*INDEX(tblKurallar[deger_2025],MATCH("TBO-004",tblKurallar[kural_id],0))+$F519*tbo_isverenOran,2),0))</f>
        <v/>
      </c>
      <c r="I519" s="31">
        <f>IF($A519="","",IFERROR(MAX(0,$H519-$G519),0))</f>
        <v/>
      </c>
    </row>
    <row r="520">
      <c r="A520" s="30" t="n"/>
      <c r="B520" s="30" t="n"/>
      <c r="C520" s="30" t="n"/>
      <c r="D520" s="30" t="n"/>
      <c r="E520" s="30" t="n"/>
      <c r="F520" s="30" t="n"/>
      <c r="G520" s="30" t="n"/>
      <c r="H520" s="31">
        <f>IF($A520="","",IFERROR(ROUND($C520*INDEX(tblKurallar[deger_2025],MATCH("TBO-001",tblKurallar[kural_id],0))+$D520*INDEX(tblKurallar[deger_2025],MATCH("TBO-002",tblKurallar[kural_id],0))+$E520*INDEX(tblKurallar[deger_2025],MATCH("TBO-004",tblKurallar[kural_id],0))+$F520*tbo_isverenOran,2),0))</f>
        <v/>
      </c>
      <c r="I520" s="31">
        <f>IF($A520="","",IFERROR(MAX(0,$H520-$G520),0))</f>
        <v/>
      </c>
    </row>
    <row r="521">
      <c r="A521" s="30" t="n"/>
      <c r="B521" s="30" t="n"/>
      <c r="C521" s="30" t="n"/>
      <c r="D521" s="30" t="n"/>
      <c r="E521" s="30" t="n"/>
      <c r="F521" s="30" t="n"/>
      <c r="G521" s="30" t="n"/>
      <c r="H521" s="31">
        <f>IF($A521="","",IFERROR(ROUND($C521*INDEX(tblKurallar[deger_2025],MATCH("TBO-001",tblKurallar[kural_id],0))+$D521*INDEX(tblKurallar[deger_2025],MATCH("TBO-002",tblKurallar[kural_id],0))+$E521*INDEX(tblKurallar[deger_2025],MATCH("TBO-004",tblKurallar[kural_id],0))+$F521*tbo_isverenOran,2),0))</f>
        <v/>
      </c>
      <c r="I521" s="31">
        <f>IF($A521="","",IFERROR(MAX(0,$H521-$G521),0))</f>
        <v/>
      </c>
    </row>
    <row r="522">
      <c r="A522" s="30" t="n"/>
      <c r="B522" s="30" t="n"/>
      <c r="C522" s="30" t="n"/>
      <c r="D522" s="30" t="n"/>
      <c r="E522" s="30" t="n"/>
      <c r="F522" s="30" t="n"/>
      <c r="G522" s="30" t="n"/>
      <c r="H522" s="31">
        <f>IF($A522="","",IFERROR(ROUND($C522*INDEX(tblKurallar[deger_2025],MATCH("TBO-001",tblKurallar[kural_id],0))+$D522*INDEX(tblKurallar[deger_2025],MATCH("TBO-002",tblKurallar[kural_id],0))+$E522*INDEX(tblKurallar[deger_2025],MATCH("TBO-004",tblKurallar[kural_id],0))+$F522*tbo_isverenOran,2),0))</f>
        <v/>
      </c>
      <c r="I522" s="31">
        <f>IF($A522="","",IFERROR(MAX(0,$H522-$G522),0))</f>
        <v/>
      </c>
    </row>
    <row r="523">
      <c r="A523" s="30" t="n"/>
      <c r="B523" s="30" t="n"/>
      <c r="C523" s="30" t="n"/>
      <c r="D523" s="30" t="n"/>
      <c r="E523" s="30" t="n"/>
      <c r="F523" s="30" t="n"/>
      <c r="G523" s="30" t="n"/>
      <c r="H523" s="31">
        <f>IF($A523="","",IFERROR(ROUND($C523*INDEX(tblKurallar[deger_2025],MATCH("TBO-001",tblKurallar[kural_id],0))+$D523*INDEX(tblKurallar[deger_2025],MATCH("TBO-002",tblKurallar[kural_id],0))+$E523*INDEX(tblKurallar[deger_2025],MATCH("TBO-004",tblKurallar[kural_id],0))+$F523*tbo_isverenOran,2),0))</f>
        <v/>
      </c>
      <c r="I523" s="31">
        <f>IF($A523="","",IFERROR(MAX(0,$H523-$G523),0))</f>
        <v/>
      </c>
    </row>
    <row r="524">
      <c r="A524" s="30" t="n"/>
      <c r="B524" s="30" t="n"/>
      <c r="C524" s="30" t="n"/>
      <c r="D524" s="30" t="n"/>
      <c r="E524" s="30" t="n"/>
      <c r="F524" s="30" t="n"/>
      <c r="G524" s="30" t="n"/>
      <c r="H524" s="31">
        <f>IF($A524="","",IFERROR(ROUND($C524*INDEX(tblKurallar[deger_2025],MATCH("TBO-001",tblKurallar[kural_id],0))+$D524*INDEX(tblKurallar[deger_2025],MATCH("TBO-002",tblKurallar[kural_id],0))+$E524*INDEX(tblKurallar[deger_2025],MATCH("TBO-004",tblKurallar[kural_id],0))+$F524*tbo_isverenOran,2),0))</f>
        <v/>
      </c>
      <c r="I524" s="31">
        <f>IF($A524="","",IFERROR(MAX(0,$H524-$G524),0))</f>
        <v/>
      </c>
    </row>
    <row r="525">
      <c r="A525" s="30" t="n"/>
      <c r="B525" s="30" t="n"/>
      <c r="C525" s="30" t="n"/>
      <c r="D525" s="30" t="n"/>
      <c r="E525" s="30" t="n"/>
      <c r="F525" s="30" t="n"/>
      <c r="G525" s="30" t="n"/>
      <c r="H525" s="31">
        <f>IF($A525="","",IFERROR(ROUND($C525*INDEX(tblKurallar[deger_2025],MATCH("TBO-001",tblKurallar[kural_id],0))+$D525*INDEX(tblKurallar[deger_2025],MATCH("TBO-002",tblKurallar[kural_id],0))+$E525*INDEX(tblKurallar[deger_2025],MATCH("TBO-004",tblKurallar[kural_id],0))+$F525*tbo_isverenOran,2),0))</f>
        <v/>
      </c>
      <c r="I525" s="31">
        <f>IF($A525="","",IFERROR(MAX(0,$H525-$G525),0))</f>
        <v/>
      </c>
    </row>
    <row r="526">
      <c r="A526" s="30" t="n"/>
      <c r="B526" s="30" t="n"/>
      <c r="C526" s="30" t="n"/>
      <c r="D526" s="30" t="n"/>
      <c r="E526" s="30" t="n"/>
      <c r="F526" s="30" t="n"/>
      <c r="G526" s="30" t="n"/>
      <c r="H526" s="31">
        <f>IF($A526="","",IFERROR(ROUND($C526*INDEX(tblKurallar[deger_2025],MATCH("TBO-001",tblKurallar[kural_id],0))+$D526*INDEX(tblKurallar[deger_2025],MATCH("TBO-002",tblKurallar[kural_id],0))+$E526*INDEX(tblKurallar[deger_2025],MATCH("TBO-004",tblKurallar[kural_id],0))+$F526*tbo_isverenOran,2),0))</f>
        <v/>
      </c>
      <c r="I526" s="31">
        <f>IF($A526="","",IFERROR(MAX(0,$H526-$G526),0))</f>
        <v/>
      </c>
    </row>
    <row r="527">
      <c r="A527" s="30" t="n"/>
      <c r="B527" s="30" t="n"/>
      <c r="C527" s="30" t="n"/>
      <c r="D527" s="30" t="n"/>
      <c r="E527" s="30" t="n"/>
      <c r="F527" s="30" t="n"/>
      <c r="G527" s="30" t="n"/>
      <c r="H527" s="31">
        <f>IF($A527="","",IFERROR(ROUND($C527*INDEX(tblKurallar[deger_2025],MATCH("TBO-001",tblKurallar[kural_id],0))+$D527*INDEX(tblKurallar[deger_2025],MATCH("TBO-002",tblKurallar[kural_id],0))+$E527*INDEX(tblKurallar[deger_2025],MATCH("TBO-004",tblKurallar[kural_id],0))+$F527*tbo_isverenOran,2),0))</f>
        <v/>
      </c>
      <c r="I527" s="31">
        <f>IF($A527="","",IFERROR(MAX(0,$H527-$G527),0))</f>
        <v/>
      </c>
    </row>
    <row r="528">
      <c r="A528" s="30" t="n"/>
      <c r="B528" s="30" t="n"/>
      <c r="C528" s="30" t="n"/>
      <c r="D528" s="30" t="n"/>
      <c r="E528" s="30" t="n"/>
      <c r="F528" s="30" t="n"/>
      <c r="G528" s="30" t="n"/>
      <c r="H528" s="31">
        <f>IF($A528="","",IFERROR(ROUND($C528*INDEX(tblKurallar[deger_2025],MATCH("TBO-001",tblKurallar[kural_id],0))+$D528*INDEX(tblKurallar[deger_2025],MATCH("TBO-002",tblKurallar[kural_id],0))+$E528*INDEX(tblKurallar[deger_2025],MATCH("TBO-004",tblKurallar[kural_id],0))+$F528*tbo_isverenOran,2),0))</f>
        <v/>
      </c>
      <c r="I528" s="31">
        <f>IF($A528="","",IFERROR(MAX(0,$H528-$G528),0))</f>
        <v/>
      </c>
    </row>
    <row r="529">
      <c r="A529" s="30" t="n"/>
      <c r="B529" s="30" t="n"/>
      <c r="C529" s="30" t="n"/>
      <c r="D529" s="30" t="n"/>
      <c r="E529" s="30" t="n"/>
      <c r="F529" s="30" t="n"/>
      <c r="G529" s="30" t="n"/>
      <c r="H529" s="31">
        <f>IF($A529="","",IFERROR(ROUND($C529*INDEX(tblKurallar[deger_2025],MATCH("TBO-001",tblKurallar[kural_id],0))+$D529*INDEX(tblKurallar[deger_2025],MATCH("TBO-002",tblKurallar[kural_id],0))+$E529*INDEX(tblKurallar[deger_2025],MATCH("TBO-004",tblKurallar[kural_id],0))+$F529*tbo_isverenOran,2),0))</f>
        <v/>
      </c>
      <c r="I529" s="31">
        <f>IF($A529="","",IFERROR(MAX(0,$H529-$G529),0))</f>
        <v/>
      </c>
    </row>
    <row r="530">
      <c r="A530" s="30" t="n"/>
      <c r="B530" s="30" t="n"/>
      <c r="C530" s="30" t="n"/>
      <c r="D530" s="30" t="n"/>
      <c r="E530" s="30" t="n"/>
      <c r="F530" s="30" t="n"/>
      <c r="G530" s="30" t="n"/>
      <c r="H530" s="31">
        <f>IF($A530="","",IFERROR(ROUND($C530*INDEX(tblKurallar[deger_2025],MATCH("TBO-001",tblKurallar[kural_id],0))+$D530*INDEX(tblKurallar[deger_2025],MATCH("TBO-002",tblKurallar[kural_id],0))+$E530*INDEX(tblKurallar[deger_2025],MATCH("TBO-004",tblKurallar[kural_id],0))+$F530*tbo_isverenOran,2),0))</f>
        <v/>
      </c>
      <c r="I530" s="31">
        <f>IF($A530="","",IFERROR(MAX(0,$H530-$G530),0))</f>
        <v/>
      </c>
    </row>
    <row r="531">
      <c r="A531" s="30" t="n"/>
      <c r="B531" s="30" t="n"/>
      <c r="C531" s="30" t="n"/>
      <c r="D531" s="30" t="n"/>
      <c r="E531" s="30" t="n"/>
      <c r="F531" s="30" t="n"/>
      <c r="G531" s="30" t="n"/>
      <c r="H531" s="31">
        <f>IF($A531="","",IFERROR(ROUND($C531*INDEX(tblKurallar[deger_2025],MATCH("TBO-001",tblKurallar[kural_id],0))+$D531*INDEX(tblKurallar[deger_2025],MATCH("TBO-002",tblKurallar[kural_id],0))+$E531*INDEX(tblKurallar[deger_2025],MATCH("TBO-004",tblKurallar[kural_id],0))+$F531*tbo_isverenOran,2),0))</f>
        <v/>
      </c>
      <c r="I531" s="31">
        <f>IF($A531="","",IFERROR(MAX(0,$H531-$G531),0))</f>
        <v/>
      </c>
    </row>
    <row r="532">
      <c r="A532" s="30" t="n"/>
      <c r="B532" s="30" t="n"/>
      <c r="C532" s="30" t="n"/>
      <c r="D532" s="30" t="n"/>
      <c r="E532" s="30" t="n"/>
      <c r="F532" s="30" t="n"/>
      <c r="G532" s="30" t="n"/>
      <c r="H532" s="31">
        <f>IF($A532="","",IFERROR(ROUND($C532*INDEX(tblKurallar[deger_2025],MATCH("TBO-001",tblKurallar[kural_id],0))+$D532*INDEX(tblKurallar[deger_2025],MATCH("TBO-002",tblKurallar[kural_id],0))+$E532*INDEX(tblKurallar[deger_2025],MATCH("TBO-004",tblKurallar[kural_id],0))+$F532*tbo_isverenOran,2),0))</f>
        <v/>
      </c>
      <c r="I532" s="31">
        <f>IF($A532="","",IFERROR(MAX(0,$H532-$G532),0))</f>
        <v/>
      </c>
    </row>
    <row r="533">
      <c r="A533" s="30" t="n"/>
      <c r="B533" s="30" t="n"/>
      <c r="C533" s="30" t="n"/>
      <c r="D533" s="30" t="n"/>
      <c r="E533" s="30" t="n"/>
      <c r="F533" s="30" t="n"/>
      <c r="G533" s="30" t="n"/>
      <c r="H533" s="31">
        <f>IF($A533="","",IFERROR(ROUND($C533*INDEX(tblKurallar[deger_2025],MATCH("TBO-001",tblKurallar[kural_id],0))+$D533*INDEX(tblKurallar[deger_2025],MATCH("TBO-002",tblKurallar[kural_id],0))+$E533*INDEX(tblKurallar[deger_2025],MATCH("TBO-004",tblKurallar[kural_id],0))+$F533*tbo_isverenOran,2),0))</f>
        <v/>
      </c>
      <c r="I533" s="31">
        <f>IF($A533="","",IFERROR(MAX(0,$H533-$G533),0))</f>
        <v/>
      </c>
    </row>
    <row r="534">
      <c r="A534" s="30" t="n"/>
      <c r="B534" s="30" t="n"/>
      <c r="C534" s="30" t="n"/>
      <c r="D534" s="30" t="n"/>
      <c r="E534" s="30" t="n"/>
      <c r="F534" s="30" t="n"/>
      <c r="G534" s="30" t="n"/>
      <c r="H534" s="31">
        <f>IF($A534="","",IFERROR(ROUND($C534*INDEX(tblKurallar[deger_2025],MATCH("TBO-001",tblKurallar[kural_id],0))+$D534*INDEX(tblKurallar[deger_2025],MATCH("TBO-002",tblKurallar[kural_id],0))+$E534*INDEX(tblKurallar[deger_2025],MATCH("TBO-004",tblKurallar[kural_id],0))+$F534*tbo_isverenOran,2),0))</f>
        <v/>
      </c>
      <c r="I534" s="31">
        <f>IF($A534="","",IFERROR(MAX(0,$H534-$G534),0))</f>
        <v/>
      </c>
    </row>
    <row r="535">
      <c r="A535" s="30" t="n"/>
      <c r="B535" s="30" t="n"/>
      <c r="C535" s="30" t="n"/>
      <c r="D535" s="30" t="n"/>
      <c r="E535" s="30" t="n"/>
      <c r="F535" s="30" t="n"/>
      <c r="G535" s="30" t="n"/>
      <c r="H535" s="31">
        <f>IF($A535="","",IFERROR(ROUND($C535*INDEX(tblKurallar[deger_2025],MATCH("TBO-001",tblKurallar[kural_id],0))+$D535*INDEX(tblKurallar[deger_2025],MATCH("TBO-002",tblKurallar[kural_id],0))+$E535*INDEX(tblKurallar[deger_2025],MATCH("TBO-004",tblKurallar[kural_id],0))+$F535*tbo_isverenOran,2),0))</f>
        <v/>
      </c>
      <c r="I535" s="31">
        <f>IF($A535="","",IFERROR(MAX(0,$H535-$G535),0))</f>
        <v/>
      </c>
    </row>
    <row r="536">
      <c r="A536" s="30" t="n"/>
      <c r="B536" s="30" t="n"/>
      <c r="C536" s="30" t="n"/>
      <c r="D536" s="30" t="n"/>
      <c r="E536" s="30" t="n"/>
      <c r="F536" s="30" t="n"/>
      <c r="G536" s="30" t="n"/>
      <c r="H536" s="31">
        <f>IF($A536="","",IFERROR(ROUND($C536*INDEX(tblKurallar[deger_2025],MATCH("TBO-001",tblKurallar[kural_id],0))+$D536*INDEX(tblKurallar[deger_2025],MATCH("TBO-002",tblKurallar[kural_id],0))+$E536*INDEX(tblKurallar[deger_2025],MATCH("TBO-004",tblKurallar[kural_id],0))+$F536*tbo_isverenOran,2),0))</f>
        <v/>
      </c>
      <c r="I536" s="31">
        <f>IF($A536="","",IFERROR(MAX(0,$H536-$G536),0))</f>
        <v/>
      </c>
    </row>
    <row r="537">
      <c r="A537" s="30" t="n"/>
      <c r="B537" s="30" t="n"/>
      <c r="C537" s="30" t="n"/>
      <c r="D537" s="30" t="n"/>
      <c r="E537" s="30" t="n"/>
      <c r="F537" s="30" t="n"/>
      <c r="G537" s="30" t="n"/>
      <c r="H537" s="31">
        <f>IF($A537="","",IFERROR(ROUND($C537*INDEX(tblKurallar[deger_2025],MATCH("TBO-001",tblKurallar[kural_id],0))+$D537*INDEX(tblKurallar[deger_2025],MATCH("TBO-002",tblKurallar[kural_id],0))+$E537*INDEX(tblKurallar[deger_2025],MATCH("TBO-004",tblKurallar[kural_id],0))+$F537*tbo_isverenOran,2),0))</f>
        <v/>
      </c>
      <c r="I537" s="31">
        <f>IF($A537="","",IFERROR(MAX(0,$H537-$G537),0))</f>
        <v/>
      </c>
    </row>
    <row r="538">
      <c r="A538" s="30" t="n"/>
      <c r="B538" s="30" t="n"/>
      <c r="C538" s="30" t="n"/>
      <c r="D538" s="30" t="n"/>
      <c r="E538" s="30" t="n"/>
      <c r="F538" s="30" t="n"/>
      <c r="G538" s="30" t="n"/>
      <c r="H538" s="31">
        <f>IF($A538="","",IFERROR(ROUND($C538*INDEX(tblKurallar[deger_2025],MATCH("TBO-001",tblKurallar[kural_id],0))+$D538*INDEX(tblKurallar[deger_2025],MATCH("TBO-002",tblKurallar[kural_id],0))+$E538*INDEX(tblKurallar[deger_2025],MATCH("TBO-004",tblKurallar[kural_id],0))+$F538*tbo_isverenOran,2),0))</f>
        <v/>
      </c>
      <c r="I538" s="31">
        <f>IF($A538="","",IFERROR(MAX(0,$H538-$G538),0))</f>
        <v/>
      </c>
    </row>
    <row r="539">
      <c r="A539" s="30" t="n"/>
      <c r="B539" s="30" t="n"/>
      <c r="C539" s="30" t="n"/>
      <c r="D539" s="30" t="n"/>
      <c r="E539" s="30" t="n"/>
      <c r="F539" s="30" t="n"/>
      <c r="G539" s="30" t="n"/>
      <c r="H539" s="31">
        <f>IF($A539="","",IFERROR(ROUND($C539*INDEX(tblKurallar[deger_2025],MATCH("TBO-001",tblKurallar[kural_id],0))+$D539*INDEX(tblKurallar[deger_2025],MATCH("TBO-002",tblKurallar[kural_id],0))+$E539*INDEX(tblKurallar[deger_2025],MATCH("TBO-004",tblKurallar[kural_id],0))+$F539*tbo_isverenOran,2),0))</f>
        <v/>
      </c>
      <c r="I539" s="31">
        <f>IF($A539="","",IFERROR(MAX(0,$H539-$G539),0))</f>
        <v/>
      </c>
    </row>
    <row r="540">
      <c r="A540" s="30" t="n"/>
      <c r="B540" s="30" t="n"/>
      <c r="C540" s="30" t="n"/>
      <c r="D540" s="30" t="n"/>
      <c r="E540" s="30" t="n"/>
      <c r="F540" s="30" t="n"/>
      <c r="G540" s="30" t="n"/>
      <c r="H540" s="31">
        <f>IF($A540="","",IFERROR(ROUND($C540*INDEX(tblKurallar[deger_2025],MATCH("TBO-001",tblKurallar[kural_id],0))+$D540*INDEX(tblKurallar[deger_2025],MATCH("TBO-002",tblKurallar[kural_id],0))+$E540*INDEX(tblKurallar[deger_2025],MATCH("TBO-004",tblKurallar[kural_id],0))+$F540*tbo_isverenOran,2),0))</f>
        <v/>
      </c>
      <c r="I540" s="31">
        <f>IF($A540="","",IFERROR(MAX(0,$H540-$G540),0))</f>
        <v/>
      </c>
    </row>
    <row r="541">
      <c r="A541" s="30" t="n"/>
      <c r="B541" s="30" t="n"/>
      <c r="C541" s="30" t="n"/>
      <c r="D541" s="30" t="n"/>
      <c r="E541" s="30" t="n"/>
      <c r="F541" s="30" t="n"/>
      <c r="G541" s="30" t="n"/>
      <c r="H541" s="31">
        <f>IF($A541="","",IFERROR(ROUND($C541*INDEX(tblKurallar[deger_2025],MATCH("TBO-001",tblKurallar[kural_id],0))+$D541*INDEX(tblKurallar[deger_2025],MATCH("TBO-002",tblKurallar[kural_id],0))+$E541*INDEX(tblKurallar[deger_2025],MATCH("TBO-004",tblKurallar[kural_id],0))+$F541*tbo_isverenOran,2),0))</f>
        <v/>
      </c>
      <c r="I541" s="31">
        <f>IF($A541="","",IFERROR(MAX(0,$H541-$G541),0))</f>
        <v/>
      </c>
    </row>
    <row r="542">
      <c r="A542" s="30" t="n"/>
      <c r="B542" s="30" t="n"/>
      <c r="C542" s="30" t="n"/>
      <c r="D542" s="30" t="n"/>
      <c r="E542" s="30" t="n"/>
      <c r="F542" s="30" t="n"/>
      <c r="G542" s="30" t="n"/>
      <c r="H542" s="31">
        <f>IF($A542="","",IFERROR(ROUND($C542*INDEX(tblKurallar[deger_2025],MATCH("TBO-001",tblKurallar[kural_id],0))+$D542*INDEX(tblKurallar[deger_2025],MATCH("TBO-002",tblKurallar[kural_id],0))+$E542*INDEX(tblKurallar[deger_2025],MATCH("TBO-004",tblKurallar[kural_id],0))+$F542*tbo_isverenOran,2),0))</f>
        <v/>
      </c>
      <c r="I542" s="31">
        <f>IF($A542="","",IFERROR(MAX(0,$H542-$G542),0))</f>
        <v/>
      </c>
    </row>
    <row r="543">
      <c r="A543" s="30" t="n"/>
      <c r="B543" s="30" t="n"/>
      <c r="C543" s="30" t="n"/>
      <c r="D543" s="30" t="n"/>
      <c r="E543" s="30" t="n"/>
      <c r="F543" s="30" t="n"/>
      <c r="G543" s="30" t="n"/>
      <c r="H543" s="31">
        <f>IF($A543="","",IFERROR(ROUND($C543*INDEX(tblKurallar[deger_2025],MATCH("TBO-001",tblKurallar[kural_id],0))+$D543*INDEX(tblKurallar[deger_2025],MATCH("TBO-002",tblKurallar[kural_id],0))+$E543*INDEX(tblKurallar[deger_2025],MATCH("TBO-004",tblKurallar[kural_id],0))+$F543*tbo_isverenOran,2),0))</f>
        <v/>
      </c>
      <c r="I543" s="31">
        <f>IF($A543="","",IFERROR(MAX(0,$H543-$G543),0))</f>
        <v/>
      </c>
    </row>
    <row r="544">
      <c r="A544" s="30" t="n"/>
      <c r="B544" s="30" t="n"/>
      <c r="C544" s="30" t="n"/>
      <c r="D544" s="30" t="n"/>
      <c r="E544" s="30" t="n"/>
      <c r="F544" s="30" t="n"/>
      <c r="G544" s="30" t="n"/>
      <c r="H544" s="31">
        <f>IF($A544="","",IFERROR(ROUND($C544*INDEX(tblKurallar[deger_2025],MATCH("TBO-001",tblKurallar[kural_id],0))+$D544*INDEX(tblKurallar[deger_2025],MATCH("TBO-002",tblKurallar[kural_id],0))+$E544*INDEX(tblKurallar[deger_2025],MATCH("TBO-004",tblKurallar[kural_id],0))+$F544*tbo_isverenOran,2),0))</f>
        <v/>
      </c>
      <c r="I544" s="31">
        <f>IF($A544="","",IFERROR(MAX(0,$H544-$G544),0))</f>
        <v/>
      </c>
    </row>
    <row r="545">
      <c r="A545" s="30" t="n"/>
      <c r="B545" s="30" t="n"/>
      <c r="C545" s="30" t="n"/>
      <c r="D545" s="30" t="n"/>
      <c r="E545" s="30" t="n"/>
      <c r="F545" s="30" t="n"/>
      <c r="G545" s="30" t="n"/>
      <c r="H545" s="31">
        <f>IF($A545="","",IFERROR(ROUND($C545*INDEX(tblKurallar[deger_2025],MATCH("TBO-001",tblKurallar[kural_id],0))+$D545*INDEX(tblKurallar[deger_2025],MATCH("TBO-002",tblKurallar[kural_id],0))+$E545*INDEX(tblKurallar[deger_2025],MATCH("TBO-004",tblKurallar[kural_id],0))+$F545*tbo_isverenOran,2),0))</f>
        <v/>
      </c>
      <c r="I545" s="31">
        <f>IF($A545="","",IFERROR(MAX(0,$H545-$G545),0))</f>
        <v/>
      </c>
    </row>
    <row r="546">
      <c r="A546" s="30" t="n"/>
      <c r="B546" s="30" t="n"/>
      <c r="C546" s="30" t="n"/>
      <c r="D546" s="30" t="n"/>
      <c r="E546" s="30" t="n"/>
      <c r="F546" s="30" t="n"/>
      <c r="G546" s="30" t="n"/>
      <c r="H546" s="31">
        <f>IF($A546="","",IFERROR(ROUND($C546*INDEX(tblKurallar[deger_2025],MATCH("TBO-001",tblKurallar[kural_id],0))+$D546*INDEX(tblKurallar[deger_2025],MATCH("TBO-002",tblKurallar[kural_id],0))+$E546*INDEX(tblKurallar[deger_2025],MATCH("TBO-004",tblKurallar[kural_id],0))+$F546*tbo_isverenOran,2),0))</f>
        <v/>
      </c>
      <c r="I546" s="31">
        <f>IF($A546="","",IFERROR(MAX(0,$H546-$G546),0))</f>
        <v/>
      </c>
    </row>
    <row r="547">
      <c r="A547" s="30" t="n"/>
      <c r="B547" s="30" t="n"/>
      <c r="C547" s="30" t="n"/>
      <c r="D547" s="30" t="n"/>
      <c r="E547" s="30" t="n"/>
      <c r="F547" s="30" t="n"/>
      <c r="G547" s="30" t="n"/>
      <c r="H547" s="31">
        <f>IF($A547="","",IFERROR(ROUND($C547*INDEX(tblKurallar[deger_2025],MATCH("TBO-001",tblKurallar[kural_id],0))+$D547*INDEX(tblKurallar[deger_2025],MATCH("TBO-002",tblKurallar[kural_id],0))+$E547*INDEX(tblKurallar[deger_2025],MATCH("TBO-004",tblKurallar[kural_id],0))+$F547*tbo_isverenOran,2),0))</f>
        <v/>
      </c>
      <c r="I547" s="31">
        <f>IF($A547="","",IFERROR(MAX(0,$H547-$G547),0))</f>
        <v/>
      </c>
    </row>
    <row r="548">
      <c r="A548" s="30" t="n"/>
      <c r="B548" s="30" t="n"/>
      <c r="C548" s="30" t="n"/>
      <c r="D548" s="30" t="n"/>
      <c r="E548" s="30" t="n"/>
      <c r="F548" s="30" t="n"/>
      <c r="G548" s="30" t="n"/>
      <c r="H548" s="31">
        <f>IF($A548="","",IFERROR(ROUND($C548*INDEX(tblKurallar[deger_2025],MATCH("TBO-001",tblKurallar[kural_id],0))+$D548*INDEX(tblKurallar[deger_2025],MATCH("TBO-002",tblKurallar[kural_id],0))+$E548*INDEX(tblKurallar[deger_2025],MATCH("TBO-004",tblKurallar[kural_id],0))+$F548*tbo_isverenOran,2),0))</f>
        <v/>
      </c>
      <c r="I548" s="31">
        <f>IF($A548="","",IFERROR(MAX(0,$H548-$G548),0))</f>
        <v/>
      </c>
    </row>
    <row r="549">
      <c r="A549" s="30" t="n"/>
      <c r="B549" s="30" t="n"/>
      <c r="C549" s="30" t="n"/>
      <c r="D549" s="30" t="n"/>
      <c r="E549" s="30" t="n"/>
      <c r="F549" s="30" t="n"/>
      <c r="G549" s="30" t="n"/>
      <c r="H549" s="31">
        <f>IF($A549="","",IFERROR(ROUND($C549*INDEX(tblKurallar[deger_2025],MATCH("TBO-001",tblKurallar[kural_id],0))+$D549*INDEX(tblKurallar[deger_2025],MATCH("TBO-002",tblKurallar[kural_id],0))+$E549*INDEX(tblKurallar[deger_2025],MATCH("TBO-004",tblKurallar[kural_id],0))+$F549*tbo_isverenOran,2),0))</f>
        <v/>
      </c>
      <c r="I549" s="31">
        <f>IF($A549="","",IFERROR(MAX(0,$H549-$G549),0))</f>
        <v/>
      </c>
    </row>
    <row r="550">
      <c r="A550" s="30" t="n"/>
      <c r="B550" s="30" t="n"/>
      <c r="C550" s="30" t="n"/>
      <c r="D550" s="30" t="n"/>
      <c r="E550" s="30" t="n"/>
      <c r="F550" s="30" t="n"/>
      <c r="G550" s="30" t="n"/>
      <c r="H550" s="31">
        <f>IF($A550="","",IFERROR(ROUND($C550*INDEX(tblKurallar[deger_2025],MATCH("TBO-001",tblKurallar[kural_id],0))+$D550*INDEX(tblKurallar[deger_2025],MATCH("TBO-002",tblKurallar[kural_id],0))+$E550*INDEX(tblKurallar[deger_2025],MATCH("TBO-004",tblKurallar[kural_id],0))+$F550*tbo_isverenOran,2),0))</f>
        <v/>
      </c>
      <c r="I550" s="31">
        <f>IF($A550="","",IFERROR(MAX(0,$H550-$G550),0))</f>
        <v/>
      </c>
    </row>
    <row r="551">
      <c r="A551" s="30" t="n"/>
      <c r="B551" s="30" t="n"/>
      <c r="C551" s="30" t="n"/>
      <c r="D551" s="30" t="n"/>
      <c r="E551" s="30" t="n"/>
      <c r="F551" s="30" t="n"/>
      <c r="G551" s="30" t="n"/>
      <c r="H551" s="31">
        <f>IF($A551="","",IFERROR(ROUND($C551*INDEX(tblKurallar[deger_2025],MATCH("TBO-001",tblKurallar[kural_id],0))+$D551*INDEX(tblKurallar[deger_2025],MATCH("TBO-002",tblKurallar[kural_id],0))+$E551*INDEX(tblKurallar[deger_2025],MATCH("TBO-004",tblKurallar[kural_id],0))+$F551*tbo_isverenOran,2),0))</f>
        <v/>
      </c>
      <c r="I551" s="31">
        <f>IF($A551="","",IFERROR(MAX(0,$H551-$G551),0))</f>
        <v/>
      </c>
    </row>
    <row r="552">
      <c r="A552" s="30" t="n"/>
      <c r="B552" s="30" t="n"/>
      <c r="C552" s="30" t="n"/>
      <c r="D552" s="30" t="n"/>
      <c r="E552" s="30" t="n"/>
      <c r="F552" s="30" t="n"/>
      <c r="G552" s="30" t="n"/>
      <c r="H552" s="31">
        <f>IF($A552="","",IFERROR(ROUND($C552*INDEX(tblKurallar[deger_2025],MATCH("TBO-001",tblKurallar[kural_id],0))+$D552*INDEX(tblKurallar[deger_2025],MATCH("TBO-002",tblKurallar[kural_id],0))+$E552*INDEX(tblKurallar[deger_2025],MATCH("TBO-004",tblKurallar[kural_id],0))+$F552*tbo_isverenOran,2),0))</f>
        <v/>
      </c>
      <c r="I552" s="31">
        <f>IF($A552="","",IFERROR(MAX(0,$H552-$G552),0))</f>
        <v/>
      </c>
    </row>
    <row r="553">
      <c r="A553" s="30" t="n"/>
      <c r="B553" s="30" t="n"/>
      <c r="C553" s="30" t="n"/>
      <c r="D553" s="30" t="n"/>
      <c r="E553" s="30" t="n"/>
      <c r="F553" s="30" t="n"/>
      <c r="G553" s="30" t="n"/>
      <c r="H553" s="31">
        <f>IF($A553="","",IFERROR(ROUND($C553*INDEX(tblKurallar[deger_2025],MATCH("TBO-001",tblKurallar[kural_id],0))+$D553*INDEX(tblKurallar[deger_2025],MATCH("TBO-002",tblKurallar[kural_id],0))+$E553*INDEX(tblKurallar[deger_2025],MATCH("TBO-004",tblKurallar[kural_id],0))+$F553*tbo_isverenOran,2),0))</f>
        <v/>
      </c>
      <c r="I553" s="31">
        <f>IF($A553="","",IFERROR(MAX(0,$H553-$G553),0))</f>
        <v/>
      </c>
    </row>
    <row r="554">
      <c r="A554" s="30" t="n"/>
      <c r="B554" s="30" t="n"/>
      <c r="C554" s="30" t="n"/>
      <c r="D554" s="30" t="n"/>
      <c r="E554" s="30" t="n"/>
      <c r="F554" s="30" t="n"/>
      <c r="G554" s="30" t="n"/>
      <c r="H554" s="31">
        <f>IF($A554="","",IFERROR(ROUND($C554*INDEX(tblKurallar[deger_2025],MATCH("TBO-001",tblKurallar[kural_id],0))+$D554*INDEX(tblKurallar[deger_2025],MATCH("TBO-002",tblKurallar[kural_id],0))+$E554*INDEX(tblKurallar[deger_2025],MATCH("TBO-004",tblKurallar[kural_id],0))+$F554*tbo_isverenOran,2),0))</f>
        <v/>
      </c>
      <c r="I554" s="31">
        <f>IF($A554="","",IFERROR(MAX(0,$H554-$G554),0))</f>
        <v/>
      </c>
    </row>
    <row r="555">
      <c r="A555" s="30" t="n"/>
      <c r="B555" s="30" t="n"/>
      <c r="C555" s="30" t="n"/>
      <c r="D555" s="30" t="n"/>
      <c r="E555" s="30" t="n"/>
      <c r="F555" s="30" t="n"/>
      <c r="G555" s="30" t="n"/>
      <c r="H555" s="31">
        <f>IF($A555="","",IFERROR(ROUND($C555*INDEX(tblKurallar[deger_2025],MATCH("TBO-001",tblKurallar[kural_id],0))+$D555*INDEX(tblKurallar[deger_2025],MATCH("TBO-002",tblKurallar[kural_id],0))+$E555*INDEX(tblKurallar[deger_2025],MATCH("TBO-004",tblKurallar[kural_id],0))+$F555*tbo_isverenOran,2),0))</f>
        <v/>
      </c>
      <c r="I555" s="31">
        <f>IF($A555="","",IFERROR(MAX(0,$H555-$G555),0))</f>
        <v/>
      </c>
    </row>
    <row r="556">
      <c r="A556" s="30" t="n"/>
      <c r="B556" s="30" t="n"/>
      <c r="C556" s="30" t="n"/>
      <c r="D556" s="30" t="n"/>
      <c r="E556" s="30" t="n"/>
      <c r="F556" s="30" t="n"/>
      <c r="G556" s="30" t="n"/>
      <c r="H556" s="31">
        <f>IF($A556="","",IFERROR(ROUND($C556*INDEX(tblKurallar[deger_2025],MATCH("TBO-001",tblKurallar[kural_id],0))+$D556*INDEX(tblKurallar[deger_2025],MATCH("TBO-002",tblKurallar[kural_id],0))+$E556*INDEX(tblKurallar[deger_2025],MATCH("TBO-004",tblKurallar[kural_id],0))+$F556*tbo_isverenOran,2),0))</f>
        <v/>
      </c>
      <c r="I556" s="31">
        <f>IF($A556="","",IFERROR(MAX(0,$H556-$G556),0))</f>
        <v/>
      </c>
    </row>
    <row r="557">
      <c r="A557" s="30" t="n"/>
      <c r="B557" s="30" t="n"/>
      <c r="C557" s="30" t="n"/>
      <c r="D557" s="30" t="n"/>
      <c r="E557" s="30" t="n"/>
      <c r="F557" s="30" t="n"/>
      <c r="G557" s="30" t="n"/>
      <c r="H557" s="31">
        <f>IF($A557="","",IFERROR(ROUND($C557*INDEX(tblKurallar[deger_2025],MATCH("TBO-001",tblKurallar[kural_id],0))+$D557*INDEX(tblKurallar[deger_2025],MATCH("TBO-002",tblKurallar[kural_id],0))+$E557*INDEX(tblKurallar[deger_2025],MATCH("TBO-004",tblKurallar[kural_id],0))+$F557*tbo_isverenOran,2),0))</f>
        <v/>
      </c>
      <c r="I557" s="31">
        <f>IF($A557="","",IFERROR(MAX(0,$H557-$G557),0))</f>
        <v/>
      </c>
    </row>
    <row r="558">
      <c r="A558" s="30" t="n"/>
      <c r="B558" s="30" t="n"/>
      <c r="C558" s="30" t="n"/>
      <c r="D558" s="30" t="n"/>
      <c r="E558" s="30" t="n"/>
      <c r="F558" s="30" t="n"/>
      <c r="G558" s="30" t="n"/>
      <c r="H558" s="31">
        <f>IF($A558="","",IFERROR(ROUND($C558*INDEX(tblKurallar[deger_2025],MATCH("TBO-001",tblKurallar[kural_id],0))+$D558*INDEX(tblKurallar[deger_2025],MATCH("TBO-002",tblKurallar[kural_id],0))+$E558*INDEX(tblKurallar[deger_2025],MATCH("TBO-004",tblKurallar[kural_id],0))+$F558*tbo_isverenOran,2),0))</f>
        <v/>
      </c>
      <c r="I558" s="31">
        <f>IF($A558="","",IFERROR(MAX(0,$H558-$G558),0))</f>
        <v/>
      </c>
    </row>
    <row r="559">
      <c r="A559" s="30" t="n"/>
      <c r="B559" s="30" t="n"/>
      <c r="C559" s="30" t="n"/>
      <c r="D559" s="30" t="n"/>
      <c r="E559" s="30" t="n"/>
      <c r="F559" s="30" t="n"/>
      <c r="G559" s="30" t="n"/>
      <c r="H559" s="31">
        <f>IF($A559="","",IFERROR(ROUND($C559*INDEX(tblKurallar[deger_2025],MATCH("TBO-001",tblKurallar[kural_id],0))+$D559*INDEX(tblKurallar[deger_2025],MATCH("TBO-002",tblKurallar[kural_id],0))+$E559*INDEX(tblKurallar[deger_2025],MATCH("TBO-004",tblKurallar[kural_id],0))+$F559*tbo_isverenOran,2),0))</f>
        <v/>
      </c>
      <c r="I559" s="31">
        <f>IF($A559="","",IFERROR(MAX(0,$H559-$G559),0))</f>
        <v/>
      </c>
    </row>
    <row r="560">
      <c r="A560" s="30" t="n"/>
      <c r="B560" s="30" t="n"/>
      <c r="C560" s="30" t="n"/>
      <c r="D560" s="30" t="n"/>
      <c r="E560" s="30" t="n"/>
      <c r="F560" s="30" t="n"/>
      <c r="G560" s="30" t="n"/>
      <c r="H560" s="31">
        <f>IF($A560="","",IFERROR(ROUND($C560*INDEX(tblKurallar[deger_2025],MATCH("TBO-001",tblKurallar[kural_id],0))+$D560*INDEX(tblKurallar[deger_2025],MATCH("TBO-002",tblKurallar[kural_id],0))+$E560*INDEX(tblKurallar[deger_2025],MATCH("TBO-004",tblKurallar[kural_id],0))+$F560*tbo_isverenOran,2),0))</f>
        <v/>
      </c>
      <c r="I560" s="31">
        <f>IF($A560="","",IFERROR(MAX(0,$H560-$G560),0))</f>
        <v/>
      </c>
    </row>
    <row r="561">
      <c r="A561" s="30" t="n"/>
      <c r="B561" s="30" t="n"/>
      <c r="C561" s="30" t="n"/>
      <c r="D561" s="30" t="n"/>
      <c r="E561" s="30" t="n"/>
      <c r="F561" s="30" t="n"/>
      <c r="G561" s="30" t="n"/>
      <c r="H561" s="31">
        <f>IF($A561="","",IFERROR(ROUND($C561*INDEX(tblKurallar[deger_2025],MATCH("TBO-001",tblKurallar[kural_id],0))+$D561*INDEX(tblKurallar[deger_2025],MATCH("TBO-002",tblKurallar[kural_id],0))+$E561*INDEX(tblKurallar[deger_2025],MATCH("TBO-004",tblKurallar[kural_id],0))+$F561*tbo_isverenOran,2),0))</f>
        <v/>
      </c>
      <c r="I561" s="31">
        <f>IF($A561="","",IFERROR(MAX(0,$H561-$G561),0))</f>
        <v/>
      </c>
    </row>
    <row r="562">
      <c r="A562" s="30" t="n"/>
      <c r="B562" s="30" t="n"/>
      <c r="C562" s="30" t="n"/>
      <c r="D562" s="30" t="n"/>
      <c r="E562" s="30" t="n"/>
      <c r="F562" s="30" t="n"/>
      <c r="G562" s="30" t="n"/>
      <c r="H562" s="31">
        <f>IF($A562="","",IFERROR(ROUND($C562*INDEX(tblKurallar[deger_2025],MATCH("TBO-001",tblKurallar[kural_id],0))+$D562*INDEX(tblKurallar[deger_2025],MATCH("TBO-002",tblKurallar[kural_id],0))+$E562*INDEX(tblKurallar[deger_2025],MATCH("TBO-004",tblKurallar[kural_id],0))+$F562*tbo_isverenOran,2),0))</f>
        <v/>
      </c>
      <c r="I562" s="31">
        <f>IF($A562="","",IFERROR(MAX(0,$H562-$G562),0))</f>
        <v/>
      </c>
    </row>
    <row r="563">
      <c r="A563" s="30" t="n"/>
      <c r="B563" s="30" t="n"/>
      <c r="C563" s="30" t="n"/>
      <c r="D563" s="30" t="n"/>
      <c r="E563" s="30" t="n"/>
      <c r="F563" s="30" t="n"/>
      <c r="G563" s="30" t="n"/>
      <c r="H563" s="31">
        <f>IF($A563="","",IFERROR(ROUND($C563*INDEX(tblKurallar[deger_2025],MATCH("TBO-001",tblKurallar[kural_id],0))+$D563*INDEX(tblKurallar[deger_2025],MATCH("TBO-002",tblKurallar[kural_id],0))+$E563*INDEX(tblKurallar[deger_2025],MATCH("TBO-004",tblKurallar[kural_id],0))+$F563*tbo_isverenOran,2),0))</f>
        <v/>
      </c>
      <c r="I563" s="31">
        <f>IF($A563="","",IFERROR(MAX(0,$H563-$G563),0))</f>
        <v/>
      </c>
    </row>
    <row r="564">
      <c r="A564" s="30" t="n"/>
      <c r="B564" s="30" t="n"/>
      <c r="C564" s="30" t="n"/>
      <c r="D564" s="30" t="n"/>
      <c r="E564" s="30" t="n"/>
      <c r="F564" s="30" t="n"/>
      <c r="G564" s="30" t="n"/>
      <c r="H564" s="31">
        <f>IF($A564="","",IFERROR(ROUND($C564*INDEX(tblKurallar[deger_2025],MATCH("TBO-001",tblKurallar[kural_id],0))+$D564*INDEX(tblKurallar[deger_2025],MATCH("TBO-002",tblKurallar[kural_id],0))+$E564*INDEX(tblKurallar[deger_2025],MATCH("TBO-004",tblKurallar[kural_id],0))+$F564*tbo_isverenOran,2),0))</f>
        <v/>
      </c>
      <c r="I564" s="31">
        <f>IF($A564="","",IFERROR(MAX(0,$H564-$G564),0))</f>
        <v/>
      </c>
    </row>
    <row r="565">
      <c r="A565" s="30" t="n"/>
      <c r="B565" s="30" t="n"/>
      <c r="C565" s="30" t="n"/>
      <c r="D565" s="30" t="n"/>
      <c r="E565" s="30" t="n"/>
      <c r="F565" s="30" t="n"/>
      <c r="G565" s="30" t="n"/>
      <c r="H565" s="31">
        <f>IF($A565="","",IFERROR(ROUND($C565*INDEX(tblKurallar[deger_2025],MATCH("TBO-001",tblKurallar[kural_id],0))+$D565*INDEX(tblKurallar[deger_2025],MATCH("TBO-002",tblKurallar[kural_id],0))+$E565*INDEX(tblKurallar[deger_2025],MATCH("TBO-004",tblKurallar[kural_id],0))+$F565*tbo_isverenOran,2),0))</f>
        <v/>
      </c>
      <c r="I565" s="31">
        <f>IF($A565="","",IFERROR(MAX(0,$H565-$G565),0))</f>
        <v/>
      </c>
    </row>
    <row r="566">
      <c r="A566" s="30" t="n"/>
      <c r="B566" s="30" t="n"/>
      <c r="C566" s="30" t="n"/>
      <c r="D566" s="30" t="n"/>
      <c r="E566" s="30" t="n"/>
      <c r="F566" s="30" t="n"/>
      <c r="G566" s="30" t="n"/>
      <c r="H566" s="31">
        <f>IF($A566="","",IFERROR(ROUND($C566*INDEX(tblKurallar[deger_2025],MATCH("TBO-001",tblKurallar[kural_id],0))+$D566*INDEX(tblKurallar[deger_2025],MATCH("TBO-002",tblKurallar[kural_id],0))+$E566*INDEX(tblKurallar[deger_2025],MATCH("TBO-004",tblKurallar[kural_id],0))+$F566*tbo_isverenOran,2),0))</f>
        <v/>
      </c>
      <c r="I566" s="31">
        <f>IF($A566="","",IFERROR(MAX(0,$H566-$G566),0))</f>
        <v/>
      </c>
    </row>
    <row r="567">
      <c r="A567" s="30" t="n"/>
      <c r="B567" s="30" t="n"/>
      <c r="C567" s="30" t="n"/>
      <c r="D567" s="30" t="n"/>
      <c r="E567" s="30" t="n"/>
      <c r="F567" s="30" t="n"/>
      <c r="G567" s="30" t="n"/>
      <c r="H567" s="31">
        <f>IF($A567="","",IFERROR(ROUND($C567*INDEX(tblKurallar[deger_2025],MATCH("TBO-001",tblKurallar[kural_id],0))+$D567*INDEX(tblKurallar[deger_2025],MATCH("TBO-002",tblKurallar[kural_id],0))+$E567*INDEX(tblKurallar[deger_2025],MATCH("TBO-004",tblKurallar[kural_id],0))+$F567*tbo_isverenOran,2),0))</f>
        <v/>
      </c>
      <c r="I567" s="31">
        <f>IF($A567="","",IFERROR(MAX(0,$H567-$G567),0))</f>
        <v/>
      </c>
    </row>
    <row r="568">
      <c r="A568" s="30" t="n"/>
      <c r="B568" s="30" t="n"/>
      <c r="C568" s="30" t="n"/>
      <c r="D568" s="30" t="n"/>
      <c r="E568" s="30" t="n"/>
      <c r="F568" s="30" t="n"/>
      <c r="G568" s="30" t="n"/>
      <c r="H568" s="31">
        <f>IF($A568="","",IFERROR(ROUND($C568*INDEX(tblKurallar[deger_2025],MATCH("TBO-001",tblKurallar[kural_id],0))+$D568*INDEX(tblKurallar[deger_2025],MATCH("TBO-002",tblKurallar[kural_id],0))+$E568*INDEX(tblKurallar[deger_2025],MATCH("TBO-004",tblKurallar[kural_id],0))+$F568*tbo_isverenOran,2),0))</f>
        <v/>
      </c>
      <c r="I568" s="31">
        <f>IF($A568="","",IFERROR(MAX(0,$H568-$G568),0))</f>
        <v/>
      </c>
    </row>
    <row r="569">
      <c r="A569" s="30" t="n"/>
      <c r="B569" s="30" t="n"/>
      <c r="C569" s="30" t="n"/>
      <c r="D569" s="30" t="n"/>
      <c r="E569" s="30" t="n"/>
      <c r="F569" s="30" t="n"/>
      <c r="G569" s="30" t="n"/>
      <c r="H569" s="31">
        <f>IF($A569="","",IFERROR(ROUND($C569*INDEX(tblKurallar[deger_2025],MATCH("TBO-001",tblKurallar[kural_id],0))+$D569*INDEX(tblKurallar[deger_2025],MATCH("TBO-002",tblKurallar[kural_id],0))+$E569*INDEX(tblKurallar[deger_2025],MATCH("TBO-004",tblKurallar[kural_id],0))+$F569*tbo_isverenOran,2),0))</f>
        <v/>
      </c>
      <c r="I569" s="31">
        <f>IF($A569="","",IFERROR(MAX(0,$H569-$G569),0))</f>
        <v/>
      </c>
    </row>
    <row r="570">
      <c r="A570" s="30" t="n"/>
      <c r="B570" s="30" t="n"/>
      <c r="C570" s="30" t="n"/>
      <c r="D570" s="30" t="n"/>
      <c r="E570" s="30" t="n"/>
      <c r="F570" s="30" t="n"/>
      <c r="G570" s="30" t="n"/>
      <c r="H570" s="31">
        <f>IF($A570="","",IFERROR(ROUND($C570*INDEX(tblKurallar[deger_2025],MATCH("TBO-001",tblKurallar[kural_id],0))+$D570*INDEX(tblKurallar[deger_2025],MATCH("TBO-002",tblKurallar[kural_id],0))+$E570*INDEX(tblKurallar[deger_2025],MATCH("TBO-004",tblKurallar[kural_id],0))+$F570*tbo_isverenOran,2),0))</f>
        <v/>
      </c>
      <c r="I570" s="31">
        <f>IF($A570="","",IFERROR(MAX(0,$H570-$G570),0))</f>
        <v/>
      </c>
    </row>
    <row r="571">
      <c r="A571" s="30" t="n"/>
      <c r="B571" s="30" t="n"/>
      <c r="C571" s="30" t="n"/>
      <c r="D571" s="30" t="n"/>
      <c r="E571" s="30" t="n"/>
      <c r="F571" s="30" t="n"/>
      <c r="G571" s="30" t="n"/>
      <c r="H571" s="31">
        <f>IF($A571="","",IFERROR(ROUND($C571*INDEX(tblKurallar[deger_2025],MATCH("TBO-001",tblKurallar[kural_id],0))+$D571*INDEX(tblKurallar[deger_2025],MATCH("TBO-002",tblKurallar[kural_id],0))+$E571*INDEX(tblKurallar[deger_2025],MATCH("TBO-004",tblKurallar[kural_id],0))+$F571*tbo_isverenOran,2),0))</f>
        <v/>
      </c>
      <c r="I571" s="31">
        <f>IF($A571="","",IFERROR(MAX(0,$H571-$G571),0))</f>
        <v/>
      </c>
    </row>
    <row r="572">
      <c r="A572" s="30" t="n"/>
      <c r="B572" s="30" t="n"/>
      <c r="C572" s="30" t="n"/>
      <c r="D572" s="30" t="n"/>
      <c r="E572" s="30" t="n"/>
      <c r="F572" s="30" t="n"/>
      <c r="G572" s="30" t="n"/>
      <c r="H572" s="31">
        <f>IF($A572="","",IFERROR(ROUND($C572*INDEX(tblKurallar[deger_2025],MATCH("TBO-001",tblKurallar[kural_id],0))+$D572*INDEX(tblKurallar[deger_2025],MATCH("TBO-002",tblKurallar[kural_id],0))+$E572*INDEX(tblKurallar[deger_2025],MATCH("TBO-004",tblKurallar[kural_id],0))+$F572*tbo_isverenOran,2),0))</f>
        <v/>
      </c>
      <c r="I572" s="31">
        <f>IF($A572="","",IFERROR(MAX(0,$H572-$G572),0))</f>
        <v/>
      </c>
    </row>
    <row r="573">
      <c r="A573" s="30" t="n"/>
      <c r="B573" s="30" t="n"/>
      <c r="C573" s="30" t="n"/>
      <c r="D573" s="30" t="n"/>
      <c r="E573" s="30" t="n"/>
      <c r="F573" s="30" t="n"/>
      <c r="G573" s="30" t="n"/>
      <c r="H573" s="31">
        <f>IF($A573="","",IFERROR(ROUND($C573*INDEX(tblKurallar[deger_2025],MATCH("TBO-001",tblKurallar[kural_id],0))+$D573*INDEX(tblKurallar[deger_2025],MATCH("TBO-002",tblKurallar[kural_id],0))+$E573*INDEX(tblKurallar[deger_2025],MATCH("TBO-004",tblKurallar[kural_id],0))+$F573*tbo_isverenOran,2),0))</f>
        <v/>
      </c>
      <c r="I573" s="31">
        <f>IF($A573="","",IFERROR(MAX(0,$H573-$G573),0))</f>
        <v/>
      </c>
    </row>
    <row r="574">
      <c r="A574" s="30" t="n"/>
      <c r="B574" s="30" t="n"/>
      <c r="C574" s="30" t="n"/>
      <c r="D574" s="30" t="n"/>
      <c r="E574" s="30" t="n"/>
      <c r="F574" s="30" t="n"/>
      <c r="G574" s="30" t="n"/>
      <c r="H574" s="31">
        <f>IF($A574="","",IFERROR(ROUND($C574*INDEX(tblKurallar[deger_2025],MATCH("TBO-001",tblKurallar[kural_id],0))+$D574*INDEX(tblKurallar[deger_2025],MATCH("TBO-002",tblKurallar[kural_id],0))+$E574*INDEX(tblKurallar[deger_2025],MATCH("TBO-004",tblKurallar[kural_id],0))+$F574*tbo_isverenOran,2),0))</f>
        <v/>
      </c>
      <c r="I574" s="31">
        <f>IF($A574="","",IFERROR(MAX(0,$H574-$G574),0))</f>
        <v/>
      </c>
    </row>
    <row r="575">
      <c r="A575" s="30" t="n"/>
      <c r="B575" s="30" t="n"/>
      <c r="C575" s="30" t="n"/>
      <c r="D575" s="30" t="n"/>
      <c r="E575" s="30" t="n"/>
      <c r="F575" s="30" t="n"/>
      <c r="G575" s="30" t="n"/>
      <c r="H575" s="31">
        <f>IF($A575="","",IFERROR(ROUND($C575*INDEX(tblKurallar[deger_2025],MATCH("TBO-001",tblKurallar[kural_id],0))+$D575*INDEX(tblKurallar[deger_2025],MATCH("TBO-002",tblKurallar[kural_id],0))+$E575*INDEX(tblKurallar[deger_2025],MATCH("TBO-004",tblKurallar[kural_id],0))+$F575*tbo_isverenOran,2),0))</f>
        <v/>
      </c>
      <c r="I575" s="31">
        <f>IF($A575="","",IFERROR(MAX(0,$H575-$G575),0))</f>
        <v/>
      </c>
    </row>
    <row r="576">
      <c r="A576" s="30" t="n"/>
      <c r="B576" s="30" t="n"/>
      <c r="C576" s="30" t="n"/>
      <c r="D576" s="30" t="n"/>
      <c r="E576" s="30" t="n"/>
      <c r="F576" s="30" t="n"/>
      <c r="G576" s="30" t="n"/>
      <c r="H576" s="31">
        <f>IF($A576="","",IFERROR(ROUND($C576*INDEX(tblKurallar[deger_2025],MATCH("TBO-001",tblKurallar[kural_id],0))+$D576*INDEX(tblKurallar[deger_2025],MATCH("TBO-002",tblKurallar[kural_id],0))+$E576*INDEX(tblKurallar[deger_2025],MATCH("TBO-004",tblKurallar[kural_id],0))+$F576*tbo_isverenOran,2),0))</f>
        <v/>
      </c>
      <c r="I576" s="31">
        <f>IF($A576="","",IFERROR(MAX(0,$H576-$G576),0))</f>
        <v/>
      </c>
    </row>
    <row r="577">
      <c r="A577" s="30" t="n"/>
      <c r="B577" s="30" t="n"/>
      <c r="C577" s="30" t="n"/>
      <c r="D577" s="30" t="n"/>
      <c r="E577" s="30" t="n"/>
      <c r="F577" s="30" t="n"/>
      <c r="G577" s="30" t="n"/>
      <c r="H577" s="31">
        <f>IF($A577="","",IFERROR(ROUND($C577*INDEX(tblKurallar[deger_2025],MATCH("TBO-001",tblKurallar[kural_id],0))+$D577*INDEX(tblKurallar[deger_2025],MATCH("TBO-002",tblKurallar[kural_id],0))+$E577*INDEX(tblKurallar[deger_2025],MATCH("TBO-004",tblKurallar[kural_id],0))+$F577*tbo_isverenOran,2),0))</f>
        <v/>
      </c>
      <c r="I577" s="31">
        <f>IF($A577="","",IFERROR(MAX(0,$H577-$G577),0))</f>
        <v/>
      </c>
    </row>
    <row r="578">
      <c r="A578" s="30" t="n"/>
      <c r="B578" s="30" t="n"/>
      <c r="C578" s="30" t="n"/>
      <c r="D578" s="30" t="n"/>
      <c r="E578" s="30" t="n"/>
      <c r="F578" s="30" t="n"/>
      <c r="G578" s="30" t="n"/>
      <c r="H578" s="31">
        <f>IF($A578="","",IFERROR(ROUND($C578*INDEX(tblKurallar[deger_2025],MATCH("TBO-001",tblKurallar[kural_id],0))+$D578*INDEX(tblKurallar[deger_2025],MATCH("TBO-002",tblKurallar[kural_id],0))+$E578*INDEX(tblKurallar[deger_2025],MATCH("TBO-004",tblKurallar[kural_id],0))+$F578*tbo_isverenOran,2),0))</f>
        <v/>
      </c>
      <c r="I578" s="31">
        <f>IF($A578="","",IFERROR(MAX(0,$H578-$G578),0))</f>
        <v/>
      </c>
    </row>
    <row r="579">
      <c r="A579" s="30" t="n"/>
      <c r="B579" s="30" t="n"/>
      <c r="C579" s="30" t="n"/>
      <c r="D579" s="30" t="n"/>
      <c r="E579" s="30" t="n"/>
      <c r="F579" s="30" t="n"/>
      <c r="G579" s="30" t="n"/>
      <c r="H579" s="31">
        <f>IF($A579="","",IFERROR(ROUND($C579*INDEX(tblKurallar[deger_2025],MATCH("TBO-001",tblKurallar[kural_id],0))+$D579*INDEX(tblKurallar[deger_2025],MATCH("TBO-002",tblKurallar[kural_id],0))+$E579*INDEX(tblKurallar[deger_2025],MATCH("TBO-004",tblKurallar[kural_id],0))+$F579*tbo_isverenOran,2),0))</f>
        <v/>
      </c>
      <c r="I579" s="31">
        <f>IF($A579="","",IFERROR(MAX(0,$H579-$G579),0))</f>
        <v/>
      </c>
    </row>
    <row r="580">
      <c r="A580" s="30" t="n"/>
      <c r="B580" s="30" t="n"/>
      <c r="C580" s="30" t="n"/>
      <c r="D580" s="30" t="n"/>
      <c r="E580" s="30" t="n"/>
      <c r="F580" s="30" t="n"/>
      <c r="G580" s="30" t="n"/>
      <c r="H580" s="31">
        <f>IF($A580="","",IFERROR(ROUND($C580*INDEX(tblKurallar[deger_2025],MATCH("TBO-001",tblKurallar[kural_id],0))+$D580*INDEX(tblKurallar[deger_2025],MATCH("TBO-002",tblKurallar[kural_id],0))+$E580*INDEX(tblKurallar[deger_2025],MATCH("TBO-004",tblKurallar[kural_id],0))+$F580*tbo_isverenOran,2),0))</f>
        <v/>
      </c>
      <c r="I580" s="31">
        <f>IF($A580="","",IFERROR(MAX(0,$H580-$G580),0))</f>
        <v/>
      </c>
    </row>
    <row r="581">
      <c r="A581" s="30" t="n"/>
      <c r="B581" s="30" t="n"/>
      <c r="C581" s="30" t="n"/>
      <c r="D581" s="30" t="n"/>
      <c r="E581" s="30" t="n"/>
      <c r="F581" s="30" t="n"/>
      <c r="G581" s="30" t="n"/>
      <c r="H581" s="31">
        <f>IF($A581="","",IFERROR(ROUND($C581*INDEX(tblKurallar[deger_2025],MATCH("TBO-001",tblKurallar[kural_id],0))+$D581*INDEX(tblKurallar[deger_2025],MATCH("TBO-002",tblKurallar[kural_id],0))+$E581*INDEX(tblKurallar[deger_2025],MATCH("TBO-004",tblKurallar[kural_id],0))+$F581*tbo_isverenOran,2),0))</f>
        <v/>
      </c>
      <c r="I581" s="31">
        <f>IF($A581="","",IFERROR(MAX(0,$H581-$G581),0))</f>
        <v/>
      </c>
    </row>
    <row r="582">
      <c r="A582" s="30" t="n"/>
      <c r="B582" s="30" t="n"/>
      <c r="C582" s="30" t="n"/>
      <c r="D582" s="30" t="n"/>
      <c r="E582" s="30" t="n"/>
      <c r="F582" s="30" t="n"/>
      <c r="G582" s="30" t="n"/>
      <c r="H582" s="31">
        <f>IF($A582="","",IFERROR(ROUND($C582*INDEX(tblKurallar[deger_2025],MATCH("TBO-001",tblKurallar[kural_id],0))+$D582*INDEX(tblKurallar[deger_2025],MATCH("TBO-002",tblKurallar[kural_id],0))+$E582*INDEX(tblKurallar[deger_2025],MATCH("TBO-004",tblKurallar[kural_id],0))+$F582*tbo_isverenOran,2),0))</f>
        <v/>
      </c>
      <c r="I582" s="31">
        <f>IF($A582="","",IFERROR(MAX(0,$H582-$G582),0))</f>
        <v/>
      </c>
    </row>
    <row r="583">
      <c r="A583" s="30" t="n"/>
      <c r="B583" s="30" t="n"/>
      <c r="C583" s="30" t="n"/>
      <c r="D583" s="30" t="n"/>
      <c r="E583" s="30" t="n"/>
      <c r="F583" s="30" t="n"/>
      <c r="G583" s="30" t="n"/>
      <c r="H583" s="31">
        <f>IF($A583="","",IFERROR(ROUND($C583*INDEX(tblKurallar[deger_2025],MATCH("TBO-001",tblKurallar[kural_id],0))+$D583*INDEX(tblKurallar[deger_2025],MATCH("TBO-002",tblKurallar[kural_id],0))+$E583*INDEX(tblKurallar[deger_2025],MATCH("TBO-004",tblKurallar[kural_id],0))+$F583*tbo_isverenOran,2),0))</f>
        <v/>
      </c>
      <c r="I583" s="31">
        <f>IF($A583="","",IFERROR(MAX(0,$H583-$G583),0))</f>
        <v/>
      </c>
    </row>
    <row r="584">
      <c r="A584" s="30" t="n"/>
      <c r="B584" s="30" t="n"/>
      <c r="C584" s="30" t="n"/>
      <c r="D584" s="30" t="n"/>
      <c r="E584" s="30" t="n"/>
      <c r="F584" s="30" t="n"/>
      <c r="G584" s="30" t="n"/>
      <c r="H584" s="31">
        <f>IF($A584="","",IFERROR(ROUND($C584*INDEX(tblKurallar[deger_2025],MATCH("TBO-001",tblKurallar[kural_id],0))+$D584*INDEX(tblKurallar[deger_2025],MATCH("TBO-002",tblKurallar[kural_id],0))+$E584*INDEX(tblKurallar[deger_2025],MATCH("TBO-004",tblKurallar[kural_id],0))+$F584*tbo_isverenOran,2),0))</f>
        <v/>
      </c>
      <c r="I584" s="31">
        <f>IF($A584="","",IFERROR(MAX(0,$H584-$G584),0))</f>
        <v/>
      </c>
    </row>
    <row r="585">
      <c r="A585" s="30" t="n"/>
      <c r="B585" s="30" t="n"/>
      <c r="C585" s="30" t="n"/>
      <c r="D585" s="30" t="n"/>
      <c r="E585" s="30" t="n"/>
      <c r="F585" s="30" t="n"/>
      <c r="G585" s="30" t="n"/>
      <c r="H585" s="31">
        <f>IF($A585="","",IFERROR(ROUND($C585*INDEX(tblKurallar[deger_2025],MATCH("TBO-001",tblKurallar[kural_id],0))+$D585*INDEX(tblKurallar[deger_2025],MATCH("TBO-002",tblKurallar[kural_id],0))+$E585*INDEX(tblKurallar[deger_2025],MATCH("TBO-004",tblKurallar[kural_id],0))+$F585*tbo_isverenOran,2),0))</f>
        <v/>
      </c>
      <c r="I585" s="31">
        <f>IF($A585="","",IFERROR(MAX(0,$H585-$G585),0))</f>
        <v/>
      </c>
    </row>
    <row r="586">
      <c r="A586" s="30" t="n"/>
      <c r="B586" s="30" t="n"/>
      <c r="C586" s="30" t="n"/>
      <c r="D586" s="30" t="n"/>
      <c r="E586" s="30" t="n"/>
      <c r="F586" s="30" t="n"/>
      <c r="G586" s="30" t="n"/>
      <c r="H586" s="31">
        <f>IF($A586="","",IFERROR(ROUND($C586*INDEX(tblKurallar[deger_2025],MATCH("TBO-001",tblKurallar[kural_id],0))+$D586*INDEX(tblKurallar[deger_2025],MATCH("TBO-002",tblKurallar[kural_id],0))+$E586*INDEX(tblKurallar[deger_2025],MATCH("TBO-004",tblKurallar[kural_id],0))+$F586*tbo_isverenOran,2),0))</f>
        <v/>
      </c>
      <c r="I586" s="31">
        <f>IF($A586="","",IFERROR(MAX(0,$H586-$G586),0))</f>
        <v/>
      </c>
    </row>
    <row r="587">
      <c r="A587" s="30" t="n"/>
      <c r="B587" s="30" t="n"/>
      <c r="C587" s="30" t="n"/>
      <c r="D587" s="30" t="n"/>
      <c r="E587" s="30" t="n"/>
      <c r="F587" s="30" t="n"/>
      <c r="G587" s="30" t="n"/>
      <c r="H587" s="31">
        <f>IF($A587="","",IFERROR(ROUND($C587*INDEX(tblKurallar[deger_2025],MATCH("TBO-001",tblKurallar[kural_id],0))+$D587*INDEX(tblKurallar[deger_2025],MATCH("TBO-002",tblKurallar[kural_id],0))+$E587*INDEX(tblKurallar[deger_2025],MATCH("TBO-004",tblKurallar[kural_id],0))+$F587*tbo_isverenOran,2),0))</f>
        <v/>
      </c>
      <c r="I587" s="31">
        <f>IF($A587="","",IFERROR(MAX(0,$H587-$G587),0))</f>
        <v/>
      </c>
    </row>
    <row r="588">
      <c r="A588" s="30" t="n"/>
      <c r="B588" s="30" t="n"/>
      <c r="C588" s="30" t="n"/>
      <c r="D588" s="30" t="n"/>
      <c r="E588" s="30" t="n"/>
      <c r="F588" s="30" t="n"/>
      <c r="G588" s="30" t="n"/>
      <c r="H588" s="31">
        <f>IF($A588="","",IFERROR(ROUND($C588*INDEX(tblKurallar[deger_2025],MATCH("TBO-001",tblKurallar[kural_id],0))+$D588*INDEX(tblKurallar[deger_2025],MATCH("TBO-002",tblKurallar[kural_id],0))+$E588*INDEX(tblKurallar[deger_2025],MATCH("TBO-004",tblKurallar[kural_id],0))+$F588*tbo_isverenOran,2),0))</f>
        <v/>
      </c>
      <c r="I588" s="31">
        <f>IF($A588="","",IFERROR(MAX(0,$H588-$G588),0))</f>
        <v/>
      </c>
    </row>
    <row r="589">
      <c r="A589" s="30" t="n"/>
      <c r="B589" s="30" t="n"/>
      <c r="C589" s="30" t="n"/>
      <c r="D589" s="30" t="n"/>
      <c r="E589" s="30" t="n"/>
      <c r="F589" s="30" t="n"/>
      <c r="G589" s="30" t="n"/>
      <c r="H589" s="31">
        <f>IF($A589="","",IFERROR(ROUND($C589*INDEX(tblKurallar[deger_2025],MATCH("TBO-001",tblKurallar[kural_id],0))+$D589*INDEX(tblKurallar[deger_2025],MATCH("TBO-002",tblKurallar[kural_id],0))+$E589*INDEX(tblKurallar[deger_2025],MATCH("TBO-004",tblKurallar[kural_id],0))+$F589*tbo_isverenOran,2),0))</f>
        <v/>
      </c>
      <c r="I589" s="31">
        <f>IF($A589="","",IFERROR(MAX(0,$H589-$G589),0))</f>
        <v/>
      </c>
    </row>
    <row r="590">
      <c r="A590" s="30" t="n"/>
      <c r="B590" s="30" t="n"/>
      <c r="C590" s="30" t="n"/>
      <c r="D590" s="30" t="n"/>
      <c r="E590" s="30" t="n"/>
      <c r="F590" s="30" t="n"/>
      <c r="G590" s="30" t="n"/>
      <c r="H590" s="31">
        <f>IF($A590="","",IFERROR(ROUND($C590*INDEX(tblKurallar[deger_2025],MATCH("TBO-001",tblKurallar[kural_id],0))+$D590*INDEX(tblKurallar[deger_2025],MATCH("TBO-002",tblKurallar[kural_id],0))+$E590*INDEX(tblKurallar[deger_2025],MATCH("TBO-004",tblKurallar[kural_id],0))+$F590*tbo_isverenOran,2),0))</f>
        <v/>
      </c>
      <c r="I590" s="31">
        <f>IF($A590="","",IFERROR(MAX(0,$H590-$G590),0))</f>
        <v/>
      </c>
    </row>
    <row r="591">
      <c r="A591" s="30" t="n"/>
      <c r="B591" s="30" t="n"/>
      <c r="C591" s="30" t="n"/>
      <c r="D591" s="30" t="n"/>
      <c r="E591" s="30" t="n"/>
      <c r="F591" s="30" t="n"/>
      <c r="G591" s="30" t="n"/>
      <c r="H591" s="31">
        <f>IF($A591="","",IFERROR(ROUND($C591*INDEX(tblKurallar[deger_2025],MATCH("TBO-001",tblKurallar[kural_id],0))+$D591*INDEX(tblKurallar[deger_2025],MATCH("TBO-002",tblKurallar[kural_id],0))+$E591*INDEX(tblKurallar[deger_2025],MATCH("TBO-004",tblKurallar[kural_id],0))+$F591*tbo_isverenOran,2),0))</f>
        <v/>
      </c>
      <c r="I591" s="31">
        <f>IF($A591="","",IFERROR(MAX(0,$H591-$G591),0))</f>
        <v/>
      </c>
    </row>
    <row r="592">
      <c r="A592" s="30" t="n"/>
      <c r="B592" s="30" t="n"/>
      <c r="C592" s="30" t="n"/>
      <c r="D592" s="30" t="n"/>
      <c r="E592" s="30" t="n"/>
      <c r="F592" s="30" t="n"/>
      <c r="G592" s="30" t="n"/>
      <c r="H592" s="31">
        <f>IF($A592="","",IFERROR(ROUND($C592*INDEX(tblKurallar[deger_2025],MATCH("TBO-001",tblKurallar[kural_id],0))+$D592*INDEX(tblKurallar[deger_2025],MATCH("TBO-002",tblKurallar[kural_id],0))+$E592*INDEX(tblKurallar[deger_2025],MATCH("TBO-004",tblKurallar[kural_id],0))+$F592*tbo_isverenOran,2),0))</f>
        <v/>
      </c>
      <c r="I592" s="31">
        <f>IF($A592="","",IFERROR(MAX(0,$H592-$G592),0))</f>
        <v/>
      </c>
    </row>
    <row r="593">
      <c r="A593" s="30" t="n"/>
      <c r="B593" s="30" t="n"/>
      <c r="C593" s="30" t="n"/>
      <c r="D593" s="30" t="n"/>
      <c r="E593" s="30" t="n"/>
      <c r="F593" s="30" t="n"/>
      <c r="G593" s="30" t="n"/>
      <c r="H593" s="31">
        <f>IF($A593="","",IFERROR(ROUND($C593*INDEX(tblKurallar[deger_2025],MATCH("TBO-001",tblKurallar[kural_id],0))+$D593*INDEX(tblKurallar[deger_2025],MATCH("TBO-002",tblKurallar[kural_id],0))+$E593*INDEX(tblKurallar[deger_2025],MATCH("TBO-004",tblKurallar[kural_id],0))+$F593*tbo_isverenOran,2),0))</f>
        <v/>
      </c>
      <c r="I593" s="31">
        <f>IF($A593="","",IFERROR(MAX(0,$H593-$G593),0))</f>
        <v/>
      </c>
    </row>
    <row r="594">
      <c r="A594" s="30" t="n"/>
      <c r="B594" s="30" t="n"/>
      <c r="C594" s="30" t="n"/>
      <c r="D594" s="30" t="n"/>
      <c r="E594" s="30" t="n"/>
      <c r="F594" s="30" t="n"/>
      <c r="G594" s="30" t="n"/>
      <c r="H594" s="31">
        <f>IF($A594="","",IFERROR(ROUND($C594*INDEX(tblKurallar[deger_2025],MATCH("TBO-001",tblKurallar[kural_id],0))+$D594*INDEX(tblKurallar[deger_2025],MATCH("TBO-002",tblKurallar[kural_id],0))+$E594*INDEX(tblKurallar[deger_2025],MATCH("TBO-004",tblKurallar[kural_id],0))+$F594*tbo_isverenOran,2),0))</f>
        <v/>
      </c>
      <c r="I594" s="31">
        <f>IF($A594="","",IFERROR(MAX(0,$H594-$G594),0))</f>
        <v/>
      </c>
    </row>
    <row r="595">
      <c r="A595" s="30" t="n"/>
      <c r="B595" s="30" t="n"/>
      <c r="C595" s="30" t="n"/>
      <c r="D595" s="30" t="n"/>
      <c r="E595" s="30" t="n"/>
      <c r="F595" s="30" t="n"/>
      <c r="G595" s="30" t="n"/>
      <c r="H595" s="31">
        <f>IF($A595="","",IFERROR(ROUND($C595*INDEX(tblKurallar[deger_2025],MATCH("TBO-001",tblKurallar[kural_id],0))+$D595*INDEX(tblKurallar[deger_2025],MATCH("TBO-002",tblKurallar[kural_id],0))+$E595*INDEX(tblKurallar[deger_2025],MATCH("TBO-004",tblKurallar[kural_id],0))+$F595*tbo_isverenOran,2),0))</f>
        <v/>
      </c>
      <c r="I595" s="31">
        <f>IF($A595="","",IFERROR(MAX(0,$H595-$G595),0))</f>
        <v/>
      </c>
    </row>
    <row r="596">
      <c r="A596" s="30" t="n"/>
      <c r="B596" s="30" t="n"/>
      <c r="C596" s="30" t="n"/>
      <c r="D596" s="30" t="n"/>
      <c r="E596" s="30" t="n"/>
      <c r="F596" s="30" t="n"/>
      <c r="G596" s="30" t="n"/>
      <c r="H596" s="31">
        <f>IF($A596="","",IFERROR(ROUND($C596*INDEX(tblKurallar[deger_2025],MATCH("TBO-001",tblKurallar[kural_id],0))+$D596*INDEX(tblKurallar[deger_2025],MATCH("TBO-002",tblKurallar[kural_id],0))+$E596*INDEX(tblKurallar[deger_2025],MATCH("TBO-004",tblKurallar[kural_id],0))+$F596*tbo_isverenOran,2),0))</f>
        <v/>
      </c>
      <c r="I596" s="31">
        <f>IF($A596="","",IFERROR(MAX(0,$H596-$G596),0))</f>
        <v/>
      </c>
    </row>
    <row r="597">
      <c r="A597" s="30" t="n"/>
      <c r="B597" s="30" t="n"/>
      <c r="C597" s="30" t="n"/>
      <c r="D597" s="30" t="n"/>
      <c r="E597" s="30" t="n"/>
      <c r="F597" s="30" t="n"/>
      <c r="G597" s="30" t="n"/>
      <c r="H597" s="31">
        <f>IF($A597="","",IFERROR(ROUND($C597*INDEX(tblKurallar[deger_2025],MATCH("TBO-001",tblKurallar[kural_id],0))+$D597*INDEX(tblKurallar[deger_2025],MATCH("TBO-002",tblKurallar[kural_id],0))+$E597*INDEX(tblKurallar[deger_2025],MATCH("TBO-004",tblKurallar[kural_id],0))+$F597*tbo_isverenOran,2),0))</f>
        <v/>
      </c>
      <c r="I597" s="31">
        <f>IF($A597="","",IFERROR(MAX(0,$H597-$G597),0))</f>
        <v/>
      </c>
    </row>
    <row r="598">
      <c r="A598" s="30" t="n"/>
      <c r="B598" s="30" t="n"/>
      <c r="C598" s="30" t="n"/>
      <c r="D598" s="30" t="n"/>
      <c r="E598" s="30" t="n"/>
      <c r="F598" s="30" t="n"/>
      <c r="G598" s="30" t="n"/>
      <c r="H598" s="31">
        <f>IF($A598="","",IFERROR(ROUND($C598*INDEX(tblKurallar[deger_2025],MATCH("TBO-001",tblKurallar[kural_id],0))+$D598*INDEX(tblKurallar[deger_2025],MATCH("TBO-002",tblKurallar[kural_id],0))+$E598*INDEX(tblKurallar[deger_2025],MATCH("TBO-004",tblKurallar[kural_id],0))+$F598*tbo_isverenOran,2),0))</f>
        <v/>
      </c>
      <c r="I598" s="31">
        <f>IF($A598="","",IFERROR(MAX(0,$H598-$G598),0))</f>
        <v/>
      </c>
    </row>
    <row r="599">
      <c r="A599" s="30" t="n"/>
      <c r="B599" s="30" t="n"/>
      <c r="C599" s="30" t="n"/>
      <c r="D599" s="30" t="n"/>
      <c r="E599" s="30" t="n"/>
      <c r="F599" s="30" t="n"/>
      <c r="G599" s="30" t="n"/>
      <c r="H599" s="31">
        <f>IF($A599="","",IFERROR(ROUND($C599*INDEX(tblKurallar[deger_2025],MATCH("TBO-001",tblKurallar[kural_id],0))+$D599*INDEX(tblKurallar[deger_2025],MATCH("TBO-002",tblKurallar[kural_id],0))+$E599*INDEX(tblKurallar[deger_2025],MATCH("TBO-004",tblKurallar[kural_id],0))+$F599*tbo_isverenOran,2),0))</f>
        <v/>
      </c>
      <c r="I599" s="31">
        <f>IF($A599="","",IFERROR(MAX(0,$H599-$G599),0))</f>
        <v/>
      </c>
    </row>
    <row r="600">
      <c r="A600" s="30" t="n"/>
      <c r="B600" s="30" t="n"/>
      <c r="C600" s="30" t="n"/>
      <c r="D600" s="30" t="n"/>
      <c r="E600" s="30" t="n"/>
      <c r="F600" s="30" t="n"/>
      <c r="G600" s="30" t="n"/>
      <c r="H600" s="31">
        <f>IF($A600="","",IFERROR(ROUND($C600*INDEX(tblKurallar[deger_2025],MATCH("TBO-001",tblKurallar[kural_id],0))+$D600*INDEX(tblKurallar[deger_2025],MATCH("TBO-002",tblKurallar[kural_id],0))+$E600*INDEX(tblKurallar[deger_2025],MATCH("TBO-004",tblKurallar[kural_id],0))+$F600*tbo_isverenOran,2),0))</f>
        <v/>
      </c>
      <c r="I600" s="31">
        <f>IF($A600="","",IFERROR(MAX(0,$H600-$G600),0))</f>
        <v/>
      </c>
    </row>
    <row r="601">
      <c r="A601" s="30" t="n"/>
      <c r="B601" s="30" t="n"/>
      <c r="C601" s="30" t="n"/>
      <c r="D601" s="30" t="n"/>
      <c r="E601" s="30" t="n"/>
      <c r="F601" s="30" t="n"/>
      <c r="G601" s="30" t="n"/>
      <c r="H601" s="31">
        <f>IF($A601="","",IFERROR(ROUND($C601*INDEX(tblKurallar[deger_2025],MATCH("TBO-001",tblKurallar[kural_id],0))+$D601*INDEX(tblKurallar[deger_2025],MATCH("TBO-002",tblKurallar[kural_id],0))+$E601*INDEX(tblKurallar[deger_2025],MATCH("TBO-004",tblKurallar[kural_id],0))+$F601*tbo_isverenOran,2),0))</f>
        <v/>
      </c>
      <c r="I601" s="31">
        <f>IF($A601="","",IFERROR(MAX(0,$H601-$G601),0))</f>
        <v/>
      </c>
    </row>
    <row r="602">
      <c r="A602" s="30" t="n"/>
      <c r="B602" s="30" t="n"/>
      <c r="C602" s="30" t="n"/>
      <c r="D602" s="30" t="n"/>
      <c r="E602" s="30" t="n"/>
      <c r="F602" s="30" t="n"/>
      <c r="G602" s="30" t="n"/>
      <c r="H602" s="31">
        <f>IF($A602="","",IFERROR(ROUND($C602*INDEX(tblKurallar[deger_2025],MATCH("TBO-001",tblKurallar[kural_id],0))+$D602*INDEX(tblKurallar[deger_2025],MATCH("TBO-002",tblKurallar[kural_id],0))+$E602*INDEX(tblKurallar[deger_2025],MATCH("TBO-004",tblKurallar[kural_id],0))+$F602*tbo_isverenOran,2),0))</f>
        <v/>
      </c>
      <c r="I602" s="31">
        <f>IF($A602="","",IFERROR(MAX(0,$H602-$G602),0))</f>
        <v/>
      </c>
    </row>
    <row r="603">
      <c r="A603" s="30" t="n"/>
      <c r="B603" s="30" t="n"/>
      <c r="C603" s="30" t="n"/>
      <c r="D603" s="30" t="n"/>
      <c r="E603" s="30" t="n"/>
      <c r="F603" s="30" t="n"/>
      <c r="G603" s="30" t="n"/>
      <c r="H603" s="31">
        <f>IF($A603="","",IFERROR(ROUND($C603*INDEX(tblKurallar[deger_2025],MATCH("TBO-001",tblKurallar[kural_id],0))+$D603*INDEX(tblKurallar[deger_2025],MATCH("TBO-002",tblKurallar[kural_id],0))+$E603*INDEX(tblKurallar[deger_2025],MATCH("TBO-004",tblKurallar[kural_id],0))+$F603*tbo_isverenOran,2),0))</f>
        <v/>
      </c>
      <c r="I603" s="31">
        <f>IF($A603="","",IFERROR(MAX(0,$H603-$G603),0))</f>
        <v/>
      </c>
    </row>
    <row r="604">
      <c r="A604" s="30" t="n"/>
      <c r="B604" s="30" t="n"/>
      <c r="C604" s="30" t="n"/>
      <c r="D604" s="30" t="n"/>
      <c r="E604" s="30" t="n"/>
      <c r="F604" s="30" t="n"/>
      <c r="G604" s="30" t="n"/>
      <c r="H604" s="31">
        <f>IF($A604="","",IFERROR(ROUND($C604*INDEX(tblKurallar[deger_2025],MATCH("TBO-001",tblKurallar[kural_id],0))+$D604*INDEX(tblKurallar[deger_2025],MATCH("TBO-002",tblKurallar[kural_id],0))+$E604*INDEX(tblKurallar[deger_2025],MATCH("TBO-004",tblKurallar[kural_id],0))+$F604*tbo_isverenOran,2),0))</f>
        <v/>
      </c>
      <c r="I604" s="31">
        <f>IF($A604="","",IFERROR(MAX(0,$H604-$G604),0))</f>
        <v/>
      </c>
    </row>
    <row r="605">
      <c r="A605" s="30" t="n"/>
      <c r="B605" s="30" t="n"/>
      <c r="C605" s="30" t="n"/>
      <c r="D605" s="30" t="n"/>
      <c r="E605" s="30" t="n"/>
      <c r="F605" s="30" t="n"/>
      <c r="G605" s="30" t="n"/>
      <c r="H605" s="31">
        <f>IF($A605="","",IFERROR(ROUND($C605*INDEX(tblKurallar[deger_2025],MATCH("TBO-001",tblKurallar[kural_id],0))+$D605*INDEX(tblKurallar[deger_2025],MATCH("TBO-002",tblKurallar[kural_id],0))+$E605*INDEX(tblKurallar[deger_2025],MATCH("TBO-004",tblKurallar[kural_id],0))+$F605*tbo_isverenOran,2),0))</f>
        <v/>
      </c>
      <c r="I605" s="31">
        <f>IF($A605="","",IFERROR(MAX(0,$H605-$G605),0))</f>
        <v/>
      </c>
    </row>
    <row r="606">
      <c r="A606" s="30" t="n"/>
      <c r="B606" s="30" t="n"/>
      <c r="C606" s="30" t="n"/>
      <c r="D606" s="30" t="n"/>
      <c r="E606" s="30" t="n"/>
      <c r="F606" s="30" t="n"/>
      <c r="G606" s="30" t="n"/>
      <c r="H606" s="31">
        <f>IF($A606="","",IFERROR(ROUND($C606*INDEX(tblKurallar[deger_2025],MATCH("TBO-001",tblKurallar[kural_id],0))+$D606*INDEX(tblKurallar[deger_2025],MATCH("TBO-002",tblKurallar[kural_id],0))+$E606*INDEX(tblKurallar[deger_2025],MATCH("TBO-004",tblKurallar[kural_id],0))+$F606*tbo_isverenOran,2),0))</f>
        <v/>
      </c>
      <c r="I606" s="31">
        <f>IF($A606="","",IFERROR(MAX(0,$H606-$G606),0))</f>
        <v/>
      </c>
    </row>
    <row r="607">
      <c r="A607" s="30" t="n"/>
      <c r="B607" s="30" t="n"/>
      <c r="C607" s="30" t="n"/>
      <c r="D607" s="30" t="n"/>
      <c r="E607" s="30" t="n"/>
      <c r="F607" s="30" t="n"/>
      <c r="G607" s="30" t="n"/>
      <c r="H607" s="31">
        <f>IF($A607="","",IFERROR(ROUND($C607*INDEX(tblKurallar[deger_2025],MATCH("TBO-001",tblKurallar[kural_id],0))+$D607*INDEX(tblKurallar[deger_2025],MATCH("TBO-002",tblKurallar[kural_id],0))+$E607*INDEX(tblKurallar[deger_2025],MATCH("TBO-004",tblKurallar[kural_id],0))+$F607*tbo_isverenOran,2),0))</f>
        <v/>
      </c>
      <c r="I607" s="31">
        <f>IF($A607="","",IFERROR(MAX(0,$H607-$G607),0))</f>
        <v/>
      </c>
    </row>
    <row r="608">
      <c r="A608" s="30" t="n"/>
      <c r="B608" s="30" t="n"/>
      <c r="C608" s="30" t="n"/>
      <c r="D608" s="30" t="n"/>
      <c r="E608" s="30" t="n"/>
      <c r="F608" s="30" t="n"/>
      <c r="G608" s="30" t="n"/>
      <c r="H608" s="31">
        <f>IF($A608="","",IFERROR(ROUND($C608*INDEX(tblKurallar[deger_2025],MATCH("TBO-001",tblKurallar[kural_id],0))+$D608*INDEX(tblKurallar[deger_2025],MATCH("TBO-002",tblKurallar[kural_id],0))+$E608*INDEX(tblKurallar[deger_2025],MATCH("TBO-004",tblKurallar[kural_id],0))+$F608*tbo_isverenOran,2),0))</f>
        <v/>
      </c>
      <c r="I608" s="31">
        <f>IF($A608="","",IFERROR(MAX(0,$H608-$G608),0))</f>
        <v/>
      </c>
    </row>
    <row r="609">
      <c r="A609" s="30" t="n"/>
      <c r="B609" s="30" t="n"/>
      <c r="C609" s="30" t="n"/>
      <c r="D609" s="30" t="n"/>
      <c r="E609" s="30" t="n"/>
      <c r="F609" s="30" t="n"/>
      <c r="G609" s="30" t="n"/>
      <c r="H609" s="31">
        <f>IF($A609="","",IFERROR(ROUND($C609*INDEX(tblKurallar[deger_2025],MATCH("TBO-001",tblKurallar[kural_id],0))+$D609*INDEX(tblKurallar[deger_2025],MATCH("TBO-002",tblKurallar[kural_id],0))+$E609*INDEX(tblKurallar[deger_2025],MATCH("TBO-004",tblKurallar[kural_id],0))+$F609*tbo_isverenOran,2),0))</f>
        <v/>
      </c>
      <c r="I609" s="31">
        <f>IF($A609="","",IFERROR(MAX(0,$H609-$G609),0))</f>
        <v/>
      </c>
    </row>
    <row r="610">
      <c r="A610" s="30" t="n"/>
      <c r="B610" s="30" t="n"/>
      <c r="C610" s="30" t="n"/>
      <c r="D610" s="30" t="n"/>
      <c r="E610" s="30" t="n"/>
      <c r="F610" s="30" t="n"/>
      <c r="G610" s="30" t="n"/>
      <c r="H610" s="31">
        <f>IF($A610="","",IFERROR(ROUND($C610*INDEX(tblKurallar[deger_2025],MATCH("TBO-001",tblKurallar[kural_id],0))+$D610*INDEX(tblKurallar[deger_2025],MATCH("TBO-002",tblKurallar[kural_id],0))+$E610*INDEX(tblKurallar[deger_2025],MATCH("TBO-004",tblKurallar[kural_id],0))+$F610*tbo_isverenOran,2),0))</f>
        <v/>
      </c>
      <c r="I610" s="31">
        <f>IF($A610="","",IFERROR(MAX(0,$H610-$G610),0))</f>
        <v/>
      </c>
    </row>
    <row r="611">
      <c r="A611" s="30" t="n"/>
      <c r="B611" s="30" t="n"/>
      <c r="C611" s="30" t="n"/>
      <c r="D611" s="30" t="n"/>
      <c r="E611" s="30" t="n"/>
      <c r="F611" s="30" t="n"/>
      <c r="G611" s="30" t="n"/>
      <c r="H611" s="31">
        <f>IF($A611="","",IFERROR(ROUND($C611*INDEX(tblKurallar[deger_2025],MATCH("TBO-001",tblKurallar[kural_id],0))+$D611*INDEX(tblKurallar[deger_2025],MATCH("TBO-002",tblKurallar[kural_id],0))+$E611*INDEX(tblKurallar[deger_2025],MATCH("TBO-004",tblKurallar[kural_id],0))+$F611*tbo_isverenOran,2),0))</f>
        <v/>
      </c>
      <c r="I611" s="31">
        <f>IF($A611="","",IFERROR(MAX(0,$H611-$G611),0))</f>
        <v/>
      </c>
    </row>
    <row r="612">
      <c r="A612" s="30" t="n"/>
      <c r="B612" s="30" t="n"/>
      <c r="C612" s="30" t="n"/>
      <c r="D612" s="30" t="n"/>
      <c r="E612" s="30" t="n"/>
      <c r="F612" s="30" t="n"/>
      <c r="G612" s="30" t="n"/>
      <c r="H612" s="31">
        <f>IF($A612="","",IFERROR(ROUND($C612*INDEX(tblKurallar[deger_2025],MATCH("TBO-001",tblKurallar[kural_id],0))+$D612*INDEX(tblKurallar[deger_2025],MATCH("TBO-002",tblKurallar[kural_id],0))+$E612*INDEX(tblKurallar[deger_2025],MATCH("TBO-004",tblKurallar[kural_id],0))+$F612*tbo_isverenOran,2),0))</f>
        <v/>
      </c>
      <c r="I612" s="31">
        <f>IF($A612="","",IFERROR(MAX(0,$H612-$G612),0))</f>
        <v/>
      </c>
    </row>
    <row r="613">
      <c r="A613" s="30" t="n"/>
      <c r="B613" s="30" t="n"/>
      <c r="C613" s="30" t="n"/>
      <c r="D613" s="30" t="n"/>
      <c r="E613" s="30" t="n"/>
      <c r="F613" s="30" t="n"/>
      <c r="G613" s="30" t="n"/>
      <c r="H613" s="31">
        <f>IF($A613="","",IFERROR(ROUND($C613*INDEX(tblKurallar[deger_2025],MATCH("TBO-001",tblKurallar[kural_id],0))+$D613*INDEX(tblKurallar[deger_2025],MATCH("TBO-002",tblKurallar[kural_id],0))+$E613*INDEX(tblKurallar[deger_2025],MATCH("TBO-004",tblKurallar[kural_id],0))+$F613*tbo_isverenOran,2),0))</f>
        <v/>
      </c>
      <c r="I613" s="31">
        <f>IF($A613="","",IFERROR(MAX(0,$H613-$G613),0))</f>
        <v/>
      </c>
    </row>
    <row r="614">
      <c r="A614" s="30" t="n"/>
      <c r="B614" s="30" t="n"/>
      <c r="C614" s="30" t="n"/>
      <c r="D614" s="30" t="n"/>
      <c r="E614" s="30" t="n"/>
      <c r="F614" s="30" t="n"/>
      <c r="G614" s="30" t="n"/>
      <c r="H614" s="31">
        <f>IF($A614="","",IFERROR(ROUND($C614*INDEX(tblKurallar[deger_2025],MATCH("TBO-001",tblKurallar[kural_id],0))+$D614*INDEX(tblKurallar[deger_2025],MATCH("TBO-002",tblKurallar[kural_id],0))+$E614*INDEX(tblKurallar[deger_2025],MATCH("TBO-004",tblKurallar[kural_id],0))+$F614*tbo_isverenOran,2),0))</f>
        <v/>
      </c>
      <c r="I614" s="31">
        <f>IF($A614="","",IFERROR(MAX(0,$H614-$G614),0))</f>
        <v/>
      </c>
    </row>
    <row r="615">
      <c r="A615" s="30" t="n"/>
      <c r="B615" s="30" t="n"/>
      <c r="C615" s="30" t="n"/>
      <c r="D615" s="30" t="n"/>
      <c r="E615" s="30" t="n"/>
      <c r="F615" s="30" t="n"/>
      <c r="G615" s="30" t="n"/>
      <c r="H615" s="31">
        <f>IF($A615="","",IFERROR(ROUND($C615*INDEX(tblKurallar[deger_2025],MATCH("TBO-001",tblKurallar[kural_id],0))+$D615*INDEX(tblKurallar[deger_2025],MATCH("TBO-002",tblKurallar[kural_id],0))+$E615*INDEX(tblKurallar[deger_2025],MATCH("TBO-004",tblKurallar[kural_id],0))+$F615*tbo_isverenOran,2),0))</f>
        <v/>
      </c>
      <c r="I615" s="31">
        <f>IF($A615="","",IFERROR(MAX(0,$H615-$G615),0))</f>
        <v/>
      </c>
    </row>
    <row r="616">
      <c r="A616" s="30" t="n"/>
      <c r="B616" s="30" t="n"/>
      <c r="C616" s="30" t="n"/>
      <c r="D616" s="30" t="n"/>
      <c r="E616" s="30" t="n"/>
      <c r="F616" s="30" t="n"/>
      <c r="G616" s="30" t="n"/>
      <c r="H616" s="31">
        <f>IF($A616="","",IFERROR(ROUND($C616*INDEX(tblKurallar[deger_2025],MATCH("TBO-001",tblKurallar[kural_id],0))+$D616*INDEX(tblKurallar[deger_2025],MATCH("TBO-002",tblKurallar[kural_id],0))+$E616*INDEX(tblKurallar[deger_2025],MATCH("TBO-004",tblKurallar[kural_id],0))+$F616*tbo_isverenOran,2),0))</f>
        <v/>
      </c>
      <c r="I616" s="31">
        <f>IF($A616="","",IFERROR(MAX(0,$H616-$G616),0))</f>
        <v/>
      </c>
    </row>
    <row r="617">
      <c r="A617" s="30" t="n"/>
      <c r="B617" s="30" t="n"/>
      <c r="C617" s="30" t="n"/>
      <c r="D617" s="30" t="n"/>
      <c r="E617" s="30" t="n"/>
      <c r="F617" s="30" t="n"/>
      <c r="G617" s="30" t="n"/>
      <c r="H617" s="31">
        <f>IF($A617="","",IFERROR(ROUND($C617*INDEX(tblKurallar[deger_2025],MATCH("TBO-001",tblKurallar[kural_id],0))+$D617*INDEX(tblKurallar[deger_2025],MATCH("TBO-002",tblKurallar[kural_id],0))+$E617*INDEX(tblKurallar[deger_2025],MATCH("TBO-004",tblKurallar[kural_id],0))+$F617*tbo_isverenOran,2),0))</f>
        <v/>
      </c>
      <c r="I617" s="31">
        <f>IF($A617="","",IFERROR(MAX(0,$H617-$G617),0))</f>
        <v/>
      </c>
    </row>
    <row r="618">
      <c r="A618" s="30" t="n"/>
      <c r="B618" s="30" t="n"/>
      <c r="C618" s="30" t="n"/>
      <c r="D618" s="30" t="n"/>
      <c r="E618" s="30" t="n"/>
      <c r="F618" s="30" t="n"/>
      <c r="G618" s="30" t="n"/>
      <c r="H618" s="31">
        <f>IF($A618="","",IFERROR(ROUND($C618*INDEX(tblKurallar[deger_2025],MATCH("TBO-001",tblKurallar[kural_id],0))+$D618*INDEX(tblKurallar[deger_2025],MATCH("TBO-002",tblKurallar[kural_id],0))+$E618*INDEX(tblKurallar[deger_2025],MATCH("TBO-004",tblKurallar[kural_id],0))+$F618*tbo_isverenOran,2),0))</f>
        <v/>
      </c>
      <c r="I618" s="31">
        <f>IF($A618="","",IFERROR(MAX(0,$H618-$G618),0))</f>
        <v/>
      </c>
    </row>
    <row r="619">
      <c r="A619" s="30" t="n"/>
      <c r="B619" s="30" t="n"/>
      <c r="C619" s="30" t="n"/>
      <c r="D619" s="30" t="n"/>
      <c r="E619" s="30" t="n"/>
      <c r="F619" s="30" t="n"/>
      <c r="G619" s="30" t="n"/>
      <c r="H619" s="31">
        <f>IF($A619="","",IFERROR(ROUND($C619*INDEX(tblKurallar[deger_2025],MATCH("TBO-001",tblKurallar[kural_id],0))+$D619*INDEX(tblKurallar[deger_2025],MATCH("TBO-002",tblKurallar[kural_id],0))+$E619*INDEX(tblKurallar[deger_2025],MATCH("TBO-004",tblKurallar[kural_id],0))+$F619*tbo_isverenOran,2),0))</f>
        <v/>
      </c>
      <c r="I619" s="31">
        <f>IF($A619="","",IFERROR(MAX(0,$H619-$G619),0))</f>
        <v/>
      </c>
    </row>
    <row r="620">
      <c r="A620" s="30" t="n"/>
      <c r="B620" s="30" t="n"/>
      <c r="C620" s="30" t="n"/>
      <c r="D620" s="30" t="n"/>
      <c r="E620" s="30" t="n"/>
      <c r="F620" s="30" t="n"/>
      <c r="G620" s="30" t="n"/>
      <c r="H620" s="31">
        <f>IF($A620="","",IFERROR(ROUND($C620*INDEX(tblKurallar[deger_2025],MATCH("TBO-001",tblKurallar[kural_id],0))+$D620*INDEX(tblKurallar[deger_2025],MATCH("TBO-002",tblKurallar[kural_id],0))+$E620*INDEX(tblKurallar[deger_2025],MATCH("TBO-004",tblKurallar[kural_id],0))+$F620*tbo_isverenOran,2),0))</f>
        <v/>
      </c>
      <c r="I620" s="31">
        <f>IF($A620="","",IFERROR(MAX(0,$H620-$G620),0))</f>
        <v/>
      </c>
    </row>
    <row r="621">
      <c r="A621" s="30" t="n"/>
      <c r="B621" s="30" t="n"/>
      <c r="C621" s="30" t="n"/>
      <c r="D621" s="30" t="n"/>
      <c r="E621" s="30" t="n"/>
      <c r="F621" s="30" t="n"/>
      <c r="G621" s="30" t="n"/>
      <c r="H621" s="31">
        <f>IF($A621="","",IFERROR(ROUND($C621*INDEX(tblKurallar[deger_2025],MATCH("TBO-001",tblKurallar[kural_id],0))+$D621*INDEX(tblKurallar[deger_2025],MATCH("TBO-002",tblKurallar[kural_id],0))+$E621*INDEX(tblKurallar[deger_2025],MATCH("TBO-004",tblKurallar[kural_id],0))+$F621*tbo_isverenOran,2),0))</f>
        <v/>
      </c>
      <c r="I621" s="31">
        <f>IF($A621="","",IFERROR(MAX(0,$H621-$G621),0))</f>
        <v/>
      </c>
    </row>
    <row r="622">
      <c r="A622" s="30" t="n"/>
      <c r="B622" s="30" t="n"/>
      <c r="C622" s="30" t="n"/>
      <c r="D622" s="30" t="n"/>
      <c r="E622" s="30" t="n"/>
      <c r="F622" s="30" t="n"/>
      <c r="G622" s="30" t="n"/>
      <c r="H622" s="31">
        <f>IF($A622="","",IFERROR(ROUND($C622*INDEX(tblKurallar[deger_2025],MATCH("TBO-001",tblKurallar[kural_id],0))+$D622*INDEX(tblKurallar[deger_2025],MATCH("TBO-002",tblKurallar[kural_id],0))+$E622*INDEX(tblKurallar[deger_2025],MATCH("TBO-004",tblKurallar[kural_id],0))+$F622*tbo_isverenOran,2),0))</f>
        <v/>
      </c>
      <c r="I622" s="31">
        <f>IF($A622="","",IFERROR(MAX(0,$H622-$G622),0))</f>
        <v/>
      </c>
    </row>
    <row r="623">
      <c r="A623" s="30" t="n"/>
      <c r="B623" s="30" t="n"/>
      <c r="C623" s="30" t="n"/>
      <c r="D623" s="30" t="n"/>
      <c r="E623" s="30" t="n"/>
      <c r="F623" s="30" t="n"/>
      <c r="G623" s="30" t="n"/>
      <c r="H623" s="31">
        <f>IF($A623="","",IFERROR(ROUND($C623*INDEX(tblKurallar[deger_2025],MATCH("TBO-001",tblKurallar[kural_id],0))+$D623*INDEX(tblKurallar[deger_2025],MATCH("TBO-002",tblKurallar[kural_id],0))+$E623*INDEX(tblKurallar[deger_2025],MATCH("TBO-004",tblKurallar[kural_id],0))+$F623*tbo_isverenOran,2),0))</f>
        <v/>
      </c>
      <c r="I623" s="31">
        <f>IF($A623="","",IFERROR(MAX(0,$H623-$G623),0))</f>
        <v/>
      </c>
    </row>
    <row r="624">
      <c r="A624" s="30" t="n"/>
      <c r="B624" s="30" t="n"/>
      <c r="C624" s="30" t="n"/>
      <c r="D624" s="30" t="n"/>
      <c r="E624" s="30" t="n"/>
      <c r="F624" s="30" t="n"/>
      <c r="G624" s="30" t="n"/>
      <c r="H624" s="31">
        <f>IF($A624="","",IFERROR(ROUND($C624*INDEX(tblKurallar[deger_2025],MATCH("TBO-001",tblKurallar[kural_id],0))+$D624*INDEX(tblKurallar[deger_2025],MATCH("TBO-002",tblKurallar[kural_id],0))+$E624*INDEX(tblKurallar[deger_2025],MATCH("TBO-004",tblKurallar[kural_id],0))+$F624*tbo_isverenOran,2),0))</f>
        <v/>
      </c>
      <c r="I624" s="31">
        <f>IF($A624="","",IFERROR(MAX(0,$H624-$G624),0))</f>
        <v/>
      </c>
    </row>
    <row r="625">
      <c r="A625" s="30" t="n"/>
      <c r="B625" s="30" t="n"/>
      <c r="C625" s="30" t="n"/>
      <c r="D625" s="30" t="n"/>
      <c r="E625" s="30" t="n"/>
      <c r="F625" s="30" t="n"/>
      <c r="G625" s="30" t="n"/>
      <c r="H625" s="31">
        <f>IF($A625="","",IFERROR(ROUND($C625*INDEX(tblKurallar[deger_2025],MATCH("TBO-001",tblKurallar[kural_id],0))+$D625*INDEX(tblKurallar[deger_2025],MATCH("TBO-002",tblKurallar[kural_id],0))+$E625*INDEX(tblKurallar[deger_2025],MATCH("TBO-004",tblKurallar[kural_id],0))+$F625*tbo_isverenOran,2),0))</f>
        <v/>
      </c>
      <c r="I625" s="31">
        <f>IF($A625="","",IFERROR(MAX(0,$H625-$G625),0))</f>
        <v/>
      </c>
    </row>
    <row r="626">
      <c r="A626" s="30" t="n"/>
      <c r="B626" s="30" t="n"/>
      <c r="C626" s="30" t="n"/>
      <c r="D626" s="30" t="n"/>
      <c r="E626" s="30" t="n"/>
      <c r="F626" s="30" t="n"/>
      <c r="G626" s="30" t="n"/>
      <c r="H626" s="31">
        <f>IF($A626="","",IFERROR(ROUND($C626*INDEX(tblKurallar[deger_2025],MATCH("TBO-001",tblKurallar[kural_id],0))+$D626*INDEX(tblKurallar[deger_2025],MATCH("TBO-002",tblKurallar[kural_id],0))+$E626*INDEX(tblKurallar[deger_2025],MATCH("TBO-004",tblKurallar[kural_id],0))+$F626*tbo_isverenOran,2),0))</f>
        <v/>
      </c>
      <c r="I626" s="31">
        <f>IF($A626="","",IFERROR(MAX(0,$H626-$G626),0))</f>
        <v/>
      </c>
    </row>
    <row r="627">
      <c r="A627" s="30" t="n"/>
      <c r="B627" s="30" t="n"/>
      <c r="C627" s="30" t="n"/>
      <c r="D627" s="30" t="n"/>
      <c r="E627" s="30" t="n"/>
      <c r="F627" s="30" t="n"/>
      <c r="G627" s="30" t="n"/>
      <c r="H627" s="31">
        <f>IF($A627="","",IFERROR(ROUND($C627*INDEX(tblKurallar[deger_2025],MATCH("TBO-001",tblKurallar[kural_id],0))+$D627*INDEX(tblKurallar[deger_2025],MATCH("TBO-002",tblKurallar[kural_id],0))+$E627*INDEX(tblKurallar[deger_2025],MATCH("TBO-004",tblKurallar[kural_id],0))+$F627*tbo_isverenOran,2),0))</f>
        <v/>
      </c>
      <c r="I627" s="31">
        <f>IF($A627="","",IFERROR(MAX(0,$H627-$G627),0))</f>
        <v/>
      </c>
    </row>
    <row r="628">
      <c r="A628" s="30" t="n"/>
      <c r="B628" s="30" t="n"/>
      <c r="C628" s="30" t="n"/>
      <c r="D628" s="30" t="n"/>
      <c r="E628" s="30" t="n"/>
      <c r="F628" s="30" t="n"/>
      <c r="G628" s="30" t="n"/>
      <c r="H628" s="31">
        <f>IF($A628="","",IFERROR(ROUND($C628*INDEX(tblKurallar[deger_2025],MATCH("TBO-001",tblKurallar[kural_id],0))+$D628*INDEX(tblKurallar[deger_2025],MATCH("TBO-002",tblKurallar[kural_id],0))+$E628*INDEX(tblKurallar[deger_2025],MATCH("TBO-004",tblKurallar[kural_id],0))+$F628*tbo_isverenOran,2),0))</f>
        <v/>
      </c>
      <c r="I628" s="31">
        <f>IF($A628="","",IFERROR(MAX(0,$H628-$G628),0))</f>
        <v/>
      </c>
    </row>
    <row r="629">
      <c r="A629" s="30" t="n"/>
      <c r="B629" s="30" t="n"/>
      <c r="C629" s="30" t="n"/>
      <c r="D629" s="30" t="n"/>
      <c r="E629" s="30" t="n"/>
      <c r="F629" s="30" t="n"/>
      <c r="G629" s="30" t="n"/>
      <c r="H629" s="31">
        <f>IF($A629="","",IFERROR(ROUND($C629*INDEX(tblKurallar[deger_2025],MATCH("TBO-001",tblKurallar[kural_id],0))+$D629*INDEX(tblKurallar[deger_2025],MATCH("TBO-002",tblKurallar[kural_id],0))+$E629*INDEX(tblKurallar[deger_2025],MATCH("TBO-004",tblKurallar[kural_id],0))+$F629*tbo_isverenOran,2),0))</f>
        <v/>
      </c>
      <c r="I629" s="31">
        <f>IF($A629="","",IFERROR(MAX(0,$H629-$G629),0))</f>
        <v/>
      </c>
    </row>
    <row r="630">
      <c r="A630" s="30" t="n"/>
      <c r="B630" s="30" t="n"/>
      <c r="C630" s="30" t="n"/>
      <c r="D630" s="30" t="n"/>
      <c r="E630" s="30" t="n"/>
      <c r="F630" s="30" t="n"/>
      <c r="G630" s="30" t="n"/>
      <c r="H630" s="31">
        <f>IF($A630="","",IFERROR(ROUND($C630*INDEX(tblKurallar[deger_2025],MATCH("TBO-001",tblKurallar[kural_id],0))+$D630*INDEX(tblKurallar[deger_2025],MATCH("TBO-002",tblKurallar[kural_id],0))+$E630*INDEX(tblKurallar[deger_2025],MATCH("TBO-004",tblKurallar[kural_id],0))+$F630*tbo_isverenOran,2),0))</f>
        <v/>
      </c>
      <c r="I630" s="31">
        <f>IF($A630="","",IFERROR(MAX(0,$H630-$G630),0))</f>
        <v/>
      </c>
    </row>
    <row r="631">
      <c r="A631" s="30" t="n"/>
      <c r="B631" s="30" t="n"/>
      <c r="C631" s="30" t="n"/>
      <c r="D631" s="30" t="n"/>
      <c r="E631" s="30" t="n"/>
      <c r="F631" s="30" t="n"/>
      <c r="G631" s="30" t="n"/>
      <c r="H631" s="31">
        <f>IF($A631="","",IFERROR(ROUND($C631*INDEX(tblKurallar[deger_2025],MATCH("TBO-001",tblKurallar[kural_id],0))+$D631*INDEX(tblKurallar[deger_2025],MATCH("TBO-002",tblKurallar[kural_id],0))+$E631*INDEX(tblKurallar[deger_2025],MATCH("TBO-004",tblKurallar[kural_id],0))+$F631*tbo_isverenOran,2),0))</f>
        <v/>
      </c>
      <c r="I631" s="31">
        <f>IF($A631="","",IFERROR(MAX(0,$H631-$G631),0))</f>
        <v/>
      </c>
    </row>
    <row r="632">
      <c r="A632" s="30" t="n"/>
      <c r="B632" s="30" t="n"/>
      <c r="C632" s="30" t="n"/>
      <c r="D632" s="30" t="n"/>
      <c r="E632" s="30" t="n"/>
      <c r="F632" s="30" t="n"/>
      <c r="G632" s="30" t="n"/>
      <c r="H632" s="31">
        <f>IF($A632="","",IFERROR(ROUND($C632*INDEX(tblKurallar[deger_2025],MATCH("TBO-001",tblKurallar[kural_id],0))+$D632*INDEX(tblKurallar[deger_2025],MATCH("TBO-002",tblKurallar[kural_id],0))+$E632*INDEX(tblKurallar[deger_2025],MATCH("TBO-004",tblKurallar[kural_id],0))+$F632*tbo_isverenOran,2),0))</f>
        <v/>
      </c>
      <c r="I632" s="31">
        <f>IF($A632="","",IFERROR(MAX(0,$H632-$G632),0))</f>
        <v/>
      </c>
    </row>
    <row r="633">
      <c r="A633" s="30" t="n"/>
      <c r="B633" s="30" t="n"/>
      <c r="C633" s="30" t="n"/>
      <c r="D633" s="30" t="n"/>
      <c r="E633" s="30" t="n"/>
      <c r="F633" s="30" t="n"/>
      <c r="G633" s="30" t="n"/>
      <c r="H633" s="31">
        <f>IF($A633="","",IFERROR(ROUND($C633*INDEX(tblKurallar[deger_2025],MATCH("TBO-001",tblKurallar[kural_id],0))+$D633*INDEX(tblKurallar[deger_2025],MATCH("TBO-002",tblKurallar[kural_id],0))+$E633*INDEX(tblKurallar[deger_2025],MATCH("TBO-004",tblKurallar[kural_id],0))+$F633*tbo_isverenOran,2),0))</f>
        <v/>
      </c>
      <c r="I633" s="31">
        <f>IF($A633="","",IFERROR(MAX(0,$H633-$G633),0))</f>
        <v/>
      </c>
    </row>
    <row r="634">
      <c r="A634" s="30" t="n"/>
      <c r="B634" s="30" t="n"/>
      <c r="C634" s="30" t="n"/>
      <c r="D634" s="30" t="n"/>
      <c r="E634" s="30" t="n"/>
      <c r="F634" s="30" t="n"/>
      <c r="G634" s="30" t="n"/>
      <c r="H634" s="31">
        <f>IF($A634="","",IFERROR(ROUND($C634*INDEX(tblKurallar[deger_2025],MATCH("TBO-001",tblKurallar[kural_id],0))+$D634*INDEX(tblKurallar[deger_2025],MATCH("TBO-002",tblKurallar[kural_id],0))+$E634*INDEX(tblKurallar[deger_2025],MATCH("TBO-004",tblKurallar[kural_id],0))+$F634*tbo_isverenOran,2),0))</f>
        <v/>
      </c>
      <c r="I634" s="31">
        <f>IF($A634="","",IFERROR(MAX(0,$H634-$G634),0))</f>
        <v/>
      </c>
    </row>
    <row r="635">
      <c r="A635" s="30" t="n"/>
      <c r="B635" s="30" t="n"/>
      <c r="C635" s="30" t="n"/>
      <c r="D635" s="30" t="n"/>
      <c r="E635" s="30" t="n"/>
      <c r="F635" s="30" t="n"/>
      <c r="G635" s="30" t="n"/>
      <c r="H635" s="31">
        <f>IF($A635="","",IFERROR(ROUND($C635*INDEX(tblKurallar[deger_2025],MATCH("TBO-001",tblKurallar[kural_id],0))+$D635*INDEX(tblKurallar[deger_2025],MATCH("TBO-002",tblKurallar[kural_id],0))+$E635*INDEX(tblKurallar[deger_2025],MATCH("TBO-004",tblKurallar[kural_id],0))+$F635*tbo_isverenOran,2),0))</f>
        <v/>
      </c>
      <c r="I635" s="31">
        <f>IF($A635="","",IFERROR(MAX(0,$H635-$G635),0))</f>
        <v/>
      </c>
    </row>
    <row r="636">
      <c r="A636" s="30" t="n"/>
      <c r="B636" s="30" t="n"/>
      <c r="C636" s="30" t="n"/>
      <c r="D636" s="30" t="n"/>
      <c r="E636" s="30" t="n"/>
      <c r="F636" s="30" t="n"/>
      <c r="G636" s="30" t="n"/>
      <c r="H636" s="31">
        <f>IF($A636="","",IFERROR(ROUND($C636*INDEX(tblKurallar[deger_2025],MATCH("TBO-001",tblKurallar[kural_id],0))+$D636*INDEX(tblKurallar[deger_2025],MATCH("TBO-002",tblKurallar[kural_id],0))+$E636*INDEX(tblKurallar[deger_2025],MATCH("TBO-004",tblKurallar[kural_id],0))+$F636*tbo_isverenOran,2),0))</f>
        <v/>
      </c>
      <c r="I636" s="31">
        <f>IF($A636="","",IFERROR(MAX(0,$H636-$G636),0))</f>
        <v/>
      </c>
    </row>
    <row r="637">
      <c r="A637" s="30" t="n"/>
      <c r="B637" s="30" t="n"/>
      <c r="C637" s="30" t="n"/>
      <c r="D637" s="30" t="n"/>
      <c r="E637" s="30" t="n"/>
      <c r="F637" s="30" t="n"/>
      <c r="G637" s="30" t="n"/>
      <c r="H637" s="31">
        <f>IF($A637="","",IFERROR(ROUND($C637*INDEX(tblKurallar[deger_2025],MATCH("TBO-001",tblKurallar[kural_id],0))+$D637*INDEX(tblKurallar[deger_2025],MATCH("TBO-002",tblKurallar[kural_id],0))+$E637*INDEX(tblKurallar[deger_2025],MATCH("TBO-004",tblKurallar[kural_id],0))+$F637*tbo_isverenOran,2),0))</f>
        <v/>
      </c>
      <c r="I637" s="31">
        <f>IF($A637="","",IFERROR(MAX(0,$H637-$G637),0))</f>
        <v/>
      </c>
    </row>
    <row r="638">
      <c r="A638" s="30" t="n"/>
      <c r="B638" s="30" t="n"/>
      <c r="C638" s="30" t="n"/>
      <c r="D638" s="30" t="n"/>
      <c r="E638" s="30" t="n"/>
      <c r="F638" s="30" t="n"/>
      <c r="G638" s="30" t="n"/>
      <c r="H638" s="31">
        <f>IF($A638="","",IFERROR(ROUND($C638*INDEX(tblKurallar[deger_2025],MATCH("TBO-001",tblKurallar[kural_id],0))+$D638*INDEX(tblKurallar[deger_2025],MATCH("TBO-002",tblKurallar[kural_id],0))+$E638*INDEX(tblKurallar[deger_2025],MATCH("TBO-004",tblKurallar[kural_id],0))+$F638*tbo_isverenOran,2),0))</f>
        <v/>
      </c>
      <c r="I638" s="31">
        <f>IF($A638="","",IFERROR(MAX(0,$H638-$G638),0))</f>
        <v/>
      </c>
    </row>
    <row r="639">
      <c r="A639" s="30" t="n"/>
      <c r="B639" s="30" t="n"/>
      <c r="C639" s="30" t="n"/>
      <c r="D639" s="30" t="n"/>
      <c r="E639" s="30" t="n"/>
      <c r="F639" s="30" t="n"/>
      <c r="G639" s="30" t="n"/>
      <c r="H639" s="31">
        <f>IF($A639="","",IFERROR(ROUND($C639*INDEX(tblKurallar[deger_2025],MATCH("TBO-001",tblKurallar[kural_id],0))+$D639*INDEX(tblKurallar[deger_2025],MATCH("TBO-002",tblKurallar[kural_id],0))+$E639*INDEX(tblKurallar[deger_2025],MATCH("TBO-004",tblKurallar[kural_id],0))+$F639*tbo_isverenOran,2),0))</f>
        <v/>
      </c>
      <c r="I639" s="31">
        <f>IF($A639="","",IFERROR(MAX(0,$H639-$G639),0))</f>
        <v/>
      </c>
    </row>
    <row r="640">
      <c r="A640" s="30" t="n"/>
      <c r="B640" s="30" t="n"/>
      <c r="C640" s="30" t="n"/>
      <c r="D640" s="30" t="n"/>
      <c r="E640" s="30" t="n"/>
      <c r="F640" s="30" t="n"/>
      <c r="G640" s="30" t="n"/>
      <c r="H640" s="31">
        <f>IF($A640="","",IFERROR(ROUND($C640*INDEX(tblKurallar[deger_2025],MATCH("TBO-001",tblKurallar[kural_id],0))+$D640*INDEX(tblKurallar[deger_2025],MATCH("TBO-002",tblKurallar[kural_id],0))+$E640*INDEX(tblKurallar[deger_2025],MATCH("TBO-004",tblKurallar[kural_id],0))+$F640*tbo_isverenOran,2),0))</f>
        <v/>
      </c>
      <c r="I640" s="31">
        <f>IF($A640="","",IFERROR(MAX(0,$H640-$G640),0))</f>
        <v/>
      </c>
    </row>
    <row r="641">
      <c r="A641" s="30" t="n"/>
      <c r="B641" s="30" t="n"/>
      <c r="C641" s="30" t="n"/>
      <c r="D641" s="30" t="n"/>
      <c r="E641" s="30" t="n"/>
      <c r="F641" s="30" t="n"/>
      <c r="G641" s="30" t="n"/>
      <c r="H641" s="31">
        <f>IF($A641="","",IFERROR(ROUND($C641*INDEX(tblKurallar[deger_2025],MATCH("TBO-001",tblKurallar[kural_id],0))+$D641*INDEX(tblKurallar[deger_2025],MATCH("TBO-002",tblKurallar[kural_id],0))+$E641*INDEX(tblKurallar[deger_2025],MATCH("TBO-004",tblKurallar[kural_id],0))+$F641*tbo_isverenOran,2),0))</f>
        <v/>
      </c>
      <c r="I641" s="31">
        <f>IF($A641="","",IFERROR(MAX(0,$H641-$G641),0))</f>
        <v/>
      </c>
    </row>
    <row r="642">
      <c r="A642" s="30" t="n"/>
      <c r="B642" s="30" t="n"/>
      <c r="C642" s="30" t="n"/>
      <c r="D642" s="30" t="n"/>
      <c r="E642" s="30" t="n"/>
      <c r="F642" s="30" t="n"/>
      <c r="G642" s="30" t="n"/>
      <c r="H642" s="31">
        <f>IF($A642="","",IFERROR(ROUND($C642*INDEX(tblKurallar[deger_2025],MATCH("TBO-001",tblKurallar[kural_id],0))+$D642*INDEX(tblKurallar[deger_2025],MATCH("TBO-002",tblKurallar[kural_id],0))+$E642*INDEX(tblKurallar[deger_2025],MATCH("TBO-004",tblKurallar[kural_id],0))+$F642*tbo_isverenOran,2),0))</f>
        <v/>
      </c>
      <c r="I642" s="31">
        <f>IF($A642="","",IFERROR(MAX(0,$H642-$G642),0))</f>
        <v/>
      </c>
    </row>
    <row r="643">
      <c r="A643" s="30" t="n"/>
      <c r="B643" s="30" t="n"/>
      <c r="C643" s="30" t="n"/>
      <c r="D643" s="30" t="n"/>
      <c r="E643" s="30" t="n"/>
      <c r="F643" s="30" t="n"/>
      <c r="G643" s="30" t="n"/>
      <c r="H643" s="31">
        <f>IF($A643="","",IFERROR(ROUND($C643*INDEX(tblKurallar[deger_2025],MATCH("TBO-001",tblKurallar[kural_id],0))+$D643*INDEX(tblKurallar[deger_2025],MATCH("TBO-002",tblKurallar[kural_id],0))+$E643*INDEX(tblKurallar[deger_2025],MATCH("TBO-004",tblKurallar[kural_id],0))+$F643*tbo_isverenOran,2),0))</f>
        <v/>
      </c>
      <c r="I643" s="31">
        <f>IF($A643="","",IFERROR(MAX(0,$H643-$G643),0))</f>
        <v/>
      </c>
    </row>
    <row r="644">
      <c r="A644" s="30" t="n"/>
      <c r="B644" s="30" t="n"/>
      <c r="C644" s="30" t="n"/>
      <c r="D644" s="30" t="n"/>
      <c r="E644" s="30" t="n"/>
      <c r="F644" s="30" t="n"/>
      <c r="G644" s="30" t="n"/>
      <c r="H644" s="31">
        <f>IF($A644="","",IFERROR(ROUND($C644*INDEX(tblKurallar[deger_2025],MATCH("TBO-001",tblKurallar[kural_id],0))+$D644*INDEX(tblKurallar[deger_2025],MATCH("TBO-002",tblKurallar[kural_id],0))+$E644*INDEX(tblKurallar[deger_2025],MATCH("TBO-004",tblKurallar[kural_id],0))+$F644*tbo_isverenOran,2),0))</f>
        <v/>
      </c>
      <c r="I644" s="31">
        <f>IF($A644="","",IFERROR(MAX(0,$H644-$G644),0))</f>
        <v/>
      </c>
    </row>
    <row r="645">
      <c r="A645" s="30" t="n"/>
      <c r="B645" s="30" t="n"/>
      <c r="C645" s="30" t="n"/>
      <c r="D645" s="30" t="n"/>
      <c r="E645" s="30" t="n"/>
      <c r="F645" s="30" t="n"/>
      <c r="G645" s="30" t="n"/>
      <c r="H645" s="31">
        <f>IF($A645="","",IFERROR(ROUND($C645*INDEX(tblKurallar[deger_2025],MATCH("TBO-001",tblKurallar[kural_id],0))+$D645*INDEX(tblKurallar[deger_2025],MATCH("TBO-002",tblKurallar[kural_id],0))+$E645*INDEX(tblKurallar[deger_2025],MATCH("TBO-004",tblKurallar[kural_id],0))+$F645*tbo_isverenOran,2),0))</f>
        <v/>
      </c>
      <c r="I645" s="31">
        <f>IF($A645="","",IFERROR(MAX(0,$H645-$G645),0))</f>
        <v/>
      </c>
    </row>
    <row r="646">
      <c r="A646" s="30" t="n"/>
      <c r="B646" s="30" t="n"/>
      <c r="C646" s="30" t="n"/>
      <c r="D646" s="30" t="n"/>
      <c r="E646" s="30" t="n"/>
      <c r="F646" s="30" t="n"/>
      <c r="G646" s="30" t="n"/>
      <c r="H646" s="31">
        <f>IF($A646="","",IFERROR(ROUND($C646*INDEX(tblKurallar[deger_2025],MATCH("TBO-001",tblKurallar[kural_id],0))+$D646*INDEX(tblKurallar[deger_2025],MATCH("TBO-002",tblKurallar[kural_id],0))+$E646*INDEX(tblKurallar[deger_2025],MATCH("TBO-004",tblKurallar[kural_id],0))+$F646*tbo_isverenOran,2),0))</f>
        <v/>
      </c>
      <c r="I646" s="31">
        <f>IF($A646="","",IFERROR(MAX(0,$H646-$G646),0))</f>
        <v/>
      </c>
    </row>
    <row r="647">
      <c r="A647" s="30" t="n"/>
      <c r="B647" s="30" t="n"/>
      <c r="C647" s="30" t="n"/>
      <c r="D647" s="30" t="n"/>
      <c r="E647" s="30" t="n"/>
      <c r="F647" s="30" t="n"/>
      <c r="G647" s="30" t="n"/>
      <c r="H647" s="31">
        <f>IF($A647="","",IFERROR(ROUND($C647*INDEX(tblKurallar[deger_2025],MATCH("TBO-001",tblKurallar[kural_id],0))+$D647*INDEX(tblKurallar[deger_2025],MATCH("TBO-002",tblKurallar[kural_id],0))+$E647*INDEX(tblKurallar[deger_2025],MATCH("TBO-004",tblKurallar[kural_id],0))+$F647*tbo_isverenOran,2),0))</f>
        <v/>
      </c>
      <c r="I647" s="31">
        <f>IF($A647="","",IFERROR(MAX(0,$H647-$G647),0))</f>
        <v/>
      </c>
    </row>
    <row r="648">
      <c r="A648" s="30" t="n"/>
      <c r="B648" s="30" t="n"/>
      <c r="C648" s="30" t="n"/>
      <c r="D648" s="30" t="n"/>
      <c r="E648" s="30" t="n"/>
      <c r="F648" s="30" t="n"/>
      <c r="G648" s="30" t="n"/>
      <c r="H648" s="31">
        <f>IF($A648="","",IFERROR(ROUND($C648*INDEX(tblKurallar[deger_2025],MATCH("TBO-001",tblKurallar[kural_id],0))+$D648*INDEX(tblKurallar[deger_2025],MATCH("TBO-002",tblKurallar[kural_id],0))+$E648*INDEX(tblKurallar[deger_2025],MATCH("TBO-004",tblKurallar[kural_id],0))+$F648*tbo_isverenOran,2),0))</f>
        <v/>
      </c>
      <c r="I648" s="31">
        <f>IF($A648="","",IFERROR(MAX(0,$H648-$G648),0))</f>
        <v/>
      </c>
    </row>
    <row r="649">
      <c r="A649" s="30" t="n"/>
      <c r="B649" s="30" t="n"/>
      <c r="C649" s="30" t="n"/>
      <c r="D649" s="30" t="n"/>
      <c r="E649" s="30" t="n"/>
      <c r="F649" s="30" t="n"/>
      <c r="G649" s="30" t="n"/>
      <c r="H649" s="31">
        <f>IF($A649="","",IFERROR(ROUND($C649*INDEX(tblKurallar[deger_2025],MATCH("TBO-001",tblKurallar[kural_id],0))+$D649*INDEX(tblKurallar[deger_2025],MATCH("TBO-002",tblKurallar[kural_id],0))+$E649*INDEX(tblKurallar[deger_2025],MATCH("TBO-004",tblKurallar[kural_id],0))+$F649*tbo_isverenOran,2),0))</f>
        <v/>
      </c>
      <c r="I649" s="31">
        <f>IF($A649="","",IFERROR(MAX(0,$H649-$G649),0))</f>
        <v/>
      </c>
    </row>
    <row r="650">
      <c r="A650" s="30" t="n"/>
      <c r="B650" s="30" t="n"/>
      <c r="C650" s="30" t="n"/>
      <c r="D650" s="30" t="n"/>
      <c r="E650" s="30" t="n"/>
      <c r="F650" s="30" t="n"/>
      <c r="G650" s="30" t="n"/>
      <c r="H650" s="31">
        <f>IF($A650="","",IFERROR(ROUND($C650*INDEX(tblKurallar[deger_2025],MATCH("TBO-001",tblKurallar[kural_id],0))+$D650*INDEX(tblKurallar[deger_2025],MATCH("TBO-002",tblKurallar[kural_id],0))+$E650*INDEX(tblKurallar[deger_2025],MATCH("TBO-004",tblKurallar[kural_id],0))+$F650*tbo_isverenOran,2),0))</f>
        <v/>
      </c>
      <c r="I650" s="31">
        <f>IF($A650="","",IFERROR(MAX(0,$H650-$G650),0))</f>
        <v/>
      </c>
    </row>
    <row r="651">
      <c r="A651" s="30" t="n"/>
      <c r="B651" s="30" t="n"/>
      <c r="C651" s="30" t="n"/>
      <c r="D651" s="30" t="n"/>
      <c r="E651" s="30" t="n"/>
      <c r="F651" s="30" t="n"/>
      <c r="G651" s="30" t="n"/>
      <c r="H651" s="31">
        <f>IF($A651="","",IFERROR(ROUND($C651*INDEX(tblKurallar[deger_2025],MATCH("TBO-001",tblKurallar[kural_id],0))+$D651*INDEX(tblKurallar[deger_2025],MATCH("TBO-002",tblKurallar[kural_id],0))+$E651*INDEX(tblKurallar[deger_2025],MATCH("TBO-004",tblKurallar[kural_id],0))+$F651*tbo_isverenOran,2),0))</f>
        <v/>
      </c>
      <c r="I651" s="31">
        <f>IF($A651="","",IFERROR(MAX(0,$H651-$G651),0))</f>
        <v/>
      </c>
    </row>
    <row r="652">
      <c r="A652" s="30" t="n"/>
      <c r="B652" s="30" t="n"/>
      <c r="C652" s="30" t="n"/>
      <c r="D652" s="30" t="n"/>
      <c r="E652" s="30" t="n"/>
      <c r="F652" s="30" t="n"/>
      <c r="G652" s="30" t="n"/>
      <c r="H652" s="31">
        <f>IF($A652="","",IFERROR(ROUND($C652*INDEX(tblKurallar[deger_2025],MATCH("TBO-001",tblKurallar[kural_id],0))+$D652*INDEX(tblKurallar[deger_2025],MATCH("TBO-002",tblKurallar[kural_id],0))+$E652*INDEX(tblKurallar[deger_2025],MATCH("TBO-004",tblKurallar[kural_id],0))+$F652*tbo_isverenOran,2),0))</f>
        <v/>
      </c>
      <c r="I652" s="31">
        <f>IF($A652="","",IFERROR(MAX(0,$H652-$G652),0))</f>
        <v/>
      </c>
    </row>
    <row r="653">
      <c r="A653" s="30" t="n"/>
      <c r="B653" s="30" t="n"/>
      <c r="C653" s="30" t="n"/>
      <c r="D653" s="30" t="n"/>
      <c r="E653" s="30" t="n"/>
      <c r="F653" s="30" t="n"/>
      <c r="G653" s="30" t="n"/>
      <c r="H653" s="31">
        <f>IF($A653="","",IFERROR(ROUND($C653*INDEX(tblKurallar[deger_2025],MATCH("TBO-001",tblKurallar[kural_id],0))+$D653*INDEX(tblKurallar[deger_2025],MATCH("TBO-002",tblKurallar[kural_id],0))+$E653*INDEX(tblKurallar[deger_2025],MATCH("TBO-004",tblKurallar[kural_id],0))+$F653*tbo_isverenOran,2),0))</f>
        <v/>
      </c>
      <c r="I653" s="31">
        <f>IF($A653="","",IFERROR(MAX(0,$H653-$G653),0))</f>
        <v/>
      </c>
    </row>
    <row r="654">
      <c r="A654" s="30" t="n"/>
      <c r="B654" s="30" t="n"/>
      <c r="C654" s="30" t="n"/>
      <c r="D654" s="30" t="n"/>
      <c r="E654" s="30" t="n"/>
      <c r="F654" s="30" t="n"/>
      <c r="G654" s="30" t="n"/>
      <c r="H654" s="31">
        <f>IF($A654="","",IFERROR(ROUND($C654*INDEX(tblKurallar[deger_2025],MATCH("TBO-001",tblKurallar[kural_id],0))+$D654*INDEX(tblKurallar[deger_2025],MATCH("TBO-002",tblKurallar[kural_id],0))+$E654*INDEX(tblKurallar[deger_2025],MATCH("TBO-004",tblKurallar[kural_id],0))+$F654*tbo_isverenOran,2),0))</f>
        <v/>
      </c>
      <c r="I654" s="31">
        <f>IF($A654="","",IFERROR(MAX(0,$H654-$G654),0))</f>
        <v/>
      </c>
    </row>
    <row r="655">
      <c r="A655" s="30" t="n"/>
      <c r="B655" s="30" t="n"/>
      <c r="C655" s="30" t="n"/>
      <c r="D655" s="30" t="n"/>
      <c r="E655" s="30" t="n"/>
      <c r="F655" s="30" t="n"/>
      <c r="G655" s="30" t="n"/>
      <c r="H655" s="31">
        <f>IF($A655="","",IFERROR(ROUND($C655*INDEX(tblKurallar[deger_2025],MATCH("TBO-001",tblKurallar[kural_id],0))+$D655*INDEX(tblKurallar[deger_2025],MATCH("TBO-002",tblKurallar[kural_id],0))+$E655*INDEX(tblKurallar[deger_2025],MATCH("TBO-004",tblKurallar[kural_id],0))+$F655*tbo_isverenOran,2),0))</f>
        <v/>
      </c>
      <c r="I655" s="31">
        <f>IF($A655="","",IFERROR(MAX(0,$H655-$G655),0))</f>
        <v/>
      </c>
    </row>
    <row r="656">
      <c r="A656" s="30" t="n"/>
      <c r="B656" s="30" t="n"/>
      <c r="C656" s="30" t="n"/>
      <c r="D656" s="30" t="n"/>
      <c r="E656" s="30" t="n"/>
      <c r="F656" s="30" t="n"/>
      <c r="G656" s="30" t="n"/>
      <c r="H656" s="31">
        <f>IF($A656="","",IFERROR(ROUND($C656*INDEX(tblKurallar[deger_2025],MATCH("TBO-001",tblKurallar[kural_id],0))+$D656*INDEX(tblKurallar[deger_2025],MATCH("TBO-002",tblKurallar[kural_id],0))+$E656*INDEX(tblKurallar[deger_2025],MATCH("TBO-004",tblKurallar[kural_id],0))+$F656*tbo_isverenOran,2),0))</f>
        <v/>
      </c>
      <c r="I656" s="31">
        <f>IF($A656="","",IFERROR(MAX(0,$H656-$G656),0))</f>
        <v/>
      </c>
    </row>
    <row r="657">
      <c r="A657" s="30" t="n"/>
      <c r="B657" s="30" t="n"/>
      <c r="C657" s="30" t="n"/>
      <c r="D657" s="30" t="n"/>
      <c r="E657" s="30" t="n"/>
      <c r="F657" s="30" t="n"/>
      <c r="G657" s="30" t="n"/>
      <c r="H657" s="31">
        <f>IF($A657="","",IFERROR(ROUND($C657*INDEX(tblKurallar[deger_2025],MATCH("TBO-001",tblKurallar[kural_id],0))+$D657*INDEX(tblKurallar[deger_2025],MATCH("TBO-002",tblKurallar[kural_id],0))+$E657*INDEX(tblKurallar[deger_2025],MATCH("TBO-004",tblKurallar[kural_id],0))+$F657*tbo_isverenOran,2),0))</f>
        <v/>
      </c>
      <c r="I657" s="31">
        <f>IF($A657="","",IFERROR(MAX(0,$H657-$G657),0))</f>
        <v/>
      </c>
    </row>
    <row r="658">
      <c r="A658" s="30" t="n"/>
      <c r="B658" s="30" t="n"/>
      <c r="C658" s="30" t="n"/>
      <c r="D658" s="30" t="n"/>
      <c r="E658" s="30" t="n"/>
      <c r="F658" s="30" t="n"/>
      <c r="G658" s="30" t="n"/>
      <c r="H658" s="31">
        <f>IF($A658="","",IFERROR(ROUND($C658*INDEX(tblKurallar[deger_2025],MATCH("TBO-001",tblKurallar[kural_id],0))+$D658*INDEX(tblKurallar[deger_2025],MATCH("TBO-002",tblKurallar[kural_id],0))+$E658*INDEX(tblKurallar[deger_2025],MATCH("TBO-004",tblKurallar[kural_id],0))+$F658*tbo_isverenOran,2),0))</f>
        <v/>
      </c>
      <c r="I658" s="31">
        <f>IF($A658="","",IFERROR(MAX(0,$H658-$G658),0))</f>
        <v/>
      </c>
    </row>
    <row r="659">
      <c r="A659" s="30" t="n"/>
      <c r="B659" s="30" t="n"/>
      <c r="C659" s="30" t="n"/>
      <c r="D659" s="30" t="n"/>
      <c r="E659" s="30" t="n"/>
      <c r="F659" s="30" t="n"/>
      <c r="G659" s="30" t="n"/>
      <c r="H659" s="31">
        <f>IF($A659="","",IFERROR(ROUND($C659*INDEX(tblKurallar[deger_2025],MATCH("TBO-001",tblKurallar[kural_id],0))+$D659*INDEX(tblKurallar[deger_2025],MATCH("TBO-002",tblKurallar[kural_id],0))+$E659*INDEX(tblKurallar[deger_2025],MATCH("TBO-004",tblKurallar[kural_id],0))+$F659*tbo_isverenOran,2),0))</f>
        <v/>
      </c>
      <c r="I659" s="31">
        <f>IF($A659="","",IFERROR(MAX(0,$H659-$G659),0))</f>
        <v/>
      </c>
    </row>
    <row r="660">
      <c r="A660" s="30" t="n"/>
      <c r="B660" s="30" t="n"/>
      <c r="C660" s="30" t="n"/>
      <c r="D660" s="30" t="n"/>
      <c r="E660" s="30" t="n"/>
      <c r="F660" s="30" t="n"/>
      <c r="G660" s="30" t="n"/>
      <c r="H660" s="31">
        <f>IF($A660="","",IFERROR(ROUND($C660*INDEX(tblKurallar[deger_2025],MATCH("TBO-001",tblKurallar[kural_id],0))+$D660*INDEX(tblKurallar[deger_2025],MATCH("TBO-002",tblKurallar[kural_id],0))+$E660*INDEX(tblKurallar[deger_2025],MATCH("TBO-004",tblKurallar[kural_id],0))+$F660*tbo_isverenOran,2),0))</f>
        <v/>
      </c>
      <c r="I660" s="31">
        <f>IF($A660="","",IFERROR(MAX(0,$H660-$G660),0))</f>
        <v/>
      </c>
    </row>
    <row r="661">
      <c r="A661" s="30" t="n"/>
      <c r="B661" s="30" t="n"/>
      <c r="C661" s="30" t="n"/>
      <c r="D661" s="30" t="n"/>
      <c r="E661" s="30" t="n"/>
      <c r="F661" s="30" t="n"/>
      <c r="G661" s="30" t="n"/>
      <c r="H661" s="31">
        <f>IF($A661="","",IFERROR(ROUND($C661*INDEX(tblKurallar[deger_2025],MATCH("TBO-001",tblKurallar[kural_id],0))+$D661*INDEX(tblKurallar[deger_2025],MATCH("TBO-002",tblKurallar[kural_id],0))+$E661*INDEX(tblKurallar[deger_2025],MATCH("TBO-004",tblKurallar[kural_id],0))+$F661*tbo_isverenOran,2),0))</f>
        <v/>
      </c>
      <c r="I661" s="31">
        <f>IF($A661="","",IFERROR(MAX(0,$H661-$G661),0))</f>
        <v/>
      </c>
    </row>
    <row r="662">
      <c r="A662" s="30" t="n"/>
      <c r="B662" s="30" t="n"/>
      <c r="C662" s="30" t="n"/>
      <c r="D662" s="30" t="n"/>
      <c r="E662" s="30" t="n"/>
      <c r="F662" s="30" t="n"/>
      <c r="G662" s="30" t="n"/>
      <c r="H662" s="31">
        <f>IF($A662="","",IFERROR(ROUND($C662*INDEX(tblKurallar[deger_2025],MATCH("TBO-001",tblKurallar[kural_id],0))+$D662*INDEX(tblKurallar[deger_2025],MATCH("TBO-002",tblKurallar[kural_id],0))+$E662*INDEX(tblKurallar[deger_2025],MATCH("TBO-004",tblKurallar[kural_id],0))+$F662*tbo_isverenOran,2),0))</f>
        <v/>
      </c>
      <c r="I662" s="31">
        <f>IF($A662="","",IFERROR(MAX(0,$H662-$G662),0))</f>
        <v/>
      </c>
    </row>
    <row r="663">
      <c r="A663" s="30" t="n"/>
      <c r="B663" s="30" t="n"/>
      <c r="C663" s="30" t="n"/>
      <c r="D663" s="30" t="n"/>
      <c r="E663" s="30" t="n"/>
      <c r="F663" s="30" t="n"/>
      <c r="G663" s="30" t="n"/>
      <c r="H663" s="31">
        <f>IF($A663="","",IFERROR(ROUND($C663*INDEX(tblKurallar[deger_2025],MATCH("TBO-001",tblKurallar[kural_id],0))+$D663*INDEX(tblKurallar[deger_2025],MATCH("TBO-002",tblKurallar[kural_id],0))+$E663*INDEX(tblKurallar[deger_2025],MATCH("TBO-004",tblKurallar[kural_id],0))+$F663*tbo_isverenOran,2),0))</f>
        <v/>
      </c>
      <c r="I663" s="31">
        <f>IF($A663="","",IFERROR(MAX(0,$H663-$G663),0))</f>
        <v/>
      </c>
    </row>
    <row r="664">
      <c r="A664" s="30" t="n"/>
      <c r="B664" s="30" t="n"/>
      <c r="C664" s="30" t="n"/>
      <c r="D664" s="30" t="n"/>
      <c r="E664" s="30" t="n"/>
      <c r="F664" s="30" t="n"/>
      <c r="G664" s="30" t="n"/>
      <c r="H664" s="31">
        <f>IF($A664="","",IFERROR(ROUND($C664*INDEX(tblKurallar[deger_2025],MATCH("TBO-001",tblKurallar[kural_id],0))+$D664*INDEX(tblKurallar[deger_2025],MATCH("TBO-002",tblKurallar[kural_id],0))+$E664*INDEX(tblKurallar[deger_2025],MATCH("TBO-004",tblKurallar[kural_id],0))+$F664*tbo_isverenOran,2),0))</f>
        <v/>
      </c>
      <c r="I664" s="31">
        <f>IF($A664="","",IFERROR(MAX(0,$H664-$G664),0))</f>
        <v/>
      </c>
    </row>
    <row r="665">
      <c r="A665" s="30" t="n"/>
      <c r="B665" s="30" t="n"/>
      <c r="C665" s="30" t="n"/>
      <c r="D665" s="30" t="n"/>
      <c r="E665" s="30" t="n"/>
      <c r="F665" s="30" t="n"/>
      <c r="G665" s="30" t="n"/>
      <c r="H665" s="31">
        <f>IF($A665="","",IFERROR(ROUND($C665*INDEX(tblKurallar[deger_2025],MATCH("TBO-001",tblKurallar[kural_id],0))+$D665*INDEX(tblKurallar[deger_2025],MATCH("TBO-002",tblKurallar[kural_id],0))+$E665*INDEX(tblKurallar[deger_2025],MATCH("TBO-004",tblKurallar[kural_id],0))+$F665*tbo_isverenOran,2),0))</f>
        <v/>
      </c>
      <c r="I665" s="31">
        <f>IF($A665="","",IFERROR(MAX(0,$H665-$G665),0))</f>
        <v/>
      </c>
    </row>
    <row r="666">
      <c r="A666" s="30" t="n"/>
      <c r="B666" s="30" t="n"/>
      <c r="C666" s="30" t="n"/>
      <c r="D666" s="30" t="n"/>
      <c r="E666" s="30" t="n"/>
      <c r="F666" s="30" t="n"/>
      <c r="G666" s="30" t="n"/>
      <c r="H666" s="31">
        <f>IF($A666="","",IFERROR(ROUND($C666*INDEX(tblKurallar[deger_2025],MATCH("TBO-001",tblKurallar[kural_id],0))+$D666*INDEX(tblKurallar[deger_2025],MATCH("TBO-002",tblKurallar[kural_id],0))+$E666*INDEX(tblKurallar[deger_2025],MATCH("TBO-004",tblKurallar[kural_id],0))+$F666*tbo_isverenOran,2),0))</f>
        <v/>
      </c>
      <c r="I666" s="31">
        <f>IF($A666="","",IFERROR(MAX(0,$H666-$G666),0))</f>
        <v/>
      </c>
    </row>
    <row r="667">
      <c r="A667" s="30" t="n"/>
      <c r="B667" s="30" t="n"/>
      <c r="C667" s="30" t="n"/>
      <c r="D667" s="30" t="n"/>
      <c r="E667" s="30" t="n"/>
      <c r="F667" s="30" t="n"/>
      <c r="G667" s="30" t="n"/>
      <c r="H667" s="31">
        <f>IF($A667="","",IFERROR(ROUND($C667*INDEX(tblKurallar[deger_2025],MATCH("TBO-001",tblKurallar[kural_id],0))+$D667*INDEX(tblKurallar[deger_2025],MATCH("TBO-002",tblKurallar[kural_id],0))+$E667*INDEX(tblKurallar[deger_2025],MATCH("TBO-004",tblKurallar[kural_id],0))+$F667*tbo_isverenOran,2),0))</f>
        <v/>
      </c>
      <c r="I667" s="31">
        <f>IF($A667="","",IFERROR(MAX(0,$H667-$G667),0))</f>
        <v/>
      </c>
    </row>
    <row r="668">
      <c r="A668" s="30" t="n"/>
      <c r="B668" s="30" t="n"/>
      <c r="C668" s="30" t="n"/>
      <c r="D668" s="30" t="n"/>
      <c r="E668" s="30" t="n"/>
      <c r="F668" s="30" t="n"/>
      <c r="G668" s="30" t="n"/>
      <c r="H668" s="31">
        <f>IF($A668="","",IFERROR(ROUND($C668*INDEX(tblKurallar[deger_2025],MATCH("TBO-001",tblKurallar[kural_id],0))+$D668*INDEX(tblKurallar[deger_2025],MATCH("TBO-002",tblKurallar[kural_id],0))+$E668*INDEX(tblKurallar[deger_2025],MATCH("TBO-004",tblKurallar[kural_id],0))+$F668*tbo_isverenOran,2),0))</f>
        <v/>
      </c>
      <c r="I668" s="31">
        <f>IF($A668="","",IFERROR(MAX(0,$H668-$G668),0))</f>
        <v/>
      </c>
    </row>
    <row r="669">
      <c r="A669" s="30" t="n"/>
      <c r="B669" s="30" t="n"/>
      <c r="C669" s="30" t="n"/>
      <c r="D669" s="30" t="n"/>
      <c r="E669" s="30" t="n"/>
      <c r="F669" s="30" t="n"/>
      <c r="G669" s="30" t="n"/>
      <c r="H669" s="31">
        <f>IF($A669="","",IFERROR(ROUND($C669*INDEX(tblKurallar[deger_2025],MATCH("TBO-001",tblKurallar[kural_id],0))+$D669*INDEX(tblKurallar[deger_2025],MATCH("TBO-002",tblKurallar[kural_id],0))+$E669*INDEX(tblKurallar[deger_2025],MATCH("TBO-004",tblKurallar[kural_id],0))+$F669*tbo_isverenOran,2),0))</f>
        <v/>
      </c>
      <c r="I669" s="31">
        <f>IF($A669="","",IFERROR(MAX(0,$H669-$G669),0))</f>
        <v/>
      </c>
    </row>
    <row r="670">
      <c r="A670" s="30" t="n"/>
      <c r="B670" s="30" t="n"/>
      <c r="C670" s="30" t="n"/>
      <c r="D670" s="30" t="n"/>
      <c r="E670" s="30" t="n"/>
      <c r="F670" s="30" t="n"/>
      <c r="G670" s="30" t="n"/>
      <c r="H670" s="31">
        <f>IF($A670="","",IFERROR(ROUND($C670*INDEX(tblKurallar[deger_2025],MATCH("TBO-001",tblKurallar[kural_id],0))+$D670*INDEX(tblKurallar[deger_2025],MATCH("TBO-002",tblKurallar[kural_id],0))+$E670*INDEX(tblKurallar[deger_2025],MATCH("TBO-004",tblKurallar[kural_id],0))+$F670*tbo_isverenOran,2),0))</f>
        <v/>
      </c>
      <c r="I670" s="31">
        <f>IF($A670="","",IFERROR(MAX(0,$H670-$G670),0))</f>
        <v/>
      </c>
    </row>
    <row r="671">
      <c r="A671" s="30" t="n"/>
      <c r="B671" s="30" t="n"/>
      <c r="C671" s="30" t="n"/>
      <c r="D671" s="30" t="n"/>
      <c r="E671" s="30" t="n"/>
      <c r="F671" s="30" t="n"/>
      <c r="G671" s="30" t="n"/>
      <c r="H671" s="31">
        <f>IF($A671="","",IFERROR(ROUND($C671*INDEX(tblKurallar[deger_2025],MATCH("TBO-001",tblKurallar[kural_id],0))+$D671*INDEX(tblKurallar[deger_2025],MATCH("TBO-002",tblKurallar[kural_id],0))+$E671*INDEX(tblKurallar[deger_2025],MATCH("TBO-004",tblKurallar[kural_id],0))+$F671*tbo_isverenOran,2),0))</f>
        <v/>
      </c>
      <c r="I671" s="31">
        <f>IF($A671="","",IFERROR(MAX(0,$H671-$G671),0))</f>
        <v/>
      </c>
    </row>
    <row r="672">
      <c r="A672" s="30" t="n"/>
      <c r="B672" s="30" t="n"/>
      <c r="C672" s="30" t="n"/>
      <c r="D672" s="30" t="n"/>
      <c r="E672" s="30" t="n"/>
      <c r="F672" s="30" t="n"/>
      <c r="G672" s="30" t="n"/>
      <c r="H672" s="31">
        <f>IF($A672="","",IFERROR(ROUND($C672*INDEX(tblKurallar[deger_2025],MATCH("TBO-001",tblKurallar[kural_id],0))+$D672*INDEX(tblKurallar[deger_2025],MATCH("TBO-002",tblKurallar[kural_id],0))+$E672*INDEX(tblKurallar[deger_2025],MATCH("TBO-004",tblKurallar[kural_id],0))+$F672*tbo_isverenOran,2),0))</f>
        <v/>
      </c>
      <c r="I672" s="31">
        <f>IF($A672="","",IFERROR(MAX(0,$H672-$G672),0))</f>
        <v/>
      </c>
    </row>
    <row r="673">
      <c r="A673" s="30" t="n"/>
      <c r="B673" s="30" t="n"/>
      <c r="C673" s="30" t="n"/>
      <c r="D673" s="30" t="n"/>
      <c r="E673" s="30" t="n"/>
      <c r="F673" s="30" t="n"/>
      <c r="G673" s="30" t="n"/>
      <c r="H673" s="31">
        <f>IF($A673="","",IFERROR(ROUND($C673*INDEX(tblKurallar[deger_2025],MATCH("TBO-001",tblKurallar[kural_id],0))+$D673*INDEX(tblKurallar[deger_2025],MATCH("TBO-002",tblKurallar[kural_id],0))+$E673*INDEX(tblKurallar[deger_2025],MATCH("TBO-004",tblKurallar[kural_id],0))+$F673*tbo_isverenOran,2),0))</f>
        <v/>
      </c>
      <c r="I673" s="31">
        <f>IF($A673="","",IFERROR(MAX(0,$H673-$G673),0))</f>
        <v/>
      </c>
    </row>
    <row r="674">
      <c r="A674" s="30" t="n"/>
      <c r="B674" s="30" t="n"/>
      <c r="C674" s="30" t="n"/>
      <c r="D674" s="30" t="n"/>
      <c r="E674" s="30" t="n"/>
      <c r="F674" s="30" t="n"/>
      <c r="G674" s="30" t="n"/>
      <c r="H674" s="31">
        <f>IF($A674="","",IFERROR(ROUND($C674*INDEX(tblKurallar[deger_2025],MATCH("TBO-001",tblKurallar[kural_id],0))+$D674*INDEX(tblKurallar[deger_2025],MATCH("TBO-002",tblKurallar[kural_id],0))+$E674*INDEX(tblKurallar[deger_2025],MATCH("TBO-004",tblKurallar[kural_id],0))+$F674*tbo_isverenOran,2),0))</f>
        <v/>
      </c>
      <c r="I674" s="31">
        <f>IF($A674="","",IFERROR(MAX(0,$H674-$G674),0))</f>
        <v/>
      </c>
    </row>
    <row r="675">
      <c r="A675" s="30" t="n"/>
      <c r="B675" s="30" t="n"/>
      <c r="C675" s="30" t="n"/>
      <c r="D675" s="30" t="n"/>
      <c r="E675" s="30" t="n"/>
      <c r="F675" s="30" t="n"/>
      <c r="G675" s="30" t="n"/>
      <c r="H675" s="31">
        <f>IF($A675="","",IFERROR(ROUND($C675*INDEX(tblKurallar[deger_2025],MATCH("TBO-001",tblKurallar[kural_id],0))+$D675*INDEX(tblKurallar[deger_2025],MATCH("TBO-002",tblKurallar[kural_id],0))+$E675*INDEX(tblKurallar[deger_2025],MATCH("TBO-004",tblKurallar[kural_id],0))+$F675*tbo_isverenOran,2),0))</f>
        <v/>
      </c>
      <c r="I675" s="31">
        <f>IF($A675="","",IFERROR(MAX(0,$H675-$G675),0))</f>
        <v/>
      </c>
    </row>
    <row r="676">
      <c r="A676" s="30" t="n"/>
      <c r="B676" s="30" t="n"/>
      <c r="C676" s="30" t="n"/>
      <c r="D676" s="30" t="n"/>
      <c r="E676" s="30" t="n"/>
      <c r="F676" s="30" t="n"/>
      <c r="G676" s="30" t="n"/>
      <c r="H676" s="31">
        <f>IF($A676="","",IFERROR(ROUND($C676*INDEX(tblKurallar[deger_2025],MATCH("TBO-001",tblKurallar[kural_id],0))+$D676*INDEX(tblKurallar[deger_2025],MATCH("TBO-002",tblKurallar[kural_id],0))+$E676*INDEX(tblKurallar[deger_2025],MATCH("TBO-004",tblKurallar[kural_id],0))+$F676*tbo_isverenOran,2),0))</f>
        <v/>
      </c>
      <c r="I676" s="31">
        <f>IF($A676="","",IFERROR(MAX(0,$H676-$G676),0))</f>
        <v/>
      </c>
    </row>
    <row r="677">
      <c r="A677" s="30" t="n"/>
      <c r="B677" s="30" t="n"/>
      <c r="C677" s="30" t="n"/>
      <c r="D677" s="30" t="n"/>
      <c r="E677" s="30" t="n"/>
      <c r="F677" s="30" t="n"/>
      <c r="G677" s="30" t="n"/>
      <c r="H677" s="31">
        <f>IF($A677="","",IFERROR(ROUND($C677*INDEX(tblKurallar[deger_2025],MATCH("TBO-001",tblKurallar[kural_id],0))+$D677*INDEX(tblKurallar[deger_2025],MATCH("TBO-002",tblKurallar[kural_id],0))+$E677*INDEX(tblKurallar[deger_2025],MATCH("TBO-004",tblKurallar[kural_id],0))+$F677*tbo_isverenOran,2),0))</f>
        <v/>
      </c>
      <c r="I677" s="31">
        <f>IF($A677="","",IFERROR(MAX(0,$H677-$G677),0))</f>
        <v/>
      </c>
    </row>
    <row r="678">
      <c r="A678" s="30" t="n"/>
      <c r="B678" s="30" t="n"/>
      <c r="C678" s="30" t="n"/>
      <c r="D678" s="30" t="n"/>
      <c r="E678" s="30" t="n"/>
      <c r="F678" s="30" t="n"/>
      <c r="G678" s="30" t="n"/>
      <c r="H678" s="31">
        <f>IF($A678="","",IFERROR(ROUND($C678*INDEX(tblKurallar[deger_2025],MATCH("TBO-001",tblKurallar[kural_id],0))+$D678*INDEX(tblKurallar[deger_2025],MATCH("TBO-002",tblKurallar[kural_id],0))+$E678*INDEX(tblKurallar[deger_2025],MATCH("TBO-004",tblKurallar[kural_id],0))+$F678*tbo_isverenOran,2),0))</f>
        <v/>
      </c>
      <c r="I678" s="31">
        <f>IF($A678="","",IFERROR(MAX(0,$H678-$G678),0))</f>
        <v/>
      </c>
    </row>
    <row r="679">
      <c r="A679" s="30" t="n"/>
      <c r="B679" s="30" t="n"/>
      <c r="C679" s="30" t="n"/>
      <c r="D679" s="30" t="n"/>
      <c r="E679" s="30" t="n"/>
      <c r="F679" s="30" t="n"/>
      <c r="G679" s="30" t="n"/>
      <c r="H679" s="31">
        <f>IF($A679="","",IFERROR(ROUND($C679*INDEX(tblKurallar[deger_2025],MATCH("TBO-001",tblKurallar[kural_id],0))+$D679*INDEX(tblKurallar[deger_2025],MATCH("TBO-002",tblKurallar[kural_id],0))+$E679*INDEX(tblKurallar[deger_2025],MATCH("TBO-004",tblKurallar[kural_id],0))+$F679*tbo_isverenOran,2),0))</f>
        <v/>
      </c>
      <c r="I679" s="31">
        <f>IF($A679="","",IFERROR(MAX(0,$H679-$G679),0))</f>
        <v/>
      </c>
    </row>
    <row r="680">
      <c r="A680" s="30" t="n"/>
      <c r="B680" s="30" t="n"/>
      <c r="C680" s="30" t="n"/>
      <c r="D680" s="30" t="n"/>
      <c r="E680" s="30" t="n"/>
      <c r="F680" s="30" t="n"/>
      <c r="G680" s="30" t="n"/>
      <c r="H680" s="31">
        <f>IF($A680="","",IFERROR(ROUND($C680*INDEX(tblKurallar[deger_2025],MATCH("TBO-001",tblKurallar[kural_id],0))+$D680*INDEX(tblKurallar[deger_2025],MATCH("TBO-002",tblKurallar[kural_id],0))+$E680*INDEX(tblKurallar[deger_2025],MATCH("TBO-004",tblKurallar[kural_id],0))+$F680*tbo_isverenOran,2),0))</f>
        <v/>
      </c>
      <c r="I680" s="31">
        <f>IF($A680="","",IFERROR(MAX(0,$H680-$G680),0))</f>
        <v/>
      </c>
    </row>
    <row r="681">
      <c r="A681" s="30" t="n"/>
      <c r="B681" s="30" t="n"/>
      <c r="C681" s="30" t="n"/>
      <c r="D681" s="30" t="n"/>
      <c r="E681" s="30" t="n"/>
      <c r="F681" s="30" t="n"/>
      <c r="G681" s="30" t="n"/>
      <c r="H681" s="31">
        <f>IF($A681="","",IFERROR(ROUND($C681*INDEX(tblKurallar[deger_2025],MATCH("TBO-001",tblKurallar[kural_id],0))+$D681*INDEX(tblKurallar[deger_2025],MATCH("TBO-002",tblKurallar[kural_id],0))+$E681*INDEX(tblKurallar[deger_2025],MATCH("TBO-004",tblKurallar[kural_id],0))+$F681*tbo_isverenOran,2),0))</f>
        <v/>
      </c>
      <c r="I681" s="31">
        <f>IF($A681="","",IFERROR(MAX(0,$H681-$G681),0))</f>
        <v/>
      </c>
    </row>
    <row r="682">
      <c r="A682" s="30" t="n"/>
      <c r="B682" s="30" t="n"/>
      <c r="C682" s="30" t="n"/>
      <c r="D682" s="30" t="n"/>
      <c r="E682" s="30" t="n"/>
      <c r="F682" s="30" t="n"/>
      <c r="G682" s="30" t="n"/>
      <c r="H682" s="31">
        <f>IF($A682="","",IFERROR(ROUND($C682*INDEX(tblKurallar[deger_2025],MATCH("TBO-001",tblKurallar[kural_id],0))+$D682*INDEX(tblKurallar[deger_2025],MATCH("TBO-002",tblKurallar[kural_id],0))+$E682*INDEX(tblKurallar[deger_2025],MATCH("TBO-004",tblKurallar[kural_id],0))+$F682*tbo_isverenOran,2),0))</f>
        <v/>
      </c>
      <c r="I682" s="31">
        <f>IF($A682="","",IFERROR(MAX(0,$H682-$G682),0))</f>
        <v/>
      </c>
    </row>
    <row r="683">
      <c r="A683" s="30" t="n"/>
      <c r="B683" s="30" t="n"/>
      <c r="C683" s="30" t="n"/>
      <c r="D683" s="30" t="n"/>
      <c r="E683" s="30" t="n"/>
      <c r="F683" s="30" t="n"/>
      <c r="G683" s="30" t="n"/>
      <c r="H683" s="31">
        <f>IF($A683="","",IFERROR(ROUND($C683*INDEX(tblKurallar[deger_2025],MATCH("TBO-001",tblKurallar[kural_id],0))+$D683*INDEX(tblKurallar[deger_2025],MATCH("TBO-002",tblKurallar[kural_id],0))+$E683*INDEX(tblKurallar[deger_2025],MATCH("TBO-004",tblKurallar[kural_id],0))+$F683*tbo_isverenOran,2),0))</f>
        <v/>
      </c>
      <c r="I683" s="31">
        <f>IF($A683="","",IFERROR(MAX(0,$H683-$G683),0))</f>
        <v/>
      </c>
    </row>
    <row r="684">
      <c r="A684" s="30" t="n"/>
      <c r="B684" s="30" t="n"/>
      <c r="C684" s="30" t="n"/>
      <c r="D684" s="30" t="n"/>
      <c r="E684" s="30" t="n"/>
      <c r="F684" s="30" t="n"/>
      <c r="G684" s="30" t="n"/>
      <c r="H684" s="31">
        <f>IF($A684="","",IFERROR(ROUND($C684*INDEX(tblKurallar[deger_2025],MATCH("TBO-001",tblKurallar[kural_id],0))+$D684*INDEX(tblKurallar[deger_2025],MATCH("TBO-002",tblKurallar[kural_id],0))+$E684*INDEX(tblKurallar[deger_2025],MATCH("TBO-004",tblKurallar[kural_id],0))+$F684*tbo_isverenOran,2),0))</f>
        <v/>
      </c>
      <c r="I684" s="31">
        <f>IF($A684="","",IFERROR(MAX(0,$H684-$G684),0))</f>
        <v/>
      </c>
    </row>
    <row r="685">
      <c r="A685" s="30" t="n"/>
      <c r="B685" s="30" t="n"/>
      <c r="C685" s="30" t="n"/>
      <c r="D685" s="30" t="n"/>
      <c r="E685" s="30" t="n"/>
      <c r="F685" s="30" t="n"/>
      <c r="G685" s="30" t="n"/>
      <c r="H685" s="31">
        <f>IF($A685="","",IFERROR(ROUND($C685*INDEX(tblKurallar[deger_2025],MATCH("TBO-001",tblKurallar[kural_id],0))+$D685*INDEX(tblKurallar[deger_2025],MATCH("TBO-002",tblKurallar[kural_id],0))+$E685*INDEX(tblKurallar[deger_2025],MATCH("TBO-004",tblKurallar[kural_id],0))+$F685*tbo_isverenOran,2),0))</f>
        <v/>
      </c>
      <c r="I685" s="31">
        <f>IF($A685="","",IFERROR(MAX(0,$H685-$G685),0))</f>
        <v/>
      </c>
    </row>
    <row r="686">
      <c r="A686" s="30" t="n"/>
      <c r="B686" s="30" t="n"/>
      <c r="C686" s="30" t="n"/>
      <c r="D686" s="30" t="n"/>
      <c r="E686" s="30" t="n"/>
      <c r="F686" s="30" t="n"/>
      <c r="G686" s="30" t="n"/>
      <c r="H686" s="31">
        <f>IF($A686="","",IFERROR(ROUND($C686*INDEX(tblKurallar[deger_2025],MATCH("TBO-001",tblKurallar[kural_id],0))+$D686*INDEX(tblKurallar[deger_2025],MATCH("TBO-002",tblKurallar[kural_id],0))+$E686*INDEX(tblKurallar[deger_2025],MATCH("TBO-004",tblKurallar[kural_id],0))+$F686*tbo_isverenOran,2),0))</f>
        <v/>
      </c>
      <c r="I686" s="31">
        <f>IF($A686="","",IFERROR(MAX(0,$H686-$G686),0))</f>
        <v/>
      </c>
    </row>
    <row r="687">
      <c r="A687" s="30" t="n"/>
      <c r="B687" s="30" t="n"/>
      <c r="C687" s="30" t="n"/>
      <c r="D687" s="30" t="n"/>
      <c r="E687" s="30" t="n"/>
      <c r="F687" s="30" t="n"/>
      <c r="G687" s="30" t="n"/>
      <c r="H687" s="31">
        <f>IF($A687="","",IFERROR(ROUND($C687*INDEX(tblKurallar[deger_2025],MATCH("TBO-001",tblKurallar[kural_id],0))+$D687*INDEX(tblKurallar[deger_2025],MATCH("TBO-002",tblKurallar[kural_id],0))+$E687*INDEX(tblKurallar[deger_2025],MATCH("TBO-004",tblKurallar[kural_id],0))+$F687*tbo_isverenOran,2),0))</f>
        <v/>
      </c>
      <c r="I687" s="31">
        <f>IF($A687="","",IFERROR(MAX(0,$H687-$G687),0))</f>
        <v/>
      </c>
    </row>
    <row r="688">
      <c r="A688" s="30" t="n"/>
      <c r="B688" s="30" t="n"/>
      <c r="C688" s="30" t="n"/>
      <c r="D688" s="30" t="n"/>
      <c r="E688" s="30" t="n"/>
      <c r="F688" s="30" t="n"/>
      <c r="G688" s="30" t="n"/>
      <c r="H688" s="31">
        <f>IF($A688="","",IFERROR(ROUND($C688*INDEX(tblKurallar[deger_2025],MATCH("TBO-001",tblKurallar[kural_id],0))+$D688*INDEX(tblKurallar[deger_2025],MATCH("TBO-002",tblKurallar[kural_id],0))+$E688*INDEX(tblKurallar[deger_2025],MATCH("TBO-004",tblKurallar[kural_id],0))+$F688*tbo_isverenOran,2),0))</f>
        <v/>
      </c>
      <c r="I688" s="31">
        <f>IF($A688="","",IFERROR(MAX(0,$H688-$G688),0))</f>
        <v/>
      </c>
    </row>
    <row r="689">
      <c r="A689" s="30" t="n"/>
      <c r="B689" s="30" t="n"/>
      <c r="C689" s="30" t="n"/>
      <c r="D689" s="30" t="n"/>
      <c r="E689" s="30" t="n"/>
      <c r="F689" s="30" t="n"/>
      <c r="G689" s="30" t="n"/>
      <c r="H689" s="31">
        <f>IF($A689="","",IFERROR(ROUND($C689*INDEX(tblKurallar[deger_2025],MATCH("TBO-001",tblKurallar[kural_id],0))+$D689*INDEX(tblKurallar[deger_2025],MATCH("TBO-002",tblKurallar[kural_id],0))+$E689*INDEX(tblKurallar[deger_2025],MATCH("TBO-004",tblKurallar[kural_id],0))+$F689*tbo_isverenOran,2),0))</f>
        <v/>
      </c>
      <c r="I689" s="31">
        <f>IF($A689="","",IFERROR(MAX(0,$H689-$G689),0))</f>
        <v/>
      </c>
    </row>
    <row r="690">
      <c r="A690" s="30" t="n"/>
      <c r="B690" s="30" t="n"/>
      <c r="C690" s="30" t="n"/>
      <c r="D690" s="30" t="n"/>
      <c r="E690" s="30" t="n"/>
      <c r="F690" s="30" t="n"/>
      <c r="G690" s="30" t="n"/>
      <c r="H690" s="31">
        <f>IF($A690="","",IFERROR(ROUND($C690*INDEX(tblKurallar[deger_2025],MATCH("TBO-001",tblKurallar[kural_id],0))+$D690*INDEX(tblKurallar[deger_2025],MATCH("TBO-002",tblKurallar[kural_id],0))+$E690*INDEX(tblKurallar[deger_2025],MATCH("TBO-004",tblKurallar[kural_id],0))+$F690*tbo_isverenOran,2),0))</f>
        <v/>
      </c>
      <c r="I690" s="31">
        <f>IF($A690="","",IFERROR(MAX(0,$H690-$G690),0))</f>
        <v/>
      </c>
    </row>
    <row r="691">
      <c r="A691" s="30" t="n"/>
      <c r="B691" s="30" t="n"/>
      <c r="C691" s="30" t="n"/>
      <c r="D691" s="30" t="n"/>
      <c r="E691" s="30" t="n"/>
      <c r="F691" s="30" t="n"/>
      <c r="G691" s="30" t="n"/>
      <c r="H691" s="31">
        <f>IF($A691="","",IFERROR(ROUND($C691*INDEX(tblKurallar[deger_2025],MATCH("TBO-001",tblKurallar[kural_id],0))+$D691*INDEX(tblKurallar[deger_2025],MATCH("TBO-002",tblKurallar[kural_id],0))+$E691*INDEX(tblKurallar[deger_2025],MATCH("TBO-004",tblKurallar[kural_id],0))+$F691*tbo_isverenOran,2),0))</f>
        <v/>
      </c>
      <c r="I691" s="31">
        <f>IF($A691="","",IFERROR(MAX(0,$H691-$G691),0))</f>
        <v/>
      </c>
    </row>
    <row r="692">
      <c r="A692" s="30" t="n"/>
      <c r="B692" s="30" t="n"/>
      <c r="C692" s="30" t="n"/>
      <c r="D692" s="30" t="n"/>
      <c r="E692" s="30" t="n"/>
      <c r="F692" s="30" t="n"/>
      <c r="G692" s="30" t="n"/>
      <c r="H692" s="31">
        <f>IF($A692="","",IFERROR(ROUND($C692*INDEX(tblKurallar[deger_2025],MATCH("TBO-001",tblKurallar[kural_id],0))+$D692*INDEX(tblKurallar[deger_2025],MATCH("TBO-002",tblKurallar[kural_id],0))+$E692*INDEX(tblKurallar[deger_2025],MATCH("TBO-004",tblKurallar[kural_id],0))+$F692*tbo_isverenOran,2),0))</f>
        <v/>
      </c>
      <c r="I692" s="31">
        <f>IF($A692="","",IFERROR(MAX(0,$H692-$G692),0))</f>
        <v/>
      </c>
    </row>
    <row r="693">
      <c r="A693" s="30" t="n"/>
      <c r="B693" s="30" t="n"/>
      <c r="C693" s="30" t="n"/>
      <c r="D693" s="30" t="n"/>
      <c r="E693" s="30" t="n"/>
      <c r="F693" s="30" t="n"/>
      <c r="G693" s="30" t="n"/>
      <c r="H693" s="31">
        <f>IF($A693="","",IFERROR(ROUND($C693*INDEX(tblKurallar[deger_2025],MATCH("TBO-001",tblKurallar[kural_id],0))+$D693*INDEX(tblKurallar[deger_2025],MATCH("TBO-002",tblKurallar[kural_id],0))+$E693*INDEX(tblKurallar[deger_2025],MATCH("TBO-004",tblKurallar[kural_id],0))+$F693*tbo_isverenOran,2),0))</f>
        <v/>
      </c>
      <c r="I693" s="31">
        <f>IF($A693="","",IFERROR(MAX(0,$H693-$G693),0))</f>
        <v/>
      </c>
    </row>
    <row r="694">
      <c r="A694" s="30" t="n"/>
      <c r="B694" s="30" t="n"/>
      <c r="C694" s="30" t="n"/>
      <c r="D694" s="30" t="n"/>
      <c r="E694" s="30" t="n"/>
      <c r="F694" s="30" t="n"/>
      <c r="G694" s="30" t="n"/>
      <c r="H694" s="31">
        <f>IF($A694="","",IFERROR(ROUND($C694*INDEX(tblKurallar[deger_2025],MATCH("TBO-001",tblKurallar[kural_id],0))+$D694*INDEX(tblKurallar[deger_2025],MATCH("TBO-002",tblKurallar[kural_id],0))+$E694*INDEX(tblKurallar[deger_2025],MATCH("TBO-004",tblKurallar[kural_id],0))+$F694*tbo_isverenOran,2),0))</f>
        <v/>
      </c>
      <c r="I694" s="31">
        <f>IF($A694="","",IFERROR(MAX(0,$H694-$G694),0))</f>
        <v/>
      </c>
    </row>
    <row r="695">
      <c r="A695" s="30" t="n"/>
      <c r="B695" s="30" t="n"/>
      <c r="C695" s="30" t="n"/>
      <c r="D695" s="30" t="n"/>
      <c r="E695" s="30" t="n"/>
      <c r="F695" s="30" t="n"/>
      <c r="G695" s="30" t="n"/>
      <c r="H695" s="31">
        <f>IF($A695="","",IFERROR(ROUND($C695*INDEX(tblKurallar[deger_2025],MATCH("TBO-001",tblKurallar[kural_id],0))+$D695*INDEX(tblKurallar[deger_2025],MATCH("TBO-002",tblKurallar[kural_id],0))+$E695*INDEX(tblKurallar[deger_2025],MATCH("TBO-004",tblKurallar[kural_id],0))+$F695*tbo_isverenOran,2),0))</f>
        <v/>
      </c>
      <c r="I695" s="31">
        <f>IF($A695="","",IFERROR(MAX(0,$H695-$G695),0))</f>
        <v/>
      </c>
    </row>
    <row r="696">
      <c r="A696" s="30" t="n"/>
      <c r="B696" s="30" t="n"/>
      <c r="C696" s="30" t="n"/>
      <c r="D696" s="30" t="n"/>
      <c r="E696" s="30" t="n"/>
      <c r="F696" s="30" t="n"/>
      <c r="G696" s="30" t="n"/>
      <c r="H696" s="31">
        <f>IF($A696="","",IFERROR(ROUND($C696*INDEX(tblKurallar[deger_2025],MATCH("TBO-001",tblKurallar[kural_id],0))+$D696*INDEX(tblKurallar[deger_2025],MATCH("TBO-002",tblKurallar[kural_id],0))+$E696*INDEX(tblKurallar[deger_2025],MATCH("TBO-004",tblKurallar[kural_id],0))+$F696*tbo_isverenOran,2),0))</f>
        <v/>
      </c>
      <c r="I696" s="31">
        <f>IF($A696="","",IFERROR(MAX(0,$H696-$G696),0))</f>
        <v/>
      </c>
    </row>
    <row r="697">
      <c r="A697" s="30" t="n"/>
      <c r="B697" s="30" t="n"/>
      <c r="C697" s="30" t="n"/>
      <c r="D697" s="30" t="n"/>
      <c r="E697" s="30" t="n"/>
      <c r="F697" s="30" t="n"/>
      <c r="G697" s="30" t="n"/>
      <c r="H697" s="31">
        <f>IF($A697="","",IFERROR(ROUND($C697*INDEX(tblKurallar[deger_2025],MATCH("TBO-001",tblKurallar[kural_id],0))+$D697*INDEX(tblKurallar[deger_2025],MATCH("TBO-002",tblKurallar[kural_id],0))+$E697*INDEX(tblKurallar[deger_2025],MATCH("TBO-004",tblKurallar[kural_id],0))+$F697*tbo_isverenOran,2),0))</f>
        <v/>
      </c>
      <c r="I697" s="31">
        <f>IF($A697="","",IFERROR(MAX(0,$H697-$G697),0))</f>
        <v/>
      </c>
    </row>
    <row r="698">
      <c r="A698" s="30" t="n"/>
      <c r="B698" s="30" t="n"/>
      <c r="C698" s="30" t="n"/>
      <c r="D698" s="30" t="n"/>
      <c r="E698" s="30" t="n"/>
      <c r="F698" s="30" t="n"/>
      <c r="G698" s="30" t="n"/>
      <c r="H698" s="31">
        <f>IF($A698="","",IFERROR(ROUND($C698*INDEX(tblKurallar[deger_2025],MATCH("TBO-001",tblKurallar[kural_id],0))+$D698*INDEX(tblKurallar[deger_2025],MATCH("TBO-002",tblKurallar[kural_id],0))+$E698*INDEX(tblKurallar[deger_2025],MATCH("TBO-004",tblKurallar[kural_id],0))+$F698*tbo_isverenOran,2),0))</f>
        <v/>
      </c>
      <c r="I698" s="31">
        <f>IF($A698="","",IFERROR(MAX(0,$H698-$G698),0))</f>
        <v/>
      </c>
    </row>
    <row r="699">
      <c r="A699" s="30" t="n"/>
      <c r="B699" s="30" t="n"/>
      <c r="C699" s="30" t="n"/>
      <c r="D699" s="30" t="n"/>
      <c r="E699" s="30" t="n"/>
      <c r="F699" s="30" t="n"/>
      <c r="G699" s="30" t="n"/>
      <c r="H699" s="31">
        <f>IF($A699="","",IFERROR(ROUND($C699*INDEX(tblKurallar[deger_2025],MATCH("TBO-001",tblKurallar[kural_id],0))+$D699*INDEX(tblKurallar[deger_2025],MATCH("TBO-002",tblKurallar[kural_id],0))+$E699*INDEX(tblKurallar[deger_2025],MATCH("TBO-004",tblKurallar[kural_id],0))+$F699*tbo_isverenOran,2),0))</f>
        <v/>
      </c>
      <c r="I699" s="31">
        <f>IF($A699="","",IFERROR(MAX(0,$H699-$G699),0))</f>
        <v/>
      </c>
    </row>
    <row r="700">
      <c r="A700" s="30" t="n"/>
      <c r="B700" s="30" t="n"/>
      <c r="C700" s="30" t="n"/>
      <c r="D700" s="30" t="n"/>
      <c r="E700" s="30" t="n"/>
      <c r="F700" s="30" t="n"/>
      <c r="G700" s="30" t="n"/>
      <c r="H700" s="31">
        <f>IF($A700="","",IFERROR(ROUND($C700*INDEX(tblKurallar[deger_2025],MATCH("TBO-001",tblKurallar[kural_id],0))+$D700*INDEX(tblKurallar[deger_2025],MATCH("TBO-002",tblKurallar[kural_id],0))+$E700*INDEX(tblKurallar[deger_2025],MATCH("TBO-004",tblKurallar[kural_id],0))+$F700*tbo_isverenOran,2),0))</f>
        <v/>
      </c>
      <c r="I700" s="31">
        <f>IF($A700="","",IFERROR(MAX(0,$H700-$G700),0))</f>
        <v/>
      </c>
    </row>
    <row r="701">
      <c r="A701" s="30" t="n"/>
      <c r="B701" s="30" t="n"/>
      <c r="C701" s="30" t="n"/>
      <c r="D701" s="30" t="n"/>
      <c r="E701" s="30" t="n"/>
      <c r="F701" s="30" t="n"/>
      <c r="G701" s="30" t="n"/>
      <c r="H701" s="31">
        <f>IF($A701="","",IFERROR(ROUND($C701*INDEX(tblKurallar[deger_2025],MATCH("TBO-001",tblKurallar[kural_id],0))+$D701*INDEX(tblKurallar[deger_2025],MATCH("TBO-002",tblKurallar[kural_id],0))+$E701*INDEX(tblKurallar[deger_2025],MATCH("TBO-004",tblKurallar[kural_id],0))+$F701*tbo_isverenOran,2),0))</f>
        <v/>
      </c>
      <c r="I701" s="31">
        <f>IF($A701="","",IFERROR(MAX(0,$H701-$G701),0))</f>
        <v/>
      </c>
    </row>
    <row r="702">
      <c r="A702" s="30" t="n"/>
      <c r="B702" s="30" t="n"/>
      <c r="C702" s="30" t="n"/>
      <c r="D702" s="30" t="n"/>
      <c r="E702" s="30" t="n"/>
      <c r="F702" s="30" t="n"/>
      <c r="G702" s="30" t="n"/>
      <c r="H702" s="31">
        <f>IF($A702="","",IFERROR(ROUND($C702*INDEX(tblKurallar[deger_2025],MATCH("TBO-001",tblKurallar[kural_id],0))+$D702*INDEX(tblKurallar[deger_2025],MATCH("TBO-002",tblKurallar[kural_id],0))+$E702*INDEX(tblKurallar[deger_2025],MATCH("TBO-004",tblKurallar[kural_id],0))+$F702*tbo_isverenOran,2),0))</f>
        <v/>
      </c>
      <c r="I702" s="31">
        <f>IF($A702="","",IFERROR(MAX(0,$H702-$G702),0))</f>
        <v/>
      </c>
    </row>
    <row r="703">
      <c r="A703" s="30" t="n"/>
      <c r="B703" s="30" t="n"/>
      <c r="C703" s="30" t="n"/>
      <c r="D703" s="30" t="n"/>
      <c r="E703" s="30" t="n"/>
      <c r="F703" s="30" t="n"/>
      <c r="G703" s="30" t="n"/>
      <c r="H703" s="31">
        <f>IF($A703="","",IFERROR(ROUND($C703*INDEX(tblKurallar[deger_2025],MATCH("TBO-001",tblKurallar[kural_id],0))+$D703*INDEX(tblKurallar[deger_2025],MATCH("TBO-002",tblKurallar[kural_id],0))+$E703*INDEX(tblKurallar[deger_2025],MATCH("TBO-004",tblKurallar[kural_id],0))+$F703*tbo_isverenOran,2),0))</f>
        <v/>
      </c>
      <c r="I703" s="31">
        <f>IF($A703="","",IFERROR(MAX(0,$H703-$G703),0))</f>
        <v/>
      </c>
    </row>
    <row r="704">
      <c r="A704" s="30" t="n"/>
      <c r="B704" s="30" t="n"/>
      <c r="C704" s="30" t="n"/>
      <c r="D704" s="30" t="n"/>
      <c r="E704" s="30" t="n"/>
      <c r="F704" s="30" t="n"/>
      <c r="G704" s="30" t="n"/>
      <c r="H704" s="31">
        <f>IF($A704="","",IFERROR(ROUND($C704*INDEX(tblKurallar[deger_2025],MATCH("TBO-001",tblKurallar[kural_id],0))+$D704*INDEX(tblKurallar[deger_2025],MATCH("TBO-002",tblKurallar[kural_id],0))+$E704*INDEX(tblKurallar[deger_2025],MATCH("TBO-004",tblKurallar[kural_id],0))+$F704*tbo_isverenOran,2),0))</f>
        <v/>
      </c>
      <c r="I704" s="31">
        <f>IF($A704="","",IFERROR(MAX(0,$H704-$G704),0))</f>
        <v/>
      </c>
    </row>
    <row r="705">
      <c r="A705" s="30" t="n"/>
      <c r="B705" s="30" t="n"/>
      <c r="C705" s="30" t="n"/>
      <c r="D705" s="30" t="n"/>
      <c r="E705" s="30" t="n"/>
      <c r="F705" s="30" t="n"/>
      <c r="G705" s="30" t="n"/>
      <c r="H705" s="31">
        <f>IF($A705="","",IFERROR(ROUND($C705*INDEX(tblKurallar[deger_2025],MATCH("TBO-001",tblKurallar[kural_id],0))+$D705*INDEX(tblKurallar[deger_2025],MATCH("TBO-002",tblKurallar[kural_id],0))+$E705*INDEX(tblKurallar[deger_2025],MATCH("TBO-004",tblKurallar[kural_id],0))+$F705*tbo_isverenOran,2),0))</f>
        <v/>
      </c>
      <c r="I705" s="31">
        <f>IF($A705="","",IFERROR(MAX(0,$H705-$G705),0))</f>
        <v/>
      </c>
    </row>
    <row r="706">
      <c r="A706" s="30" t="n"/>
      <c r="B706" s="30" t="n"/>
      <c r="C706" s="30" t="n"/>
      <c r="D706" s="30" t="n"/>
      <c r="E706" s="30" t="n"/>
      <c r="F706" s="30" t="n"/>
      <c r="G706" s="30" t="n"/>
      <c r="H706" s="31">
        <f>IF($A706="","",IFERROR(ROUND($C706*INDEX(tblKurallar[deger_2025],MATCH("TBO-001",tblKurallar[kural_id],0))+$D706*INDEX(tblKurallar[deger_2025],MATCH("TBO-002",tblKurallar[kural_id],0))+$E706*INDEX(tblKurallar[deger_2025],MATCH("TBO-004",tblKurallar[kural_id],0))+$F706*tbo_isverenOran,2),0))</f>
        <v/>
      </c>
      <c r="I706" s="31">
        <f>IF($A706="","",IFERROR(MAX(0,$H706-$G706),0))</f>
        <v/>
      </c>
    </row>
    <row r="707">
      <c r="A707" s="30" t="n"/>
      <c r="B707" s="30" t="n"/>
      <c r="C707" s="30" t="n"/>
      <c r="D707" s="30" t="n"/>
      <c r="E707" s="30" t="n"/>
      <c r="F707" s="30" t="n"/>
      <c r="G707" s="30" t="n"/>
      <c r="H707" s="31">
        <f>IF($A707="","",IFERROR(ROUND($C707*INDEX(tblKurallar[deger_2025],MATCH("TBO-001",tblKurallar[kural_id],0))+$D707*INDEX(tblKurallar[deger_2025],MATCH("TBO-002",tblKurallar[kural_id],0))+$E707*INDEX(tblKurallar[deger_2025],MATCH("TBO-004",tblKurallar[kural_id],0))+$F707*tbo_isverenOran,2),0))</f>
        <v/>
      </c>
      <c r="I707" s="31">
        <f>IF($A707="","",IFERROR(MAX(0,$H707-$G707),0))</f>
        <v/>
      </c>
    </row>
    <row r="708">
      <c r="A708" s="30" t="n"/>
      <c r="B708" s="30" t="n"/>
      <c r="C708" s="30" t="n"/>
      <c r="D708" s="30" t="n"/>
      <c r="E708" s="30" t="n"/>
      <c r="F708" s="30" t="n"/>
      <c r="G708" s="30" t="n"/>
      <c r="H708" s="31">
        <f>IF($A708="","",IFERROR(ROUND($C708*INDEX(tblKurallar[deger_2025],MATCH("TBO-001",tblKurallar[kural_id],0))+$D708*INDEX(tblKurallar[deger_2025],MATCH("TBO-002",tblKurallar[kural_id],0))+$E708*INDEX(tblKurallar[deger_2025],MATCH("TBO-004",tblKurallar[kural_id],0))+$F708*tbo_isverenOran,2),0))</f>
        <v/>
      </c>
      <c r="I708" s="31">
        <f>IF($A708="","",IFERROR(MAX(0,$H708-$G708),0))</f>
        <v/>
      </c>
    </row>
    <row r="709">
      <c r="A709" s="30" t="n"/>
      <c r="B709" s="30" t="n"/>
      <c r="C709" s="30" t="n"/>
      <c r="D709" s="30" t="n"/>
      <c r="E709" s="30" t="n"/>
      <c r="F709" s="30" t="n"/>
      <c r="G709" s="30" t="n"/>
      <c r="H709" s="31">
        <f>IF($A709="","",IFERROR(ROUND($C709*INDEX(tblKurallar[deger_2025],MATCH("TBO-001",tblKurallar[kural_id],0))+$D709*INDEX(tblKurallar[deger_2025],MATCH("TBO-002",tblKurallar[kural_id],0))+$E709*INDEX(tblKurallar[deger_2025],MATCH("TBO-004",tblKurallar[kural_id],0))+$F709*tbo_isverenOran,2),0))</f>
        <v/>
      </c>
      <c r="I709" s="31">
        <f>IF($A709="","",IFERROR(MAX(0,$H709-$G709),0))</f>
        <v/>
      </c>
    </row>
    <row r="710">
      <c r="A710" s="30" t="n"/>
      <c r="B710" s="30" t="n"/>
      <c r="C710" s="30" t="n"/>
      <c r="D710" s="30" t="n"/>
      <c r="E710" s="30" t="n"/>
      <c r="F710" s="30" t="n"/>
      <c r="G710" s="30" t="n"/>
      <c r="H710" s="31">
        <f>IF($A710="","",IFERROR(ROUND($C710*INDEX(tblKurallar[deger_2025],MATCH("TBO-001",tblKurallar[kural_id],0))+$D710*INDEX(tblKurallar[deger_2025],MATCH("TBO-002",tblKurallar[kural_id],0))+$E710*INDEX(tblKurallar[deger_2025],MATCH("TBO-004",tblKurallar[kural_id],0))+$F710*tbo_isverenOran,2),0))</f>
        <v/>
      </c>
      <c r="I710" s="31">
        <f>IF($A710="","",IFERROR(MAX(0,$H710-$G710),0))</f>
        <v/>
      </c>
    </row>
    <row r="711">
      <c r="A711" s="30" t="n"/>
      <c r="B711" s="30" t="n"/>
      <c r="C711" s="30" t="n"/>
      <c r="D711" s="30" t="n"/>
      <c r="E711" s="30" t="n"/>
      <c r="F711" s="30" t="n"/>
      <c r="G711" s="30" t="n"/>
      <c r="H711" s="31">
        <f>IF($A711="","",IFERROR(ROUND($C711*INDEX(tblKurallar[deger_2025],MATCH("TBO-001",tblKurallar[kural_id],0))+$D711*INDEX(tblKurallar[deger_2025],MATCH("TBO-002",tblKurallar[kural_id],0))+$E711*INDEX(tblKurallar[deger_2025],MATCH("TBO-004",tblKurallar[kural_id],0))+$F711*tbo_isverenOran,2),0))</f>
        <v/>
      </c>
      <c r="I711" s="31">
        <f>IF($A711="","",IFERROR(MAX(0,$H711-$G711),0))</f>
        <v/>
      </c>
    </row>
    <row r="712">
      <c r="A712" s="30" t="n"/>
      <c r="B712" s="30" t="n"/>
      <c r="C712" s="30" t="n"/>
      <c r="D712" s="30" t="n"/>
      <c r="E712" s="30" t="n"/>
      <c r="F712" s="30" t="n"/>
      <c r="G712" s="30" t="n"/>
      <c r="H712" s="31">
        <f>IF($A712="","",IFERROR(ROUND($C712*INDEX(tblKurallar[deger_2025],MATCH("TBO-001",tblKurallar[kural_id],0))+$D712*INDEX(tblKurallar[deger_2025],MATCH("TBO-002",tblKurallar[kural_id],0))+$E712*INDEX(tblKurallar[deger_2025],MATCH("TBO-004",tblKurallar[kural_id],0))+$F712*tbo_isverenOran,2),0))</f>
        <v/>
      </c>
      <c r="I712" s="31">
        <f>IF($A712="","",IFERROR(MAX(0,$H712-$G712),0))</f>
        <v/>
      </c>
    </row>
    <row r="713">
      <c r="A713" s="30" t="n"/>
      <c r="B713" s="30" t="n"/>
      <c r="C713" s="30" t="n"/>
      <c r="D713" s="30" t="n"/>
      <c r="E713" s="30" t="n"/>
      <c r="F713" s="30" t="n"/>
      <c r="G713" s="30" t="n"/>
      <c r="H713" s="31">
        <f>IF($A713="","",IFERROR(ROUND($C713*INDEX(tblKurallar[deger_2025],MATCH("TBO-001",tblKurallar[kural_id],0))+$D713*INDEX(tblKurallar[deger_2025],MATCH("TBO-002",tblKurallar[kural_id],0))+$E713*INDEX(tblKurallar[deger_2025],MATCH("TBO-004",tblKurallar[kural_id],0))+$F713*tbo_isverenOran,2),0))</f>
        <v/>
      </c>
      <c r="I713" s="31">
        <f>IF($A713="","",IFERROR(MAX(0,$H713-$G713),0))</f>
        <v/>
      </c>
    </row>
    <row r="714">
      <c r="A714" s="30" t="n"/>
      <c r="B714" s="30" t="n"/>
      <c r="C714" s="30" t="n"/>
      <c r="D714" s="30" t="n"/>
      <c r="E714" s="30" t="n"/>
      <c r="F714" s="30" t="n"/>
      <c r="G714" s="30" t="n"/>
      <c r="H714" s="31">
        <f>IF($A714="","",IFERROR(ROUND($C714*INDEX(tblKurallar[deger_2025],MATCH("TBO-001",tblKurallar[kural_id],0))+$D714*INDEX(tblKurallar[deger_2025],MATCH("TBO-002",tblKurallar[kural_id],0))+$E714*INDEX(tblKurallar[deger_2025],MATCH("TBO-004",tblKurallar[kural_id],0))+$F714*tbo_isverenOran,2),0))</f>
        <v/>
      </c>
      <c r="I714" s="31">
        <f>IF($A714="","",IFERROR(MAX(0,$H714-$G714),0))</f>
        <v/>
      </c>
    </row>
    <row r="715">
      <c r="A715" s="30" t="n"/>
      <c r="B715" s="30" t="n"/>
      <c r="C715" s="30" t="n"/>
      <c r="D715" s="30" t="n"/>
      <c r="E715" s="30" t="n"/>
      <c r="F715" s="30" t="n"/>
      <c r="G715" s="30" t="n"/>
      <c r="H715" s="31">
        <f>IF($A715="","",IFERROR(ROUND($C715*INDEX(tblKurallar[deger_2025],MATCH("TBO-001",tblKurallar[kural_id],0))+$D715*INDEX(tblKurallar[deger_2025],MATCH("TBO-002",tblKurallar[kural_id],0))+$E715*INDEX(tblKurallar[deger_2025],MATCH("TBO-004",tblKurallar[kural_id],0))+$F715*tbo_isverenOran,2),0))</f>
        <v/>
      </c>
      <c r="I715" s="31">
        <f>IF($A715="","",IFERROR(MAX(0,$H715-$G715),0))</f>
        <v/>
      </c>
    </row>
    <row r="716">
      <c r="A716" s="30" t="n"/>
      <c r="B716" s="30" t="n"/>
      <c r="C716" s="30" t="n"/>
      <c r="D716" s="30" t="n"/>
      <c r="E716" s="30" t="n"/>
      <c r="F716" s="30" t="n"/>
      <c r="G716" s="30" t="n"/>
      <c r="H716" s="31">
        <f>IF($A716="","",IFERROR(ROUND($C716*INDEX(tblKurallar[deger_2025],MATCH("TBO-001",tblKurallar[kural_id],0))+$D716*INDEX(tblKurallar[deger_2025],MATCH("TBO-002",tblKurallar[kural_id],0))+$E716*INDEX(tblKurallar[deger_2025],MATCH("TBO-004",tblKurallar[kural_id],0))+$F716*tbo_isverenOran,2),0))</f>
        <v/>
      </c>
      <c r="I716" s="31">
        <f>IF($A716="","",IFERROR(MAX(0,$H716-$G716),0))</f>
        <v/>
      </c>
    </row>
    <row r="717">
      <c r="A717" s="30" t="n"/>
      <c r="B717" s="30" t="n"/>
      <c r="C717" s="30" t="n"/>
      <c r="D717" s="30" t="n"/>
      <c r="E717" s="30" t="n"/>
      <c r="F717" s="30" t="n"/>
      <c r="G717" s="30" t="n"/>
      <c r="H717" s="31">
        <f>IF($A717="","",IFERROR(ROUND($C717*INDEX(tblKurallar[deger_2025],MATCH("TBO-001",tblKurallar[kural_id],0))+$D717*INDEX(tblKurallar[deger_2025],MATCH("TBO-002",tblKurallar[kural_id],0))+$E717*INDEX(tblKurallar[deger_2025],MATCH("TBO-004",tblKurallar[kural_id],0))+$F717*tbo_isverenOran,2),0))</f>
        <v/>
      </c>
      <c r="I717" s="31">
        <f>IF($A717="","",IFERROR(MAX(0,$H717-$G717),0))</f>
        <v/>
      </c>
    </row>
    <row r="718">
      <c r="A718" s="30" t="n"/>
      <c r="B718" s="30" t="n"/>
      <c r="C718" s="30" t="n"/>
      <c r="D718" s="30" t="n"/>
      <c r="E718" s="30" t="n"/>
      <c r="F718" s="30" t="n"/>
      <c r="G718" s="30" t="n"/>
      <c r="H718" s="31">
        <f>IF($A718="","",IFERROR(ROUND($C718*INDEX(tblKurallar[deger_2025],MATCH("TBO-001",tblKurallar[kural_id],0))+$D718*INDEX(tblKurallar[deger_2025],MATCH("TBO-002",tblKurallar[kural_id],0))+$E718*INDEX(tblKurallar[deger_2025],MATCH("TBO-004",tblKurallar[kural_id],0))+$F718*tbo_isverenOran,2),0))</f>
        <v/>
      </c>
      <c r="I718" s="31">
        <f>IF($A718="","",IFERROR(MAX(0,$H718-$G718),0))</f>
        <v/>
      </c>
    </row>
    <row r="719">
      <c r="A719" s="30" t="n"/>
      <c r="B719" s="30" t="n"/>
      <c r="C719" s="30" t="n"/>
      <c r="D719" s="30" t="n"/>
      <c r="E719" s="30" t="n"/>
      <c r="F719" s="30" t="n"/>
      <c r="G719" s="30" t="n"/>
      <c r="H719" s="31">
        <f>IF($A719="","",IFERROR(ROUND($C719*INDEX(tblKurallar[deger_2025],MATCH("TBO-001",tblKurallar[kural_id],0))+$D719*INDEX(tblKurallar[deger_2025],MATCH("TBO-002",tblKurallar[kural_id],0))+$E719*INDEX(tblKurallar[deger_2025],MATCH("TBO-004",tblKurallar[kural_id],0))+$F719*tbo_isverenOran,2),0))</f>
        <v/>
      </c>
      <c r="I719" s="31">
        <f>IF($A719="","",IFERROR(MAX(0,$H719-$G719),0))</f>
        <v/>
      </c>
    </row>
    <row r="720">
      <c r="A720" s="30" t="n"/>
      <c r="B720" s="30" t="n"/>
      <c r="C720" s="30" t="n"/>
      <c r="D720" s="30" t="n"/>
      <c r="E720" s="30" t="n"/>
      <c r="F720" s="30" t="n"/>
      <c r="G720" s="30" t="n"/>
      <c r="H720" s="31">
        <f>IF($A720="","",IFERROR(ROUND($C720*INDEX(tblKurallar[deger_2025],MATCH("TBO-001",tblKurallar[kural_id],0))+$D720*INDEX(tblKurallar[deger_2025],MATCH("TBO-002",tblKurallar[kural_id],0))+$E720*INDEX(tblKurallar[deger_2025],MATCH("TBO-004",tblKurallar[kural_id],0))+$F720*tbo_isverenOran,2),0))</f>
        <v/>
      </c>
      <c r="I720" s="31">
        <f>IF($A720="","",IFERROR(MAX(0,$H720-$G720),0))</f>
        <v/>
      </c>
    </row>
    <row r="721">
      <c r="A721" s="30" t="n"/>
      <c r="B721" s="30" t="n"/>
      <c r="C721" s="30" t="n"/>
      <c r="D721" s="30" t="n"/>
      <c r="E721" s="30" t="n"/>
      <c r="F721" s="30" t="n"/>
      <c r="G721" s="30" t="n"/>
      <c r="H721" s="31">
        <f>IF($A721="","",IFERROR(ROUND($C721*INDEX(tblKurallar[deger_2025],MATCH("TBO-001",tblKurallar[kural_id],0))+$D721*INDEX(tblKurallar[deger_2025],MATCH("TBO-002",tblKurallar[kural_id],0))+$E721*INDEX(tblKurallar[deger_2025],MATCH("TBO-004",tblKurallar[kural_id],0))+$F721*tbo_isverenOran,2),0))</f>
        <v/>
      </c>
      <c r="I721" s="31">
        <f>IF($A721="","",IFERROR(MAX(0,$H721-$G721),0))</f>
        <v/>
      </c>
    </row>
    <row r="722">
      <c r="A722" s="30" t="n"/>
      <c r="B722" s="30" t="n"/>
      <c r="C722" s="30" t="n"/>
      <c r="D722" s="30" t="n"/>
      <c r="E722" s="30" t="n"/>
      <c r="F722" s="30" t="n"/>
      <c r="G722" s="30" t="n"/>
      <c r="H722" s="31">
        <f>IF($A722="","",IFERROR(ROUND($C722*INDEX(tblKurallar[deger_2025],MATCH("TBO-001",tblKurallar[kural_id],0))+$D722*INDEX(tblKurallar[deger_2025],MATCH("TBO-002",tblKurallar[kural_id],0))+$E722*INDEX(tblKurallar[deger_2025],MATCH("TBO-004",tblKurallar[kural_id],0))+$F722*tbo_isverenOran,2),0))</f>
        <v/>
      </c>
      <c r="I722" s="31">
        <f>IF($A722="","",IFERROR(MAX(0,$H722-$G722),0))</f>
        <v/>
      </c>
    </row>
    <row r="723">
      <c r="A723" s="30" t="n"/>
      <c r="B723" s="30" t="n"/>
      <c r="C723" s="30" t="n"/>
      <c r="D723" s="30" t="n"/>
      <c r="E723" s="30" t="n"/>
      <c r="F723" s="30" t="n"/>
      <c r="G723" s="30" t="n"/>
      <c r="H723" s="31">
        <f>IF($A723="","",IFERROR(ROUND($C723*INDEX(tblKurallar[deger_2025],MATCH("TBO-001",tblKurallar[kural_id],0))+$D723*INDEX(tblKurallar[deger_2025],MATCH("TBO-002",tblKurallar[kural_id],0))+$E723*INDEX(tblKurallar[deger_2025],MATCH("TBO-004",tblKurallar[kural_id],0))+$F723*tbo_isverenOran,2),0))</f>
        <v/>
      </c>
      <c r="I723" s="31">
        <f>IF($A723="","",IFERROR(MAX(0,$H723-$G723),0))</f>
        <v/>
      </c>
    </row>
    <row r="724">
      <c r="A724" s="30" t="n"/>
      <c r="B724" s="30" t="n"/>
      <c r="C724" s="30" t="n"/>
      <c r="D724" s="30" t="n"/>
      <c r="E724" s="30" t="n"/>
      <c r="F724" s="30" t="n"/>
      <c r="G724" s="30" t="n"/>
      <c r="H724" s="31">
        <f>IF($A724="","",IFERROR(ROUND($C724*INDEX(tblKurallar[deger_2025],MATCH("TBO-001",tblKurallar[kural_id],0))+$D724*INDEX(tblKurallar[deger_2025],MATCH("TBO-002",tblKurallar[kural_id],0))+$E724*INDEX(tblKurallar[deger_2025],MATCH("TBO-004",tblKurallar[kural_id],0))+$F724*tbo_isverenOran,2),0))</f>
        <v/>
      </c>
      <c r="I724" s="31">
        <f>IF($A724="","",IFERROR(MAX(0,$H724-$G724),0))</f>
        <v/>
      </c>
    </row>
    <row r="725">
      <c r="A725" s="30" t="n"/>
      <c r="B725" s="30" t="n"/>
      <c r="C725" s="30" t="n"/>
      <c r="D725" s="30" t="n"/>
      <c r="E725" s="30" t="n"/>
      <c r="F725" s="30" t="n"/>
      <c r="G725" s="30" t="n"/>
      <c r="H725" s="31">
        <f>IF($A725="","",IFERROR(ROUND($C725*INDEX(tblKurallar[deger_2025],MATCH("TBO-001",tblKurallar[kural_id],0))+$D725*INDEX(tblKurallar[deger_2025],MATCH("TBO-002",tblKurallar[kural_id],0))+$E725*INDEX(tblKurallar[deger_2025],MATCH("TBO-004",tblKurallar[kural_id],0))+$F725*tbo_isverenOran,2),0))</f>
        <v/>
      </c>
      <c r="I725" s="31">
        <f>IF($A725="","",IFERROR(MAX(0,$H725-$G725),0))</f>
        <v/>
      </c>
    </row>
    <row r="726">
      <c r="A726" s="30" t="n"/>
      <c r="B726" s="30" t="n"/>
      <c r="C726" s="30" t="n"/>
      <c r="D726" s="30" t="n"/>
      <c r="E726" s="30" t="n"/>
      <c r="F726" s="30" t="n"/>
      <c r="G726" s="30" t="n"/>
      <c r="H726" s="31">
        <f>IF($A726="","",IFERROR(ROUND($C726*INDEX(tblKurallar[deger_2025],MATCH("TBO-001",tblKurallar[kural_id],0))+$D726*INDEX(tblKurallar[deger_2025],MATCH("TBO-002",tblKurallar[kural_id],0))+$E726*INDEX(tblKurallar[deger_2025],MATCH("TBO-004",tblKurallar[kural_id],0))+$F726*tbo_isverenOran,2),0))</f>
        <v/>
      </c>
      <c r="I726" s="31">
        <f>IF($A726="","",IFERROR(MAX(0,$H726-$G726),0))</f>
        <v/>
      </c>
    </row>
    <row r="727">
      <c r="A727" s="30" t="n"/>
      <c r="B727" s="30" t="n"/>
      <c r="C727" s="30" t="n"/>
      <c r="D727" s="30" t="n"/>
      <c r="E727" s="30" t="n"/>
      <c r="F727" s="30" t="n"/>
      <c r="G727" s="30" t="n"/>
      <c r="H727" s="31">
        <f>IF($A727="","",IFERROR(ROUND($C727*INDEX(tblKurallar[deger_2025],MATCH("TBO-001",tblKurallar[kural_id],0))+$D727*INDEX(tblKurallar[deger_2025],MATCH("TBO-002",tblKurallar[kural_id],0))+$E727*INDEX(tblKurallar[deger_2025],MATCH("TBO-004",tblKurallar[kural_id],0))+$F727*tbo_isverenOran,2),0))</f>
        <v/>
      </c>
      <c r="I727" s="31">
        <f>IF($A727="","",IFERROR(MAX(0,$H727-$G727),0))</f>
        <v/>
      </c>
    </row>
    <row r="728">
      <c r="A728" s="30" t="n"/>
      <c r="B728" s="30" t="n"/>
      <c r="C728" s="30" t="n"/>
      <c r="D728" s="30" t="n"/>
      <c r="E728" s="30" t="n"/>
      <c r="F728" s="30" t="n"/>
      <c r="G728" s="30" t="n"/>
      <c r="H728" s="31">
        <f>IF($A728="","",IFERROR(ROUND($C728*INDEX(tblKurallar[deger_2025],MATCH("TBO-001",tblKurallar[kural_id],0))+$D728*INDEX(tblKurallar[deger_2025],MATCH("TBO-002",tblKurallar[kural_id],0))+$E728*INDEX(tblKurallar[deger_2025],MATCH("TBO-004",tblKurallar[kural_id],0))+$F728*tbo_isverenOran,2),0))</f>
        <v/>
      </c>
      <c r="I728" s="31">
        <f>IF($A728="","",IFERROR(MAX(0,$H728-$G728),0))</f>
        <v/>
      </c>
    </row>
    <row r="729">
      <c r="A729" s="30" t="n"/>
      <c r="B729" s="30" t="n"/>
      <c r="C729" s="30" t="n"/>
      <c r="D729" s="30" t="n"/>
      <c r="E729" s="30" t="n"/>
      <c r="F729" s="30" t="n"/>
      <c r="G729" s="30" t="n"/>
      <c r="H729" s="31">
        <f>IF($A729="","",IFERROR(ROUND($C729*INDEX(tblKurallar[deger_2025],MATCH("TBO-001",tblKurallar[kural_id],0))+$D729*INDEX(tblKurallar[deger_2025],MATCH("TBO-002",tblKurallar[kural_id],0))+$E729*INDEX(tblKurallar[deger_2025],MATCH("TBO-004",tblKurallar[kural_id],0))+$F729*tbo_isverenOran,2),0))</f>
        <v/>
      </c>
      <c r="I729" s="31">
        <f>IF($A729="","",IFERROR(MAX(0,$H729-$G729),0))</f>
        <v/>
      </c>
    </row>
    <row r="730">
      <c r="A730" s="30" t="n"/>
      <c r="B730" s="30" t="n"/>
      <c r="C730" s="30" t="n"/>
      <c r="D730" s="30" t="n"/>
      <c r="E730" s="30" t="n"/>
      <c r="F730" s="30" t="n"/>
      <c r="G730" s="30" t="n"/>
      <c r="H730" s="31">
        <f>IF($A730="","",IFERROR(ROUND($C730*INDEX(tblKurallar[deger_2025],MATCH("TBO-001",tblKurallar[kural_id],0))+$D730*INDEX(tblKurallar[deger_2025],MATCH("TBO-002",tblKurallar[kural_id],0))+$E730*INDEX(tblKurallar[deger_2025],MATCH("TBO-004",tblKurallar[kural_id],0))+$F730*tbo_isverenOran,2),0))</f>
        <v/>
      </c>
      <c r="I730" s="31">
        <f>IF($A730="","",IFERROR(MAX(0,$H730-$G730),0))</f>
        <v/>
      </c>
    </row>
    <row r="731">
      <c r="A731" s="30" t="n"/>
      <c r="B731" s="30" t="n"/>
      <c r="C731" s="30" t="n"/>
      <c r="D731" s="30" t="n"/>
      <c r="E731" s="30" t="n"/>
      <c r="F731" s="30" t="n"/>
      <c r="G731" s="30" t="n"/>
      <c r="H731" s="31">
        <f>IF($A731="","",IFERROR(ROUND($C731*INDEX(tblKurallar[deger_2025],MATCH("TBO-001",tblKurallar[kural_id],0))+$D731*INDEX(tblKurallar[deger_2025],MATCH("TBO-002",tblKurallar[kural_id],0))+$E731*INDEX(tblKurallar[deger_2025],MATCH("TBO-004",tblKurallar[kural_id],0))+$F731*tbo_isverenOran,2),0))</f>
        <v/>
      </c>
      <c r="I731" s="31">
        <f>IF($A731="","",IFERROR(MAX(0,$H731-$G731),0))</f>
        <v/>
      </c>
    </row>
    <row r="732">
      <c r="A732" s="30" t="n"/>
      <c r="B732" s="30" t="n"/>
      <c r="C732" s="30" t="n"/>
      <c r="D732" s="30" t="n"/>
      <c r="E732" s="30" t="n"/>
      <c r="F732" s="30" t="n"/>
      <c r="G732" s="30" t="n"/>
      <c r="H732" s="31">
        <f>IF($A732="","",IFERROR(ROUND($C732*INDEX(tblKurallar[deger_2025],MATCH("TBO-001",tblKurallar[kural_id],0))+$D732*INDEX(tblKurallar[deger_2025],MATCH("TBO-002",tblKurallar[kural_id],0))+$E732*INDEX(tblKurallar[deger_2025],MATCH("TBO-004",tblKurallar[kural_id],0))+$F732*tbo_isverenOran,2),0))</f>
        <v/>
      </c>
      <c r="I732" s="31">
        <f>IF($A732="","",IFERROR(MAX(0,$H732-$G732),0))</f>
        <v/>
      </c>
    </row>
    <row r="733">
      <c r="A733" s="30" t="n"/>
      <c r="B733" s="30" t="n"/>
      <c r="C733" s="30" t="n"/>
      <c r="D733" s="30" t="n"/>
      <c r="E733" s="30" t="n"/>
      <c r="F733" s="30" t="n"/>
      <c r="G733" s="30" t="n"/>
      <c r="H733" s="31">
        <f>IF($A733="","",IFERROR(ROUND($C733*INDEX(tblKurallar[deger_2025],MATCH("TBO-001",tblKurallar[kural_id],0))+$D733*INDEX(tblKurallar[deger_2025],MATCH("TBO-002",tblKurallar[kural_id],0))+$E733*INDEX(tblKurallar[deger_2025],MATCH("TBO-004",tblKurallar[kural_id],0))+$F733*tbo_isverenOran,2),0))</f>
        <v/>
      </c>
      <c r="I733" s="31">
        <f>IF($A733="","",IFERROR(MAX(0,$H733-$G733),0))</f>
        <v/>
      </c>
    </row>
    <row r="734">
      <c r="A734" s="30" t="n"/>
      <c r="B734" s="30" t="n"/>
      <c r="C734" s="30" t="n"/>
      <c r="D734" s="30" t="n"/>
      <c r="E734" s="30" t="n"/>
      <c r="F734" s="30" t="n"/>
      <c r="G734" s="30" t="n"/>
      <c r="H734" s="31">
        <f>IF($A734="","",IFERROR(ROUND($C734*INDEX(tblKurallar[deger_2025],MATCH("TBO-001",tblKurallar[kural_id],0))+$D734*INDEX(tblKurallar[deger_2025],MATCH("TBO-002",tblKurallar[kural_id],0))+$E734*INDEX(tblKurallar[deger_2025],MATCH("TBO-004",tblKurallar[kural_id],0))+$F734*tbo_isverenOran,2),0))</f>
        <v/>
      </c>
      <c r="I734" s="31">
        <f>IF($A734="","",IFERROR(MAX(0,$H734-$G734),0))</f>
        <v/>
      </c>
    </row>
    <row r="735">
      <c r="A735" s="30" t="n"/>
      <c r="B735" s="30" t="n"/>
      <c r="C735" s="30" t="n"/>
      <c r="D735" s="30" t="n"/>
      <c r="E735" s="30" t="n"/>
      <c r="F735" s="30" t="n"/>
      <c r="G735" s="30" t="n"/>
      <c r="H735" s="31">
        <f>IF($A735="","",IFERROR(ROUND($C735*INDEX(tblKurallar[deger_2025],MATCH("TBO-001",tblKurallar[kural_id],0))+$D735*INDEX(tblKurallar[deger_2025],MATCH("TBO-002",tblKurallar[kural_id],0))+$E735*INDEX(tblKurallar[deger_2025],MATCH("TBO-004",tblKurallar[kural_id],0))+$F735*tbo_isverenOran,2),0))</f>
        <v/>
      </c>
      <c r="I735" s="31">
        <f>IF($A735="","",IFERROR(MAX(0,$H735-$G735),0))</f>
        <v/>
      </c>
    </row>
    <row r="736">
      <c r="A736" s="30" t="n"/>
      <c r="B736" s="30" t="n"/>
      <c r="C736" s="30" t="n"/>
      <c r="D736" s="30" t="n"/>
      <c r="E736" s="30" t="n"/>
      <c r="F736" s="30" t="n"/>
      <c r="G736" s="30" t="n"/>
      <c r="H736" s="31">
        <f>IF($A736="","",IFERROR(ROUND($C736*INDEX(tblKurallar[deger_2025],MATCH("TBO-001",tblKurallar[kural_id],0))+$D736*INDEX(tblKurallar[deger_2025],MATCH("TBO-002",tblKurallar[kural_id],0))+$E736*INDEX(tblKurallar[deger_2025],MATCH("TBO-004",tblKurallar[kural_id],0))+$F736*tbo_isverenOran,2),0))</f>
        <v/>
      </c>
      <c r="I736" s="31">
        <f>IF($A736="","",IFERROR(MAX(0,$H736-$G736),0))</f>
        <v/>
      </c>
    </row>
    <row r="737">
      <c r="A737" s="30" t="n"/>
      <c r="B737" s="30" t="n"/>
      <c r="C737" s="30" t="n"/>
      <c r="D737" s="30" t="n"/>
      <c r="E737" s="30" t="n"/>
      <c r="F737" s="30" t="n"/>
      <c r="G737" s="30" t="n"/>
      <c r="H737" s="31">
        <f>IF($A737="","",IFERROR(ROUND($C737*INDEX(tblKurallar[deger_2025],MATCH("TBO-001",tblKurallar[kural_id],0))+$D737*INDEX(tblKurallar[deger_2025],MATCH("TBO-002",tblKurallar[kural_id],0))+$E737*INDEX(tblKurallar[deger_2025],MATCH("TBO-004",tblKurallar[kural_id],0))+$F737*tbo_isverenOran,2),0))</f>
        <v/>
      </c>
      <c r="I737" s="31">
        <f>IF($A737="","",IFERROR(MAX(0,$H737-$G737),0))</f>
        <v/>
      </c>
    </row>
    <row r="738">
      <c r="A738" s="30" t="n"/>
      <c r="B738" s="30" t="n"/>
      <c r="C738" s="30" t="n"/>
      <c r="D738" s="30" t="n"/>
      <c r="E738" s="30" t="n"/>
      <c r="F738" s="30" t="n"/>
      <c r="G738" s="30" t="n"/>
      <c r="H738" s="31">
        <f>IF($A738="","",IFERROR(ROUND($C738*INDEX(tblKurallar[deger_2025],MATCH("TBO-001",tblKurallar[kural_id],0))+$D738*INDEX(tblKurallar[deger_2025],MATCH("TBO-002",tblKurallar[kural_id],0))+$E738*INDEX(tblKurallar[deger_2025],MATCH("TBO-004",tblKurallar[kural_id],0))+$F738*tbo_isverenOran,2),0))</f>
        <v/>
      </c>
      <c r="I738" s="31">
        <f>IF($A738="","",IFERROR(MAX(0,$H738-$G738),0))</f>
        <v/>
      </c>
    </row>
    <row r="739">
      <c r="A739" s="30" t="n"/>
      <c r="B739" s="30" t="n"/>
      <c r="C739" s="30" t="n"/>
      <c r="D739" s="30" t="n"/>
      <c r="E739" s="30" t="n"/>
      <c r="F739" s="30" t="n"/>
      <c r="G739" s="30" t="n"/>
      <c r="H739" s="31">
        <f>IF($A739="","",IFERROR(ROUND($C739*INDEX(tblKurallar[deger_2025],MATCH("TBO-001",tblKurallar[kural_id],0))+$D739*INDEX(tblKurallar[deger_2025],MATCH("TBO-002",tblKurallar[kural_id],0))+$E739*INDEX(tblKurallar[deger_2025],MATCH("TBO-004",tblKurallar[kural_id],0))+$F739*tbo_isverenOran,2),0))</f>
        <v/>
      </c>
      <c r="I739" s="31">
        <f>IF($A739="","",IFERROR(MAX(0,$H739-$G739),0))</f>
        <v/>
      </c>
    </row>
    <row r="740">
      <c r="A740" s="30" t="n"/>
      <c r="B740" s="30" t="n"/>
      <c r="C740" s="30" t="n"/>
      <c r="D740" s="30" t="n"/>
      <c r="E740" s="30" t="n"/>
      <c r="F740" s="30" t="n"/>
      <c r="G740" s="30" t="n"/>
      <c r="H740" s="31">
        <f>IF($A740="","",IFERROR(ROUND($C740*INDEX(tblKurallar[deger_2025],MATCH("TBO-001",tblKurallar[kural_id],0))+$D740*INDEX(tblKurallar[deger_2025],MATCH("TBO-002",tblKurallar[kural_id],0))+$E740*INDEX(tblKurallar[deger_2025],MATCH("TBO-004",tblKurallar[kural_id],0))+$F740*tbo_isverenOran,2),0))</f>
        <v/>
      </c>
      <c r="I740" s="31">
        <f>IF($A740="","",IFERROR(MAX(0,$H740-$G740),0))</f>
        <v/>
      </c>
    </row>
    <row r="741">
      <c r="A741" s="30" t="n"/>
      <c r="B741" s="30" t="n"/>
      <c r="C741" s="30" t="n"/>
      <c r="D741" s="30" t="n"/>
      <c r="E741" s="30" t="n"/>
      <c r="F741" s="30" t="n"/>
      <c r="G741" s="30" t="n"/>
      <c r="H741" s="31">
        <f>IF($A741="","",IFERROR(ROUND($C741*INDEX(tblKurallar[deger_2025],MATCH("TBO-001",tblKurallar[kural_id],0))+$D741*INDEX(tblKurallar[deger_2025],MATCH("TBO-002",tblKurallar[kural_id],0))+$E741*INDEX(tblKurallar[deger_2025],MATCH("TBO-004",tblKurallar[kural_id],0))+$F741*tbo_isverenOran,2),0))</f>
        <v/>
      </c>
      <c r="I741" s="31">
        <f>IF($A741="","",IFERROR(MAX(0,$H741-$G741),0))</f>
        <v/>
      </c>
    </row>
    <row r="742">
      <c r="A742" s="30" t="n"/>
      <c r="B742" s="30" t="n"/>
      <c r="C742" s="30" t="n"/>
      <c r="D742" s="30" t="n"/>
      <c r="E742" s="30" t="n"/>
      <c r="F742" s="30" t="n"/>
      <c r="G742" s="30" t="n"/>
      <c r="H742" s="31">
        <f>IF($A742="","",IFERROR(ROUND($C742*INDEX(tblKurallar[deger_2025],MATCH("TBO-001",tblKurallar[kural_id],0))+$D742*INDEX(tblKurallar[deger_2025],MATCH("TBO-002",tblKurallar[kural_id],0))+$E742*INDEX(tblKurallar[deger_2025],MATCH("TBO-004",tblKurallar[kural_id],0))+$F742*tbo_isverenOran,2),0))</f>
        <v/>
      </c>
      <c r="I742" s="31">
        <f>IF($A742="","",IFERROR(MAX(0,$H742-$G742),0))</f>
        <v/>
      </c>
    </row>
    <row r="743">
      <c r="A743" s="30" t="n"/>
      <c r="B743" s="30" t="n"/>
      <c r="C743" s="30" t="n"/>
      <c r="D743" s="30" t="n"/>
      <c r="E743" s="30" t="n"/>
      <c r="F743" s="30" t="n"/>
      <c r="G743" s="30" t="n"/>
      <c r="H743" s="31">
        <f>IF($A743="","",IFERROR(ROUND($C743*INDEX(tblKurallar[deger_2025],MATCH("TBO-001",tblKurallar[kural_id],0))+$D743*INDEX(tblKurallar[deger_2025],MATCH("TBO-002",tblKurallar[kural_id],0))+$E743*INDEX(tblKurallar[deger_2025],MATCH("TBO-004",tblKurallar[kural_id],0))+$F743*tbo_isverenOran,2),0))</f>
        <v/>
      </c>
      <c r="I743" s="31">
        <f>IF($A743="","",IFERROR(MAX(0,$H743-$G743),0))</f>
        <v/>
      </c>
    </row>
    <row r="744">
      <c r="A744" s="30" t="n"/>
      <c r="B744" s="30" t="n"/>
      <c r="C744" s="30" t="n"/>
      <c r="D744" s="30" t="n"/>
      <c r="E744" s="30" t="n"/>
      <c r="F744" s="30" t="n"/>
      <c r="G744" s="30" t="n"/>
      <c r="H744" s="31">
        <f>IF($A744="","",IFERROR(ROUND($C744*INDEX(tblKurallar[deger_2025],MATCH("TBO-001",tblKurallar[kural_id],0))+$D744*INDEX(tblKurallar[deger_2025],MATCH("TBO-002",tblKurallar[kural_id],0))+$E744*INDEX(tblKurallar[deger_2025],MATCH("TBO-004",tblKurallar[kural_id],0))+$F744*tbo_isverenOran,2),0))</f>
        <v/>
      </c>
      <c r="I744" s="31">
        <f>IF($A744="","",IFERROR(MAX(0,$H744-$G744),0))</f>
        <v/>
      </c>
    </row>
    <row r="745">
      <c r="A745" s="30" t="n"/>
      <c r="B745" s="30" t="n"/>
      <c r="C745" s="30" t="n"/>
      <c r="D745" s="30" t="n"/>
      <c r="E745" s="30" t="n"/>
      <c r="F745" s="30" t="n"/>
      <c r="G745" s="30" t="n"/>
      <c r="H745" s="31">
        <f>IF($A745="","",IFERROR(ROUND($C745*INDEX(tblKurallar[deger_2025],MATCH("TBO-001",tblKurallar[kural_id],0))+$D745*INDEX(tblKurallar[deger_2025],MATCH("TBO-002",tblKurallar[kural_id],0))+$E745*INDEX(tblKurallar[deger_2025],MATCH("TBO-004",tblKurallar[kural_id],0))+$F745*tbo_isverenOran,2),0))</f>
        <v/>
      </c>
      <c r="I745" s="31">
        <f>IF($A745="","",IFERROR(MAX(0,$H745-$G745),0))</f>
        <v/>
      </c>
    </row>
    <row r="746">
      <c r="A746" s="30" t="n"/>
      <c r="B746" s="30" t="n"/>
      <c r="C746" s="30" t="n"/>
      <c r="D746" s="30" t="n"/>
      <c r="E746" s="30" t="n"/>
      <c r="F746" s="30" t="n"/>
      <c r="G746" s="30" t="n"/>
      <c r="H746" s="31">
        <f>IF($A746="","",IFERROR(ROUND($C746*INDEX(tblKurallar[deger_2025],MATCH("TBO-001",tblKurallar[kural_id],0))+$D746*INDEX(tblKurallar[deger_2025],MATCH("TBO-002",tblKurallar[kural_id],0))+$E746*INDEX(tblKurallar[deger_2025],MATCH("TBO-004",tblKurallar[kural_id],0))+$F746*tbo_isverenOran,2),0))</f>
        <v/>
      </c>
      <c r="I746" s="31">
        <f>IF($A746="","",IFERROR(MAX(0,$H746-$G746),0))</f>
        <v/>
      </c>
    </row>
    <row r="747">
      <c r="A747" s="30" t="n"/>
      <c r="B747" s="30" t="n"/>
      <c r="C747" s="30" t="n"/>
      <c r="D747" s="30" t="n"/>
      <c r="E747" s="30" t="n"/>
      <c r="F747" s="30" t="n"/>
      <c r="G747" s="30" t="n"/>
      <c r="H747" s="31">
        <f>IF($A747="","",IFERROR(ROUND($C747*INDEX(tblKurallar[deger_2025],MATCH("TBO-001",tblKurallar[kural_id],0))+$D747*INDEX(tblKurallar[deger_2025],MATCH("TBO-002",tblKurallar[kural_id],0))+$E747*INDEX(tblKurallar[deger_2025],MATCH("TBO-004",tblKurallar[kural_id],0))+$F747*tbo_isverenOran,2),0))</f>
        <v/>
      </c>
      <c r="I747" s="31">
        <f>IF($A747="","",IFERROR(MAX(0,$H747-$G747),0))</f>
        <v/>
      </c>
    </row>
    <row r="748">
      <c r="A748" s="30" t="n"/>
      <c r="B748" s="30" t="n"/>
      <c r="C748" s="30" t="n"/>
      <c r="D748" s="30" t="n"/>
      <c r="E748" s="30" t="n"/>
      <c r="F748" s="30" t="n"/>
      <c r="G748" s="30" t="n"/>
      <c r="H748" s="31">
        <f>IF($A748="","",IFERROR(ROUND($C748*INDEX(tblKurallar[deger_2025],MATCH("TBO-001",tblKurallar[kural_id],0))+$D748*INDEX(tblKurallar[deger_2025],MATCH("TBO-002",tblKurallar[kural_id],0))+$E748*INDEX(tblKurallar[deger_2025],MATCH("TBO-004",tblKurallar[kural_id],0))+$F748*tbo_isverenOran,2),0))</f>
        <v/>
      </c>
      <c r="I748" s="31">
        <f>IF($A748="","",IFERROR(MAX(0,$H748-$G748),0))</f>
        <v/>
      </c>
    </row>
    <row r="749">
      <c r="A749" s="30" t="n"/>
      <c r="B749" s="30" t="n"/>
      <c r="C749" s="30" t="n"/>
      <c r="D749" s="30" t="n"/>
      <c r="E749" s="30" t="n"/>
      <c r="F749" s="30" t="n"/>
      <c r="G749" s="30" t="n"/>
      <c r="H749" s="31">
        <f>IF($A749="","",IFERROR(ROUND($C749*INDEX(tblKurallar[deger_2025],MATCH("TBO-001",tblKurallar[kural_id],0))+$D749*INDEX(tblKurallar[deger_2025],MATCH("TBO-002",tblKurallar[kural_id],0))+$E749*INDEX(tblKurallar[deger_2025],MATCH("TBO-004",tblKurallar[kural_id],0))+$F749*tbo_isverenOran,2),0))</f>
        <v/>
      </c>
      <c r="I749" s="31">
        <f>IF($A749="","",IFERROR(MAX(0,$H749-$G749),0))</f>
        <v/>
      </c>
    </row>
    <row r="750">
      <c r="A750" s="30" t="n"/>
      <c r="B750" s="30" t="n"/>
      <c r="C750" s="30" t="n"/>
      <c r="D750" s="30" t="n"/>
      <c r="E750" s="30" t="n"/>
      <c r="F750" s="30" t="n"/>
      <c r="G750" s="30" t="n"/>
      <c r="H750" s="31">
        <f>IF($A750="","",IFERROR(ROUND($C750*INDEX(tblKurallar[deger_2025],MATCH("TBO-001",tblKurallar[kural_id],0))+$D750*INDEX(tblKurallar[deger_2025],MATCH("TBO-002",tblKurallar[kural_id],0))+$E750*INDEX(tblKurallar[deger_2025],MATCH("TBO-004",tblKurallar[kural_id],0))+$F750*tbo_isverenOran,2),0))</f>
        <v/>
      </c>
      <c r="I750" s="31">
        <f>IF($A750="","",IFERROR(MAX(0,$H750-$G750),0))</f>
        <v/>
      </c>
    </row>
    <row r="751">
      <c r="A751" s="30" t="n"/>
      <c r="B751" s="30" t="n"/>
      <c r="C751" s="30" t="n"/>
      <c r="D751" s="30" t="n"/>
      <c r="E751" s="30" t="n"/>
      <c r="F751" s="30" t="n"/>
      <c r="G751" s="30" t="n"/>
      <c r="H751" s="31">
        <f>IF($A751="","",IFERROR(ROUND($C751*INDEX(tblKurallar[deger_2025],MATCH("TBO-001",tblKurallar[kural_id],0))+$D751*INDEX(tblKurallar[deger_2025],MATCH("TBO-002",tblKurallar[kural_id],0))+$E751*INDEX(tblKurallar[deger_2025],MATCH("TBO-004",tblKurallar[kural_id],0))+$F751*tbo_isverenOran,2),0))</f>
        <v/>
      </c>
      <c r="I751" s="31">
        <f>IF($A751="","",IFERROR(MAX(0,$H751-$G751),0))</f>
        <v/>
      </c>
    </row>
    <row r="752">
      <c r="A752" s="30" t="n"/>
      <c r="B752" s="30" t="n"/>
      <c r="C752" s="30" t="n"/>
      <c r="D752" s="30" t="n"/>
      <c r="E752" s="30" t="n"/>
      <c r="F752" s="30" t="n"/>
      <c r="G752" s="30" t="n"/>
      <c r="H752" s="31">
        <f>IF($A752="","",IFERROR(ROUND($C752*INDEX(tblKurallar[deger_2025],MATCH("TBO-001",tblKurallar[kural_id],0))+$D752*INDEX(tblKurallar[deger_2025],MATCH("TBO-002",tblKurallar[kural_id],0))+$E752*INDEX(tblKurallar[deger_2025],MATCH("TBO-004",tblKurallar[kural_id],0))+$F752*tbo_isverenOran,2),0))</f>
        <v/>
      </c>
      <c r="I752" s="31">
        <f>IF($A752="","",IFERROR(MAX(0,$H752-$G752),0))</f>
        <v/>
      </c>
    </row>
    <row r="753">
      <c r="A753" s="30" t="n"/>
      <c r="B753" s="30" t="n"/>
      <c r="C753" s="30" t="n"/>
      <c r="D753" s="30" t="n"/>
      <c r="E753" s="30" t="n"/>
      <c r="F753" s="30" t="n"/>
      <c r="G753" s="30" t="n"/>
      <c r="H753" s="31">
        <f>IF($A753="","",IFERROR(ROUND($C753*INDEX(tblKurallar[deger_2025],MATCH("TBO-001",tblKurallar[kural_id],0))+$D753*INDEX(tblKurallar[deger_2025],MATCH("TBO-002",tblKurallar[kural_id],0))+$E753*INDEX(tblKurallar[deger_2025],MATCH("TBO-004",tblKurallar[kural_id],0))+$F753*tbo_isverenOran,2),0))</f>
        <v/>
      </c>
      <c r="I753" s="31">
        <f>IF($A753="","",IFERROR(MAX(0,$H753-$G753),0))</f>
        <v/>
      </c>
    </row>
    <row r="754">
      <c r="A754" s="30" t="n"/>
      <c r="B754" s="30" t="n"/>
      <c r="C754" s="30" t="n"/>
      <c r="D754" s="30" t="n"/>
      <c r="E754" s="30" t="n"/>
      <c r="F754" s="30" t="n"/>
      <c r="G754" s="30" t="n"/>
      <c r="H754" s="31">
        <f>IF($A754="","",IFERROR(ROUND($C754*INDEX(tblKurallar[deger_2025],MATCH("TBO-001",tblKurallar[kural_id],0))+$D754*INDEX(tblKurallar[deger_2025],MATCH("TBO-002",tblKurallar[kural_id],0))+$E754*INDEX(tblKurallar[deger_2025],MATCH("TBO-004",tblKurallar[kural_id],0))+$F754*tbo_isverenOran,2),0))</f>
        <v/>
      </c>
      <c r="I754" s="31">
        <f>IF($A754="","",IFERROR(MAX(0,$H754-$G754),0))</f>
        <v/>
      </c>
    </row>
    <row r="755">
      <c r="A755" s="30" t="n"/>
      <c r="B755" s="30" t="n"/>
      <c r="C755" s="30" t="n"/>
      <c r="D755" s="30" t="n"/>
      <c r="E755" s="30" t="n"/>
      <c r="F755" s="30" t="n"/>
      <c r="G755" s="30" t="n"/>
      <c r="H755" s="31">
        <f>IF($A755="","",IFERROR(ROUND($C755*INDEX(tblKurallar[deger_2025],MATCH("TBO-001",tblKurallar[kural_id],0))+$D755*INDEX(tblKurallar[deger_2025],MATCH("TBO-002",tblKurallar[kural_id],0))+$E755*INDEX(tblKurallar[deger_2025],MATCH("TBO-004",tblKurallar[kural_id],0))+$F755*tbo_isverenOran,2),0))</f>
        <v/>
      </c>
      <c r="I755" s="31">
        <f>IF($A755="","",IFERROR(MAX(0,$H755-$G755),0))</f>
        <v/>
      </c>
    </row>
    <row r="756">
      <c r="A756" s="30" t="n"/>
      <c r="B756" s="30" t="n"/>
      <c r="C756" s="30" t="n"/>
      <c r="D756" s="30" t="n"/>
      <c r="E756" s="30" t="n"/>
      <c r="F756" s="30" t="n"/>
      <c r="G756" s="30" t="n"/>
      <c r="H756" s="31">
        <f>IF($A756="","",IFERROR(ROUND($C756*INDEX(tblKurallar[deger_2025],MATCH("TBO-001",tblKurallar[kural_id],0))+$D756*INDEX(tblKurallar[deger_2025],MATCH("TBO-002",tblKurallar[kural_id],0))+$E756*INDEX(tblKurallar[deger_2025],MATCH("TBO-004",tblKurallar[kural_id],0))+$F756*tbo_isverenOran,2),0))</f>
        <v/>
      </c>
      <c r="I756" s="31">
        <f>IF($A756="","",IFERROR(MAX(0,$H756-$G756),0))</f>
        <v/>
      </c>
    </row>
    <row r="757">
      <c r="A757" s="30" t="n"/>
      <c r="B757" s="30" t="n"/>
      <c r="C757" s="30" t="n"/>
      <c r="D757" s="30" t="n"/>
      <c r="E757" s="30" t="n"/>
      <c r="F757" s="30" t="n"/>
      <c r="G757" s="30" t="n"/>
      <c r="H757" s="31">
        <f>IF($A757="","",IFERROR(ROUND($C757*INDEX(tblKurallar[deger_2025],MATCH("TBO-001",tblKurallar[kural_id],0))+$D757*INDEX(tblKurallar[deger_2025],MATCH("TBO-002",tblKurallar[kural_id],0))+$E757*INDEX(tblKurallar[deger_2025],MATCH("TBO-004",tblKurallar[kural_id],0))+$F757*tbo_isverenOran,2),0))</f>
        <v/>
      </c>
      <c r="I757" s="31">
        <f>IF($A757="","",IFERROR(MAX(0,$H757-$G757),0))</f>
        <v/>
      </c>
    </row>
    <row r="758">
      <c r="A758" s="30" t="n"/>
      <c r="B758" s="30" t="n"/>
      <c r="C758" s="30" t="n"/>
      <c r="D758" s="30" t="n"/>
      <c r="E758" s="30" t="n"/>
      <c r="F758" s="30" t="n"/>
      <c r="G758" s="30" t="n"/>
      <c r="H758" s="31">
        <f>IF($A758="","",IFERROR(ROUND($C758*INDEX(tblKurallar[deger_2025],MATCH("TBO-001",tblKurallar[kural_id],0))+$D758*INDEX(tblKurallar[deger_2025],MATCH("TBO-002",tblKurallar[kural_id],0))+$E758*INDEX(tblKurallar[deger_2025],MATCH("TBO-004",tblKurallar[kural_id],0))+$F758*tbo_isverenOran,2),0))</f>
        <v/>
      </c>
      <c r="I758" s="31">
        <f>IF($A758="","",IFERROR(MAX(0,$H758-$G758),0))</f>
        <v/>
      </c>
    </row>
    <row r="759">
      <c r="A759" s="30" t="n"/>
      <c r="B759" s="30" t="n"/>
      <c r="C759" s="30" t="n"/>
      <c r="D759" s="30" t="n"/>
      <c r="E759" s="30" t="n"/>
      <c r="F759" s="30" t="n"/>
      <c r="G759" s="30" t="n"/>
      <c r="H759" s="31">
        <f>IF($A759="","",IFERROR(ROUND($C759*INDEX(tblKurallar[deger_2025],MATCH("TBO-001",tblKurallar[kural_id],0))+$D759*INDEX(tblKurallar[deger_2025],MATCH("TBO-002",tblKurallar[kural_id],0))+$E759*INDEX(tblKurallar[deger_2025],MATCH("TBO-004",tblKurallar[kural_id],0))+$F759*tbo_isverenOran,2),0))</f>
        <v/>
      </c>
      <c r="I759" s="31">
        <f>IF($A759="","",IFERROR(MAX(0,$H759-$G759),0))</f>
        <v/>
      </c>
    </row>
    <row r="760">
      <c r="A760" s="30" t="n"/>
      <c r="B760" s="30" t="n"/>
      <c r="C760" s="30" t="n"/>
      <c r="D760" s="30" t="n"/>
      <c r="E760" s="30" t="n"/>
      <c r="F760" s="30" t="n"/>
      <c r="G760" s="30" t="n"/>
      <c r="H760" s="31">
        <f>IF($A760="","",IFERROR(ROUND($C760*INDEX(tblKurallar[deger_2025],MATCH("TBO-001",tblKurallar[kural_id],0))+$D760*INDEX(tblKurallar[deger_2025],MATCH("TBO-002",tblKurallar[kural_id],0))+$E760*INDEX(tblKurallar[deger_2025],MATCH("TBO-004",tblKurallar[kural_id],0))+$F760*tbo_isverenOran,2),0))</f>
        <v/>
      </c>
      <c r="I760" s="31">
        <f>IF($A760="","",IFERROR(MAX(0,$H760-$G760),0))</f>
        <v/>
      </c>
    </row>
    <row r="761">
      <c r="A761" s="30" t="n"/>
      <c r="B761" s="30" t="n"/>
      <c r="C761" s="30" t="n"/>
      <c r="D761" s="30" t="n"/>
      <c r="E761" s="30" t="n"/>
      <c r="F761" s="30" t="n"/>
      <c r="G761" s="30" t="n"/>
      <c r="H761" s="31">
        <f>IF($A761="","",IFERROR(ROUND($C761*INDEX(tblKurallar[deger_2025],MATCH("TBO-001",tblKurallar[kural_id],0))+$D761*INDEX(tblKurallar[deger_2025],MATCH("TBO-002",tblKurallar[kural_id],0))+$E761*INDEX(tblKurallar[deger_2025],MATCH("TBO-004",tblKurallar[kural_id],0))+$F761*tbo_isverenOran,2),0))</f>
        <v/>
      </c>
      <c r="I761" s="31">
        <f>IF($A761="","",IFERROR(MAX(0,$H761-$G761),0))</f>
        <v/>
      </c>
    </row>
    <row r="762">
      <c r="A762" s="30" t="n"/>
      <c r="B762" s="30" t="n"/>
      <c r="C762" s="30" t="n"/>
      <c r="D762" s="30" t="n"/>
      <c r="E762" s="30" t="n"/>
      <c r="F762" s="30" t="n"/>
      <c r="G762" s="30" t="n"/>
      <c r="H762" s="31">
        <f>IF($A762="","",IFERROR(ROUND($C762*INDEX(tblKurallar[deger_2025],MATCH("TBO-001",tblKurallar[kural_id],0))+$D762*INDEX(tblKurallar[deger_2025],MATCH("TBO-002",tblKurallar[kural_id],0))+$E762*INDEX(tblKurallar[deger_2025],MATCH("TBO-004",tblKurallar[kural_id],0))+$F762*tbo_isverenOran,2),0))</f>
        <v/>
      </c>
      <c r="I762" s="31">
        <f>IF($A762="","",IFERROR(MAX(0,$H762-$G762),0))</f>
        <v/>
      </c>
    </row>
    <row r="763">
      <c r="A763" s="30" t="n"/>
      <c r="B763" s="30" t="n"/>
      <c r="C763" s="30" t="n"/>
      <c r="D763" s="30" t="n"/>
      <c r="E763" s="30" t="n"/>
      <c r="F763" s="30" t="n"/>
      <c r="G763" s="30" t="n"/>
      <c r="H763" s="31">
        <f>IF($A763="","",IFERROR(ROUND($C763*INDEX(tblKurallar[deger_2025],MATCH("TBO-001",tblKurallar[kural_id],0))+$D763*INDEX(tblKurallar[deger_2025],MATCH("TBO-002",tblKurallar[kural_id],0))+$E763*INDEX(tblKurallar[deger_2025],MATCH("TBO-004",tblKurallar[kural_id],0))+$F763*tbo_isverenOran,2),0))</f>
        <v/>
      </c>
      <c r="I763" s="31">
        <f>IF($A763="","",IFERROR(MAX(0,$H763-$G763),0))</f>
        <v/>
      </c>
    </row>
    <row r="764">
      <c r="A764" s="30" t="n"/>
      <c r="B764" s="30" t="n"/>
      <c r="C764" s="30" t="n"/>
      <c r="D764" s="30" t="n"/>
      <c r="E764" s="30" t="n"/>
      <c r="F764" s="30" t="n"/>
      <c r="G764" s="30" t="n"/>
      <c r="H764" s="31">
        <f>IF($A764="","",IFERROR(ROUND($C764*INDEX(tblKurallar[deger_2025],MATCH("TBO-001",tblKurallar[kural_id],0))+$D764*INDEX(tblKurallar[deger_2025],MATCH("TBO-002",tblKurallar[kural_id],0))+$E764*INDEX(tblKurallar[deger_2025],MATCH("TBO-004",tblKurallar[kural_id],0))+$F764*tbo_isverenOran,2),0))</f>
        <v/>
      </c>
      <c r="I764" s="31">
        <f>IF($A764="","",IFERROR(MAX(0,$H764-$G764),0))</f>
        <v/>
      </c>
    </row>
    <row r="765">
      <c r="A765" s="30" t="n"/>
      <c r="B765" s="30" t="n"/>
      <c r="C765" s="30" t="n"/>
      <c r="D765" s="30" t="n"/>
      <c r="E765" s="30" t="n"/>
      <c r="F765" s="30" t="n"/>
      <c r="G765" s="30" t="n"/>
      <c r="H765" s="31">
        <f>IF($A765="","",IFERROR(ROUND($C765*INDEX(tblKurallar[deger_2025],MATCH("TBO-001",tblKurallar[kural_id],0))+$D765*INDEX(tblKurallar[deger_2025],MATCH("TBO-002",tblKurallar[kural_id],0))+$E765*INDEX(tblKurallar[deger_2025],MATCH("TBO-004",tblKurallar[kural_id],0))+$F765*tbo_isverenOran,2),0))</f>
        <v/>
      </c>
      <c r="I765" s="31">
        <f>IF($A765="","",IFERROR(MAX(0,$H765-$G765),0))</f>
        <v/>
      </c>
    </row>
    <row r="766">
      <c r="A766" s="30" t="n"/>
      <c r="B766" s="30" t="n"/>
      <c r="C766" s="30" t="n"/>
      <c r="D766" s="30" t="n"/>
      <c r="E766" s="30" t="n"/>
      <c r="F766" s="30" t="n"/>
      <c r="G766" s="30" t="n"/>
      <c r="H766" s="31">
        <f>IF($A766="","",IFERROR(ROUND($C766*INDEX(tblKurallar[deger_2025],MATCH("TBO-001",tblKurallar[kural_id],0))+$D766*INDEX(tblKurallar[deger_2025],MATCH("TBO-002",tblKurallar[kural_id],0))+$E766*INDEX(tblKurallar[deger_2025],MATCH("TBO-004",tblKurallar[kural_id],0))+$F766*tbo_isverenOran,2),0))</f>
        <v/>
      </c>
      <c r="I766" s="31">
        <f>IF($A766="","",IFERROR(MAX(0,$H766-$G766),0))</f>
        <v/>
      </c>
    </row>
    <row r="767">
      <c r="A767" s="30" t="n"/>
      <c r="B767" s="30" t="n"/>
      <c r="C767" s="30" t="n"/>
      <c r="D767" s="30" t="n"/>
      <c r="E767" s="30" t="n"/>
      <c r="F767" s="30" t="n"/>
      <c r="G767" s="30" t="n"/>
      <c r="H767" s="31">
        <f>IF($A767="","",IFERROR(ROUND($C767*INDEX(tblKurallar[deger_2025],MATCH("TBO-001",tblKurallar[kural_id],0))+$D767*INDEX(tblKurallar[deger_2025],MATCH("TBO-002",tblKurallar[kural_id],0))+$E767*INDEX(tblKurallar[deger_2025],MATCH("TBO-004",tblKurallar[kural_id],0))+$F767*tbo_isverenOran,2),0))</f>
        <v/>
      </c>
      <c r="I767" s="31">
        <f>IF($A767="","",IFERROR(MAX(0,$H767-$G767),0))</f>
        <v/>
      </c>
    </row>
    <row r="768">
      <c r="A768" s="30" t="n"/>
      <c r="B768" s="30" t="n"/>
      <c r="C768" s="30" t="n"/>
      <c r="D768" s="30" t="n"/>
      <c r="E768" s="30" t="n"/>
      <c r="F768" s="30" t="n"/>
      <c r="G768" s="30" t="n"/>
      <c r="H768" s="31">
        <f>IF($A768="","",IFERROR(ROUND($C768*INDEX(tblKurallar[deger_2025],MATCH("TBO-001",tblKurallar[kural_id],0))+$D768*INDEX(tblKurallar[deger_2025],MATCH("TBO-002",tblKurallar[kural_id],0))+$E768*INDEX(tblKurallar[deger_2025],MATCH("TBO-004",tblKurallar[kural_id],0))+$F768*tbo_isverenOran,2),0))</f>
        <v/>
      </c>
      <c r="I768" s="31">
        <f>IF($A768="","",IFERROR(MAX(0,$H768-$G768),0))</f>
        <v/>
      </c>
    </row>
    <row r="769">
      <c r="A769" s="30" t="n"/>
      <c r="B769" s="30" t="n"/>
      <c r="C769" s="30" t="n"/>
      <c r="D769" s="30" t="n"/>
      <c r="E769" s="30" t="n"/>
      <c r="F769" s="30" t="n"/>
      <c r="G769" s="30" t="n"/>
      <c r="H769" s="31">
        <f>IF($A769="","",IFERROR(ROUND($C769*INDEX(tblKurallar[deger_2025],MATCH("TBO-001",tblKurallar[kural_id],0))+$D769*INDEX(tblKurallar[deger_2025],MATCH("TBO-002",tblKurallar[kural_id],0))+$E769*INDEX(tblKurallar[deger_2025],MATCH("TBO-004",tblKurallar[kural_id],0))+$F769*tbo_isverenOran,2),0))</f>
        <v/>
      </c>
      <c r="I769" s="31">
        <f>IF($A769="","",IFERROR(MAX(0,$H769-$G769),0))</f>
        <v/>
      </c>
    </row>
    <row r="770">
      <c r="A770" s="30" t="n"/>
      <c r="B770" s="30" t="n"/>
      <c r="C770" s="30" t="n"/>
      <c r="D770" s="30" t="n"/>
      <c r="E770" s="30" t="n"/>
      <c r="F770" s="30" t="n"/>
      <c r="G770" s="30" t="n"/>
      <c r="H770" s="31">
        <f>IF($A770="","",IFERROR(ROUND($C770*INDEX(tblKurallar[deger_2025],MATCH("TBO-001",tblKurallar[kural_id],0))+$D770*INDEX(tblKurallar[deger_2025],MATCH("TBO-002",tblKurallar[kural_id],0))+$E770*INDEX(tblKurallar[deger_2025],MATCH("TBO-004",tblKurallar[kural_id],0))+$F770*tbo_isverenOran,2),0))</f>
        <v/>
      </c>
      <c r="I770" s="31">
        <f>IF($A770="","",IFERROR(MAX(0,$H770-$G770),0))</f>
        <v/>
      </c>
    </row>
    <row r="771">
      <c r="A771" s="30" t="n"/>
      <c r="B771" s="30" t="n"/>
      <c r="C771" s="30" t="n"/>
      <c r="D771" s="30" t="n"/>
      <c r="E771" s="30" t="n"/>
      <c r="F771" s="30" t="n"/>
      <c r="G771" s="30" t="n"/>
      <c r="H771" s="31">
        <f>IF($A771="","",IFERROR(ROUND($C771*INDEX(tblKurallar[deger_2025],MATCH("TBO-001",tblKurallar[kural_id],0))+$D771*INDEX(tblKurallar[deger_2025],MATCH("TBO-002",tblKurallar[kural_id],0))+$E771*INDEX(tblKurallar[deger_2025],MATCH("TBO-004",tblKurallar[kural_id],0))+$F771*tbo_isverenOran,2),0))</f>
        <v/>
      </c>
      <c r="I771" s="31">
        <f>IF($A771="","",IFERROR(MAX(0,$H771-$G771),0))</f>
        <v/>
      </c>
    </row>
    <row r="772">
      <c r="A772" s="30" t="n"/>
      <c r="B772" s="30" t="n"/>
      <c r="C772" s="30" t="n"/>
      <c r="D772" s="30" t="n"/>
      <c r="E772" s="30" t="n"/>
      <c r="F772" s="30" t="n"/>
      <c r="G772" s="30" t="n"/>
      <c r="H772" s="31">
        <f>IF($A772="","",IFERROR(ROUND($C772*INDEX(tblKurallar[deger_2025],MATCH("TBO-001",tblKurallar[kural_id],0))+$D772*INDEX(tblKurallar[deger_2025],MATCH("TBO-002",tblKurallar[kural_id],0))+$E772*INDEX(tblKurallar[deger_2025],MATCH("TBO-004",tblKurallar[kural_id],0))+$F772*tbo_isverenOran,2),0))</f>
        <v/>
      </c>
      <c r="I772" s="31">
        <f>IF($A772="","",IFERROR(MAX(0,$H772-$G772),0))</f>
        <v/>
      </c>
    </row>
    <row r="773">
      <c r="A773" s="30" t="n"/>
      <c r="B773" s="30" t="n"/>
      <c r="C773" s="30" t="n"/>
      <c r="D773" s="30" t="n"/>
      <c r="E773" s="30" t="n"/>
      <c r="F773" s="30" t="n"/>
      <c r="G773" s="30" t="n"/>
      <c r="H773" s="31">
        <f>IF($A773="","",IFERROR(ROUND($C773*INDEX(tblKurallar[deger_2025],MATCH("TBO-001",tblKurallar[kural_id],0))+$D773*INDEX(tblKurallar[deger_2025],MATCH("TBO-002",tblKurallar[kural_id],0))+$E773*INDEX(tblKurallar[deger_2025],MATCH("TBO-004",tblKurallar[kural_id],0))+$F773*tbo_isverenOran,2),0))</f>
        <v/>
      </c>
      <c r="I773" s="31">
        <f>IF($A773="","",IFERROR(MAX(0,$H773-$G773),0))</f>
        <v/>
      </c>
    </row>
    <row r="774">
      <c r="A774" s="30" t="n"/>
      <c r="B774" s="30" t="n"/>
      <c r="C774" s="30" t="n"/>
      <c r="D774" s="30" t="n"/>
      <c r="E774" s="30" t="n"/>
      <c r="F774" s="30" t="n"/>
      <c r="G774" s="30" t="n"/>
      <c r="H774" s="31">
        <f>IF($A774="","",IFERROR(ROUND($C774*INDEX(tblKurallar[deger_2025],MATCH("TBO-001",tblKurallar[kural_id],0))+$D774*INDEX(tblKurallar[deger_2025],MATCH("TBO-002",tblKurallar[kural_id],0))+$E774*INDEX(tblKurallar[deger_2025],MATCH("TBO-004",tblKurallar[kural_id],0))+$F774*tbo_isverenOran,2),0))</f>
        <v/>
      </c>
      <c r="I774" s="31">
        <f>IF($A774="","",IFERROR(MAX(0,$H774-$G774),0))</f>
        <v/>
      </c>
    </row>
    <row r="775">
      <c r="A775" s="30" t="n"/>
      <c r="B775" s="30" t="n"/>
      <c r="C775" s="30" t="n"/>
      <c r="D775" s="30" t="n"/>
      <c r="E775" s="30" t="n"/>
      <c r="F775" s="30" t="n"/>
      <c r="G775" s="30" t="n"/>
      <c r="H775" s="31">
        <f>IF($A775="","",IFERROR(ROUND($C775*INDEX(tblKurallar[deger_2025],MATCH("TBO-001",tblKurallar[kural_id],0))+$D775*INDEX(tblKurallar[deger_2025],MATCH("TBO-002",tblKurallar[kural_id],0))+$E775*INDEX(tblKurallar[deger_2025],MATCH("TBO-004",tblKurallar[kural_id],0))+$F775*tbo_isverenOran,2),0))</f>
        <v/>
      </c>
      <c r="I775" s="31">
        <f>IF($A775="","",IFERROR(MAX(0,$H775-$G775),0))</f>
        <v/>
      </c>
    </row>
    <row r="776">
      <c r="A776" s="30" t="n"/>
      <c r="B776" s="30" t="n"/>
      <c r="C776" s="30" t="n"/>
      <c r="D776" s="30" t="n"/>
      <c r="E776" s="30" t="n"/>
      <c r="F776" s="30" t="n"/>
      <c r="G776" s="30" t="n"/>
      <c r="H776" s="31">
        <f>IF($A776="","",IFERROR(ROUND($C776*INDEX(tblKurallar[deger_2025],MATCH("TBO-001",tblKurallar[kural_id],0))+$D776*INDEX(tblKurallar[deger_2025],MATCH("TBO-002",tblKurallar[kural_id],0))+$E776*INDEX(tblKurallar[deger_2025],MATCH("TBO-004",tblKurallar[kural_id],0))+$F776*tbo_isverenOran,2),0))</f>
        <v/>
      </c>
      <c r="I776" s="31">
        <f>IF($A776="","",IFERROR(MAX(0,$H776-$G776),0))</f>
        <v/>
      </c>
    </row>
    <row r="777">
      <c r="A777" s="30" t="n"/>
      <c r="B777" s="30" t="n"/>
      <c r="C777" s="30" t="n"/>
      <c r="D777" s="30" t="n"/>
      <c r="E777" s="30" t="n"/>
      <c r="F777" s="30" t="n"/>
      <c r="G777" s="30" t="n"/>
      <c r="H777" s="31">
        <f>IF($A777="","",IFERROR(ROUND($C777*INDEX(tblKurallar[deger_2025],MATCH("TBO-001",tblKurallar[kural_id],0))+$D777*INDEX(tblKurallar[deger_2025],MATCH("TBO-002",tblKurallar[kural_id],0))+$E777*INDEX(tblKurallar[deger_2025],MATCH("TBO-004",tblKurallar[kural_id],0))+$F777*tbo_isverenOran,2),0))</f>
        <v/>
      </c>
      <c r="I777" s="31">
        <f>IF($A777="","",IFERROR(MAX(0,$H777-$G777),0))</f>
        <v/>
      </c>
    </row>
    <row r="778">
      <c r="A778" s="30" t="n"/>
      <c r="B778" s="30" t="n"/>
      <c r="C778" s="30" t="n"/>
      <c r="D778" s="30" t="n"/>
      <c r="E778" s="30" t="n"/>
      <c r="F778" s="30" t="n"/>
      <c r="G778" s="30" t="n"/>
      <c r="H778" s="31">
        <f>IF($A778="","",IFERROR(ROUND($C778*INDEX(tblKurallar[deger_2025],MATCH("TBO-001",tblKurallar[kural_id],0))+$D778*INDEX(tblKurallar[deger_2025],MATCH("TBO-002",tblKurallar[kural_id],0))+$E778*INDEX(tblKurallar[deger_2025],MATCH("TBO-004",tblKurallar[kural_id],0))+$F778*tbo_isverenOran,2),0))</f>
        <v/>
      </c>
      <c r="I778" s="31">
        <f>IF($A778="","",IFERROR(MAX(0,$H778-$G778),0))</f>
        <v/>
      </c>
    </row>
    <row r="779">
      <c r="A779" s="30" t="n"/>
      <c r="B779" s="30" t="n"/>
      <c r="C779" s="30" t="n"/>
      <c r="D779" s="30" t="n"/>
      <c r="E779" s="30" t="n"/>
      <c r="F779" s="30" t="n"/>
      <c r="G779" s="30" t="n"/>
      <c r="H779" s="31">
        <f>IF($A779="","",IFERROR(ROUND($C779*INDEX(tblKurallar[deger_2025],MATCH("TBO-001",tblKurallar[kural_id],0))+$D779*INDEX(tblKurallar[deger_2025],MATCH("TBO-002",tblKurallar[kural_id],0))+$E779*INDEX(tblKurallar[deger_2025],MATCH("TBO-004",tblKurallar[kural_id],0))+$F779*tbo_isverenOran,2),0))</f>
        <v/>
      </c>
      <c r="I779" s="31">
        <f>IF($A779="","",IFERROR(MAX(0,$H779-$G779),0))</f>
        <v/>
      </c>
    </row>
    <row r="780">
      <c r="A780" s="30" t="n"/>
      <c r="B780" s="30" t="n"/>
      <c r="C780" s="30" t="n"/>
      <c r="D780" s="30" t="n"/>
      <c r="E780" s="30" t="n"/>
      <c r="F780" s="30" t="n"/>
      <c r="G780" s="30" t="n"/>
      <c r="H780" s="31">
        <f>IF($A780="","",IFERROR(ROUND($C780*INDEX(tblKurallar[deger_2025],MATCH("TBO-001",tblKurallar[kural_id],0))+$D780*INDEX(tblKurallar[deger_2025],MATCH("TBO-002",tblKurallar[kural_id],0))+$E780*INDEX(tblKurallar[deger_2025],MATCH("TBO-004",tblKurallar[kural_id],0))+$F780*tbo_isverenOran,2),0))</f>
        <v/>
      </c>
      <c r="I780" s="31">
        <f>IF($A780="","",IFERROR(MAX(0,$H780-$G780),0))</f>
        <v/>
      </c>
    </row>
    <row r="781">
      <c r="A781" s="30" t="n"/>
      <c r="B781" s="30" t="n"/>
      <c r="C781" s="30" t="n"/>
      <c r="D781" s="30" t="n"/>
      <c r="E781" s="30" t="n"/>
      <c r="F781" s="30" t="n"/>
      <c r="G781" s="30" t="n"/>
      <c r="H781" s="31">
        <f>IF($A781="","",IFERROR(ROUND($C781*INDEX(tblKurallar[deger_2025],MATCH("TBO-001",tblKurallar[kural_id],0))+$D781*INDEX(tblKurallar[deger_2025],MATCH("TBO-002",tblKurallar[kural_id],0))+$E781*INDEX(tblKurallar[deger_2025],MATCH("TBO-004",tblKurallar[kural_id],0))+$F781*tbo_isverenOran,2),0))</f>
        <v/>
      </c>
      <c r="I781" s="31">
        <f>IF($A781="","",IFERROR(MAX(0,$H781-$G781),0))</f>
        <v/>
      </c>
    </row>
    <row r="782">
      <c r="A782" s="30" t="n"/>
      <c r="B782" s="30" t="n"/>
      <c r="C782" s="30" t="n"/>
      <c r="D782" s="30" t="n"/>
      <c r="E782" s="30" t="n"/>
      <c r="F782" s="30" t="n"/>
      <c r="G782" s="30" t="n"/>
      <c r="H782" s="31">
        <f>IF($A782="","",IFERROR(ROUND($C782*INDEX(tblKurallar[deger_2025],MATCH("TBO-001",tblKurallar[kural_id],0))+$D782*INDEX(tblKurallar[deger_2025],MATCH("TBO-002",tblKurallar[kural_id],0))+$E782*INDEX(tblKurallar[deger_2025],MATCH("TBO-004",tblKurallar[kural_id],0))+$F782*tbo_isverenOran,2),0))</f>
        <v/>
      </c>
      <c r="I782" s="31">
        <f>IF($A782="","",IFERROR(MAX(0,$H782-$G782),0))</f>
        <v/>
      </c>
    </row>
    <row r="783">
      <c r="A783" s="30" t="n"/>
      <c r="B783" s="30" t="n"/>
      <c r="C783" s="30" t="n"/>
      <c r="D783" s="30" t="n"/>
      <c r="E783" s="30" t="n"/>
      <c r="F783" s="30" t="n"/>
      <c r="G783" s="30" t="n"/>
      <c r="H783" s="31">
        <f>IF($A783="","",IFERROR(ROUND($C783*INDEX(tblKurallar[deger_2025],MATCH("TBO-001",tblKurallar[kural_id],0))+$D783*INDEX(tblKurallar[deger_2025],MATCH("TBO-002",tblKurallar[kural_id],0))+$E783*INDEX(tblKurallar[deger_2025],MATCH("TBO-004",tblKurallar[kural_id],0))+$F783*tbo_isverenOran,2),0))</f>
        <v/>
      </c>
      <c r="I783" s="31">
        <f>IF($A783="","",IFERROR(MAX(0,$H783-$G783),0))</f>
        <v/>
      </c>
    </row>
    <row r="784">
      <c r="A784" s="30" t="n"/>
      <c r="B784" s="30" t="n"/>
      <c r="C784" s="30" t="n"/>
      <c r="D784" s="30" t="n"/>
      <c r="E784" s="30" t="n"/>
      <c r="F784" s="30" t="n"/>
      <c r="G784" s="30" t="n"/>
      <c r="H784" s="31">
        <f>IF($A784="","",IFERROR(ROUND($C784*INDEX(tblKurallar[deger_2025],MATCH("TBO-001",tblKurallar[kural_id],0))+$D784*INDEX(tblKurallar[deger_2025],MATCH("TBO-002",tblKurallar[kural_id],0))+$E784*INDEX(tblKurallar[deger_2025],MATCH("TBO-004",tblKurallar[kural_id],0))+$F784*tbo_isverenOran,2),0))</f>
        <v/>
      </c>
      <c r="I784" s="31">
        <f>IF($A784="","",IFERROR(MAX(0,$H784-$G784),0))</f>
        <v/>
      </c>
    </row>
    <row r="785">
      <c r="A785" s="30" t="n"/>
      <c r="B785" s="30" t="n"/>
      <c r="C785" s="30" t="n"/>
      <c r="D785" s="30" t="n"/>
      <c r="E785" s="30" t="n"/>
      <c r="F785" s="30" t="n"/>
      <c r="G785" s="30" t="n"/>
      <c r="H785" s="31">
        <f>IF($A785="","",IFERROR(ROUND($C785*INDEX(tblKurallar[deger_2025],MATCH("TBO-001",tblKurallar[kural_id],0))+$D785*INDEX(tblKurallar[deger_2025],MATCH("TBO-002",tblKurallar[kural_id],0))+$E785*INDEX(tblKurallar[deger_2025],MATCH("TBO-004",tblKurallar[kural_id],0))+$F785*tbo_isverenOran,2),0))</f>
        <v/>
      </c>
      <c r="I785" s="31">
        <f>IF($A785="","",IFERROR(MAX(0,$H785-$G785),0))</f>
        <v/>
      </c>
    </row>
    <row r="786">
      <c r="A786" s="30" t="n"/>
      <c r="B786" s="30" t="n"/>
      <c r="C786" s="30" t="n"/>
      <c r="D786" s="30" t="n"/>
      <c r="E786" s="30" t="n"/>
      <c r="F786" s="30" t="n"/>
      <c r="G786" s="30" t="n"/>
      <c r="H786" s="31">
        <f>IF($A786="","",IFERROR(ROUND($C786*INDEX(tblKurallar[deger_2025],MATCH("TBO-001",tblKurallar[kural_id],0))+$D786*INDEX(tblKurallar[deger_2025],MATCH("TBO-002",tblKurallar[kural_id],0))+$E786*INDEX(tblKurallar[deger_2025],MATCH("TBO-004",tblKurallar[kural_id],0))+$F786*tbo_isverenOran,2),0))</f>
        <v/>
      </c>
      <c r="I786" s="31">
        <f>IF($A786="","",IFERROR(MAX(0,$H786-$G786),0))</f>
        <v/>
      </c>
    </row>
    <row r="787">
      <c r="A787" s="30" t="n"/>
      <c r="B787" s="30" t="n"/>
      <c r="C787" s="30" t="n"/>
      <c r="D787" s="30" t="n"/>
      <c r="E787" s="30" t="n"/>
      <c r="F787" s="30" t="n"/>
      <c r="G787" s="30" t="n"/>
      <c r="H787" s="31">
        <f>IF($A787="","",IFERROR(ROUND($C787*INDEX(tblKurallar[deger_2025],MATCH("TBO-001",tblKurallar[kural_id],0))+$D787*INDEX(tblKurallar[deger_2025],MATCH("TBO-002",tblKurallar[kural_id],0))+$E787*INDEX(tblKurallar[deger_2025],MATCH("TBO-004",tblKurallar[kural_id],0))+$F787*tbo_isverenOran,2),0))</f>
        <v/>
      </c>
      <c r="I787" s="31">
        <f>IF($A787="","",IFERROR(MAX(0,$H787-$G787),0))</f>
        <v/>
      </c>
    </row>
    <row r="788">
      <c r="A788" s="30" t="n"/>
      <c r="B788" s="30" t="n"/>
      <c r="C788" s="30" t="n"/>
      <c r="D788" s="30" t="n"/>
      <c r="E788" s="30" t="n"/>
      <c r="F788" s="30" t="n"/>
      <c r="G788" s="30" t="n"/>
      <c r="H788" s="31">
        <f>IF($A788="","",IFERROR(ROUND($C788*INDEX(tblKurallar[deger_2025],MATCH("TBO-001",tblKurallar[kural_id],0))+$D788*INDEX(tblKurallar[deger_2025],MATCH("TBO-002",tblKurallar[kural_id],0))+$E788*INDEX(tblKurallar[deger_2025],MATCH("TBO-004",tblKurallar[kural_id],0))+$F788*tbo_isverenOran,2),0))</f>
        <v/>
      </c>
      <c r="I788" s="31">
        <f>IF($A788="","",IFERROR(MAX(0,$H788-$G788),0))</f>
        <v/>
      </c>
    </row>
    <row r="789">
      <c r="A789" s="30" t="n"/>
      <c r="B789" s="30" t="n"/>
      <c r="C789" s="30" t="n"/>
      <c r="D789" s="30" t="n"/>
      <c r="E789" s="30" t="n"/>
      <c r="F789" s="30" t="n"/>
      <c r="G789" s="30" t="n"/>
      <c r="H789" s="31">
        <f>IF($A789="","",IFERROR(ROUND($C789*INDEX(tblKurallar[deger_2025],MATCH("TBO-001",tblKurallar[kural_id],0))+$D789*INDEX(tblKurallar[deger_2025],MATCH("TBO-002",tblKurallar[kural_id],0))+$E789*INDEX(tblKurallar[deger_2025],MATCH("TBO-004",tblKurallar[kural_id],0))+$F789*tbo_isverenOran,2),0))</f>
        <v/>
      </c>
      <c r="I789" s="31">
        <f>IF($A789="","",IFERROR(MAX(0,$H789-$G789),0))</f>
        <v/>
      </c>
    </row>
    <row r="790">
      <c r="A790" s="30" t="n"/>
      <c r="B790" s="30" t="n"/>
      <c r="C790" s="30" t="n"/>
      <c r="D790" s="30" t="n"/>
      <c r="E790" s="30" t="n"/>
      <c r="F790" s="30" t="n"/>
      <c r="G790" s="30" t="n"/>
      <c r="H790" s="31">
        <f>IF($A790="","",IFERROR(ROUND($C790*INDEX(tblKurallar[deger_2025],MATCH("TBO-001",tblKurallar[kural_id],0))+$D790*INDEX(tblKurallar[deger_2025],MATCH("TBO-002",tblKurallar[kural_id],0))+$E790*INDEX(tblKurallar[deger_2025],MATCH("TBO-004",tblKurallar[kural_id],0))+$F790*tbo_isverenOran,2),0))</f>
        <v/>
      </c>
      <c r="I790" s="31">
        <f>IF($A790="","",IFERROR(MAX(0,$H790-$G790),0))</f>
        <v/>
      </c>
    </row>
    <row r="791">
      <c r="A791" s="30" t="n"/>
      <c r="B791" s="30" t="n"/>
      <c r="C791" s="30" t="n"/>
      <c r="D791" s="30" t="n"/>
      <c r="E791" s="30" t="n"/>
      <c r="F791" s="30" t="n"/>
      <c r="G791" s="30" t="n"/>
      <c r="H791" s="31">
        <f>IF($A791="","",IFERROR(ROUND($C791*INDEX(tblKurallar[deger_2025],MATCH("TBO-001",tblKurallar[kural_id],0))+$D791*INDEX(tblKurallar[deger_2025],MATCH("TBO-002",tblKurallar[kural_id],0))+$E791*INDEX(tblKurallar[deger_2025],MATCH("TBO-004",tblKurallar[kural_id],0))+$F791*tbo_isverenOran,2),0))</f>
        <v/>
      </c>
      <c r="I791" s="31">
        <f>IF($A791="","",IFERROR(MAX(0,$H791-$G791),0))</f>
        <v/>
      </c>
    </row>
    <row r="792">
      <c r="A792" s="30" t="n"/>
      <c r="B792" s="30" t="n"/>
      <c r="C792" s="30" t="n"/>
      <c r="D792" s="30" t="n"/>
      <c r="E792" s="30" t="n"/>
      <c r="F792" s="30" t="n"/>
      <c r="G792" s="30" t="n"/>
      <c r="H792" s="31">
        <f>IF($A792="","",IFERROR(ROUND($C792*INDEX(tblKurallar[deger_2025],MATCH("TBO-001",tblKurallar[kural_id],0))+$D792*INDEX(tblKurallar[deger_2025],MATCH("TBO-002",tblKurallar[kural_id],0))+$E792*INDEX(tblKurallar[deger_2025],MATCH("TBO-004",tblKurallar[kural_id],0))+$F792*tbo_isverenOran,2),0))</f>
        <v/>
      </c>
      <c r="I792" s="31">
        <f>IF($A792="","",IFERROR(MAX(0,$H792-$G792),0))</f>
        <v/>
      </c>
    </row>
    <row r="793">
      <c r="A793" s="30" t="n"/>
      <c r="B793" s="30" t="n"/>
      <c r="C793" s="30" t="n"/>
      <c r="D793" s="30" t="n"/>
      <c r="E793" s="30" t="n"/>
      <c r="F793" s="30" t="n"/>
      <c r="G793" s="30" t="n"/>
      <c r="H793" s="31">
        <f>IF($A793="","",IFERROR(ROUND($C793*INDEX(tblKurallar[deger_2025],MATCH("TBO-001",tblKurallar[kural_id],0))+$D793*INDEX(tblKurallar[deger_2025],MATCH("TBO-002",tblKurallar[kural_id],0))+$E793*INDEX(tblKurallar[deger_2025],MATCH("TBO-004",tblKurallar[kural_id],0))+$F793*tbo_isverenOran,2),0))</f>
        <v/>
      </c>
      <c r="I793" s="31">
        <f>IF($A793="","",IFERROR(MAX(0,$H793-$G793),0))</f>
        <v/>
      </c>
    </row>
    <row r="794">
      <c r="A794" s="30" t="n"/>
      <c r="B794" s="30" t="n"/>
      <c r="C794" s="30" t="n"/>
      <c r="D794" s="30" t="n"/>
      <c r="E794" s="30" t="n"/>
      <c r="F794" s="30" t="n"/>
      <c r="G794" s="30" t="n"/>
      <c r="H794" s="31">
        <f>IF($A794="","",IFERROR(ROUND($C794*INDEX(tblKurallar[deger_2025],MATCH("TBO-001",tblKurallar[kural_id],0))+$D794*INDEX(tblKurallar[deger_2025],MATCH("TBO-002",tblKurallar[kural_id],0))+$E794*INDEX(tblKurallar[deger_2025],MATCH("TBO-004",tblKurallar[kural_id],0))+$F794*tbo_isverenOran,2),0))</f>
        <v/>
      </c>
      <c r="I794" s="31">
        <f>IF($A794="","",IFERROR(MAX(0,$H794-$G794),0))</f>
        <v/>
      </c>
    </row>
    <row r="795">
      <c r="A795" s="30" t="n"/>
      <c r="B795" s="30" t="n"/>
      <c r="C795" s="30" t="n"/>
      <c r="D795" s="30" t="n"/>
      <c r="E795" s="30" t="n"/>
      <c r="F795" s="30" t="n"/>
      <c r="G795" s="30" t="n"/>
      <c r="H795" s="31">
        <f>IF($A795="","",IFERROR(ROUND($C795*INDEX(tblKurallar[deger_2025],MATCH("TBO-001",tblKurallar[kural_id],0))+$D795*INDEX(tblKurallar[deger_2025],MATCH("TBO-002",tblKurallar[kural_id],0))+$E795*INDEX(tblKurallar[deger_2025],MATCH("TBO-004",tblKurallar[kural_id],0))+$F795*tbo_isverenOran,2),0))</f>
        <v/>
      </c>
      <c r="I795" s="31">
        <f>IF($A795="","",IFERROR(MAX(0,$H795-$G795),0))</f>
        <v/>
      </c>
    </row>
    <row r="796">
      <c r="A796" s="30" t="n"/>
      <c r="B796" s="30" t="n"/>
      <c r="C796" s="30" t="n"/>
      <c r="D796" s="30" t="n"/>
      <c r="E796" s="30" t="n"/>
      <c r="F796" s="30" t="n"/>
      <c r="G796" s="30" t="n"/>
      <c r="H796" s="31">
        <f>IF($A796="","",IFERROR(ROUND($C796*INDEX(tblKurallar[deger_2025],MATCH("TBO-001",tblKurallar[kural_id],0))+$D796*INDEX(tblKurallar[deger_2025],MATCH("TBO-002",tblKurallar[kural_id],0))+$E796*INDEX(tblKurallar[deger_2025],MATCH("TBO-004",tblKurallar[kural_id],0))+$F796*tbo_isverenOran,2),0))</f>
        <v/>
      </c>
      <c r="I796" s="31">
        <f>IF($A796="","",IFERROR(MAX(0,$H796-$G796),0))</f>
        <v/>
      </c>
    </row>
    <row r="797">
      <c r="A797" s="30" t="n"/>
      <c r="B797" s="30" t="n"/>
      <c r="C797" s="30" t="n"/>
      <c r="D797" s="30" t="n"/>
      <c r="E797" s="30" t="n"/>
      <c r="F797" s="30" t="n"/>
      <c r="G797" s="30" t="n"/>
      <c r="H797" s="31">
        <f>IF($A797="","",IFERROR(ROUND($C797*INDEX(tblKurallar[deger_2025],MATCH("TBO-001",tblKurallar[kural_id],0))+$D797*INDEX(tblKurallar[deger_2025],MATCH("TBO-002",tblKurallar[kural_id],0))+$E797*INDEX(tblKurallar[deger_2025],MATCH("TBO-004",tblKurallar[kural_id],0))+$F797*tbo_isverenOran,2),0))</f>
        <v/>
      </c>
      <c r="I797" s="31">
        <f>IF($A797="","",IFERROR(MAX(0,$H797-$G797),0))</f>
        <v/>
      </c>
    </row>
    <row r="798">
      <c r="A798" s="30" t="n"/>
      <c r="B798" s="30" t="n"/>
      <c r="C798" s="30" t="n"/>
      <c r="D798" s="30" t="n"/>
      <c r="E798" s="30" t="n"/>
      <c r="F798" s="30" t="n"/>
      <c r="G798" s="30" t="n"/>
      <c r="H798" s="31">
        <f>IF($A798="","",IFERROR(ROUND($C798*INDEX(tblKurallar[deger_2025],MATCH("TBO-001",tblKurallar[kural_id],0))+$D798*INDEX(tblKurallar[deger_2025],MATCH("TBO-002",tblKurallar[kural_id],0))+$E798*INDEX(tblKurallar[deger_2025],MATCH("TBO-004",tblKurallar[kural_id],0))+$F798*tbo_isverenOran,2),0))</f>
        <v/>
      </c>
      <c r="I798" s="31">
        <f>IF($A798="","",IFERROR(MAX(0,$H798-$G798),0))</f>
        <v/>
      </c>
    </row>
    <row r="799">
      <c r="A799" s="30" t="n"/>
      <c r="B799" s="30" t="n"/>
      <c r="C799" s="30" t="n"/>
      <c r="D799" s="30" t="n"/>
      <c r="E799" s="30" t="n"/>
      <c r="F799" s="30" t="n"/>
      <c r="G799" s="30" t="n"/>
      <c r="H799" s="31">
        <f>IF($A799="","",IFERROR(ROUND($C799*INDEX(tblKurallar[deger_2025],MATCH("TBO-001",tblKurallar[kural_id],0))+$D799*INDEX(tblKurallar[deger_2025],MATCH("TBO-002",tblKurallar[kural_id],0))+$E799*INDEX(tblKurallar[deger_2025],MATCH("TBO-004",tblKurallar[kural_id],0))+$F799*tbo_isverenOran,2),0))</f>
        <v/>
      </c>
      <c r="I799" s="31">
        <f>IF($A799="","",IFERROR(MAX(0,$H799-$G799),0))</f>
        <v/>
      </c>
    </row>
    <row r="800">
      <c r="A800" s="30" t="n"/>
      <c r="B800" s="30" t="n"/>
      <c r="C800" s="30" t="n"/>
      <c r="D800" s="30" t="n"/>
      <c r="E800" s="30" t="n"/>
      <c r="F800" s="30" t="n"/>
      <c r="G800" s="30" t="n"/>
      <c r="H800" s="31">
        <f>IF($A800="","",IFERROR(ROUND($C800*INDEX(tblKurallar[deger_2025],MATCH("TBO-001",tblKurallar[kural_id],0))+$D800*INDEX(tblKurallar[deger_2025],MATCH("TBO-002",tblKurallar[kural_id],0))+$E800*INDEX(tblKurallar[deger_2025],MATCH("TBO-004",tblKurallar[kural_id],0))+$F800*tbo_isverenOran,2),0))</f>
        <v/>
      </c>
      <c r="I800" s="31">
        <f>IF($A800="","",IFERROR(MAX(0,$H800-$G800),0))</f>
        <v/>
      </c>
    </row>
    <row r="801">
      <c r="A801" s="30" t="n"/>
      <c r="B801" s="30" t="n"/>
      <c r="C801" s="30" t="n"/>
      <c r="D801" s="30" t="n"/>
      <c r="E801" s="30" t="n"/>
      <c r="F801" s="30" t="n"/>
      <c r="G801" s="30" t="n"/>
      <c r="H801" s="31">
        <f>IF($A801="","",IFERROR(ROUND($C801*INDEX(tblKurallar[deger_2025],MATCH("TBO-001",tblKurallar[kural_id],0))+$D801*INDEX(tblKurallar[deger_2025],MATCH("TBO-002",tblKurallar[kural_id],0))+$E801*INDEX(tblKurallar[deger_2025],MATCH("TBO-004",tblKurallar[kural_id],0))+$F801*tbo_isverenOran,2),0))</f>
        <v/>
      </c>
      <c r="I801" s="31">
        <f>IF($A801="","",IFERROR(MAX(0,$H801-$G801),0))</f>
        <v/>
      </c>
    </row>
    <row r="802">
      <c r="A802" s="30" t="n"/>
      <c r="B802" s="30" t="n"/>
      <c r="C802" s="30" t="n"/>
      <c r="D802" s="30" t="n"/>
      <c r="E802" s="30" t="n"/>
      <c r="F802" s="30" t="n"/>
      <c r="G802" s="30" t="n"/>
      <c r="H802" s="31">
        <f>IF($A802="","",IFERROR(ROUND($C802*INDEX(tblKurallar[deger_2025],MATCH("TBO-001",tblKurallar[kural_id],0))+$D802*INDEX(tblKurallar[deger_2025],MATCH("TBO-002",tblKurallar[kural_id],0))+$E802*INDEX(tblKurallar[deger_2025],MATCH("TBO-004",tblKurallar[kural_id],0))+$F802*tbo_isverenOran,2),0))</f>
        <v/>
      </c>
      <c r="I802" s="31">
        <f>IF($A802="","",IFERROR(MAX(0,$H802-$G802),0))</f>
        <v/>
      </c>
    </row>
    <row r="803">
      <c r="A803" s="30" t="n"/>
      <c r="B803" s="30" t="n"/>
      <c r="C803" s="30" t="n"/>
      <c r="D803" s="30" t="n"/>
      <c r="E803" s="30" t="n"/>
      <c r="F803" s="30" t="n"/>
      <c r="G803" s="30" t="n"/>
      <c r="H803" s="31">
        <f>IF($A803="","",IFERROR(ROUND($C803*INDEX(tblKurallar[deger_2025],MATCH("TBO-001",tblKurallar[kural_id],0))+$D803*INDEX(tblKurallar[deger_2025],MATCH("TBO-002",tblKurallar[kural_id],0))+$E803*INDEX(tblKurallar[deger_2025],MATCH("TBO-004",tblKurallar[kural_id],0))+$F803*tbo_isverenOran,2),0))</f>
        <v/>
      </c>
      <c r="I803" s="31">
        <f>IF($A803="","",IFERROR(MAX(0,$H803-$G803),0))</f>
        <v/>
      </c>
    </row>
    <row r="804">
      <c r="A804" s="30" t="n"/>
      <c r="B804" s="30" t="n"/>
      <c r="C804" s="30" t="n"/>
      <c r="D804" s="30" t="n"/>
      <c r="E804" s="30" t="n"/>
      <c r="F804" s="30" t="n"/>
      <c r="G804" s="30" t="n"/>
      <c r="H804" s="31">
        <f>IF($A804="","",IFERROR(ROUND($C804*INDEX(tblKurallar[deger_2025],MATCH("TBO-001",tblKurallar[kural_id],0))+$D804*INDEX(tblKurallar[deger_2025],MATCH("TBO-002",tblKurallar[kural_id],0))+$E804*INDEX(tblKurallar[deger_2025],MATCH("TBO-004",tblKurallar[kural_id],0))+$F804*tbo_isverenOran,2),0))</f>
        <v/>
      </c>
      <c r="I804" s="31">
        <f>IF($A804="","",IFERROR(MAX(0,$H804-$G804),0))</f>
        <v/>
      </c>
    </row>
    <row r="805">
      <c r="A805" s="30" t="n"/>
      <c r="B805" s="30" t="n"/>
      <c r="C805" s="30" t="n"/>
      <c r="D805" s="30" t="n"/>
      <c r="E805" s="30" t="n"/>
      <c r="F805" s="30" t="n"/>
      <c r="G805" s="30" t="n"/>
      <c r="H805" s="31">
        <f>IF($A805="","",IFERROR(ROUND($C805*INDEX(tblKurallar[deger_2025],MATCH("TBO-001",tblKurallar[kural_id],0))+$D805*INDEX(tblKurallar[deger_2025],MATCH("TBO-002",tblKurallar[kural_id],0))+$E805*INDEX(tblKurallar[deger_2025],MATCH("TBO-004",tblKurallar[kural_id],0))+$F805*tbo_isverenOran,2),0))</f>
        <v/>
      </c>
      <c r="I805" s="31">
        <f>IF($A805="","",IFERROR(MAX(0,$H805-$G805),0))</f>
        <v/>
      </c>
    </row>
    <row r="806">
      <c r="A806" s="30" t="n"/>
      <c r="B806" s="30" t="n"/>
      <c r="C806" s="30" t="n"/>
      <c r="D806" s="30" t="n"/>
      <c r="E806" s="30" t="n"/>
      <c r="F806" s="30" t="n"/>
      <c r="G806" s="30" t="n"/>
      <c r="H806" s="31">
        <f>IF($A806="","",IFERROR(ROUND($C806*INDEX(tblKurallar[deger_2025],MATCH("TBO-001",tblKurallar[kural_id],0))+$D806*INDEX(tblKurallar[deger_2025],MATCH("TBO-002",tblKurallar[kural_id],0))+$E806*INDEX(tblKurallar[deger_2025],MATCH("TBO-004",tblKurallar[kural_id],0))+$F806*tbo_isverenOran,2),0))</f>
        <v/>
      </c>
      <c r="I806" s="31">
        <f>IF($A806="","",IFERROR(MAX(0,$H806-$G806),0))</f>
        <v/>
      </c>
    </row>
    <row r="807">
      <c r="A807" s="30" t="n"/>
      <c r="B807" s="30" t="n"/>
      <c r="C807" s="30" t="n"/>
      <c r="D807" s="30" t="n"/>
      <c r="E807" s="30" t="n"/>
      <c r="F807" s="30" t="n"/>
      <c r="G807" s="30" t="n"/>
      <c r="H807" s="31">
        <f>IF($A807="","",IFERROR(ROUND($C807*INDEX(tblKurallar[deger_2025],MATCH("TBO-001",tblKurallar[kural_id],0))+$D807*INDEX(tblKurallar[deger_2025],MATCH("TBO-002",tblKurallar[kural_id],0))+$E807*INDEX(tblKurallar[deger_2025],MATCH("TBO-004",tblKurallar[kural_id],0))+$F807*tbo_isverenOran,2),0))</f>
        <v/>
      </c>
      <c r="I807" s="31">
        <f>IF($A807="","",IFERROR(MAX(0,$H807-$G807),0))</f>
        <v/>
      </c>
    </row>
    <row r="808">
      <c r="A808" s="30" t="n"/>
      <c r="B808" s="30" t="n"/>
      <c r="C808" s="30" t="n"/>
      <c r="D808" s="30" t="n"/>
      <c r="E808" s="30" t="n"/>
      <c r="F808" s="30" t="n"/>
      <c r="G808" s="30" t="n"/>
      <c r="H808" s="31">
        <f>IF($A808="","",IFERROR(ROUND($C808*INDEX(tblKurallar[deger_2025],MATCH("TBO-001",tblKurallar[kural_id],0))+$D808*INDEX(tblKurallar[deger_2025],MATCH("TBO-002",tblKurallar[kural_id],0))+$E808*INDEX(tblKurallar[deger_2025],MATCH("TBO-004",tblKurallar[kural_id],0))+$F808*tbo_isverenOran,2),0))</f>
        <v/>
      </c>
      <c r="I808" s="31">
        <f>IF($A808="","",IFERROR(MAX(0,$H808-$G808),0))</f>
        <v/>
      </c>
    </row>
    <row r="809">
      <c r="A809" s="30" t="n"/>
      <c r="B809" s="30" t="n"/>
      <c r="C809" s="30" t="n"/>
      <c r="D809" s="30" t="n"/>
      <c r="E809" s="30" t="n"/>
      <c r="F809" s="30" t="n"/>
      <c r="G809" s="30" t="n"/>
      <c r="H809" s="31">
        <f>IF($A809="","",IFERROR(ROUND($C809*INDEX(tblKurallar[deger_2025],MATCH("TBO-001",tblKurallar[kural_id],0))+$D809*INDEX(tblKurallar[deger_2025],MATCH("TBO-002",tblKurallar[kural_id],0))+$E809*INDEX(tblKurallar[deger_2025],MATCH("TBO-004",tblKurallar[kural_id],0))+$F809*tbo_isverenOran,2),0))</f>
        <v/>
      </c>
      <c r="I809" s="31">
        <f>IF($A809="","",IFERROR(MAX(0,$H809-$G809),0))</f>
        <v/>
      </c>
    </row>
    <row r="810">
      <c r="A810" s="30" t="n"/>
      <c r="B810" s="30" t="n"/>
      <c r="C810" s="30" t="n"/>
      <c r="D810" s="30" t="n"/>
      <c r="E810" s="30" t="n"/>
      <c r="F810" s="30" t="n"/>
      <c r="G810" s="30" t="n"/>
      <c r="H810" s="31">
        <f>IF($A810="","",IFERROR(ROUND($C810*INDEX(tblKurallar[deger_2025],MATCH("TBO-001",tblKurallar[kural_id],0))+$D810*INDEX(tblKurallar[deger_2025],MATCH("TBO-002",tblKurallar[kural_id],0))+$E810*INDEX(tblKurallar[deger_2025],MATCH("TBO-004",tblKurallar[kural_id],0))+$F810*tbo_isverenOran,2),0))</f>
        <v/>
      </c>
      <c r="I810" s="31">
        <f>IF($A810="","",IFERROR(MAX(0,$H810-$G810),0))</f>
        <v/>
      </c>
    </row>
    <row r="811">
      <c r="A811" s="30" t="n"/>
      <c r="B811" s="30" t="n"/>
      <c r="C811" s="30" t="n"/>
      <c r="D811" s="30" t="n"/>
      <c r="E811" s="30" t="n"/>
      <c r="F811" s="30" t="n"/>
      <c r="G811" s="30" t="n"/>
      <c r="H811" s="31">
        <f>IF($A811="","",IFERROR(ROUND($C811*INDEX(tblKurallar[deger_2025],MATCH("TBO-001",tblKurallar[kural_id],0))+$D811*INDEX(tblKurallar[deger_2025],MATCH("TBO-002",tblKurallar[kural_id],0))+$E811*INDEX(tblKurallar[deger_2025],MATCH("TBO-004",tblKurallar[kural_id],0))+$F811*tbo_isverenOran,2),0))</f>
        <v/>
      </c>
      <c r="I811" s="31">
        <f>IF($A811="","",IFERROR(MAX(0,$H811-$G811),0))</f>
        <v/>
      </c>
    </row>
    <row r="812">
      <c r="A812" s="30" t="n"/>
      <c r="B812" s="30" t="n"/>
      <c r="C812" s="30" t="n"/>
      <c r="D812" s="30" t="n"/>
      <c r="E812" s="30" t="n"/>
      <c r="F812" s="30" t="n"/>
      <c r="G812" s="30" t="n"/>
      <c r="H812" s="31">
        <f>IF($A812="","",IFERROR(ROUND($C812*INDEX(tblKurallar[deger_2025],MATCH("TBO-001",tblKurallar[kural_id],0))+$D812*INDEX(tblKurallar[deger_2025],MATCH("TBO-002",tblKurallar[kural_id],0))+$E812*INDEX(tblKurallar[deger_2025],MATCH("TBO-004",tblKurallar[kural_id],0))+$F812*tbo_isverenOran,2),0))</f>
        <v/>
      </c>
      <c r="I812" s="31">
        <f>IF($A812="","",IFERROR(MAX(0,$H812-$G812),0))</f>
        <v/>
      </c>
    </row>
    <row r="813">
      <c r="A813" s="30" t="n"/>
      <c r="B813" s="30" t="n"/>
      <c r="C813" s="30" t="n"/>
      <c r="D813" s="30" t="n"/>
      <c r="E813" s="30" t="n"/>
      <c r="F813" s="30" t="n"/>
      <c r="G813" s="30" t="n"/>
      <c r="H813" s="31">
        <f>IF($A813="","",IFERROR(ROUND($C813*INDEX(tblKurallar[deger_2025],MATCH("TBO-001",tblKurallar[kural_id],0))+$D813*INDEX(tblKurallar[deger_2025],MATCH("TBO-002",tblKurallar[kural_id],0))+$E813*INDEX(tblKurallar[deger_2025],MATCH("TBO-004",tblKurallar[kural_id],0))+$F813*tbo_isverenOran,2),0))</f>
        <v/>
      </c>
      <c r="I813" s="31">
        <f>IF($A813="","",IFERROR(MAX(0,$H813-$G813),0))</f>
        <v/>
      </c>
    </row>
    <row r="814">
      <c r="A814" s="30" t="n"/>
      <c r="B814" s="30" t="n"/>
      <c r="C814" s="30" t="n"/>
      <c r="D814" s="30" t="n"/>
      <c r="E814" s="30" t="n"/>
      <c r="F814" s="30" t="n"/>
      <c r="G814" s="30" t="n"/>
      <c r="H814" s="31">
        <f>IF($A814="","",IFERROR(ROUND($C814*INDEX(tblKurallar[deger_2025],MATCH("TBO-001",tblKurallar[kural_id],0))+$D814*INDEX(tblKurallar[deger_2025],MATCH("TBO-002",tblKurallar[kural_id],0))+$E814*INDEX(tblKurallar[deger_2025],MATCH("TBO-004",tblKurallar[kural_id],0))+$F814*tbo_isverenOran,2),0))</f>
        <v/>
      </c>
      <c r="I814" s="31">
        <f>IF($A814="","",IFERROR(MAX(0,$H814-$G814),0))</f>
        <v/>
      </c>
    </row>
    <row r="815">
      <c r="A815" s="30" t="n"/>
      <c r="B815" s="30" t="n"/>
      <c r="C815" s="30" t="n"/>
      <c r="D815" s="30" t="n"/>
      <c r="E815" s="30" t="n"/>
      <c r="F815" s="30" t="n"/>
      <c r="G815" s="30" t="n"/>
      <c r="H815" s="31">
        <f>IF($A815="","",IFERROR(ROUND($C815*INDEX(tblKurallar[deger_2025],MATCH("TBO-001",tblKurallar[kural_id],0))+$D815*INDEX(tblKurallar[deger_2025],MATCH("TBO-002",tblKurallar[kural_id],0))+$E815*INDEX(tblKurallar[deger_2025],MATCH("TBO-004",tblKurallar[kural_id],0))+$F815*tbo_isverenOran,2),0))</f>
        <v/>
      </c>
      <c r="I815" s="31">
        <f>IF($A815="","",IFERROR(MAX(0,$H815-$G815),0))</f>
        <v/>
      </c>
    </row>
    <row r="816">
      <c r="A816" s="30" t="n"/>
      <c r="B816" s="30" t="n"/>
      <c r="C816" s="30" t="n"/>
      <c r="D816" s="30" t="n"/>
      <c r="E816" s="30" t="n"/>
      <c r="F816" s="30" t="n"/>
      <c r="G816" s="30" t="n"/>
      <c r="H816" s="31">
        <f>IF($A816="","",IFERROR(ROUND($C816*INDEX(tblKurallar[deger_2025],MATCH("TBO-001",tblKurallar[kural_id],0))+$D816*INDEX(tblKurallar[deger_2025],MATCH("TBO-002",tblKurallar[kural_id],0))+$E816*INDEX(tblKurallar[deger_2025],MATCH("TBO-004",tblKurallar[kural_id],0))+$F816*tbo_isverenOran,2),0))</f>
        <v/>
      </c>
      <c r="I816" s="31">
        <f>IF($A816="","",IFERROR(MAX(0,$H816-$G816),0))</f>
        <v/>
      </c>
    </row>
    <row r="817">
      <c r="A817" s="30" t="n"/>
      <c r="B817" s="30" t="n"/>
      <c r="C817" s="30" t="n"/>
      <c r="D817" s="30" t="n"/>
      <c r="E817" s="30" t="n"/>
      <c r="F817" s="30" t="n"/>
      <c r="G817" s="30" t="n"/>
      <c r="H817" s="31">
        <f>IF($A817="","",IFERROR(ROUND($C817*INDEX(tblKurallar[deger_2025],MATCH("TBO-001",tblKurallar[kural_id],0))+$D817*INDEX(tblKurallar[deger_2025],MATCH("TBO-002",tblKurallar[kural_id],0))+$E817*INDEX(tblKurallar[deger_2025],MATCH("TBO-004",tblKurallar[kural_id],0))+$F817*tbo_isverenOran,2),0))</f>
        <v/>
      </c>
      <c r="I817" s="31">
        <f>IF($A817="","",IFERROR(MAX(0,$H817-$G817),0))</f>
        <v/>
      </c>
    </row>
    <row r="818">
      <c r="A818" s="30" t="n"/>
      <c r="B818" s="30" t="n"/>
      <c r="C818" s="30" t="n"/>
      <c r="D818" s="30" t="n"/>
      <c r="E818" s="30" t="n"/>
      <c r="F818" s="30" t="n"/>
      <c r="G818" s="30" t="n"/>
      <c r="H818" s="31">
        <f>IF($A818="","",IFERROR(ROUND($C818*INDEX(tblKurallar[deger_2025],MATCH("TBO-001",tblKurallar[kural_id],0))+$D818*INDEX(tblKurallar[deger_2025],MATCH("TBO-002",tblKurallar[kural_id],0))+$E818*INDEX(tblKurallar[deger_2025],MATCH("TBO-004",tblKurallar[kural_id],0))+$F818*tbo_isverenOran,2),0))</f>
        <v/>
      </c>
      <c r="I818" s="31">
        <f>IF($A818="","",IFERROR(MAX(0,$H818-$G818),0))</f>
        <v/>
      </c>
    </row>
    <row r="819">
      <c r="A819" s="30" t="n"/>
      <c r="B819" s="30" t="n"/>
      <c r="C819" s="30" t="n"/>
      <c r="D819" s="30" t="n"/>
      <c r="E819" s="30" t="n"/>
      <c r="F819" s="30" t="n"/>
      <c r="G819" s="30" t="n"/>
      <c r="H819" s="31">
        <f>IF($A819="","",IFERROR(ROUND($C819*INDEX(tblKurallar[deger_2025],MATCH("TBO-001",tblKurallar[kural_id],0))+$D819*INDEX(tblKurallar[deger_2025],MATCH("TBO-002",tblKurallar[kural_id],0))+$E819*INDEX(tblKurallar[deger_2025],MATCH("TBO-004",tblKurallar[kural_id],0))+$F819*tbo_isverenOran,2),0))</f>
        <v/>
      </c>
      <c r="I819" s="31">
        <f>IF($A819="","",IFERROR(MAX(0,$H819-$G819),0))</f>
        <v/>
      </c>
    </row>
    <row r="820">
      <c r="A820" s="30" t="n"/>
      <c r="B820" s="30" t="n"/>
      <c r="C820" s="30" t="n"/>
      <c r="D820" s="30" t="n"/>
      <c r="E820" s="30" t="n"/>
      <c r="F820" s="30" t="n"/>
      <c r="G820" s="30" t="n"/>
      <c r="H820" s="31">
        <f>IF($A820="","",IFERROR(ROUND($C820*INDEX(tblKurallar[deger_2025],MATCH("TBO-001",tblKurallar[kural_id],0))+$D820*INDEX(tblKurallar[deger_2025],MATCH("TBO-002",tblKurallar[kural_id],0))+$E820*INDEX(tblKurallar[deger_2025],MATCH("TBO-004",tblKurallar[kural_id],0))+$F820*tbo_isverenOran,2),0))</f>
        <v/>
      </c>
      <c r="I820" s="31">
        <f>IF($A820="","",IFERROR(MAX(0,$H820-$G820),0))</f>
        <v/>
      </c>
    </row>
    <row r="821">
      <c r="A821" s="30" t="n"/>
      <c r="B821" s="30" t="n"/>
      <c r="C821" s="30" t="n"/>
      <c r="D821" s="30" t="n"/>
      <c r="E821" s="30" t="n"/>
      <c r="F821" s="30" t="n"/>
      <c r="G821" s="30" t="n"/>
      <c r="H821" s="31">
        <f>IF($A821="","",IFERROR(ROUND($C821*INDEX(tblKurallar[deger_2025],MATCH("TBO-001",tblKurallar[kural_id],0))+$D821*INDEX(tblKurallar[deger_2025],MATCH("TBO-002",tblKurallar[kural_id],0))+$E821*INDEX(tblKurallar[deger_2025],MATCH("TBO-004",tblKurallar[kural_id],0))+$F821*tbo_isverenOran,2),0))</f>
        <v/>
      </c>
      <c r="I821" s="31">
        <f>IF($A821="","",IFERROR(MAX(0,$H821-$G821),0))</f>
        <v/>
      </c>
    </row>
    <row r="822">
      <c r="A822" s="30" t="n"/>
      <c r="B822" s="30" t="n"/>
      <c r="C822" s="30" t="n"/>
      <c r="D822" s="30" t="n"/>
      <c r="E822" s="30" t="n"/>
      <c r="F822" s="30" t="n"/>
      <c r="G822" s="30" t="n"/>
      <c r="H822" s="31">
        <f>IF($A822="","",IFERROR(ROUND($C822*INDEX(tblKurallar[deger_2025],MATCH("TBO-001",tblKurallar[kural_id],0))+$D822*INDEX(tblKurallar[deger_2025],MATCH("TBO-002",tblKurallar[kural_id],0))+$E822*INDEX(tblKurallar[deger_2025],MATCH("TBO-004",tblKurallar[kural_id],0))+$F822*tbo_isverenOran,2),0))</f>
        <v/>
      </c>
      <c r="I822" s="31">
        <f>IF($A822="","",IFERROR(MAX(0,$H822-$G822),0))</f>
        <v/>
      </c>
    </row>
    <row r="823">
      <c r="A823" s="30" t="n"/>
      <c r="B823" s="30" t="n"/>
      <c r="C823" s="30" t="n"/>
      <c r="D823" s="30" t="n"/>
      <c r="E823" s="30" t="n"/>
      <c r="F823" s="30" t="n"/>
      <c r="G823" s="30" t="n"/>
      <c r="H823" s="31">
        <f>IF($A823="","",IFERROR(ROUND($C823*INDEX(tblKurallar[deger_2025],MATCH("TBO-001",tblKurallar[kural_id],0))+$D823*INDEX(tblKurallar[deger_2025],MATCH("TBO-002",tblKurallar[kural_id],0))+$E823*INDEX(tblKurallar[deger_2025],MATCH("TBO-004",tblKurallar[kural_id],0))+$F823*tbo_isverenOran,2),0))</f>
        <v/>
      </c>
      <c r="I823" s="31">
        <f>IF($A823="","",IFERROR(MAX(0,$H823-$G823),0))</f>
        <v/>
      </c>
    </row>
    <row r="824">
      <c r="A824" s="30" t="n"/>
      <c r="B824" s="30" t="n"/>
      <c r="C824" s="30" t="n"/>
      <c r="D824" s="30" t="n"/>
      <c r="E824" s="30" t="n"/>
      <c r="F824" s="30" t="n"/>
      <c r="G824" s="30" t="n"/>
      <c r="H824" s="31">
        <f>IF($A824="","",IFERROR(ROUND($C824*INDEX(tblKurallar[deger_2025],MATCH("TBO-001",tblKurallar[kural_id],0))+$D824*INDEX(tblKurallar[deger_2025],MATCH("TBO-002",tblKurallar[kural_id],0))+$E824*INDEX(tblKurallar[deger_2025],MATCH("TBO-004",tblKurallar[kural_id],0))+$F824*tbo_isverenOran,2),0))</f>
        <v/>
      </c>
      <c r="I824" s="31">
        <f>IF($A824="","",IFERROR(MAX(0,$H824-$G824),0))</f>
        <v/>
      </c>
    </row>
    <row r="825">
      <c r="A825" s="30" t="n"/>
      <c r="B825" s="30" t="n"/>
      <c r="C825" s="30" t="n"/>
      <c r="D825" s="30" t="n"/>
      <c r="E825" s="30" t="n"/>
      <c r="F825" s="30" t="n"/>
      <c r="G825" s="30" t="n"/>
      <c r="H825" s="31">
        <f>IF($A825="","",IFERROR(ROUND($C825*INDEX(tblKurallar[deger_2025],MATCH("TBO-001",tblKurallar[kural_id],0))+$D825*INDEX(tblKurallar[deger_2025],MATCH("TBO-002",tblKurallar[kural_id],0))+$E825*INDEX(tblKurallar[deger_2025],MATCH("TBO-004",tblKurallar[kural_id],0))+$F825*tbo_isverenOran,2),0))</f>
        <v/>
      </c>
      <c r="I825" s="31">
        <f>IF($A825="","",IFERROR(MAX(0,$H825-$G825),0))</f>
        <v/>
      </c>
    </row>
    <row r="826">
      <c r="A826" s="30" t="n"/>
      <c r="B826" s="30" t="n"/>
      <c r="C826" s="30" t="n"/>
      <c r="D826" s="30" t="n"/>
      <c r="E826" s="30" t="n"/>
      <c r="F826" s="30" t="n"/>
      <c r="G826" s="30" t="n"/>
      <c r="H826" s="31">
        <f>IF($A826="","",IFERROR(ROUND($C826*INDEX(tblKurallar[deger_2025],MATCH("TBO-001",tblKurallar[kural_id],0))+$D826*INDEX(tblKurallar[deger_2025],MATCH("TBO-002",tblKurallar[kural_id],0))+$E826*INDEX(tblKurallar[deger_2025],MATCH("TBO-004",tblKurallar[kural_id],0))+$F826*tbo_isverenOran,2),0))</f>
        <v/>
      </c>
      <c r="I826" s="31">
        <f>IF($A826="","",IFERROR(MAX(0,$H826-$G826),0))</f>
        <v/>
      </c>
    </row>
    <row r="827">
      <c r="A827" s="30" t="n"/>
      <c r="B827" s="30" t="n"/>
      <c r="C827" s="30" t="n"/>
      <c r="D827" s="30" t="n"/>
      <c r="E827" s="30" t="n"/>
      <c r="F827" s="30" t="n"/>
      <c r="G827" s="30" t="n"/>
      <c r="H827" s="31">
        <f>IF($A827="","",IFERROR(ROUND($C827*INDEX(tblKurallar[deger_2025],MATCH("TBO-001",tblKurallar[kural_id],0))+$D827*INDEX(tblKurallar[deger_2025],MATCH("TBO-002",tblKurallar[kural_id],0))+$E827*INDEX(tblKurallar[deger_2025],MATCH("TBO-004",tblKurallar[kural_id],0))+$F827*tbo_isverenOran,2),0))</f>
        <v/>
      </c>
      <c r="I827" s="31">
        <f>IF($A827="","",IFERROR(MAX(0,$H827-$G827),0))</f>
        <v/>
      </c>
    </row>
    <row r="828">
      <c r="A828" s="30" t="n"/>
      <c r="B828" s="30" t="n"/>
      <c r="C828" s="30" t="n"/>
      <c r="D828" s="30" t="n"/>
      <c r="E828" s="30" t="n"/>
      <c r="F828" s="30" t="n"/>
      <c r="G828" s="30" t="n"/>
      <c r="H828" s="31">
        <f>IF($A828="","",IFERROR(ROUND($C828*INDEX(tblKurallar[deger_2025],MATCH("TBO-001",tblKurallar[kural_id],0))+$D828*INDEX(tblKurallar[deger_2025],MATCH("TBO-002",tblKurallar[kural_id],0))+$E828*INDEX(tblKurallar[deger_2025],MATCH("TBO-004",tblKurallar[kural_id],0))+$F828*tbo_isverenOran,2),0))</f>
        <v/>
      </c>
      <c r="I828" s="31">
        <f>IF($A828="","",IFERROR(MAX(0,$H828-$G828),0))</f>
        <v/>
      </c>
    </row>
    <row r="829">
      <c r="A829" s="30" t="n"/>
      <c r="B829" s="30" t="n"/>
      <c r="C829" s="30" t="n"/>
      <c r="D829" s="30" t="n"/>
      <c r="E829" s="30" t="n"/>
      <c r="F829" s="30" t="n"/>
      <c r="G829" s="30" t="n"/>
      <c r="H829" s="31">
        <f>IF($A829="","",IFERROR(ROUND($C829*INDEX(tblKurallar[deger_2025],MATCH("TBO-001",tblKurallar[kural_id],0))+$D829*INDEX(tblKurallar[deger_2025],MATCH("TBO-002",tblKurallar[kural_id],0))+$E829*INDEX(tblKurallar[deger_2025],MATCH("TBO-004",tblKurallar[kural_id],0))+$F829*tbo_isverenOran,2),0))</f>
        <v/>
      </c>
      <c r="I829" s="31">
        <f>IF($A829="","",IFERROR(MAX(0,$H829-$G829),0))</f>
        <v/>
      </c>
    </row>
    <row r="830">
      <c r="A830" s="30" t="n"/>
      <c r="B830" s="30" t="n"/>
      <c r="C830" s="30" t="n"/>
      <c r="D830" s="30" t="n"/>
      <c r="E830" s="30" t="n"/>
      <c r="F830" s="30" t="n"/>
      <c r="G830" s="30" t="n"/>
      <c r="H830" s="31">
        <f>IF($A830="","",IFERROR(ROUND($C830*INDEX(tblKurallar[deger_2025],MATCH("TBO-001",tblKurallar[kural_id],0))+$D830*INDEX(tblKurallar[deger_2025],MATCH("TBO-002",tblKurallar[kural_id],0))+$E830*INDEX(tblKurallar[deger_2025],MATCH("TBO-004",tblKurallar[kural_id],0))+$F830*tbo_isverenOran,2),0))</f>
        <v/>
      </c>
      <c r="I830" s="31">
        <f>IF($A830="","",IFERROR(MAX(0,$H830-$G830),0))</f>
        <v/>
      </c>
    </row>
    <row r="831">
      <c r="A831" s="30" t="n"/>
      <c r="B831" s="30" t="n"/>
      <c r="C831" s="30" t="n"/>
      <c r="D831" s="30" t="n"/>
      <c r="E831" s="30" t="n"/>
      <c r="F831" s="30" t="n"/>
      <c r="G831" s="30" t="n"/>
      <c r="H831" s="31">
        <f>IF($A831="","",IFERROR(ROUND($C831*INDEX(tblKurallar[deger_2025],MATCH("TBO-001",tblKurallar[kural_id],0))+$D831*INDEX(tblKurallar[deger_2025],MATCH("TBO-002",tblKurallar[kural_id],0))+$E831*INDEX(tblKurallar[deger_2025],MATCH("TBO-004",tblKurallar[kural_id],0))+$F831*tbo_isverenOran,2),0))</f>
        <v/>
      </c>
      <c r="I831" s="31">
        <f>IF($A831="","",IFERROR(MAX(0,$H831-$G831),0))</f>
        <v/>
      </c>
    </row>
    <row r="832">
      <c r="A832" s="30" t="n"/>
      <c r="B832" s="30" t="n"/>
      <c r="C832" s="30" t="n"/>
      <c r="D832" s="30" t="n"/>
      <c r="E832" s="30" t="n"/>
      <c r="F832" s="30" t="n"/>
      <c r="G832" s="30" t="n"/>
      <c r="H832" s="31">
        <f>IF($A832="","",IFERROR(ROUND($C832*INDEX(tblKurallar[deger_2025],MATCH("TBO-001",tblKurallar[kural_id],0))+$D832*INDEX(tblKurallar[deger_2025],MATCH("TBO-002",tblKurallar[kural_id],0))+$E832*INDEX(tblKurallar[deger_2025],MATCH("TBO-004",tblKurallar[kural_id],0))+$F832*tbo_isverenOran,2),0))</f>
        <v/>
      </c>
      <c r="I832" s="31">
        <f>IF($A832="","",IFERROR(MAX(0,$H832-$G832),0))</f>
        <v/>
      </c>
    </row>
    <row r="833">
      <c r="A833" s="30" t="n"/>
      <c r="B833" s="30" t="n"/>
      <c r="C833" s="30" t="n"/>
      <c r="D833" s="30" t="n"/>
      <c r="E833" s="30" t="n"/>
      <c r="F833" s="30" t="n"/>
      <c r="G833" s="30" t="n"/>
      <c r="H833" s="31">
        <f>IF($A833="","",IFERROR(ROUND($C833*INDEX(tblKurallar[deger_2025],MATCH("TBO-001",tblKurallar[kural_id],0))+$D833*INDEX(tblKurallar[deger_2025],MATCH("TBO-002",tblKurallar[kural_id],0))+$E833*INDEX(tblKurallar[deger_2025],MATCH("TBO-004",tblKurallar[kural_id],0))+$F833*tbo_isverenOran,2),0))</f>
        <v/>
      </c>
      <c r="I833" s="31">
        <f>IF($A833="","",IFERROR(MAX(0,$H833-$G833),0))</f>
        <v/>
      </c>
    </row>
    <row r="834">
      <c r="A834" s="30" t="n"/>
      <c r="B834" s="30" t="n"/>
      <c r="C834" s="30" t="n"/>
      <c r="D834" s="30" t="n"/>
      <c r="E834" s="30" t="n"/>
      <c r="F834" s="30" t="n"/>
      <c r="G834" s="30" t="n"/>
      <c r="H834" s="31">
        <f>IF($A834="","",IFERROR(ROUND($C834*INDEX(tblKurallar[deger_2025],MATCH("TBO-001",tblKurallar[kural_id],0))+$D834*INDEX(tblKurallar[deger_2025],MATCH("TBO-002",tblKurallar[kural_id],0))+$E834*INDEX(tblKurallar[deger_2025],MATCH("TBO-004",tblKurallar[kural_id],0))+$F834*tbo_isverenOran,2),0))</f>
        <v/>
      </c>
      <c r="I834" s="31">
        <f>IF($A834="","",IFERROR(MAX(0,$H834-$G834),0))</f>
        <v/>
      </c>
    </row>
    <row r="835">
      <c r="A835" s="30" t="n"/>
      <c r="B835" s="30" t="n"/>
      <c r="C835" s="30" t="n"/>
      <c r="D835" s="30" t="n"/>
      <c r="E835" s="30" t="n"/>
      <c r="F835" s="30" t="n"/>
      <c r="G835" s="30" t="n"/>
      <c r="H835" s="31">
        <f>IF($A835="","",IFERROR(ROUND($C835*INDEX(tblKurallar[deger_2025],MATCH("TBO-001",tblKurallar[kural_id],0))+$D835*INDEX(tblKurallar[deger_2025],MATCH("TBO-002",tblKurallar[kural_id],0))+$E835*INDEX(tblKurallar[deger_2025],MATCH("TBO-004",tblKurallar[kural_id],0))+$F835*tbo_isverenOran,2),0))</f>
        <v/>
      </c>
      <c r="I835" s="31">
        <f>IF($A835="","",IFERROR(MAX(0,$H835-$G835),0))</f>
        <v/>
      </c>
    </row>
    <row r="836">
      <c r="A836" s="30" t="n"/>
      <c r="B836" s="30" t="n"/>
      <c r="C836" s="30" t="n"/>
      <c r="D836" s="30" t="n"/>
      <c r="E836" s="30" t="n"/>
      <c r="F836" s="30" t="n"/>
      <c r="G836" s="30" t="n"/>
      <c r="H836" s="31">
        <f>IF($A836="","",IFERROR(ROUND($C836*INDEX(tblKurallar[deger_2025],MATCH("TBO-001",tblKurallar[kural_id],0))+$D836*INDEX(tblKurallar[deger_2025],MATCH("TBO-002",tblKurallar[kural_id],0))+$E836*INDEX(tblKurallar[deger_2025],MATCH("TBO-004",tblKurallar[kural_id],0))+$F836*tbo_isverenOran,2),0))</f>
        <v/>
      </c>
      <c r="I836" s="31">
        <f>IF($A836="","",IFERROR(MAX(0,$H836-$G836),0))</f>
        <v/>
      </c>
    </row>
    <row r="837">
      <c r="A837" s="30" t="n"/>
      <c r="B837" s="30" t="n"/>
      <c r="C837" s="30" t="n"/>
      <c r="D837" s="30" t="n"/>
      <c r="E837" s="30" t="n"/>
      <c r="F837" s="30" t="n"/>
      <c r="G837" s="30" t="n"/>
      <c r="H837" s="31">
        <f>IF($A837="","",IFERROR(ROUND($C837*INDEX(tblKurallar[deger_2025],MATCH("TBO-001",tblKurallar[kural_id],0))+$D837*INDEX(tblKurallar[deger_2025],MATCH("TBO-002",tblKurallar[kural_id],0))+$E837*INDEX(tblKurallar[deger_2025],MATCH("TBO-004",tblKurallar[kural_id],0))+$F837*tbo_isverenOran,2),0))</f>
        <v/>
      </c>
      <c r="I837" s="31">
        <f>IF($A837="","",IFERROR(MAX(0,$H837-$G837),0))</f>
        <v/>
      </c>
    </row>
    <row r="838">
      <c r="A838" s="30" t="n"/>
      <c r="B838" s="30" t="n"/>
      <c r="C838" s="30" t="n"/>
      <c r="D838" s="30" t="n"/>
      <c r="E838" s="30" t="n"/>
      <c r="F838" s="30" t="n"/>
      <c r="G838" s="30" t="n"/>
      <c r="H838" s="31">
        <f>IF($A838="","",IFERROR(ROUND($C838*INDEX(tblKurallar[deger_2025],MATCH("TBO-001",tblKurallar[kural_id],0))+$D838*INDEX(tblKurallar[deger_2025],MATCH("TBO-002",tblKurallar[kural_id],0))+$E838*INDEX(tblKurallar[deger_2025],MATCH("TBO-004",tblKurallar[kural_id],0))+$F838*tbo_isverenOran,2),0))</f>
        <v/>
      </c>
      <c r="I838" s="31">
        <f>IF($A838="","",IFERROR(MAX(0,$H838-$G838),0))</f>
        <v/>
      </c>
    </row>
    <row r="839">
      <c r="A839" s="30" t="n"/>
      <c r="B839" s="30" t="n"/>
      <c r="C839" s="30" t="n"/>
      <c r="D839" s="30" t="n"/>
      <c r="E839" s="30" t="n"/>
      <c r="F839" s="30" t="n"/>
      <c r="G839" s="30" t="n"/>
      <c r="H839" s="31">
        <f>IF($A839="","",IFERROR(ROUND($C839*INDEX(tblKurallar[deger_2025],MATCH("TBO-001",tblKurallar[kural_id],0))+$D839*INDEX(tblKurallar[deger_2025],MATCH("TBO-002",tblKurallar[kural_id],0))+$E839*INDEX(tblKurallar[deger_2025],MATCH("TBO-004",tblKurallar[kural_id],0))+$F839*tbo_isverenOran,2),0))</f>
        <v/>
      </c>
      <c r="I839" s="31">
        <f>IF($A839="","",IFERROR(MAX(0,$H839-$G839),0))</f>
        <v/>
      </c>
    </row>
    <row r="840">
      <c r="A840" s="30" t="n"/>
      <c r="B840" s="30" t="n"/>
      <c r="C840" s="30" t="n"/>
      <c r="D840" s="30" t="n"/>
      <c r="E840" s="30" t="n"/>
      <c r="F840" s="30" t="n"/>
      <c r="G840" s="30" t="n"/>
      <c r="H840" s="31">
        <f>IF($A840="","",IFERROR(ROUND($C840*INDEX(tblKurallar[deger_2025],MATCH("TBO-001",tblKurallar[kural_id],0))+$D840*INDEX(tblKurallar[deger_2025],MATCH("TBO-002",tblKurallar[kural_id],0))+$E840*INDEX(tblKurallar[deger_2025],MATCH("TBO-004",tblKurallar[kural_id],0))+$F840*tbo_isverenOran,2),0))</f>
        <v/>
      </c>
      <c r="I840" s="31">
        <f>IF($A840="","",IFERROR(MAX(0,$H840-$G840),0))</f>
        <v/>
      </c>
    </row>
    <row r="841">
      <c r="A841" s="30" t="n"/>
      <c r="B841" s="30" t="n"/>
      <c r="C841" s="30" t="n"/>
      <c r="D841" s="30" t="n"/>
      <c r="E841" s="30" t="n"/>
      <c r="F841" s="30" t="n"/>
      <c r="G841" s="30" t="n"/>
      <c r="H841" s="31">
        <f>IF($A841="","",IFERROR(ROUND($C841*INDEX(tblKurallar[deger_2025],MATCH("TBO-001",tblKurallar[kural_id],0))+$D841*INDEX(tblKurallar[deger_2025],MATCH("TBO-002",tblKurallar[kural_id],0))+$E841*INDEX(tblKurallar[deger_2025],MATCH("TBO-004",tblKurallar[kural_id],0))+$F841*tbo_isverenOran,2),0))</f>
        <v/>
      </c>
      <c r="I841" s="31">
        <f>IF($A841="","",IFERROR(MAX(0,$H841-$G841),0))</f>
        <v/>
      </c>
    </row>
    <row r="842">
      <c r="A842" s="30" t="n"/>
      <c r="B842" s="30" t="n"/>
      <c r="C842" s="30" t="n"/>
      <c r="D842" s="30" t="n"/>
      <c r="E842" s="30" t="n"/>
      <c r="F842" s="30" t="n"/>
      <c r="G842" s="30" t="n"/>
      <c r="H842" s="31">
        <f>IF($A842="","",IFERROR(ROUND($C842*INDEX(tblKurallar[deger_2025],MATCH("TBO-001",tblKurallar[kural_id],0))+$D842*INDEX(tblKurallar[deger_2025],MATCH("TBO-002",tblKurallar[kural_id],0))+$E842*INDEX(tblKurallar[deger_2025],MATCH("TBO-004",tblKurallar[kural_id],0))+$F842*tbo_isverenOran,2),0))</f>
        <v/>
      </c>
      <c r="I842" s="31">
        <f>IF($A842="","",IFERROR(MAX(0,$H842-$G842),0))</f>
        <v/>
      </c>
    </row>
    <row r="843">
      <c r="A843" s="30" t="n"/>
      <c r="B843" s="30" t="n"/>
      <c r="C843" s="30" t="n"/>
      <c r="D843" s="30" t="n"/>
      <c r="E843" s="30" t="n"/>
      <c r="F843" s="30" t="n"/>
      <c r="G843" s="30" t="n"/>
      <c r="H843" s="31">
        <f>IF($A843="","",IFERROR(ROUND($C843*INDEX(tblKurallar[deger_2025],MATCH("TBO-001",tblKurallar[kural_id],0))+$D843*INDEX(tblKurallar[deger_2025],MATCH("TBO-002",tblKurallar[kural_id],0))+$E843*INDEX(tblKurallar[deger_2025],MATCH("TBO-004",tblKurallar[kural_id],0))+$F843*tbo_isverenOran,2),0))</f>
        <v/>
      </c>
      <c r="I843" s="31">
        <f>IF($A843="","",IFERROR(MAX(0,$H843-$G843),0))</f>
        <v/>
      </c>
    </row>
    <row r="844">
      <c r="A844" s="30" t="n"/>
      <c r="B844" s="30" t="n"/>
      <c r="C844" s="30" t="n"/>
      <c r="D844" s="30" t="n"/>
      <c r="E844" s="30" t="n"/>
      <c r="F844" s="30" t="n"/>
      <c r="G844" s="30" t="n"/>
      <c r="H844" s="31">
        <f>IF($A844="","",IFERROR(ROUND($C844*INDEX(tblKurallar[deger_2025],MATCH("TBO-001",tblKurallar[kural_id],0))+$D844*INDEX(tblKurallar[deger_2025],MATCH("TBO-002",tblKurallar[kural_id],0))+$E844*INDEX(tblKurallar[deger_2025],MATCH("TBO-004",tblKurallar[kural_id],0))+$F844*tbo_isverenOran,2),0))</f>
        <v/>
      </c>
      <c r="I844" s="31">
        <f>IF($A844="","",IFERROR(MAX(0,$H844-$G844),0))</f>
        <v/>
      </c>
    </row>
    <row r="845">
      <c r="A845" s="30" t="n"/>
      <c r="B845" s="30" t="n"/>
      <c r="C845" s="30" t="n"/>
      <c r="D845" s="30" t="n"/>
      <c r="E845" s="30" t="n"/>
      <c r="F845" s="30" t="n"/>
      <c r="G845" s="30" t="n"/>
      <c r="H845" s="31">
        <f>IF($A845="","",IFERROR(ROUND($C845*INDEX(tblKurallar[deger_2025],MATCH("TBO-001",tblKurallar[kural_id],0))+$D845*INDEX(tblKurallar[deger_2025],MATCH("TBO-002",tblKurallar[kural_id],0))+$E845*INDEX(tblKurallar[deger_2025],MATCH("TBO-004",tblKurallar[kural_id],0))+$F845*tbo_isverenOran,2),0))</f>
        <v/>
      </c>
      <c r="I845" s="31">
        <f>IF($A845="","",IFERROR(MAX(0,$H845-$G845),0))</f>
        <v/>
      </c>
    </row>
    <row r="846">
      <c r="A846" s="30" t="n"/>
      <c r="B846" s="30" t="n"/>
      <c r="C846" s="30" t="n"/>
      <c r="D846" s="30" t="n"/>
      <c r="E846" s="30" t="n"/>
      <c r="F846" s="30" t="n"/>
      <c r="G846" s="30" t="n"/>
      <c r="H846" s="31">
        <f>IF($A846="","",IFERROR(ROUND($C846*INDEX(tblKurallar[deger_2025],MATCH("TBO-001",tblKurallar[kural_id],0))+$D846*INDEX(tblKurallar[deger_2025],MATCH("TBO-002",tblKurallar[kural_id],0))+$E846*INDEX(tblKurallar[deger_2025],MATCH("TBO-004",tblKurallar[kural_id],0))+$F846*tbo_isverenOran,2),0))</f>
        <v/>
      </c>
      <c r="I846" s="31">
        <f>IF($A846="","",IFERROR(MAX(0,$H846-$G846),0))</f>
        <v/>
      </c>
    </row>
    <row r="847">
      <c r="A847" s="30" t="n"/>
      <c r="B847" s="30" t="n"/>
      <c r="C847" s="30" t="n"/>
      <c r="D847" s="30" t="n"/>
      <c r="E847" s="30" t="n"/>
      <c r="F847" s="30" t="n"/>
      <c r="G847" s="30" t="n"/>
      <c r="H847" s="31">
        <f>IF($A847="","",IFERROR(ROUND($C847*INDEX(tblKurallar[deger_2025],MATCH("TBO-001",tblKurallar[kural_id],0))+$D847*INDEX(tblKurallar[deger_2025],MATCH("TBO-002",tblKurallar[kural_id],0))+$E847*INDEX(tblKurallar[deger_2025],MATCH("TBO-004",tblKurallar[kural_id],0))+$F847*tbo_isverenOran,2),0))</f>
        <v/>
      </c>
      <c r="I847" s="31">
        <f>IF($A847="","",IFERROR(MAX(0,$H847-$G847),0))</f>
        <v/>
      </c>
    </row>
    <row r="848">
      <c r="A848" s="30" t="n"/>
      <c r="B848" s="30" t="n"/>
      <c r="C848" s="30" t="n"/>
      <c r="D848" s="30" t="n"/>
      <c r="E848" s="30" t="n"/>
      <c r="F848" s="30" t="n"/>
      <c r="G848" s="30" t="n"/>
      <c r="H848" s="31">
        <f>IF($A848="","",IFERROR(ROUND($C848*INDEX(tblKurallar[deger_2025],MATCH("TBO-001",tblKurallar[kural_id],0))+$D848*INDEX(tblKurallar[deger_2025],MATCH("TBO-002",tblKurallar[kural_id],0))+$E848*INDEX(tblKurallar[deger_2025],MATCH("TBO-004",tblKurallar[kural_id],0))+$F848*tbo_isverenOran,2),0))</f>
        <v/>
      </c>
      <c r="I848" s="31">
        <f>IF($A848="","",IFERROR(MAX(0,$H848-$G848),0))</f>
        <v/>
      </c>
    </row>
    <row r="849">
      <c r="A849" s="30" t="n"/>
      <c r="B849" s="30" t="n"/>
      <c r="C849" s="30" t="n"/>
      <c r="D849" s="30" t="n"/>
      <c r="E849" s="30" t="n"/>
      <c r="F849" s="30" t="n"/>
      <c r="G849" s="30" t="n"/>
      <c r="H849" s="31">
        <f>IF($A849="","",IFERROR(ROUND($C849*INDEX(tblKurallar[deger_2025],MATCH("TBO-001",tblKurallar[kural_id],0))+$D849*INDEX(tblKurallar[deger_2025],MATCH("TBO-002",tblKurallar[kural_id],0))+$E849*INDEX(tblKurallar[deger_2025],MATCH("TBO-004",tblKurallar[kural_id],0))+$F849*tbo_isverenOran,2),0))</f>
        <v/>
      </c>
      <c r="I849" s="31">
        <f>IF($A849="","",IFERROR(MAX(0,$H849-$G849),0))</f>
        <v/>
      </c>
    </row>
    <row r="850">
      <c r="A850" s="30" t="n"/>
      <c r="B850" s="30" t="n"/>
      <c r="C850" s="30" t="n"/>
      <c r="D850" s="30" t="n"/>
      <c r="E850" s="30" t="n"/>
      <c r="F850" s="30" t="n"/>
      <c r="G850" s="30" t="n"/>
      <c r="H850" s="31">
        <f>IF($A850="","",IFERROR(ROUND($C850*INDEX(tblKurallar[deger_2025],MATCH("TBO-001",tblKurallar[kural_id],0))+$D850*INDEX(tblKurallar[deger_2025],MATCH("TBO-002",tblKurallar[kural_id],0))+$E850*INDEX(tblKurallar[deger_2025],MATCH("TBO-004",tblKurallar[kural_id],0))+$F850*tbo_isverenOran,2),0))</f>
        <v/>
      </c>
      <c r="I850" s="31">
        <f>IF($A850="","",IFERROR(MAX(0,$H850-$G850),0))</f>
        <v/>
      </c>
    </row>
    <row r="851">
      <c r="A851" s="30" t="n"/>
      <c r="B851" s="30" t="n"/>
      <c r="C851" s="30" t="n"/>
      <c r="D851" s="30" t="n"/>
      <c r="E851" s="30" t="n"/>
      <c r="F851" s="30" t="n"/>
      <c r="G851" s="30" t="n"/>
      <c r="H851" s="31">
        <f>IF($A851="","",IFERROR(ROUND($C851*INDEX(tblKurallar[deger_2025],MATCH("TBO-001",tblKurallar[kural_id],0))+$D851*INDEX(tblKurallar[deger_2025],MATCH("TBO-002",tblKurallar[kural_id],0))+$E851*INDEX(tblKurallar[deger_2025],MATCH("TBO-004",tblKurallar[kural_id],0))+$F851*tbo_isverenOran,2),0))</f>
        <v/>
      </c>
      <c r="I851" s="31">
        <f>IF($A851="","",IFERROR(MAX(0,$H851-$G851),0))</f>
        <v/>
      </c>
    </row>
    <row r="852">
      <c r="A852" s="30" t="n"/>
      <c r="B852" s="30" t="n"/>
      <c r="C852" s="30" t="n"/>
      <c r="D852" s="30" t="n"/>
      <c r="E852" s="30" t="n"/>
      <c r="F852" s="30" t="n"/>
      <c r="G852" s="30" t="n"/>
      <c r="H852" s="31">
        <f>IF($A852="","",IFERROR(ROUND($C852*INDEX(tblKurallar[deger_2025],MATCH("TBO-001",tblKurallar[kural_id],0))+$D852*INDEX(tblKurallar[deger_2025],MATCH("TBO-002",tblKurallar[kural_id],0))+$E852*INDEX(tblKurallar[deger_2025],MATCH("TBO-004",tblKurallar[kural_id],0))+$F852*tbo_isverenOran,2),0))</f>
        <v/>
      </c>
      <c r="I852" s="31">
        <f>IF($A852="","",IFERROR(MAX(0,$H852-$G852),0))</f>
        <v/>
      </c>
    </row>
    <row r="853">
      <c r="A853" s="30" t="n"/>
      <c r="B853" s="30" t="n"/>
      <c r="C853" s="30" t="n"/>
      <c r="D853" s="30" t="n"/>
      <c r="E853" s="30" t="n"/>
      <c r="F853" s="30" t="n"/>
      <c r="G853" s="30" t="n"/>
      <c r="H853" s="31">
        <f>IF($A853="","",IFERROR(ROUND($C853*INDEX(tblKurallar[deger_2025],MATCH("TBO-001",tblKurallar[kural_id],0))+$D853*INDEX(tblKurallar[deger_2025],MATCH("TBO-002",tblKurallar[kural_id],0))+$E853*INDEX(tblKurallar[deger_2025],MATCH("TBO-004",tblKurallar[kural_id],0))+$F853*tbo_isverenOran,2),0))</f>
        <v/>
      </c>
      <c r="I853" s="31">
        <f>IF($A853="","",IFERROR(MAX(0,$H853-$G853),0))</f>
        <v/>
      </c>
    </row>
    <row r="854">
      <c r="A854" s="30" t="n"/>
      <c r="B854" s="30" t="n"/>
      <c r="C854" s="30" t="n"/>
      <c r="D854" s="30" t="n"/>
      <c r="E854" s="30" t="n"/>
      <c r="F854" s="30" t="n"/>
      <c r="G854" s="30" t="n"/>
      <c r="H854" s="31">
        <f>IF($A854="","",IFERROR(ROUND($C854*INDEX(tblKurallar[deger_2025],MATCH("TBO-001",tblKurallar[kural_id],0))+$D854*INDEX(tblKurallar[deger_2025],MATCH("TBO-002",tblKurallar[kural_id],0))+$E854*INDEX(tblKurallar[deger_2025],MATCH("TBO-004",tblKurallar[kural_id],0))+$F854*tbo_isverenOran,2),0))</f>
        <v/>
      </c>
      <c r="I854" s="31">
        <f>IF($A854="","",IFERROR(MAX(0,$H854-$G854),0))</f>
        <v/>
      </c>
    </row>
    <row r="855">
      <c r="A855" s="30" t="n"/>
      <c r="B855" s="30" t="n"/>
      <c r="C855" s="30" t="n"/>
      <c r="D855" s="30" t="n"/>
      <c r="E855" s="30" t="n"/>
      <c r="F855" s="30" t="n"/>
      <c r="G855" s="30" t="n"/>
      <c r="H855" s="31">
        <f>IF($A855="","",IFERROR(ROUND($C855*INDEX(tblKurallar[deger_2025],MATCH("TBO-001",tblKurallar[kural_id],0))+$D855*INDEX(tblKurallar[deger_2025],MATCH("TBO-002",tblKurallar[kural_id],0))+$E855*INDEX(tblKurallar[deger_2025],MATCH("TBO-004",tblKurallar[kural_id],0))+$F855*tbo_isverenOran,2),0))</f>
        <v/>
      </c>
      <c r="I855" s="31">
        <f>IF($A855="","",IFERROR(MAX(0,$H855-$G855),0))</f>
        <v/>
      </c>
    </row>
    <row r="856">
      <c r="A856" s="30" t="n"/>
      <c r="B856" s="30" t="n"/>
      <c r="C856" s="30" t="n"/>
      <c r="D856" s="30" t="n"/>
      <c r="E856" s="30" t="n"/>
      <c r="F856" s="30" t="n"/>
      <c r="G856" s="30" t="n"/>
      <c r="H856" s="31">
        <f>IF($A856="","",IFERROR(ROUND($C856*INDEX(tblKurallar[deger_2025],MATCH("TBO-001",tblKurallar[kural_id],0))+$D856*INDEX(tblKurallar[deger_2025],MATCH("TBO-002",tblKurallar[kural_id],0))+$E856*INDEX(tblKurallar[deger_2025],MATCH("TBO-004",tblKurallar[kural_id],0))+$F856*tbo_isverenOran,2),0))</f>
        <v/>
      </c>
      <c r="I856" s="31">
        <f>IF($A856="","",IFERROR(MAX(0,$H856-$G856),0))</f>
        <v/>
      </c>
    </row>
    <row r="857">
      <c r="A857" s="30" t="n"/>
      <c r="B857" s="30" t="n"/>
      <c r="C857" s="30" t="n"/>
      <c r="D857" s="30" t="n"/>
      <c r="E857" s="30" t="n"/>
      <c r="F857" s="30" t="n"/>
      <c r="G857" s="30" t="n"/>
      <c r="H857" s="31">
        <f>IF($A857="","",IFERROR(ROUND($C857*INDEX(tblKurallar[deger_2025],MATCH("TBO-001",tblKurallar[kural_id],0))+$D857*INDEX(tblKurallar[deger_2025],MATCH("TBO-002",tblKurallar[kural_id],0))+$E857*INDEX(tblKurallar[deger_2025],MATCH("TBO-004",tblKurallar[kural_id],0))+$F857*tbo_isverenOran,2),0))</f>
        <v/>
      </c>
      <c r="I857" s="31">
        <f>IF($A857="","",IFERROR(MAX(0,$H857-$G857),0))</f>
        <v/>
      </c>
    </row>
    <row r="858">
      <c r="A858" s="30" t="n"/>
      <c r="B858" s="30" t="n"/>
      <c r="C858" s="30" t="n"/>
      <c r="D858" s="30" t="n"/>
      <c r="E858" s="30" t="n"/>
      <c r="F858" s="30" t="n"/>
      <c r="G858" s="30" t="n"/>
      <c r="H858" s="31">
        <f>IF($A858="","",IFERROR(ROUND($C858*INDEX(tblKurallar[deger_2025],MATCH("TBO-001",tblKurallar[kural_id],0))+$D858*INDEX(tblKurallar[deger_2025],MATCH("TBO-002",tblKurallar[kural_id],0))+$E858*INDEX(tblKurallar[deger_2025],MATCH("TBO-004",tblKurallar[kural_id],0))+$F858*tbo_isverenOran,2),0))</f>
        <v/>
      </c>
      <c r="I858" s="31">
        <f>IF($A858="","",IFERROR(MAX(0,$H858-$G858),0))</f>
        <v/>
      </c>
    </row>
    <row r="859">
      <c r="A859" s="30" t="n"/>
      <c r="B859" s="30" t="n"/>
      <c r="C859" s="30" t="n"/>
      <c r="D859" s="30" t="n"/>
      <c r="E859" s="30" t="n"/>
      <c r="F859" s="30" t="n"/>
      <c r="G859" s="30" t="n"/>
      <c r="H859" s="31">
        <f>IF($A859="","",IFERROR(ROUND($C859*INDEX(tblKurallar[deger_2025],MATCH("TBO-001",tblKurallar[kural_id],0))+$D859*INDEX(tblKurallar[deger_2025],MATCH("TBO-002",tblKurallar[kural_id],0))+$E859*INDEX(tblKurallar[deger_2025],MATCH("TBO-004",tblKurallar[kural_id],0))+$F859*tbo_isverenOran,2),0))</f>
        <v/>
      </c>
      <c r="I859" s="31">
        <f>IF($A859="","",IFERROR(MAX(0,$H859-$G859),0))</f>
        <v/>
      </c>
    </row>
    <row r="860">
      <c r="A860" s="30" t="n"/>
      <c r="B860" s="30" t="n"/>
      <c r="C860" s="30" t="n"/>
      <c r="D860" s="30" t="n"/>
      <c r="E860" s="30" t="n"/>
      <c r="F860" s="30" t="n"/>
      <c r="G860" s="30" t="n"/>
      <c r="H860" s="31">
        <f>IF($A860="","",IFERROR(ROUND($C860*INDEX(tblKurallar[deger_2025],MATCH("TBO-001",tblKurallar[kural_id],0))+$D860*INDEX(tblKurallar[deger_2025],MATCH("TBO-002",tblKurallar[kural_id],0))+$E860*INDEX(tblKurallar[deger_2025],MATCH("TBO-004",tblKurallar[kural_id],0))+$F860*tbo_isverenOran,2),0))</f>
        <v/>
      </c>
      <c r="I860" s="31">
        <f>IF($A860="","",IFERROR(MAX(0,$H860-$G860),0))</f>
        <v/>
      </c>
    </row>
    <row r="861">
      <c r="A861" s="30" t="n"/>
      <c r="B861" s="30" t="n"/>
      <c r="C861" s="30" t="n"/>
      <c r="D861" s="30" t="n"/>
      <c r="E861" s="30" t="n"/>
      <c r="F861" s="30" t="n"/>
      <c r="G861" s="30" t="n"/>
      <c r="H861" s="31">
        <f>IF($A861="","",IFERROR(ROUND($C861*INDEX(tblKurallar[deger_2025],MATCH("TBO-001",tblKurallar[kural_id],0))+$D861*INDEX(tblKurallar[deger_2025],MATCH("TBO-002",tblKurallar[kural_id],0))+$E861*INDEX(tblKurallar[deger_2025],MATCH("TBO-004",tblKurallar[kural_id],0))+$F861*tbo_isverenOran,2),0))</f>
        <v/>
      </c>
      <c r="I861" s="31">
        <f>IF($A861="","",IFERROR(MAX(0,$H861-$G861),0))</f>
        <v/>
      </c>
    </row>
    <row r="862">
      <c r="A862" s="30" t="n"/>
      <c r="B862" s="30" t="n"/>
      <c r="C862" s="30" t="n"/>
      <c r="D862" s="30" t="n"/>
      <c r="E862" s="30" t="n"/>
      <c r="F862" s="30" t="n"/>
      <c r="G862" s="30" t="n"/>
      <c r="H862" s="31">
        <f>IF($A862="","",IFERROR(ROUND($C862*INDEX(tblKurallar[deger_2025],MATCH("TBO-001",tblKurallar[kural_id],0))+$D862*INDEX(tblKurallar[deger_2025],MATCH("TBO-002",tblKurallar[kural_id],0))+$E862*INDEX(tblKurallar[deger_2025],MATCH("TBO-004",tblKurallar[kural_id],0))+$F862*tbo_isverenOran,2),0))</f>
        <v/>
      </c>
      <c r="I862" s="31">
        <f>IF($A862="","",IFERROR(MAX(0,$H862-$G862),0))</f>
        <v/>
      </c>
    </row>
    <row r="863">
      <c r="A863" s="30" t="n"/>
      <c r="B863" s="30" t="n"/>
      <c r="C863" s="30" t="n"/>
      <c r="D863" s="30" t="n"/>
      <c r="E863" s="30" t="n"/>
      <c r="F863" s="30" t="n"/>
      <c r="G863" s="30" t="n"/>
      <c r="H863" s="31">
        <f>IF($A863="","",IFERROR(ROUND($C863*INDEX(tblKurallar[deger_2025],MATCH("TBO-001",tblKurallar[kural_id],0))+$D863*INDEX(tblKurallar[deger_2025],MATCH("TBO-002",tblKurallar[kural_id],0))+$E863*INDEX(tblKurallar[deger_2025],MATCH("TBO-004",tblKurallar[kural_id],0))+$F863*tbo_isverenOran,2),0))</f>
        <v/>
      </c>
      <c r="I863" s="31">
        <f>IF($A863="","",IFERROR(MAX(0,$H863-$G863),0))</f>
        <v/>
      </c>
    </row>
    <row r="864">
      <c r="A864" s="30" t="n"/>
      <c r="B864" s="30" t="n"/>
      <c r="C864" s="30" t="n"/>
      <c r="D864" s="30" t="n"/>
      <c r="E864" s="30" t="n"/>
      <c r="F864" s="30" t="n"/>
      <c r="G864" s="30" t="n"/>
      <c r="H864" s="31">
        <f>IF($A864="","",IFERROR(ROUND($C864*INDEX(tblKurallar[deger_2025],MATCH("TBO-001",tblKurallar[kural_id],0))+$D864*INDEX(tblKurallar[deger_2025],MATCH("TBO-002",tblKurallar[kural_id],0))+$E864*INDEX(tblKurallar[deger_2025],MATCH("TBO-004",tblKurallar[kural_id],0))+$F864*tbo_isverenOran,2),0))</f>
        <v/>
      </c>
      <c r="I864" s="31">
        <f>IF($A864="","",IFERROR(MAX(0,$H864-$G864),0))</f>
        <v/>
      </c>
    </row>
    <row r="865">
      <c r="A865" s="30" t="n"/>
      <c r="B865" s="30" t="n"/>
      <c r="C865" s="30" t="n"/>
      <c r="D865" s="30" t="n"/>
      <c r="E865" s="30" t="n"/>
      <c r="F865" s="30" t="n"/>
      <c r="G865" s="30" t="n"/>
      <c r="H865" s="31">
        <f>IF($A865="","",IFERROR(ROUND($C865*INDEX(tblKurallar[deger_2025],MATCH("TBO-001",tblKurallar[kural_id],0))+$D865*INDEX(tblKurallar[deger_2025],MATCH("TBO-002",tblKurallar[kural_id],0))+$E865*INDEX(tblKurallar[deger_2025],MATCH("TBO-004",tblKurallar[kural_id],0))+$F865*tbo_isverenOran,2),0))</f>
        <v/>
      </c>
      <c r="I865" s="31">
        <f>IF($A865="","",IFERROR(MAX(0,$H865-$G865),0))</f>
        <v/>
      </c>
    </row>
    <row r="866">
      <c r="A866" s="30" t="n"/>
      <c r="B866" s="30" t="n"/>
      <c r="C866" s="30" t="n"/>
      <c r="D866" s="30" t="n"/>
      <c r="E866" s="30" t="n"/>
      <c r="F866" s="30" t="n"/>
      <c r="G866" s="30" t="n"/>
      <c r="H866" s="31">
        <f>IF($A866="","",IFERROR(ROUND($C866*INDEX(tblKurallar[deger_2025],MATCH("TBO-001",tblKurallar[kural_id],0))+$D866*INDEX(tblKurallar[deger_2025],MATCH("TBO-002",tblKurallar[kural_id],0))+$E866*INDEX(tblKurallar[deger_2025],MATCH("TBO-004",tblKurallar[kural_id],0))+$F866*tbo_isverenOran,2),0))</f>
        <v/>
      </c>
      <c r="I866" s="31">
        <f>IF($A866="","",IFERROR(MAX(0,$H866-$G866),0))</f>
        <v/>
      </c>
    </row>
    <row r="867">
      <c r="A867" s="30" t="n"/>
      <c r="B867" s="30" t="n"/>
      <c r="C867" s="30" t="n"/>
      <c r="D867" s="30" t="n"/>
      <c r="E867" s="30" t="n"/>
      <c r="F867" s="30" t="n"/>
      <c r="G867" s="30" t="n"/>
      <c r="H867" s="31">
        <f>IF($A867="","",IFERROR(ROUND($C867*INDEX(tblKurallar[deger_2025],MATCH("TBO-001",tblKurallar[kural_id],0))+$D867*INDEX(tblKurallar[deger_2025],MATCH("TBO-002",tblKurallar[kural_id],0))+$E867*INDEX(tblKurallar[deger_2025],MATCH("TBO-004",tblKurallar[kural_id],0))+$F867*tbo_isverenOran,2),0))</f>
        <v/>
      </c>
      <c r="I867" s="31">
        <f>IF($A867="","",IFERROR(MAX(0,$H867-$G867),0))</f>
        <v/>
      </c>
    </row>
    <row r="868">
      <c r="A868" s="30" t="n"/>
      <c r="B868" s="30" t="n"/>
      <c r="C868" s="30" t="n"/>
      <c r="D868" s="30" t="n"/>
      <c r="E868" s="30" t="n"/>
      <c r="F868" s="30" t="n"/>
      <c r="G868" s="30" t="n"/>
      <c r="H868" s="31">
        <f>IF($A868="","",IFERROR(ROUND($C868*INDEX(tblKurallar[deger_2025],MATCH("TBO-001",tblKurallar[kural_id],0))+$D868*INDEX(tblKurallar[deger_2025],MATCH("TBO-002",tblKurallar[kural_id],0))+$E868*INDEX(tblKurallar[deger_2025],MATCH("TBO-004",tblKurallar[kural_id],0))+$F868*tbo_isverenOran,2),0))</f>
        <v/>
      </c>
      <c r="I868" s="31">
        <f>IF($A868="","",IFERROR(MAX(0,$H868-$G868),0))</f>
        <v/>
      </c>
    </row>
    <row r="869">
      <c r="A869" s="30" t="n"/>
      <c r="B869" s="30" t="n"/>
      <c r="C869" s="30" t="n"/>
      <c r="D869" s="30" t="n"/>
      <c r="E869" s="30" t="n"/>
      <c r="F869" s="30" t="n"/>
      <c r="G869" s="30" t="n"/>
      <c r="H869" s="31">
        <f>IF($A869="","",IFERROR(ROUND($C869*INDEX(tblKurallar[deger_2025],MATCH("TBO-001",tblKurallar[kural_id],0))+$D869*INDEX(tblKurallar[deger_2025],MATCH("TBO-002",tblKurallar[kural_id],0))+$E869*INDEX(tblKurallar[deger_2025],MATCH("TBO-004",tblKurallar[kural_id],0))+$F869*tbo_isverenOran,2),0))</f>
        <v/>
      </c>
      <c r="I869" s="31">
        <f>IF($A869="","",IFERROR(MAX(0,$H869-$G869),0))</f>
        <v/>
      </c>
    </row>
    <row r="870">
      <c r="A870" s="30" t="n"/>
      <c r="B870" s="30" t="n"/>
      <c r="C870" s="30" t="n"/>
      <c r="D870" s="30" t="n"/>
      <c r="E870" s="30" t="n"/>
      <c r="F870" s="30" t="n"/>
      <c r="G870" s="30" t="n"/>
      <c r="H870" s="31">
        <f>IF($A870="","",IFERROR(ROUND($C870*INDEX(tblKurallar[deger_2025],MATCH("TBO-001",tblKurallar[kural_id],0))+$D870*INDEX(tblKurallar[deger_2025],MATCH("TBO-002",tblKurallar[kural_id],0))+$E870*INDEX(tblKurallar[deger_2025],MATCH("TBO-004",tblKurallar[kural_id],0))+$F870*tbo_isverenOran,2),0))</f>
        <v/>
      </c>
      <c r="I870" s="31">
        <f>IF($A870="","",IFERROR(MAX(0,$H870-$G870),0))</f>
        <v/>
      </c>
    </row>
    <row r="871">
      <c r="A871" s="30" t="n"/>
      <c r="B871" s="30" t="n"/>
      <c r="C871" s="30" t="n"/>
      <c r="D871" s="30" t="n"/>
      <c r="E871" s="30" t="n"/>
      <c r="F871" s="30" t="n"/>
      <c r="G871" s="30" t="n"/>
      <c r="H871" s="31">
        <f>IF($A871="","",IFERROR(ROUND($C871*INDEX(tblKurallar[deger_2025],MATCH("TBO-001",tblKurallar[kural_id],0))+$D871*INDEX(tblKurallar[deger_2025],MATCH("TBO-002",tblKurallar[kural_id],0))+$E871*INDEX(tblKurallar[deger_2025],MATCH("TBO-004",tblKurallar[kural_id],0))+$F871*tbo_isverenOran,2),0))</f>
        <v/>
      </c>
      <c r="I871" s="31">
        <f>IF($A871="","",IFERROR(MAX(0,$H871-$G871),0))</f>
        <v/>
      </c>
    </row>
    <row r="872">
      <c r="A872" s="30" t="n"/>
      <c r="B872" s="30" t="n"/>
      <c r="C872" s="30" t="n"/>
      <c r="D872" s="30" t="n"/>
      <c r="E872" s="30" t="n"/>
      <c r="F872" s="30" t="n"/>
      <c r="G872" s="30" t="n"/>
      <c r="H872" s="31">
        <f>IF($A872="","",IFERROR(ROUND($C872*INDEX(tblKurallar[deger_2025],MATCH("TBO-001",tblKurallar[kural_id],0))+$D872*INDEX(tblKurallar[deger_2025],MATCH("TBO-002",tblKurallar[kural_id],0))+$E872*INDEX(tblKurallar[deger_2025],MATCH("TBO-004",tblKurallar[kural_id],0))+$F872*tbo_isverenOran,2),0))</f>
        <v/>
      </c>
      <c r="I872" s="31">
        <f>IF($A872="","",IFERROR(MAX(0,$H872-$G872),0))</f>
        <v/>
      </c>
    </row>
    <row r="873">
      <c r="A873" s="30" t="n"/>
      <c r="B873" s="30" t="n"/>
      <c r="C873" s="30" t="n"/>
      <c r="D873" s="30" t="n"/>
      <c r="E873" s="30" t="n"/>
      <c r="F873" s="30" t="n"/>
      <c r="G873" s="30" t="n"/>
      <c r="H873" s="31">
        <f>IF($A873="","",IFERROR(ROUND($C873*INDEX(tblKurallar[deger_2025],MATCH("TBO-001",tblKurallar[kural_id],0))+$D873*INDEX(tblKurallar[deger_2025],MATCH("TBO-002",tblKurallar[kural_id],0))+$E873*INDEX(tblKurallar[deger_2025],MATCH("TBO-004",tblKurallar[kural_id],0))+$F873*tbo_isverenOran,2),0))</f>
        <v/>
      </c>
      <c r="I873" s="31">
        <f>IF($A873="","",IFERROR(MAX(0,$H873-$G873),0))</f>
        <v/>
      </c>
    </row>
    <row r="874">
      <c r="A874" s="30" t="n"/>
      <c r="B874" s="30" t="n"/>
      <c r="C874" s="30" t="n"/>
      <c r="D874" s="30" t="n"/>
      <c r="E874" s="30" t="n"/>
      <c r="F874" s="30" t="n"/>
      <c r="G874" s="30" t="n"/>
      <c r="H874" s="31">
        <f>IF($A874="","",IFERROR(ROUND($C874*INDEX(tblKurallar[deger_2025],MATCH("TBO-001",tblKurallar[kural_id],0))+$D874*INDEX(tblKurallar[deger_2025],MATCH("TBO-002",tblKurallar[kural_id],0))+$E874*INDEX(tblKurallar[deger_2025],MATCH("TBO-004",tblKurallar[kural_id],0))+$F874*tbo_isverenOran,2),0))</f>
        <v/>
      </c>
      <c r="I874" s="31">
        <f>IF($A874="","",IFERROR(MAX(0,$H874-$G874),0))</f>
        <v/>
      </c>
    </row>
    <row r="875">
      <c r="A875" s="30" t="n"/>
      <c r="B875" s="30" t="n"/>
      <c r="C875" s="30" t="n"/>
      <c r="D875" s="30" t="n"/>
      <c r="E875" s="30" t="n"/>
      <c r="F875" s="30" t="n"/>
      <c r="G875" s="30" t="n"/>
      <c r="H875" s="31">
        <f>IF($A875="","",IFERROR(ROUND($C875*INDEX(tblKurallar[deger_2025],MATCH("TBO-001",tblKurallar[kural_id],0))+$D875*INDEX(tblKurallar[deger_2025],MATCH("TBO-002",tblKurallar[kural_id],0))+$E875*INDEX(tblKurallar[deger_2025],MATCH("TBO-004",tblKurallar[kural_id],0))+$F875*tbo_isverenOran,2),0))</f>
        <v/>
      </c>
      <c r="I875" s="31">
        <f>IF($A875="","",IFERROR(MAX(0,$H875-$G875),0))</f>
        <v/>
      </c>
    </row>
    <row r="876">
      <c r="A876" s="30" t="n"/>
      <c r="B876" s="30" t="n"/>
      <c r="C876" s="30" t="n"/>
      <c r="D876" s="30" t="n"/>
      <c r="E876" s="30" t="n"/>
      <c r="F876" s="30" t="n"/>
      <c r="G876" s="30" t="n"/>
      <c r="H876" s="31">
        <f>IF($A876="","",IFERROR(ROUND($C876*INDEX(tblKurallar[deger_2025],MATCH("TBO-001",tblKurallar[kural_id],0))+$D876*INDEX(tblKurallar[deger_2025],MATCH("TBO-002",tblKurallar[kural_id],0))+$E876*INDEX(tblKurallar[deger_2025],MATCH("TBO-004",tblKurallar[kural_id],0))+$F876*tbo_isverenOran,2),0))</f>
        <v/>
      </c>
      <c r="I876" s="31">
        <f>IF($A876="","",IFERROR(MAX(0,$H876-$G876),0))</f>
        <v/>
      </c>
    </row>
    <row r="877">
      <c r="A877" s="30" t="n"/>
      <c r="B877" s="30" t="n"/>
      <c r="C877" s="30" t="n"/>
      <c r="D877" s="30" t="n"/>
      <c r="E877" s="30" t="n"/>
      <c r="F877" s="30" t="n"/>
      <c r="G877" s="30" t="n"/>
      <c r="H877" s="31">
        <f>IF($A877="","",IFERROR(ROUND($C877*INDEX(tblKurallar[deger_2025],MATCH("TBO-001",tblKurallar[kural_id],0))+$D877*INDEX(tblKurallar[deger_2025],MATCH("TBO-002",tblKurallar[kural_id],0))+$E877*INDEX(tblKurallar[deger_2025],MATCH("TBO-004",tblKurallar[kural_id],0))+$F877*tbo_isverenOran,2),0))</f>
        <v/>
      </c>
      <c r="I877" s="31">
        <f>IF($A877="","",IFERROR(MAX(0,$H877-$G877),0))</f>
        <v/>
      </c>
    </row>
    <row r="878">
      <c r="A878" s="30" t="n"/>
      <c r="B878" s="30" t="n"/>
      <c r="C878" s="30" t="n"/>
      <c r="D878" s="30" t="n"/>
      <c r="E878" s="30" t="n"/>
      <c r="F878" s="30" t="n"/>
      <c r="G878" s="30" t="n"/>
      <c r="H878" s="31">
        <f>IF($A878="","",IFERROR(ROUND($C878*INDEX(tblKurallar[deger_2025],MATCH("TBO-001",tblKurallar[kural_id],0))+$D878*INDEX(tblKurallar[deger_2025],MATCH("TBO-002",tblKurallar[kural_id],0))+$E878*INDEX(tblKurallar[deger_2025],MATCH("TBO-004",tblKurallar[kural_id],0))+$F878*tbo_isverenOran,2),0))</f>
        <v/>
      </c>
      <c r="I878" s="31">
        <f>IF($A878="","",IFERROR(MAX(0,$H878-$G878),0))</f>
        <v/>
      </c>
    </row>
    <row r="879">
      <c r="A879" s="30" t="n"/>
      <c r="B879" s="30" t="n"/>
      <c r="C879" s="30" t="n"/>
      <c r="D879" s="30" t="n"/>
      <c r="E879" s="30" t="n"/>
      <c r="F879" s="30" t="n"/>
      <c r="G879" s="30" t="n"/>
      <c r="H879" s="31">
        <f>IF($A879="","",IFERROR(ROUND($C879*INDEX(tblKurallar[deger_2025],MATCH("TBO-001",tblKurallar[kural_id],0))+$D879*INDEX(tblKurallar[deger_2025],MATCH("TBO-002",tblKurallar[kural_id],0))+$E879*INDEX(tblKurallar[deger_2025],MATCH("TBO-004",tblKurallar[kural_id],0))+$F879*tbo_isverenOran,2),0))</f>
        <v/>
      </c>
      <c r="I879" s="31">
        <f>IF($A879="","",IFERROR(MAX(0,$H879-$G879),0))</f>
        <v/>
      </c>
    </row>
    <row r="880">
      <c r="A880" s="30" t="n"/>
      <c r="B880" s="30" t="n"/>
      <c r="C880" s="30" t="n"/>
      <c r="D880" s="30" t="n"/>
      <c r="E880" s="30" t="n"/>
      <c r="F880" s="30" t="n"/>
      <c r="G880" s="30" t="n"/>
      <c r="H880" s="31">
        <f>IF($A880="","",IFERROR(ROUND($C880*INDEX(tblKurallar[deger_2025],MATCH("TBO-001",tblKurallar[kural_id],0))+$D880*INDEX(tblKurallar[deger_2025],MATCH("TBO-002",tblKurallar[kural_id],0))+$E880*INDEX(tblKurallar[deger_2025],MATCH("TBO-004",tblKurallar[kural_id],0))+$F880*tbo_isverenOran,2),0))</f>
        <v/>
      </c>
      <c r="I880" s="31">
        <f>IF($A880="","",IFERROR(MAX(0,$H880-$G880),0))</f>
        <v/>
      </c>
    </row>
    <row r="881">
      <c r="A881" s="30" t="n"/>
      <c r="B881" s="30" t="n"/>
      <c r="C881" s="30" t="n"/>
      <c r="D881" s="30" t="n"/>
      <c r="E881" s="30" t="n"/>
      <c r="F881" s="30" t="n"/>
      <c r="G881" s="30" t="n"/>
      <c r="H881" s="31">
        <f>IF($A881="","",IFERROR(ROUND($C881*INDEX(tblKurallar[deger_2025],MATCH("TBO-001",tblKurallar[kural_id],0))+$D881*INDEX(tblKurallar[deger_2025],MATCH("TBO-002",tblKurallar[kural_id],0))+$E881*INDEX(tblKurallar[deger_2025],MATCH("TBO-004",tblKurallar[kural_id],0))+$F881*tbo_isverenOran,2),0))</f>
        <v/>
      </c>
      <c r="I881" s="31">
        <f>IF($A881="","",IFERROR(MAX(0,$H881-$G881),0))</f>
        <v/>
      </c>
    </row>
    <row r="882">
      <c r="A882" s="30" t="n"/>
      <c r="B882" s="30" t="n"/>
      <c r="C882" s="30" t="n"/>
      <c r="D882" s="30" t="n"/>
      <c r="E882" s="30" t="n"/>
      <c r="F882" s="30" t="n"/>
      <c r="G882" s="30" t="n"/>
      <c r="H882" s="31">
        <f>IF($A882="","",IFERROR(ROUND($C882*INDEX(tblKurallar[deger_2025],MATCH("TBO-001",tblKurallar[kural_id],0))+$D882*INDEX(tblKurallar[deger_2025],MATCH("TBO-002",tblKurallar[kural_id],0))+$E882*INDEX(tblKurallar[deger_2025],MATCH("TBO-004",tblKurallar[kural_id],0))+$F882*tbo_isverenOran,2),0))</f>
        <v/>
      </c>
      <c r="I882" s="31">
        <f>IF($A882="","",IFERROR(MAX(0,$H882-$G882),0))</f>
        <v/>
      </c>
    </row>
    <row r="883">
      <c r="A883" s="30" t="n"/>
      <c r="B883" s="30" t="n"/>
      <c r="C883" s="30" t="n"/>
      <c r="D883" s="30" t="n"/>
      <c r="E883" s="30" t="n"/>
      <c r="F883" s="30" t="n"/>
      <c r="G883" s="30" t="n"/>
      <c r="H883" s="31">
        <f>IF($A883="","",IFERROR(ROUND($C883*INDEX(tblKurallar[deger_2025],MATCH("TBO-001",tblKurallar[kural_id],0))+$D883*INDEX(tblKurallar[deger_2025],MATCH("TBO-002",tblKurallar[kural_id],0))+$E883*INDEX(tblKurallar[deger_2025],MATCH("TBO-004",tblKurallar[kural_id],0))+$F883*tbo_isverenOran,2),0))</f>
        <v/>
      </c>
      <c r="I883" s="31">
        <f>IF($A883="","",IFERROR(MAX(0,$H883-$G883),0))</f>
        <v/>
      </c>
    </row>
    <row r="884">
      <c r="A884" s="30" t="n"/>
      <c r="B884" s="30" t="n"/>
      <c r="C884" s="30" t="n"/>
      <c r="D884" s="30" t="n"/>
      <c r="E884" s="30" t="n"/>
      <c r="F884" s="30" t="n"/>
      <c r="G884" s="30" t="n"/>
      <c r="H884" s="31">
        <f>IF($A884="","",IFERROR(ROUND($C884*INDEX(tblKurallar[deger_2025],MATCH("TBO-001",tblKurallar[kural_id],0))+$D884*INDEX(tblKurallar[deger_2025],MATCH("TBO-002",tblKurallar[kural_id],0))+$E884*INDEX(tblKurallar[deger_2025],MATCH("TBO-004",tblKurallar[kural_id],0))+$F884*tbo_isverenOran,2),0))</f>
        <v/>
      </c>
      <c r="I884" s="31">
        <f>IF($A884="","",IFERROR(MAX(0,$H884-$G884),0))</f>
        <v/>
      </c>
    </row>
    <row r="885">
      <c r="A885" s="30" t="n"/>
      <c r="B885" s="30" t="n"/>
      <c r="C885" s="30" t="n"/>
      <c r="D885" s="30" t="n"/>
      <c r="E885" s="30" t="n"/>
      <c r="F885" s="30" t="n"/>
      <c r="G885" s="30" t="n"/>
      <c r="H885" s="31">
        <f>IF($A885="","",IFERROR(ROUND($C885*INDEX(tblKurallar[deger_2025],MATCH("TBO-001",tblKurallar[kural_id],0))+$D885*INDEX(tblKurallar[deger_2025],MATCH("TBO-002",tblKurallar[kural_id],0))+$E885*INDEX(tblKurallar[deger_2025],MATCH("TBO-004",tblKurallar[kural_id],0))+$F885*tbo_isverenOran,2),0))</f>
        <v/>
      </c>
      <c r="I885" s="31">
        <f>IF($A885="","",IFERROR(MAX(0,$H885-$G885),0))</f>
        <v/>
      </c>
    </row>
    <row r="886">
      <c r="A886" s="30" t="n"/>
      <c r="B886" s="30" t="n"/>
      <c r="C886" s="30" t="n"/>
      <c r="D886" s="30" t="n"/>
      <c r="E886" s="30" t="n"/>
      <c r="F886" s="30" t="n"/>
      <c r="G886" s="30" t="n"/>
      <c r="H886" s="31">
        <f>IF($A886="","",IFERROR(ROUND($C886*INDEX(tblKurallar[deger_2025],MATCH("TBO-001",tblKurallar[kural_id],0))+$D886*INDEX(tblKurallar[deger_2025],MATCH("TBO-002",tblKurallar[kural_id],0))+$E886*INDEX(tblKurallar[deger_2025],MATCH("TBO-004",tblKurallar[kural_id],0))+$F886*tbo_isverenOran,2),0))</f>
        <v/>
      </c>
      <c r="I886" s="31">
        <f>IF($A886="","",IFERROR(MAX(0,$H886-$G886),0))</f>
        <v/>
      </c>
    </row>
    <row r="887">
      <c r="A887" s="30" t="n"/>
      <c r="B887" s="30" t="n"/>
      <c r="C887" s="30" t="n"/>
      <c r="D887" s="30" t="n"/>
      <c r="E887" s="30" t="n"/>
      <c r="F887" s="30" t="n"/>
      <c r="G887" s="30" t="n"/>
      <c r="H887" s="31">
        <f>IF($A887="","",IFERROR(ROUND($C887*INDEX(tblKurallar[deger_2025],MATCH("TBO-001",tblKurallar[kural_id],0))+$D887*INDEX(tblKurallar[deger_2025],MATCH("TBO-002",tblKurallar[kural_id],0))+$E887*INDEX(tblKurallar[deger_2025],MATCH("TBO-004",tblKurallar[kural_id],0))+$F887*tbo_isverenOran,2),0))</f>
        <v/>
      </c>
      <c r="I887" s="31">
        <f>IF($A887="","",IFERROR(MAX(0,$H887-$G887),0))</f>
        <v/>
      </c>
    </row>
    <row r="888">
      <c r="A888" s="30" t="n"/>
      <c r="B888" s="30" t="n"/>
      <c r="C888" s="30" t="n"/>
      <c r="D888" s="30" t="n"/>
      <c r="E888" s="30" t="n"/>
      <c r="F888" s="30" t="n"/>
      <c r="G888" s="30" t="n"/>
      <c r="H888" s="31">
        <f>IF($A888="","",IFERROR(ROUND($C888*INDEX(tblKurallar[deger_2025],MATCH("TBO-001",tblKurallar[kural_id],0))+$D888*INDEX(tblKurallar[deger_2025],MATCH("TBO-002",tblKurallar[kural_id],0))+$E888*INDEX(tblKurallar[deger_2025],MATCH("TBO-004",tblKurallar[kural_id],0))+$F888*tbo_isverenOran,2),0))</f>
        <v/>
      </c>
      <c r="I888" s="31">
        <f>IF($A888="","",IFERROR(MAX(0,$H888-$G888),0))</f>
        <v/>
      </c>
    </row>
    <row r="889">
      <c r="A889" s="30" t="n"/>
      <c r="B889" s="30" t="n"/>
      <c r="C889" s="30" t="n"/>
      <c r="D889" s="30" t="n"/>
      <c r="E889" s="30" t="n"/>
      <c r="F889" s="30" t="n"/>
      <c r="G889" s="30" t="n"/>
      <c r="H889" s="31">
        <f>IF($A889="","",IFERROR(ROUND($C889*INDEX(tblKurallar[deger_2025],MATCH("TBO-001",tblKurallar[kural_id],0))+$D889*INDEX(tblKurallar[deger_2025],MATCH("TBO-002",tblKurallar[kural_id],0))+$E889*INDEX(tblKurallar[deger_2025],MATCH("TBO-004",tblKurallar[kural_id],0))+$F889*tbo_isverenOran,2),0))</f>
        <v/>
      </c>
      <c r="I889" s="31">
        <f>IF($A889="","",IFERROR(MAX(0,$H889-$G889),0))</f>
        <v/>
      </c>
    </row>
    <row r="890">
      <c r="A890" s="30" t="n"/>
      <c r="B890" s="30" t="n"/>
      <c r="C890" s="30" t="n"/>
      <c r="D890" s="30" t="n"/>
      <c r="E890" s="30" t="n"/>
      <c r="F890" s="30" t="n"/>
      <c r="G890" s="30" t="n"/>
      <c r="H890" s="31">
        <f>IF($A890="","",IFERROR(ROUND($C890*INDEX(tblKurallar[deger_2025],MATCH("TBO-001",tblKurallar[kural_id],0))+$D890*INDEX(tblKurallar[deger_2025],MATCH("TBO-002",tblKurallar[kural_id],0))+$E890*INDEX(tblKurallar[deger_2025],MATCH("TBO-004",tblKurallar[kural_id],0))+$F890*tbo_isverenOran,2),0))</f>
        <v/>
      </c>
      <c r="I890" s="31">
        <f>IF($A890="","",IFERROR(MAX(0,$H890-$G890),0))</f>
        <v/>
      </c>
    </row>
    <row r="891">
      <c r="A891" s="30" t="n"/>
      <c r="B891" s="30" t="n"/>
      <c r="C891" s="30" t="n"/>
      <c r="D891" s="30" t="n"/>
      <c r="E891" s="30" t="n"/>
      <c r="F891" s="30" t="n"/>
      <c r="G891" s="30" t="n"/>
      <c r="H891" s="31">
        <f>IF($A891="","",IFERROR(ROUND($C891*INDEX(tblKurallar[deger_2025],MATCH("TBO-001",tblKurallar[kural_id],0))+$D891*INDEX(tblKurallar[deger_2025],MATCH("TBO-002",tblKurallar[kural_id],0))+$E891*INDEX(tblKurallar[deger_2025],MATCH("TBO-004",tblKurallar[kural_id],0))+$F891*tbo_isverenOran,2),0))</f>
        <v/>
      </c>
      <c r="I891" s="31">
        <f>IF($A891="","",IFERROR(MAX(0,$H891-$G891),0))</f>
        <v/>
      </c>
    </row>
    <row r="892">
      <c r="A892" s="30" t="n"/>
      <c r="B892" s="30" t="n"/>
      <c r="C892" s="30" t="n"/>
      <c r="D892" s="30" t="n"/>
      <c r="E892" s="30" t="n"/>
      <c r="F892" s="30" t="n"/>
      <c r="G892" s="30" t="n"/>
      <c r="H892" s="31">
        <f>IF($A892="","",IFERROR(ROUND($C892*INDEX(tblKurallar[deger_2025],MATCH("TBO-001",tblKurallar[kural_id],0))+$D892*INDEX(tblKurallar[deger_2025],MATCH("TBO-002",tblKurallar[kural_id],0))+$E892*INDEX(tblKurallar[deger_2025],MATCH("TBO-004",tblKurallar[kural_id],0))+$F892*tbo_isverenOran,2),0))</f>
        <v/>
      </c>
      <c r="I892" s="31">
        <f>IF($A892="","",IFERROR(MAX(0,$H892-$G892),0))</f>
        <v/>
      </c>
    </row>
    <row r="893">
      <c r="A893" s="30" t="n"/>
      <c r="B893" s="30" t="n"/>
      <c r="C893" s="30" t="n"/>
      <c r="D893" s="30" t="n"/>
      <c r="E893" s="30" t="n"/>
      <c r="F893" s="30" t="n"/>
      <c r="G893" s="30" t="n"/>
      <c r="H893" s="31">
        <f>IF($A893="","",IFERROR(ROUND($C893*INDEX(tblKurallar[deger_2025],MATCH("TBO-001",tblKurallar[kural_id],0))+$D893*INDEX(tblKurallar[deger_2025],MATCH("TBO-002",tblKurallar[kural_id],0))+$E893*INDEX(tblKurallar[deger_2025],MATCH("TBO-004",tblKurallar[kural_id],0))+$F893*tbo_isverenOran,2),0))</f>
        <v/>
      </c>
      <c r="I893" s="31">
        <f>IF($A893="","",IFERROR(MAX(0,$H893-$G893),0))</f>
        <v/>
      </c>
    </row>
    <row r="894">
      <c r="A894" s="30" t="n"/>
      <c r="B894" s="30" t="n"/>
      <c r="C894" s="30" t="n"/>
      <c r="D894" s="30" t="n"/>
      <c r="E894" s="30" t="n"/>
      <c r="F894" s="30" t="n"/>
      <c r="G894" s="30" t="n"/>
      <c r="H894" s="31">
        <f>IF($A894="","",IFERROR(ROUND($C894*INDEX(tblKurallar[deger_2025],MATCH("TBO-001",tblKurallar[kural_id],0))+$D894*INDEX(tblKurallar[deger_2025],MATCH("TBO-002",tblKurallar[kural_id],0))+$E894*INDEX(tblKurallar[deger_2025],MATCH("TBO-004",tblKurallar[kural_id],0))+$F894*tbo_isverenOran,2),0))</f>
        <v/>
      </c>
      <c r="I894" s="31">
        <f>IF($A894="","",IFERROR(MAX(0,$H894-$G894),0))</f>
        <v/>
      </c>
    </row>
    <row r="895">
      <c r="A895" s="30" t="n"/>
      <c r="B895" s="30" t="n"/>
      <c r="C895" s="30" t="n"/>
      <c r="D895" s="30" t="n"/>
      <c r="E895" s="30" t="n"/>
      <c r="F895" s="30" t="n"/>
      <c r="G895" s="30" t="n"/>
      <c r="H895" s="31">
        <f>IF($A895="","",IFERROR(ROUND($C895*INDEX(tblKurallar[deger_2025],MATCH("TBO-001",tblKurallar[kural_id],0))+$D895*INDEX(tblKurallar[deger_2025],MATCH("TBO-002",tblKurallar[kural_id],0))+$E895*INDEX(tblKurallar[deger_2025],MATCH("TBO-004",tblKurallar[kural_id],0))+$F895*tbo_isverenOran,2),0))</f>
        <v/>
      </c>
      <c r="I895" s="31">
        <f>IF($A895="","",IFERROR(MAX(0,$H895-$G895),0))</f>
        <v/>
      </c>
    </row>
    <row r="896">
      <c r="A896" s="30" t="n"/>
      <c r="B896" s="30" t="n"/>
      <c r="C896" s="30" t="n"/>
      <c r="D896" s="30" t="n"/>
      <c r="E896" s="30" t="n"/>
      <c r="F896" s="30" t="n"/>
      <c r="G896" s="30" t="n"/>
      <c r="H896" s="31">
        <f>IF($A896="","",IFERROR(ROUND($C896*INDEX(tblKurallar[deger_2025],MATCH("TBO-001",tblKurallar[kural_id],0))+$D896*INDEX(tblKurallar[deger_2025],MATCH("TBO-002",tblKurallar[kural_id],0))+$E896*INDEX(tblKurallar[deger_2025],MATCH("TBO-004",tblKurallar[kural_id],0))+$F896*tbo_isverenOran,2),0))</f>
        <v/>
      </c>
      <c r="I896" s="31">
        <f>IF($A896="","",IFERROR(MAX(0,$H896-$G896),0))</f>
        <v/>
      </c>
    </row>
    <row r="897">
      <c r="A897" s="30" t="n"/>
      <c r="B897" s="30" t="n"/>
      <c r="C897" s="30" t="n"/>
      <c r="D897" s="30" t="n"/>
      <c r="E897" s="30" t="n"/>
      <c r="F897" s="30" t="n"/>
      <c r="G897" s="30" t="n"/>
      <c r="H897" s="31">
        <f>IF($A897="","",IFERROR(ROUND($C897*INDEX(tblKurallar[deger_2025],MATCH("TBO-001",tblKurallar[kural_id],0))+$D897*INDEX(tblKurallar[deger_2025],MATCH("TBO-002",tblKurallar[kural_id],0))+$E897*INDEX(tblKurallar[deger_2025],MATCH("TBO-004",tblKurallar[kural_id],0))+$F897*tbo_isverenOran,2),0))</f>
        <v/>
      </c>
      <c r="I897" s="31">
        <f>IF($A897="","",IFERROR(MAX(0,$H897-$G897),0))</f>
        <v/>
      </c>
    </row>
    <row r="898">
      <c r="A898" s="30" t="n"/>
      <c r="B898" s="30" t="n"/>
      <c r="C898" s="30" t="n"/>
      <c r="D898" s="30" t="n"/>
      <c r="E898" s="30" t="n"/>
      <c r="F898" s="30" t="n"/>
      <c r="G898" s="30" t="n"/>
      <c r="H898" s="31">
        <f>IF($A898="","",IFERROR(ROUND($C898*INDEX(tblKurallar[deger_2025],MATCH("TBO-001",tblKurallar[kural_id],0))+$D898*INDEX(tblKurallar[deger_2025],MATCH("TBO-002",tblKurallar[kural_id],0))+$E898*INDEX(tblKurallar[deger_2025],MATCH("TBO-004",tblKurallar[kural_id],0))+$F898*tbo_isverenOran,2),0))</f>
        <v/>
      </c>
      <c r="I898" s="31">
        <f>IF($A898="","",IFERROR(MAX(0,$H898-$G898),0))</f>
        <v/>
      </c>
    </row>
    <row r="899">
      <c r="A899" s="30" t="n"/>
      <c r="B899" s="30" t="n"/>
      <c r="C899" s="30" t="n"/>
      <c r="D899" s="30" t="n"/>
      <c r="E899" s="30" t="n"/>
      <c r="F899" s="30" t="n"/>
      <c r="G899" s="30" t="n"/>
      <c r="H899" s="31">
        <f>IF($A899="","",IFERROR(ROUND($C899*INDEX(tblKurallar[deger_2025],MATCH("TBO-001",tblKurallar[kural_id],0))+$D899*INDEX(tblKurallar[deger_2025],MATCH("TBO-002",tblKurallar[kural_id],0))+$E899*INDEX(tblKurallar[deger_2025],MATCH("TBO-004",tblKurallar[kural_id],0))+$F899*tbo_isverenOran,2),0))</f>
        <v/>
      </c>
      <c r="I899" s="31">
        <f>IF($A899="","",IFERROR(MAX(0,$H899-$G899),0))</f>
        <v/>
      </c>
    </row>
    <row r="900">
      <c r="A900" s="30" t="n"/>
      <c r="B900" s="30" t="n"/>
      <c r="C900" s="30" t="n"/>
      <c r="D900" s="30" t="n"/>
      <c r="E900" s="30" t="n"/>
      <c r="F900" s="30" t="n"/>
      <c r="G900" s="30" t="n"/>
      <c r="H900" s="31">
        <f>IF($A900="","",IFERROR(ROUND($C900*INDEX(tblKurallar[deger_2025],MATCH("TBO-001",tblKurallar[kural_id],0))+$D900*INDEX(tblKurallar[deger_2025],MATCH("TBO-002",tblKurallar[kural_id],0))+$E900*INDEX(tblKurallar[deger_2025],MATCH("TBO-004",tblKurallar[kural_id],0))+$F900*tbo_isverenOran,2),0))</f>
        <v/>
      </c>
      <c r="I900" s="31">
        <f>IF($A900="","",IFERROR(MAX(0,$H900-$G900),0))</f>
        <v/>
      </c>
    </row>
    <row r="901">
      <c r="A901" s="30" t="n"/>
      <c r="B901" s="30" t="n"/>
      <c r="C901" s="30" t="n"/>
      <c r="D901" s="30" t="n"/>
      <c r="E901" s="30" t="n"/>
      <c r="F901" s="30" t="n"/>
      <c r="G901" s="30" t="n"/>
      <c r="H901" s="31">
        <f>IF($A901="","",IFERROR(ROUND($C901*INDEX(tblKurallar[deger_2025],MATCH("TBO-001",tblKurallar[kural_id],0))+$D901*INDEX(tblKurallar[deger_2025],MATCH("TBO-002",tblKurallar[kural_id],0))+$E901*INDEX(tblKurallar[deger_2025],MATCH("TBO-004",tblKurallar[kural_id],0))+$F901*tbo_isverenOran,2),0))</f>
        <v/>
      </c>
      <c r="I901" s="31">
        <f>IF($A901="","",IFERROR(MAX(0,$H901-$G901),0))</f>
        <v/>
      </c>
    </row>
    <row r="902">
      <c r="A902" s="30" t="n"/>
      <c r="B902" s="30" t="n"/>
      <c r="C902" s="30" t="n"/>
      <c r="D902" s="30" t="n"/>
      <c r="E902" s="30" t="n"/>
      <c r="F902" s="30" t="n"/>
      <c r="G902" s="30" t="n"/>
      <c r="H902" s="31">
        <f>IF($A902="","",IFERROR(ROUND($C902*INDEX(tblKurallar[deger_2025],MATCH("TBO-001",tblKurallar[kural_id],0))+$D902*INDEX(tblKurallar[deger_2025],MATCH("TBO-002",tblKurallar[kural_id],0))+$E902*INDEX(tblKurallar[deger_2025],MATCH("TBO-004",tblKurallar[kural_id],0))+$F902*tbo_isverenOran,2),0))</f>
        <v/>
      </c>
      <c r="I902" s="31">
        <f>IF($A902="","",IFERROR(MAX(0,$H902-$G902),0))</f>
        <v/>
      </c>
    </row>
    <row r="903">
      <c r="A903" s="30" t="n"/>
      <c r="B903" s="30" t="n"/>
      <c r="C903" s="30" t="n"/>
      <c r="D903" s="30" t="n"/>
      <c r="E903" s="30" t="n"/>
      <c r="F903" s="30" t="n"/>
      <c r="G903" s="30" t="n"/>
      <c r="H903" s="31">
        <f>IF($A903="","",IFERROR(ROUND($C903*INDEX(tblKurallar[deger_2025],MATCH("TBO-001",tblKurallar[kural_id],0))+$D903*INDEX(tblKurallar[deger_2025],MATCH("TBO-002",tblKurallar[kural_id],0))+$E903*INDEX(tblKurallar[deger_2025],MATCH("TBO-004",tblKurallar[kural_id],0))+$F903*tbo_isverenOran,2),0))</f>
        <v/>
      </c>
      <c r="I903" s="31">
        <f>IF($A903="","",IFERROR(MAX(0,$H903-$G903),0))</f>
        <v/>
      </c>
    </row>
    <row r="904">
      <c r="A904" s="30" t="n"/>
      <c r="B904" s="30" t="n"/>
      <c r="C904" s="30" t="n"/>
      <c r="D904" s="30" t="n"/>
      <c r="E904" s="30" t="n"/>
      <c r="F904" s="30" t="n"/>
      <c r="G904" s="30" t="n"/>
      <c r="H904" s="31">
        <f>IF($A904="","",IFERROR(ROUND($C904*INDEX(tblKurallar[deger_2025],MATCH("TBO-001",tblKurallar[kural_id],0))+$D904*INDEX(tblKurallar[deger_2025],MATCH("TBO-002",tblKurallar[kural_id],0))+$E904*INDEX(tblKurallar[deger_2025],MATCH("TBO-004",tblKurallar[kural_id],0))+$F904*tbo_isverenOran,2),0))</f>
        <v/>
      </c>
      <c r="I904" s="31">
        <f>IF($A904="","",IFERROR(MAX(0,$H904-$G904),0))</f>
        <v/>
      </c>
    </row>
    <row r="905">
      <c r="A905" s="30" t="n"/>
      <c r="B905" s="30" t="n"/>
      <c r="C905" s="30" t="n"/>
      <c r="D905" s="30" t="n"/>
      <c r="E905" s="30" t="n"/>
      <c r="F905" s="30" t="n"/>
      <c r="G905" s="30" t="n"/>
      <c r="H905" s="31">
        <f>IF($A905="","",IFERROR(ROUND($C905*INDEX(tblKurallar[deger_2025],MATCH("TBO-001",tblKurallar[kural_id],0))+$D905*INDEX(tblKurallar[deger_2025],MATCH("TBO-002",tblKurallar[kural_id],0))+$E905*INDEX(tblKurallar[deger_2025],MATCH("TBO-004",tblKurallar[kural_id],0))+$F905*tbo_isverenOran,2),0))</f>
        <v/>
      </c>
      <c r="I905" s="31">
        <f>IF($A905="","",IFERROR(MAX(0,$H905-$G905),0))</f>
        <v/>
      </c>
    </row>
    <row r="906">
      <c r="A906" s="30" t="n"/>
      <c r="B906" s="30" t="n"/>
      <c r="C906" s="30" t="n"/>
      <c r="D906" s="30" t="n"/>
      <c r="E906" s="30" t="n"/>
      <c r="F906" s="30" t="n"/>
      <c r="G906" s="30" t="n"/>
      <c r="H906" s="31">
        <f>IF($A906="","",IFERROR(ROUND($C906*INDEX(tblKurallar[deger_2025],MATCH("TBO-001",tblKurallar[kural_id],0))+$D906*INDEX(tblKurallar[deger_2025],MATCH("TBO-002",tblKurallar[kural_id],0))+$E906*INDEX(tblKurallar[deger_2025],MATCH("TBO-004",tblKurallar[kural_id],0))+$F906*tbo_isverenOran,2),0))</f>
        <v/>
      </c>
      <c r="I906" s="31">
        <f>IF($A906="","",IFERROR(MAX(0,$H906-$G906),0))</f>
        <v/>
      </c>
    </row>
    <row r="907">
      <c r="A907" s="30" t="n"/>
      <c r="B907" s="30" t="n"/>
      <c r="C907" s="30" t="n"/>
      <c r="D907" s="30" t="n"/>
      <c r="E907" s="30" t="n"/>
      <c r="F907" s="30" t="n"/>
      <c r="G907" s="30" t="n"/>
      <c r="H907" s="31">
        <f>IF($A907="","",IFERROR(ROUND($C907*INDEX(tblKurallar[deger_2025],MATCH("TBO-001",tblKurallar[kural_id],0))+$D907*INDEX(tblKurallar[deger_2025],MATCH("TBO-002",tblKurallar[kural_id],0))+$E907*INDEX(tblKurallar[deger_2025],MATCH("TBO-004",tblKurallar[kural_id],0))+$F907*tbo_isverenOran,2),0))</f>
        <v/>
      </c>
      <c r="I907" s="31">
        <f>IF($A907="","",IFERROR(MAX(0,$H907-$G907),0))</f>
        <v/>
      </c>
    </row>
    <row r="908">
      <c r="A908" s="30" t="n"/>
      <c r="B908" s="30" t="n"/>
      <c r="C908" s="30" t="n"/>
      <c r="D908" s="30" t="n"/>
      <c r="E908" s="30" t="n"/>
      <c r="F908" s="30" t="n"/>
      <c r="G908" s="30" t="n"/>
      <c r="H908" s="31">
        <f>IF($A908="","",IFERROR(ROUND($C908*INDEX(tblKurallar[deger_2025],MATCH("TBO-001",tblKurallar[kural_id],0))+$D908*INDEX(tblKurallar[deger_2025],MATCH("TBO-002",tblKurallar[kural_id],0))+$E908*INDEX(tblKurallar[deger_2025],MATCH("TBO-004",tblKurallar[kural_id],0))+$F908*tbo_isverenOran,2),0))</f>
        <v/>
      </c>
      <c r="I908" s="31">
        <f>IF($A908="","",IFERROR(MAX(0,$H908-$G908),0))</f>
        <v/>
      </c>
    </row>
    <row r="909">
      <c r="A909" s="30" t="n"/>
      <c r="B909" s="30" t="n"/>
      <c r="C909" s="30" t="n"/>
      <c r="D909" s="30" t="n"/>
      <c r="E909" s="30" t="n"/>
      <c r="F909" s="30" t="n"/>
      <c r="G909" s="30" t="n"/>
      <c r="H909" s="31">
        <f>IF($A909="","",IFERROR(ROUND($C909*INDEX(tblKurallar[deger_2025],MATCH("TBO-001",tblKurallar[kural_id],0))+$D909*INDEX(tblKurallar[deger_2025],MATCH("TBO-002",tblKurallar[kural_id],0))+$E909*INDEX(tblKurallar[deger_2025],MATCH("TBO-004",tblKurallar[kural_id],0))+$F909*tbo_isverenOran,2),0))</f>
        <v/>
      </c>
      <c r="I909" s="31">
        <f>IF($A909="","",IFERROR(MAX(0,$H909-$G909),0))</f>
        <v/>
      </c>
    </row>
    <row r="910">
      <c r="A910" s="30" t="n"/>
      <c r="B910" s="30" t="n"/>
      <c r="C910" s="30" t="n"/>
      <c r="D910" s="30" t="n"/>
      <c r="E910" s="30" t="n"/>
      <c r="F910" s="30" t="n"/>
      <c r="G910" s="30" t="n"/>
      <c r="H910" s="31">
        <f>IF($A910="","",IFERROR(ROUND($C910*INDEX(tblKurallar[deger_2025],MATCH("TBO-001",tblKurallar[kural_id],0))+$D910*INDEX(tblKurallar[deger_2025],MATCH("TBO-002",tblKurallar[kural_id],0))+$E910*INDEX(tblKurallar[deger_2025],MATCH("TBO-004",tblKurallar[kural_id],0))+$F910*tbo_isverenOran,2),0))</f>
        <v/>
      </c>
      <c r="I910" s="31">
        <f>IF($A910="","",IFERROR(MAX(0,$H910-$G910),0))</f>
        <v/>
      </c>
    </row>
    <row r="911">
      <c r="A911" s="30" t="n"/>
      <c r="B911" s="30" t="n"/>
      <c r="C911" s="30" t="n"/>
      <c r="D911" s="30" t="n"/>
      <c r="E911" s="30" t="n"/>
      <c r="F911" s="30" t="n"/>
      <c r="G911" s="30" t="n"/>
      <c r="H911" s="31">
        <f>IF($A911="","",IFERROR(ROUND($C911*INDEX(tblKurallar[deger_2025],MATCH("TBO-001",tblKurallar[kural_id],0))+$D911*INDEX(tblKurallar[deger_2025],MATCH("TBO-002",tblKurallar[kural_id],0))+$E911*INDEX(tblKurallar[deger_2025],MATCH("TBO-004",tblKurallar[kural_id],0))+$F911*tbo_isverenOran,2),0))</f>
        <v/>
      </c>
      <c r="I911" s="31">
        <f>IF($A911="","",IFERROR(MAX(0,$H911-$G911),0))</f>
        <v/>
      </c>
    </row>
    <row r="912">
      <c r="A912" s="30" t="n"/>
      <c r="B912" s="30" t="n"/>
      <c r="C912" s="30" t="n"/>
      <c r="D912" s="30" t="n"/>
      <c r="E912" s="30" t="n"/>
      <c r="F912" s="30" t="n"/>
      <c r="G912" s="30" t="n"/>
      <c r="H912" s="31">
        <f>IF($A912="","",IFERROR(ROUND($C912*INDEX(tblKurallar[deger_2025],MATCH("TBO-001",tblKurallar[kural_id],0))+$D912*INDEX(tblKurallar[deger_2025],MATCH("TBO-002",tblKurallar[kural_id],0))+$E912*INDEX(tblKurallar[deger_2025],MATCH("TBO-004",tblKurallar[kural_id],0))+$F912*tbo_isverenOran,2),0))</f>
        <v/>
      </c>
      <c r="I912" s="31">
        <f>IF($A912="","",IFERROR(MAX(0,$H912-$G912),0))</f>
        <v/>
      </c>
    </row>
    <row r="913">
      <c r="A913" s="30" t="n"/>
      <c r="B913" s="30" t="n"/>
      <c r="C913" s="30" t="n"/>
      <c r="D913" s="30" t="n"/>
      <c r="E913" s="30" t="n"/>
      <c r="F913" s="30" t="n"/>
      <c r="G913" s="30" t="n"/>
      <c r="H913" s="31">
        <f>IF($A913="","",IFERROR(ROUND($C913*INDEX(tblKurallar[deger_2025],MATCH("TBO-001",tblKurallar[kural_id],0))+$D913*INDEX(tblKurallar[deger_2025],MATCH("TBO-002",tblKurallar[kural_id],0))+$E913*INDEX(tblKurallar[deger_2025],MATCH("TBO-004",tblKurallar[kural_id],0))+$F913*tbo_isverenOran,2),0))</f>
        <v/>
      </c>
      <c r="I913" s="31">
        <f>IF($A913="","",IFERROR(MAX(0,$H913-$G913),0))</f>
        <v/>
      </c>
    </row>
    <row r="914">
      <c r="A914" s="30" t="n"/>
      <c r="B914" s="30" t="n"/>
      <c r="C914" s="30" t="n"/>
      <c r="D914" s="30" t="n"/>
      <c r="E914" s="30" t="n"/>
      <c r="F914" s="30" t="n"/>
      <c r="G914" s="30" t="n"/>
      <c r="H914" s="31">
        <f>IF($A914="","",IFERROR(ROUND($C914*INDEX(tblKurallar[deger_2025],MATCH("TBO-001",tblKurallar[kural_id],0))+$D914*INDEX(tblKurallar[deger_2025],MATCH("TBO-002",tblKurallar[kural_id],0))+$E914*INDEX(tblKurallar[deger_2025],MATCH("TBO-004",tblKurallar[kural_id],0))+$F914*tbo_isverenOran,2),0))</f>
        <v/>
      </c>
      <c r="I914" s="31">
        <f>IF($A914="","",IFERROR(MAX(0,$H914-$G914),0))</f>
        <v/>
      </c>
    </row>
    <row r="915">
      <c r="A915" s="30" t="n"/>
      <c r="B915" s="30" t="n"/>
      <c r="C915" s="30" t="n"/>
      <c r="D915" s="30" t="n"/>
      <c r="E915" s="30" t="n"/>
      <c r="F915" s="30" t="n"/>
      <c r="G915" s="30" t="n"/>
      <c r="H915" s="31">
        <f>IF($A915="","",IFERROR(ROUND($C915*INDEX(tblKurallar[deger_2025],MATCH("TBO-001",tblKurallar[kural_id],0))+$D915*INDEX(tblKurallar[deger_2025],MATCH("TBO-002",tblKurallar[kural_id],0))+$E915*INDEX(tblKurallar[deger_2025],MATCH("TBO-004",tblKurallar[kural_id],0))+$F915*tbo_isverenOran,2),0))</f>
        <v/>
      </c>
      <c r="I915" s="31">
        <f>IF($A915="","",IFERROR(MAX(0,$H915-$G915),0))</f>
        <v/>
      </c>
    </row>
    <row r="916">
      <c r="A916" s="30" t="n"/>
      <c r="B916" s="30" t="n"/>
      <c r="C916" s="30" t="n"/>
      <c r="D916" s="30" t="n"/>
      <c r="E916" s="30" t="n"/>
      <c r="F916" s="30" t="n"/>
      <c r="G916" s="30" t="n"/>
      <c r="H916" s="31">
        <f>IF($A916="","",IFERROR(ROUND($C916*INDEX(tblKurallar[deger_2025],MATCH("TBO-001",tblKurallar[kural_id],0))+$D916*INDEX(tblKurallar[deger_2025],MATCH("TBO-002",tblKurallar[kural_id],0))+$E916*INDEX(tblKurallar[deger_2025],MATCH("TBO-004",tblKurallar[kural_id],0))+$F916*tbo_isverenOran,2),0))</f>
        <v/>
      </c>
      <c r="I916" s="31">
        <f>IF($A916="","",IFERROR(MAX(0,$H916-$G916),0))</f>
        <v/>
      </c>
    </row>
    <row r="917">
      <c r="A917" s="30" t="n"/>
      <c r="B917" s="30" t="n"/>
      <c r="C917" s="30" t="n"/>
      <c r="D917" s="30" t="n"/>
      <c r="E917" s="30" t="n"/>
      <c r="F917" s="30" t="n"/>
      <c r="G917" s="30" t="n"/>
      <c r="H917" s="31">
        <f>IF($A917="","",IFERROR(ROUND($C917*INDEX(tblKurallar[deger_2025],MATCH("TBO-001",tblKurallar[kural_id],0))+$D917*INDEX(tblKurallar[deger_2025],MATCH("TBO-002",tblKurallar[kural_id],0))+$E917*INDEX(tblKurallar[deger_2025],MATCH("TBO-004",tblKurallar[kural_id],0))+$F917*tbo_isverenOran,2),0))</f>
        <v/>
      </c>
      <c r="I917" s="31">
        <f>IF($A917="","",IFERROR(MAX(0,$H917-$G917),0))</f>
        <v/>
      </c>
    </row>
    <row r="918">
      <c r="A918" s="30" t="n"/>
      <c r="B918" s="30" t="n"/>
      <c r="C918" s="30" t="n"/>
      <c r="D918" s="30" t="n"/>
      <c r="E918" s="30" t="n"/>
      <c r="F918" s="30" t="n"/>
      <c r="G918" s="30" t="n"/>
      <c r="H918" s="31">
        <f>IF($A918="","",IFERROR(ROUND($C918*INDEX(tblKurallar[deger_2025],MATCH("TBO-001",tblKurallar[kural_id],0))+$D918*INDEX(tblKurallar[deger_2025],MATCH("TBO-002",tblKurallar[kural_id],0))+$E918*INDEX(tblKurallar[deger_2025],MATCH("TBO-004",tblKurallar[kural_id],0))+$F918*tbo_isverenOran,2),0))</f>
        <v/>
      </c>
      <c r="I918" s="31">
        <f>IF($A918="","",IFERROR(MAX(0,$H918-$G918),0))</f>
        <v/>
      </c>
    </row>
    <row r="919">
      <c r="A919" s="30" t="n"/>
      <c r="B919" s="30" t="n"/>
      <c r="C919" s="30" t="n"/>
      <c r="D919" s="30" t="n"/>
      <c r="E919" s="30" t="n"/>
      <c r="F919" s="30" t="n"/>
      <c r="G919" s="30" t="n"/>
      <c r="H919" s="31">
        <f>IF($A919="","",IFERROR(ROUND($C919*INDEX(tblKurallar[deger_2025],MATCH("TBO-001",tblKurallar[kural_id],0))+$D919*INDEX(tblKurallar[deger_2025],MATCH("TBO-002",tblKurallar[kural_id],0))+$E919*INDEX(tblKurallar[deger_2025],MATCH("TBO-004",tblKurallar[kural_id],0))+$F919*tbo_isverenOran,2),0))</f>
        <v/>
      </c>
      <c r="I919" s="31">
        <f>IF($A919="","",IFERROR(MAX(0,$H919-$G919),0))</f>
        <v/>
      </c>
    </row>
    <row r="920">
      <c r="A920" s="30" t="n"/>
      <c r="B920" s="30" t="n"/>
      <c r="C920" s="30" t="n"/>
      <c r="D920" s="30" t="n"/>
      <c r="E920" s="30" t="n"/>
      <c r="F920" s="30" t="n"/>
      <c r="G920" s="30" t="n"/>
      <c r="H920" s="31">
        <f>IF($A920="","",IFERROR(ROUND($C920*INDEX(tblKurallar[deger_2025],MATCH("TBO-001",tblKurallar[kural_id],0))+$D920*INDEX(tblKurallar[deger_2025],MATCH("TBO-002",tblKurallar[kural_id],0))+$E920*INDEX(tblKurallar[deger_2025],MATCH("TBO-004",tblKurallar[kural_id],0))+$F920*tbo_isverenOran,2),0))</f>
        <v/>
      </c>
      <c r="I920" s="31">
        <f>IF($A920="","",IFERROR(MAX(0,$H920-$G920),0))</f>
        <v/>
      </c>
    </row>
    <row r="921">
      <c r="A921" s="30" t="n"/>
      <c r="B921" s="30" t="n"/>
      <c r="C921" s="30" t="n"/>
      <c r="D921" s="30" t="n"/>
      <c r="E921" s="30" t="n"/>
      <c r="F921" s="30" t="n"/>
      <c r="G921" s="30" t="n"/>
      <c r="H921" s="31">
        <f>IF($A921="","",IFERROR(ROUND($C921*INDEX(tblKurallar[deger_2025],MATCH("TBO-001",tblKurallar[kural_id],0))+$D921*INDEX(tblKurallar[deger_2025],MATCH("TBO-002",tblKurallar[kural_id],0))+$E921*INDEX(tblKurallar[deger_2025],MATCH("TBO-004",tblKurallar[kural_id],0))+$F921*tbo_isverenOran,2),0))</f>
        <v/>
      </c>
      <c r="I921" s="31">
        <f>IF($A921="","",IFERROR(MAX(0,$H921-$G921),0))</f>
        <v/>
      </c>
    </row>
    <row r="922">
      <c r="A922" s="30" t="n"/>
      <c r="B922" s="30" t="n"/>
      <c r="C922" s="30" t="n"/>
      <c r="D922" s="30" t="n"/>
      <c r="E922" s="30" t="n"/>
      <c r="F922" s="30" t="n"/>
      <c r="G922" s="30" t="n"/>
      <c r="H922" s="31">
        <f>IF($A922="","",IFERROR(ROUND($C922*INDEX(tblKurallar[deger_2025],MATCH("TBO-001",tblKurallar[kural_id],0))+$D922*INDEX(tblKurallar[deger_2025],MATCH("TBO-002",tblKurallar[kural_id],0))+$E922*INDEX(tblKurallar[deger_2025],MATCH("TBO-004",tblKurallar[kural_id],0))+$F922*tbo_isverenOran,2),0))</f>
        <v/>
      </c>
      <c r="I922" s="31">
        <f>IF($A922="","",IFERROR(MAX(0,$H922-$G922),0))</f>
        <v/>
      </c>
    </row>
    <row r="923">
      <c r="A923" s="30" t="n"/>
      <c r="B923" s="30" t="n"/>
      <c r="C923" s="30" t="n"/>
      <c r="D923" s="30" t="n"/>
      <c r="E923" s="30" t="n"/>
      <c r="F923" s="30" t="n"/>
      <c r="G923" s="30" t="n"/>
      <c r="H923" s="31">
        <f>IF($A923="","",IFERROR(ROUND($C923*INDEX(tblKurallar[deger_2025],MATCH("TBO-001",tblKurallar[kural_id],0))+$D923*INDEX(tblKurallar[deger_2025],MATCH("TBO-002",tblKurallar[kural_id],0))+$E923*INDEX(tblKurallar[deger_2025],MATCH("TBO-004",tblKurallar[kural_id],0))+$F923*tbo_isverenOran,2),0))</f>
        <v/>
      </c>
      <c r="I923" s="31">
        <f>IF($A923="","",IFERROR(MAX(0,$H923-$G923),0))</f>
        <v/>
      </c>
    </row>
    <row r="924">
      <c r="A924" s="30" t="n"/>
      <c r="B924" s="30" t="n"/>
      <c r="C924" s="30" t="n"/>
      <c r="D924" s="30" t="n"/>
      <c r="E924" s="30" t="n"/>
      <c r="F924" s="30" t="n"/>
      <c r="G924" s="30" t="n"/>
      <c r="H924" s="31">
        <f>IF($A924="","",IFERROR(ROUND($C924*INDEX(tblKurallar[deger_2025],MATCH("TBO-001",tblKurallar[kural_id],0))+$D924*INDEX(tblKurallar[deger_2025],MATCH("TBO-002",tblKurallar[kural_id],0))+$E924*INDEX(tblKurallar[deger_2025],MATCH("TBO-004",tblKurallar[kural_id],0))+$F924*tbo_isverenOran,2),0))</f>
        <v/>
      </c>
      <c r="I924" s="31">
        <f>IF($A924="","",IFERROR(MAX(0,$H924-$G924),0))</f>
        <v/>
      </c>
    </row>
    <row r="925">
      <c r="A925" s="30" t="n"/>
      <c r="B925" s="30" t="n"/>
      <c r="C925" s="30" t="n"/>
      <c r="D925" s="30" t="n"/>
      <c r="E925" s="30" t="n"/>
      <c r="F925" s="30" t="n"/>
      <c r="G925" s="30" t="n"/>
      <c r="H925" s="31">
        <f>IF($A925="","",IFERROR(ROUND($C925*INDEX(tblKurallar[deger_2025],MATCH("TBO-001",tblKurallar[kural_id],0))+$D925*INDEX(tblKurallar[deger_2025],MATCH("TBO-002",tblKurallar[kural_id],0))+$E925*INDEX(tblKurallar[deger_2025],MATCH("TBO-004",tblKurallar[kural_id],0))+$F925*tbo_isverenOran,2),0))</f>
        <v/>
      </c>
      <c r="I925" s="31">
        <f>IF($A925="","",IFERROR(MAX(0,$H925-$G925),0))</f>
        <v/>
      </c>
    </row>
    <row r="926">
      <c r="A926" s="30" t="n"/>
      <c r="B926" s="30" t="n"/>
      <c r="C926" s="30" t="n"/>
      <c r="D926" s="30" t="n"/>
      <c r="E926" s="30" t="n"/>
      <c r="F926" s="30" t="n"/>
      <c r="G926" s="30" t="n"/>
      <c r="H926" s="31">
        <f>IF($A926="","",IFERROR(ROUND($C926*INDEX(tblKurallar[deger_2025],MATCH("TBO-001",tblKurallar[kural_id],0))+$D926*INDEX(tblKurallar[deger_2025],MATCH("TBO-002",tblKurallar[kural_id],0))+$E926*INDEX(tblKurallar[deger_2025],MATCH("TBO-004",tblKurallar[kural_id],0))+$F926*tbo_isverenOran,2),0))</f>
        <v/>
      </c>
      <c r="I926" s="31">
        <f>IF($A926="","",IFERROR(MAX(0,$H926-$G926),0))</f>
        <v/>
      </c>
    </row>
    <row r="927">
      <c r="A927" s="30" t="n"/>
      <c r="B927" s="30" t="n"/>
      <c r="C927" s="30" t="n"/>
      <c r="D927" s="30" t="n"/>
      <c r="E927" s="30" t="n"/>
      <c r="F927" s="30" t="n"/>
      <c r="G927" s="30" t="n"/>
      <c r="H927" s="31">
        <f>IF($A927="","",IFERROR(ROUND($C927*INDEX(tblKurallar[deger_2025],MATCH("TBO-001",tblKurallar[kural_id],0))+$D927*INDEX(tblKurallar[deger_2025],MATCH("TBO-002",tblKurallar[kural_id],0))+$E927*INDEX(tblKurallar[deger_2025],MATCH("TBO-004",tblKurallar[kural_id],0))+$F927*tbo_isverenOran,2),0))</f>
        <v/>
      </c>
      <c r="I927" s="31">
        <f>IF($A927="","",IFERROR(MAX(0,$H927-$G927),0))</f>
        <v/>
      </c>
    </row>
    <row r="928">
      <c r="A928" s="30" t="n"/>
      <c r="B928" s="30" t="n"/>
      <c r="C928" s="30" t="n"/>
      <c r="D928" s="30" t="n"/>
      <c r="E928" s="30" t="n"/>
      <c r="F928" s="30" t="n"/>
      <c r="G928" s="30" t="n"/>
      <c r="H928" s="31">
        <f>IF($A928="","",IFERROR(ROUND($C928*INDEX(tblKurallar[deger_2025],MATCH("TBO-001",tblKurallar[kural_id],0))+$D928*INDEX(tblKurallar[deger_2025],MATCH("TBO-002",tblKurallar[kural_id],0))+$E928*INDEX(tblKurallar[deger_2025],MATCH("TBO-004",tblKurallar[kural_id],0))+$F928*tbo_isverenOran,2),0))</f>
        <v/>
      </c>
      <c r="I928" s="31">
        <f>IF($A928="","",IFERROR(MAX(0,$H928-$G928),0))</f>
        <v/>
      </c>
    </row>
    <row r="929">
      <c r="A929" s="30" t="n"/>
      <c r="B929" s="30" t="n"/>
      <c r="C929" s="30" t="n"/>
      <c r="D929" s="30" t="n"/>
      <c r="E929" s="30" t="n"/>
      <c r="F929" s="30" t="n"/>
      <c r="G929" s="30" t="n"/>
      <c r="H929" s="31">
        <f>IF($A929="","",IFERROR(ROUND($C929*INDEX(tblKurallar[deger_2025],MATCH("TBO-001",tblKurallar[kural_id],0))+$D929*INDEX(tblKurallar[deger_2025],MATCH("TBO-002",tblKurallar[kural_id],0))+$E929*INDEX(tblKurallar[deger_2025],MATCH("TBO-004",tblKurallar[kural_id],0))+$F929*tbo_isverenOran,2),0))</f>
        <v/>
      </c>
      <c r="I929" s="31">
        <f>IF($A929="","",IFERROR(MAX(0,$H929-$G929),0))</f>
        <v/>
      </c>
    </row>
    <row r="930">
      <c r="A930" s="30" t="n"/>
      <c r="B930" s="30" t="n"/>
      <c r="C930" s="30" t="n"/>
      <c r="D930" s="30" t="n"/>
      <c r="E930" s="30" t="n"/>
      <c r="F930" s="30" t="n"/>
      <c r="G930" s="30" t="n"/>
      <c r="H930" s="31">
        <f>IF($A930="","",IFERROR(ROUND($C930*INDEX(tblKurallar[deger_2025],MATCH("TBO-001",tblKurallar[kural_id],0))+$D930*INDEX(tblKurallar[deger_2025],MATCH("TBO-002",tblKurallar[kural_id],0))+$E930*INDEX(tblKurallar[deger_2025],MATCH("TBO-004",tblKurallar[kural_id],0))+$F930*tbo_isverenOran,2),0))</f>
        <v/>
      </c>
      <c r="I930" s="31">
        <f>IF($A930="","",IFERROR(MAX(0,$H930-$G930),0))</f>
        <v/>
      </c>
    </row>
    <row r="931">
      <c r="A931" s="30" t="n"/>
      <c r="B931" s="30" t="n"/>
      <c r="C931" s="30" t="n"/>
      <c r="D931" s="30" t="n"/>
      <c r="E931" s="30" t="n"/>
      <c r="F931" s="30" t="n"/>
      <c r="G931" s="30" t="n"/>
      <c r="H931" s="31">
        <f>IF($A931="","",IFERROR(ROUND($C931*INDEX(tblKurallar[deger_2025],MATCH("TBO-001",tblKurallar[kural_id],0))+$D931*INDEX(tblKurallar[deger_2025],MATCH("TBO-002",tblKurallar[kural_id],0))+$E931*INDEX(tblKurallar[deger_2025],MATCH("TBO-004",tblKurallar[kural_id],0))+$F931*tbo_isverenOran,2),0))</f>
        <v/>
      </c>
      <c r="I931" s="31">
        <f>IF($A931="","",IFERROR(MAX(0,$H931-$G931),0))</f>
        <v/>
      </c>
    </row>
    <row r="932">
      <c r="A932" s="30" t="n"/>
      <c r="B932" s="30" t="n"/>
      <c r="C932" s="30" t="n"/>
      <c r="D932" s="30" t="n"/>
      <c r="E932" s="30" t="n"/>
      <c r="F932" s="30" t="n"/>
      <c r="G932" s="30" t="n"/>
      <c r="H932" s="31">
        <f>IF($A932="","",IFERROR(ROUND($C932*INDEX(tblKurallar[deger_2025],MATCH("TBO-001",tblKurallar[kural_id],0))+$D932*INDEX(tblKurallar[deger_2025],MATCH("TBO-002",tblKurallar[kural_id],0))+$E932*INDEX(tblKurallar[deger_2025],MATCH("TBO-004",tblKurallar[kural_id],0))+$F932*tbo_isverenOran,2),0))</f>
        <v/>
      </c>
      <c r="I932" s="31">
        <f>IF($A932="","",IFERROR(MAX(0,$H932-$G932),0))</f>
        <v/>
      </c>
    </row>
    <row r="933">
      <c r="A933" s="30" t="n"/>
      <c r="B933" s="30" t="n"/>
      <c r="C933" s="30" t="n"/>
      <c r="D933" s="30" t="n"/>
      <c r="E933" s="30" t="n"/>
      <c r="F933" s="30" t="n"/>
      <c r="G933" s="30" t="n"/>
      <c r="H933" s="31">
        <f>IF($A933="","",IFERROR(ROUND($C933*INDEX(tblKurallar[deger_2025],MATCH("TBO-001",tblKurallar[kural_id],0))+$D933*INDEX(tblKurallar[deger_2025],MATCH("TBO-002",tblKurallar[kural_id],0))+$E933*INDEX(tblKurallar[deger_2025],MATCH("TBO-004",tblKurallar[kural_id],0))+$F933*tbo_isverenOran,2),0))</f>
        <v/>
      </c>
      <c r="I933" s="31">
        <f>IF($A933="","",IFERROR(MAX(0,$H933-$G933),0))</f>
        <v/>
      </c>
    </row>
    <row r="934">
      <c r="A934" s="30" t="n"/>
      <c r="B934" s="30" t="n"/>
      <c r="C934" s="30" t="n"/>
      <c r="D934" s="30" t="n"/>
      <c r="E934" s="30" t="n"/>
      <c r="F934" s="30" t="n"/>
      <c r="G934" s="30" t="n"/>
      <c r="H934" s="31">
        <f>IF($A934="","",IFERROR(ROUND($C934*INDEX(tblKurallar[deger_2025],MATCH("TBO-001",tblKurallar[kural_id],0))+$D934*INDEX(tblKurallar[deger_2025],MATCH("TBO-002",tblKurallar[kural_id],0))+$E934*INDEX(tblKurallar[deger_2025],MATCH("TBO-004",tblKurallar[kural_id],0))+$F934*tbo_isverenOran,2),0))</f>
        <v/>
      </c>
      <c r="I934" s="31">
        <f>IF($A934="","",IFERROR(MAX(0,$H934-$G934),0))</f>
        <v/>
      </c>
    </row>
    <row r="935">
      <c r="A935" s="30" t="n"/>
      <c r="B935" s="30" t="n"/>
      <c r="C935" s="30" t="n"/>
      <c r="D935" s="30" t="n"/>
      <c r="E935" s="30" t="n"/>
      <c r="F935" s="30" t="n"/>
      <c r="G935" s="30" t="n"/>
      <c r="H935" s="31">
        <f>IF($A935="","",IFERROR(ROUND($C935*INDEX(tblKurallar[deger_2025],MATCH("TBO-001",tblKurallar[kural_id],0))+$D935*INDEX(tblKurallar[deger_2025],MATCH("TBO-002",tblKurallar[kural_id],0))+$E935*INDEX(tblKurallar[deger_2025],MATCH("TBO-004",tblKurallar[kural_id],0))+$F935*tbo_isverenOran,2),0))</f>
        <v/>
      </c>
      <c r="I935" s="31">
        <f>IF($A935="","",IFERROR(MAX(0,$H935-$G935),0))</f>
        <v/>
      </c>
    </row>
    <row r="936">
      <c r="A936" s="30" t="n"/>
      <c r="B936" s="30" t="n"/>
      <c r="C936" s="30" t="n"/>
      <c r="D936" s="30" t="n"/>
      <c r="E936" s="30" t="n"/>
      <c r="F936" s="30" t="n"/>
      <c r="G936" s="30" t="n"/>
      <c r="H936" s="31">
        <f>IF($A936="","",IFERROR(ROUND($C936*INDEX(tblKurallar[deger_2025],MATCH("TBO-001",tblKurallar[kural_id],0))+$D936*INDEX(tblKurallar[deger_2025],MATCH("TBO-002",tblKurallar[kural_id],0))+$E936*INDEX(tblKurallar[deger_2025],MATCH("TBO-004",tblKurallar[kural_id],0))+$F936*tbo_isverenOran,2),0))</f>
        <v/>
      </c>
      <c r="I936" s="31">
        <f>IF($A936="","",IFERROR(MAX(0,$H936-$G936),0))</f>
        <v/>
      </c>
    </row>
    <row r="937">
      <c r="A937" s="30" t="n"/>
      <c r="B937" s="30" t="n"/>
      <c r="C937" s="30" t="n"/>
      <c r="D937" s="30" t="n"/>
      <c r="E937" s="30" t="n"/>
      <c r="F937" s="30" t="n"/>
      <c r="G937" s="30" t="n"/>
      <c r="H937" s="31">
        <f>IF($A937="","",IFERROR(ROUND($C937*INDEX(tblKurallar[deger_2025],MATCH("TBO-001",tblKurallar[kural_id],0))+$D937*INDEX(tblKurallar[deger_2025],MATCH("TBO-002",tblKurallar[kural_id],0))+$E937*INDEX(tblKurallar[deger_2025],MATCH("TBO-004",tblKurallar[kural_id],0))+$F937*tbo_isverenOran,2),0))</f>
        <v/>
      </c>
      <c r="I937" s="31">
        <f>IF($A937="","",IFERROR(MAX(0,$H937-$G937),0))</f>
        <v/>
      </c>
    </row>
    <row r="938">
      <c r="A938" s="30" t="n"/>
      <c r="B938" s="30" t="n"/>
      <c r="C938" s="30" t="n"/>
      <c r="D938" s="30" t="n"/>
      <c r="E938" s="30" t="n"/>
      <c r="F938" s="30" t="n"/>
      <c r="G938" s="30" t="n"/>
      <c r="H938" s="31">
        <f>IF($A938="","",IFERROR(ROUND($C938*INDEX(tblKurallar[deger_2025],MATCH("TBO-001",tblKurallar[kural_id],0))+$D938*INDEX(tblKurallar[deger_2025],MATCH("TBO-002",tblKurallar[kural_id],0))+$E938*INDEX(tblKurallar[deger_2025],MATCH("TBO-004",tblKurallar[kural_id],0))+$F938*tbo_isverenOran,2),0))</f>
        <v/>
      </c>
      <c r="I938" s="31">
        <f>IF($A938="","",IFERROR(MAX(0,$H938-$G938),0))</f>
        <v/>
      </c>
    </row>
    <row r="939">
      <c r="A939" s="30" t="n"/>
      <c r="B939" s="30" t="n"/>
      <c r="C939" s="30" t="n"/>
      <c r="D939" s="30" t="n"/>
      <c r="E939" s="30" t="n"/>
      <c r="F939" s="30" t="n"/>
      <c r="G939" s="30" t="n"/>
      <c r="H939" s="31">
        <f>IF($A939="","",IFERROR(ROUND($C939*INDEX(tblKurallar[deger_2025],MATCH("TBO-001",tblKurallar[kural_id],0))+$D939*INDEX(tblKurallar[deger_2025],MATCH("TBO-002",tblKurallar[kural_id],0))+$E939*INDEX(tblKurallar[deger_2025],MATCH("TBO-004",tblKurallar[kural_id],0))+$F939*tbo_isverenOran,2),0))</f>
        <v/>
      </c>
      <c r="I939" s="31">
        <f>IF($A939="","",IFERROR(MAX(0,$H939-$G939),0))</f>
        <v/>
      </c>
    </row>
    <row r="940">
      <c r="A940" s="30" t="n"/>
      <c r="B940" s="30" t="n"/>
      <c r="C940" s="30" t="n"/>
      <c r="D940" s="30" t="n"/>
      <c r="E940" s="30" t="n"/>
      <c r="F940" s="30" t="n"/>
      <c r="G940" s="30" t="n"/>
      <c r="H940" s="31">
        <f>IF($A940="","",IFERROR(ROUND($C940*INDEX(tblKurallar[deger_2025],MATCH("TBO-001",tblKurallar[kural_id],0))+$D940*INDEX(tblKurallar[deger_2025],MATCH("TBO-002",tblKurallar[kural_id],0))+$E940*INDEX(tblKurallar[deger_2025],MATCH("TBO-004",tblKurallar[kural_id],0))+$F940*tbo_isverenOran,2),0))</f>
        <v/>
      </c>
      <c r="I940" s="31">
        <f>IF($A940="","",IFERROR(MAX(0,$H940-$G940),0))</f>
        <v/>
      </c>
    </row>
    <row r="941">
      <c r="A941" s="30" t="n"/>
      <c r="B941" s="30" t="n"/>
      <c r="C941" s="30" t="n"/>
      <c r="D941" s="30" t="n"/>
      <c r="E941" s="30" t="n"/>
      <c r="F941" s="30" t="n"/>
      <c r="G941" s="30" t="n"/>
      <c r="H941" s="31">
        <f>IF($A941="","",IFERROR(ROUND($C941*INDEX(tblKurallar[deger_2025],MATCH("TBO-001",tblKurallar[kural_id],0))+$D941*INDEX(tblKurallar[deger_2025],MATCH("TBO-002",tblKurallar[kural_id],0))+$E941*INDEX(tblKurallar[deger_2025],MATCH("TBO-004",tblKurallar[kural_id],0))+$F941*tbo_isverenOran,2),0))</f>
        <v/>
      </c>
      <c r="I941" s="31">
        <f>IF($A941="","",IFERROR(MAX(0,$H941-$G941),0))</f>
        <v/>
      </c>
    </row>
    <row r="942">
      <c r="A942" s="30" t="n"/>
      <c r="B942" s="30" t="n"/>
      <c r="C942" s="30" t="n"/>
      <c r="D942" s="30" t="n"/>
      <c r="E942" s="30" t="n"/>
      <c r="F942" s="30" t="n"/>
      <c r="G942" s="30" t="n"/>
      <c r="H942" s="31">
        <f>IF($A942="","",IFERROR(ROUND($C942*INDEX(tblKurallar[deger_2025],MATCH("TBO-001",tblKurallar[kural_id],0))+$D942*INDEX(tblKurallar[deger_2025],MATCH("TBO-002",tblKurallar[kural_id],0))+$E942*INDEX(tblKurallar[deger_2025],MATCH("TBO-004",tblKurallar[kural_id],0))+$F942*tbo_isverenOran,2),0))</f>
        <v/>
      </c>
      <c r="I942" s="31">
        <f>IF($A942="","",IFERROR(MAX(0,$H942-$G942),0))</f>
        <v/>
      </c>
    </row>
    <row r="943">
      <c r="A943" s="30" t="n"/>
      <c r="B943" s="30" t="n"/>
      <c r="C943" s="30" t="n"/>
      <c r="D943" s="30" t="n"/>
      <c r="E943" s="30" t="n"/>
      <c r="F943" s="30" t="n"/>
      <c r="G943" s="30" t="n"/>
      <c r="H943" s="31">
        <f>IF($A943="","",IFERROR(ROUND($C943*INDEX(tblKurallar[deger_2025],MATCH("TBO-001",tblKurallar[kural_id],0))+$D943*INDEX(tblKurallar[deger_2025],MATCH("TBO-002",tblKurallar[kural_id],0))+$E943*INDEX(tblKurallar[deger_2025],MATCH("TBO-004",tblKurallar[kural_id],0))+$F943*tbo_isverenOran,2),0))</f>
        <v/>
      </c>
      <c r="I943" s="31">
        <f>IF($A943="","",IFERROR(MAX(0,$H943-$G943),0))</f>
        <v/>
      </c>
    </row>
    <row r="944">
      <c r="A944" s="30" t="n"/>
      <c r="B944" s="30" t="n"/>
      <c r="C944" s="30" t="n"/>
      <c r="D944" s="30" t="n"/>
      <c r="E944" s="30" t="n"/>
      <c r="F944" s="30" t="n"/>
      <c r="G944" s="30" t="n"/>
      <c r="H944" s="31">
        <f>IF($A944="","",IFERROR(ROUND($C944*INDEX(tblKurallar[deger_2025],MATCH("TBO-001",tblKurallar[kural_id],0))+$D944*INDEX(tblKurallar[deger_2025],MATCH("TBO-002",tblKurallar[kural_id],0))+$E944*INDEX(tblKurallar[deger_2025],MATCH("TBO-004",tblKurallar[kural_id],0))+$F944*tbo_isverenOran,2),0))</f>
        <v/>
      </c>
      <c r="I944" s="31">
        <f>IF($A944="","",IFERROR(MAX(0,$H944-$G944),0))</f>
        <v/>
      </c>
    </row>
    <row r="945">
      <c r="A945" s="30" t="n"/>
      <c r="B945" s="30" t="n"/>
      <c r="C945" s="30" t="n"/>
      <c r="D945" s="30" t="n"/>
      <c r="E945" s="30" t="n"/>
      <c r="F945" s="30" t="n"/>
      <c r="G945" s="30" t="n"/>
      <c r="H945" s="31">
        <f>IF($A945="","",IFERROR(ROUND($C945*INDEX(tblKurallar[deger_2025],MATCH("TBO-001",tblKurallar[kural_id],0))+$D945*INDEX(tblKurallar[deger_2025],MATCH("TBO-002",tblKurallar[kural_id],0))+$E945*INDEX(tblKurallar[deger_2025],MATCH("TBO-004",tblKurallar[kural_id],0))+$F945*tbo_isverenOran,2),0))</f>
        <v/>
      </c>
      <c r="I945" s="31">
        <f>IF($A945="","",IFERROR(MAX(0,$H945-$G945),0))</f>
        <v/>
      </c>
    </row>
    <row r="946">
      <c r="A946" s="30" t="n"/>
      <c r="B946" s="30" t="n"/>
      <c r="C946" s="30" t="n"/>
      <c r="D946" s="30" t="n"/>
      <c r="E946" s="30" t="n"/>
      <c r="F946" s="30" t="n"/>
      <c r="G946" s="30" t="n"/>
      <c r="H946" s="31">
        <f>IF($A946="","",IFERROR(ROUND($C946*INDEX(tblKurallar[deger_2025],MATCH("TBO-001",tblKurallar[kural_id],0))+$D946*INDEX(tblKurallar[deger_2025],MATCH("TBO-002",tblKurallar[kural_id],0))+$E946*INDEX(tblKurallar[deger_2025],MATCH("TBO-004",tblKurallar[kural_id],0))+$F946*tbo_isverenOran,2),0))</f>
        <v/>
      </c>
      <c r="I946" s="31">
        <f>IF($A946="","",IFERROR(MAX(0,$H946-$G946),0))</f>
        <v/>
      </c>
    </row>
    <row r="947">
      <c r="A947" s="30" t="n"/>
      <c r="B947" s="30" t="n"/>
      <c r="C947" s="30" t="n"/>
      <c r="D947" s="30" t="n"/>
      <c r="E947" s="30" t="n"/>
      <c r="F947" s="30" t="n"/>
      <c r="G947" s="30" t="n"/>
      <c r="H947" s="31">
        <f>IF($A947="","",IFERROR(ROUND($C947*INDEX(tblKurallar[deger_2025],MATCH("TBO-001",tblKurallar[kural_id],0))+$D947*INDEX(tblKurallar[deger_2025],MATCH("TBO-002",tblKurallar[kural_id],0))+$E947*INDEX(tblKurallar[deger_2025],MATCH("TBO-004",tblKurallar[kural_id],0))+$F947*tbo_isverenOran,2),0))</f>
        <v/>
      </c>
      <c r="I947" s="31">
        <f>IF($A947="","",IFERROR(MAX(0,$H947-$G947),0))</f>
        <v/>
      </c>
    </row>
    <row r="948">
      <c r="A948" s="30" t="n"/>
      <c r="B948" s="30" t="n"/>
      <c r="C948" s="30" t="n"/>
      <c r="D948" s="30" t="n"/>
      <c r="E948" s="30" t="n"/>
      <c r="F948" s="30" t="n"/>
      <c r="G948" s="30" t="n"/>
      <c r="H948" s="31">
        <f>IF($A948="","",IFERROR(ROUND($C948*INDEX(tblKurallar[deger_2025],MATCH("TBO-001",tblKurallar[kural_id],0))+$D948*INDEX(tblKurallar[deger_2025],MATCH("TBO-002",tblKurallar[kural_id],0))+$E948*INDEX(tblKurallar[deger_2025],MATCH("TBO-004",tblKurallar[kural_id],0))+$F948*tbo_isverenOran,2),0))</f>
        <v/>
      </c>
      <c r="I948" s="31">
        <f>IF($A948="","",IFERROR(MAX(0,$H948-$G948),0))</f>
        <v/>
      </c>
    </row>
    <row r="949">
      <c r="A949" s="30" t="n"/>
      <c r="B949" s="30" t="n"/>
      <c r="C949" s="30" t="n"/>
      <c r="D949" s="30" t="n"/>
      <c r="E949" s="30" t="n"/>
      <c r="F949" s="30" t="n"/>
      <c r="G949" s="30" t="n"/>
      <c r="H949" s="31">
        <f>IF($A949="","",IFERROR(ROUND($C949*INDEX(tblKurallar[deger_2025],MATCH("TBO-001",tblKurallar[kural_id],0))+$D949*INDEX(tblKurallar[deger_2025],MATCH("TBO-002",tblKurallar[kural_id],0))+$E949*INDEX(tblKurallar[deger_2025],MATCH("TBO-004",tblKurallar[kural_id],0))+$F949*tbo_isverenOran,2),0))</f>
        <v/>
      </c>
      <c r="I949" s="31">
        <f>IF($A949="","",IFERROR(MAX(0,$H949-$G949),0))</f>
        <v/>
      </c>
    </row>
    <row r="950">
      <c r="A950" s="30" t="n"/>
      <c r="B950" s="30" t="n"/>
      <c r="C950" s="30" t="n"/>
      <c r="D950" s="30" t="n"/>
      <c r="E950" s="30" t="n"/>
      <c r="F950" s="30" t="n"/>
      <c r="G950" s="30" t="n"/>
      <c r="H950" s="31">
        <f>IF($A950="","",IFERROR(ROUND($C950*INDEX(tblKurallar[deger_2025],MATCH("TBO-001",tblKurallar[kural_id],0))+$D950*INDEX(tblKurallar[deger_2025],MATCH("TBO-002",tblKurallar[kural_id],0))+$E950*INDEX(tblKurallar[deger_2025],MATCH("TBO-004",tblKurallar[kural_id],0))+$F950*tbo_isverenOran,2),0))</f>
        <v/>
      </c>
      <c r="I950" s="31">
        <f>IF($A950="","",IFERROR(MAX(0,$H950-$G950),0))</f>
        <v/>
      </c>
    </row>
    <row r="951">
      <c r="A951" s="30" t="n"/>
      <c r="B951" s="30" t="n"/>
      <c r="C951" s="30" t="n"/>
      <c r="D951" s="30" t="n"/>
      <c r="E951" s="30" t="n"/>
      <c r="F951" s="30" t="n"/>
      <c r="G951" s="30" t="n"/>
      <c r="H951" s="31">
        <f>IF($A951="","",IFERROR(ROUND($C951*INDEX(tblKurallar[deger_2025],MATCH("TBO-001",tblKurallar[kural_id],0))+$D951*INDEX(tblKurallar[deger_2025],MATCH("TBO-002",tblKurallar[kural_id],0))+$E951*INDEX(tblKurallar[deger_2025],MATCH("TBO-004",tblKurallar[kural_id],0))+$F951*tbo_isverenOran,2),0))</f>
        <v/>
      </c>
      <c r="I951" s="31">
        <f>IF($A951="","",IFERROR(MAX(0,$H951-$G951),0))</f>
        <v/>
      </c>
    </row>
    <row r="952">
      <c r="A952" s="30" t="n"/>
      <c r="B952" s="30" t="n"/>
      <c r="C952" s="30" t="n"/>
      <c r="D952" s="30" t="n"/>
      <c r="E952" s="30" t="n"/>
      <c r="F952" s="30" t="n"/>
      <c r="G952" s="30" t="n"/>
      <c r="H952" s="31">
        <f>IF($A952="","",IFERROR(ROUND($C952*INDEX(tblKurallar[deger_2025],MATCH("TBO-001",tblKurallar[kural_id],0))+$D952*INDEX(tblKurallar[deger_2025],MATCH("TBO-002",tblKurallar[kural_id],0))+$E952*INDEX(tblKurallar[deger_2025],MATCH("TBO-004",tblKurallar[kural_id],0))+$F952*tbo_isverenOran,2),0))</f>
        <v/>
      </c>
      <c r="I952" s="31">
        <f>IF($A952="","",IFERROR(MAX(0,$H952-$G952),0))</f>
        <v/>
      </c>
    </row>
    <row r="953">
      <c r="A953" s="30" t="n"/>
      <c r="B953" s="30" t="n"/>
      <c r="C953" s="30" t="n"/>
      <c r="D953" s="30" t="n"/>
      <c r="E953" s="30" t="n"/>
      <c r="F953" s="30" t="n"/>
      <c r="G953" s="30" t="n"/>
      <c r="H953" s="31">
        <f>IF($A953="","",IFERROR(ROUND($C953*INDEX(tblKurallar[deger_2025],MATCH("TBO-001",tblKurallar[kural_id],0))+$D953*INDEX(tblKurallar[deger_2025],MATCH("TBO-002",tblKurallar[kural_id],0))+$E953*INDEX(tblKurallar[deger_2025],MATCH("TBO-004",tblKurallar[kural_id],0))+$F953*tbo_isverenOran,2),0))</f>
        <v/>
      </c>
      <c r="I953" s="31">
        <f>IF($A953="","",IFERROR(MAX(0,$H953-$G953),0))</f>
        <v/>
      </c>
    </row>
    <row r="954">
      <c r="A954" s="30" t="n"/>
      <c r="B954" s="30" t="n"/>
      <c r="C954" s="30" t="n"/>
      <c r="D954" s="30" t="n"/>
      <c r="E954" s="30" t="n"/>
      <c r="F954" s="30" t="n"/>
      <c r="G954" s="30" t="n"/>
      <c r="H954" s="31">
        <f>IF($A954="","",IFERROR(ROUND($C954*INDEX(tblKurallar[deger_2025],MATCH("TBO-001",tblKurallar[kural_id],0))+$D954*INDEX(tblKurallar[deger_2025],MATCH("TBO-002",tblKurallar[kural_id],0))+$E954*INDEX(tblKurallar[deger_2025],MATCH("TBO-004",tblKurallar[kural_id],0))+$F954*tbo_isverenOran,2),0))</f>
        <v/>
      </c>
      <c r="I954" s="31">
        <f>IF($A954="","",IFERROR(MAX(0,$H954-$G954),0))</f>
        <v/>
      </c>
    </row>
    <row r="955">
      <c r="A955" s="30" t="n"/>
      <c r="B955" s="30" t="n"/>
      <c r="C955" s="30" t="n"/>
      <c r="D955" s="30" t="n"/>
      <c r="E955" s="30" t="n"/>
      <c r="F955" s="30" t="n"/>
      <c r="G955" s="30" t="n"/>
      <c r="H955" s="31">
        <f>IF($A955="","",IFERROR(ROUND($C955*INDEX(tblKurallar[deger_2025],MATCH("TBO-001",tblKurallar[kural_id],0))+$D955*INDEX(tblKurallar[deger_2025],MATCH("TBO-002",tblKurallar[kural_id],0))+$E955*INDEX(tblKurallar[deger_2025],MATCH("TBO-004",tblKurallar[kural_id],0))+$F955*tbo_isverenOran,2),0))</f>
        <v/>
      </c>
      <c r="I955" s="31">
        <f>IF($A955="","",IFERROR(MAX(0,$H955-$G955),0))</f>
        <v/>
      </c>
    </row>
    <row r="956">
      <c r="A956" s="30" t="n"/>
      <c r="B956" s="30" t="n"/>
      <c r="C956" s="30" t="n"/>
      <c r="D956" s="30" t="n"/>
      <c r="E956" s="30" t="n"/>
      <c r="F956" s="30" t="n"/>
      <c r="G956" s="30" t="n"/>
      <c r="H956" s="31">
        <f>IF($A956="","",IFERROR(ROUND($C956*INDEX(tblKurallar[deger_2025],MATCH("TBO-001",tblKurallar[kural_id],0))+$D956*INDEX(tblKurallar[deger_2025],MATCH("TBO-002",tblKurallar[kural_id],0))+$E956*INDEX(tblKurallar[deger_2025],MATCH("TBO-004",tblKurallar[kural_id],0))+$F956*tbo_isverenOran,2),0))</f>
        <v/>
      </c>
      <c r="I956" s="31">
        <f>IF($A956="","",IFERROR(MAX(0,$H956-$G956),0))</f>
        <v/>
      </c>
    </row>
    <row r="957">
      <c r="A957" s="30" t="n"/>
      <c r="B957" s="30" t="n"/>
      <c r="C957" s="30" t="n"/>
      <c r="D957" s="30" t="n"/>
      <c r="E957" s="30" t="n"/>
      <c r="F957" s="30" t="n"/>
      <c r="G957" s="30" t="n"/>
      <c r="H957" s="31">
        <f>IF($A957="","",IFERROR(ROUND($C957*INDEX(tblKurallar[deger_2025],MATCH("TBO-001",tblKurallar[kural_id],0))+$D957*INDEX(tblKurallar[deger_2025],MATCH("TBO-002",tblKurallar[kural_id],0))+$E957*INDEX(tblKurallar[deger_2025],MATCH("TBO-004",tblKurallar[kural_id],0))+$F957*tbo_isverenOran,2),0))</f>
        <v/>
      </c>
      <c r="I957" s="31">
        <f>IF($A957="","",IFERROR(MAX(0,$H957-$G957),0))</f>
        <v/>
      </c>
    </row>
    <row r="958">
      <c r="A958" s="30" t="n"/>
      <c r="B958" s="30" t="n"/>
      <c r="C958" s="30" t="n"/>
      <c r="D958" s="30" t="n"/>
      <c r="E958" s="30" t="n"/>
      <c r="F958" s="30" t="n"/>
      <c r="G958" s="30" t="n"/>
      <c r="H958" s="31">
        <f>IF($A958="","",IFERROR(ROUND($C958*INDEX(tblKurallar[deger_2025],MATCH("TBO-001",tblKurallar[kural_id],0))+$D958*INDEX(tblKurallar[deger_2025],MATCH("TBO-002",tblKurallar[kural_id],0))+$E958*INDEX(tblKurallar[deger_2025],MATCH("TBO-004",tblKurallar[kural_id],0))+$F958*tbo_isverenOran,2),0))</f>
        <v/>
      </c>
      <c r="I958" s="31">
        <f>IF($A958="","",IFERROR(MAX(0,$H958-$G958),0))</f>
        <v/>
      </c>
    </row>
    <row r="959">
      <c r="A959" s="30" t="n"/>
      <c r="B959" s="30" t="n"/>
      <c r="C959" s="30" t="n"/>
      <c r="D959" s="30" t="n"/>
      <c r="E959" s="30" t="n"/>
      <c r="F959" s="30" t="n"/>
      <c r="G959" s="30" t="n"/>
      <c r="H959" s="31">
        <f>IF($A959="","",IFERROR(ROUND($C959*INDEX(tblKurallar[deger_2025],MATCH("TBO-001",tblKurallar[kural_id],0))+$D959*INDEX(tblKurallar[deger_2025],MATCH("TBO-002",tblKurallar[kural_id],0))+$E959*INDEX(tblKurallar[deger_2025],MATCH("TBO-004",tblKurallar[kural_id],0))+$F959*tbo_isverenOran,2),0))</f>
        <v/>
      </c>
      <c r="I959" s="31">
        <f>IF($A959="","",IFERROR(MAX(0,$H959-$G959),0))</f>
        <v/>
      </c>
    </row>
    <row r="960">
      <c r="A960" s="30" t="n"/>
      <c r="B960" s="30" t="n"/>
      <c r="C960" s="30" t="n"/>
      <c r="D960" s="30" t="n"/>
      <c r="E960" s="30" t="n"/>
      <c r="F960" s="30" t="n"/>
      <c r="G960" s="30" t="n"/>
      <c r="H960" s="31">
        <f>IF($A960="","",IFERROR(ROUND($C960*INDEX(tblKurallar[deger_2025],MATCH("TBO-001",tblKurallar[kural_id],0))+$D960*INDEX(tblKurallar[deger_2025],MATCH("TBO-002",tblKurallar[kural_id],0))+$E960*INDEX(tblKurallar[deger_2025],MATCH("TBO-004",tblKurallar[kural_id],0))+$F960*tbo_isverenOran,2),0))</f>
        <v/>
      </c>
      <c r="I960" s="31">
        <f>IF($A960="","",IFERROR(MAX(0,$H960-$G960),0))</f>
        <v/>
      </c>
    </row>
    <row r="961">
      <c r="A961" s="30" t="n"/>
      <c r="B961" s="30" t="n"/>
      <c r="C961" s="30" t="n"/>
      <c r="D961" s="30" t="n"/>
      <c r="E961" s="30" t="n"/>
      <c r="F961" s="30" t="n"/>
      <c r="G961" s="30" t="n"/>
      <c r="H961" s="31">
        <f>IF($A961="","",IFERROR(ROUND($C961*INDEX(tblKurallar[deger_2025],MATCH("TBO-001",tblKurallar[kural_id],0))+$D961*INDEX(tblKurallar[deger_2025],MATCH("TBO-002",tblKurallar[kural_id],0))+$E961*INDEX(tblKurallar[deger_2025],MATCH("TBO-004",tblKurallar[kural_id],0))+$F961*tbo_isverenOran,2),0))</f>
        <v/>
      </c>
      <c r="I961" s="31">
        <f>IF($A961="","",IFERROR(MAX(0,$H961-$G961),0))</f>
        <v/>
      </c>
    </row>
    <row r="962">
      <c r="A962" s="30" t="n"/>
      <c r="B962" s="30" t="n"/>
      <c r="C962" s="30" t="n"/>
      <c r="D962" s="30" t="n"/>
      <c r="E962" s="30" t="n"/>
      <c r="F962" s="30" t="n"/>
      <c r="G962" s="30" t="n"/>
      <c r="H962" s="31">
        <f>IF($A962="","",IFERROR(ROUND($C962*INDEX(tblKurallar[deger_2025],MATCH("TBO-001",tblKurallar[kural_id],0))+$D962*INDEX(tblKurallar[deger_2025],MATCH("TBO-002",tblKurallar[kural_id],0))+$E962*INDEX(tblKurallar[deger_2025],MATCH("TBO-004",tblKurallar[kural_id],0))+$F962*tbo_isverenOran,2),0))</f>
        <v/>
      </c>
      <c r="I962" s="31">
        <f>IF($A962="","",IFERROR(MAX(0,$H962-$G962),0))</f>
        <v/>
      </c>
    </row>
    <row r="963">
      <c r="A963" s="30" t="n"/>
      <c r="B963" s="30" t="n"/>
      <c r="C963" s="30" t="n"/>
      <c r="D963" s="30" t="n"/>
      <c r="E963" s="30" t="n"/>
      <c r="F963" s="30" t="n"/>
      <c r="G963" s="30" t="n"/>
      <c r="H963" s="31">
        <f>IF($A963="","",IFERROR(ROUND($C963*INDEX(tblKurallar[deger_2025],MATCH("TBO-001",tblKurallar[kural_id],0))+$D963*INDEX(tblKurallar[deger_2025],MATCH("TBO-002",tblKurallar[kural_id],0))+$E963*INDEX(tblKurallar[deger_2025],MATCH("TBO-004",tblKurallar[kural_id],0))+$F963*tbo_isverenOran,2),0))</f>
        <v/>
      </c>
      <c r="I963" s="31">
        <f>IF($A963="","",IFERROR(MAX(0,$H963-$G963),0))</f>
        <v/>
      </c>
    </row>
    <row r="964">
      <c r="A964" s="30" t="n"/>
      <c r="B964" s="30" t="n"/>
      <c r="C964" s="30" t="n"/>
      <c r="D964" s="30" t="n"/>
      <c r="E964" s="30" t="n"/>
      <c r="F964" s="30" t="n"/>
      <c r="G964" s="30" t="n"/>
      <c r="H964" s="31">
        <f>IF($A964="","",IFERROR(ROUND($C964*INDEX(tblKurallar[deger_2025],MATCH("TBO-001",tblKurallar[kural_id],0))+$D964*INDEX(tblKurallar[deger_2025],MATCH("TBO-002",tblKurallar[kural_id],0))+$E964*INDEX(tblKurallar[deger_2025],MATCH("TBO-004",tblKurallar[kural_id],0))+$F964*tbo_isverenOran,2),0))</f>
        <v/>
      </c>
      <c r="I964" s="31">
        <f>IF($A964="","",IFERROR(MAX(0,$H964-$G964),0))</f>
        <v/>
      </c>
    </row>
    <row r="965">
      <c r="A965" s="30" t="n"/>
      <c r="B965" s="30" t="n"/>
      <c r="C965" s="30" t="n"/>
      <c r="D965" s="30" t="n"/>
      <c r="E965" s="30" t="n"/>
      <c r="F965" s="30" t="n"/>
      <c r="G965" s="30" t="n"/>
      <c r="H965" s="31">
        <f>IF($A965="","",IFERROR(ROUND($C965*INDEX(tblKurallar[deger_2025],MATCH("TBO-001",tblKurallar[kural_id],0))+$D965*INDEX(tblKurallar[deger_2025],MATCH("TBO-002",tblKurallar[kural_id],0))+$E965*INDEX(tblKurallar[deger_2025],MATCH("TBO-004",tblKurallar[kural_id],0))+$F965*tbo_isverenOran,2),0))</f>
        <v/>
      </c>
      <c r="I965" s="31">
        <f>IF($A965="","",IFERROR(MAX(0,$H965-$G965),0))</f>
        <v/>
      </c>
    </row>
    <row r="966">
      <c r="A966" s="30" t="n"/>
      <c r="B966" s="30" t="n"/>
      <c r="C966" s="30" t="n"/>
      <c r="D966" s="30" t="n"/>
      <c r="E966" s="30" t="n"/>
      <c r="F966" s="30" t="n"/>
      <c r="G966" s="30" t="n"/>
      <c r="H966" s="31">
        <f>IF($A966="","",IFERROR(ROUND($C966*INDEX(tblKurallar[deger_2025],MATCH("TBO-001",tblKurallar[kural_id],0))+$D966*INDEX(tblKurallar[deger_2025],MATCH("TBO-002",tblKurallar[kural_id],0))+$E966*INDEX(tblKurallar[deger_2025],MATCH("TBO-004",tblKurallar[kural_id],0))+$F966*tbo_isverenOran,2),0))</f>
        <v/>
      </c>
      <c r="I966" s="31">
        <f>IF($A966="","",IFERROR(MAX(0,$H966-$G966),0))</f>
        <v/>
      </c>
    </row>
    <row r="967">
      <c r="A967" s="30" t="n"/>
      <c r="B967" s="30" t="n"/>
      <c r="C967" s="30" t="n"/>
      <c r="D967" s="30" t="n"/>
      <c r="E967" s="30" t="n"/>
      <c r="F967" s="30" t="n"/>
      <c r="G967" s="30" t="n"/>
      <c r="H967" s="31">
        <f>IF($A967="","",IFERROR(ROUND($C967*INDEX(tblKurallar[deger_2025],MATCH("TBO-001",tblKurallar[kural_id],0))+$D967*INDEX(tblKurallar[deger_2025],MATCH("TBO-002",tblKurallar[kural_id],0))+$E967*INDEX(tblKurallar[deger_2025],MATCH("TBO-004",tblKurallar[kural_id],0))+$F967*tbo_isverenOran,2),0))</f>
        <v/>
      </c>
      <c r="I967" s="31">
        <f>IF($A967="","",IFERROR(MAX(0,$H967-$G967),0))</f>
        <v/>
      </c>
    </row>
    <row r="968">
      <c r="A968" s="30" t="n"/>
      <c r="B968" s="30" t="n"/>
      <c r="C968" s="30" t="n"/>
      <c r="D968" s="30" t="n"/>
      <c r="E968" s="30" t="n"/>
      <c r="F968" s="30" t="n"/>
      <c r="G968" s="30" t="n"/>
      <c r="H968" s="31">
        <f>IF($A968="","",IFERROR(ROUND($C968*INDEX(tblKurallar[deger_2025],MATCH("TBO-001",tblKurallar[kural_id],0))+$D968*INDEX(tblKurallar[deger_2025],MATCH("TBO-002",tblKurallar[kural_id],0))+$E968*INDEX(tblKurallar[deger_2025],MATCH("TBO-004",tblKurallar[kural_id],0))+$F968*tbo_isverenOran,2),0))</f>
        <v/>
      </c>
      <c r="I968" s="31">
        <f>IF($A968="","",IFERROR(MAX(0,$H968-$G968),0))</f>
        <v/>
      </c>
    </row>
    <row r="969">
      <c r="A969" s="30" t="n"/>
      <c r="B969" s="30" t="n"/>
      <c r="C969" s="30" t="n"/>
      <c r="D969" s="30" t="n"/>
      <c r="E969" s="30" t="n"/>
      <c r="F969" s="30" t="n"/>
      <c r="G969" s="30" t="n"/>
      <c r="H969" s="31">
        <f>IF($A969="","",IFERROR(ROUND($C969*INDEX(tblKurallar[deger_2025],MATCH("TBO-001",tblKurallar[kural_id],0))+$D969*INDEX(tblKurallar[deger_2025],MATCH("TBO-002",tblKurallar[kural_id],0))+$E969*INDEX(tblKurallar[deger_2025],MATCH("TBO-004",tblKurallar[kural_id],0))+$F969*tbo_isverenOran,2),0))</f>
        <v/>
      </c>
      <c r="I969" s="31">
        <f>IF($A969="","",IFERROR(MAX(0,$H969-$G969),0))</f>
        <v/>
      </c>
    </row>
    <row r="970">
      <c r="A970" s="30" t="n"/>
      <c r="B970" s="30" t="n"/>
      <c r="C970" s="30" t="n"/>
      <c r="D970" s="30" t="n"/>
      <c r="E970" s="30" t="n"/>
      <c r="F970" s="30" t="n"/>
      <c r="G970" s="30" t="n"/>
      <c r="H970" s="31">
        <f>IF($A970="","",IFERROR(ROUND($C970*INDEX(tblKurallar[deger_2025],MATCH("TBO-001",tblKurallar[kural_id],0))+$D970*INDEX(tblKurallar[deger_2025],MATCH("TBO-002",tblKurallar[kural_id],0))+$E970*INDEX(tblKurallar[deger_2025],MATCH("TBO-004",tblKurallar[kural_id],0))+$F970*tbo_isverenOran,2),0))</f>
        <v/>
      </c>
      <c r="I970" s="31">
        <f>IF($A970="","",IFERROR(MAX(0,$H970-$G970),0))</f>
        <v/>
      </c>
    </row>
    <row r="971">
      <c r="A971" s="30" t="n"/>
      <c r="B971" s="30" t="n"/>
      <c r="C971" s="30" t="n"/>
      <c r="D971" s="30" t="n"/>
      <c r="E971" s="30" t="n"/>
      <c r="F971" s="30" t="n"/>
      <c r="G971" s="30" t="n"/>
      <c r="H971" s="31">
        <f>IF($A971="","",IFERROR(ROUND($C971*INDEX(tblKurallar[deger_2025],MATCH("TBO-001",tblKurallar[kural_id],0))+$D971*INDEX(tblKurallar[deger_2025],MATCH("TBO-002",tblKurallar[kural_id],0))+$E971*INDEX(tblKurallar[deger_2025],MATCH("TBO-004",tblKurallar[kural_id],0))+$F971*tbo_isverenOran,2),0))</f>
        <v/>
      </c>
      <c r="I971" s="31">
        <f>IF($A971="","",IFERROR(MAX(0,$H971-$G971),0))</f>
        <v/>
      </c>
    </row>
    <row r="972">
      <c r="A972" s="30" t="n"/>
      <c r="B972" s="30" t="n"/>
      <c r="C972" s="30" t="n"/>
      <c r="D972" s="30" t="n"/>
      <c r="E972" s="30" t="n"/>
      <c r="F972" s="30" t="n"/>
      <c r="G972" s="30" t="n"/>
      <c r="H972" s="31">
        <f>IF($A972="","",IFERROR(ROUND($C972*INDEX(tblKurallar[deger_2025],MATCH("TBO-001",tblKurallar[kural_id],0))+$D972*INDEX(tblKurallar[deger_2025],MATCH("TBO-002",tblKurallar[kural_id],0))+$E972*INDEX(tblKurallar[deger_2025],MATCH("TBO-004",tblKurallar[kural_id],0))+$F972*tbo_isverenOran,2),0))</f>
        <v/>
      </c>
      <c r="I972" s="31">
        <f>IF($A972="","",IFERROR(MAX(0,$H972-$G972),0))</f>
        <v/>
      </c>
    </row>
    <row r="973">
      <c r="A973" s="30" t="n"/>
      <c r="B973" s="30" t="n"/>
      <c r="C973" s="30" t="n"/>
      <c r="D973" s="30" t="n"/>
      <c r="E973" s="30" t="n"/>
      <c r="F973" s="30" t="n"/>
      <c r="G973" s="30" t="n"/>
      <c r="H973" s="31">
        <f>IF($A973="","",IFERROR(ROUND($C973*INDEX(tblKurallar[deger_2025],MATCH("TBO-001",tblKurallar[kural_id],0))+$D973*INDEX(tblKurallar[deger_2025],MATCH("TBO-002",tblKurallar[kural_id],0))+$E973*INDEX(tblKurallar[deger_2025],MATCH("TBO-004",tblKurallar[kural_id],0))+$F973*tbo_isverenOran,2),0))</f>
        <v/>
      </c>
      <c r="I973" s="31">
        <f>IF($A973="","",IFERROR(MAX(0,$H973-$G973),0))</f>
        <v/>
      </c>
    </row>
    <row r="974">
      <c r="A974" s="30" t="n"/>
      <c r="B974" s="30" t="n"/>
      <c r="C974" s="30" t="n"/>
      <c r="D974" s="30" t="n"/>
      <c r="E974" s="30" t="n"/>
      <c r="F974" s="30" t="n"/>
      <c r="G974" s="30" t="n"/>
      <c r="H974" s="31">
        <f>IF($A974="","",IFERROR(ROUND($C974*INDEX(tblKurallar[deger_2025],MATCH("TBO-001",tblKurallar[kural_id],0))+$D974*INDEX(tblKurallar[deger_2025],MATCH("TBO-002",tblKurallar[kural_id],0))+$E974*INDEX(tblKurallar[deger_2025],MATCH("TBO-004",tblKurallar[kural_id],0))+$F974*tbo_isverenOran,2),0))</f>
        <v/>
      </c>
      <c r="I974" s="31">
        <f>IF($A974="","",IFERROR(MAX(0,$H974-$G974),0))</f>
        <v/>
      </c>
    </row>
    <row r="975">
      <c r="A975" s="30" t="n"/>
      <c r="B975" s="30" t="n"/>
      <c r="C975" s="30" t="n"/>
      <c r="D975" s="30" t="n"/>
      <c r="E975" s="30" t="n"/>
      <c r="F975" s="30" t="n"/>
      <c r="G975" s="30" t="n"/>
      <c r="H975" s="31">
        <f>IF($A975="","",IFERROR(ROUND($C975*INDEX(tblKurallar[deger_2025],MATCH("TBO-001",tblKurallar[kural_id],0))+$D975*INDEX(tblKurallar[deger_2025],MATCH("TBO-002",tblKurallar[kural_id],0))+$E975*INDEX(tblKurallar[deger_2025],MATCH("TBO-004",tblKurallar[kural_id],0))+$F975*tbo_isverenOran,2),0))</f>
        <v/>
      </c>
      <c r="I975" s="31">
        <f>IF($A975="","",IFERROR(MAX(0,$H975-$G975),0))</f>
        <v/>
      </c>
    </row>
    <row r="976">
      <c r="A976" s="30" t="n"/>
      <c r="B976" s="30" t="n"/>
      <c r="C976" s="30" t="n"/>
      <c r="D976" s="30" t="n"/>
      <c r="E976" s="30" t="n"/>
      <c r="F976" s="30" t="n"/>
      <c r="G976" s="30" t="n"/>
      <c r="H976" s="31">
        <f>IF($A976="","",IFERROR(ROUND($C976*INDEX(tblKurallar[deger_2025],MATCH("TBO-001",tblKurallar[kural_id],0))+$D976*INDEX(tblKurallar[deger_2025],MATCH("TBO-002",tblKurallar[kural_id],0))+$E976*INDEX(tblKurallar[deger_2025],MATCH("TBO-004",tblKurallar[kural_id],0))+$F976*tbo_isverenOran,2),0))</f>
        <v/>
      </c>
      <c r="I976" s="31">
        <f>IF($A976="","",IFERROR(MAX(0,$H976-$G976),0))</f>
        <v/>
      </c>
    </row>
    <row r="977">
      <c r="A977" s="30" t="n"/>
      <c r="B977" s="30" t="n"/>
      <c r="C977" s="30" t="n"/>
      <c r="D977" s="30" t="n"/>
      <c r="E977" s="30" t="n"/>
      <c r="F977" s="30" t="n"/>
      <c r="G977" s="30" t="n"/>
      <c r="H977" s="31">
        <f>IF($A977="","",IFERROR(ROUND($C977*INDEX(tblKurallar[deger_2025],MATCH("TBO-001",tblKurallar[kural_id],0))+$D977*INDEX(tblKurallar[deger_2025],MATCH("TBO-002",tblKurallar[kural_id],0))+$E977*INDEX(tblKurallar[deger_2025],MATCH("TBO-004",tblKurallar[kural_id],0))+$F977*tbo_isverenOran,2),0))</f>
        <v/>
      </c>
      <c r="I977" s="31">
        <f>IF($A977="","",IFERROR(MAX(0,$H977-$G977),0))</f>
        <v/>
      </c>
    </row>
    <row r="978">
      <c r="A978" s="30" t="n"/>
      <c r="B978" s="30" t="n"/>
      <c r="C978" s="30" t="n"/>
      <c r="D978" s="30" t="n"/>
      <c r="E978" s="30" t="n"/>
      <c r="F978" s="30" t="n"/>
      <c r="G978" s="30" t="n"/>
      <c r="H978" s="31">
        <f>IF($A978="","",IFERROR(ROUND($C978*INDEX(tblKurallar[deger_2025],MATCH("TBO-001",tblKurallar[kural_id],0))+$D978*INDEX(tblKurallar[deger_2025],MATCH("TBO-002",tblKurallar[kural_id],0))+$E978*INDEX(tblKurallar[deger_2025],MATCH("TBO-004",tblKurallar[kural_id],0))+$F978*tbo_isverenOran,2),0))</f>
        <v/>
      </c>
      <c r="I978" s="31">
        <f>IF($A978="","",IFERROR(MAX(0,$H978-$G978),0))</f>
        <v/>
      </c>
    </row>
    <row r="979">
      <c r="A979" s="30" t="n"/>
      <c r="B979" s="30" t="n"/>
      <c r="C979" s="30" t="n"/>
      <c r="D979" s="30" t="n"/>
      <c r="E979" s="30" t="n"/>
      <c r="F979" s="30" t="n"/>
      <c r="G979" s="30" t="n"/>
      <c r="H979" s="31">
        <f>IF($A979="","",IFERROR(ROUND($C979*INDEX(tblKurallar[deger_2025],MATCH("TBO-001",tblKurallar[kural_id],0))+$D979*INDEX(tblKurallar[deger_2025],MATCH("TBO-002",tblKurallar[kural_id],0))+$E979*INDEX(tblKurallar[deger_2025],MATCH("TBO-004",tblKurallar[kural_id],0))+$F979*tbo_isverenOran,2),0))</f>
        <v/>
      </c>
      <c r="I979" s="31">
        <f>IF($A979="","",IFERROR(MAX(0,$H979-$G979),0))</f>
        <v/>
      </c>
    </row>
    <row r="980">
      <c r="A980" s="30" t="n"/>
      <c r="B980" s="30" t="n"/>
      <c r="C980" s="30" t="n"/>
      <c r="D980" s="30" t="n"/>
      <c r="E980" s="30" t="n"/>
      <c r="F980" s="30" t="n"/>
      <c r="G980" s="30" t="n"/>
      <c r="H980" s="31">
        <f>IF($A980="","",IFERROR(ROUND($C980*INDEX(tblKurallar[deger_2025],MATCH("TBO-001",tblKurallar[kural_id],0))+$D980*INDEX(tblKurallar[deger_2025],MATCH("TBO-002",tblKurallar[kural_id],0))+$E980*INDEX(tblKurallar[deger_2025],MATCH("TBO-004",tblKurallar[kural_id],0))+$F980*tbo_isverenOran,2),0))</f>
        <v/>
      </c>
      <c r="I980" s="31">
        <f>IF($A980="","",IFERROR(MAX(0,$H980-$G980),0))</f>
        <v/>
      </c>
    </row>
    <row r="981">
      <c r="A981" s="30" t="n"/>
      <c r="B981" s="30" t="n"/>
      <c r="C981" s="30" t="n"/>
      <c r="D981" s="30" t="n"/>
      <c r="E981" s="30" t="n"/>
      <c r="F981" s="30" t="n"/>
      <c r="G981" s="30" t="n"/>
      <c r="H981" s="31">
        <f>IF($A981="","",IFERROR(ROUND($C981*INDEX(tblKurallar[deger_2025],MATCH("TBO-001",tblKurallar[kural_id],0))+$D981*INDEX(tblKurallar[deger_2025],MATCH("TBO-002",tblKurallar[kural_id],0))+$E981*INDEX(tblKurallar[deger_2025],MATCH("TBO-004",tblKurallar[kural_id],0))+$F981*tbo_isverenOran,2),0))</f>
        <v/>
      </c>
      <c r="I981" s="31">
        <f>IF($A981="","",IFERROR(MAX(0,$H981-$G981),0))</f>
        <v/>
      </c>
    </row>
    <row r="982">
      <c r="A982" s="30" t="n"/>
      <c r="B982" s="30" t="n"/>
      <c r="C982" s="30" t="n"/>
      <c r="D982" s="30" t="n"/>
      <c r="E982" s="30" t="n"/>
      <c r="F982" s="30" t="n"/>
      <c r="G982" s="30" t="n"/>
      <c r="H982" s="31">
        <f>IF($A982="","",IFERROR(ROUND($C982*INDEX(tblKurallar[deger_2025],MATCH("TBO-001",tblKurallar[kural_id],0))+$D982*INDEX(tblKurallar[deger_2025],MATCH("TBO-002",tblKurallar[kural_id],0))+$E982*INDEX(tblKurallar[deger_2025],MATCH("TBO-004",tblKurallar[kural_id],0))+$F982*tbo_isverenOran,2),0))</f>
        <v/>
      </c>
      <c r="I982" s="31">
        <f>IF($A982="","",IFERROR(MAX(0,$H982-$G982),0))</f>
        <v/>
      </c>
    </row>
    <row r="983">
      <c r="A983" s="30" t="n"/>
      <c r="B983" s="30" t="n"/>
      <c r="C983" s="30" t="n"/>
      <c r="D983" s="30" t="n"/>
      <c r="E983" s="30" t="n"/>
      <c r="F983" s="30" t="n"/>
      <c r="G983" s="30" t="n"/>
      <c r="H983" s="31">
        <f>IF($A983="","",IFERROR(ROUND($C983*INDEX(tblKurallar[deger_2025],MATCH("TBO-001",tblKurallar[kural_id],0))+$D983*INDEX(tblKurallar[deger_2025],MATCH("TBO-002",tblKurallar[kural_id],0))+$E983*INDEX(tblKurallar[deger_2025],MATCH("TBO-004",tblKurallar[kural_id],0))+$F983*tbo_isverenOran,2),0))</f>
        <v/>
      </c>
      <c r="I983" s="31">
        <f>IF($A983="","",IFERROR(MAX(0,$H983-$G983),0))</f>
        <v/>
      </c>
    </row>
    <row r="984">
      <c r="A984" s="30" t="n"/>
      <c r="B984" s="30" t="n"/>
      <c r="C984" s="30" t="n"/>
      <c r="D984" s="30" t="n"/>
      <c r="E984" s="30" t="n"/>
      <c r="F984" s="30" t="n"/>
      <c r="G984" s="30" t="n"/>
      <c r="H984" s="31">
        <f>IF($A984="","",IFERROR(ROUND($C984*INDEX(tblKurallar[deger_2025],MATCH("TBO-001",tblKurallar[kural_id],0))+$D984*INDEX(tblKurallar[deger_2025],MATCH("TBO-002",tblKurallar[kural_id],0))+$E984*INDEX(tblKurallar[deger_2025],MATCH("TBO-004",tblKurallar[kural_id],0))+$F984*tbo_isverenOran,2),0))</f>
        <v/>
      </c>
      <c r="I984" s="31">
        <f>IF($A984="","",IFERROR(MAX(0,$H984-$G984),0))</f>
        <v/>
      </c>
    </row>
    <row r="985">
      <c r="A985" s="30" t="n"/>
      <c r="B985" s="30" t="n"/>
      <c r="C985" s="30" t="n"/>
      <c r="D985" s="30" t="n"/>
      <c r="E985" s="30" t="n"/>
      <c r="F985" s="30" t="n"/>
      <c r="G985" s="30" t="n"/>
      <c r="H985" s="31">
        <f>IF($A985="","",IFERROR(ROUND($C985*INDEX(tblKurallar[deger_2025],MATCH("TBO-001",tblKurallar[kural_id],0))+$D985*INDEX(tblKurallar[deger_2025],MATCH("TBO-002",tblKurallar[kural_id],0))+$E985*INDEX(tblKurallar[deger_2025],MATCH("TBO-004",tblKurallar[kural_id],0))+$F985*tbo_isverenOran,2),0))</f>
        <v/>
      </c>
      <c r="I985" s="31">
        <f>IF($A985="","",IFERROR(MAX(0,$H985-$G985),0))</f>
        <v/>
      </c>
    </row>
    <row r="986">
      <c r="A986" s="30" t="n"/>
      <c r="B986" s="30" t="n"/>
      <c r="C986" s="30" t="n"/>
      <c r="D986" s="30" t="n"/>
      <c r="E986" s="30" t="n"/>
      <c r="F986" s="30" t="n"/>
      <c r="G986" s="30" t="n"/>
      <c r="H986" s="31">
        <f>IF($A986="","",IFERROR(ROUND($C986*INDEX(tblKurallar[deger_2025],MATCH("TBO-001",tblKurallar[kural_id],0))+$D986*INDEX(tblKurallar[deger_2025],MATCH("TBO-002",tblKurallar[kural_id],0))+$E986*INDEX(tblKurallar[deger_2025],MATCH("TBO-004",tblKurallar[kural_id],0))+$F986*tbo_isverenOran,2),0))</f>
        <v/>
      </c>
      <c r="I986" s="31">
        <f>IF($A986="","",IFERROR(MAX(0,$H986-$G986),0))</f>
        <v/>
      </c>
    </row>
    <row r="987">
      <c r="A987" s="30" t="n"/>
      <c r="B987" s="30" t="n"/>
      <c r="C987" s="30" t="n"/>
      <c r="D987" s="30" t="n"/>
      <c r="E987" s="30" t="n"/>
      <c r="F987" s="30" t="n"/>
      <c r="G987" s="30" t="n"/>
      <c r="H987" s="31">
        <f>IF($A987="","",IFERROR(ROUND($C987*INDEX(tblKurallar[deger_2025],MATCH("TBO-001",tblKurallar[kural_id],0))+$D987*INDEX(tblKurallar[deger_2025],MATCH("TBO-002",tblKurallar[kural_id],0))+$E987*INDEX(tblKurallar[deger_2025],MATCH("TBO-004",tblKurallar[kural_id],0))+$F987*tbo_isverenOran,2),0))</f>
        <v/>
      </c>
      <c r="I987" s="31">
        <f>IF($A987="","",IFERROR(MAX(0,$H987-$G987),0))</f>
        <v/>
      </c>
    </row>
    <row r="988">
      <c r="A988" s="30" t="n"/>
      <c r="B988" s="30" t="n"/>
      <c r="C988" s="30" t="n"/>
      <c r="D988" s="30" t="n"/>
      <c r="E988" s="30" t="n"/>
      <c r="F988" s="30" t="n"/>
      <c r="G988" s="30" t="n"/>
      <c r="H988" s="31">
        <f>IF($A988="","",IFERROR(ROUND($C988*INDEX(tblKurallar[deger_2025],MATCH("TBO-001",tblKurallar[kural_id],0))+$D988*INDEX(tblKurallar[deger_2025],MATCH("TBO-002",tblKurallar[kural_id],0))+$E988*INDEX(tblKurallar[deger_2025],MATCH("TBO-004",tblKurallar[kural_id],0))+$F988*tbo_isverenOran,2),0))</f>
        <v/>
      </c>
      <c r="I988" s="31">
        <f>IF($A988="","",IFERROR(MAX(0,$H988-$G988),0))</f>
        <v/>
      </c>
    </row>
    <row r="989">
      <c r="A989" s="30" t="n"/>
      <c r="B989" s="30" t="n"/>
      <c r="C989" s="30" t="n"/>
      <c r="D989" s="30" t="n"/>
      <c r="E989" s="30" t="n"/>
      <c r="F989" s="30" t="n"/>
      <c r="G989" s="30" t="n"/>
      <c r="H989" s="31">
        <f>IF($A989="","",IFERROR(ROUND($C989*INDEX(tblKurallar[deger_2025],MATCH("TBO-001",tblKurallar[kural_id],0))+$D989*INDEX(tblKurallar[deger_2025],MATCH("TBO-002",tblKurallar[kural_id],0))+$E989*INDEX(tblKurallar[deger_2025],MATCH("TBO-004",tblKurallar[kural_id],0))+$F989*tbo_isverenOran,2),0))</f>
        <v/>
      </c>
      <c r="I989" s="31">
        <f>IF($A989="","",IFERROR(MAX(0,$H989-$G989),0))</f>
        <v/>
      </c>
    </row>
    <row r="990">
      <c r="A990" s="30" t="n"/>
      <c r="B990" s="30" t="n"/>
      <c r="C990" s="30" t="n"/>
      <c r="D990" s="30" t="n"/>
      <c r="E990" s="30" t="n"/>
      <c r="F990" s="30" t="n"/>
      <c r="G990" s="30" t="n"/>
      <c r="H990" s="31">
        <f>IF($A990="","",IFERROR(ROUND($C990*INDEX(tblKurallar[deger_2025],MATCH("TBO-001",tblKurallar[kural_id],0))+$D990*INDEX(tblKurallar[deger_2025],MATCH("TBO-002",tblKurallar[kural_id],0))+$E990*INDEX(tblKurallar[deger_2025],MATCH("TBO-004",tblKurallar[kural_id],0))+$F990*tbo_isverenOran,2),0))</f>
        <v/>
      </c>
      <c r="I990" s="31">
        <f>IF($A990="","",IFERROR(MAX(0,$H990-$G990),0))</f>
        <v/>
      </c>
    </row>
    <row r="991">
      <c r="A991" s="30" t="n"/>
      <c r="B991" s="30" t="n"/>
      <c r="C991" s="30" t="n"/>
      <c r="D991" s="30" t="n"/>
      <c r="E991" s="30" t="n"/>
      <c r="F991" s="30" t="n"/>
      <c r="G991" s="30" t="n"/>
      <c r="H991" s="31">
        <f>IF($A991="","",IFERROR(ROUND($C991*INDEX(tblKurallar[deger_2025],MATCH("TBO-001",tblKurallar[kural_id],0))+$D991*INDEX(tblKurallar[deger_2025],MATCH("TBO-002",tblKurallar[kural_id],0))+$E991*INDEX(tblKurallar[deger_2025],MATCH("TBO-004",tblKurallar[kural_id],0))+$F991*tbo_isverenOran,2),0))</f>
        <v/>
      </c>
      <c r="I991" s="31">
        <f>IF($A991="","",IFERROR(MAX(0,$H991-$G991),0))</f>
        <v/>
      </c>
    </row>
    <row r="992">
      <c r="A992" s="30" t="n"/>
      <c r="B992" s="30" t="n"/>
      <c r="C992" s="30" t="n"/>
      <c r="D992" s="30" t="n"/>
      <c r="E992" s="30" t="n"/>
      <c r="F992" s="30" t="n"/>
      <c r="G992" s="30" t="n"/>
      <c r="H992" s="31">
        <f>IF($A992="","",IFERROR(ROUND($C992*INDEX(tblKurallar[deger_2025],MATCH("TBO-001",tblKurallar[kural_id],0))+$D992*INDEX(tblKurallar[deger_2025],MATCH("TBO-002",tblKurallar[kural_id],0))+$E992*INDEX(tblKurallar[deger_2025],MATCH("TBO-004",tblKurallar[kural_id],0))+$F992*tbo_isverenOran,2),0))</f>
        <v/>
      </c>
      <c r="I992" s="31">
        <f>IF($A992="","",IFERROR(MAX(0,$H992-$G992),0))</f>
        <v/>
      </c>
    </row>
    <row r="993">
      <c r="A993" s="30" t="n"/>
      <c r="B993" s="30" t="n"/>
      <c r="C993" s="30" t="n"/>
      <c r="D993" s="30" t="n"/>
      <c r="E993" s="30" t="n"/>
      <c r="F993" s="30" t="n"/>
      <c r="G993" s="30" t="n"/>
      <c r="H993" s="31">
        <f>IF($A993="","",IFERROR(ROUND($C993*INDEX(tblKurallar[deger_2025],MATCH("TBO-001",tblKurallar[kural_id],0))+$D993*INDEX(tblKurallar[deger_2025],MATCH("TBO-002",tblKurallar[kural_id],0))+$E993*INDEX(tblKurallar[deger_2025],MATCH("TBO-004",tblKurallar[kural_id],0))+$F993*tbo_isverenOran,2),0))</f>
        <v/>
      </c>
      <c r="I993" s="31">
        <f>IF($A993="","",IFERROR(MAX(0,$H993-$G993),0))</f>
        <v/>
      </c>
    </row>
    <row r="994">
      <c r="A994" s="30" t="n"/>
      <c r="B994" s="30" t="n"/>
      <c r="C994" s="30" t="n"/>
      <c r="D994" s="30" t="n"/>
      <c r="E994" s="30" t="n"/>
      <c r="F994" s="30" t="n"/>
      <c r="G994" s="30" t="n"/>
      <c r="H994" s="31">
        <f>IF($A994="","",IFERROR(ROUND($C994*INDEX(tblKurallar[deger_2025],MATCH("TBO-001",tblKurallar[kural_id],0))+$D994*INDEX(tblKurallar[deger_2025],MATCH("TBO-002",tblKurallar[kural_id],0))+$E994*INDEX(tblKurallar[deger_2025],MATCH("TBO-004",tblKurallar[kural_id],0))+$F994*tbo_isverenOran,2),0))</f>
        <v/>
      </c>
      <c r="I994" s="31">
        <f>IF($A994="","",IFERROR(MAX(0,$H994-$G994),0))</f>
        <v/>
      </c>
    </row>
    <row r="995">
      <c r="A995" s="30" t="n"/>
      <c r="B995" s="30" t="n"/>
      <c r="C995" s="30" t="n"/>
      <c r="D995" s="30" t="n"/>
      <c r="E995" s="30" t="n"/>
      <c r="F995" s="30" t="n"/>
      <c r="G995" s="30" t="n"/>
      <c r="H995" s="31">
        <f>IF($A995="","",IFERROR(ROUND($C995*INDEX(tblKurallar[deger_2025],MATCH("TBO-001",tblKurallar[kural_id],0))+$D995*INDEX(tblKurallar[deger_2025],MATCH("TBO-002",tblKurallar[kural_id],0))+$E995*INDEX(tblKurallar[deger_2025],MATCH("TBO-004",tblKurallar[kural_id],0))+$F995*tbo_isverenOran,2),0))</f>
        <v/>
      </c>
      <c r="I995" s="31">
        <f>IF($A995="","",IFERROR(MAX(0,$H995-$G995),0))</f>
        <v/>
      </c>
    </row>
    <row r="996">
      <c r="A996" s="30" t="n"/>
      <c r="B996" s="30" t="n"/>
      <c r="C996" s="30" t="n"/>
      <c r="D996" s="30" t="n"/>
      <c r="E996" s="30" t="n"/>
      <c r="F996" s="30" t="n"/>
      <c r="G996" s="30" t="n"/>
      <c r="H996" s="31">
        <f>IF($A996="","",IFERROR(ROUND($C996*INDEX(tblKurallar[deger_2025],MATCH("TBO-001",tblKurallar[kural_id],0))+$D996*INDEX(tblKurallar[deger_2025],MATCH("TBO-002",tblKurallar[kural_id],0))+$E996*INDEX(tblKurallar[deger_2025],MATCH("TBO-004",tblKurallar[kural_id],0))+$F996*tbo_isverenOran,2),0))</f>
        <v/>
      </c>
      <c r="I996" s="31">
        <f>IF($A996="","",IFERROR(MAX(0,$H996-$G996),0))</f>
        <v/>
      </c>
    </row>
    <row r="997">
      <c r="A997" s="30" t="n"/>
      <c r="B997" s="30" t="n"/>
      <c r="C997" s="30" t="n"/>
      <c r="D997" s="30" t="n"/>
      <c r="E997" s="30" t="n"/>
      <c r="F997" s="30" t="n"/>
      <c r="G997" s="30" t="n"/>
      <c r="H997" s="31">
        <f>IF($A997="","",IFERROR(ROUND($C997*INDEX(tblKurallar[deger_2025],MATCH("TBO-001",tblKurallar[kural_id],0))+$D997*INDEX(tblKurallar[deger_2025],MATCH("TBO-002",tblKurallar[kural_id],0))+$E997*INDEX(tblKurallar[deger_2025],MATCH("TBO-004",tblKurallar[kural_id],0))+$F997*tbo_isverenOran,2),0))</f>
        <v/>
      </c>
      <c r="I997" s="31">
        <f>IF($A997="","",IFERROR(MAX(0,$H997-$G997),0))</f>
        <v/>
      </c>
    </row>
    <row r="998">
      <c r="A998" s="30" t="n"/>
      <c r="B998" s="30" t="n"/>
      <c r="C998" s="30" t="n"/>
      <c r="D998" s="30" t="n"/>
      <c r="E998" s="30" t="n"/>
      <c r="F998" s="30" t="n"/>
      <c r="G998" s="30" t="n"/>
      <c r="H998" s="31">
        <f>IF($A998="","",IFERROR(ROUND($C998*INDEX(tblKurallar[deger_2025],MATCH("TBO-001",tblKurallar[kural_id],0))+$D998*INDEX(tblKurallar[deger_2025],MATCH("TBO-002",tblKurallar[kural_id],0))+$E998*INDEX(tblKurallar[deger_2025],MATCH("TBO-004",tblKurallar[kural_id],0))+$F998*tbo_isverenOran,2),0))</f>
        <v/>
      </c>
      <c r="I998" s="31">
        <f>IF($A998="","",IFERROR(MAX(0,$H998-$G998),0))</f>
        <v/>
      </c>
    </row>
    <row r="999">
      <c r="A999" s="30" t="n"/>
      <c r="B999" s="30" t="n"/>
      <c r="C999" s="30" t="n"/>
      <c r="D999" s="30" t="n"/>
      <c r="E999" s="30" t="n"/>
      <c r="F999" s="30" t="n"/>
      <c r="G999" s="30" t="n"/>
      <c r="H999" s="31">
        <f>IF($A999="","",IFERROR(ROUND($C999*INDEX(tblKurallar[deger_2025],MATCH("TBO-001",tblKurallar[kural_id],0))+$D999*INDEX(tblKurallar[deger_2025],MATCH("TBO-002",tblKurallar[kural_id],0))+$E999*INDEX(tblKurallar[deger_2025],MATCH("TBO-004",tblKurallar[kural_id],0))+$F999*tbo_isverenOran,2),0))</f>
        <v/>
      </c>
      <c r="I999" s="31">
        <f>IF($A999="","",IFERROR(MAX(0,$H999-$G999),0))</f>
        <v/>
      </c>
    </row>
    <row r="1000">
      <c r="A1000" s="30" t="n"/>
      <c r="B1000" s="30" t="n"/>
      <c r="C1000" s="30" t="n"/>
      <c r="D1000" s="30" t="n"/>
      <c r="E1000" s="30" t="n"/>
      <c r="F1000" s="30" t="n"/>
      <c r="G1000" s="30" t="n"/>
      <c r="H1000" s="31">
        <f>IF($A1000="","",IFERROR(ROUND($C1000*INDEX(tblKurallar[deger_2025],MATCH("TBO-001",tblKurallar[kural_id],0))+$D1000*INDEX(tblKurallar[deger_2025],MATCH("TBO-002",tblKurallar[kural_id],0))+$E1000*INDEX(tblKurallar[deger_2025],MATCH("TBO-004",tblKurallar[kural_id],0))+$F1000*tbo_isverenOran,2),0))</f>
        <v/>
      </c>
      <c r="I1000" s="31">
        <f>IF($A1000="","",IFERROR(MAX(0,$H1000-$G1000),0))</f>
        <v/>
      </c>
    </row>
    <row r="1001">
      <c r="A1001" s="30" t="n"/>
      <c r="B1001" s="30" t="n"/>
      <c r="C1001" s="30" t="n"/>
      <c r="D1001" s="30" t="n"/>
      <c r="E1001" s="30" t="n"/>
      <c r="F1001" s="30" t="n"/>
      <c r="G1001" s="30" t="n"/>
      <c r="H1001" s="31">
        <f>IF($A1001="","",IFERROR(ROUND($C1001*INDEX(tblKurallar[deger_2025],MATCH("TBO-001",tblKurallar[kural_id],0))+$D1001*INDEX(tblKurallar[deger_2025],MATCH("TBO-002",tblKurallar[kural_id],0))+$E1001*INDEX(tblKurallar[deger_2025],MATCH("TBO-004",tblKurallar[kural_id],0))+$F1001*tbo_isverenOran,2),0))</f>
        <v/>
      </c>
      <c r="I1001" s="31">
        <f>IF($A1001="","",IFERROR(MAX(0,$H1001-$G1001),0))</f>
        <v/>
      </c>
    </row>
    <row r="1002">
      <c r="A1002" s="30" t="n"/>
      <c r="B1002" s="30" t="n"/>
      <c r="C1002" s="30" t="n"/>
      <c r="D1002" s="30" t="n"/>
      <c r="E1002" s="30" t="n"/>
      <c r="F1002" s="30" t="n"/>
      <c r="G1002" s="30" t="n"/>
      <c r="H1002" s="31">
        <f>IF($A1002="","",IFERROR(ROUND($C1002*INDEX(tblKurallar[deger_2025],MATCH("TBO-001",tblKurallar[kural_id],0))+$D1002*INDEX(tblKurallar[deger_2025],MATCH("TBO-002",tblKurallar[kural_id],0))+$E1002*INDEX(tblKurallar[deger_2025],MATCH("TBO-004",tblKurallar[kural_id],0))+$F1002*tbo_isverenOran,2),0))</f>
        <v/>
      </c>
      <c r="I1002" s="31">
        <f>IF($A1002="","",IFERROR(MAX(0,$H1002-$G1002),0))</f>
        <v/>
      </c>
    </row>
    <row r="1003">
      <c r="A1003" s="30" t="n"/>
      <c r="B1003" s="30" t="n"/>
      <c r="C1003" s="30" t="n"/>
      <c r="D1003" s="30" t="n"/>
      <c r="E1003" s="30" t="n"/>
      <c r="F1003" s="30" t="n"/>
      <c r="G1003" s="30" t="n"/>
      <c r="H1003" s="31">
        <f>IF($A1003="","",IFERROR(ROUND($C1003*INDEX(tblKurallar[deger_2025],MATCH("TBO-001",tblKurallar[kural_id],0))+$D1003*INDEX(tblKurallar[deger_2025],MATCH("TBO-002",tblKurallar[kural_id],0))+$E1003*INDEX(tblKurallar[deger_2025],MATCH("TBO-004",tblKurallar[kural_id],0))+$F1003*tbo_isverenOran,2),0))</f>
        <v/>
      </c>
      <c r="I1003" s="31">
        <f>IF($A1003="","",IFERROR(MAX(0,$H1003-$G1003),0))</f>
        <v/>
      </c>
    </row>
    <row r="1004">
      <c r="A1004" s="30" t="n"/>
      <c r="B1004" s="30" t="n"/>
      <c r="C1004" s="30" t="n"/>
      <c r="D1004" s="30" t="n"/>
      <c r="E1004" s="30" t="n"/>
      <c r="F1004" s="30" t="n"/>
      <c r="G1004" s="30" t="n"/>
      <c r="H1004" s="31">
        <f>IF($A1004="","",IFERROR(ROUND($C1004*INDEX(tblKurallar[deger_2025],MATCH("TBO-001",tblKurallar[kural_id],0))+$D1004*INDEX(tblKurallar[deger_2025],MATCH("TBO-002",tblKurallar[kural_id],0))+$E1004*INDEX(tblKurallar[deger_2025],MATCH("TBO-004",tblKurallar[kural_id],0))+$F1004*tbo_isverenOran,2),0))</f>
        <v/>
      </c>
      <c r="I1004" s="31">
        <f>IF($A1004="","",IFERROR(MAX(0,$H1004-$G1004),0))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B6:B20">
    <cfRule type="cellIs" priority="1" operator="lessThan" dxfId="3">
      <formula>0</formula>
    </cfRule>
  </conditionalFormatting>
  <conditionalFormatting sqref="C6:C20">
    <cfRule type="cellIs" priority="2" operator="lessThan" dxfId="3">
      <formula>0</formula>
    </cfRule>
  </conditionalFormatting>
  <conditionalFormatting sqref="D6:D20">
    <cfRule type="cellIs" priority="3" operator="lessThan" dxfId="3">
      <formula>0</formula>
    </cfRule>
  </conditionalFormatting>
  <conditionalFormatting sqref="E6:E20">
    <cfRule type="cellIs" priority="4" operator="lessThan" dxfId="3">
      <formula>0</formula>
    </cfRule>
  </conditionalFormatting>
  <conditionalFormatting sqref="F6:F20">
    <cfRule type="cellIs" priority="5" operator="lessThan" dxfId="3">
      <formula>0</formula>
    </cfRule>
  </conditionalFormatting>
  <conditionalFormatting sqref="G6:G20">
    <cfRule type="cellIs" priority="6" operator="lessThan" dxfId="3">
      <formula>0</formula>
    </cfRule>
  </conditionalFormatting>
  <conditionalFormatting sqref="H6:H20">
    <cfRule type="cellIs" priority="7" operator="lessThan" dxfId="3">
      <formula>0</formula>
    </cfRule>
  </conditionalFormatting>
  <conditionalFormatting sqref="I6:I20">
    <cfRule type="cellIs" priority="8" operator="lessThan" dxfId="3">
      <formula>0</formula>
    </cfRule>
    <cfRule type="cellIs" priority="9" operator="greaterThan" dxfId="5">
      <formula>0</formula>
    </cfRule>
  </conditionalFormatting>
  <dataValidations count="6">
    <dataValidation sqref="B6:B1004" showDropDown="0" showInputMessage="1" showErrorMessage="1" allowBlank="1" errorTitle="Geçersiz" error="0 ile 1e12 arasında." promptTitle="Brüt" prompt="Brüt tutarını TL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0 ile 1e12 arasında." promptTitle="5 Puan" prompt="5 Puan tutarını TL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0 ile 1e12 arasında." promptTitle="İlave" prompt="İlave tutarını TL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0 ile 1e12 arasında." promptTitle="Kadın/Genç" prompt="Kadın/Genç tutarını TL girin." type="decimal" errorStyle="stop" operator="between">
      <formula1>0</formula1>
      <formula2>1000000000000</formula2>
    </dataValidation>
    <dataValidation sqref="F6:F1004" showDropDown="0" showInputMessage="1" showErrorMessage="1" allowBlank="1" errorTitle="Geçersiz" error="0 ile 1e12 arasında." promptTitle="Engelli" prompt="Engelli tutarını TL girin." type="decimal" errorStyle="stop" operator="between">
      <formula1>0</formula1>
      <formula2>1000000000000</formula2>
    </dataValidation>
    <dataValidation sqref="G6:G1004" showDropDown="0" showInputMessage="1" showErrorMessage="1" allowBlank="1" errorTitle="Geçersiz" error="0 ile 1e12 arasında." promptTitle="Mevcut" prompt="Mevcut tutarını TL girin." type="decimal" errorStyle="stop" operator="between">
      <formula1>0</formula1>
      <formula2>1000000000000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595959"/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.5" customWidth="1" min="3" max="3"/>
    <col width="13" customWidth="1" min="4" max="4"/>
    <col width="14.5" customWidth="1" min="5" max="5"/>
    <col width="13" customWidth="1" min="6" max="6"/>
    <col width="15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LISTELER — Teşvikli Bordro Optimizasyon</t>
        </is>
      </c>
    </row>
    <row r="3" ht="22" customHeight="1">
      <c r="A3" s="223" t="inlineStr">
        <is>
          <t>Doğrulama listeleri</t>
        </is>
      </c>
    </row>
    <row r="5">
      <c r="A5" s="39" t="inlineStr">
        <is>
          <t>Yıllar</t>
        </is>
      </c>
      <c r="C5" s="39" t="inlineStr">
        <is>
          <t>Yorum A/B</t>
        </is>
      </c>
      <c r="E5" s="39" t="inlineStr">
        <is>
          <t>Evet/Hayır</t>
        </is>
      </c>
      <c r="G5" s="39" t="inlineStr">
        <is>
          <t>Teşvik kodu</t>
        </is>
      </c>
    </row>
    <row r="6">
      <c r="A6" s="60" t="n">
        <v>2025</v>
      </c>
      <c r="C6" s="57" t="inlineStr">
        <is>
          <t>A</t>
        </is>
      </c>
      <c r="E6" s="57" t="inlineStr">
        <is>
          <t>Evet</t>
        </is>
      </c>
      <c r="G6" s="57" t="inlineStr">
        <is>
          <t>TBO-001</t>
        </is>
      </c>
    </row>
    <row r="7">
      <c r="A7" s="60" t="n">
        <v>2026</v>
      </c>
      <c r="C7" s="57" t="inlineStr">
        <is>
          <t>B</t>
        </is>
      </c>
      <c r="E7" s="57" t="inlineStr">
        <is>
          <t>Hayır</t>
        </is>
      </c>
      <c r="G7" s="57" t="inlineStr">
        <is>
          <t>TBO-002</t>
        </is>
      </c>
    </row>
    <row r="8">
      <c r="A8" s="60" t="n">
        <v>2027</v>
      </c>
      <c r="G8" s="57" t="inlineStr">
        <is>
          <t>TBO-004</t>
        </is>
      </c>
    </row>
    <row r="9">
      <c r="G9" s="57" t="inlineStr">
        <is>
          <t>TBO-ENG</t>
        </is>
      </c>
    </row>
    <row r="10">
      <c r="G10" s="57" t="inlineStr">
        <is>
          <t>YOK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4.5" customWidth="1" min="2" max="2"/>
    <col width="10.5" customWidth="1" min="3" max="3"/>
    <col width="39.5" customWidth="1" min="4" max="4"/>
    <col width="22" customWidth="1" min="5" max="5"/>
    <col width="19.5" customWidth="1" min="6" max="6"/>
    <col width="20.5" customWidth="1" min="7" max="7"/>
    <col width="12" customWidth="1" min="8" max="8"/>
    <col width="13" customWidth="1" min="9" max="9"/>
  </cols>
  <sheetData>
    <row r="1" ht="32" customHeight="1">
      <c r="A1" s="204" t="inlineStr">
        <is>
          <t>AYARLAR — Teşvikli Bordro Optimizasyon</t>
        </is>
      </c>
    </row>
    <row r="3" ht="22" customHeight="1">
      <c r="A3" s="223" t="inlineStr">
        <is>
          <t>Parametreler (tek kaynak)</t>
        </is>
      </c>
    </row>
    <row r="5" ht="30" customHeight="1">
      <c r="A5" s="13" t="inlineStr">
        <is>
          <t>anahtar</t>
        </is>
      </c>
      <c r="B5" s="13" t="inlineStr">
        <is>
          <t>deger</t>
        </is>
      </c>
      <c r="C5" s="13" t="inlineStr">
        <is>
          <t>birim</t>
        </is>
      </c>
      <c r="D5" s="13" t="inlineStr">
        <is>
          <t>aciklama</t>
        </is>
      </c>
      <c r="E5" s="13" t="inlineStr">
        <is>
          <t>kaynak</t>
        </is>
      </c>
      <c r="F5" s="13" t="inlineStr">
        <is>
          <t>yururluk_tarihi</t>
        </is>
      </c>
      <c r="G5" s="13" t="inlineStr">
        <is>
          <t>dogrulama_tarihi</t>
        </is>
      </c>
      <c r="H5" s="13" t="inlineStr">
        <is>
          <t>kontrol</t>
        </is>
      </c>
    </row>
    <row r="6">
      <c r="A6" s="24" t="inlineStr">
        <is>
          <t>hesapYili</t>
        </is>
      </c>
      <c r="B6" s="43" t="n">
        <v>2025</v>
      </c>
      <c r="C6" s="24" t="inlineStr">
        <is>
          <t>yıl</t>
        </is>
      </c>
      <c r="D6" s="24" t="inlineStr">
        <is>
          <t>Aktif hesap yılı</t>
        </is>
      </c>
      <c r="E6" s="24" t="inlineStr">
        <is>
          <t>Kullanıcı / GIRDI</t>
        </is>
      </c>
      <c r="F6" s="24" t="inlineStr">
        <is>
          <t>01.01.2025</t>
        </is>
      </c>
      <c r="G6" s="24" t="inlineStr">
        <is>
          <t>11.08.2026</t>
        </is>
      </c>
      <c r="H6" s="61">
        <f>IF(A6="","",IF(B6="","EKSİK","TAM"))</f>
        <v/>
      </c>
    </row>
    <row r="7">
      <c r="A7" s="24" t="inlineStr">
        <is>
          <t>raporTarihi</t>
        </is>
      </c>
      <c r="B7" s="62" t="n">
        <v>46248</v>
      </c>
      <c r="C7" s="24" t="inlineStr">
        <is>
          <t>tarih</t>
        </is>
      </c>
      <c r="D7" s="24" t="inlineStr">
        <is>
          <t>Rapor tarihi (sabit)</t>
        </is>
      </c>
      <c r="E7" s="24" t="inlineStr">
        <is>
          <t>Üretim</t>
        </is>
      </c>
      <c r="F7" s="24" t="inlineStr">
        <is>
          <t>01.01.2025</t>
        </is>
      </c>
      <c r="G7" s="24" t="inlineStr">
        <is>
          <t>11.08.2026</t>
        </is>
      </c>
      <c r="H7" s="61">
        <f>IF(A7="","",IF(B7="","EKSİK","TAM"))</f>
        <v/>
      </c>
    </row>
    <row r="8">
      <c r="A8" s="24" t="inlineStr">
        <is>
          <t>tbo_tolerans</t>
        </is>
      </c>
      <c r="B8" s="42" t="n">
        <v>0.01</v>
      </c>
      <c r="C8" s="24" t="inlineStr">
        <is>
          <t>TL</t>
        </is>
      </c>
      <c r="D8" s="24" t="inlineStr">
        <is>
          <t>Vaka tutarlılık toleransı</t>
        </is>
      </c>
      <c r="E8" s="24" t="inlineStr">
        <is>
          <t>Uygulama notu</t>
        </is>
      </c>
      <c r="F8" s="24" t="inlineStr">
        <is>
          <t>01.01.2025</t>
        </is>
      </c>
      <c r="G8" s="24" t="inlineStr">
        <is>
          <t>11.08.2026</t>
        </is>
      </c>
      <c r="H8" s="61">
        <f>IF(A8="","",IF(B8="","EKSİK","TAM"))</f>
        <v/>
      </c>
    </row>
    <row r="9">
      <c r="A9" s="24" t="inlineStr">
        <is>
          <t>tbo_kacirilanEsik</t>
        </is>
      </c>
      <c r="B9" s="42" t="n">
        <v>15000</v>
      </c>
      <c r="C9" s="24" t="inlineStr">
        <is>
          <t>TL</t>
        </is>
      </c>
      <c r="D9" s="24" t="inlineStr">
        <is>
          <t>PANO kaçırılan uyarı eşiği</t>
        </is>
      </c>
      <c r="E9" s="24" t="inlineStr">
        <is>
          <t>İç politika</t>
        </is>
      </c>
      <c r="F9" s="24" t="inlineStr">
        <is>
          <t>01.01.2025</t>
        </is>
      </c>
      <c r="G9" s="24" t="inlineStr">
        <is>
          <t>11.08.2026</t>
        </is>
      </c>
      <c r="H9" s="61">
        <f>IF(A9="","",IF(B9="","EKSİK","TAM"))</f>
        <v/>
      </c>
    </row>
    <row r="10">
      <c r="A10" s="24" t="inlineStr">
        <is>
          <t>tbo_senaryoIyi</t>
        </is>
      </c>
      <c r="B10" s="41" t="n">
        <v>0.9</v>
      </c>
      <c r="C10" s="24" t="inlineStr">
        <is>
          <t>çarpan</t>
        </is>
      </c>
      <c r="D10" s="24" t="inlineStr">
        <is>
          <t>İyimser matrah çarpanı</t>
        </is>
      </c>
      <c r="E10" s="24" t="inlineStr">
        <is>
          <t>Model varsayımı</t>
        </is>
      </c>
      <c r="F10" s="24" t="inlineStr">
        <is>
          <t>01.01.2025</t>
        </is>
      </c>
      <c r="G10" s="24" t="inlineStr">
        <is>
          <t>11.08.2026</t>
        </is>
      </c>
      <c r="H10" s="61">
        <f>IF(A10="","",IF(B10="","EKSİK","TAM"))</f>
        <v/>
      </c>
    </row>
    <row r="11">
      <c r="A11" s="24" t="inlineStr">
        <is>
          <t>tbo_senaryoKotu</t>
        </is>
      </c>
      <c r="B11" s="41" t="n">
        <v>1.1</v>
      </c>
      <c r="C11" s="24" t="inlineStr">
        <is>
          <t>çarpan</t>
        </is>
      </c>
      <c r="D11" s="24" t="inlineStr">
        <is>
          <t>Kötümser matrah çarpanı</t>
        </is>
      </c>
      <c r="E11" s="24" t="inlineStr">
        <is>
          <t>Model varsayımı</t>
        </is>
      </c>
      <c r="F11" s="24" t="inlineStr">
        <is>
          <t>01.01.2025</t>
        </is>
      </c>
      <c r="G11" s="24" t="inlineStr">
        <is>
          <t>11.08.2026</t>
        </is>
      </c>
      <c r="H11" s="61">
        <f>IF(A11="","",IF(B11="","EKSİK","TAM"))</f>
        <v/>
      </c>
    </row>
    <row r="12">
      <c r="A12" s="24" t="inlineStr">
        <is>
          <t>tbo_oranArtisPuan</t>
        </is>
      </c>
      <c r="B12" s="41" t="n">
        <v>0.01</v>
      </c>
      <c r="C12" s="24" t="inlineStr">
        <is>
          <t>oran</t>
        </is>
      </c>
      <c r="D12" s="24" t="inlineStr">
        <is>
          <t>M-SEN +1 puan</t>
        </is>
      </c>
      <c r="E12" s="24" t="inlineStr">
        <is>
          <t>Senaryo motoru</t>
        </is>
      </c>
      <c r="F12" s="24" t="inlineStr">
        <is>
          <t>01.01.2025</t>
        </is>
      </c>
      <c r="G12" s="24" t="inlineStr">
        <is>
          <t>11.08.2026</t>
        </is>
      </c>
      <c r="H12" s="61">
        <f>IF(A12="","",IF(B12="","EKSİK","TAM"))</f>
        <v/>
      </c>
    </row>
    <row r="13">
      <c r="A13" s="24" t="inlineStr">
        <is>
          <t>tbo_tahminAlt</t>
        </is>
      </c>
      <c r="B13" s="41" t="n">
        <v>0.85</v>
      </c>
      <c r="C13" s="24" t="inlineStr">
        <is>
          <t>çarpan</t>
        </is>
      </c>
      <c r="D13" s="24" t="inlineStr">
        <is>
          <t>Tahmin alt bant</t>
        </is>
      </c>
      <c r="E13" s="24" t="inlineStr">
        <is>
          <t>Model varsayımı</t>
        </is>
      </c>
      <c r="F13" s="24" t="inlineStr">
        <is>
          <t>01.01.2025</t>
        </is>
      </c>
      <c r="G13" s="24" t="inlineStr">
        <is>
          <t>11.08.2026</t>
        </is>
      </c>
      <c r="H13" s="61">
        <f>IF(A13="","",IF(B13="","EKSİK","TAM"))</f>
        <v/>
      </c>
    </row>
    <row r="14">
      <c r="A14" s="24" t="inlineStr">
        <is>
          <t>tbo_tahminUst</t>
        </is>
      </c>
      <c r="B14" s="41" t="n">
        <v>1.15</v>
      </c>
      <c r="C14" s="24" t="inlineStr">
        <is>
          <t>çarpan</t>
        </is>
      </c>
      <c r="D14" s="24" t="inlineStr">
        <is>
          <t>Tahmin üst bant</t>
        </is>
      </c>
      <c r="E14" s="24" t="inlineStr">
        <is>
          <t>Model varsayımı</t>
        </is>
      </c>
      <c r="F14" s="24" t="inlineStr">
        <is>
          <t>01.01.2025</t>
        </is>
      </c>
      <c r="G14" s="24" t="inlineStr">
        <is>
          <t>11.08.2026</t>
        </is>
      </c>
      <c r="H14" s="61">
        <f>IF(A14="","",IF(B14="","EKSİK","TAM"))</f>
        <v/>
      </c>
    </row>
    <row r="15">
      <c r="A15" s="24" t="inlineStr">
        <is>
          <t>tbo_tornadoMatrah</t>
        </is>
      </c>
      <c r="B15" s="41" t="n">
        <v>1.05</v>
      </c>
      <c r="C15" s="24" t="inlineStr">
        <is>
          <t>çarpan</t>
        </is>
      </c>
      <c r="D15" s="24" t="inlineStr">
        <is>
          <t>Tornado matrah şoku</t>
        </is>
      </c>
      <c r="E15" s="24" t="inlineStr">
        <is>
          <t>Model varsayımı</t>
        </is>
      </c>
      <c r="F15" s="24" t="inlineStr">
        <is>
          <t>01.01.2025</t>
        </is>
      </c>
      <c r="G15" s="24" t="inlineStr">
        <is>
          <t>11.08.2026</t>
        </is>
      </c>
      <c r="H15" s="61">
        <f>IF(A15="","",IF(B15="","EKSİK","TAM"))</f>
        <v/>
      </c>
    </row>
    <row r="16">
      <c r="A16" s="24" t="inlineStr">
        <is>
          <t>tbo_tornadoMevcut</t>
        </is>
      </c>
      <c r="B16" s="41" t="n">
        <v>0.95</v>
      </c>
      <c r="C16" s="24" t="inlineStr">
        <is>
          <t>çarpan</t>
        </is>
      </c>
      <c r="D16" s="24" t="inlineStr">
        <is>
          <t>Tornado mevcut şoku</t>
        </is>
      </c>
      <c r="E16" s="24" t="inlineStr">
        <is>
          <t>Model varsayımı</t>
        </is>
      </c>
      <c r="F16" s="24" t="inlineStr">
        <is>
          <t>01.01.2025</t>
        </is>
      </c>
      <c r="G16" s="24" t="inlineStr">
        <is>
          <t>11.08.2026</t>
        </is>
      </c>
      <c r="H16" s="61">
        <f>IF(A16="","",IF(B16="","EKSİK","TAM"))</f>
        <v/>
      </c>
    </row>
    <row r="17">
      <c r="A17" s="24" t="inlineStr">
        <is>
          <t>tbo_isverenOran</t>
        </is>
      </c>
      <c r="B17" s="41" t="n">
        <v>0.205</v>
      </c>
      <c r="C17" s="24" t="inlineStr">
        <is>
          <t>oran</t>
        </is>
      </c>
      <c r="D17" s="24" t="inlineStr">
        <is>
          <t>İşveren SGK payı (engelli)</t>
        </is>
      </c>
      <c r="E17" s="24" t="inlineStr">
        <is>
          <t>5510 s.K.</t>
        </is>
      </c>
      <c r="F17" s="24" t="inlineStr">
        <is>
          <t>01.01.2025</t>
        </is>
      </c>
      <c r="G17" s="24" t="inlineStr">
        <is>
          <t>11.08.2026</t>
        </is>
      </c>
      <c r="H17" s="61">
        <f>IF(A17="","",IF(B17="","EKSİK","TAM"))</f>
        <v/>
      </c>
    </row>
    <row r="18">
      <c r="A18" s="24" t="inlineStr">
        <is>
          <t>tbo_yuzdelikOran</t>
        </is>
      </c>
      <c r="B18" s="41" t="n">
        <v>0.9</v>
      </c>
      <c r="C18" s="24" t="inlineStr">
        <is>
          <t>oran</t>
        </is>
      </c>
      <c r="D18" s="24" t="inlineStr">
        <is>
          <t>Yüzdelik P90</t>
        </is>
      </c>
      <c r="E18" s="24" t="inlineStr">
        <is>
          <t>İstatistik</t>
        </is>
      </c>
      <c r="F18" s="24" t="inlineStr">
        <is>
          <t>01.01.2025</t>
        </is>
      </c>
      <c r="G18" s="24" t="inlineStr">
        <is>
          <t>11.08.2026</t>
        </is>
      </c>
      <c r="H18" s="61">
        <f>IF(A18="","",IF(B18="","EKSİK","TAM"))</f>
        <v/>
      </c>
    </row>
    <row r="19">
      <c r="A19" s="24" t="inlineStr">
        <is>
          <t>tbo_parmakIzi</t>
        </is>
      </c>
      <c r="B19" s="63" t="inlineStr">
        <is>
          <t>dee83f19ca46f918</t>
        </is>
      </c>
      <c r="C19" s="24" t="inlineStr">
        <is>
          <t>metin</t>
        </is>
      </c>
      <c r="D19" s="24" t="inlineStr">
        <is>
          <t>Dosya parmak izi etiketi</t>
        </is>
      </c>
      <c r="E19" s="24" t="inlineStr">
        <is>
          <t>Üretim</t>
        </is>
      </c>
      <c r="F19" s="24" t="inlineStr">
        <is>
          <t>01.01.2025</t>
        </is>
      </c>
      <c r="G19" s="24" t="inlineStr">
        <is>
          <t>11.08.2026</t>
        </is>
      </c>
      <c r="H19" s="61">
        <f>IF(A19="","",IF(B19="","EKSİK","TAM"))</f>
        <v/>
      </c>
    </row>
    <row r="20">
      <c r="A20" s="24" t="inlineStr">
        <is>
          <t>dosya_surumu</t>
        </is>
      </c>
      <c r="B20" s="63" t="inlineStr">
        <is>
          <t>1.0.0</t>
        </is>
      </c>
      <c r="C20" s="24" t="inlineStr">
        <is>
          <t>metin</t>
        </is>
      </c>
      <c r="D20" s="24" t="inlineStr">
        <is>
          <t>Ürün sürümü</t>
        </is>
      </c>
      <c r="E20" s="24" t="inlineStr">
        <is>
          <t>ExcelArşiv</t>
        </is>
      </c>
      <c r="F20" s="24" t="inlineStr">
        <is>
          <t>01.01.2025</t>
        </is>
      </c>
      <c r="G20" s="24" t="inlineStr">
        <is>
          <t>11.08.2026</t>
        </is>
      </c>
      <c r="H20" s="61">
        <f>IF(A20="","",IF(B20="","EKSİK","TAM"))</f>
        <v/>
      </c>
    </row>
    <row r="21">
      <c r="A21" s="24" t="inlineStr">
        <is>
          <t>tbo_girisBeklenen</t>
        </is>
      </c>
      <c r="B21" s="43" t="n">
        <v>11</v>
      </c>
      <c r="C21" s="24" t="inlineStr">
        <is>
          <t>adet</t>
        </is>
      </c>
      <c r="D21" s="24" t="inlineStr">
        <is>
          <t>Zorunlu giriş alanı sayısı</t>
        </is>
      </c>
      <c r="E21" s="24" t="inlineStr">
        <is>
          <t>Ürün mimarisi</t>
        </is>
      </c>
      <c r="F21" s="24" t="inlineStr">
        <is>
          <t>01.01.2025</t>
        </is>
      </c>
      <c r="G21" s="24" t="inlineStr">
        <is>
          <t>11.08.2026</t>
        </is>
      </c>
      <c r="H21" s="61">
        <f>IF(A21="","",IF(B21="","EKSİK","TAM"))</f>
        <v/>
      </c>
    </row>
    <row r="22">
      <c r="A22" s="24" t="inlineStr">
        <is>
          <t>tbo_riskDusuk</t>
        </is>
      </c>
      <c r="B22" s="43" t="n">
        <v>15</v>
      </c>
      <c r="C22" s="24" t="inlineStr">
        <is>
          <t>puan</t>
        </is>
      </c>
      <c r="D22" s="24" t="inlineStr">
        <is>
          <t>Düşük risk skoru</t>
        </is>
      </c>
      <c r="E22" s="24" t="inlineStr">
        <is>
          <t>İç politika</t>
        </is>
      </c>
      <c r="F22" s="24" t="inlineStr">
        <is>
          <t>01.01.2025</t>
        </is>
      </c>
      <c r="G22" s="24" t="inlineStr">
        <is>
          <t>11.08.2026</t>
        </is>
      </c>
      <c r="H22" s="61">
        <f>IF(A22="","",IF(B22="","EKSİK","TAM"))</f>
        <v/>
      </c>
    </row>
    <row r="23">
      <c r="A23" s="24" t="inlineStr">
        <is>
          <t>tbo_riskOrta</t>
        </is>
      </c>
      <c r="B23" s="43" t="n">
        <v>55</v>
      </c>
      <c r="C23" s="24" t="inlineStr">
        <is>
          <t>puan</t>
        </is>
      </c>
      <c r="D23" s="24" t="inlineStr">
        <is>
          <t>Orta risk skoru</t>
        </is>
      </c>
      <c r="E23" s="24" t="inlineStr">
        <is>
          <t>İç politika</t>
        </is>
      </c>
      <c r="F23" s="24" t="inlineStr">
        <is>
          <t>01.01.2025</t>
        </is>
      </c>
      <c r="G23" s="24" t="inlineStr">
        <is>
          <t>11.08.2026</t>
        </is>
      </c>
      <c r="H23" s="61">
        <f>IF(A23="","",IF(B23="","EKSİK","TAM"))</f>
        <v/>
      </c>
    </row>
    <row r="24">
      <c r="A24" s="24" t="inlineStr">
        <is>
          <t>tbo_riskYuksek</t>
        </is>
      </c>
      <c r="B24" s="43" t="n">
        <v>85</v>
      </c>
      <c r="C24" s="24" t="inlineStr">
        <is>
          <t>puan</t>
        </is>
      </c>
      <c r="D24" s="24" t="inlineStr">
        <is>
          <t>Yüksek risk skoru</t>
        </is>
      </c>
      <c r="E24" s="24" t="inlineStr">
        <is>
          <t>İç politika</t>
        </is>
      </c>
      <c r="F24" s="24" t="inlineStr">
        <is>
          <t>01.01.2025</t>
        </is>
      </c>
      <c r="G24" s="24" t="inlineStr">
        <is>
          <t>11.08.2026</t>
        </is>
      </c>
      <c r="H24" s="61">
        <f>IF(A24="","",IF(B24="","EKSİK","TAM"))</f>
        <v/>
      </c>
    </row>
    <row r="25">
      <c r="A25" s="24" t="inlineStr">
        <is>
          <t>tbo_riskEsikOran</t>
        </is>
      </c>
      <c r="B25" s="41" t="n">
        <v>0.5</v>
      </c>
      <c r="C25" s="24" t="inlineStr">
        <is>
          <t>oran</t>
        </is>
      </c>
      <c r="D25" s="24" t="inlineStr">
        <is>
          <t>Yüksek risk kaçırılan/potansiyel</t>
        </is>
      </c>
      <c r="E25" s="24" t="inlineStr">
        <is>
          <t>İç politika</t>
        </is>
      </c>
      <c r="F25" s="24" t="inlineStr">
        <is>
          <t>01.01.2025</t>
        </is>
      </c>
      <c r="G25" s="24" t="inlineStr">
        <is>
          <t>11.08.2026</t>
        </is>
      </c>
      <c r="H25" s="61">
        <f>IF(A25="","",IF(B25="","EKSİK","TAM"))</f>
        <v/>
      </c>
    </row>
    <row r="26">
      <c r="A26" s="24" t="inlineStr">
        <is>
          <t>tbo_yilTaban</t>
        </is>
      </c>
      <c r="B26" s="43" t="n">
        <v>2024</v>
      </c>
      <c r="C26" s="24" t="inlineStr">
        <is>
          <t>yıl</t>
        </is>
      </c>
      <c r="D26" s="24" t="inlineStr">
        <is>
          <t>CHOOSE yıl tabanı (hesapYili−taban)</t>
        </is>
      </c>
      <c r="E26" s="24" t="inlineStr">
        <is>
          <t>Ürün mimarisi</t>
        </is>
      </c>
      <c r="F26" s="24" t="inlineStr">
        <is>
          <t>01.01.2025</t>
        </is>
      </c>
      <c r="G26" s="24" t="inlineStr">
        <is>
          <t>11.08.2026</t>
        </is>
      </c>
      <c r="H26" s="61">
        <f>IF(A26="","",IF(B26="","EKSİK","TAM"))</f>
        <v/>
      </c>
    </row>
    <row r="27">
      <c r="A27" s="24" t="inlineStr">
        <is>
          <t>tbo_yuvarMax</t>
        </is>
      </c>
      <c r="B27" s="43" t="n">
        <v>10</v>
      </c>
      <c r="C27" s="24" t="inlineStr">
        <is>
          <t>adet</t>
        </is>
      </c>
      <c r="D27" s="24" t="inlineStr">
        <is>
          <t>ROUND basamak tavanı</t>
        </is>
      </c>
      <c r="E27" s="24" t="inlineStr">
        <is>
          <t>Ürün mimarisi</t>
        </is>
      </c>
      <c r="F27" s="24" t="inlineStr">
        <is>
          <t>01.01.2025</t>
        </is>
      </c>
      <c r="G27" s="24" t="inlineStr">
        <is>
          <t>11.08.2026</t>
        </is>
      </c>
      <c r="H27" s="61">
        <f>IF(A27="","",IF(B27="","EKSİK","TAM"))</f>
        <v/>
      </c>
    </row>
    <row r="28">
      <c r="A28" s="24" t="inlineStr">
        <is>
          <t>tbo_azamiMatrahEsik</t>
        </is>
      </c>
      <c r="B28" s="42" t="n">
        <v>100000000</v>
      </c>
      <c r="C28" s="24" t="inlineStr">
        <is>
          <t>TL</t>
        </is>
      </c>
      <c r="D28" s="24" t="inlineStr">
        <is>
          <t>Uç matrah eşiği (Ö2)</t>
        </is>
      </c>
      <c r="E28" s="24" t="inlineStr">
        <is>
          <t>İç politika</t>
        </is>
      </c>
      <c r="F28" s="24" t="inlineStr">
        <is>
          <t>01.01.2025</t>
        </is>
      </c>
      <c r="G28" s="24" t="inlineStr">
        <is>
          <t>11.08.2026</t>
        </is>
      </c>
      <c r="H28" s="61">
        <f>IF(A28="","",IF(B28="","EKSİK","TAM"))</f>
        <v/>
      </c>
    </row>
    <row r="29">
      <c r="A29" s="24" t="inlineStr">
        <is>
          <t>vaka_matrah_1</t>
        </is>
      </c>
      <c r="B29" s="42" t="n">
        <v>300000</v>
      </c>
      <c r="C29" s="24" t="inlineStr">
        <is>
          <t>TL</t>
        </is>
      </c>
      <c r="D29" s="24" t="inlineStr">
        <is>
          <t>Vaka1 5 puan matrah</t>
        </is>
      </c>
      <c r="E29" s="24" t="inlineStr">
        <is>
          <t>Tebliğ örneği</t>
        </is>
      </c>
      <c r="F29" s="24" t="inlineStr">
        <is>
          <t>01.01.2025</t>
        </is>
      </c>
      <c r="G29" s="24" t="inlineStr">
        <is>
          <t>11.08.2026</t>
        </is>
      </c>
      <c r="H29" s="61">
        <f>IF(A29="","",IF(B29="","EKSİK","TAM"))</f>
        <v/>
      </c>
    </row>
    <row r="30">
      <c r="A30" s="24" t="inlineStr">
        <is>
          <t>vaka_matrah_2</t>
        </is>
      </c>
      <c r="B30" s="42" t="n">
        <v>100000</v>
      </c>
      <c r="C30" s="24" t="inlineStr">
        <is>
          <t>TL</t>
        </is>
      </c>
      <c r="D30" s="24" t="inlineStr">
        <is>
          <t>Vaka2 ilave matrah</t>
        </is>
      </c>
      <c r="E30" s="24" t="inlineStr">
        <is>
          <t>Tebliğ örneği</t>
        </is>
      </c>
      <c r="F30" s="24" t="inlineStr">
        <is>
          <t>01.01.2025</t>
        </is>
      </c>
      <c r="G30" s="24" t="inlineStr">
        <is>
          <t>11.08.2026</t>
        </is>
      </c>
      <c r="H30" s="61">
        <f>IF(A30="","",IF(B30="","EKSİK","TAM"))</f>
        <v/>
      </c>
    </row>
    <row r="31">
      <c r="A31" s="24" t="inlineStr">
        <is>
          <t>vaka_tavan</t>
        </is>
      </c>
      <c r="B31" s="42" t="n">
        <v>150000</v>
      </c>
      <c r="C31" s="24" t="inlineStr">
        <is>
          <t>TL</t>
        </is>
      </c>
      <c r="D31" s="24" t="inlineStr">
        <is>
          <t>Vaka4 tavan</t>
        </is>
      </c>
      <c r="E31" s="24" t="inlineStr">
        <is>
          <t>Tebliğ örneği</t>
        </is>
      </c>
      <c r="F31" s="24" t="inlineStr">
        <is>
          <t>01.01.2025</t>
        </is>
      </c>
      <c r="G31" s="24" t="inlineStr">
        <is>
          <t>11.08.2026</t>
        </is>
      </c>
      <c r="H31" s="61">
        <f>IF(A31="","",IF(B31="","EKSİK","TAM"))</f>
        <v/>
      </c>
    </row>
    <row r="33">
      <c r="B33" s="64" t="inlineStr">
        <is>
          <t>Parametre satırları yukarıda; ad tanımları B kolonuna bağlı.</t>
        </is>
      </c>
    </row>
    <row r="35">
      <c r="B35" s="58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Kaçırılan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112.5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KILAVUZ — Teşvikli Bordro Optimizasyon</t>
        </is>
      </c>
    </row>
    <row r="3">
      <c r="A3" s="21" t="inlineStr">
        <is>
          <t>Karar kuralları</t>
        </is>
      </c>
    </row>
    <row r="5">
      <c r="A5" s="47" t="inlineStr">
        <is>
          <t>• VERİ YOK — BORDRO satırı yoksa hesap yapılmaz.</t>
        </is>
      </c>
    </row>
    <row r="6">
      <c r="A6" s="47" t="inlineStr">
        <is>
          <t>• UYGUN — mevcut teşvik ≥ potansiyel (kaçırılan = 0).</t>
        </is>
      </c>
    </row>
    <row r="7">
      <c r="A7" s="47" t="inlineStr">
        <is>
          <t>• İNCELE — kaçırılan &gt; 0 ama eşik altında; gözden geçirin.</t>
        </is>
      </c>
    </row>
    <row r="8">
      <c r="A8" s="47" t="inlineStr">
        <is>
          <t>• UYGULA — kaçırılan ≥ eşik; MATRIS kişi×kod setini uygulayın.</t>
        </is>
      </c>
    </row>
    <row r="9">
      <c r="A9" s="47" t="inlineStr">
        <is>
          <t>• MATRIS — her kişi için TBO-001/002/004/ENG tutarlarını yan yana görüp en iyi seti kilitler.</t>
        </is>
      </c>
    </row>
    <row r="10">
      <c r="A10" s="47" t="inlineStr">
        <is>
          <t>• SENARYO — iyimser/baz/kötümser + M-SEN + agresif/muhafazakar + matris seti.</t>
        </is>
      </c>
    </row>
    <row r="12">
      <c r="A12" s="65" t="inlineStr">
        <is>
          <t>Belirsizlik beyanları (M05)</t>
        </is>
      </c>
    </row>
    <row r="13">
      <c r="A13" s="66" t="inlineStr">
        <is>
          <t>Bu nokta mevzuatta tartışmalıdır; dosya yorum A ve yorum B sonucunu yan yana gösterir: tesvik_birikim_sirasi</t>
        </is>
      </c>
    </row>
    <row r="15">
      <c r="A15" s="10" t="inlineStr">
        <is>
          <t>Yorum A</t>
        </is>
      </c>
      <c r="B15" s="47" t="inlineStr">
        <is>
          <t>Uygun teşvik kalemleri birikimli toplanır (5 puan + ilave + kadın/genç + engelli). Bu nokta mevzuatta tartışmalıdır; sonuç yorum B ile yan yana okunmalıdır.</t>
        </is>
      </c>
    </row>
    <row r="16">
      <c r="A16" s="10" t="inlineStr">
        <is>
          <t>Yorum B</t>
        </is>
      </c>
      <c r="B16" s="47" t="inlineStr">
        <is>
          <t>Aynı dönemde yalnızca en yüksek tek teşvik kalemi alınır. Dosya her iki yorumun sonucunu MOTOR'da üretir.</t>
        </is>
      </c>
    </row>
    <row r="18">
      <c r="A18" s="10" t="inlineStr">
        <is>
          <t>Kullanım sırası</t>
        </is>
      </c>
    </row>
    <row r="19">
      <c r="A19" s="47" t="inlineStr">
        <is>
          <t>GIRDI → BORDRO → MATRIS (kişi×kod) → KURALLAR → MOTOR → SENARYO → VAKALAR → PANO → KANIT_RAPORU → AYARLAR.</t>
        </is>
      </c>
    </row>
    <row r="21">
      <c r="A21" s="67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T5"/>
    <mergeCell ref="B15:J15"/>
    <mergeCell ref="A8:T8"/>
    <mergeCell ref="A6:T6"/>
    <mergeCell ref="A9:T9"/>
    <mergeCell ref="A1:I1"/>
    <mergeCell ref="A7:T7"/>
    <mergeCell ref="A19:J19"/>
    <mergeCell ref="A10:T10"/>
    <mergeCell ref="A13:T13"/>
    <mergeCell ref="B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2026-08-14T19:59:43Z</dcterms:created>
  <dcterms:modified xmlns:dcterms="http://purl.org/dc/terms/" xmlns:xsi="http://www.w3.org/2001/XMLSchema-instance" xsi:type="dcterms:W3CDTF">2026-09-25T22:34:51Z</dcterms:modified>
</cp:coreProperties>
</file>