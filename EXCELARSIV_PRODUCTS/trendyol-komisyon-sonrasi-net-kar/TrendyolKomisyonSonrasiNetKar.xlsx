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GIRDI" sheetId="2" state="visible" r:id="rId2"/>
    <sheet name="HAKEDIS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7">'PANO'!$A$1:$L$36</definedName>
    <definedName name="_xlnm.Print_Area" localSheetId="9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0.0%;[Red](0.0%);-"/>
    <numFmt numFmtId="166" formatCode="dd.mm.yyyy"/>
    <numFmt numFmtId="167" formatCode="yyyy-mm-dd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'PANO'!B29</f>
            </strRef>
          </tx>
          <spPr>
            <a:ln>
              <a:prstDash val="solid"/>
            </a:ln>
          </spPr>
          <cat>
            <numRef>
              <f>'PANO'!$A$30:$A$33</f>
            </numRef>
          </cat>
          <val>
            <numRef>
              <f>'PANO'!$B$30:$B$33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'PANO'!E29</f>
            </strRef>
          </tx>
          <spPr>
            <a:ln>
              <a:prstDash val="solid"/>
            </a:ln>
          </spPr>
          <cat>
            <numRef>
              <f>'PANO'!$D$30:$D$35</f>
            </numRef>
          </cat>
          <val>
            <numRef>
              <f>'PANO'!$E$30:$E$35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Net Kâr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'PANO'!$G$30:$G$36</f>
            </numRef>
          </cat>
          <val>
            <numRef>
              <f>'PANO'!$H$30:$H$36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'PANO'!K29</f>
            </strRef>
          </tx>
          <spPr>
            <a:ln>
              <a:prstDash val="solid"/>
            </a:ln>
          </spPr>
          <cat>
            <numRef>
              <f>'PANO'!$J$30:$J$34</f>
            </numRef>
          </cat>
          <val>
            <numRef>
              <f>'PANO'!$K$30:$K$34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'PANO'!B29</f>
            </strRef>
          </tx>
          <spPr>
            <a:ln>
              <a:prstDash val="solid"/>
            </a:ln>
          </spPr>
          <cat>
            <numRef>
              <f>'PANO'!$A$30:$A$31</f>
            </numRef>
          </cat>
          <val>
            <numRef>
              <f>'PANO'!$B$30:$B$31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'PANO'!E29</f>
            </strRef>
          </tx>
          <spPr>
            <a:ln>
              <a:prstDash val="solid"/>
            </a:ln>
          </spPr>
          <cat>
            <numRef>
              <f>'PANO'!$D$30:$D$32</f>
            </numRef>
          </cat>
          <val>
            <numRef>
              <f>'PANO'!$E$30:$E$32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Kâr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'PANO'!$G$30:$G$33</f>
            </numRef>
          </cat>
          <val>
            <numRef>
              <f>'PANO'!$H$30:$H$33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'PANO'!K29</f>
            </strRef>
          </tx>
          <spPr>
            <a:ln>
              <a:prstDash val="solid"/>
            </a:ln>
          </spPr>
          <cat>
            <numRef>
              <f>'PANO'!$J$30:$J$32</f>
            </numRef>
          </cat>
          <val>
            <numRef>
              <f>'PANO'!$K$30:$K$32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| Doğru kullanım: Otomatik | Örnek: SAT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67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67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80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80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Trendyol Komisyon Sonrası Net Kâr Hesaplama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GIRDI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Satış girişi — barkod / kategori / fiyat / maliyet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9A3412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HAKEDIS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Trendyol hakediş — TY Plus / flaş / reklam / desi / gerçek ödeme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26" customHeight="1">
      <c r="A1" s="1" t="inlineStr">
        <is>
          <t>ANAHTAR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Normalize barkod anahtarı + uzunluk + ikincil + duplike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/>
  </sheetPr>
  <dimension ref="A1:X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26" customHeight="1">
      <c r="A1" s="1" t="inlineStr">
        <is>
          <t>MOTOR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3" ht="20" customHeight="1">
      <c r="A3" s="10" t="inlineStr">
        <is>
          <t>Net kâr motoru — kesinti kırılımı, başabaş, satır kararı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X1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ESLESTIRME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Beklenen hakediş ↔ gerçek hakediş dört kova — her A kaydı tek kovaya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KOK NEDEN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TYK-001..005 kök neden — eşleşmeyen fark TANIMSIZ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4" t="inlineStr">
        <is>
          <t>Trendyol Net Kâr Karar Paneli</t>
        </is>
      </c>
      <c r="C3" s="25" t="inlineStr">
        <is>
          <t>Rapor Tarihi</t>
        </is>
      </c>
      <c r="D3" s="26">
        <f>raporTarihi</f>
        <v/>
      </c>
    </row>
    <row r="4">
      <c r="A4" s="5" t="inlineStr">
        <is>
          <t>KARAR</t>
        </is>
      </c>
      <c r="B4" s="27">
        <f>IF(COUNTA(tblGirdi[Barkod])=0,"VERİ YOK",IF(COUNTIF(tblMotor[KararSatir],"ÇEKİL")&gt;0,"ÇEKİL",IF(COUNTIF(tblMotor[KararSatir],"ZAM")&gt;COUNTIF(tblMotor[KararSatir],"SAT"),"ZAM","SAT")))</f>
        <v/>
      </c>
    </row>
    <row r="6">
      <c r="A6" s="28" t="inlineStr">
        <is>
          <t>Eşleşme Oranı</t>
        </is>
      </c>
      <c r="B6" s="29">
        <f>IFERROR(tyk_eslesmeOrani,0)</f>
        <v/>
      </c>
      <c r="D6" s="19" t="inlineStr">
        <is>
          <t>Modül Yorumları</t>
        </is>
      </c>
    </row>
    <row r="7">
      <c r="A7" s="28" t="inlineStr">
        <is>
          <t>Toplam Net Kâr</t>
        </is>
      </c>
      <c r="B7" s="30">
        <f>IFERROR(SUM(tblMotor[NetKar]),0)</f>
        <v/>
      </c>
      <c r="D7" s="8">
        <f>tyk_modulT1Yorum</f>
        <v/>
      </c>
    </row>
    <row r="8">
      <c r="A8" s="28" t="inlineStr">
        <is>
          <t>Toplam Hedef Net</t>
        </is>
      </c>
      <c r="B8" s="30">
        <f>IFERROR(SUM(tblGirdi[HedefNet]),0)</f>
        <v/>
      </c>
      <c r="D8" s="8">
        <f>tyk_modulT2Yorum</f>
        <v/>
      </c>
    </row>
    <row r="9">
      <c r="A9" s="28" t="inlineStr">
        <is>
          <t>Hakediş Farkı</t>
        </is>
      </c>
      <c r="B9" s="30">
        <f>IFERROR(tyk_mutabakatFarki,0)</f>
        <v/>
      </c>
      <c r="D9" s="8">
        <f>tyk_modulO1Yorum</f>
        <v/>
      </c>
    </row>
    <row r="10">
      <c r="A10" s="28" t="inlineStr">
        <is>
          <t>Ortalama Marj</t>
        </is>
      </c>
      <c r="B10" s="29">
        <f>IFERROR(tyk_modulT1,0)</f>
        <v/>
      </c>
      <c r="D10" s="8">
        <f>tyk_modulO2Yorum</f>
        <v/>
      </c>
    </row>
    <row r="11">
      <c r="A11" s="28" t="inlineStr">
        <is>
          <t>Ortalama Komisyon</t>
        </is>
      </c>
      <c r="B11" s="29">
        <f>IFERROR(tyk_modulT2,0)</f>
        <v/>
      </c>
      <c r="D11" s="8">
        <f>tyk_modulO3Yorum</f>
        <v/>
      </c>
    </row>
    <row r="12">
      <c r="A12" s="28" t="inlineStr">
        <is>
          <t>Başabaş Ort.</t>
        </is>
      </c>
      <c r="B12" s="30">
        <f>IFERROR(tyk_basabasFiyat,0)</f>
        <v/>
      </c>
      <c r="D12" s="8">
        <f>tyk_modulO6Yorum</f>
        <v/>
      </c>
    </row>
    <row r="13">
      <c r="A13" s="28" t="inlineStr">
        <is>
          <t>Eşleşti Adet</t>
        </is>
      </c>
      <c r="B13" s="31">
        <f>COUNTIF(tblEslesme[Kova],"eslesti")</f>
        <v/>
      </c>
      <c r="D13" s="8">
        <f>tyk_modulO8Yorum</f>
        <v/>
      </c>
    </row>
    <row r="14">
      <c r="A14" s="28" t="inlineStr">
        <is>
          <t>Tutar Farkı Adet</t>
        </is>
      </c>
      <c r="B14" s="31">
        <f>COUNTIF(tblEslesme[Kova],"tutar_farki")</f>
        <v/>
      </c>
      <c r="D14" s="8">
        <f>tyk_modulI1Yorum</f>
        <v/>
      </c>
    </row>
    <row r="15">
      <c r="A15" s="28" t="inlineStr">
        <is>
          <t>Eşleşmedi Adet</t>
        </is>
      </c>
      <c r="B15" s="31">
        <f>COUNTIF(tblEslesme[Kova],"eslesmedi")</f>
        <v/>
      </c>
      <c r="D15" s="8">
        <f>tyk_modulI2Yorum</f>
        <v/>
      </c>
    </row>
    <row r="16">
      <c r="A16" s="28" t="inlineStr">
        <is>
          <t>Kova Bütünlük</t>
        </is>
      </c>
      <c r="B16" s="32">
        <f>tyk_kovaButunluk</f>
        <v/>
      </c>
    </row>
    <row r="17">
      <c r="A17" s="28" t="inlineStr">
        <is>
          <t>Anomali Sayısı</t>
        </is>
      </c>
      <c r="B17" s="31">
        <f>tyk_modulO1</f>
        <v/>
      </c>
    </row>
    <row r="18">
      <c r="A18" s="28" t="inlineStr">
        <is>
          <t>Duyarlılık Zirve</t>
        </is>
      </c>
      <c r="B18" s="30">
        <f>tyk_modulO2</f>
        <v/>
      </c>
    </row>
    <row r="19">
      <c r="A19" s="28" t="inlineStr">
        <is>
          <t>Senaryo Net</t>
        </is>
      </c>
      <c r="B19" s="30">
        <f>tyk_modulO3</f>
        <v/>
      </c>
    </row>
    <row r="20">
      <c r="A20" s="28" t="inlineStr">
        <is>
          <t>Kategori Yoğun</t>
        </is>
      </c>
      <c r="B20" s="29">
        <f>tyk_modulO6</f>
        <v/>
      </c>
    </row>
    <row r="21">
      <c r="A21" s="28" t="inlineStr">
        <is>
          <t>Kalite Skoru</t>
        </is>
      </c>
      <c r="B21" s="31">
        <f>tyk_modulO8</f>
        <v/>
      </c>
    </row>
    <row r="22">
      <c r="A22" s="28" t="inlineStr">
        <is>
          <t>Tahmin Aralık</t>
        </is>
      </c>
      <c r="B22" s="30">
        <f>tyk_modulI1</f>
        <v/>
      </c>
    </row>
    <row r="23">
      <c r="A23" s="28" t="inlineStr">
        <is>
          <t>Net P90</t>
        </is>
      </c>
      <c r="B23" s="30">
        <f>tyk_modulI2</f>
        <v/>
      </c>
    </row>
    <row r="24">
      <c r="A24" s="28" t="inlineStr">
        <is>
          <t>Kesinti Toplam</t>
        </is>
      </c>
      <c r="B24" s="30">
        <f>tyk_kesintiKirilim</f>
        <v/>
      </c>
    </row>
    <row r="25">
      <c r="A25" s="28" t="inlineStr">
        <is>
          <t>Kategori Ort. Kom.</t>
        </is>
      </c>
      <c r="B25" s="29">
        <f>tyk_kategoriKomisyon</f>
        <v/>
      </c>
    </row>
    <row r="26">
      <c r="A26" s="28" t="inlineStr">
        <is>
          <t>Duplike Uyarı</t>
        </is>
      </c>
      <c r="B26" s="31">
        <f>COUNTIF(tblAnahtarA[Duplike],"EVET")</f>
        <v/>
      </c>
    </row>
    <row r="28">
      <c r="A28" s="19" t="inlineStr">
        <is>
          <t>Grafik Kaynağı</t>
        </is>
      </c>
    </row>
    <row r="29">
      <c r="A29" s="7" t="inlineStr">
        <is>
          <t>Kova</t>
        </is>
      </c>
      <c r="B29" s="7" t="inlineStr">
        <is>
          <t>Adet</t>
        </is>
      </c>
      <c r="D29" s="7" t="inlineStr">
        <is>
          <t>Neden</t>
        </is>
      </c>
      <c r="E29" s="7" t="inlineStr">
        <is>
          <t>Adet</t>
        </is>
      </c>
      <c r="G29" s="7" t="inlineStr">
        <is>
          <t>Gün</t>
        </is>
      </c>
      <c r="H29" s="7" t="inlineStr">
        <is>
          <t>NetKar</t>
        </is>
      </c>
      <c r="J29" s="7" t="inlineStr">
        <is>
          <t>Senaryo</t>
        </is>
      </c>
      <c r="K29" s="7" t="inlineStr">
        <is>
          <t>Etki</t>
        </is>
      </c>
    </row>
    <row r="30">
      <c r="A30" s="7" t="inlineStr">
        <is>
          <t>Eşleşti</t>
        </is>
      </c>
      <c r="B30" s="20" t="n">
        <v>22</v>
      </c>
      <c r="D30" s="7" t="inlineStr">
        <is>
          <t>TYK-001</t>
        </is>
      </c>
      <c r="E30" s="20" t="n">
        <v>2</v>
      </c>
      <c r="G30" s="20" t="n">
        <v>1</v>
      </c>
      <c r="H30" s="33" t="n">
        <v>90</v>
      </c>
      <c r="J30" s="7" t="inlineStr">
        <is>
          <t>Komisyon +1pp</t>
        </is>
      </c>
      <c r="K30" s="33" t="n">
        <v>420</v>
      </c>
    </row>
    <row r="31">
      <c r="A31" s="7" t="inlineStr">
        <is>
          <t>Tolerans</t>
        </is>
      </c>
      <c r="B31" s="20" t="n">
        <v>4</v>
      </c>
      <c r="D31" s="7" t="inlineStr">
        <is>
          <t>TYK-002</t>
        </is>
      </c>
      <c r="E31" s="20" t="n">
        <v>1</v>
      </c>
      <c r="G31" s="20" t="n">
        <v>2</v>
      </c>
      <c r="H31" s="33" t="n">
        <v>106.5</v>
      </c>
      <c r="J31" s="7" t="inlineStr">
        <is>
          <t>TY Plus +1pp</t>
        </is>
      </c>
      <c r="K31" s="33" t="n">
        <v>180</v>
      </c>
    </row>
    <row r="32">
      <c r="A32" s="7" t="inlineStr">
        <is>
          <t>Tutar farkı</t>
        </is>
      </c>
      <c r="B32" s="20" t="n">
        <v>6</v>
      </c>
      <c r="D32" s="7" t="inlineStr">
        <is>
          <t>TYK-003</t>
        </is>
      </c>
      <c r="E32" s="20" t="n">
        <v>2</v>
      </c>
      <c r="G32" s="20" t="n">
        <v>3</v>
      </c>
      <c r="H32" s="33" t="n">
        <v>123</v>
      </c>
      <c r="J32" s="7" t="inlineStr">
        <is>
          <t>Flaş +2pp</t>
        </is>
      </c>
      <c r="K32" s="33" t="n">
        <v>210</v>
      </c>
    </row>
    <row r="33">
      <c r="A33" s="7" t="inlineStr">
        <is>
          <t>Eşleşmedi</t>
        </is>
      </c>
      <c r="B33" s="20" t="n">
        <v>3</v>
      </c>
      <c r="D33" s="7" t="inlineStr">
        <is>
          <t>TYK-004</t>
        </is>
      </c>
      <c r="E33" s="20" t="n">
        <v>1</v>
      </c>
      <c r="G33" s="20" t="n">
        <v>4</v>
      </c>
      <c r="H33" s="33" t="n">
        <v>139.5</v>
      </c>
      <c r="J33" s="7" t="inlineStr">
        <is>
          <t>Reklam +10</t>
        </is>
      </c>
      <c r="K33" s="33" t="n">
        <v>140</v>
      </c>
    </row>
    <row r="34">
      <c r="D34" s="7" t="inlineStr">
        <is>
          <t>TYK-005</t>
        </is>
      </c>
      <c r="E34" s="20" t="n">
        <v>1</v>
      </c>
      <c r="G34" s="20" t="n">
        <v>5</v>
      </c>
      <c r="H34" s="33" t="n">
        <v>156</v>
      </c>
      <c r="J34" s="7" t="inlineStr">
        <is>
          <t>Desi +5</t>
        </is>
      </c>
      <c r="K34" s="33" t="n">
        <v>160</v>
      </c>
    </row>
    <row r="35">
      <c r="D35" s="7" t="inlineStr">
        <is>
          <t>Tanımsız</t>
        </is>
      </c>
      <c r="E35" s="20" t="n">
        <v>2</v>
      </c>
      <c r="G35" s="20" t="n">
        <v>6</v>
      </c>
      <c r="H35" s="33" t="n">
        <v>172.5</v>
      </c>
    </row>
    <row r="36">
      <c r="G36" s="20" t="n">
        <v>7</v>
      </c>
      <c r="H36" s="33" t="n">
        <v>189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1">
      <formula>0</formula>
    </cfRule>
  </conditionalFormatting>
  <conditionalFormatting sqref="B26">
    <cfRule type="cellIs" priority="45" operator="greaterThan" dxfId="3">
      <formula>0</formula>
    </cfRule>
    <cfRule type="cellIs" priority="46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&amp;LTrendyol Komisyon Sonrası Net Kâr Hesaplama | 1.0.0&amp;CExcelArşiv&amp;RSayfa &amp;P / &amp;N</oddFooter>
    <evenHeader/>
    <evenFooter>&amp;LTrendyol Komisyon Sonrası Net Kâr Hesaplama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Fiyat aksiyon metni — tutar farkı satırları için kopyalanabilir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4" customWidth="1" min="3" max="3"/>
    <col width="12" customWidth="1" min="4" max="4"/>
    <col width="16" customWidth="1" min="5" max="5"/>
  </cols>
  <sheetData>
    <row r="1" ht="26" customHeight="1">
      <c r="A1" s="1" t="inlineStr">
        <is>
          <t>KANIT RAPORU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4" t="inlineStr">
        <is>
          <t>Trendyol Net Kâr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</cols>
  <sheetData>
    <row r="1" ht="26" customHeight="1">
      <c r="A1" s="1" t="inlineStr">
        <is>
          <t>ORNEK VERI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</cols>
  <sheetData>
    <row r="1" ht="26" customHeight="1">
      <c r="A1" s="1" t="inlineStr">
        <is>
          <t>LISTELER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9" t="inlineStr">
        <is>
          <t>Kategori Listesi</t>
        </is>
      </c>
      <c r="C3" s="19" t="inlineStr">
        <is>
          <t>Dönem Listesi</t>
        </is>
      </c>
    </row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36" customWidth="1" min="4" max="4"/>
    <col width="14" customWidth="1" min="5" max="5"/>
    <col width="42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— kaynak ve yürürlük zorunlu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Trendyol Komisyon Sonrası Net Kâr Hesaplama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Kullanım Kılavuzu</t>
        </is>
      </c>
    </row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6:J6"/>
    <mergeCell ref="A17:J17"/>
    <mergeCell ref="A9:J9"/>
    <mergeCell ref="A1:L1"/>
    <mergeCell ref="A12:J12"/>
    <mergeCell ref="A7:J7"/>
    <mergeCell ref="A15:J15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2026-08-14T17:47:27Z</dcterms:created>
  <dcterms:modified xsi:type="dcterms:W3CDTF">2026-08-14T17:47:29Z</dcterms:modified>
</cp:coreProperties>
</file>